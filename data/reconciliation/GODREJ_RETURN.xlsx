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192.168.1.249\adm$\MASTER BARANG NEW\GDI\"/>
    </mc:Choice>
  </mc:AlternateContent>
  <xr:revisionPtr revIDLastSave="0" documentId="13_ncr:1_{488961A1-49F2-41A6-A2C2-A5F4213792F6}" xr6:coauthVersionLast="45" xr6:coauthVersionMax="47" xr10:uidLastSave="{00000000-0000-0000-0000-000000000000}"/>
  <bookViews>
    <workbookView xWindow="-120" yWindow="-120" windowWidth="29040" windowHeight="15990" firstSheet="3" activeTab="7" xr2:uid="{BF519ECE-2DA5-4DA0-9181-8645A13B27C8}"/>
  </bookViews>
  <sheets>
    <sheet name="PRICE LIST Motasa" sheetId="33" r:id="rId1"/>
    <sheet name="FORM DASAR KLP" sheetId="20" r:id="rId2"/>
    <sheet name="Cara Buat" sheetId="5" r:id="rId3"/>
    <sheet name="Pvt Map 1" sheetId="24" r:id="rId4"/>
    <sheet name="Table Pvt 1" sheetId="36" r:id="rId5"/>
    <sheet name="Fix Mapping" sheetId="37" r:id="rId6"/>
    <sheet name="Query Map.BrgDoubleDms" sheetId="30" r:id="rId7"/>
    <sheet name="Form Fix" sheetId="27" r:id="rId8"/>
    <sheet name="Upload To Win" sheetId="35" r:id="rId9"/>
    <sheet name="LIST PCPL" sheetId="14" r:id="rId10"/>
    <sheet name="Sheet1" sheetId="38" r:id="rId11"/>
  </sheets>
  <externalReferences>
    <externalReference r:id="rId12"/>
  </externalReferences>
  <definedNames>
    <definedName name="_xlnm._FilterDatabase" localSheetId="1" hidden="1">'FORM DASAR KLP'!$A$3:$G$3</definedName>
    <definedName name="_xlnm._FilterDatabase" localSheetId="0" hidden="1">'PRICE LIST Motasa'!$A$3:$G$8</definedName>
    <definedName name="_xlnm._FilterDatabase" hidden="1">#REF!</definedName>
    <definedName name="Consol">"Error"</definedName>
    <definedName name="ExternalData_1" localSheetId="6" hidden="1">'Query Map.BrgDoubleDms'!$A$1:$B$388</definedName>
    <definedName name="ExternalData_1" localSheetId="4" hidden="1">'Table Pvt 1'!$A$1:$E$193</definedName>
    <definedName name="ExternalData_1" localSheetId="8" hidden="1">'Upload To Win'!$A$1:$AF$161</definedName>
    <definedName name="ExternalData_2" localSheetId="5" hidden="1">'Fix Mapping'!$A$1:$R$2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7" l="1"/>
  <c r="BO208" i="27" s="1"/>
  <c r="L208" i="27"/>
  <c r="M208" i="27"/>
  <c r="N208" i="27"/>
  <c r="P208" i="27"/>
  <c r="Q208" i="27" s="1"/>
  <c r="AK208" i="27"/>
  <c r="AN208" i="27"/>
  <c r="AO208" i="27"/>
  <c r="AQ208" i="27" s="1"/>
  <c r="AT208" i="27"/>
  <c r="AV208" i="27" s="1"/>
  <c r="AU208" i="27"/>
  <c r="AW208" i="27"/>
  <c r="AX208" i="27" s="1"/>
  <c r="BF208" i="27"/>
  <c r="BG208" i="27"/>
  <c r="BJ208" i="27"/>
  <c r="BK208" i="27"/>
  <c r="BU208" i="27"/>
  <c r="A208" i="27" l="1"/>
  <c r="BQ208" i="27"/>
  <c r="BP208" i="27"/>
  <c r="BS208" i="27"/>
  <c r="BN208" i="27"/>
  <c r="BI208" i="27"/>
  <c r="BA208" i="27"/>
  <c r="AP208" i="27"/>
  <c r="AR208" i="27" s="1"/>
  <c r="AY208" i="27"/>
  <c r="AZ208" i="27" s="1"/>
  <c r="BB208" i="27"/>
  <c r="BC208" i="27" s="1"/>
  <c r="O208" i="27"/>
  <c r="K530" i="27" l="1"/>
  <c r="BP530" i="27" s="1"/>
  <c r="L530" i="27"/>
  <c r="M530" i="27"/>
  <c r="N530" i="27"/>
  <c r="A530" i="27" s="1"/>
  <c r="P530" i="27"/>
  <c r="Q530" i="27" s="1"/>
  <c r="AK530" i="27"/>
  <c r="AN530" i="27"/>
  <c r="AO530" i="27"/>
  <c r="AQ530" i="27" s="1"/>
  <c r="AT530" i="27"/>
  <c r="AV530" i="27" s="1"/>
  <c r="AU530" i="27"/>
  <c r="AW530" i="27"/>
  <c r="AY530" i="27" s="1"/>
  <c r="AZ530" i="27" s="1"/>
  <c r="BF530" i="27"/>
  <c r="BG530" i="27"/>
  <c r="BJ530" i="27"/>
  <c r="BK530" i="27"/>
  <c r="BU530" i="27"/>
  <c r="BO530" i="27" l="1"/>
  <c r="BN530" i="27"/>
  <c r="BS530" i="27"/>
  <c r="BQ530" i="27"/>
  <c r="BI530" i="27"/>
  <c r="BA530" i="27"/>
  <c r="AP530" i="27"/>
  <c r="AR530" i="27" s="1"/>
  <c r="BB530" i="27"/>
  <c r="BC530" i="27" s="1"/>
  <c r="AX530" i="27"/>
  <c r="O530" i="27"/>
  <c r="K451" i="27" l="1"/>
  <c r="BP451" i="27" s="1"/>
  <c r="L451" i="27"/>
  <c r="M451" i="27"/>
  <c r="N451" i="27"/>
  <c r="P451" i="27"/>
  <c r="Q451" i="27" s="1"/>
  <c r="AK451" i="27"/>
  <c r="AN451" i="27"/>
  <c r="AO451" i="27"/>
  <c r="AQ451" i="27" s="1"/>
  <c r="AT451" i="27"/>
  <c r="AV451" i="27" s="1"/>
  <c r="AU451" i="27"/>
  <c r="AW451" i="27"/>
  <c r="AX451" i="27" s="1"/>
  <c r="BF451" i="27"/>
  <c r="BG451" i="27"/>
  <c r="BJ451" i="27"/>
  <c r="BK451" i="27"/>
  <c r="BU451" i="27"/>
  <c r="BQ451" i="27" l="1"/>
  <c r="BO451" i="27"/>
  <c r="A451" i="27"/>
  <c r="BS451" i="27"/>
  <c r="BN451" i="27"/>
  <c r="BI451" i="27"/>
  <c r="BA451" i="27"/>
  <c r="AP451" i="27"/>
  <c r="AR451" i="27" s="1"/>
  <c r="AY451" i="27"/>
  <c r="AZ451" i="27" s="1"/>
  <c r="BB451" i="27"/>
  <c r="BC451" i="27" s="1"/>
  <c r="O451" i="27"/>
  <c r="F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149" i="36"/>
  <c r="F150" i="36"/>
  <c r="F151" i="36"/>
  <c r="F152" i="36"/>
  <c r="F153" i="36"/>
  <c r="F154" i="36"/>
  <c r="F155" i="36"/>
  <c r="F156" i="36"/>
  <c r="F157" i="36"/>
  <c r="F158" i="36"/>
  <c r="F159" i="36"/>
  <c r="F160" i="36"/>
  <c r="F161" i="36"/>
  <c r="F162" i="36"/>
  <c r="F163" i="36"/>
  <c r="F164" i="36"/>
  <c r="F165" i="36"/>
  <c r="F166" i="36"/>
  <c r="F167" i="36"/>
  <c r="F168" i="36"/>
  <c r="F169" i="36"/>
  <c r="F170" i="36"/>
  <c r="F171" i="36"/>
  <c r="F172" i="36"/>
  <c r="F173" i="36"/>
  <c r="F174" i="36"/>
  <c r="F175" i="36"/>
  <c r="F176" i="36"/>
  <c r="F177" i="36"/>
  <c r="F178" i="36"/>
  <c r="F179" i="36"/>
  <c r="F180" i="36"/>
  <c r="F181" i="36"/>
  <c r="F182" i="36"/>
  <c r="F183" i="36"/>
  <c r="F184" i="36"/>
  <c r="F185" i="36"/>
  <c r="F186" i="36"/>
  <c r="F187" i="36"/>
  <c r="F188" i="36"/>
  <c r="F189" i="36"/>
  <c r="F190" i="36"/>
  <c r="F191" i="36"/>
  <c r="F192" i="36"/>
  <c r="F193" i="36"/>
  <c r="K386" i="27"/>
  <c r="BQ386" i="27" s="1"/>
  <c r="L386" i="27"/>
  <c r="M386" i="27"/>
  <c r="N386" i="27"/>
  <c r="O386" i="27" s="1"/>
  <c r="P386" i="27"/>
  <c r="Q386" i="27" s="1"/>
  <c r="AK386" i="27"/>
  <c r="AN386" i="27"/>
  <c r="AO386" i="27"/>
  <c r="AP386" i="27" s="1"/>
  <c r="AR386" i="27" s="1"/>
  <c r="AT386" i="27"/>
  <c r="AV386" i="27" s="1"/>
  <c r="AU386" i="27"/>
  <c r="AW386" i="27"/>
  <c r="BF386" i="27"/>
  <c r="BG386" i="27"/>
  <c r="BJ386" i="27"/>
  <c r="BK386" i="27"/>
  <c r="BU386" i="27"/>
  <c r="BB386" i="27" l="1"/>
  <c r="BC386" i="27" s="1"/>
  <c r="BA386" i="27"/>
  <c r="BN386" i="27"/>
  <c r="BS386" i="27"/>
  <c r="BO386" i="27"/>
  <c r="BP386" i="27"/>
  <c r="A386" i="27"/>
  <c r="AY386" i="27"/>
  <c r="AZ386" i="27" s="1"/>
  <c r="AX386" i="27"/>
  <c r="AQ386" i="27"/>
  <c r="BI386" i="27"/>
  <c r="K26" i="27" l="1"/>
  <c r="BP26" i="27" s="1"/>
  <c r="L26" i="27"/>
  <c r="M26" i="27"/>
  <c r="N26" i="27"/>
  <c r="P26" i="27"/>
  <c r="Q26" i="27" s="1"/>
  <c r="AK26" i="27"/>
  <c r="AN26" i="27"/>
  <c r="AO26" i="27"/>
  <c r="AQ26" i="27" s="1"/>
  <c r="AT26" i="27"/>
  <c r="AV26" i="27" s="1"/>
  <c r="AU26" i="27"/>
  <c r="AW26" i="27"/>
  <c r="AX26" i="27" s="1"/>
  <c r="BF26" i="27"/>
  <c r="BG26" i="27"/>
  <c r="BJ26" i="27"/>
  <c r="BK26" i="27"/>
  <c r="BU26" i="27"/>
  <c r="A26" i="27" l="1"/>
  <c r="BO26" i="27"/>
  <c r="BS26" i="27"/>
  <c r="BN26" i="27"/>
  <c r="BQ26" i="27"/>
  <c r="BI26" i="27"/>
  <c r="AP26" i="27"/>
  <c r="AR26" i="27" s="1"/>
  <c r="O26" i="27"/>
  <c r="AY26" i="27"/>
  <c r="AZ26" i="27" s="1"/>
  <c r="BB26" i="27"/>
  <c r="BC26" i="27" s="1"/>
  <c r="BA26" i="27"/>
  <c r="K458" i="27" l="1"/>
  <c r="BQ458" i="27" s="1"/>
  <c r="L458" i="27"/>
  <c r="M458" i="27"/>
  <c r="N458" i="27"/>
  <c r="P458" i="27"/>
  <c r="Q458" i="27" s="1"/>
  <c r="AK458" i="27"/>
  <c r="AN458" i="27"/>
  <c r="AO458" i="27"/>
  <c r="AQ458" i="27" s="1"/>
  <c r="AT458" i="27"/>
  <c r="AV458" i="27" s="1"/>
  <c r="AU458" i="27"/>
  <c r="AW458" i="27"/>
  <c r="AX458" i="27" s="1"/>
  <c r="BF458" i="27"/>
  <c r="BG458" i="27"/>
  <c r="BJ458" i="27"/>
  <c r="BK458" i="27"/>
  <c r="BU458" i="27"/>
  <c r="A458" i="27" l="1"/>
  <c r="BO458" i="27"/>
  <c r="BP458" i="27"/>
  <c r="BS458" i="27"/>
  <c r="BN458" i="27"/>
  <c r="AP458" i="27"/>
  <c r="AR458" i="27" s="1"/>
  <c r="BI458" i="27"/>
  <c r="O458" i="27"/>
  <c r="AY458" i="27"/>
  <c r="AZ458" i="27" s="1"/>
  <c r="BB458" i="27"/>
  <c r="BC458" i="27" s="1"/>
  <c r="BA458" i="27"/>
  <c r="K144" i="27" l="1"/>
  <c r="BQ144" i="27" s="1"/>
  <c r="L144" i="27"/>
  <c r="M144" i="27"/>
  <c r="N144" i="27"/>
  <c r="A144" i="27" s="1"/>
  <c r="P144" i="27"/>
  <c r="Q144" i="27" s="1"/>
  <c r="AK144" i="27"/>
  <c r="AN144" i="27"/>
  <c r="AO144" i="27"/>
  <c r="BA144" i="27" s="1"/>
  <c r="AT144" i="27"/>
  <c r="AV144" i="27" s="1"/>
  <c r="AU144" i="27"/>
  <c r="AW144" i="27"/>
  <c r="AY144" i="27" s="1"/>
  <c r="AZ144" i="27" s="1"/>
  <c r="BF144" i="27"/>
  <c r="BG144" i="27"/>
  <c r="BJ144" i="27"/>
  <c r="BK144" i="27"/>
  <c r="BU144" i="27"/>
  <c r="K426" i="27"/>
  <c r="BN426" i="27" s="1"/>
  <c r="L426" i="27"/>
  <c r="M426" i="27"/>
  <c r="N426" i="27"/>
  <c r="A426" i="27" s="1"/>
  <c r="P426" i="27"/>
  <c r="Q426" i="27" s="1"/>
  <c r="AK426" i="27"/>
  <c r="AN426" i="27"/>
  <c r="AO426" i="27"/>
  <c r="BA426" i="27" s="1"/>
  <c r="AT426" i="27"/>
  <c r="AV426" i="27" s="1"/>
  <c r="AU426" i="27"/>
  <c r="AW426" i="27"/>
  <c r="AX426" i="27" s="1"/>
  <c r="BF426" i="27"/>
  <c r="BG426" i="27"/>
  <c r="BJ426" i="27"/>
  <c r="BK426" i="27"/>
  <c r="BU426" i="27"/>
  <c r="K421" i="27"/>
  <c r="BN421" i="27" s="1"/>
  <c r="L421" i="27"/>
  <c r="M421" i="27"/>
  <c r="N421" i="27"/>
  <c r="A421" i="27" s="1"/>
  <c r="P421" i="27"/>
  <c r="Q421" i="27" s="1"/>
  <c r="AK421" i="27"/>
  <c r="AN421" i="27"/>
  <c r="AO421" i="27"/>
  <c r="BA421" i="27" s="1"/>
  <c r="AT421" i="27"/>
  <c r="AV421" i="27" s="1"/>
  <c r="AU421" i="27"/>
  <c r="AW421" i="27"/>
  <c r="AX421" i="27" s="1"/>
  <c r="BF421" i="27"/>
  <c r="BG421" i="27"/>
  <c r="BJ421" i="27"/>
  <c r="BK421" i="27"/>
  <c r="BU421" i="27"/>
  <c r="K414" i="27"/>
  <c r="BO414" i="27" s="1"/>
  <c r="L414" i="27"/>
  <c r="M414" i="27"/>
  <c r="N414" i="27"/>
  <c r="A414" i="27" s="1"/>
  <c r="P414" i="27"/>
  <c r="Q414" i="27" s="1"/>
  <c r="AK414" i="27"/>
  <c r="AN414" i="27"/>
  <c r="AO414" i="27"/>
  <c r="BA414" i="27" s="1"/>
  <c r="AT414" i="27"/>
  <c r="AV414" i="27" s="1"/>
  <c r="AU414" i="27"/>
  <c r="AW414" i="27"/>
  <c r="AX414" i="27" s="1"/>
  <c r="BF414" i="27"/>
  <c r="BG414" i="27"/>
  <c r="BJ414" i="27"/>
  <c r="BK414" i="27"/>
  <c r="BU414" i="27"/>
  <c r="K512" i="27"/>
  <c r="BQ512" i="27" s="1"/>
  <c r="L512" i="27"/>
  <c r="M512" i="27"/>
  <c r="N512" i="27"/>
  <c r="A512" i="27" s="1"/>
  <c r="P512" i="27"/>
  <c r="Q512" i="27" s="1"/>
  <c r="AK512" i="27"/>
  <c r="AN512" i="27"/>
  <c r="AO512" i="27"/>
  <c r="AP512" i="27" s="1"/>
  <c r="AR512" i="27" s="1"/>
  <c r="AT512" i="27"/>
  <c r="AV512" i="27" s="1"/>
  <c r="AU512" i="27"/>
  <c r="AW512" i="27"/>
  <c r="AX512" i="27" s="1"/>
  <c r="BF512" i="27"/>
  <c r="BG512" i="27"/>
  <c r="BJ512" i="27"/>
  <c r="BK512" i="27"/>
  <c r="BU512" i="27"/>
  <c r="K148" i="27"/>
  <c r="BO148" i="27" s="1"/>
  <c r="L148" i="27"/>
  <c r="M148" i="27"/>
  <c r="N148" i="27"/>
  <c r="O148" i="27" s="1"/>
  <c r="P148" i="27"/>
  <c r="Q148" i="27" s="1"/>
  <c r="AK148" i="27"/>
  <c r="AN148" i="27"/>
  <c r="AO148" i="27"/>
  <c r="AP148" i="27" s="1"/>
  <c r="AR148" i="27" s="1"/>
  <c r="AT148" i="27"/>
  <c r="AV148" i="27" s="1"/>
  <c r="AU148" i="27"/>
  <c r="AW148" i="27"/>
  <c r="AX148" i="27" s="1"/>
  <c r="BF148" i="27"/>
  <c r="BG148" i="27"/>
  <c r="BJ148" i="27"/>
  <c r="BK148" i="27"/>
  <c r="BU148" i="27"/>
  <c r="K213" i="27"/>
  <c r="BP213" i="27" s="1"/>
  <c r="L213" i="27"/>
  <c r="M213" i="27"/>
  <c r="N213" i="27"/>
  <c r="P213" i="27"/>
  <c r="Q213" i="27" s="1"/>
  <c r="AK213" i="27"/>
  <c r="AN213" i="27"/>
  <c r="AO213" i="27"/>
  <c r="AQ213" i="27" s="1"/>
  <c r="AT213" i="27"/>
  <c r="AV213" i="27" s="1"/>
  <c r="AU213" i="27"/>
  <c r="AW213" i="27"/>
  <c r="AX213" i="27" s="1"/>
  <c r="BF213" i="27"/>
  <c r="BG213" i="27"/>
  <c r="BJ213" i="27"/>
  <c r="BK213" i="27"/>
  <c r="BU213" i="27"/>
  <c r="BO144" i="27" l="1"/>
  <c r="BN144" i="27"/>
  <c r="BS144" i="27"/>
  <c r="BP144" i="27"/>
  <c r="BN414" i="27"/>
  <c r="AP421" i="27"/>
  <c r="AR421" i="27" s="1"/>
  <c r="BI426" i="27"/>
  <c r="BI421" i="27"/>
  <c r="AP426" i="27"/>
  <c r="AR426" i="27" s="1"/>
  <c r="AP144" i="27"/>
  <c r="AR144" i="27" s="1"/>
  <c r="BI144" i="27"/>
  <c r="AQ426" i="27"/>
  <c r="AQ144" i="27"/>
  <c r="BQ426" i="27"/>
  <c r="BP426" i="27"/>
  <c r="BS426" i="27"/>
  <c r="BB144" i="27"/>
  <c r="BC144" i="27" s="1"/>
  <c r="BO426" i="27"/>
  <c r="AP414" i="27"/>
  <c r="AR414" i="27" s="1"/>
  <c r="O144" i="27"/>
  <c r="AX144" i="27"/>
  <c r="BS512" i="27"/>
  <c r="BS421" i="27"/>
  <c r="BO421" i="27"/>
  <c r="BB426" i="27"/>
  <c r="BC426" i="27" s="1"/>
  <c r="BQ421" i="27"/>
  <c r="BP421" i="27"/>
  <c r="O426" i="27"/>
  <c r="AY426" i="27"/>
  <c r="AZ426" i="27" s="1"/>
  <c r="AQ414" i="27"/>
  <c r="AQ421" i="27"/>
  <c r="BP512" i="27"/>
  <c r="BO512" i="27"/>
  <c r="BB421" i="27"/>
  <c r="BC421" i="27" s="1"/>
  <c r="O421" i="27"/>
  <c r="AY421" i="27"/>
  <c r="AZ421" i="27" s="1"/>
  <c r="BN512" i="27"/>
  <c r="BA512" i="27"/>
  <c r="BS414" i="27"/>
  <c r="BQ414" i="27"/>
  <c r="BI414" i="27"/>
  <c r="BP414" i="27"/>
  <c r="BN148" i="27"/>
  <c r="BB414" i="27"/>
  <c r="BC414" i="27" s="1"/>
  <c r="O414" i="27"/>
  <c r="AY414" i="27"/>
  <c r="AZ414" i="27" s="1"/>
  <c r="AQ512" i="27"/>
  <c r="AQ148" i="27"/>
  <c r="BI512" i="27"/>
  <c r="A148" i="27"/>
  <c r="BI148" i="27"/>
  <c r="BS148" i="27"/>
  <c r="BQ148" i="27"/>
  <c r="BP148" i="27"/>
  <c r="BB512" i="27"/>
  <c r="BC512" i="27" s="1"/>
  <c r="O512" i="27"/>
  <c r="AY512" i="27"/>
  <c r="AZ512" i="27" s="1"/>
  <c r="BA148" i="27"/>
  <c r="BB148" i="27"/>
  <c r="BC148" i="27" s="1"/>
  <c r="AY148" i="27"/>
  <c r="AZ148" i="27" s="1"/>
  <c r="A213" i="27"/>
  <c r="BO213" i="27"/>
  <c r="BS213" i="27"/>
  <c r="BN213" i="27"/>
  <c r="BQ213" i="27"/>
  <c r="BI213" i="27"/>
  <c r="AP213" i="27"/>
  <c r="AR213" i="27" s="1"/>
  <c r="O213" i="27"/>
  <c r="AY213" i="27"/>
  <c r="AZ213" i="27" s="1"/>
  <c r="BB213" i="27"/>
  <c r="BC213" i="27" s="1"/>
  <c r="BA213" i="27"/>
  <c r="K388" i="27" l="1"/>
  <c r="BQ388" i="27" s="1"/>
  <c r="L388" i="27"/>
  <c r="M388" i="27"/>
  <c r="N388" i="27"/>
  <c r="A388" i="27" s="1"/>
  <c r="P388" i="27"/>
  <c r="Q388" i="27" s="1"/>
  <c r="AK388" i="27"/>
  <c r="AN388" i="27"/>
  <c r="AO388" i="27"/>
  <c r="BA388" i="27" s="1"/>
  <c r="AT388" i="27"/>
  <c r="AV388" i="27" s="1"/>
  <c r="AU388" i="27"/>
  <c r="AW388" i="27"/>
  <c r="AX388" i="27" s="1"/>
  <c r="BF388" i="27"/>
  <c r="BG388" i="27"/>
  <c r="BJ388" i="27"/>
  <c r="BK388" i="27"/>
  <c r="BU388" i="27"/>
  <c r="K585" i="27"/>
  <c r="BP585" i="27" s="1"/>
  <c r="L585" i="27"/>
  <c r="M585" i="27"/>
  <c r="N585" i="27"/>
  <c r="A585" i="27" s="1"/>
  <c r="P585" i="27"/>
  <c r="Q585" i="27" s="1"/>
  <c r="AK585" i="27"/>
  <c r="AN585" i="27"/>
  <c r="AO585" i="27"/>
  <c r="BA585" i="27" s="1"/>
  <c r="AT585" i="27"/>
  <c r="AV585" i="27" s="1"/>
  <c r="AU585" i="27"/>
  <c r="AW585" i="27"/>
  <c r="AX585" i="27" s="1"/>
  <c r="BF585" i="27"/>
  <c r="BG585" i="27"/>
  <c r="BJ585" i="27"/>
  <c r="BK585" i="27"/>
  <c r="BU585" i="27"/>
  <c r="K592" i="27"/>
  <c r="BN592" i="27" s="1"/>
  <c r="L592" i="27"/>
  <c r="M592" i="27"/>
  <c r="N592" i="27"/>
  <c r="A592" i="27" s="1"/>
  <c r="P592" i="27"/>
  <c r="Q592" i="27" s="1"/>
  <c r="AK592" i="27"/>
  <c r="AN592" i="27"/>
  <c r="AO592" i="27"/>
  <c r="BA592" i="27" s="1"/>
  <c r="AT592" i="27"/>
  <c r="AV592" i="27" s="1"/>
  <c r="AU592" i="27"/>
  <c r="AW592" i="27"/>
  <c r="AY592" i="27" s="1"/>
  <c r="AZ592" i="27" s="1"/>
  <c r="BF592" i="27"/>
  <c r="BG592" i="27"/>
  <c r="BJ592" i="27"/>
  <c r="BK592" i="27"/>
  <c r="BU592" i="27"/>
  <c r="K17" i="27"/>
  <c r="BP17" i="27" s="1"/>
  <c r="L17" i="27"/>
  <c r="M17" i="27"/>
  <c r="N17" i="27"/>
  <c r="P17" i="27"/>
  <c r="Q17" i="27" s="1"/>
  <c r="AK17" i="27"/>
  <c r="AN17" i="27"/>
  <c r="AO17" i="27"/>
  <c r="AQ17" i="27" s="1"/>
  <c r="AT17" i="27"/>
  <c r="AV17" i="27" s="1"/>
  <c r="AU17" i="27"/>
  <c r="AW17" i="27"/>
  <c r="AY17" i="27" s="1"/>
  <c r="AZ17" i="27" s="1"/>
  <c r="BF17" i="27"/>
  <c r="BG17" i="27"/>
  <c r="BJ17" i="27"/>
  <c r="BK17" i="27"/>
  <c r="BU17" i="27"/>
  <c r="A17" i="27" l="1"/>
  <c r="BS388" i="27"/>
  <c r="BO388" i="27"/>
  <c r="AQ592" i="27"/>
  <c r="BS585" i="27"/>
  <c r="BO585" i="27"/>
  <c r="BN388" i="27"/>
  <c r="BP388" i="27"/>
  <c r="AP592" i="27"/>
  <c r="AR592" i="27" s="1"/>
  <c r="BN585" i="27"/>
  <c r="AQ388" i="27"/>
  <c r="AP388" i="27"/>
  <c r="AR388" i="27" s="1"/>
  <c r="BI388" i="27"/>
  <c r="BB388" i="27"/>
  <c r="BC388" i="27" s="1"/>
  <c r="BQ585" i="27"/>
  <c r="O388" i="27"/>
  <c r="AY388" i="27"/>
  <c r="AZ388" i="27" s="1"/>
  <c r="BI585" i="27"/>
  <c r="AQ585" i="27"/>
  <c r="BO592" i="27"/>
  <c r="AP585" i="27"/>
  <c r="AR585" i="27" s="1"/>
  <c r="BQ592" i="27"/>
  <c r="BP592" i="27"/>
  <c r="BB585" i="27"/>
  <c r="BC585" i="27" s="1"/>
  <c r="O585" i="27"/>
  <c r="AY585" i="27"/>
  <c r="AZ585" i="27" s="1"/>
  <c r="BS592" i="27"/>
  <c r="BI592" i="27"/>
  <c r="O592" i="27"/>
  <c r="BB592" i="27"/>
  <c r="BC592" i="27" s="1"/>
  <c r="AX592" i="27"/>
  <c r="BO17" i="27"/>
  <c r="BS17" i="27"/>
  <c r="BN17" i="27"/>
  <c r="BQ17" i="27"/>
  <c r="BI17" i="27"/>
  <c r="BA17" i="27"/>
  <c r="AP17" i="27"/>
  <c r="AR17" i="27" s="1"/>
  <c r="BB17" i="27"/>
  <c r="BC17" i="27" s="1"/>
  <c r="AX17" i="27"/>
  <c r="O17" i="27"/>
  <c r="K440" i="27" l="1"/>
  <c r="BQ440" i="27" s="1"/>
  <c r="L440" i="27"/>
  <c r="M440" i="27"/>
  <c r="N440" i="27"/>
  <c r="A440" i="27" s="1"/>
  <c r="P440" i="27"/>
  <c r="Q440" i="27" s="1"/>
  <c r="AK440" i="27"/>
  <c r="AN440" i="27"/>
  <c r="AO440" i="27"/>
  <c r="AP440" i="27" s="1"/>
  <c r="AR440" i="27" s="1"/>
  <c r="AT440" i="27"/>
  <c r="AV440" i="27" s="1"/>
  <c r="AU440" i="27"/>
  <c r="AW440" i="27"/>
  <c r="AX440" i="27" s="1"/>
  <c r="BF440" i="27"/>
  <c r="BG440" i="27"/>
  <c r="BJ440" i="27"/>
  <c r="BK440" i="27"/>
  <c r="BU440" i="27"/>
  <c r="K412" i="27"/>
  <c r="BQ412" i="27" s="1"/>
  <c r="L412" i="27"/>
  <c r="M412" i="27"/>
  <c r="N412" i="27"/>
  <c r="A412" i="27" s="1"/>
  <c r="P412" i="27"/>
  <c r="Q412" i="27" s="1"/>
  <c r="AK412" i="27"/>
  <c r="AN412" i="27"/>
  <c r="AO412" i="27"/>
  <c r="BA412" i="27" s="1"/>
  <c r="AT412" i="27"/>
  <c r="AV412" i="27" s="1"/>
  <c r="AU412" i="27"/>
  <c r="AW412" i="27"/>
  <c r="AY412" i="27" s="1"/>
  <c r="AZ412" i="27" s="1"/>
  <c r="BF412" i="27"/>
  <c r="BG412" i="27"/>
  <c r="BJ412" i="27"/>
  <c r="BK412" i="27"/>
  <c r="BU412" i="27"/>
  <c r="K47" i="27"/>
  <c r="BQ47" i="27" s="1"/>
  <c r="L47" i="27"/>
  <c r="M47" i="27"/>
  <c r="N47" i="27"/>
  <c r="A47" i="27" s="1"/>
  <c r="P47" i="27"/>
  <c r="Q47" i="27" s="1"/>
  <c r="AK47" i="27"/>
  <c r="AN47" i="27"/>
  <c r="AO47" i="27"/>
  <c r="BA47" i="27" s="1"/>
  <c r="AT47" i="27"/>
  <c r="AV47" i="27" s="1"/>
  <c r="AU47" i="27"/>
  <c r="AW47" i="27"/>
  <c r="AX47" i="27" s="1"/>
  <c r="BF47" i="27"/>
  <c r="BG47" i="27"/>
  <c r="BJ47" i="27"/>
  <c r="BK47" i="27"/>
  <c r="BU47" i="27"/>
  <c r="K617" i="27"/>
  <c r="BQ617" i="27" s="1"/>
  <c r="L617" i="27"/>
  <c r="M617" i="27"/>
  <c r="N617" i="27"/>
  <c r="A617" i="27" s="1"/>
  <c r="P617" i="27"/>
  <c r="Q617" i="27" s="1"/>
  <c r="AK617" i="27"/>
  <c r="AN617" i="27"/>
  <c r="AO617" i="27"/>
  <c r="BA617" i="27" s="1"/>
  <c r="AT617" i="27"/>
  <c r="AV617" i="27" s="1"/>
  <c r="AU617" i="27"/>
  <c r="AW617" i="27"/>
  <c r="AX617" i="27" s="1"/>
  <c r="BF617" i="27"/>
  <c r="BG617" i="27"/>
  <c r="BJ617" i="27"/>
  <c r="BK617" i="27"/>
  <c r="BU617" i="27"/>
  <c r="K522" i="27"/>
  <c r="BO522" i="27" s="1"/>
  <c r="L522" i="27"/>
  <c r="M522" i="27"/>
  <c r="N522" i="27"/>
  <c r="P522" i="27"/>
  <c r="Q522" i="27" s="1"/>
  <c r="AK522" i="27"/>
  <c r="AN522" i="27"/>
  <c r="AO522" i="27"/>
  <c r="BA522" i="27" s="1"/>
  <c r="AT522" i="27"/>
  <c r="AV522" i="27" s="1"/>
  <c r="AU522" i="27"/>
  <c r="AW522" i="27"/>
  <c r="AX522" i="27" s="1"/>
  <c r="BF522" i="27"/>
  <c r="BG522" i="27"/>
  <c r="BJ522" i="27"/>
  <c r="BK522" i="27"/>
  <c r="BU522" i="27"/>
  <c r="A522" i="27" l="1"/>
  <c r="BO440" i="27"/>
  <c r="BN440" i="27"/>
  <c r="BS440" i="27"/>
  <c r="BP440" i="27"/>
  <c r="BS412" i="27"/>
  <c r="BS617" i="27"/>
  <c r="BN412" i="27"/>
  <c r="BA440" i="27"/>
  <c r="AQ440" i="27"/>
  <c r="BB440" i="27"/>
  <c r="BC440" i="27" s="1"/>
  <c r="BI440" i="27"/>
  <c r="O440" i="27"/>
  <c r="BP617" i="27"/>
  <c r="AY440" i="27"/>
  <c r="AZ440" i="27" s="1"/>
  <c r="BP412" i="27"/>
  <c r="BO412" i="27"/>
  <c r="AQ47" i="27"/>
  <c r="AQ412" i="27"/>
  <c r="AX412" i="27"/>
  <c r="AP47" i="27"/>
  <c r="AR47" i="27" s="1"/>
  <c r="AP412" i="27"/>
  <c r="AR412" i="27" s="1"/>
  <c r="BI412" i="27"/>
  <c r="BB412" i="27"/>
  <c r="BC412" i="27" s="1"/>
  <c r="BO47" i="27"/>
  <c r="BN47" i="27"/>
  <c r="O412" i="27"/>
  <c r="BI47" i="27"/>
  <c r="BS47" i="27"/>
  <c r="BP47" i="27"/>
  <c r="O47" i="27"/>
  <c r="AY47" i="27"/>
  <c r="AZ47" i="27" s="1"/>
  <c r="BB47" i="27"/>
  <c r="BC47" i="27" s="1"/>
  <c r="BI617" i="27"/>
  <c r="BN617" i="27"/>
  <c r="AQ617" i="27"/>
  <c r="AP617" i="27"/>
  <c r="AR617" i="27" s="1"/>
  <c r="BO617" i="27"/>
  <c r="BB617" i="27"/>
  <c r="BC617" i="27" s="1"/>
  <c r="O617" i="27"/>
  <c r="AY617" i="27"/>
  <c r="AZ617" i="27" s="1"/>
  <c r="BP522" i="27"/>
  <c r="BI522" i="27"/>
  <c r="BS522" i="27"/>
  <c r="BQ522" i="27"/>
  <c r="BN522" i="27"/>
  <c r="AP522" i="27"/>
  <c r="AR522" i="27" s="1"/>
  <c r="O522" i="27"/>
  <c r="BB522" i="27"/>
  <c r="BC522" i="27" s="1"/>
  <c r="AQ522" i="27"/>
  <c r="AY522" i="27"/>
  <c r="AZ522" i="27" s="1"/>
  <c r="K129" i="27" l="1"/>
  <c r="BP129" i="27" s="1"/>
  <c r="L129" i="27"/>
  <c r="M129" i="27"/>
  <c r="N129" i="27"/>
  <c r="P129" i="27"/>
  <c r="Q129" i="27" s="1"/>
  <c r="AK129" i="27"/>
  <c r="AN129" i="27"/>
  <c r="AO129" i="27"/>
  <c r="AQ129" i="27" s="1"/>
  <c r="AT129" i="27"/>
  <c r="AV129" i="27" s="1"/>
  <c r="AU129" i="27"/>
  <c r="AW129" i="27"/>
  <c r="AX129" i="27" s="1"/>
  <c r="BF129" i="27"/>
  <c r="BG129" i="27"/>
  <c r="BJ129" i="27"/>
  <c r="BK129" i="27"/>
  <c r="BU129" i="27"/>
  <c r="K533" i="27"/>
  <c r="BO533" i="27" s="1"/>
  <c r="L533" i="27"/>
  <c r="M533" i="27"/>
  <c r="N533" i="27"/>
  <c r="P533" i="27"/>
  <c r="Q533" i="27" s="1"/>
  <c r="AK533" i="27"/>
  <c r="AN533" i="27"/>
  <c r="AO533" i="27"/>
  <c r="AQ533" i="27" s="1"/>
  <c r="AT533" i="27"/>
  <c r="AV533" i="27" s="1"/>
  <c r="AU533" i="27"/>
  <c r="AW533" i="27"/>
  <c r="AY533" i="27" s="1"/>
  <c r="AZ533" i="27" s="1"/>
  <c r="BF533" i="27"/>
  <c r="BG533" i="27"/>
  <c r="BJ533" i="27"/>
  <c r="BK533" i="27"/>
  <c r="BU533" i="27"/>
  <c r="A129" i="27" l="1"/>
  <c r="A533" i="27"/>
  <c r="BS129" i="27"/>
  <c r="BO129" i="27"/>
  <c r="BN129" i="27"/>
  <c r="BQ129" i="27"/>
  <c r="BS533" i="27"/>
  <c r="BI129" i="27"/>
  <c r="BP533" i="27"/>
  <c r="BA129" i="27"/>
  <c r="AP129" i="27"/>
  <c r="AR129" i="27" s="1"/>
  <c r="AY129" i="27"/>
  <c r="AZ129" i="27" s="1"/>
  <c r="BN533" i="27"/>
  <c r="BB129" i="27"/>
  <c r="BC129" i="27" s="1"/>
  <c r="O129" i="27"/>
  <c r="BQ533" i="27"/>
  <c r="BA533" i="27"/>
  <c r="BI533" i="27"/>
  <c r="AP533" i="27"/>
  <c r="AR533" i="27" s="1"/>
  <c r="BB533" i="27"/>
  <c r="BC533" i="27" s="1"/>
  <c r="AX533" i="27"/>
  <c r="O533" i="27"/>
  <c r="K491" i="27" l="1"/>
  <c r="BO491" i="27" s="1"/>
  <c r="L491" i="27"/>
  <c r="M491" i="27"/>
  <c r="N491" i="27"/>
  <c r="P491" i="27"/>
  <c r="Q491" i="27" s="1"/>
  <c r="AK491" i="27"/>
  <c r="AN491" i="27"/>
  <c r="AO491" i="27"/>
  <c r="AQ491" i="27" s="1"/>
  <c r="AT491" i="27"/>
  <c r="AV491" i="27" s="1"/>
  <c r="AU491" i="27"/>
  <c r="AW491" i="27"/>
  <c r="AX491" i="27" s="1"/>
  <c r="BF491" i="27"/>
  <c r="BG491" i="27"/>
  <c r="BJ491" i="27"/>
  <c r="BK491" i="27"/>
  <c r="BU491" i="27"/>
  <c r="K126" i="27"/>
  <c r="BP126" i="27" s="1"/>
  <c r="L126" i="27"/>
  <c r="M126" i="27"/>
  <c r="N126" i="27"/>
  <c r="P126" i="27"/>
  <c r="Q126" i="27" s="1"/>
  <c r="AK126" i="27"/>
  <c r="AN126" i="27"/>
  <c r="AO126" i="27"/>
  <c r="AQ126" i="27" s="1"/>
  <c r="AT126" i="27"/>
  <c r="AV126" i="27" s="1"/>
  <c r="AU126" i="27"/>
  <c r="AW126" i="27"/>
  <c r="AX126" i="27" s="1"/>
  <c r="BF126" i="27"/>
  <c r="BG126" i="27"/>
  <c r="BJ126" i="27"/>
  <c r="BK126" i="27"/>
  <c r="BU126" i="27"/>
  <c r="K131" i="27"/>
  <c r="BP131" i="27" s="1"/>
  <c r="L131" i="27"/>
  <c r="M131" i="27"/>
  <c r="N131" i="27"/>
  <c r="P131" i="27"/>
  <c r="Q131" i="27" s="1"/>
  <c r="AK131" i="27"/>
  <c r="AN131" i="27"/>
  <c r="AO131" i="27"/>
  <c r="AQ131" i="27" s="1"/>
  <c r="AT131" i="27"/>
  <c r="AV131" i="27" s="1"/>
  <c r="AU131" i="27"/>
  <c r="AW131" i="27"/>
  <c r="AX131" i="27" s="1"/>
  <c r="BF131" i="27"/>
  <c r="BG131" i="27"/>
  <c r="BJ131" i="27"/>
  <c r="BK131" i="27"/>
  <c r="BU131" i="27"/>
  <c r="A126" i="27" l="1"/>
  <c r="A131" i="27"/>
  <c r="A491" i="27"/>
  <c r="BP491" i="27"/>
  <c r="BN491" i="27"/>
  <c r="BS491" i="27"/>
  <c r="BA491" i="27"/>
  <c r="BQ491" i="27"/>
  <c r="BI491" i="27"/>
  <c r="AP491" i="27"/>
  <c r="AR491" i="27" s="1"/>
  <c r="AY491" i="27"/>
  <c r="AZ491" i="27" s="1"/>
  <c r="BB491" i="27"/>
  <c r="BC491" i="27" s="1"/>
  <c r="O491" i="27"/>
  <c r="BI126" i="27"/>
  <c r="BS126" i="27"/>
  <c r="BN126" i="27"/>
  <c r="BQ126" i="27"/>
  <c r="BO126" i="27"/>
  <c r="BA126" i="27"/>
  <c r="AP126" i="27"/>
  <c r="AR126" i="27" s="1"/>
  <c r="AY126" i="27"/>
  <c r="AZ126" i="27" s="1"/>
  <c r="BO131" i="27"/>
  <c r="BB126" i="27"/>
  <c r="BC126" i="27" s="1"/>
  <c r="O126" i="27"/>
  <c r="BS131" i="27"/>
  <c r="BN131" i="27"/>
  <c r="BQ131" i="27"/>
  <c r="BI131" i="27"/>
  <c r="AP131" i="27"/>
  <c r="AR131" i="27" s="1"/>
  <c r="O131" i="27"/>
  <c r="AY131" i="27"/>
  <c r="AZ131" i="27" s="1"/>
  <c r="BB131" i="27"/>
  <c r="BC131" i="27" s="1"/>
  <c r="BA131" i="27"/>
  <c r="K179" i="27"/>
  <c r="BN179" i="27" s="1"/>
  <c r="L179" i="27"/>
  <c r="M179" i="27"/>
  <c r="N179" i="27"/>
  <c r="P179" i="27"/>
  <c r="Q179" i="27" s="1"/>
  <c r="AK179" i="27"/>
  <c r="AN179" i="27"/>
  <c r="AO179" i="27"/>
  <c r="AQ179" i="27" s="1"/>
  <c r="AT179" i="27"/>
  <c r="AV179" i="27" s="1"/>
  <c r="AU179" i="27"/>
  <c r="AW179" i="27"/>
  <c r="AY179" i="27" s="1"/>
  <c r="AZ179" i="27" s="1"/>
  <c r="BF179" i="27"/>
  <c r="BG179" i="27"/>
  <c r="BJ179" i="27"/>
  <c r="BK179" i="27"/>
  <c r="BU179" i="27"/>
  <c r="A179" i="27" l="1"/>
  <c r="BQ179" i="27"/>
  <c r="BP179" i="27"/>
  <c r="BO179" i="27"/>
  <c r="BS179" i="27"/>
  <c r="BA179" i="27"/>
  <c r="BI179" i="27"/>
  <c r="AP179" i="27"/>
  <c r="AR179" i="27" s="1"/>
  <c r="BB179" i="27"/>
  <c r="BC179" i="27" s="1"/>
  <c r="AX179" i="27"/>
  <c r="O179" i="27"/>
  <c r="K189" i="27" l="1"/>
  <c r="BO189" i="27" s="1"/>
  <c r="L189" i="27"/>
  <c r="M189" i="27"/>
  <c r="N189" i="27"/>
  <c r="A189" i="27" s="1"/>
  <c r="P189" i="27"/>
  <c r="Q189" i="27" s="1"/>
  <c r="AK189" i="27"/>
  <c r="AN189" i="27"/>
  <c r="AO189" i="27"/>
  <c r="BA189" i="27" s="1"/>
  <c r="AT189" i="27"/>
  <c r="AV189" i="27" s="1"/>
  <c r="AU189" i="27"/>
  <c r="AW189" i="27"/>
  <c r="AX189" i="27" s="1"/>
  <c r="BF189" i="27"/>
  <c r="BG189" i="27"/>
  <c r="BJ189" i="27"/>
  <c r="BK189" i="27"/>
  <c r="BU189" i="27"/>
  <c r="K151" i="27"/>
  <c r="BQ151" i="27" s="1"/>
  <c r="L151" i="27"/>
  <c r="M151" i="27"/>
  <c r="N151" i="27"/>
  <c r="A151" i="27" s="1"/>
  <c r="P151" i="27"/>
  <c r="Q151" i="27" s="1"/>
  <c r="AK151" i="27"/>
  <c r="AN151" i="27"/>
  <c r="AO151" i="27"/>
  <c r="AP151" i="27" s="1"/>
  <c r="AR151" i="27" s="1"/>
  <c r="AT151" i="27"/>
  <c r="AV151" i="27" s="1"/>
  <c r="AU151" i="27"/>
  <c r="AW151" i="27"/>
  <c r="BF151" i="27"/>
  <c r="BG151" i="27"/>
  <c r="BJ151" i="27"/>
  <c r="BK151" i="27"/>
  <c r="BU151" i="27"/>
  <c r="K328" i="27"/>
  <c r="BN328" i="27" s="1"/>
  <c r="L328" i="27"/>
  <c r="M328" i="27"/>
  <c r="N328" i="27"/>
  <c r="A328" i="27" s="1"/>
  <c r="P328" i="27"/>
  <c r="Q328" i="27" s="1"/>
  <c r="AK328" i="27"/>
  <c r="AN328" i="27"/>
  <c r="AO328" i="27"/>
  <c r="BA328" i="27" s="1"/>
  <c r="AT328" i="27"/>
  <c r="AV328" i="27" s="1"/>
  <c r="AU328" i="27"/>
  <c r="AW328" i="27"/>
  <c r="AX328" i="27" s="1"/>
  <c r="BF328" i="27"/>
  <c r="BG328" i="27"/>
  <c r="BJ328" i="27"/>
  <c r="BK328" i="27"/>
  <c r="BU328" i="27"/>
  <c r="K429" i="27"/>
  <c r="BS429" i="27" s="1"/>
  <c r="L429" i="27"/>
  <c r="M429" i="27"/>
  <c r="N429" i="27"/>
  <c r="A429" i="27" s="1"/>
  <c r="P429" i="27"/>
  <c r="Q429" i="27" s="1"/>
  <c r="AK429" i="27"/>
  <c r="AN429" i="27"/>
  <c r="AO429" i="27"/>
  <c r="BA429" i="27" s="1"/>
  <c r="AT429" i="27"/>
  <c r="AV429" i="27" s="1"/>
  <c r="AU429" i="27"/>
  <c r="AW429" i="27"/>
  <c r="AX429" i="27" s="1"/>
  <c r="BF429" i="27"/>
  <c r="BG429" i="27"/>
  <c r="BJ429" i="27"/>
  <c r="BK429" i="27"/>
  <c r="BU429" i="27"/>
  <c r="K535" i="27"/>
  <c r="BN535" i="27" s="1"/>
  <c r="L535" i="27"/>
  <c r="M535" i="27"/>
  <c r="N535" i="27"/>
  <c r="A535" i="27" s="1"/>
  <c r="P535" i="27"/>
  <c r="Q535" i="27" s="1"/>
  <c r="AK535" i="27"/>
  <c r="AN535" i="27"/>
  <c r="AO535" i="27"/>
  <c r="AP535" i="27" s="1"/>
  <c r="AR535" i="27" s="1"/>
  <c r="AT535" i="27"/>
  <c r="AV535" i="27" s="1"/>
  <c r="AU535" i="27"/>
  <c r="AW535" i="27"/>
  <c r="BF535" i="27"/>
  <c r="BG535" i="27"/>
  <c r="BJ535" i="27"/>
  <c r="BK535" i="27"/>
  <c r="BU535" i="27"/>
  <c r="K506" i="27"/>
  <c r="BN506" i="27" s="1"/>
  <c r="L506" i="27"/>
  <c r="M506" i="27"/>
  <c r="N506" i="27"/>
  <c r="A506" i="27" s="1"/>
  <c r="P506" i="27"/>
  <c r="Q506" i="27" s="1"/>
  <c r="AK506" i="27"/>
  <c r="AN506" i="27"/>
  <c r="AO506" i="27"/>
  <c r="AQ506" i="27" s="1"/>
  <c r="AT506" i="27"/>
  <c r="AV506" i="27" s="1"/>
  <c r="AU506" i="27"/>
  <c r="AW506" i="27"/>
  <c r="AX506" i="27" s="1"/>
  <c r="BF506" i="27"/>
  <c r="BG506" i="27"/>
  <c r="BJ506" i="27"/>
  <c r="BK506" i="27"/>
  <c r="BU506" i="27"/>
  <c r="K433" i="27"/>
  <c r="BN433" i="27" s="1"/>
  <c r="L433" i="27"/>
  <c r="M433" i="27"/>
  <c r="N433" i="27"/>
  <c r="A433" i="27" s="1"/>
  <c r="P433" i="27"/>
  <c r="Q433" i="27" s="1"/>
  <c r="AK433" i="27"/>
  <c r="AN433" i="27"/>
  <c r="AO433" i="27"/>
  <c r="BA433" i="27" s="1"/>
  <c r="AT433" i="27"/>
  <c r="AV433" i="27" s="1"/>
  <c r="AU433" i="27"/>
  <c r="AW433" i="27"/>
  <c r="AX433" i="27" s="1"/>
  <c r="BF433" i="27"/>
  <c r="BG433" i="27"/>
  <c r="BJ433" i="27"/>
  <c r="BK433" i="27"/>
  <c r="BU433" i="27"/>
  <c r="K571" i="27"/>
  <c r="BS571" i="27" s="1"/>
  <c r="K572" i="27"/>
  <c r="BO572" i="27" s="1"/>
  <c r="L571" i="27"/>
  <c r="L572" i="27"/>
  <c r="M571" i="27"/>
  <c r="M572" i="27"/>
  <c r="N571" i="27"/>
  <c r="N572" i="27"/>
  <c r="P571" i="27"/>
  <c r="Q571" i="27" s="1"/>
  <c r="P572" i="27"/>
  <c r="Q572" i="27" s="1"/>
  <c r="AK571" i="27"/>
  <c r="AK572" i="27"/>
  <c r="AN571" i="27"/>
  <c r="AN572" i="27"/>
  <c r="AO571" i="27"/>
  <c r="AP571" i="27" s="1"/>
  <c r="AR571" i="27" s="1"/>
  <c r="AO572" i="27"/>
  <c r="AQ572" i="27" s="1"/>
  <c r="AT571" i="27"/>
  <c r="AV571" i="27" s="1"/>
  <c r="AT572" i="27"/>
  <c r="AV572" i="27" s="1"/>
  <c r="AU571" i="27"/>
  <c r="AU572" i="27"/>
  <c r="AW571" i="27"/>
  <c r="AX571" i="27" s="1"/>
  <c r="AW572" i="27"/>
  <c r="AX572" i="27" s="1"/>
  <c r="BF571" i="27"/>
  <c r="BF572" i="27"/>
  <c r="BG571" i="27"/>
  <c r="BG572" i="27"/>
  <c r="BJ571" i="27"/>
  <c r="BJ572" i="27"/>
  <c r="BK571" i="27"/>
  <c r="BK572" i="27"/>
  <c r="BU571" i="27"/>
  <c r="BU572" i="27"/>
  <c r="A572" i="27" l="1"/>
  <c r="A571" i="27"/>
  <c r="BO151" i="27"/>
  <c r="BB151" i="27"/>
  <c r="BC151" i="27" s="1"/>
  <c r="BN189" i="27"/>
  <c r="BO429" i="27"/>
  <c r="BO328" i="27"/>
  <c r="BQ328" i="27"/>
  <c r="BP328" i="27"/>
  <c r="BN151" i="27"/>
  <c r="AP328" i="27"/>
  <c r="AR328" i="27" s="1"/>
  <c r="BQ189" i="27"/>
  <c r="BP189" i="27"/>
  <c r="BA151" i="27"/>
  <c r="BS189" i="27"/>
  <c r="BQ429" i="27"/>
  <c r="BN429" i="27"/>
  <c r="AQ151" i="27"/>
  <c r="BP429" i="27"/>
  <c r="AQ189" i="27"/>
  <c r="AP189" i="27"/>
  <c r="AR189" i="27" s="1"/>
  <c r="BI189" i="27"/>
  <c r="BP151" i="27"/>
  <c r="BB189" i="27"/>
  <c r="BC189" i="27" s="1"/>
  <c r="O189" i="27"/>
  <c r="AY189" i="27"/>
  <c r="AZ189" i="27" s="1"/>
  <c r="BP535" i="27"/>
  <c r="BS151" i="27"/>
  <c r="AY151" i="27"/>
  <c r="AZ151" i="27" s="1"/>
  <c r="AX151" i="27"/>
  <c r="AQ328" i="27"/>
  <c r="BI151" i="27"/>
  <c r="BS328" i="27"/>
  <c r="O151" i="27"/>
  <c r="BS535" i="27"/>
  <c r="AQ429" i="27"/>
  <c r="BQ535" i="27"/>
  <c r="AP429" i="27"/>
  <c r="AR429" i="27" s="1"/>
  <c r="BI328" i="27"/>
  <c r="BO535" i="27"/>
  <c r="BB328" i="27"/>
  <c r="BC328" i="27" s="1"/>
  <c r="O328" i="27"/>
  <c r="BI429" i="27"/>
  <c r="AY328" i="27"/>
  <c r="AZ328" i="27" s="1"/>
  <c r="BB429" i="27"/>
  <c r="BC429" i="27" s="1"/>
  <c r="O429" i="27"/>
  <c r="AY429" i="27"/>
  <c r="AZ429" i="27" s="1"/>
  <c r="AP506" i="27"/>
  <c r="AR506" i="27" s="1"/>
  <c r="BB535" i="27"/>
  <c r="BC535" i="27" s="1"/>
  <c r="BA535" i="27"/>
  <c r="AQ535" i="27"/>
  <c r="BA506" i="27"/>
  <c r="BS433" i="27"/>
  <c r="BI535" i="27"/>
  <c r="BQ506" i="27"/>
  <c r="AY535" i="27"/>
  <c r="AZ535" i="27" s="1"/>
  <c r="AX535" i="27"/>
  <c r="BP433" i="27"/>
  <c r="BS506" i="27"/>
  <c r="BP506" i="27"/>
  <c r="BQ433" i="27"/>
  <c r="BO433" i="27"/>
  <c r="BO506" i="27"/>
  <c r="O535" i="27"/>
  <c r="BI506" i="27"/>
  <c r="BS572" i="27"/>
  <c r="BB506" i="27"/>
  <c r="BC506" i="27" s="1"/>
  <c r="O506" i="27"/>
  <c r="AY506" i="27"/>
  <c r="AZ506" i="27" s="1"/>
  <c r="BI433" i="27"/>
  <c r="AQ433" i="27"/>
  <c r="AP433" i="27"/>
  <c r="AR433" i="27" s="1"/>
  <c r="O433" i="27"/>
  <c r="BB433" i="27"/>
  <c r="BC433" i="27" s="1"/>
  <c r="AY433" i="27"/>
  <c r="AZ433" i="27" s="1"/>
  <c r="BN571" i="27"/>
  <c r="BN572" i="27"/>
  <c r="BQ571" i="27"/>
  <c r="BP571" i="27"/>
  <c r="BO571" i="27"/>
  <c r="BP572" i="27"/>
  <c r="BI571" i="27"/>
  <c r="BI572" i="27"/>
  <c r="BA571" i="27"/>
  <c r="O572" i="27"/>
  <c r="BA572" i="27"/>
  <c r="AP572" i="27"/>
  <c r="AR572" i="27" s="1"/>
  <c r="AQ571" i="27"/>
  <c r="O571" i="27"/>
  <c r="AY572" i="27"/>
  <c r="AZ572" i="27" s="1"/>
  <c r="AY571" i="27"/>
  <c r="AZ571" i="27" s="1"/>
  <c r="BQ572" i="27"/>
  <c r="BB572" i="27"/>
  <c r="BC572" i="27" s="1"/>
  <c r="BB571" i="27"/>
  <c r="BC571" i="27" s="1"/>
  <c r="K510" i="27" l="1"/>
  <c r="BQ510" i="27" s="1"/>
  <c r="L510" i="27"/>
  <c r="M510" i="27"/>
  <c r="N510" i="27"/>
  <c r="P510" i="27"/>
  <c r="Q510" i="27" s="1"/>
  <c r="AK510" i="27"/>
  <c r="AN510" i="27"/>
  <c r="AO510" i="27"/>
  <c r="AQ510" i="27" s="1"/>
  <c r="AT510" i="27"/>
  <c r="AV510" i="27" s="1"/>
  <c r="AU510" i="27"/>
  <c r="AW510" i="27"/>
  <c r="AX510" i="27" s="1"/>
  <c r="BF510" i="27"/>
  <c r="BG510" i="27"/>
  <c r="BJ510" i="27"/>
  <c r="BK510" i="27"/>
  <c r="BU510" i="27"/>
  <c r="K16" i="27"/>
  <c r="BN16" i="27" s="1"/>
  <c r="L16" i="27"/>
  <c r="M16" i="27"/>
  <c r="N16" i="27"/>
  <c r="P16" i="27"/>
  <c r="Q16" i="27" s="1"/>
  <c r="AK16" i="27"/>
  <c r="AN16" i="27"/>
  <c r="AO16" i="27"/>
  <c r="AQ16" i="27" s="1"/>
  <c r="AT16" i="27"/>
  <c r="AV16" i="27" s="1"/>
  <c r="AU16" i="27"/>
  <c r="AW16" i="27"/>
  <c r="AX16" i="27" s="1"/>
  <c r="BF16" i="27"/>
  <c r="BG16" i="27"/>
  <c r="BJ16" i="27"/>
  <c r="BK16" i="27"/>
  <c r="BU16" i="27"/>
  <c r="A16" i="27" l="1"/>
  <c r="A510" i="27"/>
  <c r="BO510" i="27"/>
  <c r="BN510" i="27"/>
  <c r="BS510" i="27"/>
  <c r="BP510" i="27"/>
  <c r="AP510" i="27"/>
  <c r="AR510" i="27" s="1"/>
  <c r="BI510" i="27"/>
  <c r="O510" i="27"/>
  <c r="AY510" i="27"/>
  <c r="AZ510" i="27" s="1"/>
  <c r="BB510" i="27"/>
  <c r="BC510" i="27" s="1"/>
  <c r="BA510" i="27"/>
  <c r="BA16" i="27"/>
  <c r="BO16" i="27"/>
  <c r="BS16" i="27"/>
  <c r="BQ16" i="27"/>
  <c r="BP16" i="27"/>
  <c r="BI16" i="27"/>
  <c r="AY16" i="27"/>
  <c r="AZ16" i="27" s="1"/>
  <c r="AP16" i="27"/>
  <c r="AR16" i="27" s="1"/>
  <c r="BB16" i="27"/>
  <c r="BC16" i="27" s="1"/>
  <c r="O16" i="27"/>
  <c r="K528" i="27" l="1"/>
  <c r="BQ528" i="27" s="1"/>
  <c r="L528" i="27"/>
  <c r="M528" i="27"/>
  <c r="N528" i="27"/>
  <c r="A528" i="27" s="1"/>
  <c r="P528" i="27"/>
  <c r="Q528" i="27" s="1"/>
  <c r="AK528" i="27"/>
  <c r="AN528" i="27"/>
  <c r="AO528" i="27"/>
  <c r="BA528" i="27" s="1"/>
  <c r="AT528" i="27"/>
  <c r="AV528" i="27" s="1"/>
  <c r="AU528" i="27"/>
  <c r="AW528" i="27"/>
  <c r="AX528" i="27" s="1"/>
  <c r="BF528" i="27"/>
  <c r="BG528" i="27"/>
  <c r="BJ528" i="27"/>
  <c r="BK528" i="27"/>
  <c r="BU528" i="27"/>
  <c r="K355" i="27"/>
  <c r="BO355" i="27" s="1"/>
  <c r="L355" i="27"/>
  <c r="M355" i="27"/>
  <c r="N355" i="27"/>
  <c r="P355" i="27"/>
  <c r="Q355" i="27" s="1"/>
  <c r="AK355" i="27"/>
  <c r="AN355" i="27"/>
  <c r="AO355" i="27"/>
  <c r="BA355" i="27" s="1"/>
  <c r="AT355" i="27"/>
  <c r="AV355" i="27" s="1"/>
  <c r="AU355" i="27"/>
  <c r="AW355" i="27"/>
  <c r="AY355" i="27" s="1"/>
  <c r="AZ355" i="27" s="1"/>
  <c r="BF355" i="27"/>
  <c r="BG355" i="27"/>
  <c r="BJ355" i="27"/>
  <c r="BK355" i="27"/>
  <c r="BU355" i="27"/>
  <c r="A355" i="27" l="1"/>
  <c r="BO528" i="27"/>
  <c r="BQ355" i="27"/>
  <c r="BN528" i="27"/>
  <c r="BS528" i="27"/>
  <c r="BP528" i="27"/>
  <c r="BI528" i="27"/>
  <c r="BN355" i="27"/>
  <c r="AQ528" i="27"/>
  <c r="BS355" i="27"/>
  <c r="AP528" i="27"/>
  <c r="AR528" i="27" s="1"/>
  <c r="BB528" i="27"/>
  <c r="BC528" i="27" s="1"/>
  <c r="O528" i="27"/>
  <c r="AY528" i="27"/>
  <c r="AZ528" i="27" s="1"/>
  <c r="BP355" i="27"/>
  <c r="AQ355" i="27"/>
  <c r="AP355" i="27"/>
  <c r="AR355" i="27" s="1"/>
  <c r="BI355" i="27"/>
  <c r="AX355" i="27"/>
  <c r="BB355" i="27"/>
  <c r="BC355" i="27" s="1"/>
  <c r="O355" i="27"/>
  <c r="K207" i="27" l="1"/>
  <c r="BS207" i="27" s="1"/>
  <c r="L207" i="27"/>
  <c r="M207" i="27"/>
  <c r="N207" i="27"/>
  <c r="A207" i="27" s="1"/>
  <c r="P207" i="27"/>
  <c r="Q207" i="27" s="1"/>
  <c r="AK207" i="27"/>
  <c r="AN207" i="27"/>
  <c r="AO207" i="27"/>
  <c r="AP207" i="27" s="1"/>
  <c r="AR207" i="27" s="1"/>
  <c r="AT207" i="27"/>
  <c r="AV207" i="27" s="1"/>
  <c r="AU207" i="27"/>
  <c r="AW207" i="27"/>
  <c r="AX207" i="27" s="1"/>
  <c r="BF207" i="27"/>
  <c r="BG207" i="27"/>
  <c r="BJ207" i="27"/>
  <c r="BK207" i="27"/>
  <c r="BU207" i="27"/>
  <c r="K575" i="27"/>
  <c r="BQ575" i="27" s="1"/>
  <c r="L575" i="27"/>
  <c r="M575" i="27"/>
  <c r="N575" i="27"/>
  <c r="A575" i="27" s="1"/>
  <c r="P575" i="27"/>
  <c r="Q575" i="27" s="1"/>
  <c r="AK575" i="27"/>
  <c r="AN575" i="27"/>
  <c r="AO575" i="27"/>
  <c r="BA575" i="27" s="1"/>
  <c r="AT575" i="27"/>
  <c r="AV575" i="27" s="1"/>
  <c r="AU575" i="27"/>
  <c r="AW575" i="27"/>
  <c r="AX575" i="27" s="1"/>
  <c r="BF575" i="27"/>
  <c r="BG575" i="27"/>
  <c r="BJ575" i="27"/>
  <c r="BK575" i="27"/>
  <c r="BU575" i="27"/>
  <c r="K254" i="27"/>
  <c r="BP254" i="27" s="1"/>
  <c r="L254" i="27"/>
  <c r="M254" i="27"/>
  <c r="N254" i="27"/>
  <c r="P254" i="27"/>
  <c r="Q254" i="27" s="1"/>
  <c r="AK254" i="27"/>
  <c r="AN254" i="27"/>
  <c r="AO254" i="27"/>
  <c r="AQ254" i="27" s="1"/>
  <c r="AT254" i="27"/>
  <c r="AV254" i="27" s="1"/>
  <c r="AU254" i="27"/>
  <c r="AW254" i="27"/>
  <c r="AX254" i="27" s="1"/>
  <c r="BF254" i="27"/>
  <c r="BG254" i="27"/>
  <c r="BJ254" i="27"/>
  <c r="BK254" i="27"/>
  <c r="BU254" i="27"/>
  <c r="BP207" i="27" l="1"/>
  <c r="BA207" i="27"/>
  <c r="BQ207" i="27"/>
  <c r="BN207" i="27"/>
  <c r="BO207" i="27"/>
  <c r="BN575" i="27"/>
  <c r="AQ575" i="27"/>
  <c r="AP575" i="27"/>
  <c r="AR575" i="27" s="1"/>
  <c r="BP575" i="27"/>
  <c r="BI207" i="27"/>
  <c r="BO575" i="27"/>
  <c r="AQ207" i="27"/>
  <c r="BS575" i="27"/>
  <c r="BB207" i="27"/>
  <c r="BC207" i="27" s="1"/>
  <c r="O207" i="27"/>
  <c r="AY207" i="27"/>
  <c r="AZ207" i="27" s="1"/>
  <c r="BI575" i="27"/>
  <c r="BB575" i="27"/>
  <c r="BC575" i="27" s="1"/>
  <c r="O575" i="27"/>
  <c r="AY575" i="27"/>
  <c r="AZ575" i="27" s="1"/>
  <c r="A254" i="27"/>
  <c r="BO254" i="27"/>
  <c r="BS254" i="27"/>
  <c r="BN254" i="27"/>
  <c r="BQ254" i="27"/>
  <c r="BI254" i="27"/>
  <c r="BA254" i="27"/>
  <c r="AP254" i="27"/>
  <c r="AR254" i="27" s="1"/>
  <c r="AY254" i="27"/>
  <c r="AZ254" i="27" s="1"/>
  <c r="BB254" i="27"/>
  <c r="BC254" i="27" s="1"/>
  <c r="O254" i="27"/>
  <c r="K81" i="27"/>
  <c r="BO81" i="27" s="1"/>
  <c r="L81" i="27"/>
  <c r="M81" i="27"/>
  <c r="N81" i="27"/>
  <c r="A81" i="27" s="1"/>
  <c r="P81" i="27"/>
  <c r="Q81" i="27" s="1"/>
  <c r="AK81" i="27"/>
  <c r="AN81" i="27"/>
  <c r="AO81" i="27"/>
  <c r="BA81" i="27" s="1"/>
  <c r="AT81" i="27"/>
  <c r="AV81" i="27" s="1"/>
  <c r="AU81" i="27"/>
  <c r="AW81" i="27"/>
  <c r="AX81" i="27" s="1"/>
  <c r="BF81" i="27"/>
  <c r="BG81" i="27"/>
  <c r="BJ81" i="27"/>
  <c r="BK81" i="27"/>
  <c r="BU81" i="27"/>
  <c r="K405" i="27"/>
  <c r="BQ405" i="27" s="1"/>
  <c r="L405" i="27"/>
  <c r="M405" i="27"/>
  <c r="N405" i="27"/>
  <c r="A405" i="27" s="1"/>
  <c r="P405" i="27"/>
  <c r="Q405" i="27" s="1"/>
  <c r="AK405" i="27"/>
  <c r="AN405" i="27"/>
  <c r="AO405" i="27"/>
  <c r="BA405" i="27" s="1"/>
  <c r="AT405" i="27"/>
  <c r="AV405" i="27" s="1"/>
  <c r="AU405" i="27"/>
  <c r="AW405" i="27"/>
  <c r="AX405" i="27" s="1"/>
  <c r="BF405" i="27"/>
  <c r="BG405" i="27"/>
  <c r="BJ405" i="27"/>
  <c r="BK405" i="27"/>
  <c r="BU405" i="27"/>
  <c r="K602" i="27"/>
  <c r="BN602" i="27" s="1"/>
  <c r="L602" i="27"/>
  <c r="M602" i="27"/>
  <c r="N602" i="27"/>
  <c r="A602" i="27" s="1"/>
  <c r="P602" i="27"/>
  <c r="Q602" i="27" s="1"/>
  <c r="AK602" i="27"/>
  <c r="AN602" i="27"/>
  <c r="AO602" i="27"/>
  <c r="BA602" i="27" s="1"/>
  <c r="AT602" i="27"/>
  <c r="AV602" i="27" s="1"/>
  <c r="AU602" i="27"/>
  <c r="AW602" i="27"/>
  <c r="AX602" i="27" s="1"/>
  <c r="BF602" i="27"/>
  <c r="BG602" i="27"/>
  <c r="BJ602" i="27"/>
  <c r="BK602" i="27"/>
  <c r="BU602" i="27"/>
  <c r="K611" i="27"/>
  <c r="BP611" i="27" s="1"/>
  <c r="L611" i="27"/>
  <c r="M611" i="27"/>
  <c r="N611" i="27"/>
  <c r="A611" i="27" s="1"/>
  <c r="P611" i="27"/>
  <c r="Q611" i="27" s="1"/>
  <c r="AK611" i="27"/>
  <c r="AN611" i="27"/>
  <c r="AO611" i="27"/>
  <c r="BA611" i="27" s="1"/>
  <c r="AT611" i="27"/>
  <c r="AV611" i="27" s="1"/>
  <c r="AU611" i="27"/>
  <c r="AW611" i="27"/>
  <c r="AX611" i="27" s="1"/>
  <c r="BF611" i="27"/>
  <c r="BG611" i="27"/>
  <c r="BJ611" i="27"/>
  <c r="BK611" i="27"/>
  <c r="BU611" i="27"/>
  <c r="K23" i="27"/>
  <c r="BP23" i="27" s="1"/>
  <c r="L23" i="27"/>
  <c r="M23" i="27"/>
  <c r="N23" i="27"/>
  <c r="A23" i="27" s="1"/>
  <c r="P23" i="27"/>
  <c r="Q23" i="27" s="1"/>
  <c r="AK23" i="27"/>
  <c r="AN23" i="27"/>
  <c r="AO23" i="27"/>
  <c r="BA23" i="27" s="1"/>
  <c r="AT23" i="27"/>
  <c r="AV23" i="27" s="1"/>
  <c r="AU23" i="27"/>
  <c r="AW23" i="27"/>
  <c r="AX23" i="27" s="1"/>
  <c r="BF23" i="27"/>
  <c r="BG23" i="27"/>
  <c r="BJ23" i="27"/>
  <c r="BK23" i="27"/>
  <c r="BU23" i="27"/>
  <c r="K159" i="27"/>
  <c r="BQ159" i="27" s="1"/>
  <c r="L159" i="27"/>
  <c r="M159" i="27"/>
  <c r="N159" i="27"/>
  <c r="A159" i="27" s="1"/>
  <c r="P159" i="27"/>
  <c r="Q159" i="27" s="1"/>
  <c r="AK159" i="27"/>
  <c r="AN159" i="27"/>
  <c r="AO159" i="27"/>
  <c r="BA159" i="27" s="1"/>
  <c r="AT159" i="27"/>
  <c r="AV159" i="27" s="1"/>
  <c r="AU159" i="27"/>
  <c r="AW159" i="27"/>
  <c r="AX159" i="27" s="1"/>
  <c r="BF159" i="27"/>
  <c r="BG159" i="27"/>
  <c r="BJ159" i="27"/>
  <c r="BK159" i="27"/>
  <c r="BU159" i="27"/>
  <c r="K154" i="27"/>
  <c r="BQ154" i="27" s="1"/>
  <c r="L154" i="27"/>
  <c r="M154" i="27"/>
  <c r="N154" i="27"/>
  <c r="A154" i="27" s="1"/>
  <c r="P154" i="27"/>
  <c r="Q154" i="27" s="1"/>
  <c r="AK154" i="27"/>
  <c r="AN154" i="27"/>
  <c r="AO154" i="27"/>
  <c r="BA154" i="27" s="1"/>
  <c r="AT154" i="27"/>
  <c r="AV154" i="27" s="1"/>
  <c r="AU154" i="27"/>
  <c r="AW154" i="27"/>
  <c r="AX154" i="27" s="1"/>
  <c r="BF154" i="27"/>
  <c r="BG154" i="27"/>
  <c r="BJ154" i="27"/>
  <c r="BK154" i="27"/>
  <c r="BU154" i="27"/>
  <c r="K169" i="27"/>
  <c r="BQ169" i="27" s="1"/>
  <c r="L169" i="27"/>
  <c r="M169" i="27"/>
  <c r="N169" i="27"/>
  <c r="A169" i="27" s="1"/>
  <c r="P169" i="27"/>
  <c r="Q169" i="27" s="1"/>
  <c r="AK169" i="27"/>
  <c r="AN169" i="27"/>
  <c r="AO169" i="27"/>
  <c r="BA169" i="27" s="1"/>
  <c r="AT169" i="27"/>
  <c r="AV169" i="27" s="1"/>
  <c r="AU169" i="27"/>
  <c r="AW169" i="27"/>
  <c r="AX169" i="27" s="1"/>
  <c r="BF169" i="27"/>
  <c r="BG169" i="27"/>
  <c r="BJ169" i="27"/>
  <c r="BK169" i="27"/>
  <c r="BU169" i="27"/>
  <c r="K434" i="27"/>
  <c r="BO434" i="27" s="1"/>
  <c r="L434" i="27"/>
  <c r="M434" i="27"/>
  <c r="N434" i="27"/>
  <c r="A434" i="27" s="1"/>
  <c r="P434" i="27"/>
  <c r="Q434" i="27" s="1"/>
  <c r="AK434" i="27"/>
  <c r="AN434" i="27"/>
  <c r="AO434" i="27"/>
  <c r="BA434" i="27" s="1"/>
  <c r="AT434" i="27"/>
  <c r="AV434" i="27" s="1"/>
  <c r="AU434" i="27"/>
  <c r="AW434" i="27"/>
  <c r="AX434" i="27" s="1"/>
  <c r="BF434" i="27"/>
  <c r="BG434" i="27"/>
  <c r="BJ434" i="27"/>
  <c r="BK434" i="27"/>
  <c r="BU434" i="27"/>
  <c r="K415" i="27"/>
  <c r="BP415" i="27" s="1"/>
  <c r="L415" i="27"/>
  <c r="M415" i="27"/>
  <c r="N415" i="27"/>
  <c r="A415" i="27" s="1"/>
  <c r="P415" i="27"/>
  <c r="Q415" i="27" s="1"/>
  <c r="AK415" i="27"/>
  <c r="AN415" i="27"/>
  <c r="AO415" i="27"/>
  <c r="BA415" i="27" s="1"/>
  <c r="AT415" i="27"/>
  <c r="AV415" i="27" s="1"/>
  <c r="AU415" i="27"/>
  <c r="AW415" i="27"/>
  <c r="AX415" i="27" s="1"/>
  <c r="BF415" i="27"/>
  <c r="BG415" i="27"/>
  <c r="BJ415" i="27"/>
  <c r="BK415" i="27"/>
  <c r="BU415" i="27"/>
  <c r="K423" i="27"/>
  <c r="BO423" i="27" s="1"/>
  <c r="L423" i="27"/>
  <c r="M423" i="27"/>
  <c r="N423" i="27"/>
  <c r="A423" i="27" s="1"/>
  <c r="P423" i="27"/>
  <c r="Q423" i="27" s="1"/>
  <c r="AK423" i="27"/>
  <c r="AN423" i="27"/>
  <c r="AO423" i="27"/>
  <c r="BA423" i="27" s="1"/>
  <c r="AT423" i="27"/>
  <c r="AV423" i="27" s="1"/>
  <c r="AU423" i="27"/>
  <c r="AW423" i="27"/>
  <c r="BF423" i="27"/>
  <c r="BG423" i="27"/>
  <c r="BJ423" i="27"/>
  <c r="BK423" i="27"/>
  <c r="BU423" i="27"/>
  <c r="K197" i="27"/>
  <c r="BP197" i="27" s="1"/>
  <c r="L197" i="27"/>
  <c r="M197" i="27"/>
  <c r="N197" i="27"/>
  <c r="P197" i="27"/>
  <c r="Q197" i="27" s="1"/>
  <c r="AK197" i="27"/>
  <c r="AN197" i="27"/>
  <c r="AO197" i="27"/>
  <c r="AQ197" i="27" s="1"/>
  <c r="AT197" i="27"/>
  <c r="AV197" i="27" s="1"/>
  <c r="AU197" i="27"/>
  <c r="AW197" i="27"/>
  <c r="AX197" i="27" s="1"/>
  <c r="BF197" i="27"/>
  <c r="BG197" i="27"/>
  <c r="BJ197" i="27"/>
  <c r="BK197" i="27"/>
  <c r="BU197" i="27"/>
  <c r="K201" i="27"/>
  <c r="BQ201" i="27" s="1"/>
  <c r="L201" i="27"/>
  <c r="M201" i="27"/>
  <c r="N201" i="27"/>
  <c r="P201" i="27"/>
  <c r="Q201" i="27" s="1"/>
  <c r="AK201" i="27"/>
  <c r="AN201" i="27"/>
  <c r="AO201" i="27"/>
  <c r="AQ201" i="27" s="1"/>
  <c r="AT201" i="27"/>
  <c r="AV201" i="27" s="1"/>
  <c r="AU201" i="27"/>
  <c r="AW201" i="27"/>
  <c r="AY201" i="27" s="1"/>
  <c r="AZ201" i="27" s="1"/>
  <c r="BF201" i="27"/>
  <c r="BG201" i="27"/>
  <c r="BJ201" i="27"/>
  <c r="BK201" i="27"/>
  <c r="BU201" i="27"/>
  <c r="A201" i="27" l="1"/>
  <c r="A197" i="27"/>
  <c r="BN81" i="27"/>
  <c r="BO611" i="27"/>
  <c r="BI81" i="27"/>
  <c r="AQ611" i="27"/>
  <c r="BO602" i="27"/>
  <c r="BS81" i="27"/>
  <c r="BQ81" i="27"/>
  <c r="BP81" i="27"/>
  <c r="BN611" i="27"/>
  <c r="AQ405" i="27"/>
  <c r="AQ81" i="27"/>
  <c r="AP405" i="27"/>
  <c r="AR405" i="27" s="1"/>
  <c r="AP81" i="27"/>
  <c r="AR81" i="27" s="1"/>
  <c r="BS405" i="27"/>
  <c r="BP405" i="27"/>
  <c r="BO405" i="27"/>
  <c r="BB81" i="27"/>
  <c r="BC81" i="27" s="1"/>
  <c r="AP611" i="27"/>
  <c r="AR611" i="27" s="1"/>
  <c r="BN405" i="27"/>
  <c r="O81" i="27"/>
  <c r="AQ602" i="27"/>
  <c r="AY81" i="27"/>
  <c r="AZ81" i="27" s="1"/>
  <c r="AP602" i="27"/>
  <c r="AR602" i="27" s="1"/>
  <c r="BI405" i="27"/>
  <c r="BS611" i="27"/>
  <c r="BB405" i="27"/>
  <c r="BC405" i="27" s="1"/>
  <c r="O405" i="27"/>
  <c r="BI602" i="27"/>
  <c r="AY405" i="27"/>
  <c r="AZ405" i="27" s="1"/>
  <c r="BS602" i="27"/>
  <c r="BQ602" i="27"/>
  <c r="BP602" i="27"/>
  <c r="O602" i="27"/>
  <c r="BS23" i="27"/>
  <c r="BB602" i="27"/>
  <c r="BC602" i="27" s="1"/>
  <c r="AY602" i="27"/>
  <c r="AZ602" i="27" s="1"/>
  <c r="BQ611" i="27"/>
  <c r="BI611" i="27"/>
  <c r="BB611" i="27"/>
  <c r="BC611" i="27" s="1"/>
  <c r="O611" i="27"/>
  <c r="AY611" i="27"/>
  <c r="AZ611" i="27" s="1"/>
  <c r="BO23" i="27"/>
  <c r="BO159" i="27"/>
  <c r="BN159" i="27"/>
  <c r="BN23" i="27"/>
  <c r="BO154" i="27"/>
  <c r="BQ23" i="27"/>
  <c r="BN154" i="27"/>
  <c r="BP159" i="27"/>
  <c r="BS154" i="27"/>
  <c r="BO169" i="27"/>
  <c r="BP154" i="27"/>
  <c r="AP169" i="27"/>
  <c r="AR169" i="27" s="1"/>
  <c r="BQ415" i="27"/>
  <c r="O434" i="27"/>
  <c r="AP154" i="27"/>
  <c r="AR154" i="27" s="1"/>
  <c r="AQ23" i="27"/>
  <c r="AQ159" i="27"/>
  <c r="BP169" i="27"/>
  <c r="AP159" i="27"/>
  <c r="AR159" i="27" s="1"/>
  <c r="AP23" i="27"/>
  <c r="AR23" i="27" s="1"/>
  <c r="BI23" i="27"/>
  <c r="BN169" i="27"/>
  <c r="BN434" i="27"/>
  <c r="BO415" i="27"/>
  <c r="BQ434" i="27"/>
  <c r="BB23" i="27"/>
  <c r="BC23" i="27" s="1"/>
  <c r="O23" i="27"/>
  <c r="BS169" i="27"/>
  <c r="AY23" i="27"/>
  <c r="AZ23" i="27" s="1"/>
  <c r="AQ154" i="27"/>
  <c r="BS159" i="27"/>
  <c r="BI159" i="27"/>
  <c r="BB159" i="27"/>
  <c r="BC159" i="27" s="1"/>
  <c r="O159" i="27"/>
  <c r="BN415" i="27"/>
  <c r="AY159" i="27"/>
  <c r="AZ159" i="27" s="1"/>
  <c r="BS434" i="27"/>
  <c r="AQ169" i="27"/>
  <c r="BI154" i="27"/>
  <c r="AQ423" i="27"/>
  <c r="BP434" i="27"/>
  <c r="AP423" i="27"/>
  <c r="AR423" i="27" s="1"/>
  <c r="BB154" i="27"/>
  <c r="BC154" i="27" s="1"/>
  <c r="O154" i="27"/>
  <c r="BI169" i="27"/>
  <c r="AY154" i="27"/>
  <c r="AZ154" i="27" s="1"/>
  <c r="AQ434" i="27"/>
  <c r="AP434" i="27"/>
  <c r="AR434" i="27" s="1"/>
  <c r="BB169" i="27"/>
  <c r="BC169" i="27" s="1"/>
  <c r="AQ415" i="27"/>
  <c r="AP415" i="27"/>
  <c r="AR415" i="27" s="1"/>
  <c r="O169" i="27"/>
  <c r="AY169" i="27"/>
  <c r="AZ169" i="27" s="1"/>
  <c r="BS415" i="27"/>
  <c r="O415" i="27"/>
  <c r="BI434" i="27"/>
  <c r="AY434" i="27"/>
  <c r="AZ434" i="27" s="1"/>
  <c r="BI415" i="27"/>
  <c r="BN423" i="27"/>
  <c r="BB434" i="27"/>
  <c r="BC434" i="27" s="1"/>
  <c r="BS423" i="27"/>
  <c r="BQ423" i="27"/>
  <c r="BP423" i="27"/>
  <c r="BB415" i="27"/>
  <c r="BC415" i="27" s="1"/>
  <c r="AY415" i="27"/>
  <c r="AZ415" i="27" s="1"/>
  <c r="BB423" i="27"/>
  <c r="BC423" i="27" s="1"/>
  <c r="O423" i="27"/>
  <c r="BI423" i="27"/>
  <c r="AY423" i="27"/>
  <c r="AZ423" i="27" s="1"/>
  <c r="AX423" i="27"/>
  <c r="BO197" i="27"/>
  <c r="BS197" i="27"/>
  <c r="BN197" i="27"/>
  <c r="BQ197" i="27"/>
  <c r="BI197" i="27"/>
  <c r="BB197" i="27"/>
  <c r="BC197" i="27" s="1"/>
  <c r="AY197" i="27"/>
  <c r="AZ197" i="27" s="1"/>
  <c r="BP201" i="27"/>
  <c r="AP197" i="27"/>
  <c r="AR197" i="27" s="1"/>
  <c r="BO201" i="27"/>
  <c r="BA197" i="27"/>
  <c r="O197" i="27"/>
  <c r="BI201" i="27"/>
  <c r="BA201" i="27"/>
  <c r="AP201" i="27"/>
  <c r="AR201" i="27" s="1"/>
  <c r="BS201" i="27"/>
  <c r="BN201" i="27"/>
  <c r="BB201" i="27"/>
  <c r="BC201" i="27" s="1"/>
  <c r="AX201" i="27"/>
  <c r="O201" i="27"/>
  <c r="K577" i="27" l="1"/>
  <c r="BN577" i="27" s="1"/>
  <c r="L577" i="27"/>
  <c r="M577" i="27"/>
  <c r="N577" i="27"/>
  <c r="A577" i="27" s="1"/>
  <c r="P577" i="27"/>
  <c r="Q577" i="27" s="1"/>
  <c r="AK577" i="27"/>
  <c r="AN577" i="27"/>
  <c r="AO577" i="27"/>
  <c r="AP577" i="27" s="1"/>
  <c r="AR577" i="27" s="1"/>
  <c r="AT577" i="27"/>
  <c r="AV577" i="27" s="1"/>
  <c r="AU577" i="27"/>
  <c r="AW577" i="27"/>
  <c r="AX577" i="27" s="1"/>
  <c r="BF577" i="27"/>
  <c r="BG577" i="27"/>
  <c r="BJ577" i="27"/>
  <c r="BK577" i="27"/>
  <c r="BU577" i="27"/>
  <c r="K460" i="27"/>
  <c r="BO460" i="27" s="1"/>
  <c r="L460" i="27"/>
  <c r="M460" i="27"/>
  <c r="N460" i="27"/>
  <c r="A460" i="27" s="1"/>
  <c r="P460" i="27"/>
  <c r="Q460" i="27" s="1"/>
  <c r="AK460" i="27"/>
  <c r="AN460" i="27"/>
  <c r="AO460" i="27"/>
  <c r="BA460" i="27" s="1"/>
  <c r="AT460" i="27"/>
  <c r="AV460" i="27" s="1"/>
  <c r="AU460" i="27"/>
  <c r="AW460" i="27"/>
  <c r="AX460" i="27" s="1"/>
  <c r="BF460" i="27"/>
  <c r="BG460" i="27"/>
  <c r="BJ460" i="27"/>
  <c r="BK460" i="27"/>
  <c r="BU460" i="27"/>
  <c r="K83" i="27"/>
  <c r="BQ83" i="27" s="1"/>
  <c r="L83" i="27"/>
  <c r="M83" i="27"/>
  <c r="N83" i="27"/>
  <c r="A83" i="27" s="1"/>
  <c r="P83" i="27"/>
  <c r="Q83" i="27" s="1"/>
  <c r="AK83" i="27"/>
  <c r="AN83" i="27"/>
  <c r="AO83" i="27"/>
  <c r="BA83" i="27" s="1"/>
  <c r="AT83" i="27"/>
  <c r="AV83" i="27" s="1"/>
  <c r="AU83" i="27"/>
  <c r="AW83" i="27"/>
  <c r="AX83" i="27" s="1"/>
  <c r="BF83" i="27"/>
  <c r="BG83" i="27"/>
  <c r="BJ83" i="27"/>
  <c r="BK83" i="27"/>
  <c r="BU83" i="27"/>
  <c r="K608" i="27"/>
  <c r="BQ608" i="27" s="1"/>
  <c r="L608" i="27"/>
  <c r="M608" i="27"/>
  <c r="N608" i="27"/>
  <c r="A608" i="27" s="1"/>
  <c r="P608" i="27"/>
  <c r="Q608" i="27" s="1"/>
  <c r="AK608" i="27"/>
  <c r="AN608" i="27"/>
  <c r="AO608" i="27"/>
  <c r="BA608" i="27" s="1"/>
  <c r="AT608" i="27"/>
  <c r="AV608" i="27" s="1"/>
  <c r="AU608" i="27"/>
  <c r="AW608" i="27"/>
  <c r="AX608" i="27" s="1"/>
  <c r="BF608" i="27"/>
  <c r="BG608" i="27"/>
  <c r="BJ608" i="27"/>
  <c r="BK608" i="27"/>
  <c r="BU608" i="27"/>
  <c r="K69" i="27"/>
  <c r="BP69" i="27" s="1"/>
  <c r="L69" i="27"/>
  <c r="M69" i="27"/>
  <c r="N69" i="27"/>
  <c r="BI69" i="27" s="1"/>
  <c r="P69" i="27"/>
  <c r="Q69" i="27" s="1"/>
  <c r="AK69" i="27"/>
  <c r="AN69" i="27"/>
  <c r="AO69" i="27"/>
  <c r="AP69" i="27" s="1"/>
  <c r="AR69" i="27" s="1"/>
  <c r="AT69" i="27"/>
  <c r="AV69" i="27" s="1"/>
  <c r="AU69" i="27"/>
  <c r="AW69" i="27"/>
  <c r="AX69" i="27" s="1"/>
  <c r="BF69" i="27"/>
  <c r="BG69" i="27"/>
  <c r="BJ69" i="27"/>
  <c r="BK69" i="27"/>
  <c r="BU69" i="27"/>
  <c r="K444" i="27"/>
  <c r="BP444" i="27" s="1"/>
  <c r="L444" i="27"/>
  <c r="M444" i="27"/>
  <c r="N444" i="27"/>
  <c r="A444" i="27" s="1"/>
  <c r="P444" i="27"/>
  <c r="Q444" i="27" s="1"/>
  <c r="AK444" i="27"/>
  <c r="AN444" i="27"/>
  <c r="AO444" i="27"/>
  <c r="BA444" i="27" s="1"/>
  <c r="AT444" i="27"/>
  <c r="AV444" i="27" s="1"/>
  <c r="AU444" i="27"/>
  <c r="AW444" i="27"/>
  <c r="AX444" i="27" s="1"/>
  <c r="BF444" i="27"/>
  <c r="BG444" i="27"/>
  <c r="BJ444" i="27"/>
  <c r="BK444" i="27"/>
  <c r="BU444" i="27"/>
  <c r="K272" i="27"/>
  <c r="BO272" i="27" s="1"/>
  <c r="L272" i="27"/>
  <c r="M272" i="27"/>
  <c r="N272" i="27"/>
  <c r="A272" i="27" s="1"/>
  <c r="P272" i="27"/>
  <c r="Q272" i="27" s="1"/>
  <c r="AK272" i="27"/>
  <c r="AN272" i="27"/>
  <c r="AO272" i="27"/>
  <c r="AQ272" i="27" s="1"/>
  <c r="AT272" i="27"/>
  <c r="AV272" i="27" s="1"/>
  <c r="AU272" i="27"/>
  <c r="AW272" i="27"/>
  <c r="AY272" i="27" s="1"/>
  <c r="AZ272" i="27" s="1"/>
  <c r="BF272" i="27"/>
  <c r="BG272" i="27"/>
  <c r="BJ272" i="27"/>
  <c r="BK272" i="27"/>
  <c r="BU272" i="27"/>
  <c r="K582" i="27"/>
  <c r="BS582" i="27" s="1"/>
  <c r="L582" i="27"/>
  <c r="M582" i="27"/>
  <c r="N582" i="27"/>
  <c r="A582" i="27" s="1"/>
  <c r="P582" i="27"/>
  <c r="Q582" i="27" s="1"/>
  <c r="AK582" i="27"/>
  <c r="AN582" i="27"/>
  <c r="AO582" i="27"/>
  <c r="BA582" i="27" s="1"/>
  <c r="AT582" i="27"/>
  <c r="AV582" i="27" s="1"/>
  <c r="AU582" i="27"/>
  <c r="AW582" i="27"/>
  <c r="AX582" i="27" s="1"/>
  <c r="BF582" i="27"/>
  <c r="BG582" i="27"/>
  <c r="BJ582" i="27"/>
  <c r="BK582" i="27"/>
  <c r="BU582" i="27"/>
  <c r="K636" i="27"/>
  <c r="BS636" i="27" s="1"/>
  <c r="L636" i="27"/>
  <c r="M636" i="27"/>
  <c r="N636" i="27"/>
  <c r="A636" i="27" s="1"/>
  <c r="P636" i="27"/>
  <c r="Q636" i="27" s="1"/>
  <c r="AK636" i="27"/>
  <c r="AN636" i="27"/>
  <c r="AO636" i="27"/>
  <c r="BA636" i="27" s="1"/>
  <c r="AT636" i="27"/>
  <c r="AV636" i="27" s="1"/>
  <c r="AU636" i="27"/>
  <c r="AW636" i="27"/>
  <c r="AX636" i="27" s="1"/>
  <c r="BF636" i="27"/>
  <c r="BG636" i="27"/>
  <c r="BJ636" i="27"/>
  <c r="BK636" i="27"/>
  <c r="BU636" i="27"/>
  <c r="K123" i="27"/>
  <c r="BS123" i="27" s="1"/>
  <c r="L123" i="27"/>
  <c r="M123" i="27"/>
  <c r="N123" i="27"/>
  <c r="A123" i="27" s="1"/>
  <c r="P123" i="27"/>
  <c r="Q123" i="27" s="1"/>
  <c r="AK123" i="27"/>
  <c r="AN123" i="27"/>
  <c r="AO123" i="27"/>
  <c r="BA123" i="27" s="1"/>
  <c r="AT123" i="27"/>
  <c r="AV123" i="27" s="1"/>
  <c r="AU123" i="27"/>
  <c r="AW123" i="27"/>
  <c r="AX123" i="27" s="1"/>
  <c r="BF123" i="27"/>
  <c r="BG123" i="27"/>
  <c r="BJ123" i="27"/>
  <c r="BK123" i="27"/>
  <c r="BU123" i="27"/>
  <c r="K68" i="27"/>
  <c r="BP68" i="27" s="1"/>
  <c r="L68" i="27"/>
  <c r="M68" i="27"/>
  <c r="N68" i="27"/>
  <c r="P68" i="27"/>
  <c r="Q68" i="27" s="1"/>
  <c r="AK68" i="27"/>
  <c r="AN68" i="27"/>
  <c r="AO68" i="27"/>
  <c r="AQ68" i="27" s="1"/>
  <c r="AT68" i="27"/>
  <c r="AV68" i="27" s="1"/>
  <c r="AU68" i="27"/>
  <c r="AW68" i="27"/>
  <c r="AX68" i="27" s="1"/>
  <c r="BF68" i="27"/>
  <c r="BG68" i="27"/>
  <c r="BJ68" i="27"/>
  <c r="BK68" i="27"/>
  <c r="BU68" i="27"/>
  <c r="A68" i="27" l="1"/>
  <c r="BS577" i="27"/>
  <c r="BP577" i="27"/>
  <c r="BO83" i="27"/>
  <c r="BS69" i="27"/>
  <c r="AP272" i="27"/>
  <c r="AR272" i="27" s="1"/>
  <c r="BQ460" i="27"/>
  <c r="BO444" i="27"/>
  <c r="BP460" i="27"/>
  <c r="BO608" i="27"/>
  <c r="BN460" i="27"/>
  <c r="BO69" i="27"/>
  <c r="BN69" i="27"/>
  <c r="BA577" i="27"/>
  <c r="AQ577" i="27"/>
  <c r="BQ577" i="27"/>
  <c r="BO577" i="27"/>
  <c r="BS608" i="27"/>
  <c r="AP460" i="27"/>
  <c r="AR460" i="27" s="1"/>
  <c r="BI577" i="27"/>
  <c r="BS460" i="27"/>
  <c r="BB577" i="27"/>
  <c r="BC577" i="27" s="1"/>
  <c r="O577" i="27"/>
  <c r="AY577" i="27"/>
  <c r="AZ577" i="27" s="1"/>
  <c r="AP608" i="27"/>
  <c r="AR608" i="27" s="1"/>
  <c r="BN444" i="27"/>
  <c r="AQ460" i="27"/>
  <c r="BI460" i="27"/>
  <c r="BP608" i="27"/>
  <c r="BA69" i="27"/>
  <c r="BO123" i="27"/>
  <c r="BN123" i="27"/>
  <c r="BB460" i="27"/>
  <c r="BC460" i="27" s="1"/>
  <c r="BS83" i="27"/>
  <c r="O460" i="27"/>
  <c r="AQ69" i="27"/>
  <c r="BP83" i="27"/>
  <c r="AY460" i="27"/>
  <c r="AZ460" i="27" s="1"/>
  <c r="BN83" i="27"/>
  <c r="BQ69" i="27"/>
  <c r="AP123" i="27"/>
  <c r="AR123" i="27" s="1"/>
  <c r="AQ608" i="27"/>
  <c r="AQ83" i="27"/>
  <c r="AP83" i="27"/>
  <c r="AR83" i="27" s="1"/>
  <c r="BI83" i="27"/>
  <c r="O83" i="27"/>
  <c r="BB83" i="27"/>
  <c r="BC83" i="27" s="1"/>
  <c r="BN636" i="27"/>
  <c r="AY83" i="27"/>
  <c r="AZ83" i="27" s="1"/>
  <c r="BI608" i="27"/>
  <c r="BN608" i="27"/>
  <c r="BN272" i="27"/>
  <c r="BB608" i="27"/>
  <c r="BC608" i="27" s="1"/>
  <c r="AQ444" i="27"/>
  <c r="O608" i="27"/>
  <c r="AP444" i="27"/>
  <c r="AR444" i="27" s="1"/>
  <c r="AY608" i="27"/>
  <c r="AZ608" i="27" s="1"/>
  <c r="O69" i="27"/>
  <c r="A69" i="27"/>
  <c r="BN582" i="27"/>
  <c r="BS272" i="27"/>
  <c r="BQ123" i="27"/>
  <c r="AQ636" i="27"/>
  <c r="BO582" i="27"/>
  <c r="BQ272" i="27"/>
  <c r="BP123" i="27"/>
  <c r="AP636" i="27"/>
  <c r="AR636" i="27" s="1"/>
  <c r="BP272" i="27"/>
  <c r="BQ636" i="27"/>
  <c r="BS444" i="27"/>
  <c r="BQ444" i="27"/>
  <c r="BP636" i="27"/>
  <c r="BO636" i="27"/>
  <c r="BA272" i="27"/>
  <c r="BB69" i="27"/>
  <c r="BC69" i="27" s="1"/>
  <c r="AY69" i="27"/>
  <c r="AZ69" i="27" s="1"/>
  <c r="BQ582" i="27"/>
  <c r="BP582" i="27"/>
  <c r="BI444" i="27"/>
  <c r="BB444" i="27"/>
  <c r="BC444" i="27" s="1"/>
  <c r="O444" i="27"/>
  <c r="AQ582" i="27"/>
  <c r="AY444" i="27"/>
  <c r="AZ444" i="27" s="1"/>
  <c r="AP582" i="27"/>
  <c r="AR582" i="27" s="1"/>
  <c r="AQ123" i="27"/>
  <c r="AX272" i="27"/>
  <c r="BI272" i="27"/>
  <c r="BB272" i="27"/>
  <c r="BC272" i="27" s="1"/>
  <c r="O272" i="27"/>
  <c r="BI582" i="27"/>
  <c r="BB582" i="27"/>
  <c r="BC582" i="27" s="1"/>
  <c r="O582" i="27"/>
  <c r="AY582" i="27"/>
  <c r="AZ582" i="27" s="1"/>
  <c r="BI636" i="27"/>
  <c r="BB636" i="27"/>
  <c r="BC636" i="27" s="1"/>
  <c r="O636" i="27"/>
  <c r="AY636" i="27"/>
  <c r="AZ636" i="27" s="1"/>
  <c r="BI123" i="27"/>
  <c r="BB123" i="27"/>
  <c r="BC123" i="27" s="1"/>
  <c r="O123" i="27"/>
  <c r="AY123" i="27"/>
  <c r="AZ123" i="27" s="1"/>
  <c r="BQ68" i="27"/>
  <c r="BO68" i="27"/>
  <c r="BS68" i="27"/>
  <c r="BN68" i="27"/>
  <c r="BI68" i="27"/>
  <c r="BA68" i="27"/>
  <c r="AP68" i="27"/>
  <c r="AR68" i="27" s="1"/>
  <c r="AY68" i="27"/>
  <c r="AZ68" i="27" s="1"/>
  <c r="BB68" i="27"/>
  <c r="BC68" i="27" s="1"/>
  <c r="O68" i="27"/>
  <c r="K287" i="27"/>
  <c r="BQ287" i="27" s="1"/>
  <c r="L287" i="27"/>
  <c r="M287" i="27"/>
  <c r="N287" i="27"/>
  <c r="P287" i="27"/>
  <c r="Q287" i="27" s="1"/>
  <c r="AK287" i="27"/>
  <c r="AN287" i="27"/>
  <c r="AO287" i="27"/>
  <c r="AQ287" i="27" s="1"/>
  <c r="AT287" i="27"/>
  <c r="AV287" i="27" s="1"/>
  <c r="AU287" i="27"/>
  <c r="AW287" i="27"/>
  <c r="AX287" i="27" s="1"/>
  <c r="BF287" i="27"/>
  <c r="BG287" i="27"/>
  <c r="BJ287" i="27"/>
  <c r="BK287" i="27"/>
  <c r="BU287" i="27"/>
  <c r="A287" i="27" l="1"/>
  <c r="BA287" i="27"/>
  <c r="BN287" i="27"/>
  <c r="BS287" i="27"/>
  <c r="BP287" i="27"/>
  <c r="BO287" i="27"/>
  <c r="BI287" i="27"/>
  <c r="AP287" i="27"/>
  <c r="AR287" i="27" s="1"/>
  <c r="AY287" i="27"/>
  <c r="AZ287" i="27" s="1"/>
  <c r="BB287" i="27"/>
  <c r="BC287" i="27" s="1"/>
  <c r="O287" i="27"/>
  <c r="K135" i="27"/>
  <c r="BQ135" i="27" s="1"/>
  <c r="L135" i="27"/>
  <c r="M135" i="27"/>
  <c r="N135" i="27"/>
  <c r="A135" i="27" s="1"/>
  <c r="P135" i="27"/>
  <c r="Q135" i="27" s="1"/>
  <c r="AK135" i="27"/>
  <c r="AN135" i="27"/>
  <c r="AO135" i="27"/>
  <c r="BA135" i="27" s="1"/>
  <c r="AT135" i="27"/>
  <c r="AV135" i="27" s="1"/>
  <c r="AU135" i="27"/>
  <c r="AW135" i="27"/>
  <c r="AX135" i="27" s="1"/>
  <c r="BF135" i="27"/>
  <c r="BG135" i="27"/>
  <c r="BJ135" i="27"/>
  <c r="BK135" i="27"/>
  <c r="BU135" i="27"/>
  <c r="K302" i="27"/>
  <c r="BQ302" i="27" s="1"/>
  <c r="L302" i="27"/>
  <c r="M302" i="27"/>
  <c r="N302" i="27"/>
  <c r="A302" i="27" s="1"/>
  <c r="P302" i="27"/>
  <c r="Q302" i="27" s="1"/>
  <c r="AK302" i="27"/>
  <c r="AN302" i="27"/>
  <c r="AO302" i="27"/>
  <c r="BA302" i="27" s="1"/>
  <c r="AT302" i="27"/>
  <c r="AV302" i="27" s="1"/>
  <c r="AU302" i="27"/>
  <c r="AW302" i="27"/>
  <c r="AX302" i="27" s="1"/>
  <c r="BF302" i="27"/>
  <c r="BG302" i="27"/>
  <c r="BJ302" i="27"/>
  <c r="BK302" i="27"/>
  <c r="BU302" i="27"/>
  <c r="K310" i="27"/>
  <c r="BN310" i="27" s="1"/>
  <c r="L310" i="27"/>
  <c r="M310" i="27"/>
  <c r="N310" i="27"/>
  <c r="A310" i="27" s="1"/>
  <c r="P310" i="27"/>
  <c r="Q310" i="27" s="1"/>
  <c r="AK310" i="27"/>
  <c r="AN310" i="27"/>
  <c r="AO310" i="27"/>
  <c r="BA310" i="27" s="1"/>
  <c r="AT310" i="27"/>
  <c r="AV310" i="27" s="1"/>
  <c r="AU310" i="27"/>
  <c r="AW310" i="27"/>
  <c r="AX310" i="27" s="1"/>
  <c r="BF310" i="27"/>
  <c r="BG310" i="27"/>
  <c r="BJ310" i="27"/>
  <c r="BK310" i="27"/>
  <c r="BU310" i="27"/>
  <c r="K198" i="27"/>
  <c r="BO198" i="27" s="1"/>
  <c r="L198" i="27"/>
  <c r="M198" i="27"/>
  <c r="N198" i="27"/>
  <c r="A198" i="27" s="1"/>
  <c r="P198" i="27"/>
  <c r="Q198" i="27" s="1"/>
  <c r="AK198" i="27"/>
  <c r="AN198" i="27"/>
  <c r="AO198" i="27"/>
  <c r="AP198" i="27" s="1"/>
  <c r="AR198" i="27" s="1"/>
  <c r="AT198" i="27"/>
  <c r="AV198" i="27" s="1"/>
  <c r="AU198" i="27"/>
  <c r="AW198" i="27"/>
  <c r="AX198" i="27" s="1"/>
  <c r="BF198" i="27"/>
  <c r="BG198" i="27"/>
  <c r="BJ198" i="27"/>
  <c r="BK198" i="27"/>
  <c r="BU198" i="27"/>
  <c r="K196" i="27"/>
  <c r="BO196" i="27" s="1"/>
  <c r="L196" i="27"/>
  <c r="M196" i="27"/>
  <c r="N196" i="27"/>
  <c r="A196" i="27" s="1"/>
  <c r="P196" i="27"/>
  <c r="Q196" i="27" s="1"/>
  <c r="AK196" i="27"/>
  <c r="AN196" i="27"/>
  <c r="AO196" i="27"/>
  <c r="AQ196" i="27" s="1"/>
  <c r="AT196" i="27"/>
  <c r="AV196" i="27" s="1"/>
  <c r="AU196" i="27"/>
  <c r="AW196" i="27"/>
  <c r="AX196" i="27" s="1"/>
  <c r="BF196" i="27"/>
  <c r="BG196" i="27"/>
  <c r="BJ196" i="27"/>
  <c r="BK196" i="27"/>
  <c r="BU196" i="27"/>
  <c r="K180" i="27"/>
  <c r="BO180" i="27" s="1"/>
  <c r="L180" i="27"/>
  <c r="M180" i="27"/>
  <c r="N180" i="27"/>
  <c r="A180" i="27" s="1"/>
  <c r="P180" i="27"/>
  <c r="Q180" i="27" s="1"/>
  <c r="AK180" i="27"/>
  <c r="AN180" i="27"/>
  <c r="AO180" i="27"/>
  <c r="BA180" i="27" s="1"/>
  <c r="AT180" i="27"/>
  <c r="AV180" i="27" s="1"/>
  <c r="AU180" i="27"/>
  <c r="AW180" i="27"/>
  <c r="AX180" i="27" s="1"/>
  <c r="BF180" i="27"/>
  <c r="BG180" i="27"/>
  <c r="BJ180" i="27"/>
  <c r="BK180" i="27"/>
  <c r="BU180" i="27"/>
  <c r="K184" i="27"/>
  <c r="BQ184" i="27" s="1"/>
  <c r="L184" i="27"/>
  <c r="M184" i="27"/>
  <c r="N184" i="27"/>
  <c r="A184" i="27" s="1"/>
  <c r="P184" i="27"/>
  <c r="Q184" i="27" s="1"/>
  <c r="AK184" i="27"/>
  <c r="AN184" i="27"/>
  <c r="AO184" i="27"/>
  <c r="BA184" i="27" s="1"/>
  <c r="AT184" i="27"/>
  <c r="AV184" i="27" s="1"/>
  <c r="AU184" i="27"/>
  <c r="AW184" i="27"/>
  <c r="AX184" i="27" s="1"/>
  <c r="BF184" i="27"/>
  <c r="BG184" i="27"/>
  <c r="BJ184" i="27"/>
  <c r="BK184" i="27"/>
  <c r="BU184" i="27"/>
  <c r="K383" i="27"/>
  <c r="BN383" i="27" s="1"/>
  <c r="L383" i="27"/>
  <c r="M383" i="27"/>
  <c r="N383" i="27"/>
  <c r="A383" i="27" s="1"/>
  <c r="P383" i="27"/>
  <c r="Q383" i="27" s="1"/>
  <c r="AK383" i="27"/>
  <c r="AN383" i="27"/>
  <c r="AO383" i="27"/>
  <c r="AP383" i="27" s="1"/>
  <c r="AR383" i="27" s="1"/>
  <c r="AT383" i="27"/>
  <c r="AV383" i="27" s="1"/>
  <c r="AU383" i="27"/>
  <c r="AW383" i="27"/>
  <c r="AX383" i="27" s="1"/>
  <c r="BF383" i="27"/>
  <c r="BG383" i="27"/>
  <c r="BJ383" i="27"/>
  <c r="BK383" i="27"/>
  <c r="BU383" i="27"/>
  <c r="K97" i="27"/>
  <c r="BN97" i="27" s="1"/>
  <c r="L97" i="27"/>
  <c r="M97" i="27"/>
  <c r="N97" i="27"/>
  <c r="A97" i="27" s="1"/>
  <c r="P97" i="27"/>
  <c r="Q97" i="27" s="1"/>
  <c r="AK97" i="27"/>
  <c r="AN97" i="27"/>
  <c r="AO97" i="27"/>
  <c r="BA97" i="27" s="1"/>
  <c r="AT97" i="27"/>
  <c r="AV97" i="27" s="1"/>
  <c r="AU97" i="27"/>
  <c r="AW97" i="27"/>
  <c r="AX97" i="27" s="1"/>
  <c r="BF97" i="27"/>
  <c r="BG97" i="27"/>
  <c r="BJ97" i="27"/>
  <c r="BK97" i="27"/>
  <c r="BU97" i="27"/>
  <c r="K466" i="27"/>
  <c r="BQ466" i="27" s="1"/>
  <c r="L466" i="27"/>
  <c r="M466" i="27"/>
  <c r="N466" i="27"/>
  <c r="A466" i="27" s="1"/>
  <c r="P466" i="27"/>
  <c r="Q466" i="27" s="1"/>
  <c r="AK466" i="27"/>
  <c r="AN466" i="27"/>
  <c r="AO466" i="27"/>
  <c r="AP466" i="27" s="1"/>
  <c r="AR466" i="27" s="1"/>
  <c r="AT466" i="27"/>
  <c r="AV466" i="27" s="1"/>
  <c r="AU466" i="27"/>
  <c r="AW466" i="27"/>
  <c r="AX466" i="27" s="1"/>
  <c r="BF466" i="27"/>
  <c r="BG466" i="27"/>
  <c r="BJ466" i="27"/>
  <c r="BK466" i="27"/>
  <c r="BU466" i="27"/>
  <c r="K117" i="27"/>
  <c r="BS117" i="27" s="1"/>
  <c r="L117" i="27"/>
  <c r="M117" i="27"/>
  <c r="N117" i="27"/>
  <c r="A117" i="27" s="1"/>
  <c r="P117" i="27"/>
  <c r="Q117" i="27" s="1"/>
  <c r="AK117" i="27"/>
  <c r="AN117" i="27"/>
  <c r="AO117" i="27"/>
  <c r="BA117" i="27" s="1"/>
  <c r="AT117" i="27"/>
  <c r="AV117" i="27" s="1"/>
  <c r="AU117" i="27"/>
  <c r="AW117" i="27"/>
  <c r="AX117" i="27" s="1"/>
  <c r="BF117" i="27"/>
  <c r="BG117" i="27"/>
  <c r="BJ117" i="27"/>
  <c r="BK117" i="27"/>
  <c r="BU117" i="27"/>
  <c r="K395" i="27"/>
  <c r="BP395" i="27" s="1"/>
  <c r="L395" i="27"/>
  <c r="M395" i="27"/>
  <c r="N395" i="27"/>
  <c r="P395" i="27"/>
  <c r="Q395" i="27" s="1"/>
  <c r="AK395" i="27"/>
  <c r="AN395" i="27"/>
  <c r="AO395" i="27"/>
  <c r="AP395" i="27" s="1"/>
  <c r="AR395" i="27" s="1"/>
  <c r="AT395" i="27"/>
  <c r="AV395" i="27" s="1"/>
  <c r="AU395" i="27"/>
  <c r="AW395" i="27"/>
  <c r="AX395" i="27" s="1"/>
  <c r="BF395" i="27"/>
  <c r="BG395" i="27"/>
  <c r="BJ395" i="27"/>
  <c r="BK395" i="27"/>
  <c r="BU395" i="27"/>
  <c r="K628" i="27"/>
  <c r="BN628" i="27" s="1"/>
  <c r="L628" i="27"/>
  <c r="M628" i="27"/>
  <c r="N628" i="27"/>
  <c r="P628" i="27"/>
  <c r="Q628" i="27" s="1"/>
  <c r="AK628" i="27"/>
  <c r="AN628" i="27"/>
  <c r="AO628" i="27"/>
  <c r="AQ628" i="27" s="1"/>
  <c r="AT628" i="27"/>
  <c r="AV628" i="27" s="1"/>
  <c r="AU628" i="27"/>
  <c r="AW628" i="27"/>
  <c r="AX628" i="27" s="1"/>
  <c r="BF628" i="27"/>
  <c r="BG628" i="27"/>
  <c r="BJ628" i="27"/>
  <c r="BK628" i="27"/>
  <c r="BU628" i="27"/>
  <c r="A628" i="27" l="1"/>
  <c r="A395" i="27"/>
  <c r="BO135" i="27"/>
  <c r="BN135" i="27"/>
  <c r="BS135" i="27"/>
  <c r="BP383" i="27"/>
  <c r="BS302" i="27"/>
  <c r="BP135" i="27"/>
  <c r="BO310" i="27"/>
  <c r="AQ302" i="27"/>
  <c r="AP302" i="27"/>
  <c r="AR302" i="27" s="1"/>
  <c r="AQ310" i="27"/>
  <c r="AP310" i="27"/>
  <c r="AR310" i="27" s="1"/>
  <c r="AQ135" i="27"/>
  <c r="AP180" i="27"/>
  <c r="AR180" i="27" s="1"/>
  <c r="AP135" i="27"/>
  <c r="AR135" i="27" s="1"/>
  <c r="BI135" i="27"/>
  <c r="BS184" i="27"/>
  <c r="BB135" i="27"/>
  <c r="BC135" i="27" s="1"/>
  <c r="O135" i="27"/>
  <c r="AY135" i="27"/>
  <c r="AZ135" i="27" s="1"/>
  <c r="BN302" i="27"/>
  <c r="BP302" i="27"/>
  <c r="BO302" i="27"/>
  <c r="BI302" i="27"/>
  <c r="BS310" i="27"/>
  <c r="BQ310" i="27"/>
  <c r="AP184" i="27"/>
  <c r="AR184" i="27" s="1"/>
  <c r="BA198" i="27"/>
  <c r="BP310" i="27"/>
  <c r="BB302" i="27"/>
  <c r="BC302" i="27" s="1"/>
  <c r="AP196" i="27"/>
  <c r="AR196" i="27" s="1"/>
  <c r="O302" i="27"/>
  <c r="AQ198" i="27"/>
  <c r="AY302" i="27"/>
  <c r="AZ302" i="27" s="1"/>
  <c r="BO184" i="27"/>
  <c r="BI310" i="27"/>
  <c r="O198" i="27"/>
  <c r="BB310" i="27"/>
  <c r="BC310" i="27" s="1"/>
  <c r="O310" i="27"/>
  <c r="AY310" i="27"/>
  <c r="AZ310" i="27" s="1"/>
  <c r="BS198" i="27"/>
  <c r="BQ198" i="27"/>
  <c r="BP198" i="27"/>
  <c r="BN198" i="27"/>
  <c r="BN196" i="27"/>
  <c r="BI198" i="27"/>
  <c r="AP97" i="27"/>
  <c r="AR97" i="27" s="1"/>
  <c r="BS196" i="27"/>
  <c r="BQ196" i="27"/>
  <c r="BP196" i="27"/>
  <c r="BB198" i="27"/>
  <c r="BC198" i="27" s="1"/>
  <c r="AY198" i="27"/>
  <c r="AZ198" i="27" s="1"/>
  <c r="BA196" i="27"/>
  <c r="BS383" i="27"/>
  <c r="BQ383" i="27"/>
  <c r="BI196" i="27"/>
  <c r="BO383" i="27"/>
  <c r="BP184" i="27"/>
  <c r="BB196" i="27"/>
  <c r="BC196" i="27" s="1"/>
  <c r="O196" i="27"/>
  <c r="AY196" i="27"/>
  <c r="AZ196" i="27" s="1"/>
  <c r="BP180" i="27"/>
  <c r="BS180" i="27"/>
  <c r="BQ180" i="27"/>
  <c r="BN180" i="27"/>
  <c r="AQ184" i="27"/>
  <c r="AQ180" i="27"/>
  <c r="BA466" i="27"/>
  <c r="AQ466" i="27"/>
  <c r="BI180" i="27"/>
  <c r="BN184" i="27"/>
  <c r="O180" i="27"/>
  <c r="AY180" i="27"/>
  <c r="AZ180" i="27" s="1"/>
  <c r="BB180" i="27"/>
  <c r="BC180" i="27" s="1"/>
  <c r="AQ383" i="27"/>
  <c r="BI184" i="27"/>
  <c r="BO97" i="27"/>
  <c r="BB184" i="27"/>
  <c r="BC184" i="27" s="1"/>
  <c r="O184" i="27"/>
  <c r="AY184" i="27"/>
  <c r="AZ184" i="27" s="1"/>
  <c r="BA383" i="27"/>
  <c r="BB383" i="27"/>
  <c r="BC383" i="27" s="1"/>
  <c r="AQ97" i="27"/>
  <c r="BI383" i="27"/>
  <c r="BO395" i="27"/>
  <c r="O383" i="27"/>
  <c r="AY383" i="27"/>
  <c r="AZ383" i="27" s="1"/>
  <c r="BS97" i="27"/>
  <c r="BQ97" i="27"/>
  <c r="BP97" i="27"/>
  <c r="BI97" i="27"/>
  <c r="BP628" i="27"/>
  <c r="BB97" i="27"/>
  <c r="BC97" i="27" s="1"/>
  <c r="O97" i="27"/>
  <c r="BQ628" i="27"/>
  <c r="AY97" i="27"/>
  <c r="AZ97" i="27" s="1"/>
  <c r="BS466" i="27"/>
  <c r="O466" i="27"/>
  <c r="BN466" i="27"/>
  <c r="BO466" i="27"/>
  <c r="BI466" i="27"/>
  <c r="BS628" i="27"/>
  <c r="BB466" i="27"/>
  <c r="BC466" i="27" s="1"/>
  <c r="BO628" i="27"/>
  <c r="AY466" i="27"/>
  <c r="AZ466" i="27" s="1"/>
  <c r="BP466" i="27"/>
  <c r="BI117" i="27"/>
  <c r="AQ117" i="27"/>
  <c r="AP117" i="27"/>
  <c r="AR117" i="27" s="1"/>
  <c r="BN395" i="27"/>
  <c r="BQ117" i="27"/>
  <c r="BP117" i="27"/>
  <c r="BO117" i="27"/>
  <c r="BA395" i="27"/>
  <c r="BN117" i="27"/>
  <c r="BB117" i="27"/>
  <c r="BC117" i="27" s="1"/>
  <c r="O117" i="27"/>
  <c r="AY117" i="27"/>
  <c r="AZ117" i="27" s="1"/>
  <c r="AQ395" i="27"/>
  <c r="BS395" i="27"/>
  <c r="BQ395" i="27"/>
  <c r="AP628" i="27"/>
  <c r="AR628" i="27" s="1"/>
  <c r="BI395" i="27"/>
  <c r="BB395" i="27"/>
  <c r="BC395" i="27" s="1"/>
  <c r="O395" i="27"/>
  <c r="AY395" i="27"/>
  <c r="AZ395" i="27" s="1"/>
  <c r="BI628" i="27"/>
  <c r="O628" i="27"/>
  <c r="AY628" i="27"/>
  <c r="AZ628" i="27" s="1"/>
  <c r="BB628" i="27"/>
  <c r="BC628" i="27" s="1"/>
  <c r="BA628" i="27"/>
  <c r="K322" i="27"/>
  <c r="BP322" i="27" s="1"/>
  <c r="L322" i="27"/>
  <c r="M322" i="27"/>
  <c r="N322" i="27"/>
  <c r="A322" i="27" s="1"/>
  <c r="P322" i="27"/>
  <c r="Q322" i="27" s="1"/>
  <c r="AK322" i="27"/>
  <c r="AN322" i="27"/>
  <c r="AO322" i="27"/>
  <c r="BA322" i="27" s="1"/>
  <c r="AT322" i="27"/>
  <c r="AV322" i="27" s="1"/>
  <c r="AU322" i="27"/>
  <c r="AW322" i="27"/>
  <c r="AX322" i="27" s="1"/>
  <c r="BF322" i="27"/>
  <c r="BG322" i="27"/>
  <c r="BJ322" i="27"/>
  <c r="BK322" i="27"/>
  <c r="BU322" i="27"/>
  <c r="K449" i="27"/>
  <c r="BQ449" i="27" s="1"/>
  <c r="L449" i="27"/>
  <c r="M449" i="27"/>
  <c r="N449" i="27"/>
  <c r="A449" i="27" s="1"/>
  <c r="P449" i="27"/>
  <c r="Q449" i="27" s="1"/>
  <c r="AK449" i="27"/>
  <c r="AN449" i="27"/>
  <c r="AO449" i="27"/>
  <c r="BA449" i="27" s="1"/>
  <c r="AT449" i="27"/>
  <c r="AV449" i="27" s="1"/>
  <c r="AU449" i="27"/>
  <c r="AW449" i="27"/>
  <c r="AX449" i="27" s="1"/>
  <c r="BF449" i="27"/>
  <c r="BG449" i="27"/>
  <c r="BJ449" i="27"/>
  <c r="BK449" i="27"/>
  <c r="BU449" i="27"/>
  <c r="K484" i="27"/>
  <c r="BO484" i="27" s="1"/>
  <c r="L484" i="27"/>
  <c r="M484" i="27"/>
  <c r="N484" i="27"/>
  <c r="P484" i="27"/>
  <c r="Q484" i="27" s="1"/>
  <c r="AK484" i="27"/>
  <c r="AN484" i="27"/>
  <c r="AO484" i="27"/>
  <c r="AQ484" i="27" s="1"/>
  <c r="AT484" i="27"/>
  <c r="AV484" i="27" s="1"/>
  <c r="AU484" i="27"/>
  <c r="AW484" i="27"/>
  <c r="AX484" i="27" s="1"/>
  <c r="BF484" i="27"/>
  <c r="BG484" i="27"/>
  <c r="BJ484" i="27"/>
  <c r="BK484" i="27"/>
  <c r="BU484" i="27"/>
  <c r="K475" i="27"/>
  <c r="BP475" i="27" s="1"/>
  <c r="L475" i="27"/>
  <c r="M475" i="27"/>
  <c r="N475" i="27"/>
  <c r="P475" i="27"/>
  <c r="Q475" i="27" s="1"/>
  <c r="AK475" i="27"/>
  <c r="AN475" i="27"/>
  <c r="AO475" i="27"/>
  <c r="AQ475" i="27" s="1"/>
  <c r="AT475" i="27"/>
  <c r="AV475" i="27" s="1"/>
  <c r="AU475" i="27"/>
  <c r="AW475" i="27"/>
  <c r="AY475" i="27" s="1"/>
  <c r="AZ475" i="27" s="1"/>
  <c r="BF475" i="27"/>
  <c r="BG475" i="27"/>
  <c r="BJ475" i="27"/>
  <c r="BK475" i="27"/>
  <c r="BU475" i="27"/>
  <c r="A484" i="27" l="1"/>
  <c r="A475" i="27"/>
  <c r="BO322" i="27"/>
  <c r="BQ322" i="27"/>
  <c r="BO449" i="27"/>
  <c r="BS322" i="27"/>
  <c r="BN322" i="27"/>
  <c r="AQ449" i="27"/>
  <c r="AP449" i="27"/>
  <c r="AR449" i="27" s="1"/>
  <c r="BS449" i="27"/>
  <c r="BP449" i="27"/>
  <c r="AQ322" i="27"/>
  <c r="AP322" i="27"/>
  <c r="AR322" i="27" s="1"/>
  <c r="BI322" i="27"/>
  <c r="BS484" i="27"/>
  <c r="BB322" i="27"/>
  <c r="BC322" i="27" s="1"/>
  <c r="BN449" i="27"/>
  <c r="O322" i="27"/>
  <c r="AY322" i="27"/>
  <c r="AZ322" i="27" s="1"/>
  <c r="BI449" i="27"/>
  <c r="BB449" i="27"/>
  <c r="BC449" i="27" s="1"/>
  <c r="O449" i="27"/>
  <c r="AY449" i="27"/>
  <c r="AZ449" i="27" s="1"/>
  <c r="BN484" i="27"/>
  <c r="BS475" i="27"/>
  <c r="BQ484" i="27"/>
  <c r="BP484" i="27"/>
  <c r="BO475" i="27"/>
  <c r="BI484" i="27"/>
  <c r="BA484" i="27"/>
  <c r="AP484" i="27"/>
  <c r="AR484" i="27" s="1"/>
  <c r="AY484" i="27"/>
  <c r="AZ484" i="27" s="1"/>
  <c r="BN475" i="27"/>
  <c r="BB484" i="27"/>
  <c r="BC484" i="27" s="1"/>
  <c r="O484" i="27"/>
  <c r="BQ475" i="27"/>
  <c r="BI475" i="27"/>
  <c r="BA475" i="27"/>
  <c r="AP475" i="27"/>
  <c r="AR475" i="27" s="1"/>
  <c r="BB475" i="27"/>
  <c r="BC475" i="27" s="1"/>
  <c r="AX475" i="27"/>
  <c r="O475" i="27"/>
  <c r="K515" i="27" l="1"/>
  <c r="BQ515" i="27" s="1"/>
  <c r="L515" i="27"/>
  <c r="M515" i="27"/>
  <c r="N515" i="27"/>
  <c r="P515" i="27"/>
  <c r="Q515" i="27" s="1"/>
  <c r="AK515" i="27"/>
  <c r="AN515" i="27"/>
  <c r="AO515" i="27"/>
  <c r="AP515" i="27" s="1"/>
  <c r="AR515" i="27" s="1"/>
  <c r="AT515" i="27"/>
  <c r="AV515" i="27" s="1"/>
  <c r="AU515" i="27"/>
  <c r="AW515" i="27"/>
  <c r="AX515" i="27" s="1"/>
  <c r="BF515" i="27"/>
  <c r="BG515" i="27"/>
  <c r="BJ515" i="27"/>
  <c r="BK515" i="27"/>
  <c r="BU515" i="27"/>
  <c r="A515" i="27" l="1"/>
  <c r="BO515" i="27"/>
  <c r="BN515" i="27"/>
  <c r="BP515" i="27"/>
  <c r="BS515" i="27"/>
  <c r="BA515" i="27"/>
  <c r="AQ515" i="27"/>
  <c r="BI515" i="27"/>
  <c r="BB515" i="27"/>
  <c r="BC515" i="27" s="1"/>
  <c r="O515" i="27"/>
  <c r="AY515" i="27"/>
  <c r="AZ515" i="27" s="1"/>
  <c r="K325" i="27" l="1"/>
  <c r="BS325" i="27" s="1"/>
  <c r="L325" i="27"/>
  <c r="M325" i="27"/>
  <c r="N325" i="27"/>
  <c r="A325" i="27" s="1"/>
  <c r="P325" i="27"/>
  <c r="Q325" i="27" s="1"/>
  <c r="AK325" i="27"/>
  <c r="AN325" i="27"/>
  <c r="AO325" i="27"/>
  <c r="AP325" i="27" s="1"/>
  <c r="AR325" i="27" s="1"/>
  <c r="AT325" i="27"/>
  <c r="AV325" i="27" s="1"/>
  <c r="AU325" i="27"/>
  <c r="AW325" i="27"/>
  <c r="AX325" i="27" s="1"/>
  <c r="BF325" i="27"/>
  <c r="BG325" i="27"/>
  <c r="BJ325" i="27"/>
  <c r="BK325" i="27"/>
  <c r="BU325" i="27"/>
  <c r="K462" i="27"/>
  <c r="BQ462" i="27" s="1"/>
  <c r="L462" i="27"/>
  <c r="M462" i="27"/>
  <c r="N462" i="27"/>
  <c r="A462" i="27" s="1"/>
  <c r="P462" i="27"/>
  <c r="Q462" i="27" s="1"/>
  <c r="AK462" i="27"/>
  <c r="AN462" i="27"/>
  <c r="AO462" i="27"/>
  <c r="BA462" i="27" s="1"/>
  <c r="AT462" i="27"/>
  <c r="AV462" i="27" s="1"/>
  <c r="AU462" i="27"/>
  <c r="AW462" i="27"/>
  <c r="AX462" i="27" s="1"/>
  <c r="BF462" i="27"/>
  <c r="BG462" i="27"/>
  <c r="BJ462" i="27"/>
  <c r="BK462" i="27"/>
  <c r="BU462" i="27"/>
  <c r="K409" i="27"/>
  <c r="BO409" i="27" s="1"/>
  <c r="L409" i="27"/>
  <c r="M409" i="27"/>
  <c r="N409" i="27"/>
  <c r="O409" i="27" s="1"/>
  <c r="P409" i="27"/>
  <c r="Q409" i="27" s="1"/>
  <c r="AK409" i="27"/>
  <c r="AN409" i="27"/>
  <c r="AO409" i="27"/>
  <c r="BA409" i="27" s="1"/>
  <c r="AT409" i="27"/>
  <c r="AV409" i="27" s="1"/>
  <c r="AU409" i="27"/>
  <c r="AW409" i="27"/>
  <c r="AX409" i="27" s="1"/>
  <c r="BF409" i="27"/>
  <c r="BG409" i="27"/>
  <c r="BJ409" i="27"/>
  <c r="BK409" i="27"/>
  <c r="BU409" i="27"/>
  <c r="K183" i="27"/>
  <c r="BQ183" i="27" s="1"/>
  <c r="L183" i="27"/>
  <c r="M183" i="27"/>
  <c r="N183" i="27"/>
  <c r="O183" i="27" s="1"/>
  <c r="P183" i="27"/>
  <c r="Q183" i="27" s="1"/>
  <c r="AK183" i="27"/>
  <c r="AN183" i="27"/>
  <c r="AO183" i="27"/>
  <c r="AP183" i="27" s="1"/>
  <c r="AR183" i="27" s="1"/>
  <c r="AT183" i="27"/>
  <c r="AV183" i="27" s="1"/>
  <c r="AU183" i="27"/>
  <c r="AW183" i="27"/>
  <c r="AX183" i="27" s="1"/>
  <c r="BF183" i="27"/>
  <c r="BG183" i="27"/>
  <c r="BJ183" i="27"/>
  <c r="BK183" i="27"/>
  <c r="BU183" i="27"/>
  <c r="K473" i="27"/>
  <c r="BN473" i="27" s="1"/>
  <c r="L473" i="27"/>
  <c r="M473" i="27"/>
  <c r="N473" i="27"/>
  <c r="A473" i="27" s="1"/>
  <c r="P473" i="27"/>
  <c r="Q473" i="27" s="1"/>
  <c r="AK473" i="27"/>
  <c r="AN473" i="27"/>
  <c r="AO473" i="27"/>
  <c r="AP473" i="27" s="1"/>
  <c r="AR473" i="27" s="1"/>
  <c r="AT473" i="27"/>
  <c r="AV473" i="27" s="1"/>
  <c r="AU473" i="27"/>
  <c r="AW473" i="27"/>
  <c r="AX473" i="27" s="1"/>
  <c r="BF473" i="27"/>
  <c r="BG473" i="27"/>
  <c r="BJ473" i="27"/>
  <c r="BK473" i="27"/>
  <c r="BU473" i="27"/>
  <c r="K587" i="27"/>
  <c r="BN587" i="27" s="1"/>
  <c r="L587" i="27"/>
  <c r="M587" i="27"/>
  <c r="N587" i="27"/>
  <c r="A587" i="27" s="1"/>
  <c r="P587" i="27"/>
  <c r="Q587" i="27" s="1"/>
  <c r="AK587" i="27"/>
  <c r="AN587" i="27"/>
  <c r="AO587" i="27"/>
  <c r="AQ587" i="27" s="1"/>
  <c r="AT587" i="27"/>
  <c r="AV587" i="27" s="1"/>
  <c r="AU587" i="27"/>
  <c r="AW587" i="27"/>
  <c r="AX587" i="27" s="1"/>
  <c r="BF587" i="27"/>
  <c r="BG587" i="27"/>
  <c r="BJ587" i="27"/>
  <c r="BK587" i="27"/>
  <c r="BU587" i="27"/>
  <c r="K657" i="27"/>
  <c r="BP657" i="27" s="1"/>
  <c r="L657" i="27"/>
  <c r="M657" i="27"/>
  <c r="N657" i="27"/>
  <c r="A657" i="27" s="1"/>
  <c r="P657" i="27"/>
  <c r="Q657" i="27" s="1"/>
  <c r="AK657" i="27"/>
  <c r="AN657" i="27"/>
  <c r="AO657" i="27"/>
  <c r="BA657" i="27" s="1"/>
  <c r="AT657" i="27"/>
  <c r="AV657" i="27" s="1"/>
  <c r="AU657" i="27"/>
  <c r="AW657" i="27"/>
  <c r="AX657" i="27" s="1"/>
  <c r="BF657" i="27"/>
  <c r="BG657" i="27"/>
  <c r="BJ657" i="27"/>
  <c r="BK657" i="27"/>
  <c r="BU657" i="27"/>
  <c r="K109" i="27"/>
  <c r="BN109" i="27" s="1"/>
  <c r="L109" i="27"/>
  <c r="M109" i="27"/>
  <c r="N109" i="27"/>
  <c r="P109" i="27"/>
  <c r="Q109" i="27" s="1"/>
  <c r="AK109" i="27"/>
  <c r="AN109" i="27"/>
  <c r="AO109" i="27"/>
  <c r="BA109" i="27" s="1"/>
  <c r="AT109" i="27"/>
  <c r="AV109" i="27" s="1"/>
  <c r="AU109" i="27"/>
  <c r="AW109" i="27"/>
  <c r="AX109" i="27" s="1"/>
  <c r="BF109" i="27"/>
  <c r="BG109" i="27"/>
  <c r="BJ109" i="27"/>
  <c r="BK109" i="27"/>
  <c r="BU109" i="27"/>
  <c r="K654" i="27"/>
  <c r="BN654" i="27" s="1"/>
  <c r="L654" i="27"/>
  <c r="M654" i="27"/>
  <c r="N654" i="27"/>
  <c r="A654" i="27" s="1"/>
  <c r="P654" i="27"/>
  <c r="Q654" i="27" s="1"/>
  <c r="AK654" i="27"/>
  <c r="AN654" i="27"/>
  <c r="AO654" i="27"/>
  <c r="BA654" i="27" s="1"/>
  <c r="AT654" i="27"/>
  <c r="AV654" i="27" s="1"/>
  <c r="AU654" i="27"/>
  <c r="AW654" i="27"/>
  <c r="AX654" i="27" s="1"/>
  <c r="BF654" i="27"/>
  <c r="BG654" i="27"/>
  <c r="BJ654" i="27"/>
  <c r="BK654" i="27"/>
  <c r="BU654" i="27"/>
  <c r="K651" i="27"/>
  <c r="BS651" i="27" s="1"/>
  <c r="L651" i="27"/>
  <c r="M651" i="27"/>
  <c r="N651" i="27"/>
  <c r="A651" i="27" s="1"/>
  <c r="P651" i="27"/>
  <c r="Q651" i="27" s="1"/>
  <c r="AK651" i="27"/>
  <c r="AN651" i="27"/>
  <c r="AO651" i="27"/>
  <c r="BA651" i="27" s="1"/>
  <c r="AT651" i="27"/>
  <c r="AV651" i="27" s="1"/>
  <c r="AU651" i="27"/>
  <c r="AW651" i="27"/>
  <c r="AX651" i="27" s="1"/>
  <c r="BF651" i="27"/>
  <c r="BG651" i="27"/>
  <c r="BJ651" i="27"/>
  <c r="BK651" i="27"/>
  <c r="BU651" i="27"/>
  <c r="K648" i="27"/>
  <c r="BN648" i="27" s="1"/>
  <c r="L648" i="27"/>
  <c r="M648" i="27"/>
  <c r="N648" i="27"/>
  <c r="P648" i="27"/>
  <c r="Q648" i="27" s="1"/>
  <c r="AK648" i="27"/>
  <c r="AN648" i="27"/>
  <c r="AO648" i="27"/>
  <c r="BA648" i="27" s="1"/>
  <c r="AT648" i="27"/>
  <c r="AV648" i="27" s="1"/>
  <c r="AU648" i="27"/>
  <c r="AW648" i="27"/>
  <c r="AX648" i="27" s="1"/>
  <c r="BF648" i="27"/>
  <c r="BG648" i="27"/>
  <c r="BJ648" i="27"/>
  <c r="BK648" i="27"/>
  <c r="BU648" i="27"/>
  <c r="AO663" i="27"/>
  <c r="AO662" i="27"/>
  <c r="AO661" i="27"/>
  <c r="AO660" i="27"/>
  <c r="AO659" i="27"/>
  <c r="AO658" i="27"/>
  <c r="AO656" i="27"/>
  <c r="AO655" i="27"/>
  <c r="AO653" i="27"/>
  <c r="AO652" i="27"/>
  <c r="AO650" i="27"/>
  <c r="AO649" i="27"/>
  <c r="AO647" i="27"/>
  <c r="AO646" i="27"/>
  <c r="AO645" i="27"/>
  <c r="AO644" i="27"/>
  <c r="AO643" i="27"/>
  <c r="AO642" i="27"/>
  <c r="AO641" i="27"/>
  <c r="AO640" i="27"/>
  <c r="AO639" i="27"/>
  <c r="AO638" i="27"/>
  <c r="AO637" i="27"/>
  <c r="AO635" i="27"/>
  <c r="AO634" i="27"/>
  <c r="AO633" i="27"/>
  <c r="AO632" i="27"/>
  <c r="AO631" i="27"/>
  <c r="AO630" i="27"/>
  <c r="AO629" i="27"/>
  <c r="AO627" i="27"/>
  <c r="AO626" i="27"/>
  <c r="AO625" i="27"/>
  <c r="AO624" i="27"/>
  <c r="AO623" i="27"/>
  <c r="AO622" i="27"/>
  <c r="AO621" i="27"/>
  <c r="AO620" i="27"/>
  <c r="AO619" i="27"/>
  <c r="AO618" i="27"/>
  <c r="AO616" i="27"/>
  <c r="AO615" i="27"/>
  <c r="AO614" i="27"/>
  <c r="AO613" i="27"/>
  <c r="AO612" i="27"/>
  <c r="AO610" i="27"/>
  <c r="AO609" i="27"/>
  <c r="AO607" i="27"/>
  <c r="AO606" i="27"/>
  <c r="AO605" i="27"/>
  <c r="AO604" i="27"/>
  <c r="AO603" i="27"/>
  <c r="AO601" i="27"/>
  <c r="AO600" i="27"/>
  <c r="AO599" i="27"/>
  <c r="AO598" i="27"/>
  <c r="AO597" i="27"/>
  <c r="AO596" i="27"/>
  <c r="AO595" i="27"/>
  <c r="AO594" i="27"/>
  <c r="AO593" i="27"/>
  <c r="AO591" i="27"/>
  <c r="AO590" i="27"/>
  <c r="AO589" i="27"/>
  <c r="AO588" i="27"/>
  <c r="AO586" i="27"/>
  <c r="AO584" i="27"/>
  <c r="AO583" i="27"/>
  <c r="AO581" i="27"/>
  <c r="AO580" i="27"/>
  <c r="AO579" i="27"/>
  <c r="AO578" i="27"/>
  <c r="AO576" i="27"/>
  <c r="AO574" i="27"/>
  <c r="AO573" i="27"/>
  <c r="AO570" i="27"/>
  <c r="AO569" i="27"/>
  <c r="AO568" i="27"/>
  <c r="AO567" i="27"/>
  <c r="AO566" i="27"/>
  <c r="AO565" i="27"/>
  <c r="AO564" i="27"/>
  <c r="AO563" i="27"/>
  <c r="AO562" i="27"/>
  <c r="AO561" i="27"/>
  <c r="AO560" i="27"/>
  <c r="AO559" i="27"/>
  <c r="AO558" i="27"/>
  <c r="AO557" i="27"/>
  <c r="AO556" i="27"/>
  <c r="AO555" i="27"/>
  <c r="AO554" i="27"/>
  <c r="AO553" i="27"/>
  <c r="AO552" i="27"/>
  <c r="AO551" i="27"/>
  <c r="AO550" i="27"/>
  <c r="AO549" i="27"/>
  <c r="AO548" i="27"/>
  <c r="AO547" i="27"/>
  <c r="AO546" i="27"/>
  <c r="AO545" i="27"/>
  <c r="AO544" i="27"/>
  <c r="AO543" i="27"/>
  <c r="AO542" i="27"/>
  <c r="AO541" i="27"/>
  <c r="AO540" i="27"/>
  <c r="AO539" i="27"/>
  <c r="AO538" i="27"/>
  <c r="AO537" i="27"/>
  <c r="AO536" i="27"/>
  <c r="AO534" i="27"/>
  <c r="AO532" i="27"/>
  <c r="AO531" i="27"/>
  <c r="AO529" i="27"/>
  <c r="AO527" i="27"/>
  <c r="AO526" i="27"/>
  <c r="AO525" i="27"/>
  <c r="AO524" i="27"/>
  <c r="AO523" i="27"/>
  <c r="AO521" i="27"/>
  <c r="AO520" i="27"/>
  <c r="AO519" i="27"/>
  <c r="AO518" i="27"/>
  <c r="AO517" i="27"/>
  <c r="AO516" i="27"/>
  <c r="AO514" i="27"/>
  <c r="AO513" i="27"/>
  <c r="AO511" i="27"/>
  <c r="AO509" i="27"/>
  <c r="AO508" i="27"/>
  <c r="AO507" i="27"/>
  <c r="AO505" i="27"/>
  <c r="AO504" i="27"/>
  <c r="AO503" i="27"/>
  <c r="AO502" i="27"/>
  <c r="AO501" i="27"/>
  <c r="AO500" i="27"/>
  <c r="AO499" i="27"/>
  <c r="AO498" i="27"/>
  <c r="AO497" i="27"/>
  <c r="AO496" i="27"/>
  <c r="AO495" i="27"/>
  <c r="AO494" i="27"/>
  <c r="AO493" i="27"/>
  <c r="AO492" i="27"/>
  <c r="AO490" i="27"/>
  <c r="AO489" i="27"/>
  <c r="AO488" i="27"/>
  <c r="AO487" i="27"/>
  <c r="AO486" i="27"/>
  <c r="AO485" i="27"/>
  <c r="AO483" i="27"/>
  <c r="AO482" i="27"/>
  <c r="AO481" i="27"/>
  <c r="AO480" i="27"/>
  <c r="AO479" i="27"/>
  <c r="AO478" i="27"/>
  <c r="AO477" i="27"/>
  <c r="AO476" i="27"/>
  <c r="AO474" i="27"/>
  <c r="AO472" i="27"/>
  <c r="AO471" i="27"/>
  <c r="AO470" i="27"/>
  <c r="AO469" i="27"/>
  <c r="AO468" i="27"/>
  <c r="AO467" i="27"/>
  <c r="AO465" i="27"/>
  <c r="AO464" i="27"/>
  <c r="AO463" i="27"/>
  <c r="AO461" i="27"/>
  <c r="AO459" i="27"/>
  <c r="AO457" i="27"/>
  <c r="AO456" i="27"/>
  <c r="AO455" i="27"/>
  <c r="AO454" i="27"/>
  <c r="AO453" i="27"/>
  <c r="AO452" i="27"/>
  <c r="AO450" i="27"/>
  <c r="AO448" i="27"/>
  <c r="AO447" i="27"/>
  <c r="AO446" i="27"/>
  <c r="AO445" i="27"/>
  <c r="AO443" i="27"/>
  <c r="AO442" i="27"/>
  <c r="AO441" i="27"/>
  <c r="AO439" i="27"/>
  <c r="AO438" i="27"/>
  <c r="AO437" i="27"/>
  <c r="AO436" i="27"/>
  <c r="AO435" i="27"/>
  <c r="AO432" i="27"/>
  <c r="AO431" i="27"/>
  <c r="AO430" i="27"/>
  <c r="AO428" i="27"/>
  <c r="AO427" i="27"/>
  <c r="AO425" i="27"/>
  <c r="AO424" i="27"/>
  <c r="AO422" i="27"/>
  <c r="AO420" i="27"/>
  <c r="AO419" i="27"/>
  <c r="AO418" i="27"/>
  <c r="AO417" i="27"/>
  <c r="AO416" i="27"/>
  <c r="AO413" i="27"/>
  <c r="AO411" i="27"/>
  <c r="AO410" i="27"/>
  <c r="AO408" i="27"/>
  <c r="AO407" i="27"/>
  <c r="AO406" i="27"/>
  <c r="AO404" i="27"/>
  <c r="AO403" i="27"/>
  <c r="AO402" i="27"/>
  <c r="AO401" i="27"/>
  <c r="AO400" i="27"/>
  <c r="AO399" i="27"/>
  <c r="AO398" i="27"/>
  <c r="AO397" i="27"/>
  <c r="AO396" i="27"/>
  <c r="AO394" i="27"/>
  <c r="AO393" i="27"/>
  <c r="AO392" i="27"/>
  <c r="AO391" i="27"/>
  <c r="AO390" i="27"/>
  <c r="AO389" i="27"/>
  <c r="AO387" i="27"/>
  <c r="AO385" i="27"/>
  <c r="AO384" i="27"/>
  <c r="AO382" i="27"/>
  <c r="AO381" i="27"/>
  <c r="AO380" i="27"/>
  <c r="AO379" i="27"/>
  <c r="AO378" i="27"/>
  <c r="AO377" i="27"/>
  <c r="AO376" i="27"/>
  <c r="AO375" i="27"/>
  <c r="AO374" i="27"/>
  <c r="AO373" i="27"/>
  <c r="AO372" i="27"/>
  <c r="AO371" i="27"/>
  <c r="AO370" i="27"/>
  <c r="AO369" i="27"/>
  <c r="AO368" i="27"/>
  <c r="AO367" i="27"/>
  <c r="AO366" i="27"/>
  <c r="AO365" i="27"/>
  <c r="AO364" i="27"/>
  <c r="AO363" i="27"/>
  <c r="AO362" i="27"/>
  <c r="AO361" i="27"/>
  <c r="AO360" i="27"/>
  <c r="AO359" i="27"/>
  <c r="AO358" i="27"/>
  <c r="AO357" i="27"/>
  <c r="AO356" i="27"/>
  <c r="AO354" i="27"/>
  <c r="AO353" i="27"/>
  <c r="AO352" i="27"/>
  <c r="AO351" i="27"/>
  <c r="AO350" i="27"/>
  <c r="AO349" i="27"/>
  <c r="AO348" i="27"/>
  <c r="AO347" i="27"/>
  <c r="AO346" i="27"/>
  <c r="AO345" i="27"/>
  <c r="AO344" i="27"/>
  <c r="AO343" i="27"/>
  <c r="AO342" i="27"/>
  <c r="AO341" i="27"/>
  <c r="AO340" i="27"/>
  <c r="AO339" i="27"/>
  <c r="AO338" i="27"/>
  <c r="AO337" i="27"/>
  <c r="AO336" i="27"/>
  <c r="AO335" i="27"/>
  <c r="AO334" i="27"/>
  <c r="AO333" i="27"/>
  <c r="AO332" i="27"/>
  <c r="AO331" i="27"/>
  <c r="AO330" i="27"/>
  <c r="AO329" i="27"/>
  <c r="AO327" i="27"/>
  <c r="AO326" i="27"/>
  <c r="AO324" i="27"/>
  <c r="AO323" i="27"/>
  <c r="AO321" i="27"/>
  <c r="AO320" i="27"/>
  <c r="AO319" i="27"/>
  <c r="AO318" i="27"/>
  <c r="AO317" i="27"/>
  <c r="AO316" i="27"/>
  <c r="AO315" i="27"/>
  <c r="AO314" i="27"/>
  <c r="AO313" i="27"/>
  <c r="AO312" i="27"/>
  <c r="AO311" i="27"/>
  <c r="AO309" i="27"/>
  <c r="AO308" i="27"/>
  <c r="AO307" i="27"/>
  <c r="AO306" i="27"/>
  <c r="AO305" i="27"/>
  <c r="AO304" i="27"/>
  <c r="AO303" i="27"/>
  <c r="AO301" i="27"/>
  <c r="AO300" i="27"/>
  <c r="AO299" i="27"/>
  <c r="AO298" i="27"/>
  <c r="AO297" i="27"/>
  <c r="AO296" i="27"/>
  <c r="AO295" i="27"/>
  <c r="AO294" i="27"/>
  <c r="AO293" i="27"/>
  <c r="AO292" i="27"/>
  <c r="AO291" i="27"/>
  <c r="AO290" i="27"/>
  <c r="AO289" i="27"/>
  <c r="AO288" i="27"/>
  <c r="AO286" i="27"/>
  <c r="AO285" i="27"/>
  <c r="AO284" i="27"/>
  <c r="AO283" i="27"/>
  <c r="AO282" i="27"/>
  <c r="AO281" i="27"/>
  <c r="AO280" i="27"/>
  <c r="AO279" i="27"/>
  <c r="AO278" i="27"/>
  <c r="AO277" i="27"/>
  <c r="AO276" i="27"/>
  <c r="AO275" i="27"/>
  <c r="AO274" i="27"/>
  <c r="AO273" i="27"/>
  <c r="AO271" i="27"/>
  <c r="AO270" i="27"/>
  <c r="AO269" i="27"/>
  <c r="AO268" i="27"/>
  <c r="AO267" i="27"/>
  <c r="AO266" i="27"/>
  <c r="AO265" i="27"/>
  <c r="AO264" i="27"/>
  <c r="AO263" i="27"/>
  <c r="AO262" i="27"/>
  <c r="AO261" i="27"/>
  <c r="AO260" i="27"/>
  <c r="AO259" i="27"/>
  <c r="AO258" i="27"/>
  <c r="AO257" i="27"/>
  <c r="AO256" i="27"/>
  <c r="AO255" i="27"/>
  <c r="AO253" i="27"/>
  <c r="AO252" i="27"/>
  <c r="AO251" i="27"/>
  <c r="AO250" i="27"/>
  <c r="AO249" i="27"/>
  <c r="AO248" i="27"/>
  <c r="AO247" i="27"/>
  <c r="AO246" i="27"/>
  <c r="AO245" i="27"/>
  <c r="AO244" i="27"/>
  <c r="AO243" i="27"/>
  <c r="AO242" i="27"/>
  <c r="AO241" i="27"/>
  <c r="AO240" i="27"/>
  <c r="AO239" i="27"/>
  <c r="AO238" i="27"/>
  <c r="AO237" i="27"/>
  <c r="AO236" i="27"/>
  <c r="AO235" i="27"/>
  <c r="AO234" i="27"/>
  <c r="AO233" i="27"/>
  <c r="AO232" i="27"/>
  <c r="AO231" i="27"/>
  <c r="AO230" i="27"/>
  <c r="AO229" i="27"/>
  <c r="AO228" i="27"/>
  <c r="AO227" i="27"/>
  <c r="AO226" i="27"/>
  <c r="AO225" i="27"/>
  <c r="AO224" i="27"/>
  <c r="AO223" i="27"/>
  <c r="AO222" i="27"/>
  <c r="AO221" i="27"/>
  <c r="AO220" i="27"/>
  <c r="AO219" i="27"/>
  <c r="AO218" i="27"/>
  <c r="AO217" i="27"/>
  <c r="AO216" i="27"/>
  <c r="AO215" i="27"/>
  <c r="AO214" i="27"/>
  <c r="AO212" i="27"/>
  <c r="AO211" i="27"/>
  <c r="AO210" i="27"/>
  <c r="AO209" i="27"/>
  <c r="AO206" i="27"/>
  <c r="AO205" i="27"/>
  <c r="AO204" i="27"/>
  <c r="AO203" i="27"/>
  <c r="AO202" i="27"/>
  <c r="AO200" i="27"/>
  <c r="AO199" i="27"/>
  <c r="AO195" i="27"/>
  <c r="AO194" i="27"/>
  <c r="AO176" i="27"/>
  <c r="AO193" i="27"/>
  <c r="AO192" i="27"/>
  <c r="AO191" i="27"/>
  <c r="AO190" i="27"/>
  <c r="AO188" i="27"/>
  <c r="AO187" i="27"/>
  <c r="AO186" i="27"/>
  <c r="AO185" i="27"/>
  <c r="AO182" i="27"/>
  <c r="AO181" i="27"/>
  <c r="AO178" i="27"/>
  <c r="AO177" i="27"/>
  <c r="AO175" i="27"/>
  <c r="AO174" i="27"/>
  <c r="AO173" i="27"/>
  <c r="AO172" i="27"/>
  <c r="AO171" i="27"/>
  <c r="AO170" i="27"/>
  <c r="AO168" i="27"/>
  <c r="AO167" i="27"/>
  <c r="AO166" i="27"/>
  <c r="AO165" i="27"/>
  <c r="AO164" i="27"/>
  <c r="AO163" i="27"/>
  <c r="AO162" i="27"/>
  <c r="AO161" i="27"/>
  <c r="AO160" i="27"/>
  <c r="AO158" i="27"/>
  <c r="AO157" i="27"/>
  <c r="AO156" i="27"/>
  <c r="AO155" i="27"/>
  <c r="AO153" i="27"/>
  <c r="AO152" i="27"/>
  <c r="AO150" i="27"/>
  <c r="AO149" i="27"/>
  <c r="AO147" i="27"/>
  <c r="AO146" i="27"/>
  <c r="AO145" i="27"/>
  <c r="AO143" i="27"/>
  <c r="AO142" i="27"/>
  <c r="AO141" i="27"/>
  <c r="AO140" i="27"/>
  <c r="AO139" i="27"/>
  <c r="AO138" i="27"/>
  <c r="AO137" i="27"/>
  <c r="AO136" i="27"/>
  <c r="AO134" i="27"/>
  <c r="AO133" i="27"/>
  <c r="AO132" i="27"/>
  <c r="AO130" i="27"/>
  <c r="AO128" i="27"/>
  <c r="AO127" i="27"/>
  <c r="AO125" i="27"/>
  <c r="AO124" i="27"/>
  <c r="AO122" i="27"/>
  <c r="AO121" i="27"/>
  <c r="AO120" i="27"/>
  <c r="AO119" i="27"/>
  <c r="AO118" i="27"/>
  <c r="AO116" i="27"/>
  <c r="AO115" i="27"/>
  <c r="AO114" i="27"/>
  <c r="AO113" i="27"/>
  <c r="AO112" i="27"/>
  <c r="AO111" i="27"/>
  <c r="AO110" i="27"/>
  <c r="AO108" i="27"/>
  <c r="AO107" i="27"/>
  <c r="AO106" i="27"/>
  <c r="AO105" i="27"/>
  <c r="AO104" i="27"/>
  <c r="AO103" i="27"/>
  <c r="AO102" i="27"/>
  <c r="AO101" i="27"/>
  <c r="AO100" i="27"/>
  <c r="AO99" i="27"/>
  <c r="AO98" i="27"/>
  <c r="AO96" i="27"/>
  <c r="AO95" i="27"/>
  <c r="AO94" i="27"/>
  <c r="AO93" i="27"/>
  <c r="AO92" i="27"/>
  <c r="AO91" i="27"/>
  <c r="AO90" i="27"/>
  <c r="AO89" i="27"/>
  <c r="AO88" i="27"/>
  <c r="AO87" i="27"/>
  <c r="AO86" i="27"/>
  <c r="AO85" i="27"/>
  <c r="AO84" i="27"/>
  <c r="AO82" i="27"/>
  <c r="AO80" i="27"/>
  <c r="AO79" i="27"/>
  <c r="AO78" i="27"/>
  <c r="AO77" i="27"/>
  <c r="AO76" i="27"/>
  <c r="AO75" i="27"/>
  <c r="AO74" i="27"/>
  <c r="AO73" i="27"/>
  <c r="AO72" i="27"/>
  <c r="AO71" i="27"/>
  <c r="AO70" i="27"/>
  <c r="AO67" i="27"/>
  <c r="AO66" i="27"/>
  <c r="AO65" i="27"/>
  <c r="AO64" i="27"/>
  <c r="AO63" i="27"/>
  <c r="AO62" i="27"/>
  <c r="AO61" i="27"/>
  <c r="AO60" i="27"/>
  <c r="AO59" i="27"/>
  <c r="AO58" i="27"/>
  <c r="AO57" i="27"/>
  <c r="AO56" i="27"/>
  <c r="AO55" i="27"/>
  <c r="AO54" i="27"/>
  <c r="AO53" i="27"/>
  <c r="AO52" i="27"/>
  <c r="AO51" i="27"/>
  <c r="AO50" i="27"/>
  <c r="AO49" i="27"/>
  <c r="AO48" i="27"/>
  <c r="AO46" i="27"/>
  <c r="AO45" i="27"/>
  <c r="AO44" i="27"/>
  <c r="AO43" i="27"/>
  <c r="AO42" i="27"/>
  <c r="AO41" i="27"/>
  <c r="AO40" i="27"/>
  <c r="AO39" i="27"/>
  <c r="AO38" i="27"/>
  <c r="AO37" i="27"/>
  <c r="AO36" i="27"/>
  <c r="AO35" i="27"/>
  <c r="AO34" i="27"/>
  <c r="AO33" i="27"/>
  <c r="AO32" i="27"/>
  <c r="AO31" i="27"/>
  <c r="AO30" i="27"/>
  <c r="AO29" i="27"/>
  <c r="AO28" i="27"/>
  <c r="AO27" i="27"/>
  <c r="AO25" i="27"/>
  <c r="AO24" i="27"/>
  <c r="AO22" i="27"/>
  <c r="AO21" i="27"/>
  <c r="AO20" i="27"/>
  <c r="AO19" i="27"/>
  <c r="AO18" i="27"/>
  <c r="AO15" i="27"/>
  <c r="AO14" i="27"/>
  <c r="AO13" i="27"/>
  <c r="AO12" i="27"/>
  <c r="AO11" i="27"/>
  <c r="AO10" i="27"/>
  <c r="AO9" i="27"/>
  <c r="AO8" i="27"/>
  <c r="AO7" i="27"/>
  <c r="AO6" i="27"/>
  <c r="BO325" i="27" l="1"/>
  <c r="BN325" i="27"/>
  <c r="BQ325" i="27"/>
  <c r="BP325" i="27"/>
  <c r="BP409" i="27"/>
  <c r="BN409" i="27"/>
  <c r="BQ473" i="27"/>
  <c r="BP473" i="27"/>
  <c r="BS409" i="27"/>
  <c r="BS473" i="27"/>
  <c r="BQ409" i="27"/>
  <c r="A648" i="27"/>
  <c r="A109" i="27"/>
  <c r="BO473" i="27"/>
  <c r="BA325" i="27"/>
  <c r="AQ325" i="27"/>
  <c r="BI462" i="27"/>
  <c r="AP409" i="27"/>
  <c r="AR409" i="27" s="1"/>
  <c r="BS183" i="27"/>
  <c r="BP183" i="27"/>
  <c r="AP462" i="27"/>
  <c r="AR462" i="27" s="1"/>
  <c r="BI325" i="27"/>
  <c r="BS462" i="27"/>
  <c r="BP462" i="27"/>
  <c r="BB325" i="27"/>
  <c r="BC325" i="27" s="1"/>
  <c r="BO462" i="27"/>
  <c r="O325" i="27"/>
  <c r="BN462" i="27"/>
  <c r="AY325" i="27"/>
  <c r="AZ325" i="27" s="1"/>
  <c r="BO657" i="27"/>
  <c r="AQ409" i="27"/>
  <c r="AQ462" i="27"/>
  <c r="BB462" i="27"/>
  <c r="BC462" i="27" s="1"/>
  <c r="BA183" i="27"/>
  <c r="O462" i="27"/>
  <c r="AY462" i="27"/>
  <c r="AZ462" i="27" s="1"/>
  <c r="BI409" i="27"/>
  <c r="A409" i="27"/>
  <c r="O473" i="27"/>
  <c r="BN657" i="27"/>
  <c r="BB409" i="27"/>
  <c r="BC409" i="27" s="1"/>
  <c r="BI473" i="27"/>
  <c r="AY409" i="27"/>
  <c r="AZ409" i="27" s="1"/>
  <c r="BA473" i="27"/>
  <c r="BI183" i="27"/>
  <c r="A183" i="27"/>
  <c r="BO183" i="27"/>
  <c r="AQ473" i="27"/>
  <c r="BN183" i="27"/>
  <c r="AQ183" i="27"/>
  <c r="BA587" i="27"/>
  <c r="AP587" i="27"/>
  <c r="AR587" i="27" s="1"/>
  <c r="BB183" i="27"/>
  <c r="BC183" i="27" s="1"/>
  <c r="BQ651" i="27"/>
  <c r="AY183" i="27"/>
  <c r="AZ183" i="27" s="1"/>
  <c r="BO587" i="27"/>
  <c r="BS657" i="27"/>
  <c r="BQ657" i="27"/>
  <c r="BS587" i="27"/>
  <c r="BQ587" i="27"/>
  <c r="BP587" i="27"/>
  <c r="BB473" i="27"/>
  <c r="BC473" i="27" s="1"/>
  <c r="BO109" i="27"/>
  <c r="BP109" i="27"/>
  <c r="BS109" i="27"/>
  <c r="AY473" i="27"/>
  <c r="AZ473" i="27" s="1"/>
  <c r="BQ109" i="27"/>
  <c r="BQ654" i="27"/>
  <c r="BP654" i="27"/>
  <c r="AQ657" i="27"/>
  <c r="BI587" i="27"/>
  <c r="BO654" i="27"/>
  <c r="BB587" i="27"/>
  <c r="BC587" i="27" s="1"/>
  <c r="O587" i="27"/>
  <c r="AY587" i="27"/>
  <c r="AZ587" i="27" s="1"/>
  <c r="BS648" i="27"/>
  <c r="BS654" i="27"/>
  <c r="AP657" i="27"/>
  <c r="AR657" i="27" s="1"/>
  <c r="BO651" i="27"/>
  <c r="BN651" i="27"/>
  <c r="BI657" i="27"/>
  <c r="BB657" i="27"/>
  <c r="BC657" i="27" s="1"/>
  <c r="O657" i="27"/>
  <c r="AY657" i="27"/>
  <c r="AZ657" i="27" s="1"/>
  <c r="BQ648" i="27"/>
  <c r="BI109" i="27"/>
  <c r="BO648" i="27"/>
  <c r="BP648" i="27"/>
  <c r="AQ654" i="27"/>
  <c r="AQ109" i="27"/>
  <c r="AP654" i="27"/>
  <c r="AR654" i="27" s="1"/>
  <c r="AP109" i="27"/>
  <c r="AR109" i="27" s="1"/>
  <c r="BB109" i="27"/>
  <c r="BC109" i="27" s="1"/>
  <c r="O109" i="27"/>
  <c r="AQ651" i="27"/>
  <c r="AY109" i="27"/>
  <c r="AZ109" i="27" s="1"/>
  <c r="BI654" i="27"/>
  <c r="BB654" i="27"/>
  <c r="BC654" i="27" s="1"/>
  <c r="BP651" i="27"/>
  <c r="O654" i="27"/>
  <c r="AY654" i="27"/>
  <c r="AZ654" i="27" s="1"/>
  <c r="BI651" i="27"/>
  <c r="AP651" i="27"/>
  <c r="AR651" i="27" s="1"/>
  <c r="BB651" i="27"/>
  <c r="BC651" i="27" s="1"/>
  <c r="O651" i="27"/>
  <c r="AY651" i="27"/>
  <c r="AZ651" i="27" s="1"/>
  <c r="BI648" i="27"/>
  <c r="AQ648" i="27"/>
  <c r="AP648" i="27"/>
  <c r="AR648" i="27" s="1"/>
  <c r="BB648" i="27"/>
  <c r="BC648" i="27" s="1"/>
  <c r="O648" i="27"/>
  <c r="AY648" i="27"/>
  <c r="AZ648" i="27" s="1"/>
  <c r="K292" i="27"/>
  <c r="BQ292" i="27" s="1"/>
  <c r="L292" i="27"/>
  <c r="M292" i="27"/>
  <c r="N292" i="27"/>
  <c r="P292" i="27"/>
  <c r="Q292" i="27" s="1"/>
  <c r="AK292" i="27"/>
  <c r="AN292" i="27"/>
  <c r="AP292" i="27"/>
  <c r="AR292" i="27" s="1"/>
  <c r="AQ292" i="27"/>
  <c r="AW292" i="27"/>
  <c r="AX292" i="27" s="1"/>
  <c r="BF292" i="27"/>
  <c r="BG292" i="27"/>
  <c r="BJ292" i="27"/>
  <c r="BK292" i="27"/>
  <c r="BU292" i="27"/>
  <c r="K295" i="27"/>
  <c r="BQ295" i="27" s="1"/>
  <c r="L295" i="27"/>
  <c r="M295" i="27"/>
  <c r="N295" i="27"/>
  <c r="P295" i="27"/>
  <c r="Q295" i="27" s="1"/>
  <c r="AK295" i="27"/>
  <c r="AN295" i="27"/>
  <c r="AP295" i="27"/>
  <c r="AR295" i="27" s="1"/>
  <c r="AQ295" i="27"/>
  <c r="AW295" i="27"/>
  <c r="AX295" i="27" s="1"/>
  <c r="BF295" i="27"/>
  <c r="BG295" i="27"/>
  <c r="BJ295" i="27"/>
  <c r="BK295" i="27"/>
  <c r="BU295" i="27"/>
  <c r="K315" i="27"/>
  <c r="BN315" i="27" s="1"/>
  <c r="L315" i="27"/>
  <c r="M315" i="27"/>
  <c r="N315" i="27"/>
  <c r="P315" i="27"/>
  <c r="Q315" i="27" s="1"/>
  <c r="AK315" i="27"/>
  <c r="AN315" i="27"/>
  <c r="AP315" i="27"/>
  <c r="AR315" i="27" s="1"/>
  <c r="AQ315" i="27"/>
  <c r="AW315" i="27"/>
  <c r="AX315" i="27" s="1"/>
  <c r="BF315" i="27"/>
  <c r="BG315" i="27"/>
  <c r="BJ315" i="27"/>
  <c r="BK315" i="27"/>
  <c r="BU315" i="27"/>
  <c r="BP292" i="27" l="1"/>
  <c r="BO292" i="27"/>
  <c r="BN292" i="27"/>
  <c r="BS295" i="27"/>
  <c r="BP295" i="27"/>
  <c r="BO295" i="27"/>
  <c r="BN295" i="27"/>
  <c r="A295" i="27"/>
  <c r="A292" i="27"/>
  <c r="A315" i="27"/>
  <c r="BI292" i="27"/>
  <c r="BS292" i="27"/>
  <c r="BS315" i="27"/>
  <c r="BQ315" i="27"/>
  <c r="BP315" i="27"/>
  <c r="BO315" i="27"/>
  <c r="BB292" i="27"/>
  <c r="BC292" i="27" s="1"/>
  <c r="O292" i="27"/>
  <c r="AY292" i="27"/>
  <c r="AZ292" i="27" s="1"/>
  <c r="O295" i="27"/>
  <c r="BI295" i="27"/>
  <c r="BB295" i="27"/>
  <c r="BC295" i="27" s="1"/>
  <c r="AY295" i="27"/>
  <c r="AZ295" i="27" s="1"/>
  <c r="BB315" i="27"/>
  <c r="BC315" i="27" s="1"/>
  <c r="O315" i="27"/>
  <c r="BI315" i="27"/>
  <c r="AY315" i="27"/>
  <c r="AZ315" i="27" s="1"/>
  <c r="AT292" i="27" l="1"/>
  <c r="AV292" i="27" s="1"/>
  <c r="AU292" i="27"/>
  <c r="BA292" i="27"/>
  <c r="BA295" i="27"/>
  <c r="AT295" i="27"/>
  <c r="AV295" i="27" s="1"/>
  <c r="AU295" i="27"/>
  <c r="AT315" i="27"/>
  <c r="AV315" i="27" s="1"/>
  <c r="BA315" i="27"/>
  <c r="AU315" i="27"/>
  <c r="K455" i="27"/>
  <c r="BN455" i="27" s="1"/>
  <c r="L455" i="27"/>
  <c r="M455" i="27"/>
  <c r="N455" i="27"/>
  <c r="P455" i="27"/>
  <c r="Q455" i="27" s="1"/>
  <c r="AK455" i="27"/>
  <c r="AN455" i="27"/>
  <c r="AP455" i="27"/>
  <c r="AR455" i="27" s="1"/>
  <c r="AQ455" i="27"/>
  <c r="AW455" i="27"/>
  <c r="AX455" i="27" s="1"/>
  <c r="BF455" i="27"/>
  <c r="BG455" i="27"/>
  <c r="BJ455" i="27"/>
  <c r="BK455" i="27"/>
  <c r="BU455" i="27"/>
  <c r="K403" i="27"/>
  <c r="BP403" i="27" s="1"/>
  <c r="L403" i="27"/>
  <c r="M403" i="27"/>
  <c r="N403" i="27"/>
  <c r="P403" i="27"/>
  <c r="Q403" i="27" s="1"/>
  <c r="AK403" i="27"/>
  <c r="AN403" i="27"/>
  <c r="AP403" i="27"/>
  <c r="AR403" i="27" s="1"/>
  <c r="AQ403" i="27"/>
  <c r="AW403" i="27"/>
  <c r="AX403" i="27" s="1"/>
  <c r="BF403" i="27"/>
  <c r="BG403" i="27"/>
  <c r="BJ403" i="27"/>
  <c r="BK403" i="27"/>
  <c r="BU403" i="27"/>
  <c r="K259" i="27"/>
  <c r="BO259" i="27" s="1"/>
  <c r="L259" i="27"/>
  <c r="M259" i="27"/>
  <c r="N259" i="27"/>
  <c r="P259" i="27"/>
  <c r="Q259" i="27" s="1"/>
  <c r="AK259" i="27"/>
  <c r="AN259" i="27"/>
  <c r="AP259" i="27"/>
  <c r="AR259" i="27" s="1"/>
  <c r="AQ259" i="27"/>
  <c r="AW259" i="27"/>
  <c r="AX259" i="27" s="1"/>
  <c r="BF259" i="27"/>
  <c r="BG259" i="27"/>
  <c r="BJ259" i="27"/>
  <c r="BK259" i="27"/>
  <c r="BU259" i="27"/>
  <c r="K511" i="27"/>
  <c r="BO511" i="27" s="1"/>
  <c r="L511" i="27"/>
  <c r="M511" i="27"/>
  <c r="N511" i="27"/>
  <c r="P511" i="27"/>
  <c r="Q511" i="27" s="1"/>
  <c r="AK511" i="27"/>
  <c r="AN511" i="27"/>
  <c r="AP511" i="27"/>
  <c r="AR511" i="27" s="1"/>
  <c r="AQ511" i="27"/>
  <c r="AW511" i="27"/>
  <c r="AX511" i="27" s="1"/>
  <c r="BF511" i="27"/>
  <c r="BG511" i="27"/>
  <c r="BJ511" i="27"/>
  <c r="BK511" i="27"/>
  <c r="BU511" i="27"/>
  <c r="K600" i="27"/>
  <c r="BN600" i="27" s="1"/>
  <c r="L600" i="27"/>
  <c r="M600" i="27"/>
  <c r="N600" i="27"/>
  <c r="P600" i="27"/>
  <c r="Q600" i="27" s="1"/>
  <c r="AK600" i="27"/>
  <c r="AN600" i="27"/>
  <c r="AP600" i="27"/>
  <c r="AR600" i="27" s="1"/>
  <c r="AQ600" i="27"/>
  <c r="AW600" i="27"/>
  <c r="AX600" i="27" s="1"/>
  <c r="BF600" i="27"/>
  <c r="BG600" i="27"/>
  <c r="BJ600" i="27"/>
  <c r="BK600" i="27"/>
  <c r="BU600" i="27"/>
  <c r="K596" i="27"/>
  <c r="BS596" i="27" s="1"/>
  <c r="L596" i="27"/>
  <c r="M596" i="27"/>
  <c r="N596" i="27"/>
  <c r="P596" i="27"/>
  <c r="Q596" i="27" s="1"/>
  <c r="AK596" i="27"/>
  <c r="AN596" i="27"/>
  <c r="AP596" i="27"/>
  <c r="AR596" i="27" s="1"/>
  <c r="AQ596" i="27"/>
  <c r="AW596" i="27"/>
  <c r="AX596" i="27" s="1"/>
  <c r="BF596" i="27"/>
  <c r="BG596" i="27"/>
  <c r="BJ596" i="27"/>
  <c r="BK596" i="27"/>
  <c r="BU596" i="27"/>
  <c r="K546" i="27"/>
  <c r="BS546" i="27" s="1"/>
  <c r="L546" i="27"/>
  <c r="M546" i="27"/>
  <c r="N546" i="27"/>
  <c r="P546" i="27"/>
  <c r="Q546" i="27" s="1"/>
  <c r="AK546" i="27"/>
  <c r="AN546" i="27"/>
  <c r="AP546" i="27"/>
  <c r="AR546" i="27" s="1"/>
  <c r="AQ546" i="27"/>
  <c r="AW546" i="27"/>
  <c r="AX546" i="27" s="1"/>
  <c r="BF546" i="27"/>
  <c r="BG546" i="27"/>
  <c r="BJ546" i="27"/>
  <c r="BK546" i="27"/>
  <c r="BU546" i="27"/>
  <c r="BS455" i="27" l="1"/>
  <c r="BQ455" i="27"/>
  <c r="BO403" i="27"/>
  <c r="BP455" i="27"/>
  <c r="BO455" i="27"/>
  <c r="BP596" i="27"/>
  <c r="A455" i="27"/>
  <c r="A511" i="27"/>
  <c r="A596" i="27"/>
  <c r="A259" i="27"/>
  <c r="A600" i="27"/>
  <c r="O403" i="27"/>
  <c r="A546" i="27"/>
  <c r="BP600" i="27"/>
  <c r="BP259" i="27"/>
  <c r="BN259" i="27"/>
  <c r="BS259" i="27"/>
  <c r="BQ259" i="27"/>
  <c r="BN403" i="27"/>
  <c r="BP546" i="27"/>
  <c r="BQ546" i="27"/>
  <c r="BS403" i="27"/>
  <c r="BQ403" i="27"/>
  <c r="BI455" i="27"/>
  <c r="BO546" i="27"/>
  <c r="BQ596" i="27"/>
  <c r="BB455" i="27"/>
  <c r="BC455" i="27" s="1"/>
  <c r="O455" i="27"/>
  <c r="AY455" i="27"/>
  <c r="AZ455" i="27" s="1"/>
  <c r="BQ511" i="27"/>
  <c r="BN511" i="27"/>
  <c r="A403" i="27"/>
  <c r="BI600" i="27"/>
  <c r="BI403" i="27"/>
  <c r="BN596" i="27"/>
  <c r="BB403" i="27"/>
  <c r="BC403" i="27" s="1"/>
  <c r="BS600" i="27"/>
  <c r="AY403" i="27"/>
  <c r="AZ403" i="27" s="1"/>
  <c r="BO600" i="27"/>
  <c r="BN546" i="27"/>
  <c r="BI259" i="27"/>
  <c r="BS511" i="27"/>
  <c r="BB259" i="27"/>
  <c r="BC259" i="27" s="1"/>
  <c r="O259" i="27"/>
  <c r="BO596" i="27"/>
  <c r="BI511" i="27"/>
  <c r="AY259" i="27"/>
  <c r="AZ259" i="27" s="1"/>
  <c r="BP511" i="27"/>
  <c r="BQ600" i="27"/>
  <c r="BB511" i="27"/>
  <c r="BC511" i="27" s="1"/>
  <c r="O511" i="27"/>
  <c r="AY511" i="27"/>
  <c r="AZ511" i="27" s="1"/>
  <c r="BB600" i="27"/>
  <c r="BC600" i="27" s="1"/>
  <c r="O600" i="27"/>
  <c r="BI596" i="27"/>
  <c r="AY600" i="27"/>
  <c r="AZ600" i="27" s="1"/>
  <c r="BB596" i="27"/>
  <c r="BC596" i="27" s="1"/>
  <c r="O596" i="27"/>
  <c r="AY596" i="27"/>
  <c r="AZ596" i="27" s="1"/>
  <c r="BI546" i="27"/>
  <c r="BB546" i="27"/>
  <c r="BC546" i="27" s="1"/>
  <c r="O546" i="27"/>
  <c r="AY546" i="27"/>
  <c r="AZ546" i="27" s="1"/>
  <c r="BA259" i="27" l="1"/>
  <c r="AU259" i="27"/>
  <c r="AT259" i="27"/>
  <c r="AV259" i="27" s="1"/>
  <c r="AT596" i="27"/>
  <c r="AV596" i="27" s="1"/>
  <c r="AU596" i="27"/>
  <c r="BA596" i="27"/>
  <c r="AU403" i="27"/>
  <c r="AT403" i="27"/>
  <c r="AV403" i="27" s="1"/>
  <c r="BA403" i="27"/>
  <c r="AU511" i="27"/>
  <c r="BA511" i="27"/>
  <c r="AT511" i="27"/>
  <c r="AV511" i="27" s="1"/>
  <c r="AT600" i="27"/>
  <c r="AV600" i="27" s="1"/>
  <c r="AU600" i="27"/>
  <c r="BA600" i="27"/>
  <c r="AT455" i="27"/>
  <c r="AV455" i="27" s="1"/>
  <c r="AU455" i="27"/>
  <c r="BA455" i="27"/>
  <c r="AT546" i="27"/>
  <c r="AV546" i="27" s="1"/>
  <c r="AU546" i="27"/>
  <c r="BA546" i="27"/>
  <c r="K538" i="27"/>
  <c r="BN538" i="27" s="1"/>
  <c r="L538" i="27"/>
  <c r="M538" i="27"/>
  <c r="N538" i="27"/>
  <c r="P538" i="27"/>
  <c r="Q538" i="27" s="1"/>
  <c r="AK538" i="27"/>
  <c r="AN538" i="27"/>
  <c r="AP538" i="27"/>
  <c r="AR538" i="27" s="1"/>
  <c r="AQ538" i="27"/>
  <c r="AW538" i="27"/>
  <c r="AX538" i="27" s="1"/>
  <c r="BF538" i="27"/>
  <c r="BG538" i="27"/>
  <c r="BJ538" i="27"/>
  <c r="BK538" i="27"/>
  <c r="BU538" i="27"/>
  <c r="K188" i="27"/>
  <c r="BN188" i="27" s="1"/>
  <c r="L188" i="27"/>
  <c r="M188" i="27"/>
  <c r="N188" i="27"/>
  <c r="P188" i="27"/>
  <c r="Q188" i="27" s="1"/>
  <c r="AK188" i="27"/>
  <c r="AN188" i="27"/>
  <c r="AP188" i="27"/>
  <c r="AR188" i="27" s="1"/>
  <c r="AQ188" i="27"/>
  <c r="AW188" i="27"/>
  <c r="AX188" i="27" s="1"/>
  <c r="BF188" i="27"/>
  <c r="BG188" i="27"/>
  <c r="BJ188" i="27"/>
  <c r="BK188" i="27"/>
  <c r="BU188" i="27"/>
  <c r="AT188" i="27" l="1"/>
  <c r="AV188" i="27" s="1"/>
  <c r="BS538" i="27"/>
  <c r="BA188" i="27"/>
  <c r="AU188" i="27"/>
  <c r="A538" i="27"/>
  <c r="A188" i="27"/>
  <c r="BQ538" i="27"/>
  <c r="BP188" i="27"/>
  <c r="BI538" i="27"/>
  <c r="BP538" i="27"/>
  <c r="BO538" i="27"/>
  <c r="BB538" i="27"/>
  <c r="BC538" i="27" s="1"/>
  <c r="O538" i="27"/>
  <c r="BQ188" i="27"/>
  <c r="AY538" i="27"/>
  <c r="AZ538" i="27" s="1"/>
  <c r="BO188" i="27"/>
  <c r="BS188" i="27"/>
  <c r="AY188" i="27"/>
  <c r="AZ188" i="27" s="1"/>
  <c r="BI188" i="27"/>
  <c r="BB188" i="27"/>
  <c r="BC188" i="27" s="1"/>
  <c r="O188" i="27"/>
  <c r="K345" i="27"/>
  <c r="BN345" i="27" s="1"/>
  <c r="L345" i="27"/>
  <c r="M345" i="27"/>
  <c r="N345" i="27"/>
  <c r="P345" i="27"/>
  <c r="Q345" i="27" s="1"/>
  <c r="AK345" i="27"/>
  <c r="AN345" i="27"/>
  <c r="AP345" i="27"/>
  <c r="AR345" i="27" s="1"/>
  <c r="AQ345" i="27"/>
  <c r="AW345" i="27"/>
  <c r="AX345" i="27" s="1"/>
  <c r="BF345" i="27"/>
  <c r="BG345" i="27"/>
  <c r="BJ345" i="27"/>
  <c r="BK345" i="27"/>
  <c r="BU345" i="27"/>
  <c r="A345" i="27" l="1"/>
  <c r="BA538" i="27"/>
  <c r="AT538" i="27"/>
  <c r="AV538" i="27" s="1"/>
  <c r="AU538" i="27"/>
  <c r="BI345" i="27"/>
  <c r="O345" i="27"/>
  <c r="AY345" i="27"/>
  <c r="AZ345" i="27" s="1"/>
  <c r="BQ345" i="27"/>
  <c r="BO345" i="27"/>
  <c r="BB345" i="27"/>
  <c r="BC345" i="27" s="1"/>
  <c r="BS345" i="27"/>
  <c r="BP345" i="27"/>
  <c r="BA345" i="27" l="1"/>
  <c r="AT345" i="27"/>
  <c r="AV345" i="27" s="1"/>
  <c r="AU345" i="27"/>
  <c r="K516" i="27"/>
  <c r="BP516" i="27" s="1"/>
  <c r="L516" i="27"/>
  <c r="M516" i="27"/>
  <c r="N516" i="27"/>
  <c r="P516" i="27"/>
  <c r="Q516" i="27" s="1"/>
  <c r="AK516" i="27"/>
  <c r="AN516" i="27"/>
  <c r="AP516" i="27"/>
  <c r="AR516" i="27" s="1"/>
  <c r="AQ516" i="27"/>
  <c r="AW516" i="27"/>
  <c r="AX516" i="27" s="1"/>
  <c r="BF516" i="27"/>
  <c r="BG516" i="27"/>
  <c r="BJ516" i="27"/>
  <c r="BK516" i="27"/>
  <c r="BU516" i="27"/>
  <c r="K496" i="27"/>
  <c r="BS496" i="27" s="1"/>
  <c r="L496" i="27"/>
  <c r="M496" i="27"/>
  <c r="N496" i="27"/>
  <c r="P496" i="27"/>
  <c r="Q496" i="27" s="1"/>
  <c r="AK496" i="27"/>
  <c r="AN496" i="27"/>
  <c r="AP496" i="27"/>
  <c r="AR496" i="27" s="1"/>
  <c r="AQ496" i="27"/>
  <c r="AW496" i="27"/>
  <c r="AX496" i="27" s="1"/>
  <c r="BF496" i="27"/>
  <c r="BG496" i="27"/>
  <c r="BJ496" i="27"/>
  <c r="BK496" i="27"/>
  <c r="BU496" i="27"/>
  <c r="K590" i="27"/>
  <c r="BN590" i="27" s="1"/>
  <c r="L590" i="27"/>
  <c r="M590" i="27"/>
  <c r="N590" i="27"/>
  <c r="P590" i="27"/>
  <c r="Q590" i="27" s="1"/>
  <c r="AK590" i="27"/>
  <c r="AN590" i="27"/>
  <c r="AP590" i="27"/>
  <c r="AR590" i="27" s="1"/>
  <c r="AQ590" i="27"/>
  <c r="AW590" i="27"/>
  <c r="AX590" i="27" s="1"/>
  <c r="BF590" i="27"/>
  <c r="BG590" i="27"/>
  <c r="BJ590" i="27"/>
  <c r="BK590" i="27"/>
  <c r="BU590" i="27"/>
  <c r="K431" i="27"/>
  <c r="BN431" i="27" s="1"/>
  <c r="L431" i="27"/>
  <c r="M431" i="27"/>
  <c r="N431" i="27"/>
  <c r="P431" i="27"/>
  <c r="Q431" i="27" s="1"/>
  <c r="AK431" i="27"/>
  <c r="AN431" i="27"/>
  <c r="AP431" i="27"/>
  <c r="AR431" i="27" s="1"/>
  <c r="AQ431" i="27"/>
  <c r="AW431" i="27"/>
  <c r="AX431" i="27" s="1"/>
  <c r="BF431" i="27"/>
  <c r="BG431" i="27"/>
  <c r="BJ431" i="27"/>
  <c r="BK431" i="27"/>
  <c r="BU431" i="27"/>
  <c r="K375" i="27"/>
  <c r="BQ375" i="27" s="1"/>
  <c r="L375" i="27"/>
  <c r="M375" i="27"/>
  <c r="N375" i="27"/>
  <c r="P375" i="27"/>
  <c r="Q375" i="27" s="1"/>
  <c r="AK375" i="27"/>
  <c r="AN375" i="27"/>
  <c r="AP375" i="27"/>
  <c r="AR375" i="27" s="1"/>
  <c r="AQ375" i="27"/>
  <c r="AW375" i="27"/>
  <c r="AX375" i="27" s="1"/>
  <c r="BF375" i="27"/>
  <c r="BG375" i="27"/>
  <c r="BJ375" i="27"/>
  <c r="BK375" i="27"/>
  <c r="BU375" i="27"/>
  <c r="K378" i="27"/>
  <c r="BQ378" i="27" s="1"/>
  <c r="L378" i="27"/>
  <c r="M378" i="27"/>
  <c r="N378" i="27"/>
  <c r="P378" i="27"/>
  <c r="Q378" i="27" s="1"/>
  <c r="AK378" i="27"/>
  <c r="AN378" i="27"/>
  <c r="AP378" i="27"/>
  <c r="AR378" i="27" s="1"/>
  <c r="AQ378" i="27"/>
  <c r="AW378" i="27"/>
  <c r="AX378" i="27" s="1"/>
  <c r="BF378" i="27"/>
  <c r="BG378" i="27"/>
  <c r="BJ378" i="27"/>
  <c r="BK378" i="27"/>
  <c r="BU378" i="27"/>
  <c r="O378" i="27" l="1"/>
  <c r="A431" i="27"/>
  <c r="A590" i="27"/>
  <c r="A496" i="27"/>
  <c r="A375" i="27"/>
  <c r="A516" i="27"/>
  <c r="BS516" i="27"/>
  <c r="BO516" i="27"/>
  <c r="BN516" i="27"/>
  <c r="BQ496" i="27"/>
  <c r="BP496" i="27"/>
  <c r="BO496" i="27"/>
  <c r="BN496" i="27"/>
  <c r="BQ590" i="27"/>
  <c r="BN375" i="27"/>
  <c r="BO590" i="27"/>
  <c r="BS590" i="27"/>
  <c r="BP590" i="27"/>
  <c r="BQ516" i="27"/>
  <c r="BI516" i="27"/>
  <c r="BB516" i="27"/>
  <c r="BC516" i="27" s="1"/>
  <c r="O516" i="27"/>
  <c r="AY516" i="27"/>
  <c r="AZ516" i="27" s="1"/>
  <c r="BI496" i="27"/>
  <c r="BB496" i="27"/>
  <c r="BC496" i="27" s="1"/>
  <c r="O496" i="27"/>
  <c r="BS378" i="27"/>
  <c r="BP378" i="27"/>
  <c r="AY496" i="27"/>
  <c r="AZ496" i="27" s="1"/>
  <c r="BO378" i="27"/>
  <c r="BI590" i="27"/>
  <c r="BP375" i="27"/>
  <c r="BO375" i="27"/>
  <c r="BB590" i="27"/>
  <c r="BC590" i="27" s="1"/>
  <c r="O590" i="27"/>
  <c r="AY590" i="27"/>
  <c r="AZ590" i="27" s="1"/>
  <c r="BI431" i="27"/>
  <c r="BS431" i="27"/>
  <c r="BQ431" i="27"/>
  <c r="BP431" i="27"/>
  <c r="BO431" i="27"/>
  <c r="BB431" i="27"/>
  <c r="BC431" i="27" s="1"/>
  <c r="O431" i="27"/>
  <c r="BN378" i="27"/>
  <c r="AY431" i="27"/>
  <c r="AZ431" i="27" s="1"/>
  <c r="BS375" i="27"/>
  <c r="AY375" i="27"/>
  <c r="AZ375" i="27" s="1"/>
  <c r="BI375" i="27"/>
  <c r="BB375" i="27"/>
  <c r="BC375" i="27" s="1"/>
  <c r="O375" i="27"/>
  <c r="AY378" i="27"/>
  <c r="AZ378" i="27" s="1"/>
  <c r="A378" i="27"/>
  <c r="BI378" i="27"/>
  <c r="BB378" i="27"/>
  <c r="BC378" i="27" s="1"/>
  <c r="K203" i="27"/>
  <c r="BP203" i="27" s="1"/>
  <c r="L203" i="27"/>
  <c r="M203" i="27"/>
  <c r="N203" i="27"/>
  <c r="P203" i="27"/>
  <c r="Q203" i="27" s="1"/>
  <c r="AK203" i="27"/>
  <c r="AN203" i="27"/>
  <c r="AP203" i="27"/>
  <c r="AR203" i="27" s="1"/>
  <c r="AQ203" i="27"/>
  <c r="AW203" i="27"/>
  <c r="AX203" i="27" s="1"/>
  <c r="BF203" i="27"/>
  <c r="BG203" i="27"/>
  <c r="BJ203" i="27"/>
  <c r="BK203" i="27"/>
  <c r="BU203" i="27"/>
  <c r="K504" i="27"/>
  <c r="BO504" i="27" s="1"/>
  <c r="L504" i="27"/>
  <c r="M504" i="27"/>
  <c r="N504" i="27"/>
  <c r="P504" i="27"/>
  <c r="Q504" i="27" s="1"/>
  <c r="AK504" i="27"/>
  <c r="AN504" i="27"/>
  <c r="AP504" i="27"/>
  <c r="AR504" i="27" s="1"/>
  <c r="AQ504" i="27"/>
  <c r="AW504" i="27"/>
  <c r="AX504" i="27" s="1"/>
  <c r="BF504" i="27"/>
  <c r="BG504" i="27"/>
  <c r="BJ504" i="27"/>
  <c r="BK504" i="27"/>
  <c r="BU504" i="27"/>
  <c r="A203" i="27" l="1"/>
  <c r="AU375" i="27"/>
  <c r="AT375" i="27"/>
  <c r="AV375" i="27" s="1"/>
  <c r="BA375" i="27"/>
  <c r="BA496" i="27"/>
  <c r="AU496" i="27"/>
  <c r="AT496" i="27"/>
  <c r="AV496" i="27" s="1"/>
  <c r="AU590" i="27"/>
  <c r="BA590" i="27"/>
  <c r="AT590" i="27"/>
  <c r="AV590" i="27" s="1"/>
  <c r="AT431" i="27"/>
  <c r="AV431" i="27" s="1"/>
  <c r="AU431" i="27"/>
  <c r="BA431" i="27"/>
  <c r="AT516" i="27"/>
  <c r="AV516" i="27" s="1"/>
  <c r="AU516" i="27"/>
  <c r="BA516" i="27"/>
  <c r="AT378" i="27"/>
  <c r="AV378" i="27" s="1"/>
  <c r="AU378" i="27"/>
  <c r="BA378" i="27"/>
  <c r="A504" i="27"/>
  <c r="BN203" i="27"/>
  <c r="BO203" i="27"/>
  <c r="BS203" i="27"/>
  <c r="BQ203" i="27"/>
  <c r="BS504" i="27"/>
  <c r="BQ504" i="27"/>
  <c r="BP504" i="27"/>
  <c r="BN504" i="27"/>
  <c r="AY203" i="27"/>
  <c r="AZ203" i="27" s="1"/>
  <c r="BI203" i="27"/>
  <c r="BB203" i="27"/>
  <c r="BC203" i="27" s="1"/>
  <c r="O203" i="27"/>
  <c r="AY504" i="27"/>
  <c r="AZ504" i="27" s="1"/>
  <c r="BI504" i="27"/>
  <c r="BB504" i="27"/>
  <c r="BC504" i="27" s="1"/>
  <c r="O504" i="27"/>
  <c r="K476" i="27"/>
  <c r="BQ476" i="27" s="1"/>
  <c r="L476" i="27"/>
  <c r="M476" i="27"/>
  <c r="N476" i="27"/>
  <c r="P476" i="27"/>
  <c r="Q476" i="27" s="1"/>
  <c r="AK476" i="27"/>
  <c r="AN476" i="27"/>
  <c r="AP476" i="27"/>
  <c r="AR476" i="27" s="1"/>
  <c r="AQ476" i="27"/>
  <c r="AW476" i="27"/>
  <c r="AX476" i="27" s="1"/>
  <c r="BF476" i="27"/>
  <c r="BG476" i="27"/>
  <c r="BJ476" i="27"/>
  <c r="BK476" i="27"/>
  <c r="BU476" i="27"/>
  <c r="K335" i="27"/>
  <c r="BO335" i="27" s="1"/>
  <c r="L335" i="27"/>
  <c r="M335" i="27"/>
  <c r="N335" i="27"/>
  <c r="P335" i="27"/>
  <c r="Q335" i="27" s="1"/>
  <c r="AK335" i="27"/>
  <c r="AN335" i="27"/>
  <c r="AP335" i="27"/>
  <c r="AR335" i="27" s="1"/>
  <c r="AQ335" i="27"/>
  <c r="AW335" i="27"/>
  <c r="AX335" i="27" s="1"/>
  <c r="BF335" i="27"/>
  <c r="BG335" i="27"/>
  <c r="BJ335" i="27"/>
  <c r="BK335" i="27"/>
  <c r="BU335" i="27"/>
  <c r="K104" i="27"/>
  <c r="BP104" i="27" s="1"/>
  <c r="L104" i="27"/>
  <c r="M104" i="27"/>
  <c r="N104" i="27"/>
  <c r="P104" i="27"/>
  <c r="Q104" i="27" s="1"/>
  <c r="AK104" i="27"/>
  <c r="AN104" i="27"/>
  <c r="AP104" i="27"/>
  <c r="AR104" i="27" s="1"/>
  <c r="AQ104" i="27"/>
  <c r="AW104" i="27"/>
  <c r="AX104" i="27" s="1"/>
  <c r="BF104" i="27"/>
  <c r="BG104" i="27"/>
  <c r="BJ104" i="27"/>
  <c r="BK104" i="27"/>
  <c r="BU104" i="27"/>
  <c r="A104" i="27" l="1"/>
  <c r="A335" i="27"/>
  <c r="AU504" i="27"/>
  <c r="AT504" i="27"/>
  <c r="AV504" i="27" s="1"/>
  <c r="BA504" i="27"/>
  <c r="A476" i="27"/>
  <c r="AU203" i="27"/>
  <c r="AT203" i="27"/>
  <c r="AV203" i="27" s="1"/>
  <c r="BA203" i="27"/>
  <c r="BP476" i="27"/>
  <c r="BO476" i="27"/>
  <c r="BS476" i="27"/>
  <c r="BN476" i="27"/>
  <c r="BN335" i="27"/>
  <c r="BP335" i="27"/>
  <c r="BQ104" i="27"/>
  <c r="BO104" i="27"/>
  <c r="BI476" i="27"/>
  <c r="BN104" i="27"/>
  <c r="BS104" i="27"/>
  <c r="BB476" i="27"/>
  <c r="BC476" i="27" s="1"/>
  <c r="O476" i="27"/>
  <c r="AY476" i="27"/>
  <c r="AZ476" i="27" s="1"/>
  <c r="BI335" i="27"/>
  <c r="BS335" i="27"/>
  <c r="BQ335" i="27"/>
  <c r="O335" i="27"/>
  <c r="O104" i="27"/>
  <c r="BB335" i="27"/>
  <c r="BC335" i="27" s="1"/>
  <c r="AY335" i="27"/>
  <c r="AZ335" i="27" s="1"/>
  <c r="BI104" i="27"/>
  <c r="BB104" i="27"/>
  <c r="BC104" i="27" s="1"/>
  <c r="AY104" i="27"/>
  <c r="AZ104" i="27" s="1"/>
  <c r="K101" i="27"/>
  <c r="BN101" i="27" s="1"/>
  <c r="L101" i="27"/>
  <c r="M101" i="27"/>
  <c r="N101" i="27"/>
  <c r="P101" i="27"/>
  <c r="Q101" i="27" s="1"/>
  <c r="AK101" i="27"/>
  <c r="AN101" i="27"/>
  <c r="AP101" i="27"/>
  <c r="AR101" i="27" s="1"/>
  <c r="AQ101" i="27"/>
  <c r="AW101" i="27"/>
  <c r="AX101" i="27" s="1"/>
  <c r="BF101" i="27"/>
  <c r="BG101" i="27"/>
  <c r="BJ101" i="27"/>
  <c r="BK101" i="27"/>
  <c r="BU101" i="27"/>
  <c r="K98" i="27"/>
  <c r="BP98" i="27" s="1"/>
  <c r="L98" i="27"/>
  <c r="M98" i="27"/>
  <c r="N98" i="27"/>
  <c r="P98" i="27"/>
  <c r="Q98" i="27" s="1"/>
  <c r="AK98" i="27"/>
  <c r="AN98" i="27"/>
  <c r="AP98" i="27"/>
  <c r="AR98" i="27" s="1"/>
  <c r="AQ98" i="27"/>
  <c r="AW98" i="27"/>
  <c r="AX98" i="27" s="1"/>
  <c r="BF98" i="27"/>
  <c r="BG98" i="27"/>
  <c r="BJ98" i="27"/>
  <c r="BK98" i="27"/>
  <c r="BU98" i="27"/>
  <c r="K84" i="27"/>
  <c r="BO84" i="27" s="1"/>
  <c r="L84" i="27"/>
  <c r="M84" i="27"/>
  <c r="N84" i="27"/>
  <c r="P84" i="27"/>
  <c r="Q84" i="27" s="1"/>
  <c r="AK84" i="27"/>
  <c r="AN84" i="27"/>
  <c r="AP84" i="27"/>
  <c r="AR84" i="27" s="1"/>
  <c r="AQ84" i="27"/>
  <c r="AW84" i="27"/>
  <c r="AX84" i="27" s="1"/>
  <c r="BF84" i="27"/>
  <c r="BG84" i="27"/>
  <c r="BJ84" i="27"/>
  <c r="BK84" i="27"/>
  <c r="BU84" i="27"/>
  <c r="K87" i="27"/>
  <c r="BS87" i="27" s="1"/>
  <c r="L87" i="27"/>
  <c r="M87" i="27"/>
  <c r="N87" i="27"/>
  <c r="P87" i="27"/>
  <c r="Q87" i="27" s="1"/>
  <c r="AK87" i="27"/>
  <c r="AN87" i="27"/>
  <c r="AP87" i="27"/>
  <c r="AR87" i="27" s="1"/>
  <c r="AQ87" i="27"/>
  <c r="AW87" i="27"/>
  <c r="AX87" i="27" s="1"/>
  <c r="BF87" i="27"/>
  <c r="BG87" i="27"/>
  <c r="BJ87" i="27"/>
  <c r="BK87" i="27"/>
  <c r="BU87" i="27"/>
  <c r="AK503" i="27"/>
  <c r="K503" i="27"/>
  <c r="BS503" i="27" s="1"/>
  <c r="L503" i="27"/>
  <c r="M503" i="27"/>
  <c r="N503" i="27"/>
  <c r="P503" i="27"/>
  <c r="Q503" i="27" s="1"/>
  <c r="AN503" i="27"/>
  <c r="AP503" i="27"/>
  <c r="AR503" i="27" s="1"/>
  <c r="AQ503" i="27"/>
  <c r="AW503" i="27"/>
  <c r="AX503" i="27" s="1"/>
  <c r="BF503" i="27"/>
  <c r="BG503" i="27"/>
  <c r="BJ503" i="27"/>
  <c r="BK503" i="27"/>
  <c r="BU503" i="27"/>
  <c r="BA503" i="27" l="1"/>
  <c r="AT87" i="27"/>
  <c r="AV87" i="27" s="1"/>
  <c r="BN98" i="27"/>
  <c r="A84" i="27"/>
  <c r="A98" i="27"/>
  <c r="BA476" i="27"/>
  <c r="AU476" i="27"/>
  <c r="AT476" i="27"/>
  <c r="AV476" i="27" s="1"/>
  <c r="BI101" i="27"/>
  <c r="AU503" i="27"/>
  <c r="BA87" i="27"/>
  <c r="AT503" i="27"/>
  <c r="AV503" i="27" s="1"/>
  <c r="AU87" i="27"/>
  <c r="BA335" i="27"/>
  <c r="AU335" i="27"/>
  <c r="AT335" i="27"/>
  <c r="AV335" i="27" s="1"/>
  <c r="BA104" i="27"/>
  <c r="AU104" i="27"/>
  <c r="AT104" i="27"/>
  <c r="AV104" i="27" s="1"/>
  <c r="A87" i="27"/>
  <c r="A503" i="27"/>
  <c r="BQ98" i="27"/>
  <c r="BN87" i="27"/>
  <c r="BO98" i="27"/>
  <c r="BS98" i="27"/>
  <c r="O101" i="27"/>
  <c r="A101" i="27"/>
  <c r="BQ101" i="27"/>
  <c r="BP101" i="27"/>
  <c r="BB101" i="27"/>
  <c r="BC101" i="27" s="1"/>
  <c r="BS101" i="27"/>
  <c r="BO101" i="27"/>
  <c r="AY101" i="27"/>
  <c r="AZ101" i="27" s="1"/>
  <c r="BQ503" i="27"/>
  <c r="BO503" i="27"/>
  <c r="BN503" i="27"/>
  <c r="BI98" i="27"/>
  <c r="BQ87" i="27"/>
  <c r="BP87" i="27"/>
  <c r="BO87" i="27"/>
  <c r="BB98" i="27"/>
  <c r="BC98" i="27" s="1"/>
  <c r="O98" i="27"/>
  <c r="AY98" i="27"/>
  <c r="AZ98" i="27" s="1"/>
  <c r="BQ84" i="27"/>
  <c r="BN84" i="27"/>
  <c r="BP84" i="27"/>
  <c r="BS84" i="27"/>
  <c r="BI84" i="27"/>
  <c r="BB84" i="27"/>
  <c r="BC84" i="27" s="1"/>
  <c r="O84" i="27"/>
  <c r="AY84" i="27"/>
  <c r="AZ84" i="27" s="1"/>
  <c r="BI87" i="27"/>
  <c r="BP503" i="27"/>
  <c r="BB87" i="27"/>
  <c r="BC87" i="27" s="1"/>
  <c r="O87" i="27"/>
  <c r="AY87" i="27"/>
  <c r="AZ87" i="27" s="1"/>
  <c r="AY503" i="27"/>
  <c r="AZ503" i="27" s="1"/>
  <c r="BI503" i="27"/>
  <c r="BB503" i="27"/>
  <c r="BC503" i="27" s="1"/>
  <c r="O503" i="27"/>
  <c r="BA101" i="27" l="1"/>
  <c r="AT101" i="27"/>
  <c r="AV101" i="27" s="1"/>
  <c r="AU101" i="27"/>
  <c r="AU98" i="27"/>
  <c r="BA98" i="27"/>
  <c r="AT98" i="27"/>
  <c r="AV98" i="27" s="1"/>
  <c r="AT84" i="27"/>
  <c r="AV84" i="27" s="1"/>
  <c r="AU84" i="27"/>
  <c r="BA84" i="27"/>
  <c r="K252" i="27"/>
  <c r="BP252" i="27" s="1"/>
  <c r="L252" i="27"/>
  <c r="M252" i="27"/>
  <c r="N252" i="27"/>
  <c r="P252" i="27"/>
  <c r="Q252" i="27" s="1"/>
  <c r="AK252" i="27"/>
  <c r="AN252" i="27"/>
  <c r="AP252" i="27"/>
  <c r="AR252" i="27" s="1"/>
  <c r="AQ252" i="27"/>
  <c r="AW252" i="27"/>
  <c r="AX252" i="27" s="1"/>
  <c r="BF252" i="27"/>
  <c r="BG252" i="27"/>
  <c r="BJ252" i="27"/>
  <c r="BK252" i="27"/>
  <c r="BU252" i="27"/>
  <c r="K376" i="27"/>
  <c r="BN376" i="27" s="1"/>
  <c r="L376" i="27"/>
  <c r="M376" i="27"/>
  <c r="N376" i="27"/>
  <c r="P376" i="27"/>
  <c r="Q376" i="27" s="1"/>
  <c r="AK376" i="27"/>
  <c r="AN376" i="27"/>
  <c r="AP376" i="27"/>
  <c r="AR376" i="27" s="1"/>
  <c r="AQ376" i="27"/>
  <c r="AW376" i="27"/>
  <c r="AX376" i="27" s="1"/>
  <c r="BF376" i="27"/>
  <c r="BG376" i="27"/>
  <c r="BJ376" i="27"/>
  <c r="BK376" i="27"/>
  <c r="BU376" i="27"/>
  <c r="K471" i="27"/>
  <c r="BS471" i="27" s="1"/>
  <c r="L471" i="27"/>
  <c r="M471" i="27"/>
  <c r="N471" i="27"/>
  <c r="P471" i="27"/>
  <c r="Q471" i="27" s="1"/>
  <c r="AK471" i="27"/>
  <c r="AN471" i="27"/>
  <c r="AP471" i="27"/>
  <c r="AR471" i="27" s="1"/>
  <c r="AQ471" i="27"/>
  <c r="AW471" i="27"/>
  <c r="AX471" i="27" s="1"/>
  <c r="BF471" i="27"/>
  <c r="BG471" i="27"/>
  <c r="BJ471" i="27"/>
  <c r="BK471" i="27"/>
  <c r="BU471" i="27"/>
  <c r="A376" i="27" l="1"/>
  <c r="A252" i="27"/>
  <c r="BN252" i="27"/>
  <c r="BS252" i="27"/>
  <c r="BO252" i="27"/>
  <c r="A471" i="27"/>
  <c r="BQ252" i="27"/>
  <c r="BI252" i="27"/>
  <c r="BQ471" i="27"/>
  <c r="BP471" i="27"/>
  <c r="BO471" i="27"/>
  <c r="BS376" i="27"/>
  <c r="BQ376" i="27"/>
  <c r="BO376" i="27"/>
  <c r="BB252" i="27"/>
  <c r="BC252" i="27" s="1"/>
  <c r="O252" i="27"/>
  <c r="BP376" i="27"/>
  <c r="AY252" i="27"/>
  <c r="AZ252" i="27" s="1"/>
  <c r="AY376" i="27"/>
  <c r="AZ376" i="27" s="1"/>
  <c r="BI376" i="27"/>
  <c r="BB376" i="27"/>
  <c r="BC376" i="27" s="1"/>
  <c r="BN471" i="27"/>
  <c r="O376" i="27"/>
  <c r="AY471" i="27"/>
  <c r="AZ471" i="27" s="1"/>
  <c r="BI471" i="27"/>
  <c r="BB471" i="27"/>
  <c r="BC471" i="27" s="1"/>
  <c r="O471" i="27"/>
  <c r="K502" i="27"/>
  <c r="BQ502" i="27" s="1"/>
  <c r="L502" i="27"/>
  <c r="M502" i="27"/>
  <c r="N502" i="27"/>
  <c r="P502" i="27"/>
  <c r="Q502" i="27" s="1"/>
  <c r="AK502" i="27"/>
  <c r="AN502" i="27"/>
  <c r="AP502" i="27"/>
  <c r="AR502" i="27" s="1"/>
  <c r="AQ502" i="27"/>
  <c r="AW502" i="27"/>
  <c r="AX502" i="27" s="1"/>
  <c r="BF502" i="27"/>
  <c r="BG502" i="27"/>
  <c r="BJ502" i="27"/>
  <c r="BK502" i="27"/>
  <c r="BU502" i="27"/>
  <c r="K501" i="27"/>
  <c r="BN501" i="27" s="1"/>
  <c r="L501" i="27"/>
  <c r="M501" i="27"/>
  <c r="N501" i="27"/>
  <c r="P501" i="27"/>
  <c r="Q501" i="27" s="1"/>
  <c r="AK501" i="27"/>
  <c r="AN501" i="27"/>
  <c r="AP501" i="27"/>
  <c r="AR501" i="27" s="1"/>
  <c r="AQ501" i="27"/>
  <c r="AW501" i="27"/>
  <c r="AX501" i="27" s="1"/>
  <c r="BF501" i="27"/>
  <c r="BG501" i="27"/>
  <c r="BJ501" i="27"/>
  <c r="BK501" i="27"/>
  <c r="BU501" i="27"/>
  <c r="AT471" i="27" l="1"/>
  <c r="AV471" i="27" s="1"/>
  <c r="AU471" i="27"/>
  <c r="BA471" i="27"/>
  <c r="BA252" i="27"/>
  <c r="AT252" i="27"/>
  <c r="AV252" i="27" s="1"/>
  <c r="AU252" i="27"/>
  <c r="A502" i="27"/>
  <c r="AT376" i="27"/>
  <c r="AV376" i="27" s="1"/>
  <c r="AU376" i="27"/>
  <c r="BA376" i="27"/>
  <c r="A501" i="27"/>
  <c r="BP501" i="27"/>
  <c r="BS502" i="27"/>
  <c r="BP502" i="27"/>
  <c r="BO502" i="27"/>
  <c r="BN502" i="27"/>
  <c r="BQ501" i="27"/>
  <c r="BO501" i="27"/>
  <c r="AY502" i="27"/>
  <c r="AZ502" i="27" s="1"/>
  <c r="BS501" i="27"/>
  <c r="BI502" i="27"/>
  <c r="BB502" i="27"/>
  <c r="BC502" i="27" s="1"/>
  <c r="O502" i="27"/>
  <c r="AY501" i="27"/>
  <c r="AZ501" i="27" s="1"/>
  <c r="BI501" i="27"/>
  <c r="BB501" i="27"/>
  <c r="BC501" i="27" s="1"/>
  <c r="O501" i="27"/>
  <c r="AU502" i="27" l="1"/>
  <c r="AT502" i="27"/>
  <c r="AV502" i="27" s="1"/>
  <c r="BA502" i="27"/>
  <c r="AU501" i="27"/>
  <c r="BA501" i="27"/>
  <c r="AT501" i="27"/>
  <c r="AV501" i="27" s="1"/>
  <c r="K483" i="27"/>
  <c r="BN483" i="27" s="1"/>
  <c r="L483" i="27"/>
  <c r="M483" i="27"/>
  <c r="N483" i="27"/>
  <c r="P483" i="27"/>
  <c r="Q483" i="27" s="1"/>
  <c r="AK483" i="27"/>
  <c r="AN483" i="27"/>
  <c r="AP483" i="27"/>
  <c r="AR483" i="27" s="1"/>
  <c r="AQ483" i="27"/>
  <c r="AW483" i="27"/>
  <c r="AX483" i="27" s="1"/>
  <c r="BF483" i="27"/>
  <c r="BG483" i="27"/>
  <c r="BJ483" i="27"/>
  <c r="BK483" i="27"/>
  <c r="BU483" i="27"/>
  <c r="K79" i="27"/>
  <c r="BN79" i="27" s="1"/>
  <c r="L79" i="27"/>
  <c r="M79" i="27"/>
  <c r="N79" i="27"/>
  <c r="P79" i="27"/>
  <c r="Q79" i="27" s="1"/>
  <c r="AK79" i="27"/>
  <c r="AN79" i="27"/>
  <c r="AP79" i="27"/>
  <c r="AR79" i="27" s="1"/>
  <c r="AQ79" i="27"/>
  <c r="AW79" i="27"/>
  <c r="AX79" i="27" s="1"/>
  <c r="BF79" i="27"/>
  <c r="BG79" i="27"/>
  <c r="BJ79" i="27"/>
  <c r="BK79" i="27"/>
  <c r="BU79" i="27"/>
  <c r="K368" i="27"/>
  <c r="BP368" i="27" s="1"/>
  <c r="L368" i="27"/>
  <c r="M368" i="27"/>
  <c r="N368" i="27"/>
  <c r="P368" i="27"/>
  <c r="Q368" i="27" s="1"/>
  <c r="AK368" i="27"/>
  <c r="AN368" i="27"/>
  <c r="AP368" i="27"/>
  <c r="AR368" i="27" s="1"/>
  <c r="AQ368" i="27"/>
  <c r="AW368" i="27"/>
  <c r="AX368" i="27" s="1"/>
  <c r="BF368" i="27"/>
  <c r="BG368" i="27"/>
  <c r="BJ368" i="27"/>
  <c r="BK368" i="27"/>
  <c r="BU368" i="27"/>
  <c r="A79" i="27" l="1"/>
  <c r="A368" i="27"/>
  <c r="A483" i="27"/>
  <c r="BQ483" i="27"/>
  <c r="BS483" i="27"/>
  <c r="BO483" i="27"/>
  <c r="BI483" i="27"/>
  <c r="BP483" i="27"/>
  <c r="BO368" i="27"/>
  <c r="BS79" i="27"/>
  <c r="BQ79" i="27"/>
  <c r="BO79" i="27"/>
  <c r="BP79" i="27"/>
  <c r="BB483" i="27"/>
  <c r="BC483" i="27" s="1"/>
  <c r="O483" i="27"/>
  <c r="AY483" i="27"/>
  <c r="AZ483" i="27" s="1"/>
  <c r="BI79" i="27"/>
  <c r="BS368" i="27"/>
  <c r="BN368" i="27"/>
  <c r="BB79" i="27"/>
  <c r="BC79" i="27" s="1"/>
  <c r="O79" i="27"/>
  <c r="AY79" i="27"/>
  <c r="AZ79" i="27" s="1"/>
  <c r="BQ368" i="27"/>
  <c r="AY368" i="27"/>
  <c r="AZ368" i="27" s="1"/>
  <c r="BI368" i="27"/>
  <c r="BB368" i="27"/>
  <c r="BC368" i="27" s="1"/>
  <c r="O368" i="27"/>
  <c r="AU483" i="27" l="1"/>
  <c r="BA483" i="27"/>
  <c r="AT483" i="27"/>
  <c r="AV483" i="27" s="1"/>
  <c r="AT368" i="27"/>
  <c r="AV368" i="27" s="1"/>
  <c r="BA368" i="27"/>
  <c r="AU368" i="27"/>
  <c r="AT79" i="27"/>
  <c r="AV79" i="27" s="1"/>
  <c r="AU79" i="27"/>
  <c r="BA79" i="27"/>
  <c r="K487" i="27"/>
  <c r="BN487" i="27" s="1"/>
  <c r="L487" i="27"/>
  <c r="M487" i="27"/>
  <c r="N487" i="27"/>
  <c r="P487" i="27"/>
  <c r="Q487" i="27" s="1"/>
  <c r="AK487" i="27"/>
  <c r="AN487" i="27"/>
  <c r="AP487" i="27"/>
  <c r="AR487" i="27" s="1"/>
  <c r="AQ487" i="27"/>
  <c r="AW487" i="27"/>
  <c r="AX487" i="27" s="1"/>
  <c r="BF487" i="27"/>
  <c r="BG487" i="27"/>
  <c r="BJ487" i="27"/>
  <c r="BK487" i="27"/>
  <c r="BU487" i="27"/>
  <c r="K7" i="27"/>
  <c r="BO7" i="27" s="1"/>
  <c r="L7" i="27"/>
  <c r="M7" i="27"/>
  <c r="N7" i="27"/>
  <c r="P7" i="27"/>
  <c r="Q7" i="27" s="1"/>
  <c r="AK7" i="27"/>
  <c r="AN7" i="27"/>
  <c r="AP7" i="27"/>
  <c r="AR7" i="27" s="1"/>
  <c r="AQ7" i="27"/>
  <c r="AW7" i="27"/>
  <c r="AX7" i="27" s="1"/>
  <c r="BF7" i="27"/>
  <c r="BG7" i="27"/>
  <c r="BJ7" i="27"/>
  <c r="BK7" i="27"/>
  <c r="BU7" i="27"/>
  <c r="BN7" i="27" l="1"/>
  <c r="A487" i="27"/>
  <c r="A7" i="27"/>
  <c r="BS487" i="27"/>
  <c r="BQ487" i="27"/>
  <c r="BP487" i="27"/>
  <c r="BO487" i="27"/>
  <c r="BS7" i="27"/>
  <c r="BQ7" i="27"/>
  <c r="BP7" i="27"/>
  <c r="O487" i="27"/>
  <c r="BI487" i="27"/>
  <c r="BB487" i="27"/>
  <c r="BC487" i="27" s="1"/>
  <c r="AY487" i="27"/>
  <c r="AZ487" i="27" s="1"/>
  <c r="AY7" i="27"/>
  <c r="AZ7" i="27" s="1"/>
  <c r="BI7" i="27"/>
  <c r="BB7" i="27"/>
  <c r="BC7" i="27" s="1"/>
  <c r="O7" i="27"/>
  <c r="AT7" i="27" l="1"/>
  <c r="AV7" i="27" s="1"/>
  <c r="AU7" i="27"/>
  <c r="BA7" i="27"/>
  <c r="AT487" i="27"/>
  <c r="AV487" i="27" s="1"/>
  <c r="BA487" i="27"/>
  <c r="AU487" i="27"/>
  <c r="K394" i="27"/>
  <c r="BP394" i="27" s="1"/>
  <c r="L394" i="27"/>
  <c r="M394" i="27"/>
  <c r="N394" i="27"/>
  <c r="P394" i="27"/>
  <c r="Q394" i="27" s="1"/>
  <c r="AK394" i="27"/>
  <c r="AN394" i="27"/>
  <c r="AP394" i="27"/>
  <c r="AR394" i="27" s="1"/>
  <c r="AQ394" i="27"/>
  <c r="AW394" i="27"/>
  <c r="AX394" i="27" s="1"/>
  <c r="BF394" i="27"/>
  <c r="BG394" i="27"/>
  <c r="BJ394" i="27"/>
  <c r="BK394" i="27"/>
  <c r="BU394" i="27"/>
  <c r="K176" i="27"/>
  <c r="BO176" i="27" s="1"/>
  <c r="L176" i="27"/>
  <c r="M176" i="27"/>
  <c r="N176" i="27"/>
  <c r="P176" i="27"/>
  <c r="Q176" i="27" s="1"/>
  <c r="AK176" i="27"/>
  <c r="AN176" i="27"/>
  <c r="AP176" i="27"/>
  <c r="AR176" i="27" s="1"/>
  <c r="AQ176" i="27"/>
  <c r="AW176" i="27"/>
  <c r="AX176" i="27" s="1"/>
  <c r="BF176" i="27"/>
  <c r="BG176" i="27"/>
  <c r="BJ176" i="27"/>
  <c r="BK176" i="27"/>
  <c r="BU176" i="27"/>
  <c r="BN176" i="27" l="1"/>
  <c r="A176" i="27"/>
  <c r="A394" i="27"/>
  <c r="BP176" i="27"/>
  <c r="BS176" i="27"/>
  <c r="BQ176" i="27"/>
  <c r="BS394" i="27"/>
  <c r="BO394" i="27"/>
  <c r="BN394" i="27"/>
  <c r="BQ394" i="27"/>
  <c r="AY394" i="27"/>
  <c r="AZ394" i="27" s="1"/>
  <c r="BI394" i="27"/>
  <c r="BB394" i="27"/>
  <c r="BC394" i="27" s="1"/>
  <c r="O394" i="27"/>
  <c r="AY176" i="27"/>
  <c r="AZ176" i="27" s="1"/>
  <c r="BI176" i="27"/>
  <c r="BB176" i="27"/>
  <c r="BC176" i="27" s="1"/>
  <c r="O176" i="27"/>
  <c r="AT176" i="27" l="1"/>
  <c r="AV176" i="27" s="1"/>
  <c r="AU176" i="27"/>
  <c r="BA176" i="27"/>
  <c r="AU394" i="27"/>
  <c r="BA394" i="27"/>
  <c r="AT394" i="27"/>
  <c r="AV394" i="27" s="1"/>
  <c r="K497" i="27"/>
  <c r="BP497" i="27" s="1"/>
  <c r="L497" i="27"/>
  <c r="M497" i="27"/>
  <c r="N497" i="27"/>
  <c r="P497" i="27"/>
  <c r="Q497" i="27" s="1"/>
  <c r="AK497" i="27"/>
  <c r="AN497" i="27"/>
  <c r="AP497" i="27"/>
  <c r="AR497" i="27" s="1"/>
  <c r="AQ497" i="27"/>
  <c r="AW497" i="27"/>
  <c r="AX497" i="27" s="1"/>
  <c r="BF497" i="27"/>
  <c r="BG497" i="27"/>
  <c r="BJ497" i="27"/>
  <c r="BK497" i="27"/>
  <c r="BU497" i="27"/>
  <c r="K317" i="27"/>
  <c r="BQ317" i="27" s="1"/>
  <c r="L317" i="27"/>
  <c r="M317" i="27"/>
  <c r="N317" i="27"/>
  <c r="P317" i="27"/>
  <c r="Q317" i="27" s="1"/>
  <c r="AK317" i="27"/>
  <c r="AN317" i="27"/>
  <c r="AP317" i="27"/>
  <c r="AR317" i="27" s="1"/>
  <c r="AQ317" i="27"/>
  <c r="AW317" i="27"/>
  <c r="AX317" i="27" s="1"/>
  <c r="BF317" i="27"/>
  <c r="BG317" i="27"/>
  <c r="BJ317" i="27"/>
  <c r="BK317" i="27"/>
  <c r="BU317" i="27"/>
  <c r="K363" i="27"/>
  <c r="BN363" i="27" s="1"/>
  <c r="L363" i="27"/>
  <c r="M363" i="27"/>
  <c r="N363" i="27"/>
  <c r="P363" i="27"/>
  <c r="Q363" i="27" s="1"/>
  <c r="AK363" i="27"/>
  <c r="AN363" i="27"/>
  <c r="AP363" i="27"/>
  <c r="AR363" i="27" s="1"/>
  <c r="AQ363" i="27"/>
  <c r="AW363" i="27"/>
  <c r="AX363" i="27" s="1"/>
  <c r="BF363" i="27"/>
  <c r="BG363" i="27"/>
  <c r="BJ363" i="27"/>
  <c r="BK363" i="27"/>
  <c r="BU363" i="27"/>
  <c r="K601" i="27"/>
  <c r="BQ601" i="27" s="1"/>
  <c r="L601" i="27"/>
  <c r="M601" i="27"/>
  <c r="N601" i="27"/>
  <c r="P601" i="27"/>
  <c r="Q601" i="27" s="1"/>
  <c r="AK601" i="27"/>
  <c r="AN601" i="27"/>
  <c r="AP601" i="27"/>
  <c r="AR601" i="27" s="1"/>
  <c r="AQ601" i="27"/>
  <c r="AW601" i="27"/>
  <c r="AX601" i="27" s="1"/>
  <c r="BF601" i="27"/>
  <c r="BG601" i="27"/>
  <c r="BJ601" i="27"/>
  <c r="BK601" i="27"/>
  <c r="BU601" i="27"/>
  <c r="A317" i="27" l="1"/>
  <c r="A497" i="27"/>
  <c r="A363" i="27"/>
  <c r="BS497" i="27"/>
  <c r="BN497" i="27"/>
  <c r="BN317" i="27"/>
  <c r="A601" i="27"/>
  <c r="BQ497" i="27"/>
  <c r="BO497" i="27"/>
  <c r="BP363" i="27"/>
  <c r="BQ363" i="27"/>
  <c r="BP317" i="27"/>
  <c r="AY497" i="27"/>
  <c r="AZ497" i="27" s="1"/>
  <c r="BO363" i="27"/>
  <c r="BS363" i="27"/>
  <c r="BO317" i="27"/>
  <c r="BI497" i="27"/>
  <c r="BB497" i="27"/>
  <c r="BC497" i="27" s="1"/>
  <c r="O497" i="27"/>
  <c r="BS317" i="27"/>
  <c r="AY317" i="27"/>
  <c r="AZ317" i="27" s="1"/>
  <c r="BI317" i="27"/>
  <c r="BB317" i="27"/>
  <c r="BC317" i="27" s="1"/>
  <c r="O317" i="27"/>
  <c r="BP601" i="27"/>
  <c r="BO601" i="27"/>
  <c r="AY363" i="27"/>
  <c r="AZ363" i="27" s="1"/>
  <c r="BI363" i="27"/>
  <c r="BB363" i="27"/>
  <c r="BC363" i="27" s="1"/>
  <c r="O363" i="27"/>
  <c r="BS601" i="27"/>
  <c r="BN601" i="27"/>
  <c r="AY601" i="27"/>
  <c r="AZ601" i="27" s="1"/>
  <c r="BI601" i="27"/>
  <c r="BB601" i="27"/>
  <c r="BC601" i="27" s="1"/>
  <c r="O601" i="27"/>
  <c r="AT317" i="27" l="1"/>
  <c r="AV317" i="27" s="1"/>
  <c r="AU317" i="27"/>
  <c r="BA317" i="27"/>
  <c r="AU363" i="27"/>
  <c r="AT363" i="27"/>
  <c r="AV363" i="27" s="1"/>
  <c r="BA363" i="27"/>
  <c r="AT601" i="27"/>
  <c r="AV601" i="27" s="1"/>
  <c r="AU601" i="27"/>
  <c r="BA601" i="27"/>
  <c r="AU497" i="27"/>
  <c r="BA497" i="27"/>
  <c r="AT497" i="27"/>
  <c r="AV497" i="27" s="1"/>
  <c r="K193" i="27"/>
  <c r="BN193" i="27" s="1"/>
  <c r="L193" i="27"/>
  <c r="M193" i="27"/>
  <c r="N193" i="27"/>
  <c r="P193" i="27"/>
  <c r="Q193" i="27" s="1"/>
  <c r="AK193" i="27"/>
  <c r="AN193" i="27"/>
  <c r="AP193" i="27"/>
  <c r="AR193" i="27" s="1"/>
  <c r="AQ193" i="27"/>
  <c r="AW193" i="27"/>
  <c r="AX193" i="27" s="1"/>
  <c r="BF193" i="27"/>
  <c r="BG193" i="27"/>
  <c r="BJ193" i="27"/>
  <c r="BK193" i="27"/>
  <c r="BU193" i="27"/>
  <c r="AK555" i="27"/>
  <c r="K555" i="27"/>
  <c r="BQ555" i="27" s="1"/>
  <c r="L555" i="27"/>
  <c r="M555" i="27"/>
  <c r="N555" i="27"/>
  <c r="P555" i="27"/>
  <c r="Q555" i="27" s="1"/>
  <c r="AN555" i="27"/>
  <c r="AP555" i="27"/>
  <c r="AR555" i="27" s="1"/>
  <c r="AQ555" i="27"/>
  <c r="AW555" i="27"/>
  <c r="AX555" i="27" s="1"/>
  <c r="BF555" i="27"/>
  <c r="BG555" i="27"/>
  <c r="BJ555" i="27"/>
  <c r="BK555" i="27"/>
  <c r="BU555" i="27"/>
  <c r="P411" i="27"/>
  <c r="A555" i="27" l="1"/>
  <c r="BO193" i="27"/>
  <c r="BS193" i="27"/>
  <c r="BP193" i="27"/>
  <c r="BQ193" i="27"/>
  <c r="BO555" i="27"/>
  <c r="A193" i="27"/>
  <c r="BP555" i="27"/>
  <c r="BI193" i="27"/>
  <c r="BB193" i="27"/>
  <c r="BC193" i="27" s="1"/>
  <c r="O193" i="27"/>
  <c r="AY193" i="27"/>
  <c r="AZ193" i="27" s="1"/>
  <c r="BN555" i="27"/>
  <c r="BS555" i="27"/>
  <c r="AY555" i="27"/>
  <c r="AZ555" i="27" s="1"/>
  <c r="BI555" i="27"/>
  <c r="BB555" i="27"/>
  <c r="BC555" i="27" s="1"/>
  <c r="O555" i="27"/>
  <c r="AK366" i="27"/>
  <c r="K366" i="27"/>
  <c r="BQ366" i="27" s="1"/>
  <c r="L366" i="27"/>
  <c r="M366" i="27"/>
  <c r="N366" i="27"/>
  <c r="P366" i="27"/>
  <c r="Q366" i="27" s="1"/>
  <c r="AP366" i="27"/>
  <c r="AR366" i="27" s="1"/>
  <c r="AQ366" i="27"/>
  <c r="AW366" i="27"/>
  <c r="AX366" i="27" s="1"/>
  <c r="BF366" i="27"/>
  <c r="BG366" i="27"/>
  <c r="BJ366" i="27"/>
  <c r="BK366" i="27"/>
  <c r="BU366" i="27"/>
  <c r="A366" i="27" l="1"/>
  <c r="AU555" i="27"/>
  <c r="BA555" i="27"/>
  <c r="AT555" i="27"/>
  <c r="AV555" i="27" s="1"/>
  <c r="AT193" i="27"/>
  <c r="AV193" i="27" s="1"/>
  <c r="BA193" i="27"/>
  <c r="AU193" i="27"/>
  <c r="BP366" i="27"/>
  <c r="BO366" i="27"/>
  <c r="BS366" i="27"/>
  <c r="BN366" i="27"/>
  <c r="AY366" i="27"/>
  <c r="AZ366" i="27" s="1"/>
  <c r="BI366" i="27"/>
  <c r="BB366" i="27"/>
  <c r="BC366" i="27" s="1"/>
  <c r="O366" i="27"/>
  <c r="BA366" i="27" l="1"/>
  <c r="AT366" i="27"/>
  <c r="AV366" i="27" s="1"/>
  <c r="AU366" i="27"/>
  <c r="AK182" i="27"/>
  <c r="K182" i="27"/>
  <c r="BO182" i="27" s="1"/>
  <c r="P182" i="27"/>
  <c r="Q182" i="27" s="1"/>
  <c r="L182" i="27"/>
  <c r="M182" i="27"/>
  <c r="N182" i="27"/>
  <c r="AN182" i="27"/>
  <c r="AP182" i="27"/>
  <c r="AR182" i="27" s="1"/>
  <c r="AQ182" i="27"/>
  <c r="AW182" i="27"/>
  <c r="AX182" i="27" s="1"/>
  <c r="BF182" i="27"/>
  <c r="BG182" i="27"/>
  <c r="BJ182" i="27"/>
  <c r="BK182" i="27"/>
  <c r="BU182" i="27"/>
  <c r="BN182" i="27" l="1"/>
  <c r="O182" i="27"/>
  <c r="BS182" i="27"/>
  <c r="BQ182" i="27"/>
  <c r="BP182" i="27"/>
  <c r="A182" i="27"/>
  <c r="AY182" i="27"/>
  <c r="AZ182" i="27" s="1"/>
  <c r="BI182" i="27"/>
  <c r="BB182" i="27"/>
  <c r="BC182" i="27" s="1"/>
  <c r="K624" i="27"/>
  <c r="BN624" i="27" s="1"/>
  <c r="L624" i="27"/>
  <c r="M624" i="27"/>
  <c r="N624" i="27"/>
  <c r="P624" i="27"/>
  <c r="Q624" i="27" s="1"/>
  <c r="AK624" i="27"/>
  <c r="AN624" i="27"/>
  <c r="AP624" i="27"/>
  <c r="AR624" i="27" s="1"/>
  <c r="AQ624" i="27"/>
  <c r="AW624" i="27"/>
  <c r="AX624" i="27" s="1"/>
  <c r="BF624" i="27"/>
  <c r="BG624" i="27"/>
  <c r="BJ624" i="27"/>
  <c r="BK624" i="27"/>
  <c r="BU624" i="27"/>
  <c r="A624" i="27" l="1"/>
  <c r="BA182" i="27"/>
  <c r="AU182" i="27"/>
  <c r="AT182" i="27"/>
  <c r="AV182" i="27" s="1"/>
  <c r="BQ624" i="27"/>
  <c r="BP624" i="27"/>
  <c r="BO624" i="27"/>
  <c r="BS624" i="27"/>
  <c r="AY624" i="27"/>
  <c r="AZ624" i="27" s="1"/>
  <c r="BI624" i="27"/>
  <c r="BB624" i="27"/>
  <c r="BC624" i="27" s="1"/>
  <c r="O624" i="27"/>
  <c r="K191" i="27"/>
  <c r="BN191" i="27" s="1"/>
  <c r="L191" i="27"/>
  <c r="M191" i="27"/>
  <c r="N191" i="27"/>
  <c r="P191" i="27"/>
  <c r="Q191" i="27" s="1"/>
  <c r="AK191" i="27"/>
  <c r="AN191" i="27"/>
  <c r="AP191" i="27"/>
  <c r="AR191" i="27" s="1"/>
  <c r="AQ191" i="27"/>
  <c r="AW191" i="27"/>
  <c r="AX191" i="27" s="1"/>
  <c r="BF191" i="27"/>
  <c r="BG191" i="27"/>
  <c r="BJ191" i="27"/>
  <c r="BK191" i="27"/>
  <c r="BU191" i="27"/>
  <c r="AU624" i="27" l="1"/>
  <c r="BA624" i="27"/>
  <c r="AT624" i="27"/>
  <c r="AV624" i="27" s="1"/>
  <c r="A191" i="27"/>
  <c r="BS191" i="27"/>
  <c r="BQ191" i="27"/>
  <c r="BP191" i="27"/>
  <c r="BO191" i="27"/>
  <c r="BB191" i="27"/>
  <c r="BC191" i="27" s="1"/>
  <c r="BI191" i="27"/>
  <c r="O191" i="27"/>
  <c r="AY191" i="27"/>
  <c r="AZ191" i="27" s="1"/>
  <c r="AU191" i="27" l="1"/>
  <c r="BA191" i="27"/>
  <c r="AT191" i="27"/>
  <c r="AV191" i="27" s="1"/>
  <c r="K490" i="27"/>
  <c r="BO490" i="27" s="1"/>
  <c r="L490" i="27"/>
  <c r="M490" i="27"/>
  <c r="N490" i="27"/>
  <c r="P490" i="27"/>
  <c r="Q490" i="27" s="1"/>
  <c r="AK490" i="27"/>
  <c r="AN490" i="27"/>
  <c r="AP490" i="27"/>
  <c r="AR490" i="27" s="1"/>
  <c r="AQ490" i="27"/>
  <c r="AW490" i="27"/>
  <c r="AX490" i="27" s="1"/>
  <c r="BF490" i="27"/>
  <c r="BG490" i="27"/>
  <c r="BJ490" i="27"/>
  <c r="BK490" i="27"/>
  <c r="BU490" i="27"/>
  <c r="A490" i="27" l="1"/>
  <c r="BQ490" i="27"/>
  <c r="BP490" i="27"/>
  <c r="BN490" i="27"/>
  <c r="BS490" i="27"/>
  <c r="BI490" i="27"/>
  <c r="BB490" i="27"/>
  <c r="BC490" i="27" s="1"/>
  <c r="O490" i="27"/>
  <c r="AY490" i="27"/>
  <c r="AZ490" i="27" s="1"/>
  <c r="BA490" i="27" l="1"/>
  <c r="AT490" i="27"/>
  <c r="AV490" i="27" s="1"/>
  <c r="AU490" i="27"/>
  <c r="AN8" i="27"/>
  <c r="AN9" i="27"/>
  <c r="AN10" i="27"/>
  <c r="AN11" i="27"/>
  <c r="AN13" i="27"/>
  <c r="AN12" i="27"/>
  <c r="AN15" i="27"/>
  <c r="AN14" i="27"/>
  <c r="AN18" i="27"/>
  <c r="AN19" i="27"/>
  <c r="AN25" i="27"/>
  <c r="AN22" i="27"/>
  <c r="AN24" i="27"/>
  <c r="AN20" i="27"/>
  <c r="AN21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70" i="27"/>
  <c r="AN71" i="27"/>
  <c r="AN72" i="27"/>
  <c r="AN73" i="27"/>
  <c r="AN74" i="27"/>
  <c r="AN75" i="27"/>
  <c r="AN76" i="27"/>
  <c r="AN77" i="27"/>
  <c r="AN78" i="27"/>
  <c r="AN80" i="27"/>
  <c r="AN82" i="27"/>
  <c r="AN85" i="27"/>
  <c r="AN86" i="27"/>
  <c r="AN88" i="27"/>
  <c r="AN89" i="27"/>
  <c r="AN90" i="27"/>
  <c r="AN91" i="27"/>
  <c r="AN92" i="27"/>
  <c r="AN93" i="27"/>
  <c r="AN94" i="27"/>
  <c r="AN95" i="27"/>
  <c r="AN96" i="27"/>
  <c r="AN99" i="27"/>
  <c r="AN100" i="27"/>
  <c r="AN102" i="27"/>
  <c r="AN103" i="27"/>
  <c r="AN105" i="27"/>
  <c r="AN106" i="27"/>
  <c r="AN107" i="27"/>
  <c r="AN108" i="27"/>
  <c r="AN110" i="27"/>
  <c r="AN111" i="27"/>
  <c r="AN112" i="27"/>
  <c r="AN113" i="27"/>
  <c r="AN114" i="27"/>
  <c r="AN115" i="27"/>
  <c r="AN116" i="27"/>
  <c r="AN118" i="27"/>
  <c r="AN119" i="27"/>
  <c r="AN120" i="27"/>
  <c r="AN202" i="27"/>
  <c r="AN185" i="27"/>
  <c r="AN186" i="27"/>
  <c r="AN187" i="27"/>
  <c r="AN124" i="27"/>
  <c r="AN132" i="27"/>
  <c r="AN125" i="27"/>
  <c r="AN127" i="27"/>
  <c r="AN128" i="27"/>
  <c r="AN130" i="27"/>
  <c r="AN121" i="27"/>
  <c r="AN122" i="27"/>
  <c r="AN137" i="27"/>
  <c r="AN138" i="27"/>
  <c r="AN139" i="27"/>
  <c r="AN140" i="27"/>
  <c r="AN133" i="27"/>
  <c r="AN134" i="27"/>
  <c r="AN136" i="27"/>
  <c r="AN141" i="27"/>
  <c r="AN142" i="27"/>
  <c r="AN143" i="27"/>
  <c r="AN145" i="27"/>
  <c r="AN146" i="27"/>
  <c r="AN147" i="27"/>
  <c r="AN149" i="27"/>
  <c r="AN150" i="27"/>
  <c r="AN164" i="27"/>
  <c r="AN165" i="27"/>
  <c r="AN163" i="27"/>
  <c r="AN167" i="27"/>
  <c r="AN168" i="27"/>
  <c r="AN170" i="27"/>
  <c r="AN166" i="27"/>
  <c r="AN152" i="27"/>
  <c r="AN156" i="27"/>
  <c r="AN153" i="27"/>
  <c r="AN155" i="27"/>
  <c r="AN161" i="27"/>
  <c r="AN157" i="27"/>
  <c r="AN158" i="27"/>
  <c r="AN160" i="27"/>
  <c r="AN162" i="27"/>
  <c r="AN194" i="27"/>
  <c r="AN195" i="27"/>
  <c r="AN199" i="27"/>
  <c r="AN200" i="27"/>
  <c r="AN178" i="27"/>
  <c r="AN173" i="27"/>
  <c r="AN181" i="27"/>
  <c r="AN171" i="27"/>
  <c r="AN172" i="27"/>
  <c r="AN174" i="27"/>
  <c r="AN175" i="27"/>
  <c r="AN177" i="27"/>
  <c r="AN190" i="27"/>
  <c r="AN192" i="27"/>
  <c r="AN204" i="27"/>
  <c r="AN205" i="27"/>
  <c r="AN206" i="27"/>
  <c r="AN46" i="27"/>
  <c r="AN212" i="27"/>
  <c r="AN214" i="27"/>
  <c r="AN209" i="27"/>
  <c r="AN210" i="27"/>
  <c r="AN211" i="27"/>
  <c r="AN218" i="27"/>
  <c r="AN219" i="27"/>
  <c r="AN215" i="27"/>
  <c r="AN216" i="27"/>
  <c r="AN217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3" i="27"/>
  <c r="AN234" i="27"/>
  <c r="AN232" i="27"/>
  <c r="AN236" i="27"/>
  <c r="AN237" i="27"/>
  <c r="AN235" i="27"/>
  <c r="AN238" i="27"/>
  <c r="AN240" i="27"/>
  <c r="AN239" i="27"/>
  <c r="AN241" i="27"/>
  <c r="AN243" i="27"/>
  <c r="AN244" i="27"/>
  <c r="AN242" i="27"/>
  <c r="AN246" i="27"/>
  <c r="AN247" i="27"/>
  <c r="AN245" i="27"/>
  <c r="AN249" i="27"/>
  <c r="AN250" i="27"/>
  <c r="AN248" i="27"/>
  <c r="AN253" i="27"/>
  <c r="AN251" i="27"/>
  <c r="AN255" i="27"/>
  <c r="AN258" i="27"/>
  <c r="AN256" i="27"/>
  <c r="AN257" i="27"/>
  <c r="AN263" i="27"/>
  <c r="AN262" i="27"/>
  <c r="AN264" i="27"/>
  <c r="AN260" i="27"/>
  <c r="AN261" i="27"/>
  <c r="AN267" i="27"/>
  <c r="AN268" i="27"/>
  <c r="AN269" i="27"/>
  <c r="AN270" i="27"/>
  <c r="AN271" i="27"/>
  <c r="AN265" i="27"/>
  <c r="AN266" i="27"/>
  <c r="AN273" i="27"/>
  <c r="AN274" i="27"/>
  <c r="AN275" i="27"/>
  <c r="AN276" i="27"/>
  <c r="AN277" i="27"/>
  <c r="AN278" i="27"/>
  <c r="AN279" i="27"/>
  <c r="AN280" i="27"/>
  <c r="AN284" i="27"/>
  <c r="AN283" i="27"/>
  <c r="AN6" i="27"/>
  <c r="AN286" i="27"/>
  <c r="AN285" i="27"/>
  <c r="AN282" i="27"/>
  <c r="AN281" i="27"/>
  <c r="AN318" i="27"/>
  <c r="AN288" i="27"/>
  <c r="AN290" i="27"/>
  <c r="AN289" i="27"/>
  <c r="AN291" i="27"/>
  <c r="AN293" i="27"/>
  <c r="AN294" i="27"/>
  <c r="AN296" i="27"/>
  <c r="AN299" i="27"/>
  <c r="AN297" i="27"/>
  <c r="AN298" i="27"/>
  <c r="AN300" i="27"/>
  <c r="AN301" i="27"/>
  <c r="AN303" i="27"/>
  <c r="AN304" i="27"/>
  <c r="AN305" i="27"/>
  <c r="AN306" i="27"/>
  <c r="AN307" i="27"/>
  <c r="AN308" i="27"/>
  <c r="AN311" i="27"/>
  <c r="AN312" i="27"/>
  <c r="AN309" i="27"/>
  <c r="AN313" i="27"/>
  <c r="AN316" i="27"/>
  <c r="AN314" i="27"/>
  <c r="AN319" i="27"/>
  <c r="AN320" i="27"/>
  <c r="AN321" i="27"/>
  <c r="AN323" i="27"/>
  <c r="AN324" i="27"/>
  <c r="AN326" i="27"/>
  <c r="AN327" i="27"/>
  <c r="AN329" i="27"/>
  <c r="AN330" i="27"/>
  <c r="AN331" i="27"/>
  <c r="AN332" i="27"/>
  <c r="AN333" i="27"/>
  <c r="AN339" i="27"/>
  <c r="AN340" i="27"/>
  <c r="AN336" i="27"/>
  <c r="AN337" i="27"/>
  <c r="AN334" i="27"/>
  <c r="AN338" i="27"/>
  <c r="AN341" i="27"/>
  <c r="AN342" i="27"/>
  <c r="AN343" i="27"/>
  <c r="AN344" i="27"/>
  <c r="AN346" i="27"/>
  <c r="AN347" i="27"/>
  <c r="AN348" i="27"/>
  <c r="AN349" i="27"/>
  <c r="AN350" i="27"/>
  <c r="AN351" i="27"/>
  <c r="AN352" i="27"/>
  <c r="AN353" i="27"/>
  <c r="AN354" i="27"/>
  <c r="AN356" i="27"/>
  <c r="AN357" i="27"/>
  <c r="AN358" i="27"/>
  <c r="AN359" i="27"/>
  <c r="AN362" i="27"/>
  <c r="AN364" i="27"/>
  <c r="AN360" i="27"/>
  <c r="AN361" i="27"/>
  <c r="AN365" i="27"/>
  <c r="AN390" i="27"/>
  <c r="AN377" i="27"/>
  <c r="AN379" i="27"/>
  <c r="AN373" i="27"/>
  <c r="AN374" i="27"/>
  <c r="AN380" i="27"/>
  <c r="AN382" i="27"/>
  <c r="AN384" i="27"/>
  <c r="AN381" i="27"/>
  <c r="AN385" i="27"/>
  <c r="AN389" i="27"/>
  <c r="AN387" i="27"/>
  <c r="AN371" i="27"/>
  <c r="AN369" i="27"/>
  <c r="AN367" i="27"/>
  <c r="AN372" i="27"/>
  <c r="AN370" i="27"/>
  <c r="AN391" i="27"/>
  <c r="AN392" i="27"/>
  <c r="AN393" i="27"/>
  <c r="AN396" i="27"/>
  <c r="AN465" i="27"/>
  <c r="AN463" i="27"/>
  <c r="AN464" i="27"/>
  <c r="AN472" i="27"/>
  <c r="AN467" i="27"/>
  <c r="AN468" i="27"/>
  <c r="AN469" i="27"/>
  <c r="AN470" i="27"/>
  <c r="AN397" i="27"/>
  <c r="AN398" i="27"/>
  <c r="AN399" i="27"/>
  <c r="AN400" i="27"/>
  <c r="AN401" i="27"/>
  <c r="AN402" i="27"/>
  <c r="AN404" i="27"/>
  <c r="AN406" i="27"/>
  <c r="AN407" i="27"/>
  <c r="AN408" i="27"/>
  <c r="AN410" i="27"/>
  <c r="AN411" i="27"/>
  <c r="AN413" i="27"/>
  <c r="AN416" i="27"/>
  <c r="AN417" i="27"/>
  <c r="AN418" i="27"/>
  <c r="AN419" i="27"/>
  <c r="AN420" i="27"/>
  <c r="AN422" i="27"/>
  <c r="AN424" i="27"/>
  <c r="AN425" i="27"/>
  <c r="AN427" i="27"/>
  <c r="AN428" i="27"/>
  <c r="AN430" i="27"/>
  <c r="AN432" i="27"/>
  <c r="AN435" i="27"/>
  <c r="AN436" i="27"/>
  <c r="AN438" i="27"/>
  <c r="AN439" i="27"/>
  <c r="AN441" i="27"/>
  <c r="AN442" i="27"/>
  <c r="AN443" i="27"/>
  <c r="AN445" i="27"/>
  <c r="AN446" i="27"/>
  <c r="AN447" i="27"/>
  <c r="AN448" i="27"/>
  <c r="AN437" i="27"/>
  <c r="AN450" i="27"/>
  <c r="AN452" i="27"/>
  <c r="AN453" i="27"/>
  <c r="AN454" i="27"/>
  <c r="AN456" i="27"/>
  <c r="AN457" i="27"/>
  <c r="AN459" i="27"/>
  <c r="AN461" i="27"/>
  <c r="AN505" i="27"/>
  <c r="AN507" i="27"/>
  <c r="AN508" i="27"/>
  <c r="AN509" i="27"/>
  <c r="AN513" i="27"/>
  <c r="AN514" i="27"/>
  <c r="AN517" i="27"/>
  <c r="AN477" i="27"/>
  <c r="AN474" i="27"/>
  <c r="AN481" i="27"/>
  <c r="AN479" i="27"/>
  <c r="AN478" i="27"/>
  <c r="AN480" i="27"/>
  <c r="AN485" i="27"/>
  <c r="AN482" i="27"/>
  <c r="AN488" i="27"/>
  <c r="AN486" i="27"/>
  <c r="AN492" i="27"/>
  <c r="AN489" i="27"/>
  <c r="AN493" i="27"/>
  <c r="AN498" i="27"/>
  <c r="AN494" i="27"/>
  <c r="AN495" i="27"/>
  <c r="AN500" i="27"/>
  <c r="AN499" i="27"/>
  <c r="AN518" i="27"/>
  <c r="AN519" i="27"/>
  <c r="AN524" i="27"/>
  <c r="AN525" i="27"/>
  <c r="AN526" i="27"/>
  <c r="AN527" i="27"/>
  <c r="AN529" i="27"/>
  <c r="AN534" i="27"/>
  <c r="AN531" i="27"/>
  <c r="AN532" i="27"/>
  <c r="AN537" i="27"/>
  <c r="AN536" i="27"/>
  <c r="AN540" i="27"/>
  <c r="AN541" i="27"/>
  <c r="AN539" i="27"/>
  <c r="AN543" i="27"/>
  <c r="AN542" i="27"/>
  <c r="AN544" i="27"/>
  <c r="AN545" i="27"/>
  <c r="AN547" i="27"/>
  <c r="AN548" i="27"/>
  <c r="AN549" i="27"/>
  <c r="AN520" i="27"/>
  <c r="AN521" i="27"/>
  <c r="AN523" i="27"/>
  <c r="AN550" i="27"/>
  <c r="AN551" i="27"/>
  <c r="AN552" i="27"/>
  <c r="AN553" i="27"/>
  <c r="AN554" i="27"/>
  <c r="AN563" i="27"/>
  <c r="AN564" i="27"/>
  <c r="AN565" i="27"/>
  <c r="AN566" i="27"/>
  <c r="AN557" i="27"/>
  <c r="AN556" i="27"/>
  <c r="AN559" i="27"/>
  <c r="AN558" i="27"/>
  <c r="AN560" i="27"/>
  <c r="AN561" i="27"/>
  <c r="AN562" i="27"/>
  <c r="AN568" i="27"/>
  <c r="AN567" i="27"/>
  <c r="AN570" i="27"/>
  <c r="AN569" i="27"/>
  <c r="AN573" i="27"/>
  <c r="AN659" i="27"/>
  <c r="AN647" i="27"/>
  <c r="AN649" i="27"/>
  <c r="AN650" i="27"/>
  <c r="AN652" i="27"/>
  <c r="AN653" i="27"/>
  <c r="AN655" i="27"/>
  <c r="AN656" i="27"/>
  <c r="AN658" i="27"/>
  <c r="AN637" i="27"/>
  <c r="AN638" i="27"/>
  <c r="AN639" i="27"/>
  <c r="AN640" i="27"/>
  <c r="AN641" i="27"/>
  <c r="AN642" i="27"/>
  <c r="AN643" i="27"/>
  <c r="AN644" i="27"/>
  <c r="AN574" i="27"/>
  <c r="AN576" i="27"/>
  <c r="AN578" i="27"/>
  <c r="AN579" i="27"/>
  <c r="AN580" i="27"/>
  <c r="AN581" i="27"/>
  <c r="AN584" i="27"/>
  <c r="AN583" i="27"/>
  <c r="AN586" i="27"/>
  <c r="AN588" i="27"/>
  <c r="AN589" i="27"/>
  <c r="AN591" i="27"/>
  <c r="AN623" i="27"/>
  <c r="AN593" i="27"/>
  <c r="AN594" i="27"/>
  <c r="AN595" i="27"/>
  <c r="AN597" i="27"/>
  <c r="AN598" i="27"/>
  <c r="AN599" i="27"/>
  <c r="AN603" i="27"/>
  <c r="AN604" i="27"/>
  <c r="AN605" i="27"/>
  <c r="AN606" i="27"/>
  <c r="AN607" i="27"/>
  <c r="AN609" i="27"/>
  <c r="AN610" i="27"/>
  <c r="AN612" i="27"/>
  <c r="AN613" i="27"/>
  <c r="AN614" i="27"/>
  <c r="AN615" i="27"/>
  <c r="AN616" i="27"/>
  <c r="AN618" i="27"/>
  <c r="AN619" i="27"/>
  <c r="AN620" i="27"/>
  <c r="AN621" i="27"/>
  <c r="AN622" i="27"/>
  <c r="AN625" i="27"/>
  <c r="AN626" i="27"/>
  <c r="AN627" i="27"/>
  <c r="AN629" i="27"/>
  <c r="AN630" i="27"/>
  <c r="AN631" i="27"/>
  <c r="AN632" i="27"/>
  <c r="AN633" i="27"/>
  <c r="AN634" i="27"/>
  <c r="AN635" i="27"/>
  <c r="AN645" i="27"/>
  <c r="AN646" i="27"/>
  <c r="AN660" i="27"/>
  <c r="AN661" i="27"/>
  <c r="AN662" i="27"/>
  <c r="AN663" i="27"/>
  <c r="K6" i="27"/>
  <c r="BN6" i="27" s="1"/>
  <c r="L6" i="27"/>
  <c r="M6" i="27"/>
  <c r="N6" i="27"/>
  <c r="P6" i="27"/>
  <c r="Q6" i="27" s="1"/>
  <c r="AK6" i="27"/>
  <c r="AP6" i="27"/>
  <c r="AR6" i="27" s="1"/>
  <c r="AQ6" i="27"/>
  <c r="AW6" i="27"/>
  <c r="AX6" i="27" s="1"/>
  <c r="BF6" i="27"/>
  <c r="BG6" i="27"/>
  <c r="BJ6" i="27"/>
  <c r="BK6" i="27"/>
  <c r="BU6" i="27"/>
  <c r="K200" i="27"/>
  <c r="BO200" i="27" s="1"/>
  <c r="L200" i="27"/>
  <c r="M200" i="27"/>
  <c r="N200" i="27"/>
  <c r="P200" i="27"/>
  <c r="Q200" i="27" s="1"/>
  <c r="AK200" i="27"/>
  <c r="AP200" i="27"/>
  <c r="AR200" i="27" s="1"/>
  <c r="AQ200" i="27"/>
  <c r="AW200" i="27"/>
  <c r="AX200" i="27" s="1"/>
  <c r="BF200" i="27"/>
  <c r="BG200" i="27"/>
  <c r="BJ200" i="27"/>
  <c r="BK200" i="27"/>
  <c r="BU200" i="27"/>
  <c r="K94" i="27"/>
  <c r="BS94" i="27" s="1"/>
  <c r="L94" i="27"/>
  <c r="M94" i="27"/>
  <c r="N94" i="27"/>
  <c r="P94" i="27"/>
  <c r="Q94" i="27" s="1"/>
  <c r="AK94" i="27"/>
  <c r="AP94" i="27"/>
  <c r="AR94" i="27" s="1"/>
  <c r="AQ94" i="27"/>
  <c r="AW94" i="27"/>
  <c r="AX94" i="27" s="1"/>
  <c r="BF94" i="27"/>
  <c r="BG94" i="27"/>
  <c r="BJ94" i="27"/>
  <c r="BK94" i="27"/>
  <c r="BU94" i="27"/>
  <c r="A94" i="27" l="1"/>
  <c r="A6" i="27"/>
  <c r="A200" i="27"/>
  <c r="BN94" i="27"/>
  <c r="BN200" i="27"/>
  <c r="BP6" i="27"/>
  <c r="BI6" i="27"/>
  <c r="BP94" i="27"/>
  <c r="BO94" i="27"/>
  <c r="BS6" i="27"/>
  <c r="BQ6" i="27"/>
  <c r="BO6" i="27"/>
  <c r="BQ94" i="27"/>
  <c r="O6" i="27"/>
  <c r="BB6" i="27"/>
  <c r="BC6" i="27" s="1"/>
  <c r="AY6" i="27"/>
  <c r="AZ6" i="27" s="1"/>
  <c r="BQ200" i="27"/>
  <c r="BP200" i="27"/>
  <c r="BS200" i="27"/>
  <c r="BI200" i="27"/>
  <c r="O200" i="27"/>
  <c r="BB200" i="27"/>
  <c r="BC200" i="27" s="1"/>
  <c r="AY200" i="27"/>
  <c r="AZ200" i="27" s="1"/>
  <c r="BI94" i="27"/>
  <c r="AY94" i="27"/>
  <c r="AZ94" i="27" s="1"/>
  <c r="O94" i="27"/>
  <c r="BB94" i="27"/>
  <c r="BC94" i="27" s="1"/>
  <c r="K78" i="27"/>
  <c r="BN78" i="27" s="1"/>
  <c r="L78" i="27"/>
  <c r="M78" i="27"/>
  <c r="N78" i="27"/>
  <c r="P78" i="27"/>
  <c r="Q78" i="27" s="1"/>
  <c r="AK78" i="27"/>
  <c r="AP78" i="27"/>
  <c r="AR78" i="27" s="1"/>
  <c r="AQ78" i="27"/>
  <c r="AW78" i="27"/>
  <c r="AY78" i="27" s="1"/>
  <c r="AZ78" i="27" s="1"/>
  <c r="BF78" i="27"/>
  <c r="BG78" i="27"/>
  <c r="BJ78" i="27"/>
  <c r="BK78" i="27"/>
  <c r="BU78" i="27"/>
  <c r="K93" i="27"/>
  <c r="BN93" i="27" s="1"/>
  <c r="L93" i="27"/>
  <c r="M93" i="27"/>
  <c r="N93" i="27"/>
  <c r="P93" i="27"/>
  <c r="Q93" i="27" s="1"/>
  <c r="AK93" i="27"/>
  <c r="AP93" i="27"/>
  <c r="AR93" i="27" s="1"/>
  <c r="AQ93" i="27"/>
  <c r="AW93" i="27"/>
  <c r="AY93" i="27" s="1"/>
  <c r="AZ93" i="27" s="1"/>
  <c r="BF93" i="27"/>
  <c r="BG93" i="27"/>
  <c r="BJ93" i="27"/>
  <c r="BK93" i="27"/>
  <c r="BU93" i="27"/>
  <c r="K77" i="27"/>
  <c r="BO77" i="27" s="1"/>
  <c r="L77" i="27"/>
  <c r="M77" i="27"/>
  <c r="N77" i="27"/>
  <c r="P77" i="27"/>
  <c r="Q77" i="27" s="1"/>
  <c r="AK77" i="27"/>
  <c r="AP77" i="27"/>
  <c r="AR77" i="27" s="1"/>
  <c r="AQ77" i="27"/>
  <c r="AW77" i="27"/>
  <c r="AY77" i="27" s="1"/>
  <c r="AZ77" i="27" s="1"/>
  <c r="BF77" i="27"/>
  <c r="BG77" i="27"/>
  <c r="BJ77" i="27"/>
  <c r="BK77" i="27"/>
  <c r="BU77" i="27"/>
  <c r="AT200" i="27" l="1"/>
  <c r="AV200" i="27" s="1"/>
  <c r="AU200" i="27"/>
  <c r="BA200" i="27"/>
  <c r="BA6" i="27"/>
  <c r="AT6" i="27"/>
  <c r="AV6" i="27" s="1"/>
  <c r="AU6" i="27"/>
  <c r="O78" i="27"/>
  <c r="BA94" i="27"/>
  <c r="AT94" i="27"/>
  <c r="AV94" i="27" s="1"/>
  <c r="AU94" i="27"/>
  <c r="A93" i="27"/>
  <c r="O77" i="27"/>
  <c r="BQ78" i="27"/>
  <c r="BI93" i="27"/>
  <c r="AX78" i="27"/>
  <c r="A78" i="27"/>
  <c r="BS78" i="27"/>
  <c r="BP78" i="27"/>
  <c r="BO78" i="27"/>
  <c r="BB78" i="27"/>
  <c r="BC78" i="27" s="1"/>
  <c r="BI78" i="27"/>
  <c r="O93" i="27"/>
  <c r="BS93" i="27"/>
  <c r="BQ93" i="27"/>
  <c r="AX93" i="27"/>
  <c r="BP93" i="27"/>
  <c r="BO93" i="27"/>
  <c r="BB93" i="27"/>
  <c r="BC93" i="27" s="1"/>
  <c r="BN77" i="27"/>
  <c r="AX77" i="27"/>
  <c r="BS77" i="27"/>
  <c r="BQ77" i="27"/>
  <c r="BB77" i="27"/>
  <c r="BC77" i="27" s="1"/>
  <c r="A77" i="27"/>
  <c r="BP77" i="27"/>
  <c r="BI77" i="27"/>
  <c r="AT78" i="27" l="1"/>
  <c r="AV78" i="27" s="1"/>
  <c r="BA78" i="27"/>
  <c r="AU78" i="27"/>
  <c r="AT93" i="27"/>
  <c r="AV93" i="27" s="1"/>
  <c r="BA93" i="27"/>
  <c r="AU93" i="27"/>
  <c r="AT77" i="27"/>
  <c r="AV77" i="27" s="1"/>
  <c r="AU77" i="27"/>
  <c r="BA77" i="27"/>
  <c r="K59" i="27"/>
  <c r="BO59" i="27" s="1"/>
  <c r="L59" i="27"/>
  <c r="M59" i="27"/>
  <c r="N59" i="27"/>
  <c r="P59" i="27"/>
  <c r="Q59" i="27" s="1"/>
  <c r="AK59" i="27"/>
  <c r="AP59" i="27"/>
  <c r="AR59" i="27" s="1"/>
  <c r="AQ59" i="27"/>
  <c r="AW59" i="27"/>
  <c r="AX59" i="27" s="1"/>
  <c r="BF59" i="27"/>
  <c r="BG59" i="27"/>
  <c r="BJ59" i="27"/>
  <c r="BK59" i="27"/>
  <c r="BU59" i="27"/>
  <c r="A59" i="27" l="1"/>
  <c r="BN59" i="27"/>
  <c r="BS59" i="27"/>
  <c r="BQ59" i="27"/>
  <c r="BP59" i="27"/>
  <c r="BI59" i="27"/>
  <c r="AY59" i="27"/>
  <c r="AZ59" i="27" s="1"/>
  <c r="O59" i="27"/>
  <c r="BB59" i="27"/>
  <c r="BC59" i="27" s="1"/>
  <c r="K160" i="27"/>
  <c r="BQ160" i="27" s="1"/>
  <c r="L160" i="27"/>
  <c r="M160" i="27"/>
  <c r="N160" i="27"/>
  <c r="P160" i="27"/>
  <c r="Q160" i="27" s="1"/>
  <c r="AK160" i="27"/>
  <c r="AP160" i="27"/>
  <c r="AR160" i="27" s="1"/>
  <c r="AQ160" i="27"/>
  <c r="AW160" i="27"/>
  <c r="AX160" i="27" s="1"/>
  <c r="BF160" i="27"/>
  <c r="BG160" i="27"/>
  <c r="BJ160" i="27"/>
  <c r="BK160" i="27"/>
  <c r="BU160" i="27"/>
  <c r="K155" i="27"/>
  <c r="BQ155" i="27" s="1"/>
  <c r="L155" i="27"/>
  <c r="M155" i="27"/>
  <c r="N155" i="27"/>
  <c r="P155" i="27"/>
  <c r="Q155" i="27" s="1"/>
  <c r="AK155" i="27"/>
  <c r="AP155" i="27"/>
  <c r="AR155" i="27" s="1"/>
  <c r="AQ155" i="27"/>
  <c r="AW155" i="27"/>
  <c r="AX155" i="27" s="1"/>
  <c r="BF155" i="27"/>
  <c r="BG155" i="27"/>
  <c r="BJ155" i="27"/>
  <c r="BK155" i="27"/>
  <c r="BU155" i="27"/>
  <c r="K656" i="27"/>
  <c r="BN656" i="27" s="1"/>
  <c r="L656" i="27"/>
  <c r="M656" i="27"/>
  <c r="N656" i="27"/>
  <c r="P656" i="27"/>
  <c r="Q656" i="27" s="1"/>
  <c r="AK656" i="27"/>
  <c r="AP656" i="27"/>
  <c r="AR656" i="27" s="1"/>
  <c r="AQ656" i="27"/>
  <c r="AW656" i="27"/>
  <c r="BB656" i="27" s="1"/>
  <c r="BC656" i="27" s="1"/>
  <c r="BF656" i="27"/>
  <c r="BG656" i="27"/>
  <c r="BJ656" i="27"/>
  <c r="BK656" i="27"/>
  <c r="BU656" i="27"/>
  <c r="AU59" i="27" l="1"/>
  <c r="AT59" i="27"/>
  <c r="AV59" i="27" s="1"/>
  <c r="BA59" i="27"/>
  <c r="O656" i="27"/>
  <c r="A155" i="27"/>
  <c r="A160" i="27"/>
  <c r="BP160" i="27"/>
  <c r="BP155" i="27"/>
  <c r="BI160" i="27"/>
  <c r="BO155" i="27"/>
  <c r="BO160" i="27"/>
  <c r="BN155" i="27"/>
  <c r="BS160" i="27"/>
  <c r="BN160" i="27"/>
  <c r="O160" i="27"/>
  <c r="BB160" i="27"/>
  <c r="BC160" i="27" s="1"/>
  <c r="AY160" i="27"/>
  <c r="AZ160" i="27" s="1"/>
  <c r="BS155" i="27"/>
  <c r="BI155" i="27"/>
  <c r="O155" i="27"/>
  <c r="BB155" i="27"/>
  <c r="BC155" i="27" s="1"/>
  <c r="BI656" i="27"/>
  <c r="A656" i="27"/>
  <c r="AY155" i="27"/>
  <c r="AZ155" i="27" s="1"/>
  <c r="AY656" i="27"/>
  <c r="AZ656" i="27" s="1"/>
  <c r="AX656" i="27"/>
  <c r="BS656" i="27"/>
  <c r="BQ656" i="27"/>
  <c r="BP656" i="27"/>
  <c r="BO656" i="27"/>
  <c r="K128" i="27"/>
  <c r="BO128" i="27" s="1"/>
  <c r="L128" i="27"/>
  <c r="M128" i="27"/>
  <c r="N128" i="27"/>
  <c r="P128" i="27"/>
  <c r="Q128" i="27" s="1"/>
  <c r="AK128" i="27"/>
  <c r="AP128" i="27"/>
  <c r="AR128" i="27" s="1"/>
  <c r="AQ128" i="27"/>
  <c r="AW128" i="27"/>
  <c r="AX128" i="27" s="1"/>
  <c r="BF128" i="27"/>
  <c r="BG128" i="27"/>
  <c r="BJ128" i="27"/>
  <c r="BK128" i="27"/>
  <c r="BU128" i="27"/>
  <c r="BU8" i="27"/>
  <c r="BU9" i="27"/>
  <c r="BU10" i="27"/>
  <c r="BU11" i="27"/>
  <c r="BU13" i="27"/>
  <c r="BU12" i="27"/>
  <c r="BU15" i="27"/>
  <c r="BU14" i="27"/>
  <c r="BU18" i="27"/>
  <c r="BU19" i="27"/>
  <c r="BU25" i="27"/>
  <c r="BU22" i="27"/>
  <c r="BU24" i="27"/>
  <c r="BU20" i="27"/>
  <c r="BU21" i="27"/>
  <c r="BU27" i="27"/>
  <c r="BU28" i="27"/>
  <c r="BU29" i="27"/>
  <c r="BU30" i="27"/>
  <c r="BU31" i="27"/>
  <c r="BU32" i="27"/>
  <c r="BU33" i="27"/>
  <c r="BU34" i="27"/>
  <c r="BU35" i="27"/>
  <c r="BU36" i="27"/>
  <c r="BU37" i="27"/>
  <c r="BU38" i="27"/>
  <c r="BU39" i="27"/>
  <c r="BU40" i="27"/>
  <c r="BU41" i="27"/>
  <c r="BU42" i="27"/>
  <c r="BU43" i="27"/>
  <c r="BU44" i="27"/>
  <c r="BU45" i="27"/>
  <c r="BU48" i="27"/>
  <c r="BU49" i="27"/>
  <c r="BU50" i="27"/>
  <c r="BU51" i="27"/>
  <c r="BU52" i="27"/>
  <c r="BU53" i="27"/>
  <c r="BU54" i="27"/>
  <c r="BU55" i="27"/>
  <c r="BU56" i="27"/>
  <c r="BU57" i="27"/>
  <c r="BU58" i="27"/>
  <c r="BU60" i="27"/>
  <c r="BU61" i="27"/>
  <c r="BU62" i="27"/>
  <c r="BU63" i="27"/>
  <c r="BU64" i="27"/>
  <c r="BU65" i="27"/>
  <c r="BU66" i="27"/>
  <c r="BU67" i="27"/>
  <c r="BU70" i="27"/>
  <c r="BU71" i="27"/>
  <c r="BU72" i="27"/>
  <c r="BU73" i="27"/>
  <c r="BU74" i="27"/>
  <c r="BU75" i="27"/>
  <c r="BU76" i="27"/>
  <c r="BU80" i="27"/>
  <c r="BU82" i="27"/>
  <c r="BU85" i="27"/>
  <c r="BU86" i="27"/>
  <c r="BU88" i="27"/>
  <c r="BU89" i="27"/>
  <c r="BU90" i="27"/>
  <c r="BU91" i="27"/>
  <c r="BU92" i="27"/>
  <c r="BU95" i="27"/>
  <c r="BU96" i="27"/>
  <c r="BU99" i="27"/>
  <c r="BU100" i="27"/>
  <c r="BU102" i="27"/>
  <c r="BU103" i="27"/>
  <c r="BU105" i="27"/>
  <c r="BU106" i="27"/>
  <c r="BU107" i="27"/>
  <c r="BU108" i="27"/>
  <c r="BU110" i="27"/>
  <c r="BU111" i="27"/>
  <c r="BU112" i="27"/>
  <c r="BU113" i="27"/>
  <c r="BU114" i="27"/>
  <c r="BU115" i="27"/>
  <c r="BU116" i="27"/>
  <c r="BU118" i="27"/>
  <c r="BU119" i="27"/>
  <c r="BU120" i="27"/>
  <c r="BU202" i="27"/>
  <c r="BU185" i="27"/>
  <c r="BU186" i="27"/>
  <c r="BU187" i="27"/>
  <c r="BU124" i="27"/>
  <c r="BU132" i="27"/>
  <c r="BU125" i="27"/>
  <c r="BU127" i="27"/>
  <c r="BU130" i="27"/>
  <c r="BU121" i="27"/>
  <c r="BU122" i="27"/>
  <c r="BU137" i="27"/>
  <c r="BU138" i="27"/>
  <c r="BU139" i="27"/>
  <c r="BU140" i="27"/>
  <c r="BU133" i="27"/>
  <c r="BU134" i="27"/>
  <c r="BU136" i="27"/>
  <c r="BU141" i="27"/>
  <c r="BU142" i="27"/>
  <c r="BU143" i="27"/>
  <c r="BU145" i="27"/>
  <c r="BU146" i="27"/>
  <c r="BU147" i="27"/>
  <c r="BU149" i="27"/>
  <c r="BU150" i="27"/>
  <c r="BU164" i="27"/>
  <c r="BU165" i="27"/>
  <c r="BU163" i="27"/>
  <c r="BU167" i="27"/>
  <c r="BU168" i="27"/>
  <c r="BU170" i="27"/>
  <c r="BU166" i="27"/>
  <c r="BU152" i="27"/>
  <c r="BU156" i="27"/>
  <c r="BU153" i="27"/>
  <c r="BU161" i="27"/>
  <c r="BU157" i="27"/>
  <c r="BU158" i="27"/>
  <c r="BU162" i="27"/>
  <c r="BU194" i="27"/>
  <c r="BU195" i="27"/>
  <c r="BU199" i="27"/>
  <c r="BU178" i="27"/>
  <c r="BU173" i="27"/>
  <c r="BU181" i="27"/>
  <c r="BU171" i="27"/>
  <c r="BU172" i="27"/>
  <c r="BU174" i="27"/>
  <c r="BU175" i="27"/>
  <c r="BU177" i="27"/>
  <c r="BU190" i="27"/>
  <c r="BU192" i="27"/>
  <c r="BU204" i="27"/>
  <c r="BU205" i="27"/>
  <c r="BU206" i="27"/>
  <c r="BU46" i="27"/>
  <c r="BU212" i="27"/>
  <c r="BU214" i="27"/>
  <c r="BU209" i="27"/>
  <c r="BU210" i="27"/>
  <c r="BU211" i="27"/>
  <c r="BU218" i="27"/>
  <c r="BU219" i="27"/>
  <c r="BU215" i="27"/>
  <c r="BU216" i="27"/>
  <c r="BU217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3" i="27"/>
  <c r="BU234" i="27"/>
  <c r="BU232" i="27"/>
  <c r="BU236" i="27"/>
  <c r="BU237" i="27"/>
  <c r="BU235" i="27"/>
  <c r="BU238" i="27"/>
  <c r="BU240" i="27"/>
  <c r="BU239" i="27"/>
  <c r="BU241" i="27"/>
  <c r="BU243" i="27"/>
  <c r="BU244" i="27"/>
  <c r="BU242" i="27"/>
  <c r="BU246" i="27"/>
  <c r="BU247" i="27"/>
  <c r="BU245" i="27"/>
  <c r="BU249" i="27"/>
  <c r="BU250" i="27"/>
  <c r="BU248" i="27"/>
  <c r="BU253" i="27"/>
  <c r="BU251" i="27"/>
  <c r="BU255" i="27"/>
  <c r="BU258" i="27"/>
  <c r="BU256" i="27"/>
  <c r="BU257" i="27"/>
  <c r="BU263" i="27"/>
  <c r="BU262" i="27"/>
  <c r="BU264" i="27"/>
  <c r="BU260" i="27"/>
  <c r="BU261" i="27"/>
  <c r="BU267" i="27"/>
  <c r="BU268" i="27"/>
  <c r="BU269" i="27"/>
  <c r="BU270" i="27"/>
  <c r="BU271" i="27"/>
  <c r="BU265" i="27"/>
  <c r="BU266" i="27"/>
  <c r="BU273" i="27"/>
  <c r="BU274" i="27"/>
  <c r="BU275" i="27"/>
  <c r="BU276" i="27"/>
  <c r="BU277" i="27"/>
  <c r="BU278" i="27"/>
  <c r="BU279" i="27"/>
  <c r="BU280" i="27"/>
  <c r="BU284" i="27"/>
  <c r="BU283" i="27"/>
  <c r="BU286" i="27"/>
  <c r="BU285" i="27"/>
  <c r="BU282" i="27"/>
  <c r="BU281" i="27"/>
  <c r="BU318" i="27"/>
  <c r="BU288" i="27"/>
  <c r="BU290" i="27"/>
  <c r="BU289" i="27"/>
  <c r="BU291" i="27"/>
  <c r="BU293" i="27"/>
  <c r="BU294" i="27"/>
  <c r="BU296" i="27"/>
  <c r="BU299" i="27"/>
  <c r="BU297" i="27"/>
  <c r="BU298" i="27"/>
  <c r="BU300" i="27"/>
  <c r="BU301" i="27"/>
  <c r="BU303" i="27"/>
  <c r="BU304" i="27"/>
  <c r="BU305" i="27"/>
  <c r="BU306" i="27"/>
  <c r="BU307" i="27"/>
  <c r="BU308" i="27"/>
  <c r="BU311" i="27"/>
  <c r="BU312" i="27"/>
  <c r="BU309" i="27"/>
  <c r="BU313" i="27"/>
  <c r="BU316" i="27"/>
  <c r="BU314" i="27"/>
  <c r="BU319" i="27"/>
  <c r="BU320" i="27"/>
  <c r="BU321" i="27"/>
  <c r="BU323" i="27"/>
  <c r="BU324" i="27"/>
  <c r="BU326" i="27"/>
  <c r="BU327" i="27"/>
  <c r="BU329" i="27"/>
  <c r="BU330" i="27"/>
  <c r="BU331" i="27"/>
  <c r="BU332" i="27"/>
  <c r="BU333" i="27"/>
  <c r="BU339" i="27"/>
  <c r="BU340" i="27"/>
  <c r="BU336" i="27"/>
  <c r="BU337" i="27"/>
  <c r="BU334" i="27"/>
  <c r="BU338" i="27"/>
  <c r="BU341" i="27"/>
  <c r="BU342" i="27"/>
  <c r="BU343" i="27"/>
  <c r="BU344" i="27"/>
  <c r="BU346" i="27"/>
  <c r="BU347" i="27"/>
  <c r="BU348" i="27"/>
  <c r="BU349" i="27"/>
  <c r="BU350" i="27"/>
  <c r="BU351" i="27"/>
  <c r="BU352" i="27"/>
  <c r="BU353" i="27"/>
  <c r="BU354" i="27"/>
  <c r="BU356" i="27"/>
  <c r="BU357" i="27"/>
  <c r="BU358" i="27"/>
  <c r="BU359" i="27"/>
  <c r="BU362" i="27"/>
  <c r="BU364" i="27"/>
  <c r="BU360" i="27"/>
  <c r="BU361" i="27"/>
  <c r="BU365" i="27"/>
  <c r="BU390" i="27"/>
  <c r="BU377" i="27"/>
  <c r="BU379" i="27"/>
  <c r="BU373" i="27"/>
  <c r="BU374" i="27"/>
  <c r="BU380" i="27"/>
  <c r="BU382" i="27"/>
  <c r="BU384" i="27"/>
  <c r="BU381" i="27"/>
  <c r="BU385" i="27"/>
  <c r="BU389" i="27"/>
  <c r="BU387" i="27"/>
  <c r="BU371" i="27"/>
  <c r="BU369" i="27"/>
  <c r="BU367" i="27"/>
  <c r="BU372" i="27"/>
  <c r="BU370" i="27"/>
  <c r="BU391" i="27"/>
  <c r="BU392" i="27"/>
  <c r="BU393" i="27"/>
  <c r="BU396" i="27"/>
  <c r="BU465" i="27"/>
  <c r="BU463" i="27"/>
  <c r="BU464" i="27"/>
  <c r="BU472" i="27"/>
  <c r="BU467" i="27"/>
  <c r="BU468" i="27"/>
  <c r="BU469" i="27"/>
  <c r="BU470" i="27"/>
  <c r="BU397" i="27"/>
  <c r="BU398" i="27"/>
  <c r="BU399" i="27"/>
  <c r="BU400" i="27"/>
  <c r="BU401" i="27"/>
  <c r="BU402" i="27"/>
  <c r="BU404" i="27"/>
  <c r="BU406" i="27"/>
  <c r="BU407" i="27"/>
  <c r="BU408" i="27"/>
  <c r="BU410" i="27"/>
  <c r="BU411" i="27"/>
  <c r="BU413" i="27"/>
  <c r="BU416" i="27"/>
  <c r="BU417" i="27"/>
  <c r="BU418" i="27"/>
  <c r="BU419" i="27"/>
  <c r="BU420" i="27"/>
  <c r="BU422" i="27"/>
  <c r="BU424" i="27"/>
  <c r="BU425" i="27"/>
  <c r="BU427" i="27"/>
  <c r="BU428" i="27"/>
  <c r="BU430" i="27"/>
  <c r="BU432" i="27"/>
  <c r="BU435" i="27"/>
  <c r="BU436" i="27"/>
  <c r="BU438" i="27"/>
  <c r="BU439" i="27"/>
  <c r="BU441" i="27"/>
  <c r="BU442" i="27"/>
  <c r="BU443" i="27"/>
  <c r="BU445" i="27"/>
  <c r="BU446" i="27"/>
  <c r="BU447" i="27"/>
  <c r="BU448" i="27"/>
  <c r="BU437" i="27"/>
  <c r="BU450" i="27"/>
  <c r="BU452" i="27"/>
  <c r="BU453" i="27"/>
  <c r="BU454" i="27"/>
  <c r="BU456" i="27"/>
  <c r="BU457" i="27"/>
  <c r="BU459" i="27"/>
  <c r="BU461" i="27"/>
  <c r="BU505" i="27"/>
  <c r="BU507" i="27"/>
  <c r="BU508" i="27"/>
  <c r="BU509" i="27"/>
  <c r="BU513" i="27"/>
  <c r="BU514" i="27"/>
  <c r="BU517" i="27"/>
  <c r="BU477" i="27"/>
  <c r="BU474" i="27"/>
  <c r="BU481" i="27"/>
  <c r="BU479" i="27"/>
  <c r="BU478" i="27"/>
  <c r="BU480" i="27"/>
  <c r="BU485" i="27"/>
  <c r="BU482" i="27"/>
  <c r="BU488" i="27"/>
  <c r="BU486" i="27"/>
  <c r="BU492" i="27"/>
  <c r="BU489" i="27"/>
  <c r="BU493" i="27"/>
  <c r="BU498" i="27"/>
  <c r="BU494" i="27"/>
  <c r="BU495" i="27"/>
  <c r="BU500" i="27"/>
  <c r="BU499" i="27"/>
  <c r="BU518" i="27"/>
  <c r="BU519" i="27"/>
  <c r="BU524" i="27"/>
  <c r="BU525" i="27"/>
  <c r="BU526" i="27"/>
  <c r="BU527" i="27"/>
  <c r="BU529" i="27"/>
  <c r="BU534" i="27"/>
  <c r="BU531" i="27"/>
  <c r="BU532" i="27"/>
  <c r="BU537" i="27"/>
  <c r="BU536" i="27"/>
  <c r="BU540" i="27"/>
  <c r="BU541" i="27"/>
  <c r="BU539" i="27"/>
  <c r="BU543" i="27"/>
  <c r="BU542" i="27"/>
  <c r="BU544" i="27"/>
  <c r="BU545" i="27"/>
  <c r="BU547" i="27"/>
  <c r="BU548" i="27"/>
  <c r="BU549" i="27"/>
  <c r="BU520" i="27"/>
  <c r="BU521" i="27"/>
  <c r="BU523" i="27"/>
  <c r="BU550" i="27"/>
  <c r="BU551" i="27"/>
  <c r="BU552" i="27"/>
  <c r="BU553" i="27"/>
  <c r="BU554" i="27"/>
  <c r="BU563" i="27"/>
  <c r="BU564" i="27"/>
  <c r="BU565" i="27"/>
  <c r="BU566" i="27"/>
  <c r="BU557" i="27"/>
  <c r="BU556" i="27"/>
  <c r="BU559" i="27"/>
  <c r="BU558" i="27"/>
  <c r="BU560" i="27"/>
  <c r="BU561" i="27"/>
  <c r="BU562" i="27"/>
  <c r="BU568" i="27"/>
  <c r="BU567" i="27"/>
  <c r="BU570" i="27"/>
  <c r="BU569" i="27"/>
  <c r="BU573" i="27"/>
  <c r="BU659" i="27"/>
  <c r="BU647" i="27"/>
  <c r="BU649" i="27"/>
  <c r="BU650" i="27"/>
  <c r="BU652" i="27"/>
  <c r="BU653" i="27"/>
  <c r="BU655" i="27"/>
  <c r="BU658" i="27"/>
  <c r="BU637" i="27"/>
  <c r="BU638" i="27"/>
  <c r="BU639" i="27"/>
  <c r="BU640" i="27"/>
  <c r="BU641" i="27"/>
  <c r="BU642" i="27"/>
  <c r="BU643" i="27"/>
  <c r="BU644" i="27"/>
  <c r="BU574" i="27"/>
  <c r="BU576" i="27"/>
  <c r="BU578" i="27"/>
  <c r="BU579" i="27"/>
  <c r="BU580" i="27"/>
  <c r="BU581" i="27"/>
  <c r="BU584" i="27"/>
  <c r="BU583" i="27"/>
  <c r="BU586" i="27"/>
  <c r="BU588" i="27"/>
  <c r="BU589" i="27"/>
  <c r="BU591" i="27"/>
  <c r="BU623" i="27"/>
  <c r="BU593" i="27"/>
  <c r="BU594" i="27"/>
  <c r="BU595" i="27"/>
  <c r="BU597" i="27"/>
  <c r="BU598" i="27"/>
  <c r="BU599" i="27"/>
  <c r="BU603" i="27"/>
  <c r="BU604" i="27"/>
  <c r="BU605" i="27"/>
  <c r="BU606" i="27"/>
  <c r="BU607" i="27"/>
  <c r="BU609" i="27"/>
  <c r="BU610" i="27"/>
  <c r="BU612" i="27"/>
  <c r="BU613" i="27"/>
  <c r="BU614" i="27"/>
  <c r="BU615" i="27"/>
  <c r="BU616" i="27"/>
  <c r="BU618" i="27"/>
  <c r="BU619" i="27"/>
  <c r="BU620" i="27"/>
  <c r="BU621" i="27"/>
  <c r="BU622" i="27"/>
  <c r="BU625" i="27"/>
  <c r="BU626" i="27"/>
  <c r="BU627" i="27"/>
  <c r="BU629" i="27"/>
  <c r="BU630" i="27"/>
  <c r="BU631" i="27"/>
  <c r="BU632" i="27"/>
  <c r="BU633" i="27"/>
  <c r="BU634" i="27"/>
  <c r="BU635" i="27"/>
  <c r="BU645" i="27"/>
  <c r="BU646" i="27"/>
  <c r="BU660" i="27"/>
  <c r="BU661" i="27"/>
  <c r="BU662" i="27"/>
  <c r="BU663" i="27"/>
  <c r="AT656" i="27" l="1"/>
  <c r="AV656" i="27" s="1"/>
  <c r="AU656" i="27"/>
  <c r="BA656" i="27"/>
  <c r="AT160" i="27"/>
  <c r="AV160" i="27" s="1"/>
  <c r="BA160" i="27"/>
  <c r="AU160" i="27"/>
  <c r="AU155" i="27"/>
  <c r="BA155" i="27"/>
  <c r="AT155" i="27"/>
  <c r="AV155" i="27" s="1"/>
  <c r="A128" i="27"/>
  <c r="BN128" i="27"/>
  <c r="BI128" i="27"/>
  <c r="BS128" i="27"/>
  <c r="BQ128" i="27"/>
  <c r="BP128" i="27"/>
  <c r="O128" i="27"/>
  <c r="BB128" i="27"/>
  <c r="BC128" i="27" s="1"/>
  <c r="AY128" i="27"/>
  <c r="AZ128" i="27" s="1"/>
  <c r="AK8" i="27"/>
  <c r="AK9" i="27"/>
  <c r="AK10" i="27"/>
  <c r="AK11" i="27"/>
  <c r="AK13" i="27"/>
  <c r="AK12" i="27"/>
  <c r="AK15" i="27"/>
  <c r="AK14" i="27"/>
  <c r="AK18" i="27"/>
  <c r="AK19" i="27"/>
  <c r="AK25" i="27"/>
  <c r="AK22" i="27"/>
  <c r="AK24" i="27"/>
  <c r="AK20" i="27"/>
  <c r="AK21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8" i="27"/>
  <c r="AK49" i="27"/>
  <c r="AK50" i="27"/>
  <c r="AK51" i="27"/>
  <c r="AK52" i="27"/>
  <c r="AK53" i="27"/>
  <c r="AK54" i="27"/>
  <c r="AK55" i="27"/>
  <c r="AK56" i="27"/>
  <c r="AK57" i="27"/>
  <c r="AK58" i="27"/>
  <c r="AK60" i="27"/>
  <c r="AK61" i="27"/>
  <c r="AK62" i="27"/>
  <c r="AK63" i="27"/>
  <c r="AK64" i="27"/>
  <c r="AK65" i="27"/>
  <c r="AK66" i="27"/>
  <c r="AK67" i="27"/>
  <c r="AK70" i="27"/>
  <c r="AK71" i="27"/>
  <c r="AK72" i="27"/>
  <c r="AK73" i="27"/>
  <c r="AK74" i="27"/>
  <c r="AK75" i="27"/>
  <c r="AK76" i="27"/>
  <c r="AK80" i="27"/>
  <c r="AK82" i="27"/>
  <c r="AK85" i="27"/>
  <c r="AK86" i="27"/>
  <c r="AK88" i="27"/>
  <c r="AK89" i="27"/>
  <c r="AK90" i="27"/>
  <c r="AK91" i="27"/>
  <c r="AK92" i="27"/>
  <c r="AK95" i="27"/>
  <c r="AK96" i="27"/>
  <c r="AK99" i="27"/>
  <c r="AK100" i="27"/>
  <c r="AK102" i="27"/>
  <c r="AK103" i="27"/>
  <c r="AK105" i="27"/>
  <c r="AK106" i="27"/>
  <c r="AK107" i="27"/>
  <c r="AK108" i="27"/>
  <c r="AK110" i="27"/>
  <c r="AK111" i="27"/>
  <c r="AK112" i="27"/>
  <c r="AK113" i="27"/>
  <c r="AK114" i="27"/>
  <c r="AK115" i="27"/>
  <c r="AK116" i="27"/>
  <c r="AK118" i="27"/>
  <c r="AK119" i="27"/>
  <c r="AK120" i="27"/>
  <c r="AK202" i="27"/>
  <c r="AK185" i="27"/>
  <c r="AK186" i="27"/>
  <c r="AK187" i="27"/>
  <c r="AK124" i="27"/>
  <c r="AK132" i="27"/>
  <c r="AK125" i="27"/>
  <c r="AK127" i="27"/>
  <c r="AK130" i="27"/>
  <c r="AK121" i="27"/>
  <c r="AK122" i="27"/>
  <c r="AK137" i="27"/>
  <c r="AK138" i="27"/>
  <c r="AK139" i="27"/>
  <c r="AK140" i="27"/>
  <c r="AK133" i="27"/>
  <c r="AK134" i="27"/>
  <c r="AK136" i="27"/>
  <c r="AK141" i="27"/>
  <c r="AK142" i="27"/>
  <c r="AK143" i="27"/>
  <c r="AK145" i="27"/>
  <c r="AK146" i="27"/>
  <c r="AK147" i="27"/>
  <c r="AK149" i="27"/>
  <c r="AK150" i="27"/>
  <c r="AK164" i="27"/>
  <c r="AK165" i="27"/>
  <c r="AK163" i="27"/>
  <c r="AK167" i="27"/>
  <c r="AK168" i="27"/>
  <c r="AK170" i="27"/>
  <c r="AK166" i="27"/>
  <c r="AK152" i="27"/>
  <c r="AK156" i="27"/>
  <c r="AK153" i="27"/>
  <c r="AK161" i="27"/>
  <c r="AK157" i="27"/>
  <c r="AK158" i="27"/>
  <c r="AK162" i="27"/>
  <c r="AK194" i="27"/>
  <c r="AK195" i="27"/>
  <c r="AK199" i="27"/>
  <c r="AK178" i="27"/>
  <c r="AK173" i="27"/>
  <c r="AK181" i="27"/>
  <c r="AK171" i="27"/>
  <c r="AK172" i="27"/>
  <c r="AK174" i="27"/>
  <c r="AK175" i="27"/>
  <c r="AK177" i="27"/>
  <c r="AK190" i="27"/>
  <c r="AK192" i="27"/>
  <c r="AK204" i="27"/>
  <c r="AK205" i="27"/>
  <c r="AK206" i="27"/>
  <c r="AK46" i="27"/>
  <c r="AK212" i="27"/>
  <c r="AK214" i="27"/>
  <c r="AK209" i="27"/>
  <c r="AK210" i="27"/>
  <c r="AK211" i="27"/>
  <c r="AK218" i="27"/>
  <c r="AK219" i="27"/>
  <c r="AK215" i="27"/>
  <c r="AK216" i="27"/>
  <c r="AK217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3" i="27"/>
  <c r="AK234" i="27"/>
  <c r="AK232" i="27"/>
  <c r="AK236" i="27"/>
  <c r="AK237" i="27"/>
  <c r="AK235" i="27"/>
  <c r="AK238" i="27"/>
  <c r="AK240" i="27"/>
  <c r="AK239" i="27"/>
  <c r="AK241" i="27"/>
  <c r="AK243" i="27"/>
  <c r="AK244" i="27"/>
  <c r="AK242" i="27"/>
  <c r="AK246" i="27"/>
  <c r="AK247" i="27"/>
  <c r="AK245" i="27"/>
  <c r="AK249" i="27"/>
  <c r="AK250" i="27"/>
  <c r="AK248" i="27"/>
  <c r="AK253" i="27"/>
  <c r="AK251" i="27"/>
  <c r="AK255" i="27"/>
  <c r="AK258" i="27"/>
  <c r="AK256" i="27"/>
  <c r="AK257" i="27"/>
  <c r="AK263" i="27"/>
  <c r="AK262" i="27"/>
  <c r="AK264" i="27"/>
  <c r="AK260" i="27"/>
  <c r="AK261" i="27"/>
  <c r="AK267" i="27"/>
  <c r="AK268" i="27"/>
  <c r="AK269" i="27"/>
  <c r="AK270" i="27"/>
  <c r="AK271" i="27"/>
  <c r="AK265" i="27"/>
  <c r="AK266" i="27"/>
  <c r="AK273" i="27"/>
  <c r="AK274" i="27"/>
  <c r="AK275" i="27"/>
  <c r="AK276" i="27"/>
  <c r="AK277" i="27"/>
  <c r="AK278" i="27"/>
  <c r="AK279" i="27"/>
  <c r="AK280" i="27"/>
  <c r="AK284" i="27"/>
  <c r="AK283" i="27"/>
  <c r="AK286" i="27"/>
  <c r="AK285" i="27"/>
  <c r="AK282" i="27"/>
  <c r="AK281" i="27"/>
  <c r="AK318" i="27"/>
  <c r="AK288" i="27"/>
  <c r="AK290" i="27"/>
  <c r="AK289" i="27"/>
  <c r="AK291" i="27"/>
  <c r="AK293" i="27"/>
  <c r="AK294" i="27"/>
  <c r="AK296" i="27"/>
  <c r="AK299" i="27"/>
  <c r="AK297" i="27"/>
  <c r="AK298" i="27"/>
  <c r="AK300" i="27"/>
  <c r="AK301" i="27"/>
  <c r="AK303" i="27"/>
  <c r="AK304" i="27"/>
  <c r="AK305" i="27"/>
  <c r="AK306" i="27"/>
  <c r="AK307" i="27"/>
  <c r="AK308" i="27"/>
  <c r="AK311" i="27"/>
  <c r="AK312" i="27"/>
  <c r="AK309" i="27"/>
  <c r="AK313" i="27"/>
  <c r="AK316" i="27"/>
  <c r="AK314" i="27"/>
  <c r="AK319" i="27"/>
  <c r="AK320" i="27"/>
  <c r="AK321" i="27"/>
  <c r="AK323" i="27"/>
  <c r="AK324" i="27"/>
  <c r="AK326" i="27"/>
  <c r="AK327" i="27"/>
  <c r="AK329" i="27"/>
  <c r="AK330" i="27"/>
  <c r="AK331" i="27"/>
  <c r="AK332" i="27"/>
  <c r="AK333" i="27"/>
  <c r="AK339" i="27"/>
  <c r="AK340" i="27"/>
  <c r="AK336" i="27"/>
  <c r="AK337" i="27"/>
  <c r="AK334" i="27"/>
  <c r="AK338" i="27"/>
  <c r="AK341" i="27"/>
  <c r="AK342" i="27"/>
  <c r="AK343" i="27"/>
  <c r="AK344" i="27"/>
  <c r="AK346" i="27"/>
  <c r="AK347" i="27"/>
  <c r="AK348" i="27"/>
  <c r="AK349" i="27"/>
  <c r="AK350" i="27"/>
  <c r="AK351" i="27"/>
  <c r="AK352" i="27"/>
  <c r="AK353" i="27"/>
  <c r="AK354" i="27"/>
  <c r="AK356" i="27"/>
  <c r="AK357" i="27"/>
  <c r="AK358" i="27"/>
  <c r="AK359" i="27"/>
  <c r="AK362" i="27"/>
  <c r="AK364" i="27"/>
  <c r="AK360" i="27"/>
  <c r="AK361" i="27"/>
  <c r="AK365" i="27"/>
  <c r="AK390" i="27"/>
  <c r="AK377" i="27"/>
  <c r="AK379" i="27"/>
  <c r="AK373" i="27"/>
  <c r="AK374" i="27"/>
  <c r="AK380" i="27"/>
  <c r="AK382" i="27"/>
  <c r="AK384" i="27"/>
  <c r="AK381" i="27"/>
  <c r="AK385" i="27"/>
  <c r="AK389" i="27"/>
  <c r="AK387" i="27"/>
  <c r="AK371" i="27"/>
  <c r="AK369" i="27"/>
  <c r="AK367" i="27"/>
  <c r="AK372" i="27"/>
  <c r="AK370" i="27"/>
  <c r="AK391" i="27"/>
  <c r="AK392" i="27"/>
  <c r="AK393" i="27"/>
  <c r="AK396" i="27"/>
  <c r="AK465" i="27"/>
  <c r="AK463" i="27"/>
  <c r="AK464" i="27"/>
  <c r="AK472" i="27"/>
  <c r="AK467" i="27"/>
  <c r="AK468" i="27"/>
  <c r="AK469" i="27"/>
  <c r="AK470" i="27"/>
  <c r="AK397" i="27"/>
  <c r="AK398" i="27"/>
  <c r="AK399" i="27"/>
  <c r="AK400" i="27"/>
  <c r="AK401" i="27"/>
  <c r="AK402" i="27"/>
  <c r="AK404" i="27"/>
  <c r="AK406" i="27"/>
  <c r="AK407" i="27"/>
  <c r="AK408" i="27"/>
  <c r="AK410" i="27"/>
  <c r="AK411" i="27"/>
  <c r="AK413" i="27"/>
  <c r="AK416" i="27"/>
  <c r="AK417" i="27"/>
  <c r="AK418" i="27"/>
  <c r="AK419" i="27"/>
  <c r="AK420" i="27"/>
  <c r="AK422" i="27"/>
  <c r="AK424" i="27"/>
  <c r="AK425" i="27"/>
  <c r="AK427" i="27"/>
  <c r="AK428" i="27"/>
  <c r="AK430" i="27"/>
  <c r="AK432" i="27"/>
  <c r="AK435" i="27"/>
  <c r="AK436" i="27"/>
  <c r="AK438" i="27"/>
  <c r="AK439" i="27"/>
  <c r="AK441" i="27"/>
  <c r="AK442" i="27"/>
  <c r="AK443" i="27"/>
  <c r="AK445" i="27"/>
  <c r="AK446" i="27"/>
  <c r="AK447" i="27"/>
  <c r="AK448" i="27"/>
  <c r="AK437" i="27"/>
  <c r="AK450" i="27"/>
  <c r="AK452" i="27"/>
  <c r="AK453" i="27"/>
  <c r="AK454" i="27"/>
  <c r="AK456" i="27"/>
  <c r="AK457" i="27"/>
  <c r="AK459" i="27"/>
  <c r="AK461" i="27"/>
  <c r="AK505" i="27"/>
  <c r="AK507" i="27"/>
  <c r="AK508" i="27"/>
  <c r="AK509" i="27"/>
  <c r="AK513" i="27"/>
  <c r="AK514" i="27"/>
  <c r="AK517" i="27"/>
  <c r="AK477" i="27"/>
  <c r="AK474" i="27"/>
  <c r="AK481" i="27"/>
  <c r="AK479" i="27"/>
  <c r="AK478" i="27"/>
  <c r="AK480" i="27"/>
  <c r="AK485" i="27"/>
  <c r="AK482" i="27"/>
  <c r="AK488" i="27"/>
  <c r="AK486" i="27"/>
  <c r="AK492" i="27"/>
  <c r="AK489" i="27"/>
  <c r="AK493" i="27"/>
  <c r="AK498" i="27"/>
  <c r="AK494" i="27"/>
  <c r="AK495" i="27"/>
  <c r="AK500" i="27"/>
  <c r="AK499" i="27"/>
  <c r="AK518" i="27"/>
  <c r="AK519" i="27"/>
  <c r="AK524" i="27"/>
  <c r="AK525" i="27"/>
  <c r="AK526" i="27"/>
  <c r="AK527" i="27"/>
  <c r="AK529" i="27"/>
  <c r="AK534" i="27"/>
  <c r="AK531" i="27"/>
  <c r="AK532" i="27"/>
  <c r="AK537" i="27"/>
  <c r="AK536" i="27"/>
  <c r="AK540" i="27"/>
  <c r="AK541" i="27"/>
  <c r="AK539" i="27"/>
  <c r="AK543" i="27"/>
  <c r="AK542" i="27"/>
  <c r="AK544" i="27"/>
  <c r="AK545" i="27"/>
  <c r="AK547" i="27"/>
  <c r="AK548" i="27"/>
  <c r="AK549" i="27"/>
  <c r="AK520" i="27"/>
  <c r="AK521" i="27"/>
  <c r="AK523" i="27"/>
  <c r="AK550" i="27"/>
  <c r="AK551" i="27"/>
  <c r="AK552" i="27"/>
  <c r="AK553" i="27"/>
  <c r="AK554" i="27"/>
  <c r="AK563" i="27"/>
  <c r="AK564" i="27"/>
  <c r="AK565" i="27"/>
  <c r="AK566" i="27"/>
  <c r="AK557" i="27"/>
  <c r="AK556" i="27"/>
  <c r="AK559" i="27"/>
  <c r="AK558" i="27"/>
  <c r="AK560" i="27"/>
  <c r="AK561" i="27"/>
  <c r="AK562" i="27"/>
  <c r="AK568" i="27"/>
  <c r="AK567" i="27"/>
  <c r="AK570" i="27"/>
  <c r="AK569" i="27"/>
  <c r="AK573" i="27"/>
  <c r="AK659" i="27"/>
  <c r="AK647" i="27"/>
  <c r="AK649" i="27"/>
  <c r="AK650" i="27"/>
  <c r="AK652" i="27"/>
  <c r="AK653" i="27"/>
  <c r="AK655" i="27"/>
  <c r="AK658" i="27"/>
  <c r="AK637" i="27"/>
  <c r="AK638" i="27"/>
  <c r="AK639" i="27"/>
  <c r="AK640" i="27"/>
  <c r="AK641" i="27"/>
  <c r="AK642" i="27"/>
  <c r="AK643" i="27"/>
  <c r="AK644" i="27"/>
  <c r="AK574" i="27"/>
  <c r="AK576" i="27"/>
  <c r="AK578" i="27"/>
  <c r="AK579" i="27"/>
  <c r="AK580" i="27"/>
  <c r="AK581" i="27"/>
  <c r="AK584" i="27"/>
  <c r="AK583" i="27"/>
  <c r="AK586" i="27"/>
  <c r="AK588" i="27"/>
  <c r="AK589" i="27"/>
  <c r="AK591" i="27"/>
  <c r="AK623" i="27"/>
  <c r="AK593" i="27"/>
  <c r="AK594" i="27"/>
  <c r="AK595" i="27"/>
  <c r="AK597" i="27"/>
  <c r="AK598" i="27"/>
  <c r="AK599" i="27"/>
  <c r="AK603" i="27"/>
  <c r="AK604" i="27"/>
  <c r="AK605" i="27"/>
  <c r="AK606" i="27"/>
  <c r="AK607" i="27"/>
  <c r="AK609" i="27"/>
  <c r="AK610" i="27"/>
  <c r="AK612" i="27"/>
  <c r="AK613" i="27"/>
  <c r="AK614" i="27"/>
  <c r="AK615" i="27"/>
  <c r="AK616" i="27"/>
  <c r="AK618" i="27"/>
  <c r="AK619" i="27"/>
  <c r="AK620" i="27"/>
  <c r="AK621" i="27"/>
  <c r="AK622" i="27"/>
  <c r="AK625" i="27"/>
  <c r="AK626" i="27"/>
  <c r="AK627" i="27"/>
  <c r="AK629" i="27"/>
  <c r="AK630" i="27"/>
  <c r="AK631" i="27"/>
  <c r="AK632" i="27"/>
  <c r="AK633" i="27"/>
  <c r="AK634" i="27"/>
  <c r="AK635" i="27"/>
  <c r="AK645" i="27"/>
  <c r="AK646" i="27"/>
  <c r="AK660" i="27"/>
  <c r="AK661" i="27"/>
  <c r="AK662" i="27"/>
  <c r="AK663" i="27"/>
  <c r="AP508" i="27"/>
  <c r="AR508" i="27" s="1"/>
  <c r="K508" i="27"/>
  <c r="BP508" i="27" s="1"/>
  <c r="L508" i="27"/>
  <c r="M508" i="27"/>
  <c r="N508" i="27"/>
  <c r="P508" i="27"/>
  <c r="Q508" i="27" s="1"/>
  <c r="AW508" i="27"/>
  <c r="AX508" i="27" s="1"/>
  <c r="BF508" i="27"/>
  <c r="BG508" i="27"/>
  <c r="BJ508" i="27"/>
  <c r="BK508" i="27"/>
  <c r="AU508" i="27" l="1"/>
  <c r="AT128" i="27"/>
  <c r="AV128" i="27" s="1"/>
  <c r="AU128" i="27"/>
  <c r="BA128" i="27"/>
  <c r="A508" i="27"/>
  <c r="BI508" i="27"/>
  <c r="BO508" i="27"/>
  <c r="BN508" i="27"/>
  <c r="BS508" i="27"/>
  <c r="BQ508" i="27"/>
  <c r="AQ508" i="27"/>
  <c r="AT508" i="27"/>
  <c r="AV508" i="27" s="1"/>
  <c r="BB508" i="27"/>
  <c r="BC508" i="27" s="1"/>
  <c r="O508" i="27"/>
  <c r="BA508" i="27"/>
  <c r="AY508" i="27"/>
  <c r="AZ508" i="27" s="1"/>
  <c r="P202" i="27" l="1"/>
  <c r="P163" i="27"/>
  <c r="Q163" i="27" s="1"/>
  <c r="P152" i="27"/>
  <c r="P156" i="27"/>
  <c r="P157" i="27"/>
  <c r="P173" i="27"/>
  <c r="P205" i="27"/>
  <c r="P206" i="27"/>
  <c r="P240" i="27"/>
  <c r="P239" i="27"/>
  <c r="P241" i="27"/>
  <c r="P268" i="27"/>
  <c r="P269" i="27"/>
  <c r="P273" i="27"/>
  <c r="P276" i="27"/>
  <c r="P277" i="27"/>
  <c r="P286" i="27"/>
  <c r="P298" i="27"/>
  <c r="P303" i="27"/>
  <c r="P359" i="27"/>
  <c r="P365" i="27"/>
  <c r="P385" i="27"/>
  <c r="P437" i="27"/>
  <c r="P457" i="27"/>
  <c r="P493" i="27"/>
  <c r="P549" i="27"/>
  <c r="P521" i="27"/>
  <c r="P523" i="27"/>
  <c r="P556" i="27"/>
  <c r="Q556" i="27" s="1"/>
  <c r="P558" i="27"/>
  <c r="Q558" i="27" s="1"/>
  <c r="P573" i="27"/>
  <c r="P658" i="27"/>
  <c r="P640" i="27"/>
  <c r="K240" i="27"/>
  <c r="BN240" i="27" s="1"/>
  <c r="K333" i="27"/>
  <c r="K359" i="27"/>
  <c r="BN359" i="27" s="1"/>
  <c r="K379" i="27"/>
  <c r="BN379" i="27" s="1"/>
  <c r="K385" i="27"/>
  <c r="BO385" i="27" s="1"/>
  <c r="K391" i="27"/>
  <c r="K436" i="27"/>
  <c r="BN436" i="27" s="1"/>
  <c r="K456" i="27"/>
  <c r="BS456" i="27" s="1"/>
  <c r="K41" i="27"/>
  <c r="K143" i="27"/>
  <c r="K204" i="27"/>
  <c r="K205" i="27"/>
  <c r="K25" i="27"/>
  <c r="BS25" i="27" s="1"/>
  <c r="K49" i="27"/>
  <c r="BQ49" i="27" s="1"/>
  <c r="K269" i="27"/>
  <c r="BS269" i="27" s="1"/>
  <c r="K277" i="27"/>
  <c r="BP277" i="27" s="1"/>
  <c r="K365" i="27"/>
  <c r="BP365" i="27" s="1"/>
  <c r="K24" i="27"/>
  <c r="BO24" i="27" s="1"/>
  <c r="K40" i="27"/>
  <c r="BO40" i="27" s="1"/>
  <c r="K48" i="27"/>
  <c r="BO48" i="27" s="1"/>
  <c r="K202" i="27"/>
  <c r="BP202" i="27" s="1"/>
  <c r="K152" i="27"/>
  <c r="BP152" i="27" s="1"/>
  <c r="K156" i="27"/>
  <c r="BN156" i="27" s="1"/>
  <c r="K163" i="27"/>
  <c r="BN163" i="27" s="1"/>
  <c r="K173" i="27"/>
  <c r="BN173" i="27" s="1"/>
  <c r="K174" i="27"/>
  <c r="BS174" i="27" s="1"/>
  <c r="K206" i="27"/>
  <c r="BO206" i="27" s="1"/>
  <c r="K239" i="27"/>
  <c r="BS239" i="27" s="1"/>
  <c r="K241" i="27"/>
  <c r="BQ241" i="27" s="1"/>
  <c r="K268" i="27"/>
  <c r="BP268" i="27" s="1"/>
  <c r="K276" i="27"/>
  <c r="BP276" i="27" s="1"/>
  <c r="K286" i="27"/>
  <c r="BP286" i="27" s="1"/>
  <c r="K303" i="27"/>
  <c r="BN303" i="27" s="1"/>
  <c r="K298" i="27"/>
  <c r="BO298" i="27" s="1"/>
  <c r="L25" i="27"/>
  <c r="L49" i="27"/>
  <c r="L143" i="27"/>
  <c r="L269" i="27"/>
  <c r="L277" i="27"/>
  <c r="L333" i="27"/>
  <c r="L365" i="27"/>
  <c r="L391" i="27"/>
  <c r="L437" i="27"/>
  <c r="L24" i="27"/>
  <c r="L40" i="27"/>
  <c r="L41" i="27"/>
  <c r="L48" i="27"/>
  <c r="L202" i="27"/>
  <c r="L157" i="27"/>
  <c r="L152" i="27"/>
  <c r="L156" i="27"/>
  <c r="L163" i="27"/>
  <c r="L173" i="27"/>
  <c r="L174" i="27"/>
  <c r="L204" i="27"/>
  <c r="L205" i="27"/>
  <c r="L206" i="27"/>
  <c r="L239" i="27"/>
  <c r="L240" i="27"/>
  <c r="L241" i="27"/>
  <c r="L268" i="27"/>
  <c r="L273" i="27"/>
  <c r="L276" i="27"/>
  <c r="L286" i="27"/>
  <c r="L303" i="27"/>
  <c r="L298" i="27"/>
  <c r="L359" i="27"/>
  <c r="L379" i="27"/>
  <c r="L385" i="27"/>
  <c r="L456" i="27"/>
  <c r="L457" i="27"/>
  <c r="L436" i="27"/>
  <c r="L493" i="27"/>
  <c r="L658" i="27"/>
  <c r="L521" i="27"/>
  <c r="L523" i="27"/>
  <c r="L549" i="27"/>
  <c r="L558" i="27"/>
  <c r="L556" i="27"/>
  <c r="L640" i="27"/>
  <c r="L573" i="27"/>
  <c r="M25" i="27"/>
  <c r="M49" i="27"/>
  <c r="M143" i="27"/>
  <c r="M269" i="27"/>
  <c r="M277" i="27"/>
  <c r="M333" i="27"/>
  <c r="M365" i="27"/>
  <c r="M391" i="27"/>
  <c r="M437" i="27"/>
  <c r="M24" i="27"/>
  <c r="M40" i="27"/>
  <c r="M41" i="27"/>
  <c r="M48" i="27"/>
  <c r="M202" i="27"/>
  <c r="M157" i="27"/>
  <c r="M152" i="27"/>
  <c r="M156" i="27"/>
  <c r="M163" i="27"/>
  <c r="M173" i="27"/>
  <c r="M174" i="27"/>
  <c r="M204" i="27"/>
  <c r="M205" i="27"/>
  <c r="M206" i="27"/>
  <c r="M239" i="27"/>
  <c r="M240" i="27"/>
  <c r="M241" i="27"/>
  <c r="M268" i="27"/>
  <c r="M273" i="27"/>
  <c r="M276" i="27"/>
  <c r="M286" i="27"/>
  <c r="M303" i="27"/>
  <c r="M298" i="27"/>
  <c r="M359" i="27"/>
  <c r="M379" i="27"/>
  <c r="M385" i="27"/>
  <c r="M456" i="27"/>
  <c r="M457" i="27"/>
  <c r="M436" i="27"/>
  <c r="M493" i="27"/>
  <c r="M658" i="27"/>
  <c r="M521" i="27"/>
  <c r="M523" i="27"/>
  <c r="M549" i="27"/>
  <c r="M558" i="27"/>
  <c r="M556" i="27"/>
  <c r="M640" i="27"/>
  <c r="M573" i="27"/>
  <c r="N25" i="27"/>
  <c r="N49" i="27"/>
  <c r="N143" i="27"/>
  <c r="N269" i="27"/>
  <c r="N277" i="27"/>
  <c r="N333" i="27"/>
  <c r="N365" i="27"/>
  <c r="N391" i="27"/>
  <c r="N437" i="27"/>
  <c r="N24" i="27"/>
  <c r="N40" i="27"/>
  <c r="N41" i="27"/>
  <c r="N48" i="27"/>
  <c r="N202" i="27"/>
  <c r="N157" i="27"/>
  <c r="N152" i="27"/>
  <c r="N156" i="27"/>
  <c r="N163" i="27"/>
  <c r="N173" i="27"/>
  <c r="N174" i="27"/>
  <c r="N204" i="27"/>
  <c r="N205" i="27"/>
  <c r="N206" i="27"/>
  <c r="N239" i="27"/>
  <c r="N240" i="27"/>
  <c r="N241" i="27"/>
  <c r="N268" i="27"/>
  <c r="N273" i="27"/>
  <c r="N276" i="27"/>
  <c r="N286" i="27"/>
  <c r="N303" i="27"/>
  <c r="N298" i="27"/>
  <c r="N359" i="27"/>
  <c r="N379" i="27"/>
  <c r="N385" i="27"/>
  <c r="N456" i="27"/>
  <c r="N457" i="27"/>
  <c r="N436" i="27"/>
  <c r="N493" i="27"/>
  <c r="N658" i="27"/>
  <c r="N521" i="27"/>
  <c r="N523" i="27"/>
  <c r="N549" i="27"/>
  <c r="N558" i="27"/>
  <c r="N556" i="27"/>
  <c r="N640" i="27"/>
  <c r="N573" i="27"/>
  <c r="P25" i="27"/>
  <c r="P49" i="27"/>
  <c r="P24" i="27"/>
  <c r="P40" i="27"/>
  <c r="P48" i="27"/>
  <c r="P174" i="27"/>
  <c r="AQ25" i="27"/>
  <c r="AQ49" i="27"/>
  <c r="AQ277" i="27"/>
  <c r="AQ333" i="27"/>
  <c r="AQ365" i="27"/>
  <c r="AQ391" i="27"/>
  <c r="AQ437" i="27"/>
  <c r="AP24" i="27"/>
  <c r="AR24" i="27" s="1"/>
  <c r="AQ41" i="27"/>
  <c r="AQ48" i="27"/>
  <c r="AQ202" i="27"/>
  <c r="AQ157" i="27"/>
  <c r="AQ156" i="27"/>
  <c r="AQ174" i="27"/>
  <c r="AQ239" i="27"/>
  <c r="AQ240" i="27"/>
  <c r="AP241" i="27"/>
  <c r="AR241" i="27" s="1"/>
  <c r="AQ273" i="27"/>
  <c r="AQ276" i="27"/>
  <c r="AQ286" i="27"/>
  <c r="AQ359" i="27"/>
  <c r="AQ379" i="27"/>
  <c r="AQ456" i="27"/>
  <c r="AQ457" i="27"/>
  <c r="AQ436" i="27"/>
  <c r="AQ658" i="27"/>
  <c r="AQ521" i="27"/>
  <c r="AQ558" i="27"/>
  <c r="AQ573" i="27"/>
  <c r="AW25" i="27"/>
  <c r="AX25" i="27" s="1"/>
  <c r="AW49" i="27"/>
  <c r="AW143" i="27"/>
  <c r="AW269" i="27"/>
  <c r="AY269" i="27" s="1"/>
  <c r="AW277" i="27"/>
  <c r="AY277" i="27" s="1"/>
  <c r="AZ277" i="27" s="1"/>
  <c r="AW333" i="27"/>
  <c r="AW365" i="27"/>
  <c r="AY365" i="27" s="1"/>
  <c r="AW391" i="27"/>
  <c r="AY391" i="27" s="1"/>
  <c r="AW437" i="27"/>
  <c r="AW24" i="27"/>
  <c r="AX24" i="27" s="1"/>
  <c r="AW40" i="27"/>
  <c r="AX40" i="27" s="1"/>
  <c r="AW41" i="27"/>
  <c r="AY41" i="27" s="1"/>
  <c r="AW48" i="27"/>
  <c r="AX48" i="27" s="1"/>
  <c r="AW202" i="27"/>
  <c r="AW157" i="27"/>
  <c r="AW152" i="27"/>
  <c r="AY152" i="27" s="1"/>
  <c r="AW156" i="27"/>
  <c r="AW163" i="27"/>
  <c r="AY163" i="27" s="1"/>
  <c r="AW173" i="27"/>
  <c r="AW174" i="27"/>
  <c r="AW204" i="27"/>
  <c r="AW205" i="27"/>
  <c r="AY205" i="27" s="1"/>
  <c r="AW206" i="27"/>
  <c r="AW239" i="27"/>
  <c r="AW240" i="27"/>
  <c r="AY240" i="27" s="1"/>
  <c r="AW241" i="27"/>
  <c r="AW268" i="27"/>
  <c r="AW273" i="27"/>
  <c r="AY273" i="27" s="1"/>
  <c r="AW276" i="27"/>
  <c r="AW286" i="27"/>
  <c r="AW303" i="27"/>
  <c r="AW298" i="27"/>
  <c r="AY298" i="27" s="1"/>
  <c r="AW359" i="27"/>
  <c r="AW379" i="27"/>
  <c r="AY379" i="27" s="1"/>
  <c r="AW385" i="27"/>
  <c r="AY385" i="27" s="1"/>
  <c r="AW456" i="27"/>
  <c r="AY456" i="27" s="1"/>
  <c r="AW457" i="27"/>
  <c r="AW436" i="27"/>
  <c r="AY436" i="27" s="1"/>
  <c r="AW493" i="27"/>
  <c r="AY493" i="27" s="1"/>
  <c r="AW658" i="27"/>
  <c r="AY658" i="27" s="1"/>
  <c r="AW521" i="27"/>
  <c r="AW523" i="27"/>
  <c r="AY523" i="27" s="1"/>
  <c r="AW549" i="27"/>
  <c r="AW558" i="27"/>
  <c r="AY558" i="27" s="1"/>
  <c r="AW556" i="27"/>
  <c r="AY556" i="27" s="1"/>
  <c r="AW640" i="27"/>
  <c r="AW573" i="27"/>
  <c r="BF25" i="27"/>
  <c r="BF49" i="27"/>
  <c r="BF143" i="27"/>
  <c r="BF269" i="27"/>
  <c r="BF277" i="27"/>
  <c r="BF333" i="27"/>
  <c r="BF365" i="27"/>
  <c r="BF391" i="27"/>
  <c r="BF437" i="27"/>
  <c r="BF24" i="27"/>
  <c r="BF40" i="27"/>
  <c r="BF41" i="27"/>
  <c r="BF48" i="27"/>
  <c r="BF202" i="27"/>
  <c r="BF157" i="27"/>
  <c r="BF152" i="27"/>
  <c r="BF156" i="27"/>
  <c r="BF163" i="27"/>
  <c r="BF173" i="27"/>
  <c r="BF174" i="27"/>
  <c r="BF204" i="27"/>
  <c r="BF205" i="27"/>
  <c r="BF206" i="27"/>
  <c r="BF239" i="27"/>
  <c r="BF240" i="27"/>
  <c r="BF241" i="27"/>
  <c r="BF268" i="27"/>
  <c r="BF273" i="27"/>
  <c r="BF276" i="27"/>
  <c r="BF286" i="27"/>
  <c r="BF303" i="27"/>
  <c r="BF298" i="27"/>
  <c r="BF359" i="27"/>
  <c r="BF379" i="27"/>
  <c r="BF385" i="27"/>
  <c r="BF456" i="27"/>
  <c r="BF457" i="27"/>
  <c r="BF436" i="27"/>
  <c r="BF493" i="27"/>
  <c r="BF658" i="27"/>
  <c r="BF521" i="27"/>
  <c r="BF523" i="27"/>
  <c r="BF549" i="27"/>
  <c r="BF558" i="27"/>
  <c r="BF556" i="27"/>
  <c r="BF640" i="27"/>
  <c r="BF573" i="27"/>
  <c r="BG25" i="27"/>
  <c r="BG49" i="27"/>
  <c r="BG143" i="27"/>
  <c r="BG269" i="27"/>
  <c r="BG277" i="27"/>
  <c r="BG333" i="27"/>
  <c r="BG365" i="27"/>
  <c r="BG391" i="27"/>
  <c r="BG437" i="27"/>
  <c r="BG24" i="27"/>
  <c r="BG40" i="27"/>
  <c r="BG41" i="27"/>
  <c r="BG48" i="27"/>
  <c r="BG202" i="27"/>
  <c r="BG157" i="27"/>
  <c r="BG152" i="27"/>
  <c r="BG156" i="27"/>
  <c r="BG163" i="27"/>
  <c r="BG173" i="27"/>
  <c r="BG174" i="27"/>
  <c r="BG204" i="27"/>
  <c r="BG205" i="27"/>
  <c r="BG206" i="27"/>
  <c r="BG239" i="27"/>
  <c r="BG240" i="27"/>
  <c r="BG241" i="27"/>
  <c r="BG268" i="27"/>
  <c r="BG273" i="27"/>
  <c r="BG276" i="27"/>
  <c r="BG286" i="27"/>
  <c r="BG303" i="27"/>
  <c r="BG298" i="27"/>
  <c r="BG359" i="27"/>
  <c r="BG379" i="27"/>
  <c r="BG385" i="27"/>
  <c r="BG456" i="27"/>
  <c r="BG457" i="27"/>
  <c r="BG436" i="27"/>
  <c r="BG493" i="27"/>
  <c r="BG658" i="27"/>
  <c r="BG521" i="27"/>
  <c r="BG523" i="27"/>
  <c r="BG549" i="27"/>
  <c r="BG558" i="27"/>
  <c r="BG556" i="27"/>
  <c r="BG640" i="27"/>
  <c r="BG573" i="27"/>
  <c r="BJ25" i="27"/>
  <c r="BJ49" i="27"/>
  <c r="BJ143" i="27"/>
  <c r="BJ269" i="27"/>
  <c r="BJ277" i="27"/>
  <c r="BJ333" i="27"/>
  <c r="BJ365" i="27"/>
  <c r="BJ391" i="27"/>
  <c r="BJ437" i="27"/>
  <c r="BJ24" i="27"/>
  <c r="BJ40" i="27"/>
  <c r="BJ41" i="27"/>
  <c r="BJ48" i="27"/>
  <c r="BJ202" i="27"/>
  <c r="BJ157" i="27"/>
  <c r="BJ152" i="27"/>
  <c r="BJ156" i="27"/>
  <c r="BJ163" i="27"/>
  <c r="BJ173" i="27"/>
  <c r="BJ174" i="27"/>
  <c r="BJ204" i="27"/>
  <c r="BJ205" i="27"/>
  <c r="BJ206" i="27"/>
  <c r="BJ239" i="27"/>
  <c r="BJ240" i="27"/>
  <c r="BJ241" i="27"/>
  <c r="BJ268" i="27"/>
  <c r="BJ273" i="27"/>
  <c r="BJ276" i="27"/>
  <c r="BJ286" i="27"/>
  <c r="BJ303" i="27"/>
  <c r="BJ298" i="27"/>
  <c r="BJ359" i="27"/>
  <c r="BJ379" i="27"/>
  <c r="BJ385" i="27"/>
  <c r="BJ456" i="27"/>
  <c r="BJ457" i="27"/>
  <c r="BJ436" i="27"/>
  <c r="BJ493" i="27"/>
  <c r="BJ658" i="27"/>
  <c r="BJ521" i="27"/>
  <c r="BJ523" i="27"/>
  <c r="BJ549" i="27"/>
  <c r="BJ558" i="27"/>
  <c r="BJ556" i="27"/>
  <c r="BJ640" i="27"/>
  <c r="BJ573" i="27"/>
  <c r="BK25" i="27"/>
  <c r="BK49" i="27"/>
  <c r="BK143" i="27"/>
  <c r="BK269" i="27"/>
  <c r="BK277" i="27"/>
  <c r="BK333" i="27"/>
  <c r="BK365" i="27"/>
  <c r="BK391" i="27"/>
  <c r="BK437" i="27"/>
  <c r="BK24" i="27"/>
  <c r="BK40" i="27"/>
  <c r="BK41" i="27"/>
  <c r="BK48" i="27"/>
  <c r="BK202" i="27"/>
  <c r="BK157" i="27"/>
  <c r="BK152" i="27"/>
  <c r="BK156" i="27"/>
  <c r="BK163" i="27"/>
  <c r="BK173" i="27"/>
  <c r="BK174" i="27"/>
  <c r="BK204" i="27"/>
  <c r="BK205" i="27"/>
  <c r="BK206" i="27"/>
  <c r="BK239" i="27"/>
  <c r="BK240" i="27"/>
  <c r="BK241" i="27"/>
  <c r="BK268" i="27"/>
  <c r="BK273" i="27"/>
  <c r="BK276" i="27"/>
  <c r="BK286" i="27"/>
  <c r="BK303" i="27"/>
  <c r="BK298" i="27"/>
  <c r="BK359" i="27"/>
  <c r="BK379" i="27"/>
  <c r="BK385" i="27"/>
  <c r="BK456" i="27"/>
  <c r="BK457" i="27"/>
  <c r="BK436" i="27"/>
  <c r="BK493" i="27"/>
  <c r="BK658" i="27"/>
  <c r="BK521" i="27"/>
  <c r="BK523" i="27"/>
  <c r="BK549" i="27"/>
  <c r="BK558" i="27"/>
  <c r="BK556" i="27"/>
  <c r="BK640" i="27"/>
  <c r="BK573" i="27"/>
  <c r="BQ48" i="27" l="1"/>
  <c r="BN48" i="27"/>
  <c r="AT202" i="27"/>
  <c r="AV202" i="27" s="1"/>
  <c r="AU556" i="27"/>
  <c r="AU48" i="27"/>
  <c r="AU558" i="27"/>
  <c r="AU273" i="27"/>
  <c r="AU41" i="27"/>
  <c r="AU40" i="27"/>
  <c r="BA523" i="27"/>
  <c r="AT24" i="27"/>
  <c r="AV24" i="27" s="1"/>
  <c r="BA521" i="27"/>
  <c r="AU658" i="27"/>
  <c r="AU239" i="27"/>
  <c r="AU391" i="27"/>
  <c r="AU493" i="27"/>
  <c r="AU206" i="27"/>
  <c r="AU365" i="27"/>
  <c r="AU436" i="27"/>
  <c r="AU205" i="27"/>
  <c r="AU333" i="27"/>
  <c r="BA457" i="27"/>
  <c r="BA204" i="27"/>
  <c r="BA277" i="27"/>
  <c r="AU174" i="27"/>
  <c r="AU269" i="27"/>
  <c r="BA385" i="27"/>
  <c r="AT173" i="27"/>
  <c r="AV173" i="27" s="1"/>
  <c r="AU143" i="27"/>
  <c r="BA379" i="27"/>
  <c r="AU163" i="27"/>
  <c r="AU49" i="27"/>
  <c r="BA359" i="27"/>
  <c r="AT156" i="27"/>
  <c r="AV156" i="27" s="1"/>
  <c r="AU25" i="27"/>
  <c r="A298" i="27"/>
  <c r="AU298" i="27"/>
  <c r="AU152" i="27"/>
  <c r="A640" i="27"/>
  <c r="A286" i="27"/>
  <c r="A202" i="27"/>
  <c r="O556" i="27"/>
  <c r="O276" i="27"/>
  <c r="O48" i="27"/>
  <c r="O558" i="27"/>
  <c r="O273" i="27"/>
  <c r="O41" i="27"/>
  <c r="A549" i="27"/>
  <c r="A268" i="27"/>
  <c r="A40" i="27"/>
  <c r="A523" i="27"/>
  <c r="A241" i="27"/>
  <c r="A24" i="27"/>
  <c r="O157" i="27"/>
  <c r="A521" i="27"/>
  <c r="A240" i="27"/>
  <c r="A437" i="27"/>
  <c r="A658" i="27"/>
  <c r="A239" i="27"/>
  <c r="A391" i="27"/>
  <c r="O303" i="27"/>
  <c r="BI493" i="27"/>
  <c r="BI206" i="27"/>
  <c r="BI365" i="27"/>
  <c r="O436" i="27"/>
  <c r="O205" i="27"/>
  <c r="O333" i="27"/>
  <c r="A457" i="27"/>
  <c r="A204" i="27"/>
  <c r="A277" i="27"/>
  <c r="A456" i="27"/>
  <c r="A174" i="27"/>
  <c r="A269" i="27"/>
  <c r="O385" i="27"/>
  <c r="O173" i="27"/>
  <c r="O143" i="27"/>
  <c r="O379" i="27"/>
  <c r="O163" i="27"/>
  <c r="O49" i="27"/>
  <c r="O573" i="27"/>
  <c r="A359" i="27"/>
  <c r="A156" i="27"/>
  <c r="A25" i="27"/>
  <c r="A152" i="27"/>
  <c r="Q658" i="27"/>
  <c r="Q277" i="27"/>
  <c r="Q269" i="27"/>
  <c r="Q523" i="27"/>
  <c r="Q268" i="27"/>
  <c r="Q573" i="27"/>
  <c r="Q521" i="27"/>
  <c r="Q241" i="27"/>
  <c r="Q549" i="27"/>
  <c r="Q239" i="27"/>
  <c r="Q276" i="27"/>
  <c r="Q493" i="27"/>
  <c r="Q240" i="27"/>
  <c r="Q457" i="27"/>
  <c r="Q206" i="27"/>
  <c r="Q437" i="27"/>
  <c r="Q205" i="27"/>
  <c r="Q385" i="27"/>
  <c r="Q173" i="27"/>
  <c r="Q174" i="27"/>
  <c r="Q48" i="27"/>
  <c r="Q365" i="27"/>
  <c r="Q157" i="27"/>
  <c r="Q273" i="27"/>
  <c r="Q40" i="27"/>
  <c r="Q359" i="27"/>
  <c r="Q156" i="27"/>
  <c r="Q24" i="27"/>
  <c r="Q303" i="27"/>
  <c r="Q152" i="27"/>
  <c r="Q49" i="27"/>
  <c r="Q298" i="27"/>
  <c r="Q25" i="27"/>
  <c r="Q640" i="27"/>
  <c r="Q286" i="27"/>
  <c r="Q202" i="27"/>
  <c r="BI277" i="27"/>
  <c r="BS40" i="27"/>
  <c r="AX303" i="27"/>
  <c r="AT241" i="27"/>
  <c r="AV241" i="27" s="1"/>
  <c r="AP303" i="27"/>
  <c r="AR303" i="27" s="1"/>
  <c r="AP269" i="27"/>
  <c r="AR269" i="27" s="1"/>
  <c r="AZ269" i="27"/>
  <c r="AZ298" i="27"/>
  <c r="AX206" i="27"/>
  <c r="AX204" i="27"/>
  <c r="AX157" i="27"/>
  <c r="AP152" i="27"/>
  <c r="AR152" i="27" s="1"/>
  <c r="AZ273" i="27"/>
  <c r="AP143" i="27"/>
  <c r="AR143" i="27" s="1"/>
  <c r="AX143" i="27"/>
  <c r="AZ41" i="27"/>
  <c r="AZ152" i="27"/>
  <c r="AX174" i="27"/>
  <c r="AX202" i="27"/>
  <c r="AP173" i="27"/>
  <c r="AR173" i="27" s="1"/>
  <c r="AP163" i="27"/>
  <c r="AR163" i="27" s="1"/>
  <c r="AZ163" i="27"/>
  <c r="AP298" i="27"/>
  <c r="AR298" i="27" s="1"/>
  <c r="AT391" i="27"/>
  <c r="AV391" i="27" s="1"/>
  <c r="AZ365" i="27"/>
  <c r="AT276" i="27"/>
  <c r="AV276" i="27" s="1"/>
  <c r="AX276" i="27"/>
  <c r="AT658" i="27"/>
  <c r="AV658" i="27" s="1"/>
  <c r="AZ658" i="27"/>
  <c r="AP640" i="27"/>
  <c r="AR640" i="27" s="1"/>
  <c r="AT640" i="27"/>
  <c r="AV640" i="27" s="1"/>
  <c r="AX241" i="27"/>
  <c r="AT437" i="27"/>
  <c r="AV437" i="27" s="1"/>
  <c r="AZ493" i="27"/>
  <c r="AZ385" i="27"/>
  <c r="AT379" i="27"/>
  <c r="AV379" i="27" s="1"/>
  <c r="AZ379" i="27"/>
  <c r="AP204" i="27"/>
  <c r="AR204" i="27" s="1"/>
  <c r="AT204" i="27"/>
  <c r="AV204" i="27" s="1"/>
  <c r="AZ523" i="27"/>
  <c r="AT240" i="27"/>
  <c r="AV240" i="27" s="1"/>
  <c r="AZ240" i="27"/>
  <c r="AZ391" i="27"/>
  <c r="AP205" i="27"/>
  <c r="AR205" i="27" s="1"/>
  <c r="AZ436" i="27"/>
  <c r="AZ205" i="27"/>
  <c r="AX457" i="27"/>
  <c r="AT456" i="27"/>
  <c r="AV456" i="27" s="1"/>
  <c r="AP385" i="27"/>
  <c r="AR385" i="27" s="1"/>
  <c r="AZ456" i="27"/>
  <c r="AT385" i="27"/>
  <c r="AV385" i="27" s="1"/>
  <c r="AX573" i="27"/>
  <c r="AT286" i="27"/>
  <c r="AV286" i="27" s="1"/>
  <c r="AX286" i="27"/>
  <c r="AZ556" i="27"/>
  <c r="AZ558" i="27"/>
  <c r="AP523" i="27"/>
  <c r="AR523" i="27" s="1"/>
  <c r="BQ268" i="27"/>
  <c r="BN40" i="27"/>
  <c r="K640" i="27"/>
  <c r="BQ640" i="27" s="1"/>
  <c r="BS241" i="27"/>
  <c r="BS202" i="27"/>
  <c r="BS48" i="27"/>
  <c r="P436" i="27"/>
  <c r="BQ40" i="27"/>
  <c r="BP241" i="27"/>
  <c r="BP40" i="27"/>
  <c r="BO276" i="27"/>
  <c r="K558" i="27"/>
  <c r="BQ558" i="27" s="1"/>
  <c r="BO49" i="27"/>
  <c r="K549" i="27"/>
  <c r="BQ549" i="27" s="1"/>
  <c r="BO25" i="27"/>
  <c r="K521" i="27"/>
  <c r="BQ521" i="27" s="1"/>
  <c r="K457" i="27"/>
  <c r="BS457" i="27" s="1"/>
  <c r="BN276" i="27"/>
  <c r="K658" i="27"/>
  <c r="BN658" i="27" s="1"/>
  <c r="BN268" i="27"/>
  <c r="K493" i="27"/>
  <c r="BN493" i="27" s="1"/>
  <c r="BN241" i="27"/>
  <c r="BS268" i="27"/>
  <c r="BI48" i="27"/>
  <c r="BI24" i="27"/>
  <c r="BI276" i="27"/>
  <c r="BS163" i="27"/>
  <c r="BI174" i="27"/>
  <c r="BI456" i="27"/>
  <c r="BP240" i="27"/>
  <c r="BB49" i="27"/>
  <c r="BC49" i="27" s="1"/>
  <c r="BP206" i="27"/>
  <c r="BB521" i="27"/>
  <c r="BC521" i="27" s="1"/>
  <c r="BB437" i="27"/>
  <c r="BC437" i="27" s="1"/>
  <c r="BQ276" i="27"/>
  <c r="BN24" i="27"/>
  <c r="BI658" i="27"/>
  <c r="BN365" i="27"/>
  <c r="BP48" i="27"/>
  <c r="BS276" i="27"/>
  <c r="BI333" i="27"/>
  <c r="BB239" i="27"/>
  <c r="BC239" i="27" s="1"/>
  <c r="BQ205" i="27"/>
  <c r="BN205" i="27"/>
  <c r="BS205" i="27"/>
  <c r="BP205" i="27"/>
  <c r="BQ239" i="27"/>
  <c r="BP49" i="27"/>
  <c r="BN239" i="27"/>
  <c r="BP24" i="27"/>
  <c r="BS240" i="27"/>
  <c r="BP25" i="27"/>
  <c r="BS206" i="27"/>
  <c r="BQ24" i="27"/>
  <c r="BN206" i="27"/>
  <c r="BQ365" i="27"/>
  <c r="P41" i="27"/>
  <c r="BQ206" i="27"/>
  <c r="BQ25" i="27"/>
  <c r="BO268" i="27"/>
  <c r="BO239" i="27"/>
  <c r="P333" i="27"/>
  <c r="BS24" i="27"/>
  <c r="K573" i="27"/>
  <c r="BN573" i="27" s="1"/>
  <c r="BS277" i="27"/>
  <c r="BQ277" i="27"/>
  <c r="BQ286" i="27"/>
  <c r="BO241" i="27"/>
  <c r="K157" i="27"/>
  <c r="BO157" i="27" s="1"/>
  <c r="BS173" i="27"/>
  <c r="BP239" i="27"/>
  <c r="BS156" i="27"/>
  <c r="BO277" i="27"/>
  <c r="BN277" i="27"/>
  <c r="BQ143" i="27"/>
  <c r="BP143" i="27"/>
  <c r="BO143" i="27"/>
  <c r="BN391" i="27"/>
  <c r="BP391" i="27"/>
  <c r="BO391" i="27"/>
  <c r="BO41" i="27"/>
  <c r="BN41" i="27"/>
  <c r="BP41" i="27"/>
  <c r="BS41" i="27"/>
  <c r="AQ24" i="27"/>
  <c r="BI391" i="27"/>
  <c r="P391" i="27"/>
  <c r="P204" i="27"/>
  <c r="P143" i="27"/>
  <c r="K273" i="27"/>
  <c r="P379" i="27"/>
  <c r="K437" i="27"/>
  <c r="BP437" i="27" s="1"/>
  <c r="BB333" i="27"/>
  <c r="BC333" i="27" s="1"/>
  <c r="BB640" i="27"/>
  <c r="BC640" i="27" s="1"/>
  <c r="BQ436" i="27"/>
  <c r="BI205" i="27"/>
  <c r="BP333" i="27"/>
  <c r="BO333" i="27"/>
  <c r="BQ333" i="27"/>
  <c r="BS333" i="27"/>
  <c r="BS204" i="27"/>
  <c r="BQ204" i="27"/>
  <c r="BO204" i="27"/>
  <c r="BN204" i="27"/>
  <c r="BP204" i="27"/>
  <c r="BQ156" i="27"/>
  <c r="P456" i="27"/>
  <c r="BS359" i="27"/>
  <c r="BO163" i="27"/>
  <c r="BS385" i="27"/>
  <c r="BQ163" i="27"/>
  <c r="BS379" i="27"/>
  <c r="BQ41" i="27"/>
  <c r="BP173" i="27"/>
  <c r="BO156" i="27"/>
  <c r="K556" i="27"/>
  <c r="BN143" i="27"/>
  <c r="BQ173" i="27"/>
  <c r="BN49" i="27"/>
  <c r="BN25" i="27"/>
  <c r="BO173" i="27"/>
  <c r="BQ385" i="27"/>
  <c r="BP163" i="27"/>
  <c r="BS391" i="27"/>
  <c r="BQ379" i="27"/>
  <c r="BP436" i="27"/>
  <c r="BP156" i="27"/>
  <c r="BS365" i="27"/>
  <c r="BQ359" i="27"/>
  <c r="BQ391" i="27"/>
  <c r="K523" i="27"/>
  <c r="BP385" i="27"/>
  <c r="BP379" i="27"/>
  <c r="BO379" i="27"/>
  <c r="BN385" i="27"/>
  <c r="BS143" i="27"/>
  <c r="BP359" i="27"/>
  <c r="BO359" i="27"/>
  <c r="BS49" i="27"/>
  <c r="BO365" i="27"/>
  <c r="BN286" i="27"/>
  <c r="AP437" i="27"/>
  <c r="AR437" i="27" s="1"/>
  <c r="BI521" i="27"/>
  <c r="BI436" i="27"/>
  <c r="BI556" i="27"/>
  <c r="BI558" i="27"/>
  <c r="BO286" i="27"/>
  <c r="BQ202" i="27"/>
  <c r="AP391" i="27"/>
  <c r="AR391" i="27" s="1"/>
  <c r="BI437" i="27"/>
  <c r="BO205" i="27"/>
  <c r="BN333" i="27"/>
  <c r="BO436" i="27"/>
  <c r="BS436" i="27"/>
  <c r="BI240" i="27"/>
  <c r="BA25" i="27"/>
  <c r="BI241" i="27"/>
  <c r="BI239" i="27"/>
  <c r="BB156" i="27"/>
  <c r="BC156" i="27" s="1"/>
  <c r="AP25" i="27"/>
  <c r="AR25" i="27" s="1"/>
  <c r="BB268" i="27"/>
  <c r="BC268" i="27" s="1"/>
  <c r="BA456" i="27"/>
  <c r="BB359" i="27"/>
  <c r="BC359" i="27" s="1"/>
  <c r="BB549" i="27"/>
  <c r="BC549" i="27" s="1"/>
  <c r="BB40" i="27"/>
  <c r="BC40" i="27" s="1"/>
  <c r="BA573" i="27"/>
  <c r="BA157" i="27"/>
  <c r="AP157" i="27"/>
  <c r="AR157" i="27" s="1"/>
  <c r="BI202" i="27"/>
  <c r="BI40" i="27"/>
  <c r="AP276" i="27"/>
  <c r="AR276" i="27" s="1"/>
  <c r="BQ152" i="27"/>
  <c r="AY640" i="27"/>
  <c r="AZ640" i="27" s="1"/>
  <c r="AY40" i="27"/>
  <c r="AZ40" i="27" s="1"/>
  <c r="AT269" i="27"/>
  <c r="AV269" i="27" s="1"/>
  <c r="AP202" i="27"/>
  <c r="AR202" i="27" s="1"/>
  <c r="BO240" i="27"/>
  <c r="BA241" i="27"/>
  <c r="BA240" i="27"/>
  <c r="AP277" i="27"/>
  <c r="AR277" i="27" s="1"/>
  <c r="BA174" i="27"/>
  <c r="BQ240" i="27"/>
  <c r="AY24" i="27"/>
  <c r="AZ24" i="27" s="1"/>
  <c r="BI41" i="27"/>
  <c r="BS286" i="27"/>
  <c r="BO202" i="27"/>
  <c r="AQ204" i="27"/>
  <c r="BB24" i="27"/>
  <c r="BC24" i="27" s="1"/>
  <c r="BI523" i="27"/>
  <c r="AY286" i="27"/>
  <c r="AZ286" i="27" s="1"/>
  <c r="AY48" i="27"/>
  <c r="AZ48" i="27" s="1"/>
  <c r="O286" i="27"/>
  <c r="AP558" i="27"/>
  <c r="AR558" i="27" s="1"/>
  <c r="AQ163" i="27"/>
  <c r="AQ152" i="27"/>
  <c r="AP49" i="27"/>
  <c r="AR49" i="27" s="1"/>
  <c r="O523" i="27"/>
  <c r="BA48" i="27"/>
  <c r="BA41" i="27"/>
  <c r="AU24" i="27"/>
  <c r="AU521" i="27"/>
  <c r="BO152" i="27"/>
  <c r="AU241" i="27"/>
  <c r="BA24" i="27"/>
  <c r="AP573" i="27"/>
  <c r="AR573" i="27" s="1"/>
  <c r="AP457" i="27"/>
  <c r="AR457" i="27" s="1"/>
  <c r="BB298" i="27"/>
  <c r="BC298" i="27" s="1"/>
  <c r="AY206" i="27"/>
  <c r="AZ206" i="27" s="1"/>
  <c r="AY202" i="27"/>
  <c r="AZ202" i="27" s="1"/>
  <c r="AQ523" i="27"/>
  <c r="AQ298" i="27"/>
  <c r="AQ241" i="27"/>
  <c r="BQ298" i="27"/>
  <c r="BI269" i="27"/>
  <c r="BI268" i="27"/>
  <c r="BI273" i="27"/>
  <c r="BN202" i="27"/>
  <c r="BI286" i="27"/>
  <c r="BI640" i="27"/>
  <c r="BI303" i="27"/>
  <c r="BI573" i="27"/>
  <c r="BI157" i="27"/>
  <c r="BI457" i="27"/>
  <c r="O174" i="27"/>
  <c r="BI204" i="27"/>
  <c r="O40" i="27"/>
  <c r="BI298" i="27"/>
  <c r="BI549" i="27"/>
  <c r="BI152" i="27"/>
  <c r="BI143" i="27"/>
  <c r="BI173" i="27"/>
  <c r="BI385" i="27"/>
  <c r="BI156" i="27"/>
  <c r="BI379" i="27"/>
  <c r="BI359" i="27"/>
  <c r="O549" i="27"/>
  <c r="O24" i="27"/>
  <c r="BS298" i="27"/>
  <c r="BN152" i="27"/>
  <c r="AY276" i="27"/>
  <c r="AZ276" i="27" s="1"/>
  <c r="BP298" i="27"/>
  <c r="BA276" i="27"/>
  <c r="AY241" i="27"/>
  <c r="AZ241" i="27" s="1"/>
  <c r="AX49" i="27"/>
  <c r="AT41" i="27"/>
  <c r="AV41" i="27" s="1"/>
  <c r="BA173" i="27"/>
  <c r="AQ269" i="27"/>
  <c r="BN298" i="27"/>
  <c r="AQ143" i="27"/>
  <c r="O277" i="27"/>
  <c r="BB379" i="27"/>
  <c r="BC379" i="27" s="1"/>
  <c r="AT365" i="27"/>
  <c r="AV365" i="27" s="1"/>
  <c r="AP658" i="27"/>
  <c r="AR658" i="27" s="1"/>
  <c r="BB276" i="27"/>
  <c r="BC276" i="27" s="1"/>
  <c r="BB273" i="27"/>
  <c r="BC273" i="27" s="1"/>
  <c r="BB241" i="27"/>
  <c r="BC241" i="27" s="1"/>
  <c r="AY49" i="27"/>
  <c r="AZ49" i="27" s="1"/>
  <c r="BB163" i="27"/>
  <c r="BC163" i="27" s="1"/>
  <c r="AX556" i="27"/>
  <c r="BB48" i="27"/>
  <c r="BC48" i="27" s="1"/>
  <c r="AX379" i="27"/>
  <c r="BB41" i="27"/>
  <c r="BC41" i="27" s="1"/>
  <c r="BA269" i="27"/>
  <c r="BA493" i="27"/>
  <c r="BA206" i="27"/>
  <c r="AX273" i="27"/>
  <c r="AT558" i="27"/>
  <c r="AV558" i="27" s="1"/>
  <c r="BS152" i="27"/>
  <c r="AX41" i="27"/>
  <c r="BB173" i="27"/>
  <c r="BC173" i="27" s="1"/>
  <c r="O268" i="27"/>
  <c r="AX333" i="27"/>
  <c r="BS303" i="27"/>
  <c r="BO303" i="27"/>
  <c r="BI49" i="27"/>
  <c r="BA556" i="27"/>
  <c r="BA202" i="27"/>
  <c r="AU437" i="27"/>
  <c r="AT205" i="27"/>
  <c r="AV205" i="27" s="1"/>
  <c r="BI163" i="27"/>
  <c r="BI25" i="27"/>
  <c r="BB493" i="27"/>
  <c r="BC493" i="27" s="1"/>
  <c r="AT48" i="27"/>
  <c r="AV48" i="27" s="1"/>
  <c r="AY239" i="27"/>
  <c r="AZ239" i="27" s="1"/>
  <c r="BA437" i="27"/>
  <c r="AX239" i="27"/>
  <c r="AQ303" i="27"/>
  <c r="AP521" i="27"/>
  <c r="AR521" i="27" s="1"/>
  <c r="O25" i="27"/>
  <c r="AP333" i="27"/>
  <c r="AR333" i="27" s="1"/>
  <c r="AQ205" i="27"/>
  <c r="AP456" i="27"/>
  <c r="AR456" i="27" s="1"/>
  <c r="BA333" i="27"/>
  <c r="AP379" i="27"/>
  <c r="AR379" i="27" s="1"/>
  <c r="BA365" i="27"/>
  <c r="BQ303" i="27"/>
  <c r="BB202" i="27"/>
  <c r="BC202" i="27" s="1"/>
  <c r="AU286" i="27"/>
  <c r="AT25" i="27"/>
  <c r="AV25" i="27" s="1"/>
  <c r="AX391" i="27"/>
  <c r="AU276" i="27"/>
  <c r="BA303" i="27"/>
  <c r="AQ173" i="27"/>
  <c r="BP303" i="27"/>
  <c r="AU240" i="27"/>
  <c r="AT436" i="27"/>
  <c r="AV436" i="27" s="1"/>
  <c r="O359" i="27"/>
  <c r="AU156" i="27"/>
  <c r="BB391" i="27"/>
  <c r="BC391" i="27" s="1"/>
  <c r="AU202" i="27"/>
  <c r="AP174" i="27"/>
  <c r="AR174" i="27" s="1"/>
  <c r="AY333" i="27"/>
  <c r="AZ333" i="27" s="1"/>
  <c r="BA205" i="27"/>
  <c r="BB365" i="27"/>
  <c r="BC365" i="27" s="1"/>
  <c r="BA156" i="27"/>
  <c r="AX385" i="27"/>
  <c r="O204" i="27"/>
  <c r="O156" i="27"/>
  <c r="BA658" i="27"/>
  <c r="AY143" i="27"/>
  <c r="AZ143" i="27" s="1"/>
  <c r="AY25" i="27"/>
  <c r="AZ25" i="27" s="1"/>
  <c r="BB277" i="27"/>
  <c r="BC277" i="27" s="1"/>
  <c r="AY204" i="27"/>
  <c r="AZ204" i="27" s="1"/>
  <c r="AX640" i="27"/>
  <c r="AX163" i="27"/>
  <c r="BB206" i="27"/>
  <c r="BC206" i="27" s="1"/>
  <c r="BB269" i="27"/>
  <c r="BC269" i="27" s="1"/>
  <c r="BA286" i="27"/>
  <c r="AY174" i="27"/>
  <c r="AZ174" i="27" s="1"/>
  <c r="AX156" i="27"/>
  <c r="AU640" i="27"/>
  <c r="AU204" i="27"/>
  <c r="AT556" i="27"/>
  <c r="AV556" i="27" s="1"/>
  <c r="AT174" i="27"/>
  <c r="AV174" i="27" s="1"/>
  <c r="AP286" i="27"/>
  <c r="AR286" i="27" s="1"/>
  <c r="A385" i="27"/>
  <c r="BB204" i="27"/>
  <c r="BC204" i="27" s="1"/>
  <c r="BB143" i="27"/>
  <c r="BC143" i="27" s="1"/>
  <c r="AY173" i="27"/>
  <c r="AZ173" i="27" s="1"/>
  <c r="AX523" i="27"/>
  <c r="AX152" i="27"/>
  <c r="AQ385" i="27"/>
  <c r="A379" i="27"/>
  <c r="BB286" i="27"/>
  <c r="BC286" i="27" s="1"/>
  <c r="AX269" i="27"/>
  <c r="AT239" i="27"/>
  <c r="AV239" i="27" s="1"/>
  <c r="BB240" i="27"/>
  <c r="BC240" i="27" s="1"/>
  <c r="AX173" i="27"/>
  <c r="BB523" i="27"/>
  <c r="BC523" i="27" s="1"/>
  <c r="BB174" i="27"/>
  <c r="BC174" i="27" s="1"/>
  <c r="AX521" i="27"/>
  <c r="AU173" i="27"/>
  <c r="AP240" i="27"/>
  <c r="AR240" i="27" s="1"/>
  <c r="O241" i="27"/>
  <c r="A303" i="27"/>
  <c r="BB658" i="27"/>
  <c r="BC658" i="27" s="1"/>
  <c r="BB25" i="27"/>
  <c r="BC25" i="27" s="1"/>
  <c r="AX456" i="27"/>
  <c r="AP239" i="27"/>
  <c r="AR239" i="27" s="1"/>
  <c r="O240" i="27"/>
  <c r="A205" i="27"/>
  <c r="BB457" i="27"/>
  <c r="BC457" i="27" s="1"/>
  <c r="BB152" i="27"/>
  <c r="BC152" i="27" s="1"/>
  <c r="BA640" i="27"/>
  <c r="BA239" i="27"/>
  <c r="AY457" i="27"/>
  <c r="AZ457" i="27" s="1"/>
  <c r="BB556" i="27"/>
  <c r="BC556" i="27" s="1"/>
  <c r="BB456" i="27"/>
  <c r="BC456" i="27" s="1"/>
  <c r="AX359" i="27"/>
  <c r="BB385" i="27"/>
  <c r="BC385" i="27" s="1"/>
  <c r="AX437" i="27"/>
  <c r="AU456" i="27"/>
  <c r="O152" i="27"/>
  <c r="A173" i="27"/>
  <c r="AU385" i="27"/>
  <c r="O640" i="27"/>
  <c r="O202" i="27"/>
  <c r="A163" i="27"/>
  <c r="A157" i="27"/>
  <c r="AY437" i="27"/>
  <c r="AZ437" i="27" s="1"/>
  <c r="AX240" i="27"/>
  <c r="AP436" i="27"/>
  <c r="AR436" i="27" s="1"/>
  <c r="O521" i="27"/>
  <c r="O437" i="27"/>
  <c r="A573" i="27"/>
  <c r="A333" i="27"/>
  <c r="AQ640" i="27"/>
  <c r="O457" i="27"/>
  <c r="O456" i="27"/>
  <c r="O269" i="27"/>
  <c r="A436" i="27"/>
  <c r="AT206" i="27"/>
  <c r="AV206" i="27" s="1"/>
  <c r="A143" i="27"/>
  <c r="O298" i="27"/>
  <c r="A49" i="27"/>
  <c r="BB436" i="27"/>
  <c r="BC436" i="27" s="1"/>
  <c r="BB205" i="27"/>
  <c r="BC205" i="27" s="1"/>
  <c r="AX298" i="27"/>
  <c r="AT49" i="27"/>
  <c r="AV49" i="27" s="1"/>
  <c r="AP273" i="27"/>
  <c r="AR273" i="27" s="1"/>
  <c r="O658" i="27"/>
  <c r="AY359" i="27"/>
  <c r="AZ359" i="27" s="1"/>
  <c r="AY156" i="27"/>
  <c r="AZ156" i="27" s="1"/>
  <c r="AU573" i="27"/>
  <c r="AT573" i="27"/>
  <c r="AV573" i="27" s="1"/>
  <c r="AU303" i="27"/>
  <c r="AT303" i="27"/>
  <c r="AV303" i="27" s="1"/>
  <c r="AU157" i="27"/>
  <c r="AT157" i="27"/>
  <c r="AV157" i="27" s="1"/>
  <c r="O391" i="27"/>
  <c r="BA49" i="27"/>
  <c r="AY157" i="27"/>
  <c r="AZ157" i="27" s="1"/>
  <c r="AY573" i="27"/>
  <c r="AZ573" i="27" s="1"/>
  <c r="AY303" i="27"/>
  <c r="AZ303" i="27" s="1"/>
  <c r="AX558" i="27"/>
  <c r="AX268" i="27"/>
  <c r="BA152" i="27"/>
  <c r="AX549" i="27"/>
  <c r="AT152" i="27"/>
  <c r="AV152" i="27" s="1"/>
  <c r="AP556" i="27"/>
  <c r="AR556" i="27" s="1"/>
  <c r="AU268" i="27"/>
  <c r="AT268" i="27"/>
  <c r="AV268" i="27" s="1"/>
  <c r="O365" i="27"/>
  <c r="A365" i="27"/>
  <c r="AQ556" i="27"/>
  <c r="BB573" i="27"/>
  <c r="BC573" i="27" s="1"/>
  <c r="BB157" i="27"/>
  <c r="BC157" i="27" s="1"/>
  <c r="AY549" i="27"/>
  <c r="AZ549" i="27" s="1"/>
  <c r="AY268" i="27"/>
  <c r="AZ268" i="27" s="1"/>
  <c r="AX658" i="27"/>
  <c r="AQ549" i="27"/>
  <c r="AP549" i="27"/>
  <c r="AR549" i="27" s="1"/>
  <c r="AQ268" i="27"/>
  <c r="AP268" i="27"/>
  <c r="AR268" i="27" s="1"/>
  <c r="AQ40" i="27"/>
  <c r="AP40" i="27"/>
  <c r="AR40" i="27" s="1"/>
  <c r="BN456" i="27"/>
  <c r="BA558" i="27"/>
  <c r="AX493" i="27"/>
  <c r="AX205" i="27"/>
  <c r="AX277" i="27"/>
  <c r="O239" i="27"/>
  <c r="O206" i="27"/>
  <c r="A206" i="27"/>
  <c r="AU549" i="27"/>
  <c r="AT549" i="27"/>
  <c r="AV549" i="27" s="1"/>
  <c r="BB303" i="27"/>
  <c r="BC303" i="27" s="1"/>
  <c r="AX365" i="27"/>
  <c r="BN174" i="27"/>
  <c r="BN269" i="27"/>
  <c r="BO456" i="27"/>
  <c r="BO174" i="27"/>
  <c r="BO269" i="27"/>
  <c r="BB558" i="27"/>
  <c r="BC558" i="27" s="1"/>
  <c r="BA549" i="27"/>
  <c r="BA268" i="27"/>
  <c r="BA40" i="27"/>
  <c r="AY521" i="27"/>
  <c r="AZ521" i="27" s="1"/>
  <c r="AX436" i="27"/>
  <c r="AP48" i="27"/>
  <c r="AR48" i="27" s="1"/>
  <c r="O493" i="27"/>
  <c r="A493" i="27"/>
  <c r="BP456" i="27"/>
  <c r="BP174" i="27"/>
  <c r="BP269" i="27"/>
  <c r="AT273" i="27"/>
  <c r="AV273" i="27" s="1"/>
  <c r="AP41" i="27"/>
  <c r="AR41" i="27" s="1"/>
  <c r="BQ456" i="27"/>
  <c r="BQ269" i="27"/>
  <c r="AQ493" i="27"/>
  <c r="AP493" i="27"/>
  <c r="AR493" i="27" s="1"/>
  <c r="AQ206" i="27"/>
  <c r="AP206" i="27"/>
  <c r="AR206" i="27" s="1"/>
  <c r="BQ174" i="27"/>
  <c r="AP365" i="27"/>
  <c r="AR365" i="27" s="1"/>
  <c r="A556" i="27"/>
  <c r="A276" i="27"/>
  <c r="A48" i="27"/>
  <c r="A558" i="27"/>
  <c r="A273" i="27"/>
  <c r="A41" i="27"/>
  <c r="AP359" i="27"/>
  <c r="AR359" i="27" s="1"/>
  <c r="AP156" i="27"/>
  <c r="AR156" i="27" s="1"/>
  <c r="AU359" i="27" l="1"/>
  <c r="AU277" i="27"/>
  <c r="AT359" i="27"/>
  <c r="AV359" i="27" s="1"/>
  <c r="AT277" i="27"/>
  <c r="AV277" i="27" s="1"/>
  <c r="BA298" i="27"/>
  <c r="BA391" i="27"/>
  <c r="AU523" i="27"/>
  <c r="AT298" i="27"/>
  <c r="AV298" i="27" s="1"/>
  <c r="AU379" i="27"/>
  <c r="AT333" i="27"/>
  <c r="AV333" i="27" s="1"/>
  <c r="BA436" i="27"/>
  <c r="AT521" i="27"/>
  <c r="AV521" i="27" s="1"/>
  <c r="AT457" i="27"/>
  <c r="AV457" i="27" s="1"/>
  <c r="AT163" i="27"/>
  <c r="AV163" i="27" s="1"/>
  <c r="AU457" i="27"/>
  <c r="AT523" i="27"/>
  <c r="AV523" i="27" s="1"/>
  <c r="AT40" i="27"/>
  <c r="AV40" i="27" s="1"/>
  <c r="BA163" i="27"/>
  <c r="AT143" i="27"/>
  <c r="AV143" i="27" s="1"/>
  <c r="BA143" i="27"/>
  <c r="AT493" i="27"/>
  <c r="AV493" i="27" s="1"/>
  <c r="BA273" i="27"/>
  <c r="BN640" i="27"/>
  <c r="BO640" i="27"/>
  <c r="Q436" i="27"/>
  <c r="Q391" i="27"/>
  <c r="Q333" i="27"/>
  <c r="Q456" i="27"/>
  <c r="Q379" i="27"/>
  <c r="Q143" i="27"/>
  <c r="Q41" i="27"/>
  <c r="Q204" i="27"/>
  <c r="BS558" i="27"/>
  <c r="BQ457" i="27"/>
  <c r="BS658" i="27"/>
  <c r="BP640" i="27"/>
  <c r="BQ658" i="27"/>
  <c r="BP658" i="27"/>
  <c r="BO658" i="27"/>
  <c r="BS640" i="27"/>
  <c r="BO493" i="27"/>
  <c r="BN549" i="27"/>
  <c r="BO521" i="27"/>
  <c r="BO457" i="27"/>
  <c r="BN521" i="27"/>
  <c r="BS493" i="27"/>
  <c r="BN457" i="27"/>
  <c r="BP493" i="27"/>
  <c r="BP521" i="27"/>
  <c r="BS521" i="27"/>
  <c r="BP457" i="27"/>
  <c r="BN558" i="27"/>
  <c r="BO549" i="27"/>
  <c r="BQ493" i="27"/>
  <c r="BP549" i="27"/>
  <c r="BO558" i="27"/>
  <c r="BS549" i="27"/>
  <c r="BP558" i="27"/>
  <c r="BQ157" i="27"/>
  <c r="BS437" i="27"/>
  <c r="BS573" i="27"/>
  <c r="BO573" i="27"/>
  <c r="BS157" i="27"/>
  <c r="BQ573" i="27"/>
  <c r="BP573" i="27"/>
  <c r="BN157" i="27"/>
  <c r="BP157" i="27"/>
  <c r="BN437" i="27"/>
  <c r="BQ437" i="27"/>
  <c r="BO437" i="27"/>
  <c r="BO273" i="27"/>
  <c r="BS273" i="27"/>
  <c r="BN273" i="27"/>
  <c r="BQ273" i="27"/>
  <c r="BP273" i="27"/>
  <c r="BP523" i="27"/>
  <c r="BN523" i="27"/>
  <c r="BO523" i="27"/>
  <c r="BQ523" i="27"/>
  <c r="BS523" i="27"/>
  <c r="BS556" i="27"/>
  <c r="BQ556" i="27"/>
  <c r="BP556" i="27"/>
  <c r="BN556" i="27"/>
  <c r="BO556" i="27"/>
  <c r="P9" i="27" l="1"/>
  <c r="P12" i="27"/>
  <c r="P14" i="27"/>
  <c r="P10" i="27"/>
  <c r="P11" i="27"/>
  <c r="P15" i="27"/>
  <c r="P13" i="27"/>
  <c r="P19" i="27"/>
  <c r="P18" i="27"/>
  <c r="P21" i="27"/>
  <c r="P20" i="27"/>
  <c r="P22" i="27"/>
  <c r="P27" i="27"/>
  <c r="P28" i="27"/>
  <c r="P29" i="27"/>
  <c r="P31" i="27"/>
  <c r="P30" i="27"/>
  <c r="P32" i="27"/>
  <c r="P33" i="27"/>
  <c r="P34" i="27"/>
  <c r="P35" i="27"/>
  <c r="P36" i="27"/>
  <c r="P37" i="27"/>
  <c r="P38" i="27"/>
  <c r="P39" i="27"/>
  <c r="P42" i="27"/>
  <c r="P43" i="27"/>
  <c r="P44" i="27"/>
  <c r="P45" i="27"/>
  <c r="P57" i="27"/>
  <c r="P58" i="27"/>
  <c r="P52" i="27"/>
  <c r="P53" i="27"/>
  <c r="P54" i="27"/>
  <c r="P50" i="27"/>
  <c r="P51" i="27"/>
  <c r="P55" i="27"/>
  <c r="P56" i="27"/>
  <c r="P115" i="27"/>
  <c r="P116" i="27"/>
  <c r="P60" i="27"/>
  <c r="P61" i="27"/>
  <c r="P62" i="27"/>
  <c r="P63" i="27"/>
  <c r="P64" i="27"/>
  <c r="P65" i="27"/>
  <c r="P66" i="27"/>
  <c r="P67" i="27"/>
  <c r="P72" i="27"/>
  <c r="P73" i="27"/>
  <c r="P74" i="27"/>
  <c r="P70" i="27"/>
  <c r="P88" i="27"/>
  <c r="P89" i="27"/>
  <c r="P80" i="27"/>
  <c r="P82" i="27"/>
  <c r="P85" i="27"/>
  <c r="P86" i="27"/>
  <c r="P90" i="27"/>
  <c r="P75" i="27"/>
  <c r="P76" i="27"/>
  <c r="P99" i="27"/>
  <c r="P100" i="27"/>
  <c r="P105" i="27"/>
  <c r="P95" i="27"/>
  <c r="P96" i="27"/>
  <c r="P102" i="27"/>
  <c r="P103" i="27"/>
  <c r="P91" i="27"/>
  <c r="P92" i="27"/>
  <c r="P113" i="27"/>
  <c r="P114" i="27"/>
  <c r="P110" i="27"/>
  <c r="P111" i="27"/>
  <c r="P112" i="27"/>
  <c r="P106" i="27"/>
  <c r="P107" i="27"/>
  <c r="P108" i="27"/>
  <c r="P71" i="27"/>
  <c r="P118" i="27"/>
  <c r="P119" i="27"/>
  <c r="P120" i="27"/>
  <c r="P185" i="27"/>
  <c r="P186" i="27"/>
  <c r="P187" i="27"/>
  <c r="P124" i="27"/>
  <c r="P125" i="27"/>
  <c r="P121" i="27"/>
  <c r="P122" i="27"/>
  <c r="P127" i="27"/>
  <c r="P130" i="27"/>
  <c r="P132" i="27"/>
  <c r="P137" i="27"/>
  <c r="P138" i="27"/>
  <c r="P133" i="27"/>
  <c r="P134" i="27"/>
  <c r="P139" i="27"/>
  <c r="P140" i="27"/>
  <c r="P136" i="27"/>
  <c r="P142" i="27"/>
  <c r="P141" i="27"/>
  <c r="P145" i="27"/>
  <c r="P146" i="27"/>
  <c r="P147" i="27"/>
  <c r="P149" i="27"/>
  <c r="P150" i="27"/>
  <c r="P170" i="27"/>
  <c r="P158" i="27"/>
  <c r="P178" i="27"/>
  <c r="P181" i="27"/>
  <c r="P171" i="27"/>
  <c r="P172" i="27"/>
  <c r="P194" i="27"/>
  <c r="P195" i="27"/>
  <c r="P199" i="27"/>
  <c r="P175" i="27"/>
  <c r="P190" i="27"/>
  <c r="P192" i="27"/>
  <c r="P177" i="27"/>
  <c r="P153" i="27"/>
  <c r="P161" i="27"/>
  <c r="P162" i="27"/>
  <c r="P166" i="27"/>
  <c r="P168" i="27"/>
  <c r="P167" i="27"/>
  <c r="P165" i="27"/>
  <c r="P164" i="27"/>
  <c r="P46" i="27"/>
  <c r="P211" i="27"/>
  <c r="P214" i="27"/>
  <c r="P212" i="27"/>
  <c r="P210" i="27"/>
  <c r="P209" i="27"/>
  <c r="P215" i="27"/>
  <c r="P216" i="27"/>
  <c r="P218" i="27"/>
  <c r="P219" i="27"/>
  <c r="P217" i="27"/>
  <c r="P220" i="27"/>
  <c r="P221" i="27"/>
  <c r="P222" i="27"/>
  <c r="P223" i="27"/>
  <c r="P224" i="27"/>
  <c r="P229" i="27"/>
  <c r="P230" i="27"/>
  <c r="P280" i="27"/>
  <c r="P283" i="27"/>
  <c r="P285" i="27"/>
  <c r="P281" i="27"/>
  <c r="P284" i="27"/>
  <c r="P282" i="27"/>
  <c r="P236" i="27"/>
  <c r="P237" i="27"/>
  <c r="P233" i="27"/>
  <c r="P234" i="27"/>
  <c r="P232" i="27"/>
  <c r="P235" i="27"/>
  <c r="P225" i="27"/>
  <c r="P226" i="27"/>
  <c r="P227" i="27"/>
  <c r="P228" i="27"/>
  <c r="P238" i="27"/>
  <c r="P231" i="27"/>
  <c r="P243" i="27"/>
  <c r="P244" i="27"/>
  <c r="P242" i="27"/>
  <c r="P245" i="27"/>
  <c r="P246" i="27"/>
  <c r="P247" i="27"/>
  <c r="P248" i="27"/>
  <c r="P250" i="27"/>
  <c r="P249" i="27"/>
  <c r="P251" i="27"/>
  <c r="P253" i="27"/>
  <c r="P255" i="27"/>
  <c r="P257" i="27"/>
  <c r="P256" i="27"/>
  <c r="P258" i="27"/>
  <c r="P271" i="27"/>
  <c r="P274" i="27"/>
  <c r="P265" i="27"/>
  <c r="P266" i="27"/>
  <c r="P267" i="27"/>
  <c r="P264" i="27"/>
  <c r="P270" i="27"/>
  <c r="P278" i="27"/>
  <c r="P275" i="27"/>
  <c r="P279" i="27"/>
  <c r="P263" i="27"/>
  <c r="P262" i="27"/>
  <c r="P261" i="27"/>
  <c r="P260" i="27"/>
  <c r="P293" i="27"/>
  <c r="P304" i="27"/>
  <c r="P288" i="27"/>
  <c r="P290" i="27"/>
  <c r="P289" i="27"/>
  <c r="P291" i="27"/>
  <c r="P294" i="27"/>
  <c r="P296" i="27"/>
  <c r="P300" i="27"/>
  <c r="P299" i="27"/>
  <c r="P297" i="27"/>
  <c r="P301" i="27"/>
  <c r="P305" i="27"/>
  <c r="P307" i="27"/>
  <c r="P308" i="27"/>
  <c r="P306" i="27"/>
  <c r="P318" i="27"/>
  <c r="P311" i="27"/>
  <c r="P312" i="27"/>
  <c r="P309" i="27"/>
  <c r="P313" i="27"/>
  <c r="P316" i="27"/>
  <c r="P314" i="27"/>
  <c r="P319" i="27"/>
  <c r="P320" i="27"/>
  <c r="P321" i="27"/>
  <c r="P323" i="27"/>
  <c r="P324" i="27"/>
  <c r="P326" i="27"/>
  <c r="P327" i="27"/>
  <c r="P332" i="27"/>
  <c r="P356" i="27"/>
  <c r="P357" i="27"/>
  <c r="P344" i="27"/>
  <c r="P346" i="27"/>
  <c r="P347" i="27"/>
  <c r="P351" i="27"/>
  <c r="P352" i="27"/>
  <c r="P350" i="27"/>
  <c r="P348" i="27"/>
  <c r="P362" i="27"/>
  <c r="P364" i="27"/>
  <c r="P361" i="27"/>
  <c r="P334" i="27"/>
  <c r="P336" i="27"/>
  <c r="P337" i="27"/>
  <c r="P338" i="27"/>
  <c r="P341" i="27"/>
  <c r="P342" i="27"/>
  <c r="P339" i="27"/>
  <c r="P329" i="27"/>
  <c r="P330" i="27"/>
  <c r="P331" i="27"/>
  <c r="P349" i="27"/>
  <c r="P343" i="27"/>
  <c r="P354" i="27"/>
  <c r="P353" i="27"/>
  <c r="P360" i="27"/>
  <c r="P340" i="27"/>
  <c r="P358" i="27"/>
  <c r="P371" i="27"/>
  <c r="P370" i="27"/>
  <c r="P372" i="27"/>
  <c r="P369" i="27"/>
  <c r="P367" i="27"/>
  <c r="P382" i="27"/>
  <c r="P380" i="27"/>
  <c r="P381" i="27"/>
  <c r="P384" i="27"/>
  <c r="P374" i="27"/>
  <c r="P373" i="27"/>
  <c r="P377" i="27"/>
  <c r="P390" i="27"/>
  <c r="P389" i="27"/>
  <c r="P387" i="27"/>
  <c r="P393" i="27"/>
  <c r="P392" i="27"/>
  <c r="P396" i="27"/>
  <c r="P513" i="27"/>
  <c r="P514" i="27"/>
  <c r="P397" i="27"/>
  <c r="P398" i="27"/>
  <c r="P399" i="27"/>
  <c r="P467" i="27"/>
  <c r="P468" i="27"/>
  <c r="P469" i="27"/>
  <c r="P406" i="27"/>
  <c r="P404" i="27"/>
  <c r="P407" i="27"/>
  <c r="P408" i="27"/>
  <c r="P410" i="27"/>
  <c r="P417" i="27"/>
  <c r="P418" i="27"/>
  <c r="P419" i="27"/>
  <c r="P420" i="27"/>
  <c r="P428" i="27"/>
  <c r="P430" i="27"/>
  <c r="P438" i="27"/>
  <c r="P439" i="27"/>
  <c r="P470" i="27"/>
  <c r="P445" i="27"/>
  <c r="P446" i="27"/>
  <c r="Q446" i="27" s="1"/>
  <c r="P447" i="27"/>
  <c r="Q447" i="27" s="1"/>
  <c r="P448" i="27"/>
  <c r="Q448" i="27" s="1"/>
  <c r="P450" i="27"/>
  <c r="P452" i="27"/>
  <c r="P422" i="27"/>
  <c r="P424" i="27"/>
  <c r="P459" i="27"/>
  <c r="P461" i="27"/>
  <c r="P474" i="27"/>
  <c r="P477" i="27"/>
  <c r="P478" i="27"/>
  <c r="P481" i="27"/>
  <c r="P485" i="27"/>
  <c r="P482" i="27"/>
  <c r="P480" i="27"/>
  <c r="P509" i="27"/>
  <c r="P489" i="27"/>
  <c r="P492" i="27"/>
  <c r="P517" i="27"/>
  <c r="P494" i="27"/>
  <c r="P495" i="27"/>
  <c r="P498" i="27"/>
  <c r="P488" i="27"/>
  <c r="P486" i="27"/>
  <c r="P499" i="27"/>
  <c r="P505" i="27"/>
  <c r="P518" i="27"/>
  <c r="P519" i="27"/>
  <c r="P520" i="27"/>
  <c r="P539" i="27"/>
  <c r="P526" i="27"/>
  <c r="P527" i="27"/>
  <c r="P552" i="27"/>
  <c r="P553" i="27"/>
  <c r="P554" i="27"/>
  <c r="P550" i="27"/>
  <c r="P551" i="27"/>
  <c r="P557" i="27"/>
  <c r="P563" i="27"/>
  <c r="P559" i="27"/>
  <c r="P564" i="27"/>
  <c r="P560" i="27"/>
  <c r="P565" i="27"/>
  <c r="P561" i="27"/>
  <c r="P566" i="27"/>
  <c r="P562" i="27"/>
  <c r="P463" i="27"/>
  <c r="P464" i="27"/>
  <c r="P465" i="27"/>
  <c r="P472" i="27"/>
  <c r="P568" i="27"/>
  <c r="P567" i="27"/>
  <c r="P570" i="27"/>
  <c r="P569" i="27"/>
  <c r="P637" i="27"/>
  <c r="P638" i="27"/>
  <c r="P639" i="27"/>
  <c r="P641" i="27"/>
  <c r="P642" i="27"/>
  <c r="P645" i="27"/>
  <c r="P646" i="27"/>
  <c r="P643" i="27"/>
  <c r="P644" i="27"/>
  <c r="P574" i="27"/>
  <c r="P576" i="27"/>
  <c r="P578" i="27"/>
  <c r="P579" i="27"/>
  <c r="P583" i="27"/>
  <c r="P586" i="27"/>
  <c r="P584" i="27"/>
  <c r="P594" i="27"/>
  <c r="P595" i="27"/>
  <c r="P597" i="27"/>
  <c r="P598" i="27"/>
  <c r="P599" i="27"/>
  <c r="P610" i="27"/>
  <c r="P612" i="27"/>
  <c r="P613" i="27"/>
  <c r="P650" i="27"/>
  <c r="P649" i="27"/>
  <c r="P652" i="27"/>
  <c r="P400" i="27"/>
  <c r="P401" i="27"/>
  <c r="P402" i="27"/>
  <c r="P432" i="27"/>
  <c r="P435" i="27"/>
  <c r="P443" i="27"/>
  <c r="P441" i="27"/>
  <c r="P442" i="27"/>
  <c r="P453" i="27"/>
  <c r="P454" i="27"/>
  <c r="P425" i="27"/>
  <c r="P427" i="27"/>
  <c r="P413" i="27"/>
  <c r="P416" i="27"/>
  <c r="P479" i="27"/>
  <c r="P507" i="27"/>
  <c r="P500" i="27"/>
  <c r="P524" i="27"/>
  <c r="P525" i="27"/>
  <c r="P529" i="27"/>
  <c r="P534" i="27"/>
  <c r="P541" i="27"/>
  <c r="P540" i="27"/>
  <c r="P548" i="27"/>
  <c r="P547" i="27"/>
  <c r="P544" i="27"/>
  <c r="P545" i="27"/>
  <c r="P543" i="27"/>
  <c r="P542" i="27"/>
  <c r="P537" i="27"/>
  <c r="P536" i="27"/>
  <c r="P531" i="27"/>
  <c r="P532" i="27"/>
  <c r="P614" i="27"/>
  <c r="P615" i="27"/>
  <c r="P618" i="27"/>
  <c r="P616" i="27"/>
  <c r="P619" i="27"/>
  <c r="P620" i="27"/>
  <c r="P626" i="27"/>
  <c r="P627" i="27"/>
  <c r="P604" i="27"/>
  <c r="P603" i="27"/>
  <c r="P629" i="27"/>
  <c r="P630" i="27"/>
  <c r="P631" i="27"/>
  <c r="P632" i="27"/>
  <c r="P633" i="27"/>
  <c r="P634" i="27"/>
  <c r="P635" i="27"/>
  <c r="P581" i="27"/>
  <c r="P580" i="27"/>
  <c r="P623" i="27"/>
  <c r="P625" i="27"/>
  <c r="P591" i="27"/>
  <c r="P593" i="27"/>
  <c r="P589" i="27"/>
  <c r="P588" i="27"/>
  <c r="P621" i="27"/>
  <c r="P622" i="27"/>
  <c r="P607" i="27"/>
  <c r="P609" i="27"/>
  <c r="P605" i="27"/>
  <c r="P606" i="27"/>
  <c r="P647" i="27"/>
  <c r="P659" i="27"/>
  <c r="P653" i="27"/>
  <c r="P655" i="27"/>
  <c r="P660" i="27"/>
  <c r="P661" i="27"/>
  <c r="P663" i="27"/>
  <c r="P662" i="27"/>
  <c r="Q445" i="27" l="1"/>
  <c r="K229" i="27"/>
  <c r="BS229" i="27" s="1"/>
  <c r="K230" i="27"/>
  <c r="BS230" i="27" s="1"/>
  <c r="K265" i="27"/>
  <c r="BN265" i="27" s="1"/>
  <c r="K266" i="27"/>
  <c r="BO266" i="27" s="1"/>
  <c r="K132" i="27"/>
  <c r="BP132" i="27" s="1"/>
  <c r="K136" i="27"/>
  <c r="BP136" i="27" s="1"/>
  <c r="K85" i="27"/>
  <c r="BQ85" i="27" s="1"/>
  <c r="L229" i="27"/>
  <c r="L230" i="27"/>
  <c r="L265" i="27"/>
  <c r="L266" i="27"/>
  <c r="L132" i="27"/>
  <c r="L136" i="27"/>
  <c r="L85" i="27"/>
  <c r="M229" i="27"/>
  <c r="M230" i="27"/>
  <c r="M265" i="27"/>
  <c r="M266" i="27"/>
  <c r="M132" i="27"/>
  <c r="M136" i="27"/>
  <c r="M85" i="27"/>
  <c r="N229" i="27"/>
  <c r="N230" i="27"/>
  <c r="N265" i="27"/>
  <c r="N266" i="27"/>
  <c r="N132" i="27"/>
  <c r="N136" i="27"/>
  <c r="N85" i="27"/>
  <c r="Q229" i="27"/>
  <c r="Q230" i="27"/>
  <c r="Q265" i="27"/>
  <c r="Q266" i="27"/>
  <c r="Q132" i="27"/>
  <c r="Q136" i="27"/>
  <c r="Q85" i="27"/>
  <c r="AP229" i="27"/>
  <c r="AR229" i="27" s="1"/>
  <c r="AP230" i="27"/>
  <c r="AR230" i="27" s="1"/>
  <c r="AP265" i="27"/>
  <c r="AR265" i="27" s="1"/>
  <c r="AP266" i="27"/>
  <c r="AR266" i="27" s="1"/>
  <c r="AP132" i="27"/>
  <c r="AR132" i="27" s="1"/>
  <c r="AQ136" i="27"/>
  <c r="AQ85" i="27"/>
  <c r="AW229" i="27"/>
  <c r="AY229" i="27" s="1"/>
  <c r="AZ229" i="27" s="1"/>
  <c r="AW230" i="27"/>
  <c r="AY230" i="27" s="1"/>
  <c r="AZ230" i="27" s="1"/>
  <c r="AW265" i="27"/>
  <c r="AY265" i="27" s="1"/>
  <c r="AZ265" i="27" s="1"/>
  <c r="AW266" i="27"/>
  <c r="AY266" i="27" s="1"/>
  <c r="AZ266" i="27" s="1"/>
  <c r="AW132" i="27"/>
  <c r="AY132" i="27" s="1"/>
  <c r="AZ132" i="27" s="1"/>
  <c r="AW136" i="27"/>
  <c r="AX136" i="27" s="1"/>
  <c r="AW85" i="27"/>
  <c r="AX85" i="27" s="1"/>
  <c r="BF229" i="27"/>
  <c r="BF230" i="27"/>
  <c r="BF265" i="27"/>
  <c r="BF266" i="27"/>
  <c r="BF132" i="27"/>
  <c r="BF136" i="27"/>
  <c r="BF85" i="27"/>
  <c r="BG229" i="27"/>
  <c r="BG230" i="27"/>
  <c r="BG265" i="27"/>
  <c r="BG266" i="27"/>
  <c r="BG132" i="27"/>
  <c r="BG136" i="27"/>
  <c r="BG85" i="27"/>
  <c r="BJ229" i="27"/>
  <c r="BJ230" i="27"/>
  <c r="BJ265" i="27"/>
  <c r="BJ266" i="27"/>
  <c r="BJ132" i="27"/>
  <c r="BJ136" i="27"/>
  <c r="BJ85" i="27"/>
  <c r="BK229" i="27"/>
  <c r="BK230" i="27"/>
  <c r="BK265" i="27"/>
  <c r="BK266" i="27"/>
  <c r="BK132" i="27"/>
  <c r="BK136" i="27"/>
  <c r="BK85" i="27"/>
  <c r="K550" i="27"/>
  <c r="BP550" i="27" s="1"/>
  <c r="K551" i="27"/>
  <c r="BS551" i="27" s="1"/>
  <c r="K554" i="27"/>
  <c r="BP554" i="27" s="1"/>
  <c r="K553" i="27"/>
  <c r="BO553" i="27" s="1"/>
  <c r="K552" i="27"/>
  <c r="BN552" i="27" s="1"/>
  <c r="K646" i="27"/>
  <c r="BP646" i="27" s="1"/>
  <c r="K645" i="27"/>
  <c r="BN645" i="27" s="1"/>
  <c r="K569" i="27"/>
  <c r="BO569" i="27" s="1"/>
  <c r="K570" i="27"/>
  <c r="BN570" i="27" s="1"/>
  <c r="K568" i="27"/>
  <c r="BS568" i="27" s="1"/>
  <c r="K661" i="27"/>
  <c r="BS661" i="27" s="1"/>
  <c r="K663" i="27"/>
  <c r="BO663" i="27" s="1"/>
  <c r="K662" i="27"/>
  <c r="BQ662" i="27" s="1"/>
  <c r="K660" i="27"/>
  <c r="BP660" i="27" s="1"/>
  <c r="K567" i="27"/>
  <c r="BS567" i="27" s="1"/>
  <c r="K45" i="27"/>
  <c r="BN45" i="27" s="1"/>
  <c r="L550" i="27"/>
  <c r="L551" i="27"/>
  <c r="L554" i="27"/>
  <c r="L553" i="27"/>
  <c r="L552" i="27"/>
  <c r="L646" i="27"/>
  <c r="L645" i="27"/>
  <c r="L569" i="27"/>
  <c r="L570" i="27"/>
  <c r="L568" i="27"/>
  <c r="L661" i="27"/>
  <c r="L663" i="27"/>
  <c r="L662" i="27"/>
  <c r="L660" i="27"/>
  <c r="L567" i="27"/>
  <c r="L45" i="27"/>
  <c r="M550" i="27"/>
  <c r="M551" i="27"/>
  <c r="M554" i="27"/>
  <c r="M553" i="27"/>
  <c r="M552" i="27"/>
  <c r="M646" i="27"/>
  <c r="M645" i="27"/>
  <c r="M569" i="27"/>
  <c r="M570" i="27"/>
  <c r="M568" i="27"/>
  <c r="M661" i="27"/>
  <c r="M663" i="27"/>
  <c r="M662" i="27"/>
  <c r="M660" i="27"/>
  <c r="M567" i="27"/>
  <c r="M45" i="27"/>
  <c r="N550" i="27"/>
  <c r="N551" i="27"/>
  <c r="N554" i="27"/>
  <c r="N553" i="27"/>
  <c r="N552" i="27"/>
  <c r="N646" i="27"/>
  <c r="N645" i="27"/>
  <c r="N569" i="27"/>
  <c r="N570" i="27"/>
  <c r="N568" i="27"/>
  <c r="N661" i="27"/>
  <c r="N663" i="27"/>
  <c r="N662" i="27"/>
  <c r="N660" i="27"/>
  <c r="N567" i="27"/>
  <c r="N45" i="27"/>
  <c r="Q550" i="27"/>
  <c r="Q551" i="27"/>
  <c r="Q554" i="27"/>
  <c r="Q552" i="27"/>
  <c r="Q646" i="27"/>
  <c r="Q645" i="27"/>
  <c r="Q569" i="27"/>
  <c r="Q570" i="27"/>
  <c r="Q661" i="27"/>
  <c r="Q663" i="27"/>
  <c r="Q662" i="27"/>
  <c r="Q660" i="27"/>
  <c r="Q567" i="27"/>
  <c r="Q45" i="27"/>
  <c r="Q553" i="27"/>
  <c r="Q568" i="27"/>
  <c r="AP550" i="27"/>
  <c r="AR550" i="27" s="1"/>
  <c r="AP551" i="27"/>
  <c r="AR551" i="27" s="1"/>
  <c r="AP554" i="27"/>
  <c r="AR554" i="27" s="1"/>
  <c r="AP553" i="27"/>
  <c r="AR553" i="27" s="1"/>
  <c r="AP552" i="27"/>
  <c r="AR552" i="27" s="1"/>
  <c r="AP646" i="27"/>
  <c r="AR646" i="27" s="1"/>
  <c r="AP645" i="27"/>
  <c r="AR645" i="27" s="1"/>
  <c r="AP569" i="27"/>
  <c r="AR569" i="27" s="1"/>
  <c r="AP570" i="27"/>
  <c r="AR570" i="27" s="1"/>
  <c r="AP568" i="27"/>
  <c r="AR568" i="27" s="1"/>
  <c r="AQ661" i="27"/>
  <c r="AP663" i="27"/>
  <c r="AR663" i="27" s="1"/>
  <c r="AP662" i="27"/>
  <c r="AR662" i="27" s="1"/>
  <c r="AP660" i="27"/>
  <c r="AR660" i="27" s="1"/>
  <c r="AP567" i="27"/>
  <c r="AR567" i="27" s="1"/>
  <c r="AP45" i="27"/>
  <c r="AR45" i="27" s="1"/>
  <c r="AW550" i="27"/>
  <c r="AX550" i="27" s="1"/>
  <c r="AW551" i="27"/>
  <c r="AX551" i="27" s="1"/>
  <c r="AW554" i="27"/>
  <c r="AX554" i="27" s="1"/>
  <c r="AW553" i="27"/>
  <c r="AX553" i="27" s="1"/>
  <c r="AW552" i="27"/>
  <c r="AX552" i="27" s="1"/>
  <c r="AW646" i="27"/>
  <c r="AX646" i="27" s="1"/>
  <c r="AW645" i="27"/>
  <c r="AX645" i="27" s="1"/>
  <c r="AW569" i="27"/>
  <c r="AX569" i="27" s="1"/>
  <c r="AW570" i="27"/>
  <c r="BB570" i="27" s="1"/>
  <c r="BC570" i="27" s="1"/>
  <c r="AW568" i="27"/>
  <c r="AX568" i="27" s="1"/>
  <c r="AW661" i="27"/>
  <c r="AW663" i="27"/>
  <c r="AX663" i="27" s="1"/>
  <c r="AW662" i="27"/>
  <c r="AX662" i="27" s="1"/>
  <c r="AW660" i="27"/>
  <c r="AX660" i="27" s="1"/>
  <c r="AW567" i="27"/>
  <c r="AX567" i="27" s="1"/>
  <c r="AW45" i="27"/>
  <c r="AY45" i="27" s="1"/>
  <c r="AZ45" i="27" s="1"/>
  <c r="BF550" i="27"/>
  <c r="BF551" i="27"/>
  <c r="BF554" i="27"/>
  <c r="BF553" i="27"/>
  <c r="BF552" i="27"/>
  <c r="BF646" i="27"/>
  <c r="BF645" i="27"/>
  <c r="BF569" i="27"/>
  <c r="BF570" i="27"/>
  <c r="BF568" i="27"/>
  <c r="BF661" i="27"/>
  <c r="BF663" i="27"/>
  <c r="BF662" i="27"/>
  <c r="BF660" i="27"/>
  <c r="BF567" i="27"/>
  <c r="BF45" i="27"/>
  <c r="BG550" i="27"/>
  <c r="BG551" i="27"/>
  <c r="BG554" i="27"/>
  <c r="BG553" i="27"/>
  <c r="BG552" i="27"/>
  <c r="BG646" i="27"/>
  <c r="BG645" i="27"/>
  <c r="BG569" i="27"/>
  <c r="BG570" i="27"/>
  <c r="BG568" i="27"/>
  <c r="BG661" i="27"/>
  <c r="BG663" i="27"/>
  <c r="BG662" i="27"/>
  <c r="BG660" i="27"/>
  <c r="BG567" i="27"/>
  <c r="BG45" i="27"/>
  <c r="BJ550" i="27"/>
  <c r="BJ551" i="27"/>
  <c r="BJ554" i="27"/>
  <c r="BJ553" i="27"/>
  <c r="BJ552" i="27"/>
  <c r="BJ646" i="27"/>
  <c r="BJ645" i="27"/>
  <c r="BJ569" i="27"/>
  <c r="BJ570" i="27"/>
  <c r="BJ568" i="27"/>
  <c r="BJ661" i="27"/>
  <c r="BJ663" i="27"/>
  <c r="BJ662" i="27"/>
  <c r="BJ660" i="27"/>
  <c r="BJ567" i="27"/>
  <c r="BJ45" i="27"/>
  <c r="BK550" i="27"/>
  <c r="BK551" i="27"/>
  <c r="BK554" i="27"/>
  <c r="BK553" i="27"/>
  <c r="BK552" i="27"/>
  <c r="BK646" i="27"/>
  <c r="BK645" i="27"/>
  <c r="BK569" i="27"/>
  <c r="BK570" i="27"/>
  <c r="BK568" i="27"/>
  <c r="BK661" i="27"/>
  <c r="BK663" i="27"/>
  <c r="BK662" i="27"/>
  <c r="BK660" i="27"/>
  <c r="BK567" i="27"/>
  <c r="BK45" i="27"/>
  <c r="K519" i="27"/>
  <c r="BN519" i="27" s="1"/>
  <c r="L519" i="27"/>
  <c r="M519" i="27"/>
  <c r="N519" i="27"/>
  <c r="Q519" i="27"/>
  <c r="AP519" i="27"/>
  <c r="AR519" i="27" s="1"/>
  <c r="AW519" i="27"/>
  <c r="AX519" i="27" s="1"/>
  <c r="BF519" i="27"/>
  <c r="BG519" i="27"/>
  <c r="BJ519" i="27"/>
  <c r="BK519" i="27"/>
  <c r="K518" i="27"/>
  <c r="BQ518" i="27" s="1"/>
  <c r="L518" i="27"/>
  <c r="M518" i="27"/>
  <c r="N518" i="27"/>
  <c r="Q518" i="27"/>
  <c r="AP518" i="27"/>
  <c r="AR518" i="27" s="1"/>
  <c r="AW518" i="27"/>
  <c r="AX518" i="27" s="1"/>
  <c r="BF518" i="27"/>
  <c r="BG518" i="27"/>
  <c r="BJ518" i="27"/>
  <c r="BK518" i="27"/>
  <c r="K544" i="27"/>
  <c r="BO544" i="27" s="1"/>
  <c r="K545" i="27"/>
  <c r="BQ545" i="27" s="1"/>
  <c r="L544" i="27"/>
  <c r="L545" i="27"/>
  <c r="M544" i="27"/>
  <c r="M545" i="27"/>
  <c r="N544" i="27"/>
  <c r="N545" i="27"/>
  <c r="Q544" i="27"/>
  <c r="Q545" i="27"/>
  <c r="AQ544" i="27"/>
  <c r="AP545" i="27"/>
  <c r="AR545" i="27" s="1"/>
  <c r="AW544" i="27"/>
  <c r="AX544" i="27" s="1"/>
  <c r="AW545" i="27"/>
  <c r="BF544" i="27"/>
  <c r="BF545" i="27"/>
  <c r="BG544" i="27"/>
  <c r="BG545" i="27"/>
  <c r="BJ544" i="27"/>
  <c r="BJ545" i="27"/>
  <c r="BK544" i="27"/>
  <c r="BK545" i="27"/>
  <c r="K532" i="27"/>
  <c r="BO532" i="27" s="1"/>
  <c r="K531" i="27"/>
  <c r="BP531" i="27" s="1"/>
  <c r="L532" i="27"/>
  <c r="L531" i="27"/>
  <c r="M532" i="27"/>
  <c r="M531" i="27"/>
  <c r="N532" i="27"/>
  <c r="N531" i="27"/>
  <c r="Q532" i="27"/>
  <c r="Q531" i="27"/>
  <c r="AP532" i="27"/>
  <c r="AR532" i="27" s="1"/>
  <c r="AP531" i="27"/>
  <c r="AR531" i="27" s="1"/>
  <c r="AW532" i="27"/>
  <c r="AX532" i="27" s="1"/>
  <c r="AW531" i="27"/>
  <c r="AX531" i="27" s="1"/>
  <c r="BF532" i="27"/>
  <c r="BF531" i="27"/>
  <c r="BG532" i="27"/>
  <c r="BG531" i="27"/>
  <c r="BJ532" i="27"/>
  <c r="BJ531" i="27"/>
  <c r="BK532" i="27"/>
  <c r="BK531" i="27"/>
  <c r="K659" i="27"/>
  <c r="BQ659" i="27" s="1"/>
  <c r="K649" i="27"/>
  <c r="BO649" i="27" s="1"/>
  <c r="K652" i="27"/>
  <c r="BO652" i="27" s="1"/>
  <c r="L659" i="27"/>
  <c r="L649" i="27"/>
  <c r="L652" i="27"/>
  <c r="M659" i="27"/>
  <c r="M649" i="27"/>
  <c r="M652" i="27"/>
  <c r="N659" i="27"/>
  <c r="N649" i="27"/>
  <c r="N652" i="27"/>
  <c r="Q659" i="27"/>
  <c r="Q649" i="27"/>
  <c r="Q652" i="27"/>
  <c r="AQ659" i="27"/>
  <c r="AP649" i="27"/>
  <c r="AR649" i="27" s="1"/>
  <c r="AP652" i="27"/>
  <c r="AR652" i="27" s="1"/>
  <c r="AW659" i="27"/>
  <c r="AW649" i="27"/>
  <c r="AW652" i="27"/>
  <c r="AY652" i="27" s="1"/>
  <c r="AZ652" i="27" s="1"/>
  <c r="BF659" i="27"/>
  <c r="BF649" i="27"/>
  <c r="BF652" i="27"/>
  <c r="BG659" i="27"/>
  <c r="BG649" i="27"/>
  <c r="BG652" i="27"/>
  <c r="BJ659" i="27"/>
  <c r="BJ649" i="27"/>
  <c r="BJ652" i="27"/>
  <c r="BK659" i="27"/>
  <c r="BK649" i="27"/>
  <c r="BK652" i="27"/>
  <c r="K650" i="27"/>
  <c r="BP650" i="27" s="1"/>
  <c r="L650" i="27"/>
  <c r="M650" i="27"/>
  <c r="N650" i="27"/>
  <c r="Q650" i="27"/>
  <c r="AP650" i="27"/>
  <c r="AR650" i="27" s="1"/>
  <c r="AW650" i="27"/>
  <c r="AY650" i="27" s="1"/>
  <c r="AZ650" i="27" s="1"/>
  <c r="BF650" i="27"/>
  <c r="BG650" i="27"/>
  <c r="BJ650" i="27"/>
  <c r="BK650" i="27"/>
  <c r="K647" i="27"/>
  <c r="BQ647" i="27" s="1"/>
  <c r="L647" i="27"/>
  <c r="M647" i="27"/>
  <c r="N647" i="27"/>
  <c r="Q647" i="27"/>
  <c r="AP647" i="27"/>
  <c r="AR647" i="27" s="1"/>
  <c r="AW647" i="27"/>
  <c r="AX647" i="27" s="1"/>
  <c r="BF647" i="27"/>
  <c r="BG647" i="27"/>
  <c r="BJ647" i="27"/>
  <c r="BK647" i="27"/>
  <c r="K655" i="27"/>
  <c r="BO655" i="27" s="1"/>
  <c r="L655" i="27"/>
  <c r="M655" i="27"/>
  <c r="N655" i="27"/>
  <c r="Q655" i="27"/>
  <c r="AP655" i="27"/>
  <c r="AR655" i="27" s="1"/>
  <c r="AW655" i="27"/>
  <c r="AY655" i="27" s="1"/>
  <c r="AZ655" i="27" s="1"/>
  <c r="BF655" i="27"/>
  <c r="BG655" i="27"/>
  <c r="BJ655" i="27"/>
  <c r="BK655" i="27"/>
  <c r="K653" i="27"/>
  <c r="BO653" i="27" s="1"/>
  <c r="L653" i="27"/>
  <c r="M653" i="27"/>
  <c r="N653" i="27"/>
  <c r="Q653" i="27"/>
  <c r="AW653" i="27"/>
  <c r="AX653" i="27" s="1"/>
  <c r="BF653" i="27"/>
  <c r="BG653" i="27"/>
  <c r="BJ653" i="27"/>
  <c r="BK653" i="27"/>
  <c r="K606" i="27"/>
  <c r="BS606" i="27" s="1"/>
  <c r="K605" i="27"/>
  <c r="BP605" i="27" s="1"/>
  <c r="K641" i="27"/>
  <c r="BS641" i="27" s="1"/>
  <c r="K642" i="27"/>
  <c r="BS642" i="27" s="1"/>
  <c r="K637" i="27"/>
  <c r="BO637" i="27" s="1"/>
  <c r="K639" i="27"/>
  <c r="BP639" i="27" s="1"/>
  <c r="K638" i="27"/>
  <c r="BP638" i="27" s="1"/>
  <c r="L606" i="27"/>
  <c r="L605" i="27"/>
  <c r="L641" i="27"/>
  <c r="L642" i="27"/>
  <c r="L637" i="27"/>
  <c r="L639" i="27"/>
  <c r="L638" i="27"/>
  <c r="M606" i="27"/>
  <c r="M605" i="27"/>
  <c r="M641" i="27"/>
  <c r="M642" i="27"/>
  <c r="M637" i="27"/>
  <c r="M639" i="27"/>
  <c r="M638" i="27"/>
  <c r="N606" i="27"/>
  <c r="N605" i="27"/>
  <c r="N641" i="27"/>
  <c r="N642" i="27"/>
  <c r="N637" i="27"/>
  <c r="N639" i="27"/>
  <c r="N638" i="27"/>
  <c r="Q606" i="27"/>
  <c r="Q605" i="27"/>
  <c r="Q641" i="27"/>
  <c r="Q642" i="27"/>
  <c r="Q637" i="27"/>
  <c r="Q639" i="27"/>
  <c r="Q638" i="27"/>
  <c r="AQ605" i="27"/>
  <c r="AQ641" i="27"/>
  <c r="AP642" i="27"/>
  <c r="AR642" i="27" s="1"/>
  <c r="AP637" i="27"/>
  <c r="AR637" i="27" s="1"/>
  <c r="AP639" i="27"/>
  <c r="AR639" i="27" s="1"/>
  <c r="AP638" i="27"/>
  <c r="AR638" i="27" s="1"/>
  <c r="AW606" i="27"/>
  <c r="AY606" i="27" s="1"/>
  <c r="AZ606" i="27" s="1"/>
  <c r="AW605" i="27"/>
  <c r="AW641" i="27"/>
  <c r="AW642" i="27"/>
  <c r="AX642" i="27" s="1"/>
  <c r="AW637" i="27"/>
  <c r="AW639" i="27"/>
  <c r="AY639" i="27" s="1"/>
  <c r="AZ639" i="27" s="1"/>
  <c r="AW638" i="27"/>
  <c r="AX638" i="27" s="1"/>
  <c r="BF606" i="27"/>
  <c r="BF605" i="27"/>
  <c r="BF641" i="27"/>
  <c r="BF642" i="27"/>
  <c r="BF637" i="27"/>
  <c r="BF639" i="27"/>
  <c r="BF638" i="27"/>
  <c r="BG606" i="27"/>
  <c r="BG605" i="27"/>
  <c r="BG641" i="27"/>
  <c r="BG642" i="27"/>
  <c r="BG637" i="27"/>
  <c r="BG639" i="27"/>
  <c r="BG638" i="27"/>
  <c r="BJ606" i="27"/>
  <c r="BJ605" i="27"/>
  <c r="BJ641" i="27"/>
  <c r="BJ642" i="27"/>
  <c r="BJ637" i="27"/>
  <c r="BJ639" i="27"/>
  <c r="BJ638" i="27"/>
  <c r="BK606" i="27"/>
  <c r="BK605" i="27"/>
  <c r="BK641" i="27"/>
  <c r="BK642" i="27"/>
  <c r="BK637" i="27"/>
  <c r="BK639" i="27"/>
  <c r="BK638" i="27"/>
  <c r="K609" i="27"/>
  <c r="BN609" i="27" s="1"/>
  <c r="K607" i="27"/>
  <c r="BN607" i="27" s="1"/>
  <c r="L609" i="27"/>
  <c r="L607" i="27"/>
  <c r="M609" i="27"/>
  <c r="M607" i="27"/>
  <c r="N609" i="27"/>
  <c r="N607" i="27"/>
  <c r="Q609" i="27"/>
  <c r="Q607" i="27"/>
  <c r="AP609" i="27"/>
  <c r="AR609" i="27" s="1"/>
  <c r="AQ607" i="27"/>
  <c r="AW609" i="27"/>
  <c r="AW607" i="27"/>
  <c r="BF609" i="27"/>
  <c r="BF607" i="27"/>
  <c r="BG609" i="27"/>
  <c r="BG607" i="27"/>
  <c r="BJ609" i="27"/>
  <c r="BJ607" i="27"/>
  <c r="BK609" i="27"/>
  <c r="BK607" i="27"/>
  <c r="K625" i="27"/>
  <c r="BQ625" i="27" s="1"/>
  <c r="K623" i="27"/>
  <c r="BP623" i="27" s="1"/>
  <c r="L625" i="27"/>
  <c r="L623" i="27"/>
  <c r="M625" i="27"/>
  <c r="M623" i="27"/>
  <c r="N625" i="27"/>
  <c r="N623" i="27"/>
  <c r="Q625" i="27"/>
  <c r="Q623" i="27"/>
  <c r="AP625" i="27"/>
  <c r="AR625" i="27" s="1"/>
  <c r="AP623" i="27"/>
  <c r="AR623" i="27" s="1"/>
  <c r="AW625" i="27"/>
  <c r="AX625" i="27" s="1"/>
  <c r="AW623" i="27"/>
  <c r="AY623" i="27" s="1"/>
  <c r="AZ623" i="27" s="1"/>
  <c r="BF625" i="27"/>
  <c r="BF623" i="27"/>
  <c r="BG625" i="27"/>
  <c r="BG623" i="27"/>
  <c r="BJ625" i="27"/>
  <c r="BJ623" i="27"/>
  <c r="BK625" i="27"/>
  <c r="BK623" i="27"/>
  <c r="K593" i="27"/>
  <c r="BO593" i="27" s="1"/>
  <c r="K591" i="27"/>
  <c r="BN591" i="27" s="1"/>
  <c r="L593" i="27"/>
  <c r="L591" i="27"/>
  <c r="M593" i="27"/>
  <c r="M591" i="27"/>
  <c r="N593" i="27"/>
  <c r="N591" i="27"/>
  <c r="Q593" i="27"/>
  <c r="Q591" i="27"/>
  <c r="AP593" i="27"/>
  <c r="AR593" i="27" s="1"/>
  <c r="AW593" i="27"/>
  <c r="AW591" i="27"/>
  <c r="BF593" i="27"/>
  <c r="BF591" i="27"/>
  <c r="BG593" i="27"/>
  <c r="BG591" i="27"/>
  <c r="BJ593" i="27"/>
  <c r="BJ591" i="27"/>
  <c r="BK593" i="27"/>
  <c r="BK591" i="27"/>
  <c r="K622" i="27"/>
  <c r="BO622" i="27" s="1"/>
  <c r="K621" i="27"/>
  <c r="BO621" i="27" s="1"/>
  <c r="L622" i="27"/>
  <c r="L621" i="27"/>
  <c r="M622" i="27"/>
  <c r="M621" i="27"/>
  <c r="N622" i="27"/>
  <c r="N621" i="27"/>
  <c r="Q622" i="27"/>
  <c r="Q621" i="27"/>
  <c r="AP622" i="27"/>
  <c r="AR622" i="27" s="1"/>
  <c r="AP621" i="27"/>
  <c r="AR621" i="27" s="1"/>
  <c r="AW622" i="27"/>
  <c r="AX622" i="27" s="1"/>
  <c r="AW621" i="27"/>
  <c r="AX621" i="27" s="1"/>
  <c r="BF622" i="27"/>
  <c r="BF621" i="27"/>
  <c r="BG622" i="27"/>
  <c r="BG621" i="27"/>
  <c r="BJ622" i="27"/>
  <c r="BJ621" i="27"/>
  <c r="BK622" i="27"/>
  <c r="BK621" i="27"/>
  <c r="K580" i="27"/>
  <c r="BO580" i="27" s="1"/>
  <c r="K581" i="27"/>
  <c r="BQ581" i="27" s="1"/>
  <c r="L580" i="27"/>
  <c r="L581" i="27"/>
  <c r="M580" i="27"/>
  <c r="M581" i="27"/>
  <c r="N580" i="27"/>
  <c r="N581" i="27"/>
  <c r="Q580" i="27"/>
  <c r="Q581" i="27"/>
  <c r="AP580" i="27"/>
  <c r="AR580" i="27" s="1"/>
  <c r="AQ581" i="27"/>
  <c r="AW580" i="27"/>
  <c r="AW581" i="27"/>
  <c r="AY581" i="27" s="1"/>
  <c r="AZ581" i="27" s="1"/>
  <c r="BF580" i="27"/>
  <c r="BF581" i="27"/>
  <c r="BG580" i="27"/>
  <c r="BG581" i="27"/>
  <c r="BJ580" i="27"/>
  <c r="BJ581" i="27"/>
  <c r="BK580" i="27"/>
  <c r="BK581" i="27"/>
  <c r="K588" i="27"/>
  <c r="BN588" i="27" s="1"/>
  <c r="K589" i="27"/>
  <c r="BO589" i="27" s="1"/>
  <c r="L588" i="27"/>
  <c r="L589" i="27"/>
  <c r="M588" i="27"/>
  <c r="M589" i="27"/>
  <c r="N588" i="27"/>
  <c r="N589" i="27"/>
  <c r="Q588" i="27"/>
  <c r="Q589" i="27"/>
  <c r="AP588" i="27"/>
  <c r="AR588" i="27" s="1"/>
  <c r="AQ589" i="27"/>
  <c r="AW588" i="27"/>
  <c r="AY588" i="27" s="1"/>
  <c r="AZ588" i="27" s="1"/>
  <c r="AW589" i="27"/>
  <c r="BF588" i="27"/>
  <c r="BF589" i="27"/>
  <c r="BG588" i="27"/>
  <c r="BG589" i="27"/>
  <c r="BJ588" i="27"/>
  <c r="BJ589" i="27"/>
  <c r="BK588" i="27"/>
  <c r="BK589" i="27"/>
  <c r="K583" i="27"/>
  <c r="BP583" i="27" s="1"/>
  <c r="K579" i="27"/>
  <c r="BQ579" i="27" s="1"/>
  <c r="K578" i="27"/>
  <c r="BP578" i="27" s="1"/>
  <c r="L583" i="27"/>
  <c r="L579" i="27"/>
  <c r="L578" i="27"/>
  <c r="M583" i="27"/>
  <c r="M579" i="27"/>
  <c r="M578" i="27"/>
  <c r="N583" i="27"/>
  <c r="N579" i="27"/>
  <c r="N578" i="27"/>
  <c r="Q583" i="27"/>
  <c r="Q579" i="27"/>
  <c r="Q578" i="27"/>
  <c r="AQ583" i="27"/>
  <c r="AQ579" i="27"/>
  <c r="AP578" i="27"/>
  <c r="AR578" i="27" s="1"/>
  <c r="AW583" i="27"/>
  <c r="AW579" i="27"/>
  <c r="AY579" i="27" s="1"/>
  <c r="AZ579" i="27" s="1"/>
  <c r="AW578" i="27"/>
  <c r="BF583" i="27"/>
  <c r="BF579" i="27"/>
  <c r="BF578" i="27"/>
  <c r="BG583" i="27"/>
  <c r="BG579" i="27"/>
  <c r="BG578" i="27"/>
  <c r="BJ583" i="27"/>
  <c r="BJ579" i="27"/>
  <c r="BJ578" i="27"/>
  <c r="BK583" i="27"/>
  <c r="BK579" i="27"/>
  <c r="BK578" i="27"/>
  <c r="K613" i="27"/>
  <c r="BQ613" i="27" s="1"/>
  <c r="K612" i="27"/>
  <c r="BN612" i="27" s="1"/>
  <c r="K610" i="27"/>
  <c r="BP610" i="27" s="1"/>
  <c r="L613" i="27"/>
  <c r="L612" i="27"/>
  <c r="L610" i="27"/>
  <c r="M613" i="27"/>
  <c r="M612" i="27"/>
  <c r="M610" i="27"/>
  <c r="N613" i="27"/>
  <c r="N612" i="27"/>
  <c r="N610" i="27"/>
  <c r="Q613" i="27"/>
  <c r="Q612" i="27"/>
  <c r="Q610" i="27"/>
  <c r="AP613" i="27"/>
  <c r="AR613" i="27" s="1"/>
  <c r="AQ612" i="27"/>
  <c r="AP610" i="27"/>
  <c r="AR610" i="27" s="1"/>
  <c r="AW613" i="27"/>
  <c r="AY613" i="27" s="1"/>
  <c r="AZ613" i="27" s="1"/>
  <c r="AW612" i="27"/>
  <c r="AW610" i="27"/>
  <c r="AX610" i="27" s="1"/>
  <c r="BF613" i="27"/>
  <c r="BF612" i="27"/>
  <c r="BF610" i="27"/>
  <c r="BG613" i="27"/>
  <c r="BG612" i="27"/>
  <c r="BG610" i="27"/>
  <c r="BJ613" i="27"/>
  <c r="BJ612" i="27"/>
  <c r="BJ610" i="27"/>
  <c r="BK613" i="27"/>
  <c r="BK612" i="27"/>
  <c r="BK610" i="27"/>
  <c r="K615" i="27"/>
  <c r="BN615" i="27" s="1"/>
  <c r="K614" i="27"/>
  <c r="BQ614" i="27" s="1"/>
  <c r="L615" i="27"/>
  <c r="L614" i="27"/>
  <c r="M615" i="27"/>
  <c r="M614" i="27"/>
  <c r="N615" i="27"/>
  <c r="N614" i="27"/>
  <c r="Q615" i="27"/>
  <c r="Q614" i="27"/>
  <c r="AP615" i="27"/>
  <c r="AR615" i="27" s="1"/>
  <c r="AQ614" i="27"/>
  <c r="AW615" i="27"/>
  <c r="AX615" i="27" s="1"/>
  <c r="AW614" i="27"/>
  <c r="AX614" i="27" s="1"/>
  <c r="BF615" i="27"/>
  <c r="BF614" i="27"/>
  <c r="BG615" i="27"/>
  <c r="BG614" i="27"/>
  <c r="BJ615" i="27"/>
  <c r="BJ614" i="27"/>
  <c r="BK615" i="27"/>
  <c r="BK614" i="27"/>
  <c r="K576" i="27"/>
  <c r="BS576" i="27" s="1"/>
  <c r="K574" i="27"/>
  <c r="BS574" i="27" s="1"/>
  <c r="L576" i="27"/>
  <c r="L574" i="27"/>
  <c r="M576" i="27"/>
  <c r="M574" i="27"/>
  <c r="N576" i="27"/>
  <c r="N574" i="27"/>
  <c r="Q576" i="27"/>
  <c r="Q574" i="27"/>
  <c r="AQ576" i="27"/>
  <c r="AP574" i="27"/>
  <c r="AR574" i="27" s="1"/>
  <c r="AW576" i="27"/>
  <c r="AY576" i="27" s="1"/>
  <c r="AZ576" i="27" s="1"/>
  <c r="AW574" i="27"/>
  <c r="AX574" i="27" s="1"/>
  <c r="BF576" i="27"/>
  <c r="BF574" i="27"/>
  <c r="BG576" i="27"/>
  <c r="BG574" i="27"/>
  <c r="BJ576" i="27"/>
  <c r="BJ574" i="27"/>
  <c r="BK576" i="27"/>
  <c r="BK574" i="27"/>
  <c r="K595" i="27"/>
  <c r="BS595" i="27" s="1"/>
  <c r="K594" i="27"/>
  <c r="BQ594" i="27" s="1"/>
  <c r="L595" i="27"/>
  <c r="L594" i="27"/>
  <c r="M595" i="27"/>
  <c r="M594" i="27"/>
  <c r="N595" i="27"/>
  <c r="N594" i="27"/>
  <c r="Q595" i="27"/>
  <c r="Q594" i="27"/>
  <c r="AQ595" i="27"/>
  <c r="AW595" i="27"/>
  <c r="AX595" i="27" s="1"/>
  <c r="AW594" i="27"/>
  <c r="AY594" i="27" s="1"/>
  <c r="AZ594" i="27" s="1"/>
  <c r="BF595" i="27"/>
  <c r="BF594" i="27"/>
  <c r="BG595" i="27"/>
  <c r="BG594" i="27"/>
  <c r="BJ595" i="27"/>
  <c r="BJ594" i="27"/>
  <c r="BK595" i="27"/>
  <c r="BK594" i="27"/>
  <c r="K627" i="27"/>
  <c r="BO627" i="27" s="1"/>
  <c r="K626" i="27"/>
  <c r="BO626" i="27" s="1"/>
  <c r="L627" i="27"/>
  <c r="L626" i="27"/>
  <c r="M627" i="27"/>
  <c r="M626" i="27"/>
  <c r="N627" i="27"/>
  <c r="N626" i="27"/>
  <c r="Q627" i="27"/>
  <c r="Q626" i="27"/>
  <c r="AP627" i="27"/>
  <c r="AR627" i="27" s="1"/>
  <c r="AP626" i="27"/>
  <c r="AR626" i="27" s="1"/>
  <c r="AW627" i="27"/>
  <c r="AW626" i="27"/>
  <c r="AY626" i="27" s="1"/>
  <c r="AZ626" i="27" s="1"/>
  <c r="BF627" i="27"/>
  <c r="BF626" i="27"/>
  <c r="BG627" i="27"/>
  <c r="BG626" i="27"/>
  <c r="BJ627" i="27"/>
  <c r="BJ626" i="27"/>
  <c r="BK627" i="27"/>
  <c r="BK626" i="27"/>
  <c r="K598" i="27"/>
  <c r="BO598" i="27" s="1"/>
  <c r="K597" i="27"/>
  <c r="BQ597" i="27" s="1"/>
  <c r="K599" i="27"/>
  <c r="BN599" i="27" s="1"/>
  <c r="L598" i="27"/>
  <c r="L597" i="27"/>
  <c r="L599" i="27"/>
  <c r="M598" i="27"/>
  <c r="M597" i="27"/>
  <c r="M599" i="27"/>
  <c r="N598" i="27"/>
  <c r="N597" i="27"/>
  <c r="N599" i="27"/>
  <c r="Q598" i="27"/>
  <c r="Q597" i="27"/>
  <c r="Q599" i="27"/>
  <c r="AP598" i="27"/>
  <c r="AR598" i="27" s="1"/>
  <c r="AP597" i="27"/>
  <c r="AR597" i="27" s="1"/>
  <c r="AP599" i="27"/>
  <c r="AR599" i="27" s="1"/>
  <c r="AW598" i="27"/>
  <c r="AY598" i="27" s="1"/>
  <c r="AZ598" i="27" s="1"/>
  <c r="AW597" i="27"/>
  <c r="AX597" i="27" s="1"/>
  <c r="AW599" i="27"/>
  <c r="AY599" i="27" s="1"/>
  <c r="AZ599" i="27" s="1"/>
  <c r="BF598" i="27"/>
  <c r="BF597" i="27"/>
  <c r="BF599" i="27"/>
  <c r="BG598" i="27"/>
  <c r="BG597" i="27"/>
  <c r="BG599" i="27"/>
  <c r="BJ598" i="27"/>
  <c r="BJ597" i="27"/>
  <c r="BJ599" i="27"/>
  <c r="BK598" i="27"/>
  <c r="BK597" i="27"/>
  <c r="BK599" i="27"/>
  <c r="K620" i="27"/>
  <c r="BP620" i="27" s="1"/>
  <c r="K619" i="27"/>
  <c r="BQ619" i="27" s="1"/>
  <c r="L620" i="27"/>
  <c r="L619" i="27"/>
  <c r="M620" i="27"/>
  <c r="M619" i="27"/>
  <c r="N620" i="27"/>
  <c r="N619" i="27"/>
  <c r="Q620" i="27"/>
  <c r="Q619" i="27"/>
  <c r="AQ620" i="27"/>
  <c r="AP619" i="27"/>
  <c r="AR619" i="27" s="1"/>
  <c r="AW620" i="27"/>
  <c r="AX620" i="27" s="1"/>
  <c r="AW619" i="27"/>
  <c r="AX619" i="27" s="1"/>
  <c r="BF620" i="27"/>
  <c r="BF619" i="27"/>
  <c r="BG620" i="27"/>
  <c r="BG619" i="27"/>
  <c r="BJ620" i="27"/>
  <c r="BJ619" i="27"/>
  <c r="BK620" i="27"/>
  <c r="BK619" i="27"/>
  <c r="K584" i="27"/>
  <c r="BP584" i="27" s="1"/>
  <c r="K586" i="27"/>
  <c r="BP586" i="27" s="1"/>
  <c r="L584" i="27"/>
  <c r="L586" i="27"/>
  <c r="M584" i="27"/>
  <c r="M586" i="27"/>
  <c r="N584" i="27"/>
  <c r="N586" i="27"/>
  <c r="Q584" i="27"/>
  <c r="Q586" i="27"/>
  <c r="AP584" i="27"/>
  <c r="AR584" i="27" s="1"/>
  <c r="AP586" i="27"/>
  <c r="AR586" i="27" s="1"/>
  <c r="AW584" i="27"/>
  <c r="AY584" i="27" s="1"/>
  <c r="AZ584" i="27" s="1"/>
  <c r="AW586" i="27"/>
  <c r="AX586" i="27" s="1"/>
  <c r="BF584" i="27"/>
  <c r="BF586" i="27"/>
  <c r="BG584" i="27"/>
  <c r="BG586" i="27"/>
  <c r="BJ584" i="27"/>
  <c r="BJ586" i="27"/>
  <c r="BK584" i="27"/>
  <c r="BK586" i="27"/>
  <c r="K616" i="27"/>
  <c r="BQ616" i="27" s="1"/>
  <c r="K618" i="27"/>
  <c r="BP618" i="27" s="1"/>
  <c r="L616" i="27"/>
  <c r="L618" i="27"/>
  <c r="M616" i="27"/>
  <c r="M618" i="27"/>
  <c r="N616" i="27"/>
  <c r="AT616" i="27" s="1"/>
  <c r="AV616" i="27" s="1"/>
  <c r="N618" i="27"/>
  <c r="Q616" i="27"/>
  <c r="Q618" i="27"/>
  <c r="AP616" i="27"/>
  <c r="AR616" i="27" s="1"/>
  <c r="AQ618" i="27"/>
  <c r="AW616" i="27"/>
  <c r="AY616" i="27" s="1"/>
  <c r="AZ616" i="27" s="1"/>
  <c r="AW618" i="27"/>
  <c r="AY618" i="27" s="1"/>
  <c r="AZ618" i="27" s="1"/>
  <c r="BF616" i="27"/>
  <c r="BF618" i="27"/>
  <c r="BG616" i="27"/>
  <c r="BG618" i="27"/>
  <c r="BJ616" i="27"/>
  <c r="BJ618" i="27"/>
  <c r="BK616" i="27"/>
  <c r="BK618" i="27"/>
  <c r="K631" i="27"/>
  <c r="BN631" i="27" s="1"/>
  <c r="K633" i="27"/>
  <c r="BN633" i="27" s="1"/>
  <c r="K630" i="27"/>
  <c r="BP630" i="27" s="1"/>
  <c r="K632" i="27"/>
  <c r="BN632" i="27" s="1"/>
  <c r="K634" i="27"/>
  <c r="BP634" i="27" s="1"/>
  <c r="K635" i="27"/>
  <c r="BO635" i="27" s="1"/>
  <c r="K643" i="27"/>
  <c r="BS643" i="27" s="1"/>
  <c r="K644" i="27"/>
  <c r="BS644" i="27" s="1"/>
  <c r="L631" i="27"/>
  <c r="L633" i="27"/>
  <c r="L630" i="27"/>
  <c r="L632" i="27"/>
  <c r="L634" i="27"/>
  <c r="L635" i="27"/>
  <c r="L643" i="27"/>
  <c r="L644" i="27"/>
  <c r="M631" i="27"/>
  <c r="M633" i="27"/>
  <c r="M630" i="27"/>
  <c r="M632" i="27"/>
  <c r="M634" i="27"/>
  <c r="M635" i="27"/>
  <c r="M643" i="27"/>
  <c r="M644" i="27"/>
  <c r="N631" i="27"/>
  <c r="N633" i="27"/>
  <c r="N630" i="27"/>
  <c r="N632" i="27"/>
  <c r="N634" i="27"/>
  <c r="N635" i="27"/>
  <c r="N643" i="27"/>
  <c r="N644" i="27"/>
  <c r="Q631" i="27"/>
  <c r="Q633" i="27"/>
  <c r="Q630" i="27"/>
  <c r="Q632" i="27"/>
  <c r="Q634" i="27"/>
  <c r="Q635" i="27"/>
  <c r="Q643" i="27"/>
  <c r="Q644" i="27"/>
  <c r="AP631" i="27"/>
  <c r="AR631" i="27" s="1"/>
  <c r="AP633" i="27"/>
  <c r="AR633" i="27" s="1"/>
  <c r="AP630" i="27"/>
  <c r="AR630" i="27" s="1"/>
  <c r="AQ632" i="27"/>
  <c r="AP634" i="27"/>
  <c r="AR634" i="27" s="1"/>
  <c r="AP635" i="27"/>
  <c r="AR635" i="27" s="1"/>
  <c r="AP643" i="27"/>
  <c r="AR643" i="27" s="1"/>
  <c r="AP644" i="27"/>
  <c r="AR644" i="27" s="1"/>
  <c r="AW631" i="27"/>
  <c r="AX631" i="27" s="1"/>
  <c r="AW633" i="27"/>
  <c r="AX633" i="27" s="1"/>
  <c r="AW630" i="27"/>
  <c r="AX630" i="27" s="1"/>
  <c r="AW632" i="27"/>
  <c r="AW634" i="27"/>
  <c r="AX634" i="27" s="1"/>
  <c r="AW635" i="27"/>
  <c r="AX635" i="27" s="1"/>
  <c r="AW643" i="27"/>
  <c r="AX643" i="27" s="1"/>
  <c r="AW644" i="27"/>
  <c r="AX644" i="27" s="1"/>
  <c r="BF631" i="27"/>
  <c r="BF633" i="27"/>
  <c r="BF630" i="27"/>
  <c r="BF632" i="27"/>
  <c r="BF634" i="27"/>
  <c r="BF635" i="27"/>
  <c r="BF643" i="27"/>
  <c r="BF644" i="27"/>
  <c r="BG631" i="27"/>
  <c r="BG633" i="27"/>
  <c r="BG630" i="27"/>
  <c r="BG632" i="27"/>
  <c r="BG634" i="27"/>
  <c r="BG635" i="27"/>
  <c r="BG643" i="27"/>
  <c r="BG644" i="27"/>
  <c r="BJ631" i="27"/>
  <c r="BJ633" i="27"/>
  <c r="BJ630" i="27"/>
  <c r="BJ632" i="27"/>
  <c r="BJ634" i="27"/>
  <c r="BJ635" i="27"/>
  <c r="BJ643" i="27"/>
  <c r="BJ644" i="27"/>
  <c r="BK631" i="27"/>
  <c r="BK633" i="27"/>
  <c r="BK630" i="27"/>
  <c r="BK632" i="27"/>
  <c r="BK634" i="27"/>
  <c r="BK635" i="27"/>
  <c r="BK643" i="27"/>
  <c r="BK644" i="27"/>
  <c r="K565" i="27"/>
  <c r="BO565" i="27" s="1"/>
  <c r="K559" i="27"/>
  <c r="BQ559" i="27" s="1"/>
  <c r="K566" i="27"/>
  <c r="BN566" i="27" s="1"/>
  <c r="K562" i="27"/>
  <c r="BQ562" i="27" s="1"/>
  <c r="K561" i="27"/>
  <c r="BQ561" i="27" s="1"/>
  <c r="K629" i="27"/>
  <c r="BQ629" i="27" s="1"/>
  <c r="L565" i="27"/>
  <c r="L559" i="27"/>
  <c r="L566" i="27"/>
  <c r="L562" i="27"/>
  <c r="L561" i="27"/>
  <c r="L629" i="27"/>
  <c r="M565" i="27"/>
  <c r="M559" i="27"/>
  <c r="M566" i="27"/>
  <c r="M562" i="27"/>
  <c r="M561" i="27"/>
  <c r="M629" i="27"/>
  <c r="N565" i="27"/>
  <c r="N559" i="27"/>
  <c r="N566" i="27"/>
  <c r="N562" i="27"/>
  <c r="N561" i="27"/>
  <c r="N629" i="27"/>
  <c r="A629" i="27" s="1"/>
  <c r="Q565" i="27"/>
  <c r="Q559" i="27"/>
  <c r="Q566" i="27"/>
  <c r="Q562" i="27"/>
  <c r="Q561" i="27"/>
  <c r="Q629" i="27"/>
  <c r="AP565" i="27"/>
  <c r="AR565" i="27" s="1"/>
  <c r="AQ559" i="27"/>
  <c r="AQ566" i="27"/>
  <c r="AQ561" i="27"/>
  <c r="AP629" i="27"/>
  <c r="AR629" i="27" s="1"/>
  <c r="AW565" i="27"/>
  <c r="AX565" i="27" s="1"/>
  <c r="AW559" i="27"/>
  <c r="AY559" i="27" s="1"/>
  <c r="AZ559" i="27" s="1"/>
  <c r="AW566" i="27"/>
  <c r="AY566" i="27" s="1"/>
  <c r="AZ566" i="27" s="1"/>
  <c r="AW562" i="27"/>
  <c r="AY562" i="27" s="1"/>
  <c r="AZ562" i="27" s="1"/>
  <c r="AW561" i="27"/>
  <c r="AY561" i="27" s="1"/>
  <c r="AZ561" i="27" s="1"/>
  <c r="AW629" i="27"/>
  <c r="AX629" i="27" s="1"/>
  <c r="BF565" i="27"/>
  <c r="BF559" i="27"/>
  <c r="BF566" i="27"/>
  <c r="BF562" i="27"/>
  <c r="BF561" i="27"/>
  <c r="BF629" i="27"/>
  <c r="BG565" i="27"/>
  <c r="BG559" i="27"/>
  <c r="BG566" i="27"/>
  <c r="BG562" i="27"/>
  <c r="BG561" i="27"/>
  <c r="BG629" i="27"/>
  <c r="BJ565" i="27"/>
  <c r="BJ559" i="27"/>
  <c r="BJ566" i="27"/>
  <c r="BJ562" i="27"/>
  <c r="BJ561" i="27"/>
  <c r="BJ629" i="27"/>
  <c r="BK565" i="27"/>
  <c r="BK559" i="27"/>
  <c r="BK566" i="27"/>
  <c r="BK562" i="27"/>
  <c r="BK561" i="27"/>
  <c r="BK629" i="27"/>
  <c r="K560" i="27"/>
  <c r="BO560" i="27" s="1"/>
  <c r="L560" i="27"/>
  <c r="M560" i="27"/>
  <c r="N560" i="27"/>
  <c r="Q560" i="27"/>
  <c r="AP560" i="27"/>
  <c r="AR560" i="27" s="1"/>
  <c r="AW560" i="27"/>
  <c r="AX560" i="27" s="1"/>
  <c r="BF560" i="27"/>
  <c r="BG560" i="27"/>
  <c r="BJ560" i="27"/>
  <c r="BK560" i="27"/>
  <c r="K563" i="27"/>
  <c r="BS563" i="27" s="1"/>
  <c r="L563" i="27"/>
  <c r="M563" i="27"/>
  <c r="N563" i="27"/>
  <c r="Q563" i="27"/>
  <c r="AP563" i="27"/>
  <c r="AR563" i="27" s="1"/>
  <c r="AW563" i="27"/>
  <c r="BF563" i="27"/>
  <c r="BG563" i="27"/>
  <c r="BJ563" i="27"/>
  <c r="BK563" i="27"/>
  <c r="K564" i="27"/>
  <c r="BO564" i="27" s="1"/>
  <c r="K557" i="27"/>
  <c r="BO557" i="27" s="1"/>
  <c r="L564" i="27"/>
  <c r="L557" i="27"/>
  <c r="M564" i="27"/>
  <c r="M557" i="27"/>
  <c r="N564" i="27"/>
  <c r="N557" i="27"/>
  <c r="Q564" i="27"/>
  <c r="Q557" i="27"/>
  <c r="AP564" i="27"/>
  <c r="AR564" i="27" s="1"/>
  <c r="AP557" i="27"/>
  <c r="AR557" i="27" s="1"/>
  <c r="AW564" i="27"/>
  <c r="AW557" i="27"/>
  <c r="BF564" i="27"/>
  <c r="BF557" i="27"/>
  <c r="BG564" i="27"/>
  <c r="BG557" i="27"/>
  <c r="BJ564" i="27"/>
  <c r="BJ557" i="27"/>
  <c r="BK564" i="27"/>
  <c r="BK557" i="27"/>
  <c r="K463" i="27"/>
  <c r="BQ463" i="27" s="1"/>
  <c r="K464" i="27"/>
  <c r="BO464" i="27" s="1"/>
  <c r="L463" i="27"/>
  <c r="L464" i="27"/>
  <c r="M463" i="27"/>
  <c r="M464" i="27"/>
  <c r="N463" i="27"/>
  <c r="N464" i="27"/>
  <c r="Q463" i="27"/>
  <c r="Q464" i="27"/>
  <c r="AW463" i="27"/>
  <c r="AW464" i="27"/>
  <c r="BF463" i="27"/>
  <c r="BF464" i="27"/>
  <c r="BG463" i="27"/>
  <c r="BG464" i="27"/>
  <c r="BJ463" i="27"/>
  <c r="BJ464" i="27"/>
  <c r="BK463" i="27"/>
  <c r="BK464" i="27"/>
  <c r="K465" i="27"/>
  <c r="BO465" i="27" s="1"/>
  <c r="L465" i="27"/>
  <c r="M465" i="27"/>
  <c r="N465" i="27"/>
  <c r="Q465" i="27"/>
  <c r="AP465" i="27"/>
  <c r="AR465" i="27" s="1"/>
  <c r="AW465" i="27"/>
  <c r="BF465" i="27"/>
  <c r="BG465" i="27"/>
  <c r="BJ465" i="27"/>
  <c r="BK465" i="27"/>
  <c r="K472" i="27"/>
  <c r="BO472" i="27" s="1"/>
  <c r="L472" i="27"/>
  <c r="M472" i="27"/>
  <c r="N472" i="27"/>
  <c r="Q472" i="27"/>
  <c r="AP472" i="27"/>
  <c r="AR472" i="27" s="1"/>
  <c r="AW472" i="27"/>
  <c r="BF472" i="27"/>
  <c r="BG472" i="27"/>
  <c r="BJ472" i="27"/>
  <c r="BK472" i="27"/>
  <c r="K537" i="27"/>
  <c r="BP537" i="27" s="1"/>
  <c r="K536" i="27"/>
  <c r="BS536" i="27" s="1"/>
  <c r="K524" i="27"/>
  <c r="BP524" i="27" s="1"/>
  <c r="K525" i="27"/>
  <c r="BN525" i="27" s="1"/>
  <c r="K529" i="27"/>
  <c r="BO529" i="27" s="1"/>
  <c r="L537" i="27"/>
  <c r="L536" i="27"/>
  <c r="L524" i="27"/>
  <c r="L525" i="27"/>
  <c r="L529" i="27"/>
  <c r="M537" i="27"/>
  <c r="M536" i="27"/>
  <c r="M524" i="27"/>
  <c r="M525" i="27"/>
  <c r="M529" i="27"/>
  <c r="N537" i="27"/>
  <c r="N536" i="27"/>
  <c r="N524" i="27"/>
  <c r="N525" i="27"/>
  <c r="N529" i="27"/>
  <c r="Q537" i="27"/>
  <c r="Q536" i="27"/>
  <c r="Q524" i="27"/>
  <c r="Q525" i="27"/>
  <c r="Q529" i="27"/>
  <c r="AP537" i="27"/>
  <c r="AR537" i="27" s="1"/>
  <c r="AP524" i="27"/>
  <c r="AR524" i="27" s="1"/>
  <c r="AQ525" i="27"/>
  <c r="AP529" i="27"/>
  <c r="AR529" i="27" s="1"/>
  <c r="AW537" i="27"/>
  <c r="AX537" i="27" s="1"/>
  <c r="AW536" i="27"/>
  <c r="AX536" i="27" s="1"/>
  <c r="AW524" i="27"/>
  <c r="AX524" i="27" s="1"/>
  <c r="AW525" i="27"/>
  <c r="AY525" i="27" s="1"/>
  <c r="AZ525" i="27" s="1"/>
  <c r="AW529" i="27"/>
  <c r="AY529" i="27" s="1"/>
  <c r="AZ529" i="27" s="1"/>
  <c r="BF537" i="27"/>
  <c r="BF536" i="27"/>
  <c r="BF524" i="27"/>
  <c r="BF525" i="27"/>
  <c r="BF529" i="27"/>
  <c r="BG537" i="27"/>
  <c r="BG536" i="27"/>
  <c r="BG524" i="27"/>
  <c r="BG525" i="27"/>
  <c r="BG529" i="27"/>
  <c r="BJ537" i="27"/>
  <c r="BJ536" i="27"/>
  <c r="BJ524" i="27"/>
  <c r="BJ525" i="27"/>
  <c r="BJ529" i="27"/>
  <c r="BK537" i="27"/>
  <c r="BK536" i="27"/>
  <c r="BK524" i="27"/>
  <c r="BK525" i="27"/>
  <c r="BK529" i="27"/>
  <c r="K534" i="27"/>
  <c r="BO534" i="27" s="1"/>
  <c r="L534" i="27"/>
  <c r="M534" i="27"/>
  <c r="N534" i="27"/>
  <c r="Q534" i="27"/>
  <c r="AQ534" i="27"/>
  <c r="AW534" i="27"/>
  <c r="AY534" i="27" s="1"/>
  <c r="AZ534" i="27" s="1"/>
  <c r="BF534" i="27"/>
  <c r="BG534" i="27"/>
  <c r="BJ534" i="27"/>
  <c r="BK534" i="27"/>
  <c r="K539" i="27"/>
  <c r="BO539" i="27" s="1"/>
  <c r="K547" i="27"/>
  <c r="BQ547" i="27" s="1"/>
  <c r="K548" i="27"/>
  <c r="BS548" i="27" s="1"/>
  <c r="L539" i="27"/>
  <c r="L547" i="27"/>
  <c r="L548" i="27"/>
  <c r="M539" i="27"/>
  <c r="M547" i="27"/>
  <c r="M548" i="27"/>
  <c r="N539" i="27"/>
  <c r="N547" i="27"/>
  <c r="N548" i="27"/>
  <c r="Q539" i="27"/>
  <c r="Q547" i="27"/>
  <c r="Q548" i="27"/>
  <c r="AQ539" i="27"/>
  <c r="AP547" i="27"/>
  <c r="AR547" i="27" s="1"/>
  <c r="AW539" i="27"/>
  <c r="AW547" i="27"/>
  <c r="AY547" i="27" s="1"/>
  <c r="AZ547" i="27" s="1"/>
  <c r="AW548" i="27"/>
  <c r="AX548" i="27" s="1"/>
  <c r="BF539" i="27"/>
  <c r="BF547" i="27"/>
  <c r="BF548" i="27"/>
  <c r="BG539" i="27"/>
  <c r="BG547" i="27"/>
  <c r="BG548" i="27"/>
  <c r="BJ539" i="27"/>
  <c r="BJ547" i="27"/>
  <c r="BJ548" i="27"/>
  <c r="BK539" i="27"/>
  <c r="BK547" i="27"/>
  <c r="BK548" i="27"/>
  <c r="K543" i="27"/>
  <c r="BN543" i="27" s="1"/>
  <c r="K542" i="27"/>
  <c r="BN542" i="27" s="1"/>
  <c r="L543" i="27"/>
  <c r="L542" i="27"/>
  <c r="M543" i="27"/>
  <c r="M542" i="27"/>
  <c r="N543" i="27"/>
  <c r="N542" i="27"/>
  <c r="Q543" i="27"/>
  <c r="Q542" i="27"/>
  <c r="AQ543" i="27"/>
  <c r="AP542" i="27"/>
  <c r="AR542" i="27" s="1"/>
  <c r="AW543" i="27"/>
  <c r="AY543" i="27" s="1"/>
  <c r="AZ543" i="27" s="1"/>
  <c r="AW542" i="27"/>
  <c r="AY542" i="27" s="1"/>
  <c r="AZ542" i="27" s="1"/>
  <c r="BF543" i="27"/>
  <c r="BF542" i="27"/>
  <c r="BG543" i="27"/>
  <c r="BG542" i="27"/>
  <c r="BJ543" i="27"/>
  <c r="BJ542" i="27"/>
  <c r="BK543" i="27"/>
  <c r="BK542" i="27"/>
  <c r="K526" i="27"/>
  <c r="BS526" i="27" s="1"/>
  <c r="K527" i="27"/>
  <c r="BQ527" i="27" s="1"/>
  <c r="L526" i="27"/>
  <c r="L527" i="27"/>
  <c r="M526" i="27"/>
  <c r="M527" i="27"/>
  <c r="N526" i="27"/>
  <c r="N527" i="27"/>
  <c r="Q526" i="27"/>
  <c r="Q527" i="27"/>
  <c r="AQ526" i="27"/>
  <c r="AP527" i="27"/>
  <c r="AR527" i="27" s="1"/>
  <c r="AW526" i="27"/>
  <c r="AY526" i="27" s="1"/>
  <c r="AZ526" i="27" s="1"/>
  <c r="AW527" i="27"/>
  <c r="AX527" i="27" s="1"/>
  <c r="BF526" i="27"/>
  <c r="BF527" i="27"/>
  <c r="BG526" i="27"/>
  <c r="BG527" i="27"/>
  <c r="BJ526" i="27"/>
  <c r="BJ527" i="27"/>
  <c r="BK526" i="27"/>
  <c r="BK527" i="27"/>
  <c r="K541" i="27"/>
  <c r="BS541" i="27" s="1"/>
  <c r="K540" i="27"/>
  <c r="BO540" i="27" s="1"/>
  <c r="K520" i="27"/>
  <c r="BO520" i="27" s="1"/>
  <c r="L541" i="27"/>
  <c r="L540" i="27"/>
  <c r="L520" i="27"/>
  <c r="M541" i="27"/>
  <c r="M540" i="27"/>
  <c r="M520" i="27"/>
  <c r="N541" i="27"/>
  <c r="N540" i="27"/>
  <c r="N520" i="27"/>
  <c r="Q541" i="27"/>
  <c r="Q540" i="27"/>
  <c r="Q520" i="27"/>
  <c r="AP541" i="27"/>
  <c r="AR541" i="27" s="1"/>
  <c r="AP540" i="27"/>
  <c r="AR540" i="27" s="1"/>
  <c r="AP520" i="27"/>
  <c r="AR520" i="27" s="1"/>
  <c r="AW541" i="27"/>
  <c r="AX541" i="27" s="1"/>
  <c r="AW540" i="27"/>
  <c r="AW520" i="27"/>
  <c r="AY520" i="27" s="1"/>
  <c r="AZ520" i="27" s="1"/>
  <c r="BF541" i="27"/>
  <c r="BF540" i="27"/>
  <c r="BF520" i="27"/>
  <c r="BG541" i="27"/>
  <c r="BG540" i="27"/>
  <c r="BG520" i="27"/>
  <c r="BJ541" i="27"/>
  <c r="BJ540" i="27"/>
  <c r="BJ520" i="27"/>
  <c r="BK541" i="27"/>
  <c r="BK540" i="27"/>
  <c r="BK520" i="27"/>
  <c r="K486" i="27"/>
  <c r="BP486" i="27" s="1"/>
  <c r="K488" i="27"/>
  <c r="BP488" i="27" s="1"/>
  <c r="K478" i="27"/>
  <c r="BP478" i="27" s="1"/>
  <c r="K479" i="27"/>
  <c r="BN479" i="27" s="1"/>
  <c r="K507" i="27"/>
  <c r="BN507" i="27" s="1"/>
  <c r="L486" i="27"/>
  <c r="L488" i="27"/>
  <c r="L478" i="27"/>
  <c r="L479" i="27"/>
  <c r="L507" i="27"/>
  <c r="M486" i="27"/>
  <c r="M488" i="27"/>
  <c r="M478" i="27"/>
  <c r="M479" i="27"/>
  <c r="M507" i="27"/>
  <c r="N486" i="27"/>
  <c r="N488" i="27"/>
  <c r="N478" i="27"/>
  <c r="N479" i="27"/>
  <c r="N507" i="27"/>
  <c r="Q486" i="27"/>
  <c r="Q488" i="27"/>
  <c r="Q478" i="27"/>
  <c r="Q479" i="27"/>
  <c r="Q507" i="27"/>
  <c r="AP486" i="27"/>
  <c r="AR486" i="27" s="1"/>
  <c r="AP488" i="27"/>
  <c r="AR488" i="27" s="1"/>
  <c r="AQ478" i="27"/>
  <c r="AP479" i="27"/>
  <c r="AR479" i="27" s="1"/>
  <c r="AQ507" i="27"/>
  <c r="AW486" i="27"/>
  <c r="AX486" i="27" s="1"/>
  <c r="AW488" i="27"/>
  <c r="AX488" i="27" s="1"/>
  <c r="AW478" i="27"/>
  <c r="AX478" i="27" s="1"/>
  <c r="AW479" i="27"/>
  <c r="AX479" i="27" s="1"/>
  <c r="AW507" i="27"/>
  <c r="AY507" i="27" s="1"/>
  <c r="AZ507" i="27" s="1"/>
  <c r="BF486" i="27"/>
  <c r="BF488" i="27"/>
  <c r="BF478" i="27"/>
  <c r="BF479" i="27"/>
  <c r="BF507" i="27"/>
  <c r="BG486" i="27"/>
  <c r="BG488" i="27"/>
  <c r="BG478" i="27"/>
  <c r="BG479" i="27"/>
  <c r="BG507" i="27"/>
  <c r="BJ486" i="27"/>
  <c r="BJ488" i="27"/>
  <c r="BJ478" i="27"/>
  <c r="BJ479" i="27"/>
  <c r="BJ507" i="27"/>
  <c r="BK486" i="27"/>
  <c r="BK488" i="27"/>
  <c r="BK478" i="27"/>
  <c r="BK479" i="27"/>
  <c r="BK507" i="27"/>
  <c r="K514" i="27"/>
  <c r="BP514" i="27" s="1"/>
  <c r="K513" i="27"/>
  <c r="BN513" i="27" s="1"/>
  <c r="K498" i="27"/>
  <c r="BO498" i="27" s="1"/>
  <c r="K517" i="27"/>
  <c r="BS517" i="27" s="1"/>
  <c r="K499" i="27"/>
  <c r="BS499" i="27" s="1"/>
  <c r="K500" i="27"/>
  <c r="BS500" i="27" s="1"/>
  <c r="L514" i="27"/>
  <c r="L513" i="27"/>
  <c r="L498" i="27"/>
  <c r="L517" i="27"/>
  <c r="L499" i="27"/>
  <c r="L500" i="27"/>
  <c r="M514" i="27"/>
  <c r="M513" i="27"/>
  <c r="M498" i="27"/>
  <c r="M517" i="27"/>
  <c r="M499" i="27"/>
  <c r="M500" i="27"/>
  <c r="N514" i="27"/>
  <c r="N513" i="27"/>
  <c r="N498" i="27"/>
  <c r="N517" i="27"/>
  <c r="N499" i="27"/>
  <c r="N500" i="27"/>
  <c r="Q514" i="27"/>
  <c r="Q513" i="27"/>
  <c r="Q498" i="27"/>
  <c r="Q517" i="27"/>
  <c r="Q499" i="27"/>
  <c r="Q500" i="27"/>
  <c r="AP514" i="27"/>
  <c r="AR514" i="27" s="1"/>
  <c r="AP513" i="27"/>
  <c r="AR513" i="27" s="1"/>
  <c r="AP498" i="27"/>
  <c r="AR498" i="27" s="1"/>
  <c r="AP517" i="27"/>
  <c r="AR517" i="27" s="1"/>
  <c r="AQ499" i="27"/>
  <c r="AP500" i="27"/>
  <c r="AR500" i="27" s="1"/>
  <c r="AW514" i="27"/>
  <c r="AX514" i="27" s="1"/>
  <c r="AW513" i="27"/>
  <c r="AX513" i="27" s="1"/>
  <c r="AW498" i="27"/>
  <c r="AX498" i="27" s="1"/>
  <c r="AW517" i="27"/>
  <c r="AX517" i="27" s="1"/>
  <c r="AW499" i="27"/>
  <c r="AX499" i="27" s="1"/>
  <c r="AW500" i="27"/>
  <c r="AX500" i="27" s="1"/>
  <c r="BF514" i="27"/>
  <c r="BF513" i="27"/>
  <c r="BF498" i="27"/>
  <c r="BF517" i="27"/>
  <c r="BF499" i="27"/>
  <c r="BF500" i="27"/>
  <c r="BG514" i="27"/>
  <c r="BG513" i="27"/>
  <c r="BG498" i="27"/>
  <c r="BG517" i="27"/>
  <c r="BG499" i="27"/>
  <c r="BG500" i="27"/>
  <c r="BJ514" i="27"/>
  <c r="BJ513" i="27"/>
  <c r="BJ498" i="27"/>
  <c r="BJ517" i="27"/>
  <c r="BJ499" i="27"/>
  <c r="BJ500" i="27"/>
  <c r="BK514" i="27"/>
  <c r="BK513" i="27"/>
  <c r="BK498" i="27"/>
  <c r="BK517" i="27"/>
  <c r="BK499" i="27"/>
  <c r="BK500" i="27"/>
  <c r="K495" i="27"/>
  <c r="BP495" i="27" s="1"/>
  <c r="K494" i="27"/>
  <c r="BO494" i="27" s="1"/>
  <c r="L495" i="27"/>
  <c r="L494" i="27"/>
  <c r="M495" i="27"/>
  <c r="M494" i="27"/>
  <c r="N495" i="27"/>
  <c r="N494" i="27"/>
  <c r="AT494" i="27" s="1"/>
  <c r="AV494" i="27" s="1"/>
  <c r="Q495" i="27"/>
  <c r="Q494" i="27"/>
  <c r="AW495" i="27"/>
  <c r="AW494" i="27"/>
  <c r="BF495" i="27"/>
  <c r="BF494" i="27"/>
  <c r="BG495" i="27"/>
  <c r="BG494" i="27"/>
  <c r="BJ495" i="27"/>
  <c r="BJ494" i="27"/>
  <c r="BK495" i="27"/>
  <c r="BK494" i="27"/>
  <c r="K509" i="27"/>
  <c r="BN509" i="27" s="1"/>
  <c r="K492" i="27"/>
  <c r="BQ492" i="27" s="1"/>
  <c r="L509" i="27"/>
  <c r="L492" i="27"/>
  <c r="M509" i="27"/>
  <c r="M492" i="27"/>
  <c r="N509" i="27"/>
  <c r="N492" i="27"/>
  <c r="Q509" i="27"/>
  <c r="Q492" i="27"/>
  <c r="AQ509" i="27"/>
  <c r="AQ492" i="27"/>
  <c r="AW509" i="27"/>
  <c r="AY509" i="27" s="1"/>
  <c r="AZ509" i="27" s="1"/>
  <c r="AW492" i="27"/>
  <c r="AY492" i="27" s="1"/>
  <c r="AZ492" i="27" s="1"/>
  <c r="BF509" i="27"/>
  <c r="BF492" i="27"/>
  <c r="BG509" i="27"/>
  <c r="BG492" i="27"/>
  <c r="BJ509" i="27"/>
  <c r="BJ492" i="27"/>
  <c r="BK509" i="27"/>
  <c r="BK492" i="27"/>
  <c r="K489" i="27"/>
  <c r="BN489" i="27" s="1"/>
  <c r="L489" i="27"/>
  <c r="M489" i="27"/>
  <c r="N489" i="27"/>
  <c r="Q489" i="27"/>
  <c r="AP489" i="27"/>
  <c r="AR489" i="27" s="1"/>
  <c r="AW489" i="27"/>
  <c r="BF489" i="27"/>
  <c r="BG489" i="27"/>
  <c r="BJ489" i="27"/>
  <c r="BK489" i="27"/>
  <c r="K474" i="27"/>
  <c r="BP474" i="27" s="1"/>
  <c r="K477" i="27"/>
  <c r="BP477" i="27" s="1"/>
  <c r="K480" i="27"/>
  <c r="BP480" i="27" s="1"/>
  <c r="K481" i="27"/>
  <c r="BP481" i="27" s="1"/>
  <c r="L474" i="27"/>
  <c r="L477" i="27"/>
  <c r="L480" i="27"/>
  <c r="L481" i="27"/>
  <c r="M474" i="27"/>
  <c r="M477" i="27"/>
  <c r="M480" i="27"/>
  <c r="M481" i="27"/>
  <c r="N474" i="27"/>
  <c r="N477" i="27"/>
  <c r="N480" i="27"/>
  <c r="N481" i="27"/>
  <c r="Q474" i="27"/>
  <c r="Q477" i="27"/>
  <c r="Q480" i="27"/>
  <c r="Q481" i="27"/>
  <c r="AQ474" i="27"/>
  <c r="AQ477" i="27"/>
  <c r="AP480" i="27"/>
  <c r="AR480" i="27" s="1"/>
  <c r="AQ481" i="27"/>
  <c r="AW474" i="27"/>
  <c r="AY474" i="27" s="1"/>
  <c r="AZ474" i="27" s="1"/>
  <c r="AW477" i="27"/>
  <c r="AY477" i="27" s="1"/>
  <c r="AZ477" i="27" s="1"/>
  <c r="AW480" i="27"/>
  <c r="AX480" i="27" s="1"/>
  <c r="AW481" i="27"/>
  <c r="AX481" i="27" s="1"/>
  <c r="BF474" i="27"/>
  <c r="BF477" i="27"/>
  <c r="BF480" i="27"/>
  <c r="BF481" i="27"/>
  <c r="BG474" i="27"/>
  <c r="BG477" i="27"/>
  <c r="BG480" i="27"/>
  <c r="BG481" i="27"/>
  <c r="BJ474" i="27"/>
  <c r="BJ477" i="27"/>
  <c r="BJ480" i="27"/>
  <c r="BJ481" i="27"/>
  <c r="BK474" i="27"/>
  <c r="BK477" i="27"/>
  <c r="BK480" i="27"/>
  <c r="BK481" i="27"/>
  <c r="K505" i="27"/>
  <c r="BP505" i="27" s="1"/>
  <c r="K485" i="27"/>
  <c r="BO485" i="27" s="1"/>
  <c r="L505" i="27"/>
  <c r="L485" i="27"/>
  <c r="M505" i="27"/>
  <c r="M485" i="27"/>
  <c r="N505" i="27"/>
  <c r="N485" i="27"/>
  <c r="Q505" i="27"/>
  <c r="Q485" i="27"/>
  <c r="AP505" i="27"/>
  <c r="AR505" i="27" s="1"/>
  <c r="AP485" i="27"/>
  <c r="AR485" i="27" s="1"/>
  <c r="AW505" i="27"/>
  <c r="AX505" i="27" s="1"/>
  <c r="AW485" i="27"/>
  <c r="AX485" i="27" s="1"/>
  <c r="BF505" i="27"/>
  <c r="BF485" i="27"/>
  <c r="BG505" i="27"/>
  <c r="BG485" i="27"/>
  <c r="BJ505" i="27"/>
  <c r="BJ485" i="27"/>
  <c r="BK505" i="27"/>
  <c r="BK485" i="27"/>
  <c r="K482" i="27"/>
  <c r="BP482" i="27" s="1"/>
  <c r="L482" i="27"/>
  <c r="M482" i="27"/>
  <c r="N482" i="27"/>
  <c r="Q482" i="27"/>
  <c r="AW482" i="27"/>
  <c r="AY482" i="27" s="1"/>
  <c r="AZ482" i="27" s="1"/>
  <c r="BF482" i="27"/>
  <c r="BG482" i="27"/>
  <c r="BJ482" i="27"/>
  <c r="BK482" i="27"/>
  <c r="K450" i="27"/>
  <c r="BP450" i="27" s="1"/>
  <c r="K452" i="27"/>
  <c r="BQ452" i="27" s="1"/>
  <c r="K604" i="27"/>
  <c r="BQ604" i="27" s="1"/>
  <c r="K603" i="27"/>
  <c r="BP603" i="27" s="1"/>
  <c r="L450" i="27"/>
  <c r="L452" i="27"/>
  <c r="L604" i="27"/>
  <c r="L603" i="27"/>
  <c r="M450" i="27"/>
  <c r="M452" i="27"/>
  <c r="M604" i="27"/>
  <c r="M603" i="27"/>
  <c r="N450" i="27"/>
  <c r="N452" i="27"/>
  <c r="N604" i="27"/>
  <c r="N603" i="27"/>
  <c r="Q450" i="27"/>
  <c r="Q452" i="27"/>
  <c r="Q604" i="27"/>
  <c r="Q603" i="27"/>
  <c r="AQ450" i="27"/>
  <c r="AQ452" i="27"/>
  <c r="AP604" i="27"/>
  <c r="AR604" i="27" s="1"/>
  <c r="AQ603" i="27"/>
  <c r="AW450" i="27"/>
  <c r="AY450" i="27" s="1"/>
  <c r="AZ450" i="27" s="1"/>
  <c r="AW452" i="27"/>
  <c r="AY452" i="27" s="1"/>
  <c r="AZ452" i="27" s="1"/>
  <c r="AW604" i="27"/>
  <c r="AY604" i="27" s="1"/>
  <c r="AZ604" i="27" s="1"/>
  <c r="AW603" i="27"/>
  <c r="AY603" i="27" s="1"/>
  <c r="AZ603" i="27" s="1"/>
  <c r="BF450" i="27"/>
  <c r="BF452" i="27"/>
  <c r="BF604" i="27"/>
  <c r="BF603" i="27"/>
  <c r="BG450" i="27"/>
  <c r="BG452" i="27"/>
  <c r="BG604" i="27"/>
  <c r="BG603" i="27"/>
  <c r="BJ450" i="27"/>
  <c r="BJ452" i="27"/>
  <c r="BJ604" i="27"/>
  <c r="BJ603" i="27"/>
  <c r="BK450" i="27"/>
  <c r="BK452" i="27"/>
  <c r="BK604" i="27"/>
  <c r="BK603" i="27"/>
  <c r="K408" i="27"/>
  <c r="BQ408" i="27" s="1"/>
  <c r="K407" i="27"/>
  <c r="BS407" i="27" s="1"/>
  <c r="K461" i="27"/>
  <c r="BN461" i="27" s="1"/>
  <c r="L408" i="27"/>
  <c r="L407" i="27"/>
  <c r="L461" i="27"/>
  <c r="M408" i="27"/>
  <c r="M407" i="27"/>
  <c r="M461" i="27"/>
  <c r="N408" i="27"/>
  <c r="N407" i="27"/>
  <c r="N461" i="27"/>
  <c r="Q408" i="27"/>
  <c r="Q407" i="27"/>
  <c r="Q461" i="27"/>
  <c r="AP408" i="27"/>
  <c r="AR408" i="27" s="1"/>
  <c r="AP407" i="27"/>
  <c r="AR407" i="27" s="1"/>
  <c r="AP461" i="27"/>
  <c r="AR461" i="27" s="1"/>
  <c r="AW408" i="27"/>
  <c r="AX408" i="27" s="1"/>
  <c r="AW407" i="27"/>
  <c r="AY407" i="27" s="1"/>
  <c r="AZ407" i="27" s="1"/>
  <c r="AW461" i="27"/>
  <c r="BF408" i="27"/>
  <c r="BF407" i="27"/>
  <c r="BF461" i="27"/>
  <c r="BG408" i="27"/>
  <c r="BG407" i="27"/>
  <c r="BG461" i="27"/>
  <c r="BJ408" i="27"/>
  <c r="BJ407" i="27"/>
  <c r="BJ461" i="27"/>
  <c r="BK408" i="27"/>
  <c r="BK407" i="27"/>
  <c r="BK461" i="27"/>
  <c r="K404" i="27"/>
  <c r="BO404" i="27" s="1"/>
  <c r="K406" i="27"/>
  <c r="BN406" i="27" s="1"/>
  <c r="L404" i="27"/>
  <c r="L406" i="27"/>
  <c r="M404" i="27"/>
  <c r="M406" i="27"/>
  <c r="N404" i="27"/>
  <c r="N406" i="27"/>
  <c r="Q404" i="27"/>
  <c r="Q406" i="27"/>
  <c r="AP404" i="27"/>
  <c r="AR404" i="27" s="1"/>
  <c r="AW404" i="27"/>
  <c r="AW406" i="27"/>
  <c r="BF404" i="27"/>
  <c r="BF406" i="27"/>
  <c r="BG404" i="27"/>
  <c r="BG406" i="27"/>
  <c r="BJ404" i="27"/>
  <c r="BJ406" i="27"/>
  <c r="BK404" i="27"/>
  <c r="BK406" i="27"/>
  <c r="K427" i="27"/>
  <c r="BO427" i="27" s="1"/>
  <c r="K425" i="27"/>
  <c r="BP425" i="27" s="1"/>
  <c r="L427" i="27"/>
  <c r="L425" i="27"/>
  <c r="M427" i="27"/>
  <c r="M425" i="27"/>
  <c r="N427" i="27"/>
  <c r="N425" i="27"/>
  <c r="Q427" i="27"/>
  <c r="Q425" i="27"/>
  <c r="AQ427" i="27"/>
  <c r="AP425" i="27"/>
  <c r="AR425" i="27" s="1"/>
  <c r="AW427" i="27"/>
  <c r="AX427" i="27" s="1"/>
  <c r="AW425" i="27"/>
  <c r="AX425" i="27" s="1"/>
  <c r="BF427" i="27"/>
  <c r="BF425" i="27"/>
  <c r="BG427" i="27"/>
  <c r="BG425" i="27"/>
  <c r="BJ427" i="27"/>
  <c r="BJ425" i="27"/>
  <c r="BK427" i="27"/>
  <c r="BK425" i="27"/>
  <c r="K422" i="27"/>
  <c r="BP422" i="27" s="1"/>
  <c r="K424" i="27"/>
  <c r="BP424" i="27" s="1"/>
  <c r="L422" i="27"/>
  <c r="L424" i="27"/>
  <c r="M422" i="27"/>
  <c r="M424" i="27"/>
  <c r="N422" i="27"/>
  <c r="N424" i="27"/>
  <c r="Q422" i="27"/>
  <c r="Q424" i="27"/>
  <c r="AP422" i="27"/>
  <c r="AR422" i="27" s="1"/>
  <c r="AP424" i="27"/>
  <c r="AR424" i="27" s="1"/>
  <c r="AW422" i="27"/>
  <c r="AX422" i="27" s="1"/>
  <c r="AW424" i="27"/>
  <c r="AX424" i="27" s="1"/>
  <c r="BF422" i="27"/>
  <c r="BF424" i="27"/>
  <c r="BG422" i="27"/>
  <c r="BG424" i="27"/>
  <c r="BJ422" i="27"/>
  <c r="BJ424" i="27"/>
  <c r="BK422" i="27"/>
  <c r="BK424" i="27"/>
  <c r="K454" i="27"/>
  <c r="BQ454" i="27" s="1"/>
  <c r="K453" i="27"/>
  <c r="BQ453" i="27" s="1"/>
  <c r="L454" i="27"/>
  <c r="L453" i="27"/>
  <c r="M454" i="27"/>
  <c r="M453" i="27"/>
  <c r="N454" i="27"/>
  <c r="N453" i="27"/>
  <c r="Q454" i="27"/>
  <c r="Q453" i="27"/>
  <c r="AP454" i="27"/>
  <c r="AR454" i="27" s="1"/>
  <c r="AP453" i="27"/>
  <c r="AR453" i="27" s="1"/>
  <c r="AW454" i="27"/>
  <c r="AX454" i="27" s="1"/>
  <c r="AW453" i="27"/>
  <c r="AX453" i="27" s="1"/>
  <c r="BF454" i="27"/>
  <c r="BF453" i="27"/>
  <c r="BG454" i="27"/>
  <c r="BG453" i="27"/>
  <c r="BJ454" i="27"/>
  <c r="BJ453" i="27"/>
  <c r="BK454" i="27"/>
  <c r="BK453" i="27"/>
  <c r="K459" i="27"/>
  <c r="BO459" i="27" s="1"/>
  <c r="L459" i="27"/>
  <c r="M459" i="27"/>
  <c r="N459" i="27"/>
  <c r="Q459" i="27"/>
  <c r="AP459" i="27"/>
  <c r="AR459" i="27" s="1"/>
  <c r="AW459" i="27"/>
  <c r="AX459" i="27" s="1"/>
  <c r="BF459" i="27"/>
  <c r="BG459" i="27"/>
  <c r="BJ459" i="27"/>
  <c r="BK459" i="27"/>
  <c r="K416" i="27"/>
  <c r="BN416" i="27" s="1"/>
  <c r="K413" i="27"/>
  <c r="BQ413" i="27" s="1"/>
  <c r="L416" i="27"/>
  <c r="L413" i="27"/>
  <c r="M416" i="27"/>
  <c r="M413" i="27"/>
  <c r="N416" i="27"/>
  <c r="N413" i="27"/>
  <c r="Q416" i="27"/>
  <c r="Q413" i="27"/>
  <c r="AP416" i="27"/>
  <c r="AR416" i="27" s="1"/>
  <c r="AP413" i="27"/>
  <c r="AR413" i="27" s="1"/>
  <c r="AW416" i="27"/>
  <c r="AX416" i="27" s="1"/>
  <c r="AW413" i="27"/>
  <c r="AX413" i="27" s="1"/>
  <c r="BF416" i="27"/>
  <c r="BF413" i="27"/>
  <c r="BG416" i="27"/>
  <c r="BG413" i="27"/>
  <c r="BJ416" i="27"/>
  <c r="BJ413" i="27"/>
  <c r="BK416" i="27"/>
  <c r="BK413" i="27"/>
  <c r="K410" i="27"/>
  <c r="BN410" i="27" s="1"/>
  <c r="K411" i="27"/>
  <c r="BQ411" i="27" s="1"/>
  <c r="L410" i="27"/>
  <c r="L411" i="27"/>
  <c r="M410" i="27"/>
  <c r="M411" i="27"/>
  <c r="N410" i="27"/>
  <c r="N411" i="27"/>
  <c r="Q410" i="27"/>
  <c r="Q411" i="27"/>
  <c r="AP410" i="27"/>
  <c r="AR410" i="27" s="1"/>
  <c r="AP411" i="27"/>
  <c r="AR411" i="27" s="1"/>
  <c r="AW410" i="27"/>
  <c r="AX410" i="27" s="1"/>
  <c r="AW411" i="27"/>
  <c r="AX411" i="27" s="1"/>
  <c r="BF410" i="27"/>
  <c r="BF411" i="27"/>
  <c r="BG410" i="27"/>
  <c r="BG411" i="27"/>
  <c r="BJ410" i="27"/>
  <c r="BJ411" i="27"/>
  <c r="BK410" i="27"/>
  <c r="BK411" i="27"/>
  <c r="K435" i="27"/>
  <c r="BO435" i="27" s="1"/>
  <c r="K432" i="27"/>
  <c r="BO432" i="27" s="1"/>
  <c r="L435" i="27"/>
  <c r="L432" i="27"/>
  <c r="M435" i="27"/>
  <c r="M432" i="27"/>
  <c r="N435" i="27"/>
  <c r="N432" i="27"/>
  <c r="Q435" i="27"/>
  <c r="Q432" i="27"/>
  <c r="AP435" i="27"/>
  <c r="AR435" i="27" s="1"/>
  <c r="AW435" i="27"/>
  <c r="AY435" i="27" s="1"/>
  <c r="AZ435" i="27" s="1"/>
  <c r="AW432" i="27"/>
  <c r="BF435" i="27"/>
  <c r="BF432" i="27"/>
  <c r="BG435" i="27"/>
  <c r="BG432" i="27"/>
  <c r="BJ435" i="27"/>
  <c r="BJ432" i="27"/>
  <c r="BK435" i="27"/>
  <c r="BK432" i="27"/>
  <c r="K430" i="27"/>
  <c r="BN430" i="27" s="1"/>
  <c r="K428" i="27"/>
  <c r="BP428" i="27" s="1"/>
  <c r="L430" i="27"/>
  <c r="L428" i="27"/>
  <c r="M430" i="27"/>
  <c r="M428" i="27"/>
  <c r="N430" i="27"/>
  <c r="N428" i="27"/>
  <c r="Q430" i="27"/>
  <c r="Q428" i="27"/>
  <c r="AP430" i="27"/>
  <c r="AR430" i="27" s="1"/>
  <c r="AP428" i="27"/>
  <c r="AR428" i="27" s="1"/>
  <c r="AW430" i="27"/>
  <c r="AX430" i="27" s="1"/>
  <c r="AW428" i="27"/>
  <c r="AX428" i="27" s="1"/>
  <c r="BF430" i="27"/>
  <c r="BF428" i="27"/>
  <c r="BG430" i="27"/>
  <c r="BG428" i="27"/>
  <c r="BJ430" i="27"/>
  <c r="BJ428" i="27"/>
  <c r="BK430" i="27"/>
  <c r="BK428" i="27"/>
  <c r="K420" i="27"/>
  <c r="BN420" i="27" s="1"/>
  <c r="K419" i="27"/>
  <c r="BQ419" i="27" s="1"/>
  <c r="L420" i="27"/>
  <c r="L419" i="27"/>
  <c r="M420" i="27"/>
  <c r="M419" i="27"/>
  <c r="N420" i="27"/>
  <c r="N419" i="27"/>
  <c r="Q420" i="27"/>
  <c r="Q419" i="27"/>
  <c r="AQ420" i="27"/>
  <c r="AP419" i="27"/>
  <c r="AR419" i="27" s="1"/>
  <c r="AW420" i="27"/>
  <c r="AY420" i="27" s="1"/>
  <c r="AZ420" i="27" s="1"/>
  <c r="AW419" i="27"/>
  <c r="AX419" i="27" s="1"/>
  <c r="BF420" i="27"/>
  <c r="BF419" i="27"/>
  <c r="BG420" i="27"/>
  <c r="BG419" i="27"/>
  <c r="BJ420" i="27"/>
  <c r="BJ419" i="27"/>
  <c r="BK420" i="27"/>
  <c r="BK419" i="27"/>
  <c r="K418" i="27"/>
  <c r="BO418" i="27" s="1"/>
  <c r="K417" i="27"/>
  <c r="BO417" i="27" s="1"/>
  <c r="L418" i="27"/>
  <c r="L417" i="27"/>
  <c r="M418" i="27"/>
  <c r="M417" i="27"/>
  <c r="N418" i="27"/>
  <c r="N417" i="27"/>
  <c r="Q418" i="27"/>
  <c r="Q417" i="27"/>
  <c r="AQ418" i="27"/>
  <c r="AP417" i="27"/>
  <c r="AR417" i="27" s="1"/>
  <c r="AW418" i="27"/>
  <c r="AX418" i="27" s="1"/>
  <c r="AW417" i="27"/>
  <c r="AX417" i="27" s="1"/>
  <c r="BF418" i="27"/>
  <c r="BF417" i="27"/>
  <c r="BG418" i="27"/>
  <c r="BG417" i="27"/>
  <c r="BJ418" i="27"/>
  <c r="BJ417" i="27"/>
  <c r="BK418" i="27"/>
  <c r="BK417" i="27"/>
  <c r="K468" i="27"/>
  <c r="BO468" i="27" s="1"/>
  <c r="K467" i="27"/>
  <c r="BS467" i="27" s="1"/>
  <c r="K469" i="27"/>
  <c r="BS469" i="27" s="1"/>
  <c r="L468" i="27"/>
  <c r="L467" i="27"/>
  <c r="L469" i="27"/>
  <c r="M468" i="27"/>
  <c r="M467" i="27"/>
  <c r="M469" i="27"/>
  <c r="N468" i="27"/>
  <c r="N467" i="27"/>
  <c r="N469" i="27"/>
  <c r="Q468" i="27"/>
  <c r="Q467" i="27"/>
  <c r="Q469" i="27"/>
  <c r="AQ468" i="27"/>
  <c r="AQ467" i="27"/>
  <c r="AQ469" i="27"/>
  <c r="AW468" i="27"/>
  <c r="AX468" i="27" s="1"/>
  <c r="AW467" i="27"/>
  <c r="AY467" i="27" s="1"/>
  <c r="AZ467" i="27" s="1"/>
  <c r="AW469" i="27"/>
  <c r="AY469" i="27" s="1"/>
  <c r="AZ469" i="27" s="1"/>
  <c r="BF468" i="27"/>
  <c r="BF467" i="27"/>
  <c r="BF469" i="27"/>
  <c r="BG468" i="27"/>
  <c r="BG467" i="27"/>
  <c r="BG469" i="27"/>
  <c r="BJ468" i="27"/>
  <c r="BJ467" i="27"/>
  <c r="BJ469" i="27"/>
  <c r="BK468" i="27"/>
  <c r="BK467" i="27"/>
  <c r="BK469" i="27"/>
  <c r="K402" i="27"/>
  <c r="BO402" i="27" s="1"/>
  <c r="K401" i="27"/>
  <c r="K400" i="27"/>
  <c r="BO400" i="27" s="1"/>
  <c r="L402" i="27"/>
  <c r="L401" i="27"/>
  <c r="L400" i="27"/>
  <c r="M402" i="27"/>
  <c r="M401" i="27"/>
  <c r="M400" i="27"/>
  <c r="N402" i="27"/>
  <c r="N401" i="27"/>
  <c r="N400" i="27"/>
  <c r="Q402" i="27"/>
  <c r="Q401" i="27"/>
  <c r="Q400" i="27"/>
  <c r="AP402" i="27"/>
  <c r="AR402" i="27" s="1"/>
  <c r="AP401" i="27"/>
  <c r="AR401" i="27" s="1"/>
  <c r="AQ400" i="27"/>
  <c r="AW402" i="27"/>
  <c r="AY402" i="27" s="1"/>
  <c r="AZ402" i="27" s="1"/>
  <c r="AW401" i="27"/>
  <c r="AY401" i="27" s="1"/>
  <c r="AZ401" i="27" s="1"/>
  <c r="AW400" i="27"/>
  <c r="AY400" i="27" s="1"/>
  <c r="AZ400" i="27" s="1"/>
  <c r="BF402" i="27"/>
  <c r="BF401" i="27"/>
  <c r="BF400" i="27"/>
  <c r="BG402" i="27"/>
  <c r="BG401" i="27"/>
  <c r="BG400" i="27"/>
  <c r="BJ402" i="27"/>
  <c r="BJ401" i="27"/>
  <c r="BJ400" i="27"/>
  <c r="BK402" i="27"/>
  <c r="BK401" i="27"/>
  <c r="BK400" i="27"/>
  <c r="K399" i="27"/>
  <c r="BN399" i="27" s="1"/>
  <c r="K398" i="27"/>
  <c r="BN398" i="27" s="1"/>
  <c r="K397" i="27"/>
  <c r="BS397" i="27" s="1"/>
  <c r="L399" i="27"/>
  <c r="L398" i="27"/>
  <c r="L397" i="27"/>
  <c r="M399" i="27"/>
  <c r="M398" i="27"/>
  <c r="M397" i="27"/>
  <c r="N399" i="27"/>
  <c r="N398" i="27"/>
  <c r="N397" i="27"/>
  <c r="Q399" i="27"/>
  <c r="Q398" i="27"/>
  <c r="Q397" i="27"/>
  <c r="AP399" i="27"/>
  <c r="AR399" i="27" s="1"/>
  <c r="AQ398" i="27"/>
  <c r="AP397" i="27"/>
  <c r="AR397" i="27" s="1"/>
  <c r="AW399" i="27"/>
  <c r="AY399" i="27" s="1"/>
  <c r="AZ399" i="27" s="1"/>
  <c r="AW398" i="27"/>
  <c r="AY398" i="27" s="1"/>
  <c r="AZ398" i="27" s="1"/>
  <c r="AW397" i="27"/>
  <c r="BF399" i="27"/>
  <c r="BF398" i="27"/>
  <c r="BF397" i="27"/>
  <c r="BG399" i="27"/>
  <c r="BG398" i="27"/>
  <c r="BG397" i="27"/>
  <c r="BJ399" i="27"/>
  <c r="BJ398" i="27"/>
  <c r="BJ397" i="27"/>
  <c r="BK399" i="27"/>
  <c r="BK398" i="27"/>
  <c r="BK397" i="27"/>
  <c r="K439" i="27"/>
  <c r="BS439" i="27" s="1"/>
  <c r="L439" i="27"/>
  <c r="M439" i="27"/>
  <c r="N439" i="27"/>
  <c r="Q439" i="27"/>
  <c r="AP439" i="27"/>
  <c r="AR439" i="27" s="1"/>
  <c r="AW439" i="27"/>
  <c r="BF439" i="27"/>
  <c r="BG439" i="27"/>
  <c r="BJ439" i="27"/>
  <c r="BK439" i="27"/>
  <c r="K447" i="27"/>
  <c r="BN447" i="27" s="1"/>
  <c r="K446" i="27"/>
  <c r="BO446" i="27" s="1"/>
  <c r="K445" i="27"/>
  <c r="BQ445" i="27" s="1"/>
  <c r="K448" i="27"/>
  <c r="BO448" i="27" s="1"/>
  <c r="L447" i="27"/>
  <c r="L446" i="27"/>
  <c r="L445" i="27"/>
  <c r="L448" i="27"/>
  <c r="M447" i="27"/>
  <c r="M446" i="27"/>
  <c r="M445" i="27"/>
  <c r="M448" i="27"/>
  <c r="N447" i="27"/>
  <c r="N446" i="27"/>
  <c r="N445" i="27"/>
  <c r="N448" i="27"/>
  <c r="AP447" i="27"/>
  <c r="AR447" i="27" s="1"/>
  <c r="AP446" i="27"/>
  <c r="AR446" i="27" s="1"/>
  <c r="AP445" i="27"/>
  <c r="AR445" i="27" s="1"/>
  <c r="AP448" i="27"/>
  <c r="AR448" i="27" s="1"/>
  <c r="AW447" i="27"/>
  <c r="AX447" i="27" s="1"/>
  <c r="AW446" i="27"/>
  <c r="AX446" i="27" s="1"/>
  <c r="AW445" i="27"/>
  <c r="AX445" i="27" s="1"/>
  <c r="AW448" i="27"/>
  <c r="AX448" i="27" s="1"/>
  <c r="BF447" i="27"/>
  <c r="BF446" i="27"/>
  <c r="BF445" i="27"/>
  <c r="BF448" i="27"/>
  <c r="BG447" i="27"/>
  <c r="BG446" i="27"/>
  <c r="BG445" i="27"/>
  <c r="BG448" i="27"/>
  <c r="BJ447" i="27"/>
  <c r="BJ446" i="27"/>
  <c r="BJ445" i="27"/>
  <c r="BJ448" i="27"/>
  <c r="BK447" i="27"/>
  <c r="BK446" i="27"/>
  <c r="BK445" i="27"/>
  <c r="BK448" i="27"/>
  <c r="K442" i="27"/>
  <c r="BN442" i="27" s="1"/>
  <c r="K441" i="27"/>
  <c r="BN441" i="27" s="1"/>
  <c r="K443" i="27"/>
  <c r="BP443" i="27" s="1"/>
  <c r="K470" i="27"/>
  <c r="BN470" i="27" s="1"/>
  <c r="L442" i="27"/>
  <c r="L441" i="27"/>
  <c r="L443" i="27"/>
  <c r="L470" i="27"/>
  <c r="M442" i="27"/>
  <c r="M441" i="27"/>
  <c r="M443" i="27"/>
  <c r="M470" i="27"/>
  <c r="N442" i="27"/>
  <c r="N441" i="27"/>
  <c r="N443" i="27"/>
  <c r="N470" i="27"/>
  <c r="Q442" i="27"/>
  <c r="Q441" i="27"/>
  <c r="Q443" i="27"/>
  <c r="Q470" i="27"/>
  <c r="AP442" i="27"/>
  <c r="AR442" i="27" s="1"/>
  <c r="AP441" i="27"/>
  <c r="AR441" i="27" s="1"/>
  <c r="AQ443" i="27"/>
  <c r="AQ470" i="27"/>
  <c r="AW442" i="27"/>
  <c r="AX442" i="27" s="1"/>
  <c r="AW441" i="27"/>
  <c r="AX441" i="27" s="1"/>
  <c r="AW443" i="27"/>
  <c r="AY443" i="27" s="1"/>
  <c r="AZ443" i="27" s="1"/>
  <c r="AW470" i="27"/>
  <c r="AY470" i="27" s="1"/>
  <c r="AZ470" i="27" s="1"/>
  <c r="BF442" i="27"/>
  <c r="BF441" i="27"/>
  <c r="BF443" i="27"/>
  <c r="BF470" i="27"/>
  <c r="BG442" i="27"/>
  <c r="BG441" i="27"/>
  <c r="BG443" i="27"/>
  <c r="BG470" i="27"/>
  <c r="BJ442" i="27"/>
  <c r="BJ441" i="27"/>
  <c r="BJ443" i="27"/>
  <c r="BJ470" i="27"/>
  <c r="BK442" i="27"/>
  <c r="BK441" i="27"/>
  <c r="BK443" i="27"/>
  <c r="BK470" i="27"/>
  <c r="K438" i="27"/>
  <c r="BN438" i="27" s="1"/>
  <c r="L438" i="27"/>
  <c r="M438" i="27"/>
  <c r="N438" i="27"/>
  <c r="Q438" i="27"/>
  <c r="AP438" i="27"/>
  <c r="AR438" i="27" s="1"/>
  <c r="AW438" i="27"/>
  <c r="AY438" i="27" s="1"/>
  <c r="AZ438" i="27" s="1"/>
  <c r="BF438" i="27"/>
  <c r="BG438" i="27"/>
  <c r="BJ438" i="27"/>
  <c r="BK438" i="27"/>
  <c r="K396" i="27"/>
  <c r="BQ396" i="27" s="1"/>
  <c r="L396" i="27"/>
  <c r="M396" i="27"/>
  <c r="N396" i="27"/>
  <c r="Q396" i="27"/>
  <c r="AP396" i="27"/>
  <c r="AR396" i="27" s="1"/>
  <c r="AW396" i="27"/>
  <c r="AX396" i="27" s="1"/>
  <c r="BF396" i="27"/>
  <c r="BG396" i="27"/>
  <c r="BJ396" i="27"/>
  <c r="BK396" i="27"/>
  <c r="K392" i="27"/>
  <c r="BO392" i="27" s="1"/>
  <c r="K393" i="27"/>
  <c r="BS393" i="27" s="1"/>
  <c r="L392" i="27"/>
  <c r="L393" i="27"/>
  <c r="M392" i="27"/>
  <c r="M393" i="27"/>
  <c r="N392" i="27"/>
  <c r="N393" i="27"/>
  <c r="Q392" i="27"/>
  <c r="Q393" i="27"/>
  <c r="AP392" i="27"/>
  <c r="AR392" i="27" s="1"/>
  <c r="AQ393" i="27"/>
  <c r="AW392" i="27"/>
  <c r="AX392" i="27" s="1"/>
  <c r="AW393" i="27"/>
  <c r="AX393" i="27" s="1"/>
  <c r="BF392" i="27"/>
  <c r="BF393" i="27"/>
  <c r="BG392" i="27"/>
  <c r="BG393" i="27"/>
  <c r="BJ392" i="27"/>
  <c r="BJ393" i="27"/>
  <c r="BK392" i="27"/>
  <c r="BK393" i="27"/>
  <c r="K390" i="27"/>
  <c r="BQ390" i="27" s="1"/>
  <c r="K367" i="27"/>
  <c r="BQ367" i="27" s="1"/>
  <c r="K349" i="27"/>
  <c r="BP349" i="27" s="1"/>
  <c r="L390" i="27"/>
  <c r="L367" i="27"/>
  <c r="L349" i="27"/>
  <c r="M390" i="27"/>
  <c r="M367" i="27"/>
  <c r="M349" i="27"/>
  <c r="N390" i="27"/>
  <c r="N367" i="27"/>
  <c r="N349" i="27"/>
  <c r="Q390" i="27"/>
  <c r="Q367" i="27"/>
  <c r="Q349" i="27"/>
  <c r="AQ390" i="27"/>
  <c r="AQ367" i="27"/>
  <c r="AP349" i="27"/>
  <c r="AR349" i="27" s="1"/>
  <c r="AW390" i="27"/>
  <c r="AY390" i="27" s="1"/>
  <c r="AZ390" i="27" s="1"/>
  <c r="AW367" i="27"/>
  <c r="AX367" i="27" s="1"/>
  <c r="AW349" i="27"/>
  <c r="AX349" i="27" s="1"/>
  <c r="BF390" i="27"/>
  <c r="BF367" i="27"/>
  <c r="BF349" i="27"/>
  <c r="BG390" i="27"/>
  <c r="BG367" i="27"/>
  <c r="BG349" i="27"/>
  <c r="BJ390" i="27"/>
  <c r="BJ367" i="27"/>
  <c r="BJ349" i="27"/>
  <c r="BK390" i="27"/>
  <c r="BK367" i="27"/>
  <c r="BK349" i="27"/>
  <c r="K387" i="27"/>
  <c r="BP387" i="27" s="1"/>
  <c r="K389" i="27"/>
  <c r="BN389" i="27" s="1"/>
  <c r="L387" i="27"/>
  <c r="L389" i="27"/>
  <c r="M387" i="27"/>
  <c r="M389" i="27"/>
  <c r="N387" i="27"/>
  <c r="N389" i="27"/>
  <c r="Q387" i="27"/>
  <c r="Q389" i="27"/>
  <c r="AQ387" i="27"/>
  <c r="AP389" i="27"/>
  <c r="AR389" i="27" s="1"/>
  <c r="AW387" i="27"/>
  <c r="AY387" i="27" s="1"/>
  <c r="AZ387" i="27" s="1"/>
  <c r="AW389" i="27"/>
  <c r="AX389" i="27" s="1"/>
  <c r="BF387" i="27"/>
  <c r="BF389" i="27"/>
  <c r="BG387" i="27"/>
  <c r="BG389" i="27"/>
  <c r="BJ387" i="27"/>
  <c r="BJ389" i="27"/>
  <c r="BK387" i="27"/>
  <c r="BK389" i="27"/>
  <c r="K381" i="27"/>
  <c r="BP381" i="27" s="1"/>
  <c r="K384" i="27"/>
  <c r="BP384" i="27" s="1"/>
  <c r="K382" i="27"/>
  <c r="BP382" i="27" s="1"/>
  <c r="K380" i="27"/>
  <c r="BO380" i="27" s="1"/>
  <c r="L381" i="27"/>
  <c r="L384" i="27"/>
  <c r="L382" i="27"/>
  <c r="L380" i="27"/>
  <c r="M381" i="27"/>
  <c r="M384" i="27"/>
  <c r="M382" i="27"/>
  <c r="M380" i="27"/>
  <c r="N381" i="27"/>
  <c r="N384" i="27"/>
  <c r="N382" i="27"/>
  <c r="N380" i="27"/>
  <c r="Q381" i="27"/>
  <c r="Q384" i="27"/>
  <c r="Q382" i="27"/>
  <c r="Q380" i="27"/>
  <c r="AQ381" i="27"/>
  <c r="AQ384" i="27"/>
  <c r="AQ382" i="27"/>
  <c r="AQ380" i="27"/>
  <c r="AW381" i="27"/>
  <c r="AY381" i="27" s="1"/>
  <c r="AZ381" i="27" s="1"/>
  <c r="AW384" i="27"/>
  <c r="AY384" i="27" s="1"/>
  <c r="AZ384" i="27" s="1"/>
  <c r="AW382" i="27"/>
  <c r="AY382" i="27" s="1"/>
  <c r="AZ382" i="27" s="1"/>
  <c r="AW380" i="27"/>
  <c r="AY380" i="27" s="1"/>
  <c r="AZ380" i="27" s="1"/>
  <c r="BF381" i="27"/>
  <c r="BF384" i="27"/>
  <c r="BF382" i="27"/>
  <c r="BF380" i="27"/>
  <c r="BG381" i="27"/>
  <c r="BG384" i="27"/>
  <c r="BG382" i="27"/>
  <c r="BG380" i="27"/>
  <c r="BJ381" i="27"/>
  <c r="BJ384" i="27"/>
  <c r="BJ382" i="27"/>
  <c r="BJ380" i="27"/>
  <c r="BK381" i="27"/>
  <c r="BK384" i="27"/>
  <c r="BK382" i="27"/>
  <c r="BK380" i="27"/>
  <c r="K377" i="27"/>
  <c r="BO377" i="27" s="1"/>
  <c r="L377" i="27"/>
  <c r="M377" i="27"/>
  <c r="N377" i="27"/>
  <c r="Q377" i="27"/>
  <c r="AP377" i="27"/>
  <c r="AR377" i="27" s="1"/>
  <c r="AW377" i="27"/>
  <c r="AX377" i="27" s="1"/>
  <c r="BF377" i="27"/>
  <c r="BG377" i="27"/>
  <c r="BJ377" i="27"/>
  <c r="BK377" i="27"/>
  <c r="K374" i="27"/>
  <c r="BN374" i="27" s="1"/>
  <c r="K373" i="27"/>
  <c r="BN373" i="27" s="1"/>
  <c r="L374" i="27"/>
  <c r="L373" i="27"/>
  <c r="M374" i="27"/>
  <c r="M373" i="27"/>
  <c r="N374" i="27"/>
  <c r="N373" i="27"/>
  <c r="Q374" i="27"/>
  <c r="Q373" i="27"/>
  <c r="AW374" i="27"/>
  <c r="AW373" i="27"/>
  <c r="BF374" i="27"/>
  <c r="BF373" i="27"/>
  <c r="BG374" i="27"/>
  <c r="BG373" i="27"/>
  <c r="BJ374" i="27"/>
  <c r="BJ373" i="27"/>
  <c r="BK374" i="27"/>
  <c r="BK373" i="27"/>
  <c r="K369" i="27"/>
  <c r="BQ369" i="27" s="1"/>
  <c r="K370" i="27"/>
  <c r="BQ370" i="27" s="1"/>
  <c r="K371" i="27"/>
  <c r="BP371" i="27" s="1"/>
  <c r="K372" i="27"/>
  <c r="BP372" i="27" s="1"/>
  <c r="L369" i="27"/>
  <c r="L370" i="27"/>
  <c r="L371" i="27"/>
  <c r="L372" i="27"/>
  <c r="M369" i="27"/>
  <c r="M370" i="27"/>
  <c r="M371" i="27"/>
  <c r="M372" i="27"/>
  <c r="N369" i="27"/>
  <c r="N370" i="27"/>
  <c r="N371" i="27"/>
  <c r="N372" i="27"/>
  <c r="Q369" i="27"/>
  <c r="Q370" i="27"/>
  <c r="Q371" i="27"/>
  <c r="Q372" i="27"/>
  <c r="AP369" i="27"/>
  <c r="AR369" i="27" s="1"/>
  <c r="AP370" i="27"/>
  <c r="AR370" i="27" s="1"/>
  <c r="AP371" i="27"/>
  <c r="AR371" i="27" s="1"/>
  <c r="AP372" i="27"/>
  <c r="AR372" i="27" s="1"/>
  <c r="AW369" i="27"/>
  <c r="AX369" i="27" s="1"/>
  <c r="AW370" i="27"/>
  <c r="AX370" i="27" s="1"/>
  <c r="AW371" i="27"/>
  <c r="AX371" i="27" s="1"/>
  <c r="AW372" i="27"/>
  <c r="AX372" i="27" s="1"/>
  <c r="BF369" i="27"/>
  <c r="BF370" i="27"/>
  <c r="BF371" i="27"/>
  <c r="BF372" i="27"/>
  <c r="BG369" i="27"/>
  <c r="BG370" i="27"/>
  <c r="BG371" i="27"/>
  <c r="BG372" i="27"/>
  <c r="BJ369" i="27"/>
  <c r="BJ370" i="27"/>
  <c r="BJ371" i="27"/>
  <c r="BJ372" i="27"/>
  <c r="BK369" i="27"/>
  <c r="BK370" i="27"/>
  <c r="BK371" i="27"/>
  <c r="BK372" i="27"/>
  <c r="K334" i="27"/>
  <c r="BN334" i="27" s="1"/>
  <c r="K337" i="27"/>
  <c r="BQ337" i="27" s="1"/>
  <c r="K336" i="27"/>
  <c r="BP336" i="27" s="1"/>
  <c r="K339" i="27"/>
  <c r="BP339" i="27" s="1"/>
  <c r="L334" i="27"/>
  <c r="L337" i="27"/>
  <c r="L336" i="27"/>
  <c r="L339" i="27"/>
  <c r="M334" i="27"/>
  <c r="M337" i="27"/>
  <c r="M336" i="27"/>
  <c r="M339" i="27"/>
  <c r="N334" i="27"/>
  <c r="N337" i="27"/>
  <c r="N336" i="27"/>
  <c r="N339" i="27"/>
  <c r="Q334" i="27"/>
  <c r="Q337" i="27"/>
  <c r="Q336" i="27"/>
  <c r="Q339" i="27"/>
  <c r="AP334" i="27"/>
  <c r="AR334" i="27" s="1"/>
  <c r="AP337" i="27"/>
  <c r="AR337" i="27" s="1"/>
  <c r="AP336" i="27"/>
  <c r="AR336" i="27" s="1"/>
  <c r="AP339" i="27"/>
  <c r="AR339" i="27" s="1"/>
  <c r="AW334" i="27"/>
  <c r="AX334" i="27" s="1"/>
  <c r="AW337" i="27"/>
  <c r="AX337" i="27" s="1"/>
  <c r="AW336" i="27"/>
  <c r="AX336" i="27" s="1"/>
  <c r="AW339" i="27"/>
  <c r="AX339" i="27" s="1"/>
  <c r="BF334" i="27"/>
  <c r="BF337" i="27"/>
  <c r="BF336" i="27"/>
  <c r="BF339" i="27"/>
  <c r="BG334" i="27"/>
  <c r="BG337" i="27"/>
  <c r="BG336" i="27"/>
  <c r="BG339" i="27"/>
  <c r="BJ334" i="27"/>
  <c r="BJ337" i="27"/>
  <c r="BJ336" i="27"/>
  <c r="BJ339" i="27"/>
  <c r="BK334" i="27"/>
  <c r="BK337" i="27"/>
  <c r="BK336" i="27"/>
  <c r="BK339" i="27"/>
  <c r="K342" i="27"/>
  <c r="BQ342" i="27" s="1"/>
  <c r="K340" i="27"/>
  <c r="BQ340" i="27" s="1"/>
  <c r="L342" i="27"/>
  <c r="L340" i="27"/>
  <c r="M342" i="27"/>
  <c r="M340" i="27"/>
  <c r="N342" i="27"/>
  <c r="N340" i="27"/>
  <c r="Q342" i="27"/>
  <c r="Q340" i="27"/>
  <c r="AP342" i="27"/>
  <c r="AR342" i="27" s="1"/>
  <c r="AP340" i="27"/>
  <c r="AR340" i="27" s="1"/>
  <c r="AW342" i="27"/>
  <c r="AX342" i="27" s="1"/>
  <c r="AW340" i="27"/>
  <c r="AX340" i="27" s="1"/>
  <c r="BF342" i="27"/>
  <c r="BF340" i="27"/>
  <c r="BG342" i="27"/>
  <c r="BG340" i="27"/>
  <c r="BJ342" i="27"/>
  <c r="BJ340" i="27"/>
  <c r="BK342" i="27"/>
  <c r="BK340" i="27"/>
  <c r="K338" i="27"/>
  <c r="BP338" i="27" s="1"/>
  <c r="K358" i="27"/>
  <c r="BP358" i="27" s="1"/>
  <c r="K341" i="27"/>
  <c r="BN341" i="27" s="1"/>
  <c r="L338" i="27"/>
  <c r="L358" i="27"/>
  <c r="L341" i="27"/>
  <c r="M338" i="27"/>
  <c r="M358" i="27"/>
  <c r="M341" i="27"/>
  <c r="N338" i="27"/>
  <c r="N358" i="27"/>
  <c r="N341" i="27"/>
  <c r="Q338" i="27"/>
  <c r="Q358" i="27"/>
  <c r="Q341" i="27"/>
  <c r="AP338" i="27"/>
  <c r="AR338" i="27" s="1"/>
  <c r="AP358" i="27"/>
  <c r="AR358" i="27" s="1"/>
  <c r="AP341" i="27"/>
  <c r="AR341" i="27" s="1"/>
  <c r="AW338" i="27"/>
  <c r="AY338" i="27" s="1"/>
  <c r="AZ338" i="27" s="1"/>
  <c r="AW358" i="27"/>
  <c r="AX358" i="27" s="1"/>
  <c r="AW341" i="27"/>
  <c r="AX341" i="27" s="1"/>
  <c r="BF338" i="27"/>
  <c r="BF358" i="27"/>
  <c r="BF341" i="27"/>
  <c r="BG338" i="27"/>
  <c r="BG358" i="27"/>
  <c r="BG341" i="27"/>
  <c r="BJ338" i="27"/>
  <c r="BJ358" i="27"/>
  <c r="BJ341" i="27"/>
  <c r="BK338" i="27"/>
  <c r="BK358" i="27"/>
  <c r="BK341" i="27"/>
  <c r="K361" i="27"/>
  <c r="BO361" i="27" s="1"/>
  <c r="L361" i="27"/>
  <c r="M361" i="27"/>
  <c r="N361" i="27"/>
  <c r="Q361" i="27"/>
  <c r="AP361" i="27"/>
  <c r="AR361" i="27" s="1"/>
  <c r="AW361" i="27"/>
  <c r="AX361" i="27" s="1"/>
  <c r="BF361" i="27"/>
  <c r="BG361" i="27"/>
  <c r="BJ361" i="27"/>
  <c r="BK361" i="27"/>
  <c r="K364" i="27"/>
  <c r="BP364" i="27" s="1"/>
  <c r="L364" i="27"/>
  <c r="M364" i="27"/>
  <c r="N364" i="27"/>
  <c r="Q364" i="27"/>
  <c r="AP364" i="27"/>
  <c r="AR364" i="27" s="1"/>
  <c r="AW364" i="27"/>
  <c r="AX364" i="27" s="1"/>
  <c r="BF364" i="27"/>
  <c r="BG364" i="27"/>
  <c r="BJ364" i="27"/>
  <c r="BK364" i="27"/>
  <c r="K344" i="27"/>
  <c r="BN344" i="27" s="1"/>
  <c r="L344" i="27"/>
  <c r="M344" i="27"/>
  <c r="N344" i="27"/>
  <c r="Q344" i="27"/>
  <c r="AP344" i="27"/>
  <c r="AR344" i="27" s="1"/>
  <c r="AW344" i="27"/>
  <c r="AX344" i="27" s="1"/>
  <c r="BF344" i="27"/>
  <c r="BG344" i="27"/>
  <c r="BJ344" i="27"/>
  <c r="BK344" i="27"/>
  <c r="K357" i="27"/>
  <c r="BN357" i="27" s="1"/>
  <c r="K356" i="27"/>
  <c r="BN356" i="27" s="1"/>
  <c r="K350" i="27"/>
  <c r="BS350" i="27" s="1"/>
  <c r="K348" i="27"/>
  <c r="BS348" i="27" s="1"/>
  <c r="K351" i="27"/>
  <c r="BN351" i="27" s="1"/>
  <c r="K352" i="27"/>
  <c r="BN352" i="27" s="1"/>
  <c r="K353" i="27"/>
  <c r="BS353" i="27" s="1"/>
  <c r="K354" i="27"/>
  <c r="BN354" i="27" s="1"/>
  <c r="L357" i="27"/>
  <c r="L356" i="27"/>
  <c r="L350" i="27"/>
  <c r="L348" i="27"/>
  <c r="L351" i="27"/>
  <c r="L352" i="27"/>
  <c r="L353" i="27"/>
  <c r="L354" i="27"/>
  <c r="M357" i="27"/>
  <c r="M356" i="27"/>
  <c r="M350" i="27"/>
  <c r="M348" i="27"/>
  <c r="M351" i="27"/>
  <c r="M352" i="27"/>
  <c r="M353" i="27"/>
  <c r="M354" i="27"/>
  <c r="N357" i="27"/>
  <c r="N356" i="27"/>
  <c r="N350" i="27"/>
  <c r="N348" i="27"/>
  <c r="N351" i="27"/>
  <c r="N352" i="27"/>
  <c r="N353" i="27"/>
  <c r="N354" i="27"/>
  <c r="Q357" i="27"/>
  <c r="Q356" i="27"/>
  <c r="Q350" i="27"/>
  <c r="Q348" i="27"/>
  <c r="Q351" i="27"/>
  <c r="Q352" i="27"/>
  <c r="Q353" i="27"/>
  <c r="Q354" i="27"/>
  <c r="AP357" i="27"/>
  <c r="AR357" i="27" s="1"/>
  <c r="AP356" i="27"/>
  <c r="AR356" i="27" s="1"/>
  <c r="AP348" i="27"/>
  <c r="AR348" i="27" s="1"/>
  <c r="AP351" i="27"/>
  <c r="AR351" i="27" s="1"/>
  <c r="AQ352" i="27"/>
  <c r="AP353" i="27"/>
  <c r="AR353" i="27" s="1"/>
  <c r="AQ354" i="27"/>
  <c r="AW357" i="27"/>
  <c r="AX357" i="27" s="1"/>
  <c r="AW356" i="27"/>
  <c r="AX356" i="27" s="1"/>
  <c r="AW350" i="27"/>
  <c r="AX350" i="27" s="1"/>
  <c r="AW348" i="27"/>
  <c r="AX348" i="27" s="1"/>
  <c r="AW351" i="27"/>
  <c r="AX351" i="27" s="1"/>
  <c r="AW352" i="27"/>
  <c r="AX352" i="27" s="1"/>
  <c r="AW353" i="27"/>
  <c r="AX353" i="27" s="1"/>
  <c r="AW354" i="27"/>
  <c r="AX354" i="27" s="1"/>
  <c r="BF357" i="27"/>
  <c r="BF356" i="27"/>
  <c r="BF350" i="27"/>
  <c r="BF348" i="27"/>
  <c r="BF351" i="27"/>
  <c r="BF352" i="27"/>
  <c r="BF353" i="27"/>
  <c r="BF354" i="27"/>
  <c r="BG357" i="27"/>
  <c r="BG356" i="27"/>
  <c r="BG350" i="27"/>
  <c r="BG348" i="27"/>
  <c r="BG351" i="27"/>
  <c r="BG352" i="27"/>
  <c r="BG353" i="27"/>
  <c r="BG354" i="27"/>
  <c r="BJ357" i="27"/>
  <c r="BJ356" i="27"/>
  <c r="BJ350" i="27"/>
  <c r="BJ348" i="27"/>
  <c r="BJ351" i="27"/>
  <c r="BJ352" i="27"/>
  <c r="BJ353" i="27"/>
  <c r="BJ354" i="27"/>
  <c r="BK357" i="27"/>
  <c r="BK356" i="27"/>
  <c r="BK350" i="27"/>
  <c r="BK348" i="27"/>
  <c r="BK351" i="27"/>
  <c r="BK352" i="27"/>
  <c r="BK353" i="27"/>
  <c r="BK354" i="27"/>
  <c r="K343" i="27"/>
  <c r="BP343" i="27" s="1"/>
  <c r="K362" i="27"/>
  <c r="BQ362" i="27" s="1"/>
  <c r="K346" i="27"/>
  <c r="BQ346" i="27" s="1"/>
  <c r="K347" i="27"/>
  <c r="BQ347" i="27" s="1"/>
  <c r="L343" i="27"/>
  <c r="L362" i="27"/>
  <c r="L346" i="27"/>
  <c r="L347" i="27"/>
  <c r="M343" i="27"/>
  <c r="M362" i="27"/>
  <c r="M346" i="27"/>
  <c r="M347" i="27"/>
  <c r="N343" i="27"/>
  <c r="AT343" i="27" s="1"/>
  <c r="AV343" i="27" s="1"/>
  <c r="N362" i="27"/>
  <c r="N346" i="27"/>
  <c r="N347" i="27"/>
  <c r="Q343" i="27"/>
  <c r="Q362" i="27"/>
  <c r="Q346" i="27"/>
  <c r="Q347" i="27"/>
  <c r="AP343" i="27"/>
  <c r="AR343" i="27" s="1"/>
  <c r="AQ362" i="27"/>
  <c r="AP346" i="27"/>
  <c r="AR346" i="27" s="1"/>
  <c r="AP347" i="27"/>
  <c r="AR347" i="27" s="1"/>
  <c r="AW343" i="27"/>
  <c r="AX343" i="27" s="1"/>
  <c r="AW362" i="27"/>
  <c r="AX362" i="27" s="1"/>
  <c r="AW346" i="27"/>
  <c r="AX346" i="27" s="1"/>
  <c r="AW347" i="27"/>
  <c r="AX347" i="27" s="1"/>
  <c r="BF343" i="27"/>
  <c r="BF362" i="27"/>
  <c r="BF346" i="27"/>
  <c r="BF347" i="27"/>
  <c r="BG343" i="27"/>
  <c r="BG362" i="27"/>
  <c r="BG346" i="27"/>
  <c r="BG347" i="27"/>
  <c r="BJ343" i="27"/>
  <c r="BJ362" i="27"/>
  <c r="BJ346" i="27"/>
  <c r="BJ347" i="27"/>
  <c r="BK343" i="27"/>
  <c r="BK362" i="27"/>
  <c r="BK346" i="27"/>
  <c r="BK347" i="27"/>
  <c r="K332" i="27"/>
  <c r="BQ332" i="27" s="1"/>
  <c r="L332" i="27"/>
  <c r="M332" i="27"/>
  <c r="N332" i="27"/>
  <c r="Q332" i="27"/>
  <c r="AW332" i="27"/>
  <c r="AY332" i="27" s="1"/>
  <c r="AZ332" i="27" s="1"/>
  <c r="BF332" i="27"/>
  <c r="BG332" i="27"/>
  <c r="BJ332" i="27"/>
  <c r="BK332" i="27"/>
  <c r="K314" i="27"/>
  <c r="BO314" i="27" s="1"/>
  <c r="K305" i="27"/>
  <c r="BN305" i="27" s="1"/>
  <c r="K313" i="27"/>
  <c r="BN313" i="27" s="1"/>
  <c r="K307" i="27"/>
  <c r="BP307" i="27" s="1"/>
  <c r="K306" i="27"/>
  <c r="BN306" i="27" s="1"/>
  <c r="K308" i="27"/>
  <c r="BS308" i="27" s="1"/>
  <c r="K297" i="27"/>
  <c r="BP297" i="27" s="1"/>
  <c r="K300" i="27"/>
  <c r="BO300" i="27" s="1"/>
  <c r="K299" i="27"/>
  <c r="BO299" i="27" s="1"/>
  <c r="K288" i="27"/>
  <c r="BS288" i="27" s="1"/>
  <c r="K319" i="27"/>
  <c r="BN319" i="27" s="1"/>
  <c r="K320" i="27"/>
  <c r="BN320" i="27" s="1"/>
  <c r="K321" i="27"/>
  <c r="BN321" i="27" s="1"/>
  <c r="K324" i="27"/>
  <c r="BN324" i="27" s="1"/>
  <c r="K323" i="27"/>
  <c r="BQ323" i="27" s="1"/>
  <c r="K327" i="27"/>
  <c r="BS327" i="27" s="1"/>
  <c r="K326" i="27"/>
  <c r="BQ326" i="27" s="1"/>
  <c r="K360" i="27"/>
  <c r="BQ360" i="27" s="1"/>
  <c r="K330" i="27"/>
  <c r="BP330" i="27" s="1"/>
  <c r="K329" i="27"/>
  <c r="BP329" i="27" s="1"/>
  <c r="K331" i="27"/>
  <c r="BO331" i="27" s="1"/>
  <c r="L314" i="27"/>
  <c r="L305" i="27"/>
  <c r="L313" i="27"/>
  <c r="L307" i="27"/>
  <c r="L306" i="27"/>
  <c r="L308" i="27"/>
  <c r="L297" i="27"/>
  <c r="L300" i="27"/>
  <c r="L299" i="27"/>
  <c r="L288" i="27"/>
  <c r="L319" i="27"/>
  <c r="L320" i="27"/>
  <c r="L321" i="27"/>
  <c r="L324" i="27"/>
  <c r="L323" i="27"/>
  <c r="L327" i="27"/>
  <c r="L326" i="27"/>
  <c r="L360" i="27"/>
  <c r="L330" i="27"/>
  <c r="L329" i="27"/>
  <c r="L331" i="27"/>
  <c r="M314" i="27"/>
  <c r="M305" i="27"/>
  <c r="M313" i="27"/>
  <c r="M307" i="27"/>
  <c r="M306" i="27"/>
  <c r="M308" i="27"/>
  <c r="M297" i="27"/>
  <c r="M300" i="27"/>
  <c r="M299" i="27"/>
  <c r="M288" i="27"/>
  <c r="M319" i="27"/>
  <c r="M320" i="27"/>
  <c r="M321" i="27"/>
  <c r="M324" i="27"/>
  <c r="M323" i="27"/>
  <c r="M327" i="27"/>
  <c r="M326" i="27"/>
  <c r="M360" i="27"/>
  <c r="M330" i="27"/>
  <c r="M329" i="27"/>
  <c r="M331" i="27"/>
  <c r="N314" i="27"/>
  <c r="N305" i="27"/>
  <c r="N313" i="27"/>
  <c r="N307" i="27"/>
  <c r="N306" i="27"/>
  <c r="N308" i="27"/>
  <c r="N297" i="27"/>
  <c r="N300" i="27"/>
  <c r="N299" i="27"/>
  <c r="N288" i="27"/>
  <c r="N319" i="27"/>
  <c r="N320" i="27"/>
  <c r="N321" i="27"/>
  <c r="N324" i="27"/>
  <c r="N323" i="27"/>
  <c r="N327" i="27"/>
  <c r="N326" i="27"/>
  <c r="N360" i="27"/>
  <c r="N330" i="27"/>
  <c r="N329" i="27"/>
  <c r="N331" i="27"/>
  <c r="Q314" i="27"/>
  <c r="Q305" i="27"/>
  <c r="Q313" i="27"/>
  <c r="Q307" i="27"/>
  <c r="Q306" i="27"/>
  <c r="Q308" i="27"/>
  <c r="Q297" i="27"/>
  <c r="Q300" i="27"/>
  <c r="Q299" i="27"/>
  <c r="Q288" i="27"/>
  <c r="Q319" i="27"/>
  <c r="Q320" i="27"/>
  <c r="Q321" i="27"/>
  <c r="Q324" i="27"/>
  <c r="Q323" i="27"/>
  <c r="Q327" i="27"/>
  <c r="Q326" i="27"/>
  <c r="Q360" i="27"/>
  <c r="Q330" i="27"/>
  <c r="Q329" i="27"/>
  <c r="Q331" i="27"/>
  <c r="AP314" i="27"/>
  <c r="AR314" i="27" s="1"/>
  <c r="AP305" i="27"/>
  <c r="AR305" i="27" s="1"/>
  <c r="AQ313" i="27"/>
  <c r="AP307" i="27"/>
  <c r="AR307" i="27" s="1"/>
  <c r="AQ306" i="27"/>
  <c r="AP308" i="27"/>
  <c r="AR308" i="27" s="1"/>
  <c r="AQ297" i="27"/>
  <c r="AQ300" i="27"/>
  <c r="AP299" i="27"/>
  <c r="AR299" i="27" s="1"/>
  <c r="AP288" i="27"/>
  <c r="AR288" i="27" s="1"/>
  <c r="AQ319" i="27"/>
  <c r="AP320" i="27"/>
  <c r="AR320" i="27" s="1"/>
  <c r="AP321" i="27"/>
  <c r="AR321" i="27" s="1"/>
  <c r="AP324" i="27"/>
  <c r="AR324" i="27" s="1"/>
  <c r="AQ323" i="27"/>
  <c r="AP327" i="27"/>
  <c r="AR327" i="27" s="1"/>
  <c r="AQ326" i="27"/>
  <c r="AQ360" i="27"/>
  <c r="AQ330" i="27"/>
  <c r="AQ329" i="27"/>
  <c r="AQ331" i="27"/>
  <c r="AW314" i="27"/>
  <c r="AW305" i="27"/>
  <c r="AX305" i="27" s="1"/>
  <c r="AW313" i="27"/>
  <c r="AX313" i="27" s="1"/>
  <c r="AW307" i="27"/>
  <c r="AW306" i="27"/>
  <c r="AX306" i="27" s="1"/>
  <c r="AW308" i="27"/>
  <c r="AY308" i="27" s="1"/>
  <c r="AZ308" i="27" s="1"/>
  <c r="AW297" i="27"/>
  <c r="AY297" i="27" s="1"/>
  <c r="AZ297" i="27" s="1"/>
  <c r="AW300" i="27"/>
  <c r="AY300" i="27" s="1"/>
  <c r="AZ300" i="27" s="1"/>
  <c r="AW299" i="27"/>
  <c r="AY299" i="27" s="1"/>
  <c r="AZ299" i="27" s="1"/>
  <c r="AW288" i="27"/>
  <c r="AY288" i="27" s="1"/>
  <c r="AZ288" i="27" s="1"/>
  <c r="AW319" i="27"/>
  <c r="AW320" i="27"/>
  <c r="AW321" i="27"/>
  <c r="AY321" i="27" s="1"/>
  <c r="AZ321" i="27" s="1"/>
  <c r="AW324" i="27"/>
  <c r="AY324" i="27" s="1"/>
  <c r="AZ324" i="27" s="1"/>
  <c r="AW323" i="27"/>
  <c r="AY323" i="27" s="1"/>
  <c r="AZ323" i="27" s="1"/>
  <c r="AW327" i="27"/>
  <c r="AY327" i="27" s="1"/>
  <c r="AZ327" i="27" s="1"/>
  <c r="AW326" i="27"/>
  <c r="AW360" i="27"/>
  <c r="AX360" i="27" s="1"/>
  <c r="AW330" i="27"/>
  <c r="AW329" i="27"/>
  <c r="AW331" i="27"/>
  <c r="AX331" i="27" s="1"/>
  <c r="BF314" i="27"/>
  <c r="BF305" i="27"/>
  <c r="BF313" i="27"/>
  <c r="BF307" i="27"/>
  <c r="BF306" i="27"/>
  <c r="BF308" i="27"/>
  <c r="BF297" i="27"/>
  <c r="BF300" i="27"/>
  <c r="BF299" i="27"/>
  <c r="BF288" i="27"/>
  <c r="BF319" i="27"/>
  <c r="BF320" i="27"/>
  <c r="BF321" i="27"/>
  <c r="BF324" i="27"/>
  <c r="BF323" i="27"/>
  <c r="BF327" i="27"/>
  <c r="BF326" i="27"/>
  <c r="BF360" i="27"/>
  <c r="BF330" i="27"/>
  <c r="BF329" i="27"/>
  <c r="BF331" i="27"/>
  <c r="BG314" i="27"/>
  <c r="BG305" i="27"/>
  <c r="BG313" i="27"/>
  <c r="BG307" i="27"/>
  <c r="BG306" i="27"/>
  <c r="BG308" i="27"/>
  <c r="BG297" i="27"/>
  <c r="BG300" i="27"/>
  <c r="BG299" i="27"/>
  <c r="BG288" i="27"/>
  <c r="BG319" i="27"/>
  <c r="BG320" i="27"/>
  <c r="BG321" i="27"/>
  <c r="BG324" i="27"/>
  <c r="BG323" i="27"/>
  <c r="BG327" i="27"/>
  <c r="BG326" i="27"/>
  <c r="BG360" i="27"/>
  <c r="BG330" i="27"/>
  <c r="BG329" i="27"/>
  <c r="BG331" i="27"/>
  <c r="BJ314" i="27"/>
  <c r="BJ305" i="27"/>
  <c r="BJ313" i="27"/>
  <c r="BJ307" i="27"/>
  <c r="BJ306" i="27"/>
  <c r="BJ308" i="27"/>
  <c r="BJ297" i="27"/>
  <c r="BJ300" i="27"/>
  <c r="BJ299" i="27"/>
  <c r="BJ288" i="27"/>
  <c r="BJ319" i="27"/>
  <c r="BJ320" i="27"/>
  <c r="BJ321" i="27"/>
  <c r="BJ324" i="27"/>
  <c r="BJ323" i="27"/>
  <c r="BJ327" i="27"/>
  <c r="BJ326" i="27"/>
  <c r="BJ360" i="27"/>
  <c r="BJ330" i="27"/>
  <c r="BJ329" i="27"/>
  <c r="BJ331" i="27"/>
  <c r="BK314" i="27"/>
  <c r="BK305" i="27"/>
  <c r="BK313" i="27"/>
  <c r="BK307" i="27"/>
  <c r="BK306" i="27"/>
  <c r="BK308" i="27"/>
  <c r="BK297" i="27"/>
  <c r="BK300" i="27"/>
  <c r="BK299" i="27"/>
  <c r="BK288" i="27"/>
  <c r="BK319" i="27"/>
  <c r="BK320" i="27"/>
  <c r="BK321" i="27"/>
  <c r="BK324" i="27"/>
  <c r="BK323" i="27"/>
  <c r="BK327" i="27"/>
  <c r="BK326" i="27"/>
  <c r="BK360" i="27"/>
  <c r="BK330" i="27"/>
  <c r="BK329" i="27"/>
  <c r="BK331" i="27"/>
  <c r="K309" i="27"/>
  <c r="BO309" i="27" s="1"/>
  <c r="K316" i="27"/>
  <c r="BP316" i="27" s="1"/>
  <c r="L309" i="27"/>
  <c r="L316" i="27"/>
  <c r="M309" i="27"/>
  <c r="M316" i="27"/>
  <c r="N309" i="27"/>
  <c r="N316" i="27"/>
  <c r="Q309" i="27"/>
  <c r="Q316" i="27"/>
  <c r="AP309" i="27"/>
  <c r="AR309" i="27" s="1"/>
  <c r="AP316" i="27"/>
  <c r="AR316" i="27" s="1"/>
  <c r="AW309" i="27"/>
  <c r="AW316" i="27"/>
  <c r="BF309" i="27"/>
  <c r="BF316" i="27"/>
  <c r="BG309" i="27"/>
  <c r="BG316" i="27"/>
  <c r="BJ309" i="27"/>
  <c r="BJ316" i="27"/>
  <c r="BK309" i="27"/>
  <c r="BK316" i="27"/>
  <c r="K301" i="27"/>
  <c r="BQ301" i="27" s="1"/>
  <c r="K304" i="27"/>
  <c r="BN304" i="27" s="1"/>
  <c r="K311" i="27"/>
  <c r="BP311" i="27" s="1"/>
  <c r="K312" i="27"/>
  <c r="BN312" i="27" s="1"/>
  <c r="K318" i="27"/>
  <c r="BS318" i="27" s="1"/>
  <c r="L301" i="27"/>
  <c r="L304" i="27"/>
  <c r="L311" i="27"/>
  <c r="L312" i="27"/>
  <c r="L318" i="27"/>
  <c r="M301" i="27"/>
  <c r="M304" i="27"/>
  <c r="M311" i="27"/>
  <c r="M312" i="27"/>
  <c r="M318" i="27"/>
  <c r="N301" i="27"/>
  <c r="N304" i="27"/>
  <c r="N311" i="27"/>
  <c r="N312" i="27"/>
  <c r="N318" i="27"/>
  <c r="Q301" i="27"/>
  <c r="Q304" i="27"/>
  <c r="Q311" i="27"/>
  <c r="Q312" i="27"/>
  <c r="Q318" i="27"/>
  <c r="AP301" i="27"/>
  <c r="AR301" i="27" s="1"/>
  <c r="AP304" i="27"/>
  <c r="AR304" i="27" s="1"/>
  <c r="AP311" i="27"/>
  <c r="AR311" i="27" s="1"/>
  <c r="AP312" i="27"/>
  <c r="AR312" i="27" s="1"/>
  <c r="AP318" i="27"/>
  <c r="AR318" i="27" s="1"/>
  <c r="AW301" i="27"/>
  <c r="AW304" i="27"/>
  <c r="AW311" i="27"/>
  <c r="AW312" i="27"/>
  <c r="AX312" i="27" s="1"/>
  <c r="AW318" i="27"/>
  <c r="AX318" i="27" s="1"/>
  <c r="BF301" i="27"/>
  <c r="BF304" i="27"/>
  <c r="BF311" i="27"/>
  <c r="BF312" i="27"/>
  <c r="BF318" i="27"/>
  <c r="BG301" i="27"/>
  <c r="BG304" i="27"/>
  <c r="BG311" i="27"/>
  <c r="BG312" i="27"/>
  <c r="BG318" i="27"/>
  <c r="BJ301" i="27"/>
  <c r="BJ304" i="27"/>
  <c r="BJ311" i="27"/>
  <c r="BJ312" i="27"/>
  <c r="BJ318" i="27"/>
  <c r="BK301" i="27"/>
  <c r="BK304" i="27"/>
  <c r="BK311" i="27"/>
  <c r="BK312" i="27"/>
  <c r="BK318" i="27"/>
  <c r="K294" i="27"/>
  <c r="BO294" i="27" s="1"/>
  <c r="K296" i="27"/>
  <c r="BP296" i="27" s="1"/>
  <c r="L294" i="27"/>
  <c r="L296" i="27"/>
  <c r="M294" i="27"/>
  <c r="M296" i="27"/>
  <c r="N294" i="27"/>
  <c r="N296" i="27"/>
  <c r="Q294" i="27"/>
  <c r="Q296" i="27"/>
  <c r="AP294" i="27"/>
  <c r="AR294" i="27" s="1"/>
  <c r="AP296" i="27"/>
  <c r="AR296" i="27" s="1"/>
  <c r="AW294" i="27"/>
  <c r="AX294" i="27" s="1"/>
  <c r="AW296" i="27"/>
  <c r="AY296" i="27" s="1"/>
  <c r="AZ296" i="27" s="1"/>
  <c r="BF294" i="27"/>
  <c r="BF296" i="27"/>
  <c r="BG294" i="27"/>
  <c r="BG296" i="27"/>
  <c r="BJ294" i="27"/>
  <c r="BJ296" i="27"/>
  <c r="BK294" i="27"/>
  <c r="BK296" i="27"/>
  <c r="K291" i="27"/>
  <c r="BP291" i="27" s="1"/>
  <c r="K293" i="27"/>
  <c r="BQ293" i="27" s="1"/>
  <c r="L291" i="27"/>
  <c r="L293" i="27"/>
  <c r="M291" i="27"/>
  <c r="M293" i="27"/>
  <c r="N291" i="27"/>
  <c r="N293" i="27"/>
  <c r="Q291" i="27"/>
  <c r="Q293" i="27"/>
  <c r="AP291" i="27"/>
  <c r="AR291" i="27" s="1"/>
  <c r="AP293" i="27"/>
  <c r="AR293" i="27" s="1"/>
  <c r="AW291" i="27"/>
  <c r="AX291" i="27" s="1"/>
  <c r="AW293" i="27"/>
  <c r="AX293" i="27" s="1"/>
  <c r="BF291" i="27"/>
  <c r="BF293" i="27"/>
  <c r="BG291" i="27"/>
  <c r="BG293" i="27"/>
  <c r="BJ291" i="27"/>
  <c r="BJ293" i="27"/>
  <c r="BK291" i="27"/>
  <c r="BK293" i="27"/>
  <c r="K284" i="27"/>
  <c r="BP284" i="27" s="1"/>
  <c r="K282" i="27"/>
  <c r="BN282" i="27" s="1"/>
  <c r="K290" i="27"/>
  <c r="BO290" i="27" s="1"/>
  <c r="K289" i="27"/>
  <c r="BO289" i="27" s="1"/>
  <c r="L284" i="27"/>
  <c r="L282" i="27"/>
  <c r="L290" i="27"/>
  <c r="L289" i="27"/>
  <c r="M284" i="27"/>
  <c r="M282" i="27"/>
  <c r="M290" i="27"/>
  <c r="M289" i="27"/>
  <c r="N284" i="27"/>
  <c r="N282" i="27"/>
  <c r="N290" i="27"/>
  <c r="N289" i="27"/>
  <c r="Q284" i="27"/>
  <c r="Q282" i="27"/>
  <c r="Q290" i="27"/>
  <c r="Q289" i="27"/>
  <c r="AQ284" i="27"/>
  <c r="AP282" i="27"/>
  <c r="AR282" i="27" s="1"/>
  <c r="AP290" i="27"/>
  <c r="AR290" i="27" s="1"/>
  <c r="AP289" i="27"/>
  <c r="AR289" i="27" s="1"/>
  <c r="AW284" i="27"/>
  <c r="AY284" i="27" s="1"/>
  <c r="AZ284" i="27" s="1"/>
  <c r="AW282" i="27"/>
  <c r="AX282" i="27" s="1"/>
  <c r="AW290" i="27"/>
  <c r="AX290" i="27" s="1"/>
  <c r="AW289" i="27"/>
  <c r="AX289" i="27" s="1"/>
  <c r="BF284" i="27"/>
  <c r="BF282" i="27"/>
  <c r="BF290" i="27"/>
  <c r="BF289" i="27"/>
  <c r="BG284" i="27"/>
  <c r="BG282" i="27"/>
  <c r="BG290" i="27"/>
  <c r="BG289" i="27"/>
  <c r="BJ284" i="27"/>
  <c r="BJ282" i="27"/>
  <c r="BJ290" i="27"/>
  <c r="BJ289" i="27"/>
  <c r="BK284" i="27"/>
  <c r="BK282" i="27"/>
  <c r="BK290" i="27"/>
  <c r="BK289" i="27"/>
  <c r="K255" i="27"/>
  <c r="BN255" i="27" s="1"/>
  <c r="K280" i="27"/>
  <c r="BP280" i="27" s="1"/>
  <c r="K283" i="27"/>
  <c r="BP283" i="27" s="1"/>
  <c r="K281" i="27"/>
  <c r="BP281" i="27" s="1"/>
  <c r="K285" i="27"/>
  <c r="BP285" i="27" s="1"/>
  <c r="L255" i="27"/>
  <c r="L280" i="27"/>
  <c r="L283" i="27"/>
  <c r="L281" i="27"/>
  <c r="L285" i="27"/>
  <c r="M255" i="27"/>
  <c r="M280" i="27"/>
  <c r="M283" i="27"/>
  <c r="M281" i="27"/>
  <c r="M285" i="27"/>
  <c r="N255" i="27"/>
  <c r="N280" i="27"/>
  <c r="N283" i="27"/>
  <c r="N281" i="27"/>
  <c r="N285" i="27"/>
  <c r="Q255" i="27"/>
  <c r="Q280" i="27"/>
  <c r="Q283" i="27"/>
  <c r="Q281" i="27"/>
  <c r="Q285" i="27"/>
  <c r="AP255" i="27"/>
  <c r="AR255" i="27" s="1"/>
  <c r="AQ280" i="27"/>
  <c r="AP283" i="27"/>
  <c r="AR283" i="27" s="1"/>
  <c r="AQ281" i="27"/>
  <c r="AP285" i="27"/>
  <c r="AR285" i="27" s="1"/>
  <c r="AW255" i="27"/>
  <c r="AW280" i="27"/>
  <c r="AX280" i="27" s="1"/>
  <c r="AW283" i="27"/>
  <c r="AW281" i="27"/>
  <c r="AX281" i="27" s="1"/>
  <c r="AW285" i="27"/>
  <c r="AX285" i="27" s="1"/>
  <c r="BF255" i="27"/>
  <c r="BF280" i="27"/>
  <c r="BF283" i="27"/>
  <c r="BF281" i="27"/>
  <c r="BF285" i="27"/>
  <c r="BG255" i="27"/>
  <c r="BG280" i="27"/>
  <c r="BG283" i="27"/>
  <c r="BG281" i="27"/>
  <c r="BG285" i="27"/>
  <c r="BJ255" i="27"/>
  <c r="BJ280" i="27"/>
  <c r="BJ283" i="27"/>
  <c r="BJ281" i="27"/>
  <c r="BJ285" i="27"/>
  <c r="BK255" i="27"/>
  <c r="BK280" i="27"/>
  <c r="BK283" i="27"/>
  <c r="BK281" i="27"/>
  <c r="BK285" i="27"/>
  <c r="K257" i="27"/>
  <c r="BP257" i="27" s="1"/>
  <c r="K256" i="27"/>
  <c r="BO256" i="27" s="1"/>
  <c r="K258" i="27"/>
  <c r="BP258" i="27" s="1"/>
  <c r="L257" i="27"/>
  <c r="L256" i="27"/>
  <c r="L258" i="27"/>
  <c r="M257" i="27"/>
  <c r="M256" i="27"/>
  <c r="M258" i="27"/>
  <c r="N257" i="27"/>
  <c r="N256" i="27"/>
  <c r="N258" i="27"/>
  <c r="Q257" i="27"/>
  <c r="Q256" i="27"/>
  <c r="Q258" i="27"/>
  <c r="AP257" i="27"/>
  <c r="AR257" i="27" s="1"/>
  <c r="AP256" i="27"/>
  <c r="AR256" i="27" s="1"/>
  <c r="AP258" i="27"/>
  <c r="AR258" i="27" s="1"/>
  <c r="AW257" i="27"/>
  <c r="AX257" i="27" s="1"/>
  <c r="AW256" i="27"/>
  <c r="AX256" i="27" s="1"/>
  <c r="AW258" i="27"/>
  <c r="BF257" i="27"/>
  <c r="BF256" i="27"/>
  <c r="BF258" i="27"/>
  <c r="BG257" i="27"/>
  <c r="BG256" i="27"/>
  <c r="BG258" i="27"/>
  <c r="BJ257" i="27"/>
  <c r="BJ256" i="27"/>
  <c r="BJ258" i="27"/>
  <c r="BK257" i="27"/>
  <c r="BK256" i="27"/>
  <c r="BK258" i="27"/>
  <c r="K264" i="27"/>
  <c r="BN264" i="27" s="1"/>
  <c r="L264" i="27"/>
  <c r="M264" i="27"/>
  <c r="N264" i="27"/>
  <c r="Q264" i="27"/>
  <c r="AP264" i="27"/>
  <c r="AR264" i="27" s="1"/>
  <c r="AW264" i="27"/>
  <c r="AX264" i="27" s="1"/>
  <c r="BF264" i="27"/>
  <c r="BG264" i="27"/>
  <c r="BJ264" i="27"/>
  <c r="BK264" i="27"/>
  <c r="K279" i="27"/>
  <c r="BN279" i="27" s="1"/>
  <c r="K262" i="27"/>
  <c r="BQ262" i="27" s="1"/>
  <c r="K263" i="27"/>
  <c r="BN263" i="27" s="1"/>
  <c r="K278" i="27"/>
  <c r="BN278" i="27" s="1"/>
  <c r="K270" i="27"/>
  <c r="BP270" i="27" s="1"/>
  <c r="K271" i="27"/>
  <c r="BS271" i="27" s="1"/>
  <c r="L279" i="27"/>
  <c r="L262" i="27"/>
  <c r="L263" i="27"/>
  <c r="L278" i="27"/>
  <c r="L270" i="27"/>
  <c r="L271" i="27"/>
  <c r="M279" i="27"/>
  <c r="M262" i="27"/>
  <c r="M263" i="27"/>
  <c r="M278" i="27"/>
  <c r="M270" i="27"/>
  <c r="M271" i="27"/>
  <c r="N279" i="27"/>
  <c r="N262" i="27"/>
  <c r="N263" i="27"/>
  <c r="N278" i="27"/>
  <c r="N270" i="27"/>
  <c r="N271" i="27"/>
  <c r="Q279" i="27"/>
  <c r="Q262" i="27"/>
  <c r="Q263" i="27"/>
  <c r="Q278" i="27"/>
  <c r="Q270" i="27"/>
  <c r="Q271" i="27"/>
  <c r="AP279" i="27"/>
  <c r="AR279" i="27" s="1"/>
  <c r="AQ262" i="27"/>
  <c r="AP263" i="27"/>
  <c r="AR263" i="27" s="1"/>
  <c r="AP278" i="27"/>
  <c r="AR278" i="27" s="1"/>
  <c r="AP270" i="27"/>
  <c r="AR270" i="27" s="1"/>
  <c r="AP271" i="27"/>
  <c r="AR271" i="27" s="1"/>
  <c r="AW279" i="27"/>
  <c r="AX279" i="27" s="1"/>
  <c r="AW262" i="27"/>
  <c r="AX262" i="27" s="1"/>
  <c r="AW263" i="27"/>
  <c r="AX263" i="27" s="1"/>
  <c r="AW278" i="27"/>
  <c r="AX278" i="27" s="1"/>
  <c r="AW270" i="27"/>
  <c r="AX270" i="27" s="1"/>
  <c r="AW271" i="27"/>
  <c r="AX271" i="27" s="1"/>
  <c r="BF279" i="27"/>
  <c r="BF262" i="27"/>
  <c r="BF263" i="27"/>
  <c r="BF278" i="27"/>
  <c r="BF270" i="27"/>
  <c r="BF271" i="27"/>
  <c r="BG279" i="27"/>
  <c r="BG262" i="27"/>
  <c r="BG263" i="27"/>
  <c r="BG278" i="27"/>
  <c r="BG270" i="27"/>
  <c r="BG271" i="27"/>
  <c r="BJ279" i="27"/>
  <c r="BJ262" i="27"/>
  <c r="BJ263" i="27"/>
  <c r="BJ278" i="27"/>
  <c r="BJ270" i="27"/>
  <c r="BJ271" i="27"/>
  <c r="BK279" i="27"/>
  <c r="BK262" i="27"/>
  <c r="BK263" i="27"/>
  <c r="BK278" i="27"/>
  <c r="BK270" i="27"/>
  <c r="BK271" i="27"/>
  <c r="K274" i="27"/>
  <c r="BS274" i="27" s="1"/>
  <c r="K261" i="27"/>
  <c r="BS261" i="27" s="1"/>
  <c r="K260" i="27"/>
  <c r="BS260" i="27" s="1"/>
  <c r="K275" i="27"/>
  <c r="BP275" i="27" s="1"/>
  <c r="L274" i="27"/>
  <c r="L261" i="27"/>
  <c r="L260" i="27"/>
  <c r="L275" i="27"/>
  <c r="M274" i="27"/>
  <c r="M261" i="27"/>
  <c r="M260" i="27"/>
  <c r="M275" i="27"/>
  <c r="N274" i="27"/>
  <c r="N261" i="27"/>
  <c r="N260" i="27"/>
  <c r="N275" i="27"/>
  <c r="Q274" i="27"/>
  <c r="Q261" i="27"/>
  <c r="Q260" i="27"/>
  <c r="Q275" i="27"/>
  <c r="AP274" i="27"/>
  <c r="AR274" i="27" s="1"/>
  <c r="AQ261" i="27"/>
  <c r="AQ260" i="27"/>
  <c r="AQ275" i="27"/>
  <c r="AW274" i="27"/>
  <c r="AX274" i="27" s="1"/>
  <c r="AW261" i="27"/>
  <c r="AY261" i="27" s="1"/>
  <c r="AZ261" i="27" s="1"/>
  <c r="AW260" i="27"/>
  <c r="AY260" i="27" s="1"/>
  <c r="AZ260" i="27" s="1"/>
  <c r="AW275" i="27"/>
  <c r="AY275" i="27" s="1"/>
  <c r="AZ275" i="27" s="1"/>
  <c r="BF274" i="27"/>
  <c r="BF261" i="27"/>
  <c r="BF260" i="27"/>
  <c r="BF275" i="27"/>
  <c r="BG274" i="27"/>
  <c r="BG261" i="27"/>
  <c r="BG260" i="27"/>
  <c r="BG275" i="27"/>
  <c r="BJ274" i="27"/>
  <c r="BJ261" i="27"/>
  <c r="BJ260" i="27"/>
  <c r="BJ275" i="27"/>
  <c r="BK274" i="27"/>
  <c r="BK261" i="27"/>
  <c r="BK260" i="27"/>
  <c r="BK275" i="27"/>
  <c r="K267" i="27"/>
  <c r="BO267" i="27" s="1"/>
  <c r="L267" i="27"/>
  <c r="M267" i="27"/>
  <c r="N267" i="27"/>
  <c r="Q267" i="27"/>
  <c r="AQ267" i="27"/>
  <c r="AW267" i="27"/>
  <c r="AX267" i="27" s="1"/>
  <c r="BF267" i="27"/>
  <c r="BG267" i="27"/>
  <c r="BJ267" i="27"/>
  <c r="BK267" i="27"/>
  <c r="K253" i="27"/>
  <c r="BN253" i="27" s="1"/>
  <c r="L253" i="27"/>
  <c r="M253" i="27"/>
  <c r="N253" i="27"/>
  <c r="Q253" i="27"/>
  <c r="AP253" i="27"/>
  <c r="AR253" i="27" s="1"/>
  <c r="AW253" i="27"/>
  <c r="AX253" i="27" s="1"/>
  <c r="BF253" i="27"/>
  <c r="BG253" i="27"/>
  <c r="BJ253" i="27"/>
  <c r="BK253" i="27"/>
  <c r="K248" i="27"/>
  <c r="BN248" i="27" s="1"/>
  <c r="K249" i="27"/>
  <c r="BQ249" i="27" s="1"/>
  <c r="K250" i="27"/>
  <c r="BQ250" i="27" s="1"/>
  <c r="K251" i="27"/>
  <c r="BQ251" i="27" s="1"/>
  <c r="L248" i="27"/>
  <c r="L249" i="27"/>
  <c r="L250" i="27"/>
  <c r="L251" i="27"/>
  <c r="M248" i="27"/>
  <c r="M249" i="27"/>
  <c r="M250" i="27"/>
  <c r="M251" i="27"/>
  <c r="N248" i="27"/>
  <c r="N249" i="27"/>
  <c r="N250" i="27"/>
  <c r="N251" i="27"/>
  <c r="Q248" i="27"/>
  <c r="Q249" i="27"/>
  <c r="Q250" i="27"/>
  <c r="Q251" i="27"/>
  <c r="AP248" i="27"/>
  <c r="AR248" i="27" s="1"/>
  <c r="AP249" i="27"/>
  <c r="AR249" i="27" s="1"/>
  <c r="AP250" i="27"/>
  <c r="AR250" i="27" s="1"/>
  <c r="AP251" i="27"/>
  <c r="AR251" i="27" s="1"/>
  <c r="AW248" i="27"/>
  <c r="AX248" i="27" s="1"/>
  <c r="AW249" i="27"/>
  <c r="AX249" i="27" s="1"/>
  <c r="AW250" i="27"/>
  <c r="AX250" i="27" s="1"/>
  <c r="AW251" i="27"/>
  <c r="AX251" i="27" s="1"/>
  <c r="BF248" i="27"/>
  <c r="BF249" i="27"/>
  <c r="BF250" i="27"/>
  <c r="BF251" i="27"/>
  <c r="BG248" i="27"/>
  <c r="BG249" i="27"/>
  <c r="BG250" i="27"/>
  <c r="BG251" i="27"/>
  <c r="BJ248" i="27"/>
  <c r="BJ249" i="27"/>
  <c r="BJ250" i="27"/>
  <c r="BJ251" i="27"/>
  <c r="BK248" i="27"/>
  <c r="BK249" i="27"/>
  <c r="BK250" i="27"/>
  <c r="BK251" i="27"/>
  <c r="K242" i="27"/>
  <c r="BS242" i="27" s="1"/>
  <c r="K243" i="27"/>
  <c r="BP243" i="27" s="1"/>
  <c r="K244" i="27"/>
  <c r="BP244" i="27" s="1"/>
  <c r="K245" i="27"/>
  <c r="BN245" i="27" s="1"/>
  <c r="K246" i="27"/>
  <c r="BQ246" i="27" s="1"/>
  <c r="K247" i="27"/>
  <c r="BS247" i="27" s="1"/>
  <c r="L242" i="27"/>
  <c r="L243" i="27"/>
  <c r="L244" i="27"/>
  <c r="L245" i="27"/>
  <c r="L246" i="27"/>
  <c r="L247" i="27"/>
  <c r="M242" i="27"/>
  <c r="M243" i="27"/>
  <c r="M244" i="27"/>
  <c r="M245" i="27"/>
  <c r="M246" i="27"/>
  <c r="M247" i="27"/>
  <c r="N242" i="27"/>
  <c r="N243" i="27"/>
  <c r="N244" i="27"/>
  <c r="N245" i="27"/>
  <c r="N246" i="27"/>
  <c r="N247" i="27"/>
  <c r="Q242" i="27"/>
  <c r="Q243" i="27"/>
  <c r="Q244" i="27"/>
  <c r="Q245" i="27"/>
  <c r="Q246" i="27"/>
  <c r="Q247" i="27"/>
  <c r="AP242" i="27"/>
  <c r="AR242" i="27" s="1"/>
  <c r="AQ243" i="27"/>
  <c r="AP244" i="27"/>
  <c r="AR244" i="27" s="1"/>
  <c r="AP245" i="27"/>
  <c r="AR245" i="27" s="1"/>
  <c r="AQ246" i="27"/>
  <c r="AP247" i="27"/>
  <c r="AR247" i="27" s="1"/>
  <c r="AW242" i="27"/>
  <c r="AX242" i="27" s="1"/>
  <c r="AW243" i="27"/>
  <c r="AY243" i="27" s="1"/>
  <c r="AZ243" i="27" s="1"/>
  <c r="AW244" i="27"/>
  <c r="AX244" i="27" s="1"/>
  <c r="AW245" i="27"/>
  <c r="AX245" i="27" s="1"/>
  <c r="AW246" i="27"/>
  <c r="AW247" i="27"/>
  <c r="BF242" i="27"/>
  <c r="BF243" i="27"/>
  <c r="BF244" i="27"/>
  <c r="BF245" i="27"/>
  <c r="BF246" i="27"/>
  <c r="BF247" i="27"/>
  <c r="BG242" i="27"/>
  <c r="BG243" i="27"/>
  <c r="BG244" i="27"/>
  <c r="BG245" i="27"/>
  <c r="BG246" i="27"/>
  <c r="BG247" i="27"/>
  <c r="BJ242" i="27"/>
  <c r="BJ243" i="27"/>
  <c r="BJ244" i="27"/>
  <c r="BJ245" i="27"/>
  <c r="BJ246" i="27"/>
  <c r="BJ247" i="27"/>
  <c r="BK242" i="27"/>
  <c r="BK243" i="27"/>
  <c r="BK244" i="27"/>
  <c r="BK245" i="27"/>
  <c r="BK246" i="27"/>
  <c r="BK247" i="27"/>
  <c r="K231" i="27"/>
  <c r="BP231" i="27" s="1"/>
  <c r="K232" i="27"/>
  <c r="BP232" i="27" s="1"/>
  <c r="K233" i="27"/>
  <c r="BP233" i="27" s="1"/>
  <c r="K234" i="27"/>
  <c r="BP234" i="27" s="1"/>
  <c r="K235" i="27"/>
  <c r="BP235" i="27" s="1"/>
  <c r="K237" i="27"/>
  <c r="BQ237" i="27" s="1"/>
  <c r="K236" i="27"/>
  <c r="BQ236" i="27" s="1"/>
  <c r="K226" i="27"/>
  <c r="BN226" i="27" s="1"/>
  <c r="K227" i="27"/>
  <c r="BQ227" i="27" s="1"/>
  <c r="K228" i="27"/>
  <c r="BN228" i="27" s="1"/>
  <c r="K225" i="27"/>
  <c r="BN225" i="27" s="1"/>
  <c r="K238" i="27"/>
  <c r="BQ238" i="27" s="1"/>
  <c r="L231" i="27"/>
  <c r="L232" i="27"/>
  <c r="L233" i="27"/>
  <c r="L234" i="27"/>
  <c r="L235" i="27"/>
  <c r="L237" i="27"/>
  <c r="L236" i="27"/>
  <c r="L226" i="27"/>
  <c r="L227" i="27"/>
  <c r="L228" i="27"/>
  <c r="L225" i="27"/>
  <c r="L238" i="27"/>
  <c r="M231" i="27"/>
  <c r="M232" i="27"/>
  <c r="M233" i="27"/>
  <c r="M234" i="27"/>
  <c r="M235" i="27"/>
  <c r="M237" i="27"/>
  <c r="M236" i="27"/>
  <c r="M226" i="27"/>
  <c r="M227" i="27"/>
  <c r="M228" i="27"/>
  <c r="M225" i="27"/>
  <c r="M238" i="27"/>
  <c r="N231" i="27"/>
  <c r="N232" i="27"/>
  <c r="N233" i="27"/>
  <c r="N234" i="27"/>
  <c r="N235" i="27"/>
  <c r="N237" i="27"/>
  <c r="N236" i="27"/>
  <c r="N226" i="27"/>
  <c r="N227" i="27"/>
  <c r="N228" i="27"/>
  <c r="N225" i="27"/>
  <c r="N238" i="27"/>
  <c r="Q231" i="27"/>
  <c r="Q232" i="27"/>
  <c r="Q233" i="27"/>
  <c r="Q234" i="27"/>
  <c r="Q235" i="27"/>
  <c r="Q237" i="27"/>
  <c r="Q236" i="27"/>
  <c r="Q226" i="27"/>
  <c r="Q227" i="27"/>
  <c r="Q228" i="27"/>
  <c r="Q225" i="27"/>
  <c r="Q238" i="27"/>
  <c r="AP231" i="27"/>
  <c r="AR231" i="27" s="1"/>
  <c r="AQ232" i="27"/>
  <c r="AQ233" i="27"/>
  <c r="AP234" i="27"/>
  <c r="AR234" i="27" s="1"/>
  <c r="AQ235" i="27"/>
  <c r="AQ237" i="27"/>
  <c r="AQ236" i="27"/>
  <c r="AP226" i="27"/>
  <c r="AR226" i="27" s="1"/>
  <c r="AP227" i="27"/>
  <c r="AR227" i="27" s="1"/>
  <c r="AQ228" i="27"/>
  <c r="AP225" i="27"/>
  <c r="AR225" i="27" s="1"/>
  <c r="AQ238" i="27"/>
  <c r="AW231" i="27"/>
  <c r="AX231" i="27" s="1"/>
  <c r="AW232" i="27"/>
  <c r="AY232" i="27" s="1"/>
  <c r="AZ232" i="27" s="1"/>
  <c r="AW233" i="27"/>
  <c r="AY233" i="27" s="1"/>
  <c r="AZ233" i="27" s="1"/>
  <c r="AW234" i="27"/>
  <c r="AX234" i="27" s="1"/>
  <c r="AW235" i="27"/>
  <c r="AY235" i="27" s="1"/>
  <c r="AZ235" i="27" s="1"/>
  <c r="AW237" i="27"/>
  <c r="AY237" i="27" s="1"/>
  <c r="AZ237" i="27" s="1"/>
  <c r="AW236" i="27"/>
  <c r="AY236" i="27" s="1"/>
  <c r="AZ236" i="27" s="1"/>
  <c r="AW226" i="27"/>
  <c r="AX226" i="27" s="1"/>
  <c r="AW227" i="27"/>
  <c r="AX227" i="27" s="1"/>
  <c r="AW228" i="27"/>
  <c r="AY228" i="27" s="1"/>
  <c r="AZ228" i="27" s="1"/>
  <c r="AW225" i="27"/>
  <c r="AW238" i="27"/>
  <c r="AY238" i="27" s="1"/>
  <c r="AZ238" i="27" s="1"/>
  <c r="BF231" i="27"/>
  <c r="BF232" i="27"/>
  <c r="BF233" i="27"/>
  <c r="BF234" i="27"/>
  <c r="BF235" i="27"/>
  <c r="BF237" i="27"/>
  <c r="BF236" i="27"/>
  <c r="BF226" i="27"/>
  <c r="BF227" i="27"/>
  <c r="BF228" i="27"/>
  <c r="BF225" i="27"/>
  <c r="BF238" i="27"/>
  <c r="BG231" i="27"/>
  <c r="BG232" i="27"/>
  <c r="BG233" i="27"/>
  <c r="BG234" i="27"/>
  <c r="BG235" i="27"/>
  <c r="BG237" i="27"/>
  <c r="BG236" i="27"/>
  <c r="BG226" i="27"/>
  <c r="BG227" i="27"/>
  <c r="BG228" i="27"/>
  <c r="BG225" i="27"/>
  <c r="BG238" i="27"/>
  <c r="BJ231" i="27"/>
  <c r="BJ232" i="27"/>
  <c r="BJ233" i="27"/>
  <c r="BJ234" i="27"/>
  <c r="BJ235" i="27"/>
  <c r="BJ237" i="27"/>
  <c r="BJ236" i="27"/>
  <c r="BJ226" i="27"/>
  <c r="BJ227" i="27"/>
  <c r="BJ228" i="27"/>
  <c r="BJ225" i="27"/>
  <c r="BJ238" i="27"/>
  <c r="BK231" i="27"/>
  <c r="BK232" i="27"/>
  <c r="BK233" i="27"/>
  <c r="BK234" i="27"/>
  <c r="BK235" i="27"/>
  <c r="BK237" i="27"/>
  <c r="BK236" i="27"/>
  <c r="BK226" i="27"/>
  <c r="BK227" i="27"/>
  <c r="BK228" i="27"/>
  <c r="BK225" i="27"/>
  <c r="BK238" i="27"/>
  <c r="K210" i="27"/>
  <c r="BO210" i="27" s="1"/>
  <c r="K211" i="27"/>
  <c r="BP211" i="27" s="1"/>
  <c r="K209" i="27"/>
  <c r="BN209" i="27" s="1"/>
  <c r="K212" i="27"/>
  <c r="BN212" i="27" s="1"/>
  <c r="K214" i="27"/>
  <c r="BQ214" i="27" s="1"/>
  <c r="K217" i="27"/>
  <c r="BS217" i="27" s="1"/>
  <c r="K216" i="27"/>
  <c r="BS216" i="27" s="1"/>
  <c r="K215" i="27"/>
  <c r="BN215" i="27" s="1"/>
  <c r="K219" i="27"/>
  <c r="BN219" i="27" s="1"/>
  <c r="K218" i="27"/>
  <c r="BS218" i="27" s="1"/>
  <c r="K220" i="27"/>
  <c r="BS220" i="27" s="1"/>
  <c r="K223" i="27"/>
  <c r="BS223" i="27" s="1"/>
  <c r="K224" i="27"/>
  <c r="BO224" i="27" s="1"/>
  <c r="K221" i="27"/>
  <c r="BO221" i="27" s="1"/>
  <c r="K222" i="27"/>
  <c r="BN222" i="27" s="1"/>
  <c r="L210" i="27"/>
  <c r="L211" i="27"/>
  <c r="L209" i="27"/>
  <c r="L212" i="27"/>
  <c r="L214" i="27"/>
  <c r="L217" i="27"/>
  <c r="L216" i="27"/>
  <c r="L215" i="27"/>
  <c r="L219" i="27"/>
  <c r="L218" i="27"/>
  <c r="L220" i="27"/>
  <c r="L223" i="27"/>
  <c r="L224" i="27"/>
  <c r="L221" i="27"/>
  <c r="L222" i="27"/>
  <c r="M210" i="27"/>
  <c r="M211" i="27"/>
  <c r="M209" i="27"/>
  <c r="M212" i="27"/>
  <c r="M214" i="27"/>
  <c r="M217" i="27"/>
  <c r="M216" i="27"/>
  <c r="M215" i="27"/>
  <c r="M219" i="27"/>
  <c r="M218" i="27"/>
  <c r="M220" i="27"/>
  <c r="M223" i="27"/>
  <c r="M224" i="27"/>
  <c r="M221" i="27"/>
  <c r="M222" i="27"/>
  <c r="N210" i="27"/>
  <c r="N211" i="27"/>
  <c r="N209" i="27"/>
  <c r="N212" i="27"/>
  <c r="N214" i="27"/>
  <c r="N217" i="27"/>
  <c r="N216" i="27"/>
  <c r="N215" i="27"/>
  <c r="N219" i="27"/>
  <c r="N218" i="27"/>
  <c r="N220" i="27"/>
  <c r="N223" i="27"/>
  <c r="N224" i="27"/>
  <c r="N221" i="27"/>
  <c r="N222" i="27"/>
  <c r="Q210" i="27"/>
  <c r="Q211" i="27"/>
  <c r="Q209" i="27"/>
  <c r="Q212" i="27"/>
  <c r="Q214" i="27"/>
  <c r="Q217" i="27"/>
  <c r="Q216" i="27"/>
  <c r="Q215" i="27"/>
  <c r="Q219" i="27"/>
  <c r="Q218" i="27"/>
  <c r="Q220" i="27"/>
  <c r="Q223" i="27"/>
  <c r="Q224" i="27"/>
  <c r="Q221" i="27"/>
  <c r="Q222" i="27"/>
  <c r="AQ210" i="27"/>
  <c r="AQ211" i="27"/>
  <c r="AP209" i="27"/>
  <c r="AR209" i="27" s="1"/>
  <c r="AQ212" i="27"/>
  <c r="AQ214" i="27"/>
  <c r="AP217" i="27"/>
  <c r="AR217" i="27" s="1"/>
  <c r="AP216" i="27"/>
  <c r="AR216" i="27" s="1"/>
  <c r="AQ219" i="27"/>
  <c r="AQ218" i="27"/>
  <c r="AQ220" i="27"/>
  <c r="AQ223" i="27"/>
  <c r="AP221" i="27"/>
  <c r="AR221" i="27" s="1"/>
  <c r="AP222" i="27"/>
  <c r="AR222" i="27" s="1"/>
  <c r="AW210" i="27"/>
  <c r="AY210" i="27" s="1"/>
  <c r="AZ210" i="27" s="1"/>
  <c r="AW211" i="27"/>
  <c r="AY211" i="27" s="1"/>
  <c r="AZ211" i="27" s="1"/>
  <c r="AW209" i="27"/>
  <c r="AY209" i="27" s="1"/>
  <c r="AZ209" i="27" s="1"/>
  <c r="AW212" i="27"/>
  <c r="AW214" i="27"/>
  <c r="AW217" i="27"/>
  <c r="AX217" i="27" s="1"/>
  <c r="AW216" i="27"/>
  <c r="AY216" i="27" s="1"/>
  <c r="AZ216" i="27" s="1"/>
  <c r="AW215" i="27"/>
  <c r="AY215" i="27" s="1"/>
  <c r="AZ215" i="27" s="1"/>
  <c r="AW219" i="27"/>
  <c r="AY219" i="27" s="1"/>
  <c r="AZ219" i="27" s="1"/>
  <c r="AW218" i="27"/>
  <c r="AW220" i="27"/>
  <c r="AW223" i="27"/>
  <c r="AW224" i="27"/>
  <c r="AW221" i="27"/>
  <c r="AY221" i="27" s="1"/>
  <c r="AZ221" i="27" s="1"/>
  <c r="AW222" i="27"/>
  <c r="AX222" i="27" s="1"/>
  <c r="BF210" i="27"/>
  <c r="BF211" i="27"/>
  <c r="BF209" i="27"/>
  <c r="BF212" i="27"/>
  <c r="BF214" i="27"/>
  <c r="BF217" i="27"/>
  <c r="BF216" i="27"/>
  <c r="BF215" i="27"/>
  <c r="BF219" i="27"/>
  <c r="BF218" i="27"/>
  <c r="BF220" i="27"/>
  <c r="BF223" i="27"/>
  <c r="BF224" i="27"/>
  <c r="BF221" i="27"/>
  <c r="BF222" i="27"/>
  <c r="BG210" i="27"/>
  <c r="BG211" i="27"/>
  <c r="BG209" i="27"/>
  <c r="BG212" i="27"/>
  <c r="BG214" i="27"/>
  <c r="BG217" i="27"/>
  <c r="BG216" i="27"/>
  <c r="BG215" i="27"/>
  <c r="BG219" i="27"/>
  <c r="BG218" i="27"/>
  <c r="BG220" i="27"/>
  <c r="BG223" i="27"/>
  <c r="BG224" i="27"/>
  <c r="BG221" i="27"/>
  <c r="BG222" i="27"/>
  <c r="BJ210" i="27"/>
  <c r="BJ211" i="27"/>
  <c r="BJ209" i="27"/>
  <c r="BJ212" i="27"/>
  <c r="BJ214" i="27"/>
  <c r="BJ217" i="27"/>
  <c r="BJ216" i="27"/>
  <c r="BJ215" i="27"/>
  <c r="BJ219" i="27"/>
  <c r="BJ218" i="27"/>
  <c r="BJ220" i="27"/>
  <c r="BJ223" i="27"/>
  <c r="BJ224" i="27"/>
  <c r="BJ221" i="27"/>
  <c r="BJ222" i="27"/>
  <c r="BK210" i="27"/>
  <c r="BK211" i="27"/>
  <c r="BK209" i="27"/>
  <c r="BK212" i="27"/>
  <c r="BK214" i="27"/>
  <c r="BK217" i="27"/>
  <c r="BK216" i="27"/>
  <c r="BK215" i="27"/>
  <c r="BK219" i="27"/>
  <c r="BK218" i="27"/>
  <c r="BK220" i="27"/>
  <c r="BK223" i="27"/>
  <c r="BK224" i="27"/>
  <c r="BK221" i="27"/>
  <c r="BK222" i="27"/>
  <c r="K46" i="27"/>
  <c r="BN46" i="27" s="1"/>
  <c r="L46" i="27"/>
  <c r="M46" i="27"/>
  <c r="N46" i="27"/>
  <c r="Q46" i="27"/>
  <c r="AP46" i="27"/>
  <c r="AR46" i="27" s="1"/>
  <c r="AW46" i="27"/>
  <c r="AX46" i="27" s="1"/>
  <c r="BF46" i="27"/>
  <c r="BG46" i="27"/>
  <c r="BJ46" i="27"/>
  <c r="BK46" i="27"/>
  <c r="K124" i="27"/>
  <c r="BQ124" i="27" s="1"/>
  <c r="K125" i="27"/>
  <c r="BN125" i="27" s="1"/>
  <c r="K130" i="27"/>
  <c r="BQ130" i="27" s="1"/>
  <c r="L124" i="27"/>
  <c r="L125" i="27"/>
  <c r="L130" i="27"/>
  <c r="M124" i="27"/>
  <c r="M125" i="27"/>
  <c r="M130" i="27"/>
  <c r="N124" i="27"/>
  <c r="N125" i="27"/>
  <c r="N130" i="27"/>
  <c r="Q124" i="27"/>
  <c r="Q125" i="27"/>
  <c r="Q130" i="27"/>
  <c r="AQ124" i="27"/>
  <c r="AQ125" i="27"/>
  <c r="AP130" i="27"/>
  <c r="AR130" i="27" s="1"/>
  <c r="AW124" i="27"/>
  <c r="AW125" i="27"/>
  <c r="AX125" i="27" s="1"/>
  <c r="AW130" i="27"/>
  <c r="AX130" i="27" s="1"/>
  <c r="BF124" i="27"/>
  <c r="BF125" i="27"/>
  <c r="BF130" i="27"/>
  <c r="BG124" i="27"/>
  <c r="BG125" i="27"/>
  <c r="BG130" i="27"/>
  <c r="BJ124" i="27"/>
  <c r="BJ125" i="27"/>
  <c r="BJ130" i="27"/>
  <c r="BK124" i="27"/>
  <c r="BK125" i="27"/>
  <c r="BK130" i="27"/>
  <c r="K121" i="27"/>
  <c r="BP121" i="27" s="1"/>
  <c r="K122" i="27"/>
  <c r="BP122" i="27" s="1"/>
  <c r="K139" i="27"/>
  <c r="BO139" i="27" s="1"/>
  <c r="K140" i="27"/>
  <c r="BO140" i="27" s="1"/>
  <c r="K127" i="27"/>
  <c r="BO127" i="27" s="1"/>
  <c r="L121" i="27"/>
  <c r="L122" i="27"/>
  <c r="L139" i="27"/>
  <c r="L140" i="27"/>
  <c r="L127" i="27"/>
  <c r="M121" i="27"/>
  <c r="M122" i="27"/>
  <c r="M139" i="27"/>
  <c r="M140" i="27"/>
  <c r="M127" i="27"/>
  <c r="N121" i="27"/>
  <c r="N122" i="27"/>
  <c r="N139" i="27"/>
  <c r="N140" i="27"/>
  <c r="N127" i="27"/>
  <c r="Q121" i="27"/>
  <c r="Q122" i="27"/>
  <c r="Q139" i="27"/>
  <c r="Q140" i="27"/>
  <c r="Q127" i="27"/>
  <c r="AP121" i="27"/>
  <c r="AR121" i="27" s="1"/>
  <c r="AQ122" i="27"/>
  <c r="AQ139" i="27"/>
  <c r="AQ140" i="27"/>
  <c r="AQ127" i="27"/>
  <c r="AW121" i="27"/>
  <c r="AX121" i="27" s="1"/>
  <c r="AW122" i="27"/>
  <c r="AX122" i="27" s="1"/>
  <c r="AW139" i="27"/>
  <c r="AW140" i="27"/>
  <c r="AX140" i="27" s="1"/>
  <c r="AW127" i="27"/>
  <c r="AX127" i="27" s="1"/>
  <c r="BF121" i="27"/>
  <c r="BF122" i="27"/>
  <c r="BF139" i="27"/>
  <c r="BF140" i="27"/>
  <c r="BF127" i="27"/>
  <c r="BG121" i="27"/>
  <c r="BG122" i="27"/>
  <c r="BG139" i="27"/>
  <c r="BG140" i="27"/>
  <c r="BG127" i="27"/>
  <c r="BJ121" i="27"/>
  <c r="BJ122" i="27"/>
  <c r="BJ139" i="27"/>
  <c r="BJ140" i="27"/>
  <c r="BJ127" i="27"/>
  <c r="BK121" i="27"/>
  <c r="BK122" i="27"/>
  <c r="BK139" i="27"/>
  <c r="BK140" i="27"/>
  <c r="BK127" i="27"/>
  <c r="K133" i="27"/>
  <c r="BQ133" i="27" s="1"/>
  <c r="K134" i="27"/>
  <c r="BQ134" i="27" s="1"/>
  <c r="K137" i="27"/>
  <c r="BP137" i="27" s="1"/>
  <c r="K138" i="27"/>
  <c r="BP138" i="27" s="1"/>
  <c r="L133" i="27"/>
  <c r="L134" i="27"/>
  <c r="L137" i="27"/>
  <c r="L138" i="27"/>
  <c r="M133" i="27"/>
  <c r="M134" i="27"/>
  <c r="M137" i="27"/>
  <c r="M138" i="27"/>
  <c r="N133" i="27"/>
  <c r="N134" i="27"/>
  <c r="N137" i="27"/>
  <c r="N138" i="27"/>
  <c r="Q133" i="27"/>
  <c r="Q134" i="27"/>
  <c r="Q137" i="27"/>
  <c r="Q138" i="27"/>
  <c r="AP133" i="27"/>
  <c r="AR133" i="27" s="1"/>
  <c r="AP134" i="27"/>
  <c r="AR134" i="27" s="1"/>
  <c r="AQ137" i="27"/>
  <c r="AQ138" i="27"/>
  <c r="AW133" i="27"/>
  <c r="AX133" i="27" s="1"/>
  <c r="AW134" i="27"/>
  <c r="AX134" i="27" s="1"/>
  <c r="AW137" i="27"/>
  <c r="AY137" i="27" s="1"/>
  <c r="AZ137" i="27" s="1"/>
  <c r="AW138" i="27"/>
  <c r="AY138" i="27" s="1"/>
  <c r="AZ138" i="27" s="1"/>
  <c r="BF133" i="27"/>
  <c r="BF134" i="27"/>
  <c r="BF137" i="27"/>
  <c r="BF138" i="27"/>
  <c r="BG133" i="27"/>
  <c r="BG134" i="27"/>
  <c r="BG137" i="27"/>
  <c r="BG138" i="27"/>
  <c r="BJ133" i="27"/>
  <c r="BJ134" i="27"/>
  <c r="BJ137" i="27"/>
  <c r="BJ138" i="27"/>
  <c r="BK133" i="27"/>
  <c r="BK134" i="27"/>
  <c r="BK137" i="27"/>
  <c r="BK138" i="27"/>
  <c r="K199" i="27"/>
  <c r="BN199" i="27" s="1"/>
  <c r="K190" i="27"/>
  <c r="BP190" i="27" s="1"/>
  <c r="K192" i="27"/>
  <c r="BP192" i="27" s="1"/>
  <c r="K177" i="27"/>
  <c r="BN177" i="27" s="1"/>
  <c r="L199" i="27"/>
  <c r="L190" i="27"/>
  <c r="L192" i="27"/>
  <c r="L177" i="27"/>
  <c r="M199" i="27"/>
  <c r="M190" i="27"/>
  <c r="M192" i="27"/>
  <c r="M177" i="27"/>
  <c r="N199" i="27"/>
  <c r="N190" i="27"/>
  <c r="N192" i="27"/>
  <c r="N177" i="27"/>
  <c r="Q199" i="27"/>
  <c r="Q190" i="27"/>
  <c r="Q192" i="27"/>
  <c r="Q177" i="27"/>
  <c r="AQ199" i="27"/>
  <c r="AP190" i="27"/>
  <c r="AR190" i="27" s="1"/>
  <c r="AP192" i="27"/>
  <c r="AR192" i="27" s="1"/>
  <c r="AQ177" i="27"/>
  <c r="AW199" i="27"/>
  <c r="AY199" i="27" s="1"/>
  <c r="AZ199" i="27" s="1"/>
  <c r="AW190" i="27"/>
  <c r="AX190" i="27" s="1"/>
  <c r="AW192" i="27"/>
  <c r="AX192" i="27" s="1"/>
  <c r="AW177" i="27"/>
  <c r="AY177" i="27" s="1"/>
  <c r="AZ177" i="27" s="1"/>
  <c r="BF199" i="27"/>
  <c r="BF190" i="27"/>
  <c r="BF192" i="27"/>
  <c r="BF177" i="27"/>
  <c r="BG199" i="27"/>
  <c r="BG190" i="27"/>
  <c r="BG192" i="27"/>
  <c r="BG177" i="27"/>
  <c r="BJ199" i="27"/>
  <c r="BJ190" i="27"/>
  <c r="BJ192" i="27"/>
  <c r="BJ177" i="27"/>
  <c r="BK199" i="27"/>
  <c r="BK190" i="27"/>
  <c r="BK192" i="27"/>
  <c r="BK177" i="27"/>
  <c r="K195" i="27"/>
  <c r="BN195" i="27" s="1"/>
  <c r="L195" i="27"/>
  <c r="M195" i="27"/>
  <c r="N195" i="27"/>
  <c r="Q195" i="27"/>
  <c r="AW195" i="27"/>
  <c r="AX195" i="27" s="1"/>
  <c r="BF195" i="27"/>
  <c r="BG195" i="27"/>
  <c r="BJ195" i="27"/>
  <c r="BK195" i="27"/>
  <c r="K194" i="27"/>
  <c r="BP194" i="27" s="1"/>
  <c r="L194" i="27"/>
  <c r="M194" i="27"/>
  <c r="N194" i="27"/>
  <c r="Q194" i="27"/>
  <c r="AP194" i="27"/>
  <c r="AR194" i="27" s="1"/>
  <c r="AW194" i="27"/>
  <c r="AX194" i="27" s="1"/>
  <c r="BF194" i="27"/>
  <c r="BG194" i="27"/>
  <c r="BJ194" i="27"/>
  <c r="BK194" i="27"/>
  <c r="K175" i="27"/>
  <c r="BP175" i="27" s="1"/>
  <c r="L175" i="27"/>
  <c r="M175" i="27"/>
  <c r="N175" i="27"/>
  <c r="AT175" i="27" s="1"/>
  <c r="AV175" i="27" s="1"/>
  <c r="Q175" i="27"/>
  <c r="AP175" i="27"/>
  <c r="AR175" i="27" s="1"/>
  <c r="AW175" i="27"/>
  <c r="AX175" i="27" s="1"/>
  <c r="BF175" i="27"/>
  <c r="BG175" i="27"/>
  <c r="BJ175" i="27"/>
  <c r="BK175" i="27"/>
  <c r="K181" i="27"/>
  <c r="BQ181" i="27" s="1"/>
  <c r="L181" i="27"/>
  <c r="M181" i="27"/>
  <c r="N181" i="27"/>
  <c r="Q181" i="27"/>
  <c r="AP181" i="27"/>
  <c r="AR181" i="27" s="1"/>
  <c r="AW181" i="27"/>
  <c r="AX181" i="27" s="1"/>
  <c r="BF181" i="27"/>
  <c r="BG181" i="27"/>
  <c r="BJ181" i="27"/>
  <c r="BK181" i="27"/>
  <c r="K178" i="27"/>
  <c r="BP178" i="27" s="1"/>
  <c r="L178" i="27"/>
  <c r="M178" i="27"/>
  <c r="N178" i="27"/>
  <c r="Q178" i="27"/>
  <c r="AP178" i="27"/>
  <c r="AR178" i="27" s="1"/>
  <c r="AW178" i="27"/>
  <c r="AX178" i="27" s="1"/>
  <c r="BF178" i="27"/>
  <c r="BG178" i="27"/>
  <c r="BJ178" i="27"/>
  <c r="BK178" i="27"/>
  <c r="K167" i="27"/>
  <c r="BS167" i="27" s="1"/>
  <c r="K171" i="27"/>
  <c r="BQ171" i="27" s="1"/>
  <c r="K172" i="27"/>
  <c r="BS172" i="27" s="1"/>
  <c r="L167" i="27"/>
  <c r="L171" i="27"/>
  <c r="L172" i="27"/>
  <c r="M167" i="27"/>
  <c r="M171" i="27"/>
  <c r="M172" i="27"/>
  <c r="N167" i="27"/>
  <c r="N171" i="27"/>
  <c r="N172" i="27"/>
  <c r="Q167" i="27"/>
  <c r="Q171" i="27"/>
  <c r="Q172" i="27"/>
  <c r="AQ167" i="27"/>
  <c r="AP171" i="27"/>
  <c r="AR171" i="27" s="1"/>
  <c r="AP172" i="27"/>
  <c r="AR172" i="27" s="1"/>
  <c r="AW167" i="27"/>
  <c r="AX167" i="27" s="1"/>
  <c r="AW171" i="27"/>
  <c r="AY171" i="27" s="1"/>
  <c r="AZ171" i="27" s="1"/>
  <c r="AW172" i="27"/>
  <c r="AX172" i="27" s="1"/>
  <c r="BF167" i="27"/>
  <c r="BF171" i="27"/>
  <c r="BF172" i="27"/>
  <c r="BG167" i="27"/>
  <c r="BG171" i="27"/>
  <c r="BG172" i="27"/>
  <c r="BJ167" i="27"/>
  <c r="BJ171" i="27"/>
  <c r="BJ172" i="27"/>
  <c r="BK167" i="27"/>
  <c r="BK171" i="27"/>
  <c r="BK172" i="27"/>
  <c r="K164" i="27"/>
  <c r="BP164" i="27" s="1"/>
  <c r="K168" i="27"/>
  <c r="BQ168" i="27" s="1"/>
  <c r="L164" i="27"/>
  <c r="L168" i="27"/>
  <c r="M164" i="27"/>
  <c r="M168" i="27"/>
  <c r="N164" i="27"/>
  <c r="N168" i="27"/>
  <c r="Q164" i="27"/>
  <c r="Q168" i="27"/>
  <c r="AP164" i="27"/>
  <c r="AR164" i="27" s="1"/>
  <c r="AP168" i="27"/>
  <c r="AR168" i="27" s="1"/>
  <c r="AW164" i="27"/>
  <c r="AX164" i="27" s="1"/>
  <c r="AW168" i="27"/>
  <c r="BF164" i="27"/>
  <c r="BF168" i="27"/>
  <c r="BG164" i="27"/>
  <c r="BG168" i="27"/>
  <c r="BJ164" i="27"/>
  <c r="BJ168" i="27"/>
  <c r="BK164" i="27"/>
  <c r="BK168" i="27"/>
  <c r="K170" i="27"/>
  <c r="BO170" i="27" s="1"/>
  <c r="K165" i="27"/>
  <c r="BP165" i="27" s="1"/>
  <c r="L170" i="27"/>
  <c r="L165" i="27"/>
  <c r="M170" i="27"/>
  <c r="M165" i="27"/>
  <c r="N170" i="27"/>
  <c r="N165" i="27"/>
  <c r="Q170" i="27"/>
  <c r="Q165" i="27"/>
  <c r="AQ170" i="27"/>
  <c r="AP165" i="27"/>
  <c r="AR165" i="27" s="1"/>
  <c r="AW170" i="27"/>
  <c r="AY170" i="27" s="1"/>
  <c r="AZ170" i="27" s="1"/>
  <c r="AW165" i="27"/>
  <c r="AX165" i="27" s="1"/>
  <c r="BF170" i="27"/>
  <c r="BF165" i="27"/>
  <c r="BG170" i="27"/>
  <c r="BG165" i="27"/>
  <c r="BJ170" i="27"/>
  <c r="BJ165" i="27"/>
  <c r="BK170" i="27"/>
  <c r="BK165" i="27"/>
  <c r="K166" i="27"/>
  <c r="BN166" i="27" s="1"/>
  <c r="L166" i="27"/>
  <c r="M166" i="27"/>
  <c r="N166" i="27"/>
  <c r="Q166" i="27"/>
  <c r="AQ166" i="27"/>
  <c r="AW166" i="27"/>
  <c r="AX166" i="27" s="1"/>
  <c r="BF166" i="27"/>
  <c r="BG166" i="27"/>
  <c r="BJ166" i="27"/>
  <c r="BK166" i="27"/>
  <c r="K162" i="27"/>
  <c r="BP162" i="27" s="1"/>
  <c r="L162" i="27"/>
  <c r="M162" i="27"/>
  <c r="N162" i="27"/>
  <c r="Q162" i="27"/>
  <c r="AP162" i="27"/>
  <c r="AR162" i="27" s="1"/>
  <c r="AW162" i="27"/>
  <c r="AX162" i="27" s="1"/>
  <c r="BF162" i="27"/>
  <c r="BG162" i="27"/>
  <c r="BJ162" i="27"/>
  <c r="BK162" i="27"/>
  <c r="K161" i="27"/>
  <c r="BO161" i="27" s="1"/>
  <c r="L161" i="27"/>
  <c r="M161" i="27"/>
  <c r="N161" i="27"/>
  <c r="Q161" i="27"/>
  <c r="AP161" i="27"/>
  <c r="AR161" i="27" s="1"/>
  <c r="AW161" i="27"/>
  <c r="AX161" i="27" s="1"/>
  <c r="BF161" i="27"/>
  <c r="BG161" i="27"/>
  <c r="BJ161" i="27"/>
  <c r="BK161" i="27"/>
  <c r="K158" i="27"/>
  <c r="BO158" i="27" s="1"/>
  <c r="L158" i="27"/>
  <c r="M158" i="27"/>
  <c r="N158" i="27"/>
  <c r="Q158" i="27"/>
  <c r="AP158" i="27"/>
  <c r="AR158" i="27" s="1"/>
  <c r="AW158" i="27"/>
  <c r="BF158" i="27"/>
  <c r="BG158" i="27"/>
  <c r="BJ158" i="27"/>
  <c r="BK158" i="27"/>
  <c r="K153" i="27"/>
  <c r="BP153" i="27" s="1"/>
  <c r="L153" i="27"/>
  <c r="M153" i="27"/>
  <c r="N153" i="27"/>
  <c r="Q153" i="27"/>
  <c r="AP153" i="27"/>
  <c r="AR153" i="27" s="1"/>
  <c r="AW153" i="27"/>
  <c r="AX153" i="27" s="1"/>
  <c r="BF153" i="27"/>
  <c r="BG153" i="27"/>
  <c r="BJ153" i="27"/>
  <c r="BK153" i="27"/>
  <c r="K150" i="27"/>
  <c r="BO150" i="27" s="1"/>
  <c r="L150" i="27"/>
  <c r="M150" i="27"/>
  <c r="N150" i="27"/>
  <c r="Q150" i="27"/>
  <c r="AW150" i="27"/>
  <c r="AY150" i="27" s="1"/>
  <c r="AZ150" i="27" s="1"/>
  <c r="BF150" i="27"/>
  <c r="BG150" i="27"/>
  <c r="BJ150" i="27"/>
  <c r="BK150" i="27"/>
  <c r="K147" i="27"/>
  <c r="BO147" i="27" s="1"/>
  <c r="K149" i="27"/>
  <c r="BN149" i="27" s="1"/>
  <c r="L147" i="27"/>
  <c r="L149" i="27"/>
  <c r="M147" i="27"/>
  <c r="M149" i="27"/>
  <c r="N147" i="27"/>
  <c r="N149" i="27"/>
  <c r="Q147" i="27"/>
  <c r="Q149" i="27"/>
  <c r="AQ147" i="27"/>
  <c r="AP149" i="27"/>
  <c r="AR149" i="27" s="1"/>
  <c r="AW147" i="27"/>
  <c r="AY147" i="27" s="1"/>
  <c r="AZ147" i="27" s="1"/>
  <c r="AW149" i="27"/>
  <c r="AX149" i="27" s="1"/>
  <c r="BF147" i="27"/>
  <c r="BF149" i="27"/>
  <c r="BG147" i="27"/>
  <c r="BG149" i="27"/>
  <c r="BJ147" i="27"/>
  <c r="BJ149" i="27"/>
  <c r="BK147" i="27"/>
  <c r="BK149" i="27"/>
  <c r="K145" i="27"/>
  <c r="BN145" i="27" s="1"/>
  <c r="K146" i="27"/>
  <c r="BN146" i="27" s="1"/>
  <c r="L145" i="27"/>
  <c r="L146" i="27"/>
  <c r="M145" i="27"/>
  <c r="M146" i="27"/>
  <c r="N145" i="27"/>
  <c r="N146" i="27"/>
  <c r="Q145" i="27"/>
  <c r="Q146" i="27"/>
  <c r="AQ145" i="27"/>
  <c r="AQ146" i="27"/>
  <c r="AW145" i="27"/>
  <c r="AX145" i="27" s="1"/>
  <c r="AW146" i="27"/>
  <c r="AY146" i="27" s="1"/>
  <c r="AZ146" i="27" s="1"/>
  <c r="BF145" i="27"/>
  <c r="BF146" i="27"/>
  <c r="BG145" i="27"/>
  <c r="BG146" i="27"/>
  <c r="BJ145" i="27"/>
  <c r="BJ146" i="27"/>
  <c r="BK145" i="27"/>
  <c r="BK146" i="27"/>
  <c r="K141" i="27"/>
  <c r="BO141" i="27" s="1"/>
  <c r="K142" i="27"/>
  <c r="BS142" i="27" s="1"/>
  <c r="L141" i="27"/>
  <c r="L142" i="27"/>
  <c r="M141" i="27"/>
  <c r="M142" i="27"/>
  <c r="N141" i="27"/>
  <c r="N142" i="27"/>
  <c r="Q141" i="27"/>
  <c r="Q142" i="27"/>
  <c r="AP141" i="27"/>
  <c r="AR141" i="27" s="1"/>
  <c r="AW141" i="27"/>
  <c r="AX141" i="27" s="1"/>
  <c r="AW142" i="27"/>
  <c r="AX142" i="27" s="1"/>
  <c r="BF141" i="27"/>
  <c r="BF142" i="27"/>
  <c r="BG141" i="27"/>
  <c r="BG142" i="27"/>
  <c r="BJ141" i="27"/>
  <c r="BJ142" i="27"/>
  <c r="BK141" i="27"/>
  <c r="BK142" i="27"/>
  <c r="K185" i="27"/>
  <c r="BQ185" i="27" s="1"/>
  <c r="K186" i="27"/>
  <c r="BQ186" i="27" s="1"/>
  <c r="K187" i="27"/>
  <c r="BS187" i="27" s="1"/>
  <c r="L185" i="27"/>
  <c r="L186" i="27"/>
  <c r="L187" i="27"/>
  <c r="M185" i="27"/>
  <c r="M186" i="27"/>
  <c r="M187" i="27"/>
  <c r="N185" i="27"/>
  <c r="N186" i="27"/>
  <c r="N187" i="27"/>
  <c r="Q185" i="27"/>
  <c r="Q186" i="27"/>
  <c r="Q187" i="27"/>
  <c r="AQ185" i="27"/>
  <c r="AP187" i="27"/>
  <c r="AR187" i="27" s="1"/>
  <c r="AT187" i="27"/>
  <c r="AV187" i="27" s="1"/>
  <c r="AW185" i="27"/>
  <c r="AW186" i="27"/>
  <c r="AX186" i="27" s="1"/>
  <c r="AW187" i="27"/>
  <c r="AX187" i="27" s="1"/>
  <c r="BF185" i="27"/>
  <c r="BF186" i="27"/>
  <c r="BF187" i="27"/>
  <c r="BG185" i="27"/>
  <c r="BG186" i="27"/>
  <c r="BG187" i="27"/>
  <c r="BJ185" i="27"/>
  <c r="BJ186" i="27"/>
  <c r="BJ187" i="27"/>
  <c r="BK185" i="27"/>
  <c r="BK186" i="27"/>
  <c r="BK187" i="27"/>
  <c r="K120" i="27"/>
  <c r="BN120" i="27" s="1"/>
  <c r="L120" i="27"/>
  <c r="M120" i="27"/>
  <c r="N120" i="27"/>
  <c r="Q120" i="27"/>
  <c r="AP120" i="27"/>
  <c r="AR120" i="27" s="1"/>
  <c r="AW120" i="27"/>
  <c r="AX120" i="27" s="1"/>
  <c r="BF120" i="27"/>
  <c r="BG120" i="27"/>
  <c r="BJ120" i="27"/>
  <c r="BK120" i="27"/>
  <c r="K115" i="27"/>
  <c r="BQ115" i="27" s="1"/>
  <c r="K118" i="27"/>
  <c r="BP118" i="27" s="1"/>
  <c r="K119" i="27"/>
  <c r="BP119" i="27" s="1"/>
  <c r="L115" i="27"/>
  <c r="L118" i="27"/>
  <c r="L119" i="27"/>
  <c r="M115" i="27"/>
  <c r="M118" i="27"/>
  <c r="M119" i="27"/>
  <c r="N115" i="27"/>
  <c r="N118" i="27"/>
  <c r="N119" i="27"/>
  <c r="Q115" i="27"/>
  <c r="Q118" i="27"/>
  <c r="Q119" i="27"/>
  <c r="AP115" i="27"/>
  <c r="AR115" i="27" s="1"/>
  <c r="AP118" i="27"/>
  <c r="AR118" i="27" s="1"/>
  <c r="AP119" i="27"/>
  <c r="AR119" i="27" s="1"/>
  <c r="AW115" i="27"/>
  <c r="AW118" i="27"/>
  <c r="AY118" i="27" s="1"/>
  <c r="AZ118" i="27" s="1"/>
  <c r="AW119" i="27"/>
  <c r="BF115" i="27"/>
  <c r="BF118" i="27"/>
  <c r="BF119" i="27"/>
  <c r="BG115" i="27"/>
  <c r="BG118" i="27"/>
  <c r="BG119" i="27"/>
  <c r="BJ115" i="27"/>
  <c r="BJ118" i="27"/>
  <c r="BJ119" i="27"/>
  <c r="BK115" i="27"/>
  <c r="BK118" i="27"/>
  <c r="BK119" i="27"/>
  <c r="K116" i="27"/>
  <c r="BO116" i="27" s="1"/>
  <c r="L116" i="27"/>
  <c r="M116" i="27"/>
  <c r="N116" i="27"/>
  <c r="Q116" i="27"/>
  <c r="AP116" i="27"/>
  <c r="AR116" i="27" s="1"/>
  <c r="AW116" i="27"/>
  <c r="AX116" i="27" s="1"/>
  <c r="BF116" i="27"/>
  <c r="BG116" i="27"/>
  <c r="BJ116" i="27"/>
  <c r="BK116" i="27"/>
  <c r="K55" i="27"/>
  <c r="BQ55" i="27" s="1"/>
  <c r="L55" i="27"/>
  <c r="M55" i="27"/>
  <c r="N55" i="27"/>
  <c r="Q55" i="27"/>
  <c r="AP55" i="27"/>
  <c r="AR55" i="27" s="1"/>
  <c r="AW55" i="27"/>
  <c r="AX55" i="27" s="1"/>
  <c r="BF55" i="27"/>
  <c r="BG55" i="27"/>
  <c r="BJ55" i="27"/>
  <c r="BK55" i="27"/>
  <c r="K56" i="27"/>
  <c r="BO56" i="27" s="1"/>
  <c r="L56" i="27"/>
  <c r="M56" i="27"/>
  <c r="N56" i="27"/>
  <c r="Q56" i="27"/>
  <c r="AP56" i="27"/>
  <c r="AR56" i="27" s="1"/>
  <c r="AW56" i="27"/>
  <c r="AX56" i="27" s="1"/>
  <c r="BF56" i="27"/>
  <c r="BG56" i="27"/>
  <c r="BJ56" i="27"/>
  <c r="BK56" i="27"/>
  <c r="K66" i="27"/>
  <c r="BN66" i="27" s="1"/>
  <c r="K67" i="27"/>
  <c r="BQ67" i="27" s="1"/>
  <c r="K65" i="27"/>
  <c r="BP65" i="27" s="1"/>
  <c r="K70" i="27"/>
  <c r="BS70" i="27" s="1"/>
  <c r="K71" i="27"/>
  <c r="BQ71" i="27" s="1"/>
  <c r="K72" i="27"/>
  <c r="BN72" i="27" s="1"/>
  <c r="K73" i="27"/>
  <c r="BS73" i="27" s="1"/>
  <c r="K90" i="27"/>
  <c r="BO90" i="27" s="1"/>
  <c r="K74" i="27"/>
  <c r="BP74" i="27" s="1"/>
  <c r="L66" i="27"/>
  <c r="L67" i="27"/>
  <c r="L65" i="27"/>
  <c r="L70" i="27"/>
  <c r="L71" i="27"/>
  <c r="L72" i="27"/>
  <c r="L73" i="27"/>
  <c r="L90" i="27"/>
  <c r="L74" i="27"/>
  <c r="M66" i="27"/>
  <c r="M67" i="27"/>
  <c r="M65" i="27"/>
  <c r="M70" i="27"/>
  <c r="M71" i="27"/>
  <c r="M72" i="27"/>
  <c r="M73" i="27"/>
  <c r="M90" i="27"/>
  <c r="M74" i="27"/>
  <c r="N66" i="27"/>
  <c r="N67" i="27"/>
  <c r="N65" i="27"/>
  <c r="N70" i="27"/>
  <c r="AU70" i="27" s="1"/>
  <c r="N71" i="27"/>
  <c r="N72" i="27"/>
  <c r="N73" i="27"/>
  <c r="N90" i="27"/>
  <c r="N74" i="27"/>
  <c r="Q66" i="27"/>
  <c r="Q67" i="27"/>
  <c r="Q65" i="27"/>
  <c r="Q70" i="27"/>
  <c r="Q71" i="27"/>
  <c r="Q72" i="27"/>
  <c r="Q73" i="27"/>
  <c r="Q90" i="27"/>
  <c r="Q74" i="27"/>
  <c r="AQ66" i="27"/>
  <c r="AQ67" i="27"/>
  <c r="AQ65" i="27"/>
  <c r="AP70" i="27"/>
  <c r="AR70" i="27" s="1"/>
  <c r="AP71" i="27"/>
  <c r="AR71" i="27" s="1"/>
  <c r="AQ72" i="27"/>
  <c r="AP73" i="27"/>
  <c r="AR73" i="27" s="1"/>
  <c r="AQ90" i="27"/>
  <c r="AP74" i="27"/>
  <c r="AR74" i="27" s="1"/>
  <c r="AW66" i="27"/>
  <c r="AX66" i="27" s="1"/>
  <c r="AW67" i="27"/>
  <c r="AY67" i="27" s="1"/>
  <c r="AZ67" i="27" s="1"/>
  <c r="AW65" i="27"/>
  <c r="AX65" i="27" s="1"/>
  <c r="AW70" i="27"/>
  <c r="AX70" i="27" s="1"/>
  <c r="AW71" i="27"/>
  <c r="AW72" i="27"/>
  <c r="AY72" i="27" s="1"/>
  <c r="AZ72" i="27" s="1"/>
  <c r="AW73" i="27"/>
  <c r="AY73" i="27" s="1"/>
  <c r="AZ73" i="27" s="1"/>
  <c r="AW90" i="27"/>
  <c r="AW74" i="27"/>
  <c r="AY74" i="27" s="1"/>
  <c r="AZ74" i="27" s="1"/>
  <c r="BF66" i="27"/>
  <c r="BF67" i="27"/>
  <c r="BF65" i="27"/>
  <c r="BF70" i="27"/>
  <c r="BF71" i="27"/>
  <c r="BF72" i="27"/>
  <c r="BF73" i="27"/>
  <c r="BF90" i="27"/>
  <c r="BF74" i="27"/>
  <c r="BG66" i="27"/>
  <c r="BG67" i="27"/>
  <c r="BG65" i="27"/>
  <c r="BG70" i="27"/>
  <c r="BG71" i="27"/>
  <c r="BG72" i="27"/>
  <c r="BG73" i="27"/>
  <c r="BG90" i="27"/>
  <c r="BG74" i="27"/>
  <c r="BJ66" i="27"/>
  <c r="BJ67" i="27"/>
  <c r="BJ65" i="27"/>
  <c r="BJ70" i="27"/>
  <c r="BJ71" i="27"/>
  <c r="BJ72" i="27"/>
  <c r="BJ73" i="27"/>
  <c r="BJ90" i="27"/>
  <c r="BJ74" i="27"/>
  <c r="BK66" i="27"/>
  <c r="BK67" i="27"/>
  <c r="BK65" i="27"/>
  <c r="BK70" i="27"/>
  <c r="BK71" i="27"/>
  <c r="BK72" i="27"/>
  <c r="BK73" i="27"/>
  <c r="BK90" i="27"/>
  <c r="BK74" i="27"/>
  <c r="K63" i="27"/>
  <c r="BO63" i="27" s="1"/>
  <c r="K64" i="27"/>
  <c r="BQ64" i="27" s="1"/>
  <c r="K62" i="27"/>
  <c r="BS62" i="27" s="1"/>
  <c r="L63" i="27"/>
  <c r="L64" i="27"/>
  <c r="L62" i="27"/>
  <c r="M63" i="27"/>
  <c r="M64" i="27"/>
  <c r="M62" i="27"/>
  <c r="N63" i="27"/>
  <c r="N64" i="27"/>
  <c r="N62" i="27"/>
  <c r="Q63" i="27"/>
  <c r="Q64" i="27"/>
  <c r="Q62" i="27"/>
  <c r="AQ63" i="27"/>
  <c r="AP64" i="27"/>
  <c r="AR64" i="27" s="1"/>
  <c r="AQ62" i="27"/>
  <c r="AW63" i="27"/>
  <c r="AW64" i="27"/>
  <c r="AX64" i="27" s="1"/>
  <c r="AW62" i="27"/>
  <c r="AX62" i="27" s="1"/>
  <c r="BF63" i="27"/>
  <c r="BF64" i="27"/>
  <c r="BF62" i="27"/>
  <c r="BG63" i="27"/>
  <c r="BG64" i="27"/>
  <c r="BG62" i="27"/>
  <c r="BJ63" i="27"/>
  <c r="BJ64" i="27"/>
  <c r="BJ62" i="27"/>
  <c r="BK63" i="27"/>
  <c r="BK64" i="27"/>
  <c r="BK62" i="27"/>
  <c r="K61" i="27"/>
  <c r="BN61" i="27" s="1"/>
  <c r="K60" i="27"/>
  <c r="BO60" i="27" s="1"/>
  <c r="L61" i="27"/>
  <c r="L60" i="27"/>
  <c r="M61" i="27"/>
  <c r="M60" i="27"/>
  <c r="N61" i="27"/>
  <c r="N60" i="27"/>
  <c r="Q61" i="27"/>
  <c r="Q60" i="27"/>
  <c r="AP60" i="27"/>
  <c r="AR60" i="27" s="1"/>
  <c r="AW61" i="27"/>
  <c r="AX61" i="27" s="1"/>
  <c r="AW60" i="27"/>
  <c r="AX60" i="27" s="1"/>
  <c r="BF61" i="27"/>
  <c r="BF60" i="27"/>
  <c r="BG61" i="27"/>
  <c r="BG60" i="27"/>
  <c r="BJ61" i="27"/>
  <c r="BJ60" i="27"/>
  <c r="BK61" i="27"/>
  <c r="BK60" i="27"/>
  <c r="K114" i="27"/>
  <c r="BP114" i="27" s="1"/>
  <c r="K113" i="27"/>
  <c r="BO113" i="27" s="1"/>
  <c r="L114" i="27"/>
  <c r="L113" i="27"/>
  <c r="M114" i="27"/>
  <c r="M113" i="27"/>
  <c r="N114" i="27"/>
  <c r="N113" i="27"/>
  <c r="Q114" i="27"/>
  <c r="Q113" i="27"/>
  <c r="AP114" i="27"/>
  <c r="AR114" i="27" s="1"/>
  <c r="AP113" i="27"/>
  <c r="AR113" i="27" s="1"/>
  <c r="AW114" i="27"/>
  <c r="AX114" i="27" s="1"/>
  <c r="AW113" i="27"/>
  <c r="AX113" i="27" s="1"/>
  <c r="BF114" i="27"/>
  <c r="BF113" i="27"/>
  <c r="BG114" i="27"/>
  <c r="BG113" i="27"/>
  <c r="BJ114" i="27"/>
  <c r="BJ113" i="27"/>
  <c r="BK114" i="27"/>
  <c r="BK113" i="27"/>
  <c r="K108" i="27"/>
  <c r="BO108" i="27" s="1"/>
  <c r="K107" i="27"/>
  <c r="BS107" i="27" s="1"/>
  <c r="K106" i="27"/>
  <c r="BQ106" i="27" s="1"/>
  <c r="K112" i="27"/>
  <c r="BQ112" i="27" s="1"/>
  <c r="K111" i="27"/>
  <c r="BN111" i="27" s="1"/>
  <c r="K110" i="27"/>
  <c r="BN110" i="27" s="1"/>
  <c r="L108" i="27"/>
  <c r="L107" i="27"/>
  <c r="L106" i="27"/>
  <c r="L112" i="27"/>
  <c r="L111" i="27"/>
  <c r="L110" i="27"/>
  <c r="M108" i="27"/>
  <c r="M107" i="27"/>
  <c r="M106" i="27"/>
  <c r="M112" i="27"/>
  <c r="M111" i="27"/>
  <c r="M110" i="27"/>
  <c r="N108" i="27"/>
  <c r="N107" i="27"/>
  <c r="N106" i="27"/>
  <c r="N112" i="27"/>
  <c r="N111" i="27"/>
  <c r="N110" i="27"/>
  <c r="Q108" i="27"/>
  <c r="Q107" i="27"/>
  <c r="Q106" i="27"/>
  <c r="Q112" i="27"/>
  <c r="Q111" i="27"/>
  <c r="Q110" i="27"/>
  <c r="AQ108" i="27"/>
  <c r="AP106" i="27"/>
  <c r="AR106" i="27" s="1"/>
  <c r="AP111" i="27"/>
  <c r="AR111" i="27" s="1"/>
  <c r="AW108" i="27"/>
  <c r="AY108" i="27" s="1"/>
  <c r="AZ108" i="27" s="1"/>
  <c r="AW107" i="27"/>
  <c r="AY107" i="27" s="1"/>
  <c r="AZ107" i="27" s="1"/>
  <c r="AW106" i="27"/>
  <c r="AW112" i="27"/>
  <c r="AX112" i="27" s="1"/>
  <c r="AW111" i="27"/>
  <c r="AX111" i="27" s="1"/>
  <c r="AW110" i="27"/>
  <c r="AX110" i="27" s="1"/>
  <c r="BF108" i="27"/>
  <c r="BF107" i="27"/>
  <c r="BF106" i="27"/>
  <c r="BF112" i="27"/>
  <c r="BF111" i="27"/>
  <c r="BF110" i="27"/>
  <c r="BG108" i="27"/>
  <c r="BG107" i="27"/>
  <c r="BG106" i="27"/>
  <c r="BG112" i="27"/>
  <c r="BG111" i="27"/>
  <c r="BG110" i="27"/>
  <c r="BJ108" i="27"/>
  <c r="BJ107" i="27"/>
  <c r="BJ106" i="27"/>
  <c r="BJ112" i="27"/>
  <c r="BJ111" i="27"/>
  <c r="BJ110" i="27"/>
  <c r="BK108" i="27"/>
  <c r="BK107" i="27"/>
  <c r="BK106" i="27"/>
  <c r="BK112" i="27"/>
  <c r="BK111" i="27"/>
  <c r="BK110" i="27"/>
  <c r="K57" i="27"/>
  <c r="BO57" i="27" s="1"/>
  <c r="L57" i="27"/>
  <c r="M57" i="27"/>
  <c r="N57" i="27"/>
  <c r="Q57" i="27"/>
  <c r="AP57" i="27"/>
  <c r="AR57" i="27" s="1"/>
  <c r="AW57" i="27"/>
  <c r="AX57" i="27" s="1"/>
  <c r="BF57" i="27"/>
  <c r="BG57" i="27"/>
  <c r="BJ57" i="27"/>
  <c r="BK57" i="27"/>
  <c r="K105" i="27"/>
  <c r="BP105" i="27" s="1"/>
  <c r="K51" i="27"/>
  <c r="K50" i="27"/>
  <c r="K53" i="27"/>
  <c r="BQ53" i="27" s="1"/>
  <c r="K52" i="27"/>
  <c r="BP52" i="27" s="1"/>
  <c r="K54" i="27"/>
  <c r="BP54" i="27" s="1"/>
  <c r="K58" i="27"/>
  <c r="BN58" i="27" s="1"/>
  <c r="L105" i="27"/>
  <c r="L51" i="27"/>
  <c r="L50" i="27"/>
  <c r="L53" i="27"/>
  <c r="L52" i="27"/>
  <c r="L54" i="27"/>
  <c r="L58" i="27"/>
  <c r="M105" i="27"/>
  <c r="M51" i="27"/>
  <c r="M50" i="27"/>
  <c r="M53" i="27"/>
  <c r="M52" i="27"/>
  <c r="M54" i="27"/>
  <c r="M58" i="27"/>
  <c r="N105" i="27"/>
  <c r="N51" i="27"/>
  <c r="AT51" i="27" s="1"/>
  <c r="AV51" i="27" s="1"/>
  <c r="N50" i="27"/>
  <c r="N53" i="27"/>
  <c r="AT53" i="27" s="1"/>
  <c r="AV53" i="27" s="1"/>
  <c r="N52" i="27"/>
  <c r="N54" i="27"/>
  <c r="N58" i="27"/>
  <c r="Q105" i="27"/>
  <c r="Q51" i="27"/>
  <c r="Q50" i="27"/>
  <c r="Q53" i="27"/>
  <c r="Q52" i="27"/>
  <c r="Q54" i="27"/>
  <c r="Q58" i="27"/>
  <c r="AQ105" i="27"/>
  <c r="AP51" i="27"/>
  <c r="AR51" i="27" s="1"/>
  <c r="AQ50" i="27"/>
  <c r="AP53" i="27"/>
  <c r="AR53" i="27" s="1"/>
  <c r="AQ52" i="27"/>
  <c r="AQ54" i="27"/>
  <c r="AP58" i="27"/>
  <c r="AR58" i="27" s="1"/>
  <c r="AW105" i="27"/>
  <c r="AY105" i="27" s="1"/>
  <c r="AZ105" i="27" s="1"/>
  <c r="AW51" i="27"/>
  <c r="AW50" i="27"/>
  <c r="AY50" i="27" s="1"/>
  <c r="AZ50" i="27" s="1"/>
  <c r="AW53" i="27"/>
  <c r="AX53" i="27" s="1"/>
  <c r="AW52" i="27"/>
  <c r="AY52" i="27" s="1"/>
  <c r="AZ52" i="27" s="1"/>
  <c r="AW54" i="27"/>
  <c r="AX54" i="27" s="1"/>
  <c r="AW58" i="27"/>
  <c r="AX58" i="27" s="1"/>
  <c r="BF105" i="27"/>
  <c r="BF51" i="27"/>
  <c r="BF50" i="27"/>
  <c r="BF53" i="27"/>
  <c r="BF52" i="27"/>
  <c r="BF54" i="27"/>
  <c r="BF58" i="27"/>
  <c r="BG105" i="27"/>
  <c r="BG51" i="27"/>
  <c r="BG50" i="27"/>
  <c r="BG53" i="27"/>
  <c r="BG52" i="27"/>
  <c r="BG54" i="27"/>
  <c r="BG58" i="27"/>
  <c r="BJ105" i="27"/>
  <c r="BJ51" i="27"/>
  <c r="BJ50" i="27"/>
  <c r="BJ53" i="27"/>
  <c r="BJ52" i="27"/>
  <c r="BJ54" i="27"/>
  <c r="BJ58" i="27"/>
  <c r="BK105" i="27"/>
  <c r="BK51" i="27"/>
  <c r="BK50" i="27"/>
  <c r="BK53" i="27"/>
  <c r="BK52" i="27"/>
  <c r="BK54" i="27"/>
  <c r="BK58" i="27"/>
  <c r="K102" i="27"/>
  <c r="BP102" i="27" s="1"/>
  <c r="L102" i="27"/>
  <c r="M102" i="27"/>
  <c r="N102" i="27"/>
  <c r="Q102" i="27"/>
  <c r="AP102" i="27"/>
  <c r="AR102" i="27" s="1"/>
  <c r="AW102" i="27"/>
  <c r="BF102" i="27"/>
  <c r="BG102" i="27"/>
  <c r="BJ102" i="27"/>
  <c r="BK102" i="27"/>
  <c r="K103" i="27"/>
  <c r="BP103" i="27" s="1"/>
  <c r="L103" i="27"/>
  <c r="M103" i="27"/>
  <c r="N103" i="27"/>
  <c r="Q103" i="27"/>
  <c r="AP103" i="27"/>
  <c r="AR103" i="27" s="1"/>
  <c r="AW103" i="27"/>
  <c r="AX103" i="27" s="1"/>
  <c r="BF103" i="27"/>
  <c r="BG103" i="27"/>
  <c r="BJ103" i="27"/>
  <c r="BK103" i="27"/>
  <c r="K100" i="27"/>
  <c r="BP100" i="27" s="1"/>
  <c r="K99" i="27"/>
  <c r="L100" i="27"/>
  <c r="L99" i="27"/>
  <c r="M100" i="27"/>
  <c r="M99" i="27"/>
  <c r="N100" i="27"/>
  <c r="N99" i="27"/>
  <c r="Q100" i="27"/>
  <c r="Q99" i="27"/>
  <c r="AP100" i="27"/>
  <c r="AR100" i="27" s="1"/>
  <c r="AP99" i="27"/>
  <c r="AR99" i="27" s="1"/>
  <c r="AW100" i="27"/>
  <c r="AX100" i="27" s="1"/>
  <c r="AW99" i="27"/>
  <c r="BF100" i="27"/>
  <c r="BF99" i="27"/>
  <c r="BG100" i="27"/>
  <c r="BG99" i="27"/>
  <c r="BJ100" i="27"/>
  <c r="BJ99" i="27"/>
  <c r="BK100" i="27"/>
  <c r="BK99" i="27"/>
  <c r="K96" i="27"/>
  <c r="K95" i="27"/>
  <c r="L96" i="27"/>
  <c r="L95" i="27"/>
  <c r="M96" i="27"/>
  <c r="M95" i="27"/>
  <c r="N96" i="27"/>
  <c r="N95" i="27"/>
  <c r="Q96" i="27"/>
  <c r="Q95" i="27"/>
  <c r="AP96" i="27"/>
  <c r="AR96" i="27" s="1"/>
  <c r="AP95" i="27"/>
  <c r="AR95" i="27" s="1"/>
  <c r="AW96" i="27"/>
  <c r="AX96" i="27" s="1"/>
  <c r="AW95" i="27"/>
  <c r="AX95" i="27" s="1"/>
  <c r="BF96" i="27"/>
  <c r="BF95" i="27"/>
  <c r="BG96" i="27"/>
  <c r="BG95" i="27"/>
  <c r="BJ96" i="27"/>
  <c r="BJ95" i="27"/>
  <c r="BK96" i="27"/>
  <c r="BK95" i="27"/>
  <c r="K92" i="27"/>
  <c r="BN92" i="27" s="1"/>
  <c r="K91" i="27"/>
  <c r="BP91" i="27" s="1"/>
  <c r="L92" i="27"/>
  <c r="L91" i="27"/>
  <c r="M92" i="27"/>
  <c r="M91" i="27"/>
  <c r="N92" i="27"/>
  <c r="N91" i="27"/>
  <c r="Q92" i="27"/>
  <c r="Q91" i="27"/>
  <c r="AP92" i="27"/>
  <c r="AR92" i="27" s="1"/>
  <c r="AP91" i="27"/>
  <c r="AR91" i="27" s="1"/>
  <c r="AW92" i="27"/>
  <c r="AW91" i="27"/>
  <c r="AX91" i="27" s="1"/>
  <c r="BF92" i="27"/>
  <c r="BF91" i="27"/>
  <c r="BG92" i="27"/>
  <c r="BG91" i="27"/>
  <c r="BJ92" i="27"/>
  <c r="BJ91" i="27"/>
  <c r="BK92" i="27"/>
  <c r="BK91" i="27"/>
  <c r="K88" i="27"/>
  <c r="BN88" i="27" s="1"/>
  <c r="L88" i="27"/>
  <c r="M88" i="27"/>
  <c r="N88" i="27"/>
  <c r="Q88" i="27"/>
  <c r="AP88" i="27"/>
  <c r="AR88" i="27" s="1"/>
  <c r="AW88" i="27"/>
  <c r="AX88" i="27" s="1"/>
  <c r="BF88" i="27"/>
  <c r="BG88" i="27"/>
  <c r="BJ88" i="27"/>
  <c r="BK88" i="27"/>
  <c r="K89" i="27"/>
  <c r="BO89" i="27" s="1"/>
  <c r="L89" i="27"/>
  <c r="M89" i="27"/>
  <c r="N89" i="27"/>
  <c r="Q89" i="27"/>
  <c r="AP89" i="27"/>
  <c r="AR89" i="27" s="1"/>
  <c r="AW89" i="27"/>
  <c r="AX89" i="27" s="1"/>
  <c r="BF89" i="27"/>
  <c r="BG89" i="27"/>
  <c r="BJ89" i="27"/>
  <c r="BK89" i="27"/>
  <c r="K86" i="27"/>
  <c r="BQ86" i="27" s="1"/>
  <c r="L86" i="27"/>
  <c r="M86" i="27"/>
  <c r="N86" i="27"/>
  <c r="Q86" i="27"/>
  <c r="AP86" i="27"/>
  <c r="AR86" i="27" s="1"/>
  <c r="AW86" i="27"/>
  <c r="BF86" i="27"/>
  <c r="BG86" i="27"/>
  <c r="BJ86" i="27"/>
  <c r="BK86" i="27"/>
  <c r="K80" i="27"/>
  <c r="BO80" i="27" s="1"/>
  <c r="K82" i="27"/>
  <c r="BO82" i="27" s="1"/>
  <c r="L80" i="27"/>
  <c r="L82" i="27"/>
  <c r="M80" i="27"/>
  <c r="M82" i="27"/>
  <c r="N80" i="27"/>
  <c r="N82" i="27"/>
  <c r="Q80" i="27"/>
  <c r="Q82" i="27"/>
  <c r="AP80" i="27"/>
  <c r="AR80" i="27" s="1"/>
  <c r="AP82" i="27"/>
  <c r="AR82" i="27" s="1"/>
  <c r="AW80" i="27"/>
  <c r="AX80" i="27" s="1"/>
  <c r="AW82" i="27"/>
  <c r="BF80" i="27"/>
  <c r="BF82" i="27"/>
  <c r="BG80" i="27"/>
  <c r="BG82" i="27"/>
  <c r="BJ80" i="27"/>
  <c r="BJ82" i="27"/>
  <c r="BK80" i="27"/>
  <c r="BK82" i="27"/>
  <c r="K76" i="27"/>
  <c r="BP76" i="27" s="1"/>
  <c r="K75" i="27"/>
  <c r="BN75" i="27" s="1"/>
  <c r="L76" i="27"/>
  <c r="L75" i="27"/>
  <c r="M76" i="27"/>
  <c r="M75" i="27"/>
  <c r="N76" i="27"/>
  <c r="N75" i="27"/>
  <c r="Q76" i="27"/>
  <c r="Q75" i="27"/>
  <c r="AP76" i="27"/>
  <c r="AR76" i="27" s="1"/>
  <c r="AP75" i="27"/>
  <c r="AR75" i="27" s="1"/>
  <c r="AW76" i="27"/>
  <c r="AY76" i="27" s="1"/>
  <c r="AZ76" i="27" s="1"/>
  <c r="AW75" i="27"/>
  <c r="AX75" i="27" s="1"/>
  <c r="BF76" i="27"/>
  <c r="BF75" i="27"/>
  <c r="BG76" i="27"/>
  <c r="BG75" i="27"/>
  <c r="BJ76" i="27"/>
  <c r="BJ75" i="27"/>
  <c r="BK76" i="27"/>
  <c r="BK75" i="27"/>
  <c r="K42" i="27"/>
  <c r="BQ42" i="27" s="1"/>
  <c r="K43" i="27"/>
  <c r="BP43" i="27" s="1"/>
  <c r="L42" i="27"/>
  <c r="L43" i="27"/>
  <c r="M42" i="27"/>
  <c r="M43" i="27"/>
  <c r="N42" i="27"/>
  <c r="N43" i="27"/>
  <c r="Q42" i="27"/>
  <c r="Q43" i="27"/>
  <c r="AP42" i="27"/>
  <c r="AR42" i="27" s="1"/>
  <c r="AP43" i="27"/>
  <c r="AR43" i="27" s="1"/>
  <c r="AW42" i="27"/>
  <c r="AY42" i="27" s="1"/>
  <c r="AZ42" i="27" s="1"/>
  <c r="AW43" i="27"/>
  <c r="AX43" i="27" s="1"/>
  <c r="BF42" i="27"/>
  <c r="BF43" i="27"/>
  <c r="BG42" i="27"/>
  <c r="BG43" i="27"/>
  <c r="BJ42" i="27"/>
  <c r="BJ43" i="27"/>
  <c r="BK42" i="27"/>
  <c r="BK43" i="27"/>
  <c r="K44" i="27"/>
  <c r="BO44" i="27" s="1"/>
  <c r="L44" i="27"/>
  <c r="M44" i="27"/>
  <c r="N44" i="27"/>
  <c r="Q44" i="27"/>
  <c r="AQ44" i="27"/>
  <c r="AW44" i="27"/>
  <c r="AX44" i="27" s="1"/>
  <c r="BF44" i="27"/>
  <c r="BG44" i="27"/>
  <c r="BJ44" i="27"/>
  <c r="BK44" i="27"/>
  <c r="K32" i="27"/>
  <c r="BQ32" i="27" s="1"/>
  <c r="K34" i="27"/>
  <c r="BQ34" i="27" s="1"/>
  <c r="K35" i="27"/>
  <c r="BO35" i="27" s="1"/>
  <c r="K36" i="27"/>
  <c r="BO36" i="27" s="1"/>
  <c r="K37" i="27"/>
  <c r="BN37" i="27" s="1"/>
  <c r="K38" i="27"/>
  <c r="BQ38" i="27" s="1"/>
  <c r="K39" i="27"/>
  <c r="BN39" i="27" s="1"/>
  <c r="K29" i="27"/>
  <c r="BQ29" i="27" s="1"/>
  <c r="L32" i="27"/>
  <c r="L34" i="27"/>
  <c r="L35" i="27"/>
  <c r="L36" i="27"/>
  <c r="L37" i="27"/>
  <c r="L38" i="27"/>
  <c r="L39" i="27"/>
  <c r="L29" i="27"/>
  <c r="M32" i="27"/>
  <c r="M34" i="27"/>
  <c r="M35" i="27"/>
  <c r="M36" i="27"/>
  <c r="M37" i="27"/>
  <c r="M38" i="27"/>
  <c r="M39" i="27"/>
  <c r="M29" i="27"/>
  <c r="N32" i="27"/>
  <c r="N34" i="27"/>
  <c r="N35" i="27"/>
  <c r="N36" i="27"/>
  <c r="N37" i="27"/>
  <c r="N38" i="27"/>
  <c r="N39" i="27"/>
  <c r="N29" i="27"/>
  <c r="Q32" i="27"/>
  <c r="Q34" i="27"/>
  <c r="Q35" i="27"/>
  <c r="Q36" i="27"/>
  <c r="Q37" i="27"/>
  <c r="Q38" i="27"/>
  <c r="Q39" i="27"/>
  <c r="Q29" i="27"/>
  <c r="AP32" i="27"/>
  <c r="AR32" i="27" s="1"/>
  <c r="AP34" i="27"/>
  <c r="AR34" i="27" s="1"/>
  <c r="AP35" i="27"/>
  <c r="AR35" i="27" s="1"/>
  <c r="AP36" i="27"/>
  <c r="AR36" i="27" s="1"/>
  <c r="AP37" i="27"/>
  <c r="AR37" i="27" s="1"/>
  <c r="AP38" i="27"/>
  <c r="AR38" i="27" s="1"/>
  <c r="AQ39" i="27"/>
  <c r="AP29" i="27"/>
  <c r="AR29" i="27" s="1"/>
  <c r="AW32" i="27"/>
  <c r="AX32" i="27" s="1"/>
  <c r="AW34" i="27"/>
  <c r="AX34" i="27" s="1"/>
  <c r="AW35" i="27"/>
  <c r="AX35" i="27" s="1"/>
  <c r="AW36" i="27"/>
  <c r="AX36" i="27" s="1"/>
  <c r="AW37" i="27"/>
  <c r="AW38" i="27"/>
  <c r="AX38" i="27" s="1"/>
  <c r="AW39" i="27"/>
  <c r="AX39" i="27" s="1"/>
  <c r="AW29" i="27"/>
  <c r="AX29" i="27" s="1"/>
  <c r="BF32" i="27"/>
  <c r="BF34" i="27"/>
  <c r="BF35" i="27"/>
  <c r="BF36" i="27"/>
  <c r="BF37" i="27"/>
  <c r="BF38" i="27"/>
  <c r="BF39" i="27"/>
  <c r="BF29" i="27"/>
  <c r="BG32" i="27"/>
  <c r="BG34" i="27"/>
  <c r="BG35" i="27"/>
  <c r="BG36" i="27"/>
  <c r="BG37" i="27"/>
  <c r="BG38" i="27"/>
  <c r="BG39" i="27"/>
  <c r="BG29" i="27"/>
  <c r="BJ32" i="27"/>
  <c r="BJ34" i="27"/>
  <c r="BJ35" i="27"/>
  <c r="BJ36" i="27"/>
  <c r="BJ37" i="27"/>
  <c r="BJ38" i="27"/>
  <c r="BJ39" i="27"/>
  <c r="BJ29" i="27"/>
  <c r="BK32" i="27"/>
  <c r="BK34" i="27"/>
  <c r="BK35" i="27"/>
  <c r="BK36" i="27"/>
  <c r="BK37" i="27"/>
  <c r="BK38" i="27"/>
  <c r="BK39" i="27"/>
  <c r="BK29" i="27"/>
  <c r="K33" i="27"/>
  <c r="BN33" i="27" s="1"/>
  <c r="K28" i="27"/>
  <c r="BS28" i="27" s="1"/>
  <c r="K31" i="27"/>
  <c r="BO31" i="27" s="1"/>
  <c r="L33" i="27"/>
  <c r="L28" i="27"/>
  <c r="L31" i="27"/>
  <c r="M33" i="27"/>
  <c r="M28" i="27"/>
  <c r="M31" i="27"/>
  <c r="N33" i="27"/>
  <c r="N28" i="27"/>
  <c r="N31" i="27"/>
  <c r="Q33" i="27"/>
  <c r="Q28" i="27"/>
  <c r="Q31" i="27"/>
  <c r="AP33" i="27"/>
  <c r="AR33" i="27" s="1"/>
  <c r="AP28" i="27"/>
  <c r="AR28" i="27" s="1"/>
  <c r="AW33" i="27"/>
  <c r="AX33" i="27" s="1"/>
  <c r="AW28" i="27"/>
  <c r="AX28" i="27" s="1"/>
  <c r="AW31" i="27"/>
  <c r="AX31" i="27" s="1"/>
  <c r="BF33" i="27"/>
  <c r="BF28" i="27"/>
  <c r="BF31" i="27"/>
  <c r="BG33" i="27"/>
  <c r="BG28" i="27"/>
  <c r="BG31" i="27"/>
  <c r="BJ33" i="27"/>
  <c r="BJ28" i="27"/>
  <c r="BJ31" i="27"/>
  <c r="BK33" i="27"/>
  <c r="BK28" i="27"/>
  <c r="BK31" i="27"/>
  <c r="K30" i="27"/>
  <c r="BQ30" i="27" s="1"/>
  <c r="L30" i="27"/>
  <c r="M30" i="27"/>
  <c r="N30" i="27"/>
  <c r="Q30" i="27"/>
  <c r="AQ30" i="27"/>
  <c r="AW30" i="27"/>
  <c r="AX30" i="27" s="1"/>
  <c r="BF30" i="27"/>
  <c r="BG30" i="27"/>
  <c r="BJ30" i="27"/>
  <c r="BK30" i="27"/>
  <c r="K27" i="27"/>
  <c r="L27" i="27"/>
  <c r="M27" i="27"/>
  <c r="N27" i="27"/>
  <c r="Q27" i="27"/>
  <c r="AW27" i="27"/>
  <c r="BF27" i="27"/>
  <c r="BG27" i="27"/>
  <c r="BJ27" i="27"/>
  <c r="BK27" i="27"/>
  <c r="K22" i="27"/>
  <c r="BN22" i="27" s="1"/>
  <c r="L22" i="27"/>
  <c r="M22" i="27"/>
  <c r="N22" i="27"/>
  <c r="Q22" i="27"/>
  <c r="AQ22" i="27"/>
  <c r="AW22" i="27"/>
  <c r="AX22" i="27" s="1"/>
  <c r="BF22" i="27"/>
  <c r="BG22" i="27"/>
  <c r="BJ22" i="27"/>
  <c r="BK22" i="27"/>
  <c r="K11" i="27"/>
  <c r="K12" i="27"/>
  <c r="BQ12" i="27" s="1"/>
  <c r="K13" i="27"/>
  <c r="BQ13" i="27" s="1"/>
  <c r="K14" i="27"/>
  <c r="BS14" i="27" s="1"/>
  <c r="K15" i="27"/>
  <c r="BN15" i="27" s="1"/>
  <c r="K19" i="27"/>
  <c r="BN19" i="27" s="1"/>
  <c r="K18" i="27"/>
  <c r="BN18" i="27" s="1"/>
  <c r="K20" i="27"/>
  <c r="BS20" i="27" s="1"/>
  <c r="K21" i="27"/>
  <c r="BP21" i="27" s="1"/>
  <c r="L11" i="27"/>
  <c r="L12" i="27"/>
  <c r="L13" i="27"/>
  <c r="L14" i="27"/>
  <c r="L15" i="27"/>
  <c r="L19" i="27"/>
  <c r="L18" i="27"/>
  <c r="L20" i="27"/>
  <c r="L21" i="27"/>
  <c r="M11" i="27"/>
  <c r="M12" i="27"/>
  <c r="M13" i="27"/>
  <c r="M14" i="27"/>
  <c r="M15" i="27"/>
  <c r="M19" i="27"/>
  <c r="M18" i="27"/>
  <c r="M20" i="27"/>
  <c r="M21" i="27"/>
  <c r="N11" i="27"/>
  <c r="N12" i="27"/>
  <c r="N13" i="27"/>
  <c r="N14" i="27"/>
  <c r="N15" i="27"/>
  <c r="N19" i="27"/>
  <c r="N18" i="27"/>
  <c r="N20" i="27"/>
  <c r="N21" i="27"/>
  <c r="Q11" i="27"/>
  <c r="Q12" i="27"/>
  <c r="Q13" i="27"/>
  <c r="Q14" i="27"/>
  <c r="Q15" i="27"/>
  <c r="Q19" i="27"/>
  <c r="Q18" i="27"/>
  <c r="Q20" i="27"/>
  <c r="Q21" i="27"/>
  <c r="AP11" i="27"/>
  <c r="AR11" i="27" s="1"/>
  <c r="AP12" i="27"/>
  <c r="AR12" i="27" s="1"/>
  <c r="AP14" i="27"/>
  <c r="AR14" i="27" s="1"/>
  <c r="AP15" i="27"/>
  <c r="AR15" i="27" s="1"/>
  <c r="AQ18" i="27"/>
  <c r="AQ21" i="27"/>
  <c r="AW11" i="27"/>
  <c r="AY11" i="27" s="1"/>
  <c r="AZ11" i="27" s="1"/>
  <c r="AW12" i="27"/>
  <c r="AW13" i="27"/>
  <c r="AY13" i="27" s="1"/>
  <c r="AZ13" i="27" s="1"/>
  <c r="AW14" i="27"/>
  <c r="AY14" i="27" s="1"/>
  <c r="AZ14" i="27" s="1"/>
  <c r="AW15" i="27"/>
  <c r="AY15" i="27" s="1"/>
  <c r="AZ15" i="27" s="1"/>
  <c r="AW19" i="27"/>
  <c r="AW18" i="27"/>
  <c r="AW20" i="27"/>
  <c r="AY20" i="27" s="1"/>
  <c r="AZ20" i="27" s="1"/>
  <c r="AW21" i="27"/>
  <c r="AX21" i="27" s="1"/>
  <c r="BF11" i="27"/>
  <c r="BF12" i="27"/>
  <c r="BF13" i="27"/>
  <c r="BF14" i="27"/>
  <c r="BF15" i="27"/>
  <c r="BF19" i="27"/>
  <c r="BF18" i="27"/>
  <c r="BF20" i="27"/>
  <c r="BF21" i="27"/>
  <c r="BG11" i="27"/>
  <c r="BG12" i="27"/>
  <c r="BG13" i="27"/>
  <c r="BG14" i="27"/>
  <c r="BG15" i="27"/>
  <c r="BG19" i="27"/>
  <c r="BG18" i="27"/>
  <c r="BG20" i="27"/>
  <c r="BG21" i="27"/>
  <c r="BJ11" i="27"/>
  <c r="BJ12" i="27"/>
  <c r="BJ13" i="27"/>
  <c r="BJ14" i="27"/>
  <c r="BJ15" i="27"/>
  <c r="BJ19" i="27"/>
  <c r="BJ18" i="27"/>
  <c r="BJ20" i="27"/>
  <c r="BJ21" i="27"/>
  <c r="BK11" i="27"/>
  <c r="BK12" i="27"/>
  <c r="BK13" i="27"/>
  <c r="BK14" i="27"/>
  <c r="BK15" i="27"/>
  <c r="BK19" i="27"/>
  <c r="BK18" i="27"/>
  <c r="BK20" i="27"/>
  <c r="BK21" i="27"/>
  <c r="P8" i="27"/>
  <c r="K8" i="27"/>
  <c r="K10" i="27"/>
  <c r="BN10" i="27" s="1"/>
  <c r="K9" i="27"/>
  <c r="BP9" i="27" s="1"/>
  <c r="L8" i="27"/>
  <c r="L10" i="27"/>
  <c r="L9" i="27"/>
  <c r="M8" i="27"/>
  <c r="M10" i="27"/>
  <c r="M9" i="27"/>
  <c r="N8" i="27"/>
  <c r="N10" i="27"/>
  <c r="N9" i="27"/>
  <c r="Q10" i="27"/>
  <c r="Q9" i="27"/>
  <c r="AQ8" i="27"/>
  <c r="AW8" i="27"/>
  <c r="AW10" i="27"/>
  <c r="AW9" i="27"/>
  <c r="BF8" i="27"/>
  <c r="BF10" i="27"/>
  <c r="BF9" i="27"/>
  <c r="BG8" i="27"/>
  <c r="BG10" i="27"/>
  <c r="BG9" i="27"/>
  <c r="BJ8" i="27"/>
  <c r="BJ10" i="27"/>
  <c r="BJ9" i="27"/>
  <c r="BK8" i="27"/>
  <c r="BK10" i="27"/>
  <c r="BK9" i="27"/>
  <c r="BQ229" i="27" l="1"/>
  <c r="BN230" i="27"/>
  <c r="BN229" i="27"/>
  <c r="BP229" i="27"/>
  <c r="BO229" i="27"/>
  <c r="AT348" i="27"/>
  <c r="AV348" i="27" s="1"/>
  <c r="AT339" i="27"/>
  <c r="AV339" i="27" s="1"/>
  <c r="AT167" i="27"/>
  <c r="AV167" i="27" s="1"/>
  <c r="A234" i="27"/>
  <c r="AT234" i="27"/>
  <c r="AV234" i="27" s="1"/>
  <c r="AT249" i="27"/>
  <c r="AV249" i="27" s="1"/>
  <c r="AU311" i="27"/>
  <c r="AT330" i="27"/>
  <c r="AV330" i="27" s="1"/>
  <c r="AU313" i="27"/>
  <c r="AU364" i="27"/>
  <c r="AT334" i="27"/>
  <c r="AV334" i="27" s="1"/>
  <c r="A384" i="27"/>
  <c r="AU384" i="27"/>
  <c r="AT448" i="27"/>
  <c r="AV448" i="27" s="1"/>
  <c r="A420" i="27"/>
  <c r="AT420" i="27"/>
  <c r="AV420" i="27" s="1"/>
  <c r="AU485" i="27"/>
  <c r="AT489" i="27"/>
  <c r="AV489" i="27" s="1"/>
  <c r="AT500" i="27"/>
  <c r="AV500" i="27" s="1"/>
  <c r="AT479" i="27"/>
  <c r="AV479" i="27" s="1"/>
  <c r="AT543" i="27"/>
  <c r="AV543" i="27" s="1"/>
  <c r="AT539" i="27"/>
  <c r="AV539" i="27" s="1"/>
  <c r="AT464" i="27"/>
  <c r="AV464" i="27" s="1"/>
  <c r="AT635" i="27"/>
  <c r="AV635" i="27" s="1"/>
  <c r="AT594" i="27"/>
  <c r="AV594" i="27" s="1"/>
  <c r="A614" i="27"/>
  <c r="AU614" i="27"/>
  <c r="AU610" i="27"/>
  <c r="AT589" i="27"/>
  <c r="AV589" i="27" s="1"/>
  <c r="AT621" i="27"/>
  <c r="AV621" i="27" s="1"/>
  <c r="BI625" i="27"/>
  <c r="AU625" i="27"/>
  <c r="AT646" i="27"/>
  <c r="AV646" i="27" s="1"/>
  <c r="AT39" i="27"/>
  <c r="AV39" i="27" s="1"/>
  <c r="AU102" i="27"/>
  <c r="AT50" i="27"/>
  <c r="AV50" i="27" s="1"/>
  <c r="AT57" i="27"/>
  <c r="AV57" i="27" s="1"/>
  <c r="AT60" i="27"/>
  <c r="AV60" i="27" s="1"/>
  <c r="AU62" i="27"/>
  <c r="A158" i="27"/>
  <c r="AT158" i="27"/>
  <c r="AV158" i="27" s="1"/>
  <c r="AT218" i="27"/>
  <c r="AV218" i="27" s="1"/>
  <c r="AU233" i="27"/>
  <c r="AT304" i="27"/>
  <c r="AV304" i="27" s="1"/>
  <c r="AT360" i="27"/>
  <c r="AV360" i="27" s="1"/>
  <c r="AU305" i="27"/>
  <c r="A350" i="27"/>
  <c r="AT350" i="27"/>
  <c r="AV350" i="27" s="1"/>
  <c r="AU381" i="27"/>
  <c r="A445" i="27"/>
  <c r="BA445" i="27"/>
  <c r="AT505" i="27"/>
  <c r="AV505" i="27" s="1"/>
  <c r="AU499" i="27"/>
  <c r="AT478" i="27"/>
  <c r="AV478" i="27" s="1"/>
  <c r="AT463" i="27"/>
  <c r="AV463" i="27" s="1"/>
  <c r="O634" i="27"/>
  <c r="AT634" i="27"/>
  <c r="AV634" i="27" s="1"/>
  <c r="A595" i="27"/>
  <c r="AT595" i="27"/>
  <c r="AV595" i="27" s="1"/>
  <c r="AT615" i="27"/>
  <c r="AV615" i="27" s="1"/>
  <c r="A612" i="27"/>
  <c r="AU612" i="27"/>
  <c r="A588" i="27"/>
  <c r="AT588" i="27"/>
  <c r="AV588" i="27" s="1"/>
  <c r="BI622" i="27"/>
  <c r="AT622" i="27"/>
  <c r="AV622" i="27" s="1"/>
  <c r="BA552" i="27"/>
  <c r="AT38" i="27"/>
  <c r="AV38" i="27" s="1"/>
  <c r="O64" i="27"/>
  <c r="AU64" i="27"/>
  <c r="O186" i="27"/>
  <c r="AT186" i="27"/>
  <c r="AV186" i="27" s="1"/>
  <c r="AU178" i="27"/>
  <c r="AU138" i="27"/>
  <c r="BA130" i="27"/>
  <c r="AU219" i="27"/>
  <c r="AU232" i="27"/>
  <c r="AT267" i="27"/>
  <c r="AV267" i="27" s="1"/>
  <c r="AU258" i="27"/>
  <c r="AT301" i="27"/>
  <c r="AV301" i="27" s="1"/>
  <c r="AT309" i="27"/>
  <c r="AV309" i="27" s="1"/>
  <c r="AT326" i="27"/>
  <c r="AV326" i="27" s="1"/>
  <c r="BA314" i="27"/>
  <c r="AT356" i="27"/>
  <c r="AV356" i="27" s="1"/>
  <c r="A446" i="27"/>
  <c r="AT453" i="27"/>
  <c r="AV453" i="27" s="1"/>
  <c r="AT425" i="27"/>
  <c r="AV425" i="27" s="1"/>
  <c r="BA492" i="27"/>
  <c r="AU517" i="27"/>
  <c r="AU488" i="27"/>
  <c r="AT472" i="27"/>
  <c r="AV472" i="27" s="1"/>
  <c r="A632" i="27"/>
  <c r="AT632" i="27"/>
  <c r="AV632" i="27" s="1"/>
  <c r="BI613" i="27"/>
  <c r="AU613" i="27"/>
  <c r="A531" i="27"/>
  <c r="AT531" i="27"/>
  <c r="AV531" i="27" s="1"/>
  <c r="BA553" i="27"/>
  <c r="AU195" i="27"/>
  <c r="AU110" i="27"/>
  <c r="A61" i="27"/>
  <c r="AT61" i="27"/>
  <c r="AV61" i="27" s="1"/>
  <c r="AT74" i="27"/>
  <c r="AV74" i="27" s="1"/>
  <c r="BI119" i="27"/>
  <c r="AU119" i="27"/>
  <c r="AT22" i="27"/>
  <c r="AV22" i="27" s="1"/>
  <c r="AU37" i="27"/>
  <c r="AT105" i="27"/>
  <c r="AV105" i="27" s="1"/>
  <c r="O111" i="27"/>
  <c r="AU111" i="27"/>
  <c r="O63" i="27"/>
  <c r="AT63" i="27"/>
  <c r="AV63" i="27" s="1"/>
  <c r="AU118" i="27"/>
  <c r="BI185" i="27"/>
  <c r="AT185" i="27"/>
  <c r="AV185" i="27" s="1"/>
  <c r="AU177" i="27"/>
  <c r="A137" i="27"/>
  <c r="AU137" i="27"/>
  <c r="AU125" i="27"/>
  <c r="AU215" i="27"/>
  <c r="AT231" i="27"/>
  <c r="AV231" i="27" s="1"/>
  <c r="AU256" i="27"/>
  <c r="A327" i="27"/>
  <c r="AU327" i="27"/>
  <c r="O357" i="27"/>
  <c r="AT357" i="27"/>
  <c r="AV357" i="27" s="1"/>
  <c r="AT438" i="27"/>
  <c r="AV438" i="27" s="1"/>
  <c r="O447" i="27"/>
  <c r="AT447" i="27"/>
  <c r="AV447" i="27" s="1"/>
  <c r="AU397" i="27"/>
  <c r="O454" i="27"/>
  <c r="AT454" i="27"/>
  <c r="AV454" i="27" s="1"/>
  <c r="BI427" i="27"/>
  <c r="AT427" i="27"/>
  <c r="AV427" i="27" s="1"/>
  <c r="AU498" i="27"/>
  <c r="BI486" i="27"/>
  <c r="AT560" i="27"/>
  <c r="AV560" i="27" s="1"/>
  <c r="A630" i="27"/>
  <c r="AT630" i="27"/>
  <c r="AV630" i="27" s="1"/>
  <c r="AT532" i="27"/>
  <c r="AV532" i="27" s="1"/>
  <c r="A554" i="27"/>
  <c r="AT554" i="27"/>
  <c r="AV554" i="27" s="1"/>
  <c r="AT85" i="27"/>
  <c r="AV85" i="27" s="1"/>
  <c r="AT29" i="27"/>
  <c r="AV29" i="27" s="1"/>
  <c r="AT220" i="27"/>
  <c r="AV220" i="27" s="1"/>
  <c r="AT36" i="27"/>
  <c r="AV36" i="27" s="1"/>
  <c r="AT75" i="27"/>
  <c r="AV75" i="27" s="1"/>
  <c r="O112" i="27"/>
  <c r="AU112" i="27"/>
  <c r="AU115" i="27"/>
  <c r="AT146" i="27"/>
  <c r="AV146" i="27" s="1"/>
  <c r="A192" i="27"/>
  <c r="AU192" i="27"/>
  <c r="AU134" i="27"/>
  <c r="O124" i="27"/>
  <c r="AT124" i="27"/>
  <c r="AV124" i="27" s="1"/>
  <c r="O257" i="27"/>
  <c r="AU257" i="27"/>
  <c r="AT323" i="27"/>
  <c r="AV323" i="27" s="1"/>
  <c r="AT344" i="27"/>
  <c r="AV344" i="27" s="1"/>
  <c r="BI340" i="27"/>
  <c r="AT340" i="27"/>
  <c r="AV340" i="27" s="1"/>
  <c r="O398" i="27"/>
  <c r="AT398" i="27"/>
  <c r="AV398" i="27" s="1"/>
  <c r="AT513" i="27"/>
  <c r="AV513" i="27" s="1"/>
  <c r="AT633" i="27"/>
  <c r="AV633" i="27" s="1"/>
  <c r="AT578" i="27"/>
  <c r="AV578" i="27" s="1"/>
  <c r="AT655" i="27"/>
  <c r="AV655" i="27" s="1"/>
  <c r="AT551" i="27"/>
  <c r="AV551" i="27" s="1"/>
  <c r="AT136" i="27"/>
  <c r="AV136" i="27" s="1"/>
  <c r="AU106" i="27"/>
  <c r="O72" i="27"/>
  <c r="AU72" i="27"/>
  <c r="AT145" i="27"/>
  <c r="AV145" i="27" s="1"/>
  <c r="BI153" i="27"/>
  <c r="AT166" i="27"/>
  <c r="AV166" i="27" s="1"/>
  <c r="AT194" i="27"/>
  <c r="AV194" i="27" s="1"/>
  <c r="A190" i="27"/>
  <c r="AT190" i="27"/>
  <c r="AV190" i="27" s="1"/>
  <c r="A133" i="27"/>
  <c r="AT133" i="27"/>
  <c r="AV133" i="27" s="1"/>
  <c r="AT285" i="27"/>
  <c r="AV285" i="27" s="1"/>
  <c r="BI324" i="27"/>
  <c r="AU324" i="27"/>
  <c r="AT342" i="27"/>
  <c r="AV342" i="27" s="1"/>
  <c r="BI399" i="27"/>
  <c r="AT399" i="27"/>
  <c r="AV399" i="27" s="1"/>
  <c r="AU603" i="27"/>
  <c r="A514" i="27"/>
  <c r="AU514" i="27"/>
  <c r="A631" i="27"/>
  <c r="AT631" i="27"/>
  <c r="AV631" i="27" s="1"/>
  <c r="A579" i="27"/>
  <c r="AU579" i="27"/>
  <c r="AU638" i="27"/>
  <c r="A550" i="27"/>
  <c r="AU550" i="27"/>
  <c r="AT132" i="27"/>
  <c r="AV132" i="27" s="1"/>
  <c r="AT99" i="27"/>
  <c r="AV99" i="27" s="1"/>
  <c r="AT199" i="27"/>
  <c r="AV199" i="27" s="1"/>
  <c r="AT46" i="27"/>
  <c r="AV46" i="27" s="1"/>
  <c r="AU214" i="27"/>
  <c r="BI253" i="27"/>
  <c r="AT253" i="27"/>
  <c r="AV253" i="27" s="1"/>
  <c r="AU275" i="27"/>
  <c r="AT271" i="27"/>
  <c r="AV271" i="27" s="1"/>
  <c r="BI264" i="27"/>
  <c r="AT264" i="27"/>
  <c r="AV264" i="27" s="1"/>
  <c r="AU281" i="27"/>
  <c r="AU321" i="27"/>
  <c r="AU470" i="27"/>
  <c r="AT411" i="27"/>
  <c r="AV411" i="27" s="1"/>
  <c r="A604" i="27"/>
  <c r="AU604" i="27"/>
  <c r="AU529" i="27"/>
  <c r="BI629" i="27"/>
  <c r="AT629" i="27"/>
  <c r="AV629" i="27" s="1"/>
  <c r="AT586" i="27"/>
  <c r="AV586" i="27" s="1"/>
  <c r="AT583" i="27"/>
  <c r="AV583" i="27" s="1"/>
  <c r="AU639" i="27"/>
  <c r="AT652" i="27"/>
  <c r="AV652" i="27" s="1"/>
  <c r="AT45" i="27"/>
  <c r="AV45" i="27" s="1"/>
  <c r="AT266" i="27"/>
  <c r="AV266" i="27" s="1"/>
  <c r="A108" i="27"/>
  <c r="AU108" i="27"/>
  <c r="O127" i="27"/>
  <c r="AT127" i="27"/>
  <c r="AV127" i="27" s="1"/>
  <c r="AU212" i="27"/>
  <c r="AU247" i="27"/>
  <c r="AU260" i="27"/>
  <c r="AU270" i="27"/>
  <c r="AU283" i="27"/>
  <c r="A320" i="27"/>
  <c r="AU320" i="27"/>
  <c r="AT396" i="27"/>
  <c r="AV396" i="27" s="1"/>
  <c r="AU443" i="27"/>
  <c r="AT400" i="27"/>
  <c r="AV400" i="27" s="1"/>
  <c r="AT417" i="27"/>
  <c r="AV417" i="27" s="1"/>
  <c r="AT428" i="27"/>
  <c r="AV428" i="27" s="1"/>
  <c r="O410" i="27"/>
  <c r="AT410" i="27"/>
  <c r="AV410" i="27" s="1"/>
  <c r="AU452" i="27"/>
  <c r="AT527" i="27"/>
  <c r="AV527" i="27" s="1"/>
  <c r="AT525" i="27"/>
  <c r="AV525" i="27" s="1"/>
  <c r="AU561" i="27"/>
  <c r="O584" i="27"/>
  <c r="AU584" i="27"/>
  <c r="AT591" i="27"/>
  <c r="AV591" i="27" s="1"/>
  <c r="AT607" i="27"/>
  <c r="AV607" i="27" s="1"/>
  <c r="AU637" i="27"/>
  <c r="AT649" i="27"/>
  <c r="AV649" i="27" s="1"/>
  <c r="AU567" i="27"/>
  <c r="AT265" i="27"/>
  <c r="AV265" i="27" s="1"/>
  <c r="AT11" i="27"/>
  <c r="AV11" i="27" s="1"/>
  <c r="AU31" i="27"/>
  <c r="AT35" i="27"/>
  <c r="AV35" i="27" s="1"/>
  <c r="O76" i="27"/>
  <c r="AT76" i="27"/>
  <c r="AV76" i="27" s="1"/>
  <c r="O103" i="27"/>
  <c r="AT28" i="27"/>
  <c r="AV28" i="27" s="1"/>
  <c r="BI116" i="27"/>
  <c r="AT116" i="27"/>
  <c r="AV116" i="27" s="1"/>
  <c r="AT9" i="27"/>
  <c r="AV9" i="27" s="1"/>
  <c r="AT32" i="27"/>
  <c r="AV32" i="27" s="1"/>
  <c r="A89" i="27"/>
  <c r="AU89" i="27"/>
  <c r="O100" i="27"/>
  <c r="AU100" i="27"/>
  <c r="AT209" i="27"/>
  <c r="AV209" i="27" s="1"/>
  <c r="AU238" i="27"/>
  <c r="BA246" i="27"/>
  <c r="A261" i="27"/>
  <c r="AU261" i="27"/>
  <c r="AT278" i="27"/>
  <c r="AV278" i="27" s="1"/>
  <c r="AT280" i="27"/>
  <c r="AV280" i="27" s="1"/>
  <c r="AT289" i="27"/>
  <c r="AV289" i="27" s="1"/>
  <c r="AU293" i="27"/>
  <c r="AU319" i="27"/>
  <c r="A341" i="27"/>
  <c r="AU341" i="27"/>
  <c r="AT392" i="27"/>
  <c r="AV392" i="27" s="1"/>
  <c r="A441" i="27"/>
  <c r="AT441" i="27"/>
  <c r="AV441" i="27" s="1"/>
  <c r="BI401" i="27"/>
  <c r="AT401" i="27"/>
  <c r="AV401" i="27" s="1"/>
  <c r="BI418" i="27"/>
  <c r="AT418" i="27"/>
  <c r="AV418" i="27" s="1"/>
  <c r="BI430" i="27"/>
  <c r="AT430" i="27"/>
  <c r="AV430" i="27" s="1"/>
  <c r="AU450" i="27"/>
  <c r="AU481" i="27"/>
  <c r="A526" i="27"/>
  <c r="AT526" i="27"/>
  <c r="AV526" i="27" s="1"/>
  <c r="O524" i="27"/>
  <c r="AT524" i="27"/>
  <c r="AV524" i="27" s="1"/>
  <c r="AT557" i="27"/>
  <c r="AV557" i="27" s="1"/>
  <c r="AT562" i="27"/>
  <c r="AV562" i="27" s="1"/>
  <c r="AU574" i="27"/>
  <c r="AU581" i="27"/>
  <c r="O593" i="27"/>
  <c r="AT593" i="27"/>
  <c r="AV593" i="27" s="1"/>
  <c r="A609" i="27"/>
  <c r="AT609" i="27"/>
  <c r="AV609" i="27" s="1"/>
  <c r="AT642" i="27"/>
  <c r="AV642" i="27" s="1"/>
  <c r="AT653" i="27"/>
  <c r="AV653" i="27" s="1"/>
  <c r="AT660" i="27"/>
  <c r="AV660" i="27" s="1"/>
  <c r="AT230" i="27"/>
  <c r="AV230" i="27" s="1"/>
  <c r="AU91" i="27"/>
  <c r="A107" i="27"/>
  <c r="AU107" i="27"/>
  <c r="AT140" i="27"/>
  <c r="AV140" i="27" s="1"/>
  <c r="AT225" i="27"/>
  <c r="AV225" i="27" s="1"/>
  <c r="AU245" i="27"/>
  <c r="AT274" i="27"/>
  <c r="AV274" i="27" s="1"/>
  <c r="AT263" i="27"/>
  <c r="AV263" i="27" s="1"/>
  <c r="AT255" i="27"/>
  <c r="AV255" i="27" s="1"/>
  <c r="AT290" i="27"/>
  <c r="AV290" i="27" s="1"/>
  <c r="AT291" i="27"/>
  <c r="AV291" i="27" s="1"/>
  <c r="AU288" i="27"/>
  <c r="AU332" i="27"/>
  <c r="AU358" i="27"/>
  <c r="BI402" i="27"/>
  <c r="AT402" i="27"/>
  <c r="AV402" i="27" s="1"/>
  <c r="AT406" i="27"/>
  <c r="AV406" i="27" s="1"/>
  <c r="AU461" i="27"/>
  <c r="AT480" i="27"/>
  <c r="AV480" i="27" s="1"/>
  <c r="A495" i="27"/>
  <c r="AT495" i="27"/>
  <c r="AV495" i="27" s="1"/>
  <c r="BA536" i="27"/>
  <c r="AT564" i="27"/>
  <c r="AV564" i="27" s="1"/>
  <c r="AT566" i="27"/>
  <c r="AV566" i="27" s="1"/>
  <c r="O626" i="27"/>
  <c r="AT626" i="27"/>
  <c r="AV626" i="27" s="1"/>
  <c r="A576" i="27"/>
  <c r="AT576" i="27"/>
  <c r="AV576" i="27" s="1"/>
  <c r="O580" i="27"/>
  <c r="AT580" i="27"/>
  <c r="AV580" i="27" s="1"/>
  <c r="AT641" i="27"/>
  <c r="AV641" i="27" s="1"/>
  <c r="AU518" i="27"/>
  <c r="AT662" i="27"/>
  <c r="AV662" i="27" s="1"/>
  <c r="AU229" i="27"/>
  <c r="BA8" i="27"/>
  <c r="A67" i="27"/>
  <c r="AT67" i="27"/>
  <c r="AV67" i="27" s="1"/>
  <c r="AT113" i="27"/>
  <c r="AV113" i="27" s="1"/>
  <c r="AT55" i="27"/>
  <c r="AV55" i="27" s="1"/>
  <c r="AU150" i="27"/>
  <c r="AU210" i="27"/>
  <c r="AT228" i="27"/>
  <c r="AV228" i="27" s="1"/>
  <c r="AU244" i="27"/>
  <c r="AU262" i="27"/>
  <c r="AT282" i="27"/>
  <c r="AV282" i="27" s="1"/>
  <c r="AT299" i="27"/>
  <c r="AV299" i="27" s="1"/>
  <c r="AT338" i="27"/>
  <c r="AV338" i="27" s="1"/>
  <c r="AT373" i="27"/>
  <c r="AV373" i="27" s="1"/>
  <c r="AT377" i="27"/>
  <c r="AV377" i="27" s="1"/>
  <c r="AT424" i="27"/>
  <c r="AV424" i="27" s="1"/>
  <c r="O404" i="27"/>
  <c r="AT404" i="27"/>
  <c r="AV404" i="27" s="1"/>
  <c r="AT407" i="27"/>
  <c r="AV407" i="27" s="1"/>
  <c r="AU477" i="27"/>
  <c r="BA537" i="27"/>
  <c r="AT559" i="27"/>
  <c r="AV559" i="27" s="1"/>
  <c r="O627" i="27"/>
  <c r="AT627" i="27"/>
  <c r="AV627" i="27" s="1"/>
  <c r="AU605" i="27"/>
  <c r="AT545" i="27"/>
  <c r="AV545" i="27" s="1"/>
  <c r="AT663" i="27"/>
  <c r="AV663" i="27" s="1"/>
  <c r="AU162" i="27"/>
  <c r="AT170" i="27"/>
  <c r="AV170" i="27" s="1"/>
  <c r="AT211" i="27"/>
  <c r="AV211" i="27" s="1"/>
  <c r="AT30" i="27"/>
  <c r="AV30" i="27" s="1"/>
  <c r="O66" i="27"/>
  <c r="AT66" i="27"/>
  <c r="AV66" i="27" s="1"/>
  <c r="AU15" i="27"/>
  <c r="A114" i="27"/>
  <c r="AT114" i="27"/>
  <c r="AV114" i="27" s="1"/>
  <c r="BI121" i="27"/>
  <c r="AT227" i="27"/>
  <c r="AV227" i="27" s="1"/>
  <c r="AU243" i="27"/>
  <c r="AU279" i="27"/>
  <c r="AU284" i="27"/>
  <c r="A300" i="27"/>
  <c r="AT300" i="27"/>
  <c r="AV300" i="27" s="1"/>
  <c r="BI374" i="27"/>
  <c r="AU374" i="27"/>
  <c r="AT469" i="27"/>
  <c r="AV469" i="27" s="1"/>
  <c r="A422" i="27"/>
  <c r="AT422" i="27"/>
  <c r="AV422" i="27" s="1"/>
  <c r="BI408" i="27"/>
  <c r="AT408" i="27"/>
  <c r="AV408" i="27" s="1"/>
  <c r="AU474" i="27"/>
  <c r="AT520" i="27"/>
  <c r="AV520" i="27" s="1"/>
  <c r="AT534" i="27"/>
  <c r="AV534" i="27" s="1"/>
  <c r="AT565" i="27"/>
  <c r="AV565" i="27" s="1"/>
  <c r="O606" i="27"/>
  <c r="AT606" i="27"/>
  <c r="AV606" i="27" s="1"/>
  <c r="AT650" i="27"/>
  <c r="AV650" i="27" s="1"/>
  <c r="O544" i="27"/>
  <c r="AT544" i="27"/>
  <c r="AV544" i="27" s="1"/>
  <c r="AU71" i="27"/>
  <c r="AT120" i="27"/>
  <c r="AV120" i="27" s="1"/>
  <c r="AU21" i="27"/>
  <c r="AT33" i="27"/>
  <c r="AV33" i="27" s="1"/>
  <c r="BI92" i="27"/>
  <c r="AT92" i="27"/>
  <c r="AV92" i="27" s="1"/>
  <c r="A10" i="27"/>
  <c r="BA10" i="27"/>
  <c r="AU20" i="27"/>
  <c r="AU65" i="27"/>
  <c r="AU18" i="27"/>
  <c r="O139" i="27"/>
  <c r="AT139" i="27"/>
  <c r="AV139" i="27" s="1"/>
  <c r="AU19" i="27"/>
  <c r="AU14" i="27"/>
  <c r="AT43" i="27"/>
  <c r="AV43" i="27" s="1"/>
  <c r="AT82" i="27"/>
  <c r="AV82" i="27" s="1"/>
  <c r="O86" i="27"/>
  <c r="AT86" i="27"/>
  <c r="AV86" i="27" s="1"/>
  <c r="AT142" i="27"/>
  <c r="AV142" i="27" s="1"/>
  <c r="AU149" i="27"/>
  <c r="AT222" i="27"/>
  <c r="AV222" i="27" s="1"/>
  <c r="AT226" i="27"/>
  <c r="AV226" i="27" s="1"/>
  <c r="AT242" i="27"/>
  <c r="AV242" i="27" s="1"/>
  <c r="BA297" i="27"/>
  <c r="AT354" i="27"/>
  <c r="AV354" i="27" s="1"/>
  <c r="AT361" i="27"/>
  <c r="AV361" i="27" s="1"/>
  <c r="AT372" i="27"/>
  <c r="AV372" i="27" s="1"/>
  <c r="AU349" i="27"/>
  <c r="O467" i="27"/>
  <c r="AT467" i="27"/>
  <c r="AV467" i="27" s="1"/>
  <c r="A482" i="27"/>
  <c r="AU482" i="27"/>
  <c r="AT540" i="27"/>
  <c r="AV540" i="27" s="1"/>
  <c r="AU568" i="27"/>
  <c r="AT44" i="27"/>
  <c r="AV44" i="27" s="1"/>
  <c r="AU13" i="27"/>
  <c r="AT42" i="27"/>
  <c r="AV42" i="27" s="1"/>
  <c r="A80" i="27"/>
  <c r="AU80" i="27"/>
  <c r="A58" i="27"/>
  <c r="AU58" i="27"/>
  <c r="AT141" i="27"/>
  <c r="AV141" i="27" s="1"/>
  <c r="AT147" i="27"/>
  <c r="AV147" i="27" s="1"/>
  <c r="AU161" i="27"/>
  <c r="A181" i="27"/>
  <c r="BA181" i="27"/>
  <c r="A236" i="27"/>
  <c r="AU236" i="27"/>
  <c r="AU308" i="27"/>
  <c r="AT347" i="27"/>
  <c r="AV347" i="27" s="1"/>
  <c r="AT353" i="27"/>
  <c r="AV353" i="27" s="1"/>
  <c r="AT371" i="27"/>
  <c r="AV371" i="27" s="1"/>
  <c r="AT389" i="27"/>
  <c r="AV389" i="27" s="1"/>
  <c r="AT367" i="27"/>
  <c r="AV367" i="27" s="1"/>
  <c r="A468" i="27"/>
  <c r="AT468" i="27"/>
  <c r="AV468" i="27" s="1"/>
  <c r="BI541" i="27"/>
  <c r="AU541" i="27"/>
  <c r="BI599" i="27"/>
  <c r="AU599" i="27"/>
  <c r="AT570" i="27"/>
  <c r="AV570" i="27" s="1"/>
  <c r="BI165" i="27"/>
  <c r="AT165" i="27"/>
  <c r="AV165" i="27" s="1"/>
  <c r="BA12" i="27"/>
  <c r="AU27" i="27"/>
  <c r="AT95" i="27"/>
  <c r="AV95" i="27" s="1"/>
  <c r="AT54" i="27"/>
  <c r="AV54" i="27" s="1"/>
  <c r="BI56" i="27"/>
  <c r="AT56" i="27"/>
  <c r="AV56" i="27" s="1"/>
  <c r="O168" i="27"/>
  <c r="BA168" i="27"/>
  <c r="AU172" i="27"/>
  <c r="AU224" i="27"/>
  <c r="AU237" i="27"/>
  <c r="AT251" i="27"/>
  <c r="AV251" i="27" s="1"/>
  <c r="BA318" i="27"/>
  <c r="AT331" i="27"/>
  <c r="AV331" i="27" s="1"/>
  <c r="AU306" i="27"/>
  <c r="AT346" i="27"/>
  <c r="AV346" i="27" s="1"/>
  <c r="AT352" i="27"/>
  <c r="AV352" i="27" s="1"/>
  <c r="AT336" i="27"/>
  <c r="AV336" i="27" s="1"/>
  <c r="BA370" i="27"/>
  <c r="A380" i="27"/>
  <c r="AU380" i="27"/>
  <c r="AT390" i="27"/>
  <c r="AV390" i="27" s="1"/>
  <c r="AT432" i="27"/>
  <c r="AV432" i="27" s="1"/>
  <c r="AT413" i="27"/>
  <c r="AV413" i="27" s="1"/>
  <c r="AT459" i="27"/>
  <c r="AV459" i="27" s="1"/>
  <c r="AT548" i="27"/>
  <c r="AV548" i="27" s="1"/>
  <c r="AT465" i="27"/>
  <c r="AV465" i="27" s="1"/>
  <c r="O644" i="27"/>
  <c r="AT644" i="27"/>
  <c r="AV644" i="27" s="1"/>
  <c r="AU618" i="27"/>
  <c r="AU619" i="27"/>
  <c r="BI597" i="27"/>
  <c r="AU569" i="27"/>
  <c r="O96" i="27"/>
  <c r="AT96" i="27"/>
  <c r="AV96" i="27" s="1"/>
  <c r="AT52" i="27"/>
  <c r="AV52" i="27" s="1"/>
  <c r="BA164" i="27"/>
  <c r="BI171" i="27"/>
  <c r="AT171" i="27"/>
  <c r="AV171" i="27" s="1"/>
  <c r="AU223" i="27"/>
  <c r="AU235" i="27"/>
  <c r="AT250" i="27"/>
  <c r="AV250" i="27" s="1"/>
  <c r="AU296" i="27"/>
  <c r="AU312" i="27"/>
  <c r="AU329" i="27"/>
  <c r="AU307" i="27"/>
  <c r="AT362" i="27"/>
  <c r="AV362" i="27" s="1"/>
  <c r="A351" i="27"/>
  <c r="AT351" i="27"/>
  <c r="AV351" i="27" s="1"/>
  <c r="A337" i="27"/>
  <c r="AT337" i="27"/>
  <c r="AV337" i="27" s="1"/>
  <c r="AT369" i="27"/>
  <c r="AV369" i="27" s="1"/>
  <c r="A382" i="27"/>
  <c r="AU382" i="27"/>
  <c r="AT419" i="27"/>
  <c r="AV419" i="27" s="1"/>
  <c r="O435" i="27"/>
  <c r="AT435" i="27"/>
  <c r="AV435" i="27" s="1"/>
  <c r="BI416" i="27"/>
  <c r="AT416" i="27"/>
  <c r="AV416" i="27" s="1"/>
  <c r="A507" i="27"/>
  <c r="AT507" i="27"/>
  <c r="AV507" i="27" s="1"/>
  <c r="AT542" i="27"/>
  <c r="AV542" i="27" s="1"/>
  <c r="O547" i="27"/>
  <c r="AU547" i="27"/>
  <c r="AT643" i="27"/>
  <c r="AV643" i="27" s="1"/>
  <c r="A620" i="27"/>
  <c r="AU620" i="27"/>
  <c r="BI598" i="27"/>
  <c r="AT598" i="27"/>
  <c r="AV598" i="27" s="1"/>
  <c r="AU623" i="27"/>
  <c r="A647" i="27"/>
  <c r="BA647" i="27"/>
  <c r="AT645" i="27"/>
  <c r="AV645" i="27" s="1"/>
  <c r="A314" i="27"/>
  <c r="BP230" i="27"/>
  <c r="BO132" i="27"/>
  <c r="BI38" i="27"/>
  <c r="BI258" i="27"/>
  <c r="A492" i="27"/>
  <c r="BI37" i="27"/>
  <c r="BI90" i="27"/>
  <c r="BI118" i="27"/>
  <c r="A177" i="27"/>
  <c r="O125" i="27"/>
  <c r="A215" i="27"/>
  <c r="A231" i="27"/>
  <c r="BI256" i="27"/>
  <c r="BI438" i="27"/>
  <c r="O509" i="27"/>
  <c r="BI498" i="27"/>
  <c r="BI560" i="27"/>
  <c r="A532" i="27"/>
  <c r="A517" i="27"/>
  <c r="BI36" i="27"/>
  <c r="BI75" i="27"/>
  <c r="O73" i="27"/>
  <c r="BI115" i="27"/>
  <c r="BI146" i="27"/>
  <c r="A134" i="27"/>
  <c r="A216" i="27"/>
  <c r="O323" i="27"/>
  <c r="A344" i="27"/>
  <c r="A513" i="27"/>
  <c r="O633" i="27"/>
  <c r="BI578" i="27"/>
  <c r="O655" i="27"/>
  <c r="A519" i="27"/>
  <c r="A551" i="27"/>
  <c r="O314" i="27"/>
  <c r="A553" i="27"/>
  <c r="O22" i="27"/>
  <c r="A31" i="27"/>
  <c r="A35" i="27"/>
  <c r="BI106" i="27"/>
  <c r="A145" i="27"/>
  <c r="A166" i="27"/>
  <c r="BI194" i="27"/>
  <c r="A217" i="27"/>
  <c r="A285" i="27"/>
  <c r="A342" i="27"/>
  <c r="A603" i="27"/>
  <c r="O638" i="27"/>
  <c r="A85" i="27"/>
  <c r="A138" i="27"/>
  <c r="O472" i="27"/>
  <c r="A34" i="27"/>
  <c r="A91" i="27"/>
  <c r="O99" i="27"/>
  <c r="O71" i="27"/>
  <c r="BI120" i="27"/>
  <c r="A199" i="27"/>
  <c r="O46" i="27"/>
  <c r="O214" i="27"/>
  <c r="A275" i="27"/>
  <c r="BI271" i="27"/>
  <c r="O281" i="27"/>
  <c r="BI321" i="27"/>
  <c r="A470" i="27"/>
  <c r="BI411" i="27"/>
  <c r="A529" i="27"/>
  <c r="BI586" i="27"/>
  <c r="A639" i="27"/>
  <c r="BI652" i="27"/>
  <c r="A45" i="27"/>
  <c r="A136" i="27"/>
  <c r="BI267" i="27"/>
  <c r="O488" i="27"/>
  <c r="O28" i="27"/>
  <c r="O212" i="27"/>
  <c r="A247" i="27"/>
  <c r="A260" i="27"/>
  <c r="O270" i="27"/>
  <c r="A283" i="27"/>
  <c r="A393" i="27"/>
  <c r="BI396" i="27"/>
  <c r="A443" i="27"/>
  <c r="O439" i="27"/>
  <c r="BI400" i="27"/>
  <c r="A417" i="27"/>
  <c r="BI428" i="27"/>
  <c r="A452" i="27"/>
  <c r="A527" i="27"/>
  <c r="A525" i="27"/>
  <c r="O563" i="27"/>
  <c r="A561" i="27"/>
  <c r="BI591" i="27"/>
  <c r="A607" i="27"/>
  <c r="O637" i="27"/>
  <c r="BI649" i="27"/>
  <c r="A567" i="27"/>
  <c r="A132" i="27"/>
  <c r="BI301" i="27"/>
  <c r="O140" i="27"/>
  <c r="A209" i="27"/>
  <c r="A238" i="27"/>
  <c r="A246" i="27"/>
  <c r="O278" i="27"/>
  <c r="O280" i="27"/>
  <c r="A289" i="27"/>
  <c r="A293" i="27"/>
  <c r="O319" i="27"/>
  <c r="O392" i="27"/>
  <c r="A450" i="27"/>
  <c r="A481" i="27"/>
  <c r="O494" i="27"/>
  <c r="O557" i="27"/>
  <c r="A562" i="27"/>
  <c r="A574" i="27"/>
  <c r="BI581" i="27"/>
  <c r="A642" i="27"/>
  <c r="A653" i="27"/>
  <c r="BI659" i="27"/>
  <c r="A660" i="27"/>
  <c r="A266" i="27"/>
  <c r="A9" i="27"/>
  <c r="O33" i="27"/>
  <c r="O44" i="27"/>
  <c r="A162" i="27"/>
  <c r="O170" i="27"/>
  <c r="A175" i="27"/>
  <c r="A211" i="27"/>
  <c r="A225" i="27"/>
  <c r="BI245" i="27"/>
  <c r="A274" i="27"/>
  <c r="O263" i="27"/>
  <c r="O255" i="27"/>
  <c r="A290" i="27"/>
  <c r="A291" i="27"/>
  <c r="A288" i="27"/>
  <c r="O332" i="27"/>
  <c r="BI358" i="27"/>
  <c r="O406" i="27"/>
  <c r="O461" i="27"/>
  <c r="O536" i="27"/>
  <c r="O564" i="27"/>
  <c r="O566" i="27"/>
  <c r="A641" i="27"/>
  <c r="A518" i="27"/>
  <c r="A662" i="27"/>
  <c r="A265" i="27"/>
  <c r="A88" i="27"/>
  <c r="O74" i="27"/>
  <c r="O309" i="27"/>
  <c r="O356" i="27"/>
  <c r="BI55" i="27"/>
  <c r="A150" i="27"/>
  <c r="A122" i="27"/>
  <c r="O210" i="27"/>
  <c r="A228" i="27"/>
  <c r="O244" i="27"/>
  <c r="BI262" i="27"/>
  <c r="O282" i="27"/>
  <c r="O299" i="27"/>
  <c r="BI338" i="27"/>
  <c r="A373" i="27"/>
  <c r="BI377" i="27"/>
  <c r="BI424" i="27"/>
  <c r="A407" i="27"/>
  <c r="A477" i="27"/>
  <c r="O537" i="27"/>
  <c r="O559" i="27"/>
  <c r="A605" i="27"/>
  <c r="O545" i="27"/>
  <c r="A663" i="27"/>
  <c r="O230" i="27"/>
  <c r="O130" i="27"/>
  <c r="A232" i="27"/>
  <c r="A19" i="27"/>
  <c r="O30" i="27"/>
  <c r="A15" i="27"/>
  <c r="O227" i="27"/>
  <c r="A243" i="27"/>
  <c r="A279" i="27"/>
  <c r="A284" i="27"/>
  <c r="A469" i="27"/>
  <c r="A474" i="27"/>
  <c r="BI520" i="27"/>
  <c r="O534" i="27"/>
  <c r="O565" i="27"/>
  <c r="A650" i="27"/>
  <c r="A661" i="27"/>
  <c r="A229" i="27"/>
  <c r="BI453" i="27"/>
  <c r="BI20" i="27"/>
  <c r="A18" i="27"/>
  <c r="A113" i="27"/>
  <c r="O43" i="27"/>
  <c r="O82" i="27"/>
  <c r="A142" i="27"/>
  <c r="BI149" i="27"/>
  <c r="O222" i="27"/>
  <c r="O226" i="27"/>
  <c r="BI242" i="27"/>
  <c r="A297" i="27"/>
  <c r="A354" i="27"/>
  <c r="A361" i="27"/>
  <c r="A372" i="27"/>
  <c r="BI349" i="27"/>
  <c r="BI540" i="27"/>
  <c r="A568" i="27"/>
  <c r="BI425" i="27"/>
  <c r="O65" i="27"/>
  <c r="A141" i="27"/>
  <c r="O147" i="27"/>
  <c r="A161" i="27"/>
  <c r="BI221" i="27"/>
  <c r="A308" i="27"/>
  <c r="A347" i="27"/>
  <c r="A353" i="27"/>
  <c r="A339" i="27"/>
  <c r="A371" i="27"/>
  <c r="BI389" i="27"/>
  <c r="A367" i="27"/>
  <c r="A570" i="27"/>
  <c r="O326" i="27"/>
  <c r="A13" i="27"/>
  <c r="A42" i="27"/>
  <c r="A12" i="27"/>
  <c r="O27" i="27"/>
  <c r="A54" i="27"/>
  <c r="A172" i="27"/>
  <c r="BI224" i="27"/>
  <c r="A237" i="27"/>
  <c r="A251" i="27"/>
  <c r="O318" i="27"/>
  <c r="A331" i="27"/>
  <c r="A306" i="27"/>
  <c r="A346" i="27"/>
  <c r="A352" i="27"/>
  <c r="A336" i="27"/>
  <c r="A370" i="27"/>
  <c r="BI390" i="27"/>
  <c r="O432" i="27"/>
  <c r="A413" i="27"/>
  <c r="BI459" i="27"/>
  <c r="O548" i="27"/>
  <c r="O465" i="27"/>
  <c r="A618" i="27"/>
  <c r="A619" i="27"/>
  <c r="A569" i="27"/>
  <c r="BI52" i="27"/>
  <c r="O164" i="27"/>
  <c r="O223" i="27"/>
  <c r="A235" i="27"/>
  <c r="A250" i="27"/>
  <c r="A296" i="27"/>
  <c r="A312" i="27"/>
  <c r="A329" i="27"/>
  <c r="A307" i="27"/>
  <c r="A362" i="27"/>
  <c r="O369" i="27"/>
  <c r="BI419" i="27"/>
  <c r="BI542" i="27"/>
  <c r="A643" i="27"/>
  <c r="A623" i="27"/>
  <c r="A645" i="27"/>
  <c r="BI110" i="27"/>
  <c r="A178" i="27"/>
  <c r="A219" i="27"/>
  <c r="A11" i="27"/>
  <c r="A29" i="27"/>
  <c r="O167" i="27"/>
  <c r="O195" i="27"/>
  <c r="BI220" i="27"/>
  <c r="A249" i="27"/>
  <c r="BI294" i="27"/>
  <c r="O311" i="27"/>
  <c r="A330" i="27"/>
  <c r="O313" i="27"/>
  <c r="A343" i="27"/>
  <c r="A348" i="27"/>
  <c r="O364" i="27"/>
  <c r="O334" i="27"/>
  <c r="A448" i="27"/>
  <c r="A485" i="27"/>
  <c r="O489" i="27"/>
  <c r="O500" i="27"/>
  <c r="O479" i="27"/>
  <c r="O543" i="27"/>
  <c r="BI539" i="27"/>
  <c r="O464" i="27"/>
  <c r="O635" i="27"/>
  <c r="A594" i="27"/>
  <c r="BI610" i="27"/>
  <c r="O589" i="27"/>
  <c r="A621" i="27"/>
  <c r="A646" i="27"/>
  <c r="BI39" i="27"/>
  <c r="BI102" i="27"/>
  <c r="O50" i="27"/>
  <c r="BI57" i="27"/>
  <c r="BI60" i="27"/>
  <c r="A62" i="27"/>
  <c r="BI187" i="27"/>
  <c r="A218" i="27"/>
  <c r="O233" i="27"/>
  <c r="A248" i="27"/>
  <c r="BI304" i="27"/>
  <c r="O316" i="27"/>
  <c r="A360" i="27"/>
  <c r="A305" i="27"/>
  <c r="A381" i="27"/>
  <c r="A505" i="27"/>
  <c r="A499" i="27"/>
  <c r="O478" i="27"/>
  <c r="A463" i="27"/>
  <c r="A615" i="27"/>
  <c r="A552" i="27"/>
  <c r="BO136" i="27"/>
  <c r="BO85" i="27"/>
  <c r="BQ646" i="27"/>
  <c r="BP553" i="27"/>
  <c r="BP265" i="27"/>
  <c r="BO265" i="27"/>
  <c r="BS646" i="27"/>
  <c r="BQ553" i="27"/>
  <c r="BS553" i="27"/>
  <c r="BS85" i="27"/>
  <c r="A8" i="27"/>
  <c r="BS136" i="27"/>
  <c r="BS132" i="27"/>
  <c r="BQ230" i="27"/>
  <c r="BS265" i="27"/>
  <c r="BP369" i="27"/>
  <c r="BQ265" i="27"/>
  <c r="Q8" i="27"/>
  <c r="BO646" i="27"/>
  <c r="BN553" i="27"/>
  <c r="BI265" i="27"/>
  <c r="BO554" i="27"/>
  <c r="BN136" i="27"/>
  <c r="BQ136" i="27"/>
  <c r="BN132" i="27"/>
  <c r="BN554" i="27"/>
  <c r="BN85" i="27"/>
  <c r="BQ132" i="27"/>
  <c r="BI230" i="27"/>
  <c r="BS554" i="27"/>
  <c r="BA661" i="27"/>
  <c r="BS552" i="27"/>
  <c r="BQ554" i="27"/>
  <c r="BN551" i="27"/>
  <c r="BQ552" i="27"/>
  <c r="BP552" i="27"/>
  <c r="BO552" i="27"/>
  <c r="BQ551" i="27"/>
  <c r="BP551" i="27"/>
  <c r="BO551" i="27"/>
  <c r="BP85" i="27"/>
  <c r="BN52" i="27"/>
  <c r="BO567" i="27"/>
  <c r="BS660" i="27"/>
  <c r="BO660" i="27"/>
  <c r="BQ567" i="27"/>
  <c r="BQ660" i="27"/>
  <c r="BN567" i="27"/>
  <c r="BN660" i="27"/>
  <c r="BP567" i="27"/>
  <c r="BP663" i="27"/>
  <c r="BI553" i="27"/>
  <c r="BI552" i="27"/>
  <c r="BN337" i="27"/>
  <c r="BN662" i="27"/>
  <c r="BI551" i="27"/>
  <c r="BI663" i="27"/>
  <c r="BI661" i="27"/>
  <c r="BI568" i="27"/>
  <c r="BI554" i="27"/>
  <c r="BI567" i="27"/>
  <c r="BI645" i="27"/>
  <c r="BI570" i="27"/>
  <c r="O570" i="27"/>
  <c r="BN646" i="27"/>
  <c r="O663" i="27"/>
  <c r="BQ645" i="27"/>
  <c r="BO645" i="27"/>
  <c r="BI569" i="27"/>
  <c r="BS569" i="27"/>
  <c r="BS645" i="27"/>
  <c r="BP645" i="27"/>
  <c r="O568" i="27"/>
  <c r="O551" i="27"/>
  <c r="BQ45" i="27"/>
  <c r="O645" i="27"/>
  <c r="O552" i="27"/>
  <c r="O554" i="27"/>
  <c r="AX570" i="27"/>
  <c r="BO45" i="27"/>
  <c r="O45" i="27"/>
  <c r="O662" i="27"/>
  <c r="BN550" i="27"/>
  <c r="BS45" i="27"/>
  <c r="BI45" i="27"/>
  <c r="O661" i="27"/>
  <c r="BP45" i="27"/>
  <c r="O569" i="27"/>
  <c r="O646" i="27"/>
  <c r="O553" i="27"/>
  <c r="BQ550" i="27"/>
  <c r="O550" i="27"/>
  <c r="AQ663" i="27"/>
  <c r="BO550" i="27"/>
  <c r="BS550" i="27"/>
  <c r="BI550" i="27"/>
  <c r="BA569" i="27"/>
  <c r="BI646" i="27"/>
  <c r="AT569" i="27"/>
  <c r="AV569" i="27" s="1"/>
  <c r="AQ568" i="27"/>
  <c r="BB645" i="27"/>
  <c r="BC645" i="27" s="1"/>
  <c r="BO230" i="27"/>
  <c r="AU661" i="27"/>
  <c r="BB661" i="27"/>
  <c r="BC661" i="27" s="1"/>
  <c r="AQ570" i="27"/>
  <c r="AQ645" i="27"/>
  <c r="AX229" i="27"/>
  <c r="AY568" i="27"/>
  <c r="AZ568" i="27" s="1"/>
  <c r="BB568" i="27"/>
  <c r="BC568" i="27" s="1"/>
  <c r="AY570" i="27"/>
  <c r="AZ570" i="27" s="1"/>
  <c r="AQ569" i="27"/>
  <c r="AY569" i="27"/>
  <c r="AZ569" i="27" s="1"/>
  <c r="BB569" i="27"/>
  <c r="BC569" i="27" s="1"/>
  <c r="AY645" i="27"/>
  <c r="AZ645" i="27" s="1"/>
  <c r="AT661" i="27"/>
  <c r="AV661" i="27" s="1"/>
  <c r="AP661" i="27"/>
  <c r="AR661" i="27" s="1"/>
  <c r="AX661" i="27"/>
  <c r="AY661" i="27"/>
  <c r="AZ661" i="27" s="1"/>
  <c r="BI136" i="27"/>
  <c r="AX45" i="27"/>
  <c r="AY660" i="27"/>
  <c r="AZ660" i="27" s="1"/>
  <c r="BB663" i="27"/>
  <c r="BC663" i="27" s="1"/>
  <c r="BA663" i="27"/>
  <c r="AY663" i="27"/>
  <c r="AZ663" i="27" s="1"/>
  <c r="AU552" i="27"/>
  <c r="AT552" i="27"/>
  <c r="AV552" i="27" s="1"/>
  <c r="AQ552" i="27"/>
  <c r="AU553" i="27"/>
  <c r="AT553" i="27"/>
  <c r="AV553" i="27" s="1"/>
  <c r="AU663" i="27"/>
  <c r="AQ646" i="27"/>
  <c r="BB553" i="27"/>
  <c r="BC553" i="27" s="1"/>
  <c r="AY553" i="27"/>
  <c r="AZ553" i="27" s="1"/>
  <c r="AQ554" i="27"/>
  <c r="AQ551" i="27"/>
  <c r="AQ45" i="27"/>
  <c r="AQ660" i="27"/>
  <c r="BB551" i="27"/>
  <c r="BC551" i="27" s="1"/>
  <c r="AY551" i="27"/>
  <c r="AZ551" i="27" s="1"/>
  <c r="AQ550" i="27"/>
  <c r="BB45" i="27"/>
  <c r="BC45" i="27" s="1"/>
  <c r="BB567" i="27"/>
  <c r="BC567" i="27" s="1"/>
  <c r="AY567" i="27"/>
  <c r="AZ567" i="27" s="1"/>
  <c r="BB660" i="27"/>
  <c r="BC660" i="27" s="1"/>
  <c r="BA660" i="27"/>
  <c r="BB662" i="27"/>
  <c r="BC662" i="27" s="1"/>
  <c r="AY662" i="27"/>
  <c r="AZ662" i="27" s="1"/>
  <c r="BB646" i="27"/>
  <c r="BC646" i="27" s="1"/>
  <c r="AY646" i="27"/>
  <c r="AZ646" i="27" s="1"/>
  <c r="AQ553" i="27"/>
  <c r="BB550" i="27"/>
  <c r="BC550" i="27" s="1"/>
  <c r="AY550" i="27"/>
  <c r="AZ550" i="27" s="1"/>
  <c r="AQ567" i="27"/>
  <c r="AU660" i="27"/>
  <c r="BB552" i="27"/>
  <c r="BC552" i="27" s="1"/>
  <c r="AY552" i="27"/>
  <c r="AZ552" i="27" s="1"/>
  <c r="BB554" i="27"/>
  <c r="BC554" i="27" s="1"/>
  <c r="AY554" i="27"/>
  <c r="AZ554" i="27" s="1"/>
  <c r="AQ662" i="27"/>
  <c r="BS662" i="27"/>
  <c r="BO662" i="27"/>
  <c r="BP662" i="27"/>
  <c r="BI662" i="27"/>
  <c r="BB132" i="27"/>
  <c r="BC132" i="27" s="1"/>
  <c r="BQ663" i="27"/>
  <c r="BQ569" i="27"/>
  <c r="BS663" i="27"/>
  <c r="BN663" i="27"/>
  <c r="BP569" i="27"/>
  <c r="BN661" i="27"/>
  <c r="BO661" i="27"/>
  <c r="BN568" i="27"/>
  <c r="BP661" i="27"/>
  <c r="BO568" i="27"/>
  <c r="BN569" i="27"/>
  <c r="BQ661" i="27"/>
  <c r="BP568" i="27"/>
  <c r="BQ568" i="27"/>
  <c r="BS570" i="27"/>
  <c r="BQ570" i="27"/>
  <c r="BP570" i="27"/>
  <c r="BO570" i="27"/>
  <c r="AX265" i="27"/>
  <c r="AX230" i="27"/>
  <c r="O567" i="27"/>
  <c r="AP659" i="27"/>
  <c r="AR659" i="27" s="1"/>
  <c r="BN531" i="27"/>
  <c r="BB85" i="27"/>
  <c r="BC85" i="27" s="1"/>
  <c r="BB136" i="27"/>
  <c r="BC136" i="27" s="1"/>
  <c r="AX132" i="27"/>
  <c r="AX266" i="27"/>
  <c r="BA659" i="27"/>
  <c r="O136" i="27"/>
  <c r="BA519" i="27"/>
  <c r="AQ132" i="27"/>
  <c r="BB637" i="27"/>
  <c r="BC637" i="27" s="1"/>
  <c r="AQ266" i="27"/>
  <c r="AP85" i="27"/>
  <c r="AR85" i="27" s="1"/>
  <c r="AY85" i="27"/>
  <c r="AZ85" i="27" s="1"/>
  <c r="AP136" i="27"/>
  <c r="AR136" i="27" s="1"/>
  <c r="AY136" i="27"/>
  <c r="AZ136" i="27" s="1"/>
  <c r="A230" i="27"/>
  <c r="BI85" i="27"/>
  <c r="BI132" i="27"/>
  <c r="BI660" i="27"/>
  <c r="BI266" i="27"/>
  <c r="O85" i="27"/>
  <c r="O132" i="27"/>
  <c r="BI229" i="27"/>
  <c r="O266" i="27"/>
  <c r="O265" i="27"/>
  <c r="O229" i="27"/>
  <c r="O660" i="27"/>
  <c r="BQ266" i="27"/>
  <c r="AQ265" i="27"/>
  <c r="AQ230" i="27"/>
  <c r="AQ229" i="27"/>
  <c r="BN266" i="27"/>
  <c r="BB266" i="27"/>
  <c r="BC266" i="27" s="1"/>
  <c r="BP266" i="27"/>
  <c r="BB265" i="27"/>
  <c r="BC265" i="27" s="1"/>
  <c r="AU265" i="27"/>
  <c r="BB230" i="27"/>
  <c r="BC230" i="27" s="1"/>
  <c r="AU230" i="27"/>
  <c r="BS518" i="27"/>
  <c r="BO519" i="27"/>
  <c r="BS266" i="27"/>
  <c r="BB229" i="27"/>
  <c r="BC229" i="27" s="1"/>
  <c r="BP518" i="27"/>
  <c r="BA85" i="27"/>
  <c r="BO518" i="27"/>
  <c r="BA136" i="27"/>
  <c r="BN518" i="27"/>
  <c r="BB659" i="27"/>
  <c r="BC659" i="27" s="1"/>
  <c r="BS544" i="27"/>
  <c r="BN544" i="27"/>
  <c r="BA265" i="27"/>
  <c r="AT519" i="27"/>
  <c r="AV519" i="27" s="1"/>
  <c r="O519" i="27"/>
  <c r="BS519" i="27"/>
  <c r="BS545" i="27"/>
  <c r="BQ519" i="27"/>
  <c r="BP519" i="27"/>
  <c r="BP545" i="27"/>
  <c r="BN545" i="27"/>
  <c r="BO531" i="27"/>
  <c r="AY519" i="27"/>
  <c r="AZ519" i="27" s="1"/>
  <c r="BO545" i="27"/>
  <c r="AU519" i="27"/>
  <c r="BI518" i="27"/>
  <c r="AQ519" i="27"/>
  <c r="BI519" i="27"/>
  <c r="BQ649" i="27"/>
  <c r="BB519" i="27"/>
  <c r="BC519" i="27" s="1"/>
  <c r="BN659" i="27"/>
  <c r="BS650" i="27"/>
  <c r="BN650" i="27"/>
  <c r="BN532" i="27"/>
  <c r="AP544" i="27"/>
  <c r="AR544" i="27" s="1"/>
  <c r="BP593" i="27"/>
  <c r="BS652" i="27"/>
  <c r="BQ652" i="27"/>
  <c r="BN652" i="27"/>
  <c r="AQ518" i="27"/>
  <c r="BB641" i="27"/>
  <c r="BC641" i="27" s="1"/>
  <c r="BA544" i="27"/>
  <c r="BB518" i="27"/>
  <c r="BC518" i="27" s="1"/>
  <c r="O518" i="27"/>
  <c r="AU532" i="27"/>
  <c r="BS531" i="27"/>
  <c r="BB545" i="27"/>
  <c r="BC545" i="27" s="1"/>
  <c r="BP532" i="27"/>
  <c r="BB544" i="27"/>
  <c r="BC544" i="27" s="1"/>
  <c r="AY518" i="27"/>
  <c r="AZ518" i="27" s="1"/>
  <c r="A545" i="27"/>
  <c r="AX606" i="27"/>
  <c r="A659" i="27"/>
  <c r="BP652" i="27"/>
  <c r="BB607" i="27"/>
  <c r="BC607" i="27" s="1"/>
  <c r="BQ639" i="27"/>
  <c r="BP659" i="27"/>
  <c r="BS532" i="27"/>
  <c r="BA531" i="27"/>
  <c r="BO659" i="27"/>
  <c r="O659" i="27"/>
  <c r="BQ531" i="27"/>
  <c r="BA532" i="27"/>
  <c r="AY545" i="27"/>
  <c r="AZ545" i="27" s="1"/>
  <c r="AQ545" i="27"/>
  <c r="BB649" i="27"/>
  <c r="BC649" i="27" s="1"/>
  <c r="AY531" i="27"/>
  <c r="AZ531" i="27" s="1"/>
  <c r="AY544" i="27"/>
  <c r="AZ544" i="27" s="1"/>
  <c r="BI545" i="27"/>
  <c r="AX545" i="27"/>
  <c r="BB605" i="27"/>
  <c r="BC605" i="27" s="1"/>
  <c r="BB606" i="27"/>
  <c r="BC606" i="27" s="1"/>
  <c r="AU659" i="27"/>
  <c r="BI544" i="27"/>
  <c r="A544" i="27"/>
  <c r="AQ649" i="27"/>
  <c r="AQ531" i="27"/>
  <c r="BQ544" i="27"/>
  <c r="BP544" i="27"/>
  <c r="AU544" i="27"/>
  <c r="BI532" i="27"/>
  <c r="BS659" i="27"/>
  <c r="BQ532" i="27"/>
  <c r="AU531" i="27"/>
  <c r="BB531" i="27"/>
  <c r="BC531" i="27" s="1"/>
  <c r="O531" i="27"/>
  <c r="BP649" i="27"/>
  <c r="BB532" i="27"/>
  <c r="BC532" i="27" s="1"/>
  <c r="O532" i="27"/>
  <c r="AQ650" i="27"/>
  <c r="AY659" i="27"/>
  <c r="AZ659" i="27" s="1"/>
  <c r="BB638" i="27"/>
  <c r="BC638" i="27" s="1"/>
  <c r="BN649" i="27"/>
  <c r="BO638" i="27"/>
  <c r="BA639" i="27"/>
  <c r="AY532" i="27"/>
  <c r="AZ532" i="27" s="1"/>
  <c r="AQ532" i="27"/>
  <c r="BO605" i="27"/>
  <c r="AU649" i="27"/>
  <c r="A649" i="27"/>
  <c r="BI531" i="27"/>
  <c r="AQ638" i="27"/>
  <c r="AT659" i="27"/>
  <c r="AV659" i="27" s="1"/>
  <c r="BB653" i="27"/>
  <c r="BC653" i="27" s="1"/>
  <c r="BO650" i="27"/>
  <c r="BS649" i="27"/>
  <c r="AY649" i="27"/>
  <c r="AZ649" i="27" s="1"/>
  <c r="AX652" i="27"/>
  <c r="AX649" i="27"/>
  <c r="AX659" i="27"/>
  <c r="A652" i="27"/>
  <c r="BB652" i="27"/>
  <c r="BC652" i="27" s="1"/>
  <c r="O652" i="27"/>
  <c r="AQ652" i="27"/>
  <c r="O649" i="27"/>
  <c r="BS605" i="27"/>
  <c r="BI647" i="27"/>
  <c r="BQ606" i="27"/>
  <c r="BA649" i="27"/>
  <c r="BS593" i="27"/>
  <c r="BP606" i="27"/>
  <c r="BN593" i="27"/>
  <c r="BN637" i="27"/>
  <c r="BN606" i="27"/>
  <c r="O647" i="27"/>
  <c r="O639" i="27"/>
  <c r="BB647" i="27"/>
  <c r="BC647" i="27" s="1"/>
  <c r="AQ647" i="27"/>
  <c r="BQ637" i="27"/>
  <c r="BI650" i="27"/>
  <c r="BP637" i="27"/>
  <c r="BO639" i="27"/>
  <c r="BN639" i="27"/>
  <c r="BS647" i="27"/>
  <c r="O650" i="27"/>
  <c r="BP647" i="27"/>
  <c r="BB650" i="27"/>
  <c r="BC650" i="27" s="1"/>
  <c r="BO647" i="27"/>
  <c r="O609" i="27"/>
  <c r="BI609" i="27"/>
  <c r="BN647" i="27"/>
  <c r="BO606" i="27"/>
  <c r="AX650" i="27"/>
  <c r="BI641" i="27"/>
  <c r="BQ650" i="27"/>
  <c r="BO625" i="27"/>
  <c r="BS638" i="27"/>
  <c r="AY647" i="27"/>
  <c r="AZ647" i="27" s="1"/>
  <c r="BP621" i="27"/>
  <c r="BS639" i="27"/>
  <c r="BN641" i="27"/>
  <c r="BI639" i="27"/>
  <c r="A655" i="27"/>
  <c r="BN621" i="27"/>
  <c r="BI605" i="27"/>
  <c r="O607" i="27"/>
  <c r="BQ638" i="27"/>
  <c r="BI606" i="27"/>
  <c r="BI607" i="27"/>
  <c r="BN653" i="27"/>
  <c r="AX655" i="27"/>
  <c r="BA655" i="27"/>
  <c r="BI623" i="27"/>
  <c r="BO641" i="27"/>
  <c r="BQ655" i="27"/>
  <c r="BS655" i="27"/>
  <c r="BI653" i="27"/>
  <c r="BP655" i="27"/>
  <c r="AU655" i="27"/>
  <c r="BQ642" i="27"/>
  <c r="BN655" i="27"/>
  <c r="BQ641" i="27"/>
  <c r="BN605" i="27"/>
  <c r="BI638" i="27"/>
  <c r="AY653" i="27"/>
  <c r="AZ653" i="27" s="1"/>
  <c r="BQ605" i="27"/>
  <c r="AQ655" i="27"/>
  <c r="BI642" i="27"/>
  <c r="BI655" i="27"/>
  <c r="BS607" i="27"/>
  <c r="BP641" i="27"/>
  <c r="BQ607" i="27"/>
  <c r="BB655" i="27"/>
  <c r="BC655" i="27" s="1"/>
  <c r="A638" i="27"/>
  <c r="BS637" i="27"/>
  <c r="BS625" i="27"/>
  <c r="A606" i="27"/>
  <c r="AQ653" i="27"/>
  <c r="AP653" i="27"/>
  <c r="AR653" i="27" s="1"/>
  <c r="O653" i="27"/>
  <c r="AY638" i="27"/>
  <c r="AZ638" i="27" s="1"/>
  <c r="BN638" i="27"/>
  <c r="AY637" i="27"/>
  <c r="AZ637" i="27" s="1"/>
  <c r="BB609" i="27"/>
  <c r="BC609" i="27" s="1"/>
  <c r="AY642" i="27"/>
  <c r="AZ642" i="27" s="1"/>
  <c r="AU641" i="27"/>
  <c r="AP641" i="27"/>
  <c r="AR641" i="27" s="1"/>
  <c r="BS653" i="27"/>
  <c r="AQ609" i="27"/>
  <c r="AX639" i="27"/>
  <c r="BQ653" i="27"/>
  <c r="AX637" i="27"/>
  <c r="BP653" i="27"/>
  <c r="AQ623" i="27"/>
  <c r="BB642" i="27"/>
  <c r="BC642" i="27" s="1"/>
  <c r="BQ591" i="27"/>
  <c r="BN625" i="27"/>
  <c r="BO607" i="27"/>
  <c r="AY641" i="27"/>
  <c r="AZ641" i="27" s="1"/>
  <c r="AT639" i="27"/>
  <c r="AV639" i="27" s="1"/>
  <c r="AP605" i="27"/>
  <c r="AR605" i="27" s="1"/>
  <c r="BQ622" i="27"/>
  <c r="BP591" i="27"/>
  <c r="AY605" i="27"/>
  <c r="AZ605" i="27" s="1"/>
  <c r="AP606" i="27"/>
  <c r="AR606" i="27" s="1"/>
  <c r="BA591" i="27"/>
  <c r="BO642" i="27"/>
  <c r="BN622" i="27"/>
  <c r="AQ639" i="27"/>
  <c r="AQ637" i="27"/>
  <c r="BS580" i="27"/>
  <c r="AX641" i="27"/>
  <c r="AQ642" i="27"/>
  <c r="BN581" i="27"/>
  <c r="BA607" i="27"/>
  <c r="BB639" i="27"/>
  <c r="BC639" i="27" s="1"/>
  <c r="AX605" i="27"/>
  <c r="O642" i="27"/>
  <c r="BN642" i="27"/>
  <c r="O641" i="27"/>
  <c r="BN583" i="27"/>
  <c r="AX623" i="27"/>
  <c r="AQ606" i="27"/>
  <c r="O605" i="27"/>
  <c r="A637" i="27"/>
  <c r="AY607" i="27"/>
  <c r="AZ607" i="27" s="1"/>
  <c r="BP642" i="27"/>
  <c r="AY609" i="27"/>
  <c r="AZ609" i="27" s="1"/>
  <c r="BS615" i="27"/>
  <c r="A625" i="27"/>
  <c r="AX609" i="27"/>
  <c r="BI637" i="27"/>
  <c r="BN623" i="27"/>
  <c r="BP581" i="27"/>
  <c r="O591" i="27"/>
  <c r="AX607" i="27"/>
  <c r="AP607" i="27"/>
  <c r="AR607" i="27" s="1"/>
  <c r="BS609" i="27"/>
  <c r="BQ609" i="27"/>
  <c r="BB591" i="27"/>
  <c r="BC591" i="27" s="1"/>
  <c r="BP607" i="27"/>
  <c r="BB593" i="27"/>
  <c r="BC593" i="27" s="1"/>
  <c r="BB623" i="27"/>
  <c r="BC623" i="27" s="1"/>
  <c r="BP609" i="27"/>
  <c r="BI579" i="27"/>
  <c r="O623" i="27"/>
  <c r="BO609" i="27"/>
  <c r="BS622" i="27"/>
  <c r="BP625" i="27"/>
  <c r="BO623" i="27"/>
  <c r="BS621" i="27"/>
  <c r="BB625" i="27"/>
  <c r="BC625" i="27" s="1"/>
  <c r="AT625" i="27"/>
  <c r="AV625" i="27" s="1"/>
  <c r="O625" i="27"/>
  <c r="A622" i="27"/>
  <c r="BS591" i="27"/>
  <c r="BA625" i="27"/>
  <c r="BP580" i="27"/>
  <c r="BQ593" i="27"/>
  <c r="AY625" i="27"/>
  <c r="AZ625" i="27" s="1"/>
  <c r="AQ625" i="27"/>
  <c r="BN580" i="27"/>
  <c r="O621" i="27"/>
  <c r="BO591" i="27"/>
  <c r="A591" i="27"/>
  <c r="BS589" i="27"/>
  <c r="BS623" i="27"/>
  <c r="BQ623" i="27"/>
  <c r="BI589" i="27"/>
  <c r="BB621" i="27"/>
  <c r="BC621" i="27" s="1"/>
  <c r="BA621" i="27"/>
  <c r="BQ621" i="27"/>
  <c r="BA622" i="27"/>
  <c r="BO581" i="27"/>
  <c r="AY591" i="27"/>
  <c r="AZ591" i="27" s="1"/>
  <c r="AQ591" i="27"/>
  <c r="AY593" i="27"/>
  <c r="AZ593" i="27" s="1"/>
  <c r="AQ593" i="27"/>
  <c r="BP588" i="27"/>
  <c r="AX591" i="27"/>
  <c r="AP591" i="27"/>
  <c r="AR591" i="27" s="1"/>
  <c r="BN613" i="27"/>
  <c r="O581" i="27"/>
  <c r="BI593" i="27"/>
  <c r="AX593" i="27"/>
  <c r="A593" i="27"/>
  <c r="O612" i="27"/>
  <c r="BS581" i="27"/>
  <c r="A581" i="27"/>
  <c r="BI588" i="27"/>
  <c r="BI574" i="27"/>
  <c r="AU621" i="27"/>
  <c r="BI580" i="27"/>
  <c r="BP622" i="27"/>
  <c r="AU622" i="27"/>
  <c r="BB622" i="27"/>
  <c r="BC622" i="27" s="1"/>
  <c r="O622" i="27"/>
  <c r="A589" i="27"/>
  <c r="BQ615" i="27"/>
  <c r="BP589" i="27"/>
  <c r="BB581" i="27"/>
  <c r="BC581" i="27" s="1"/>
  <c r="BP615" i="27"/>
  <c r="BO615" i="27"/>
  <c r="BN589" i="27"/>
  <c r="AY621" i="27"/>
  <c r="AZ621" i="27" s="1"/>
  <c r="AQ621" i="27"/>
  <c r="BN614" i="27"/>
  <c r="BI612" i="27"/>
  <c r="BB580" i="27"/>
  <c r="BC580" i="27" s="1"/>
  <c r="AY622" i="27"/>
  <c r="AZ622" i="27" s="1"/>
  <c r="AQ622" i="27"/>
  <c r="BS579" i="27"/>
  <c r="BI621" i="27"/>
  <c r="BO578" i="27"/>
  <c r="O588" i="27"/>
  <c r="BB583" i="27"/>
  <c r="BC583" i="27" s="1"/>
  <c r="BP599" i="27"/>
  <c r="BN579" i="27"/>
  <c r="BB578" i="27"/>
  <c r="BC578" i="27" s="1"/>
  <c r="O579" i="27"/>
  <c r="AY580" i="27"/>
  <c r="AZ580" i="27" s="1"/>
  <c r="AQ580" i="27"/>
  <c r="AX581" i="27"/>
  <c r="AP581" i="27"/>
  <c r="AR581" i="27" s="1"/>
  <c r="AX580" i="27"/>
  <c r="AP589" i="27"/>
  <c r="AR589" i="27" s="1"/>
  <c r="A580" i="27"/>
  <c r="BQ580" i="27"/>
  <c r="AP612" i="27"/>
  <c r="AR612" i="27" s="1"/>
  <c r="BA594" i="27"/>
  <c r="BS613" i="27"/>
  <c r="BP579" i="27"/>
  <c r="A578" i="27"/>
  <c r="BA588" i="27"/>
  <c r="BP613" i="27"/>
  <c r="AY610" i="27"/>
  <c r="AZ610" i="27" s="1"/>
  <c r="BS614" i="27"/>
  <c r="BO613" i="27"/>
  <c r="BO579" i="27"/>
  <c r="AX583" i="27"/>
  <c r="O578" i="27"/>
  <c r="BB613" i="27"/>
  <c r="BC613" i="27" s="1"/>
  <c r="AX588" i="27"/>
  <c r="BB589" i="27"/>
  <c r="BC589" i="27" s="1"/>
  <c r="AY589" i="27"/>
  <c r="AZ589" i="27" s="1"/>
  <c r="BS588" i="27"/>
  <c r="AU589" i="27"/>
  <c r="BQ589" i="27"/>
  <c r="AU588" i="27"/>
  <c r="BS612" i="27"/>
  <c r="AU583" i="27"/>
  <c r="BQ588" i="27"/>
  <c r="AT579" i="27"/>
  <c r="AV579" i="27" s="1"/>
  <c r="BB588" i="27"/>
  <c r="BC588" i="27" s="1"/>
  <c r="BP614" i="27"/>
  <c r="AP614" i="27"/>
  <c r="AR614" i="27" s="1"/>
  <c r="BO612" i="27"/>
  <c r="BO588" i="27"/>
  <c r="BA589" i="27"/>
  <c r="AQ588" i="27"/>
  <c r="BS583" i="27"/>
  <c r="BB612" i="27"/>
  <c r="BC612" i="27" s="1"/>
  <c r="AX589" i="27"/>
  <c r="BA578" i="27"/>
  <c r="O583" i="27"/>
  <c r="A583" i="27"/>
  <c r="BI583" i="27"/>
  <c r="AY578" i="27"/>
  <c r="AZ578" i="27" s="1"/>
  <c r="AX578" i="27"/>
  <c r="BO634" i="27"/>
  <c r="BQ574" i="27"/>
  <c r="AX579" i="27"/>
  <c r="AP579" i="27"/>
  <c r="AR579" i="27" s="1"/>
  <c r="BP574" i="27"/>
  <c r="AP576" i="27"/>
  <c r="AR576" i="27" s="1"/>
  <c r="AP583" i="27"/>
  <c r="AR583" i="27" s="1"/>
  <c r="BO574" i="27"/>
  <c r="BA613" i="27"/>
  <c r="AT613" i="27"/>
  <c r="AV613" i="27" s="1"/>
  <c r="BN574" i="27"/>
  <c r="BQ578" i="27"/>
  <c r="BN578" i="27"/>
  <c r="BN610" i="27"/>
  <c r="O574" i="27"/>
  <c r="BO583" i="27"/>
  <c r="BQ583" i="27"/>
  <c r="AY612" i="27"/>
  <c r="AZ612" i="27" s="1"/>
  <c r="BP612" i="27"/>
  <c r="BQ612" i="27"/>
  <c r="BB579" i="27"/>
  <c r="BC579" i="27" s="1"/>
  <c r="AX612" i="27"/>
  <c r="BA583" i="27"/>
  <c r="AX613" i="27"/>
  <c r="BB610" i="27"/>
  <c r="BC610" i="27" s="1"/>
  <c r="BS578" i="27"/>
  <c r="AY583" i="27"/>
  <c r="AZ583" i="27" s="1"/>
  <c r="AQ578" i="27"/>
  <c r="AT574" i="27"/>
  <c r="AV574" i="27" s="1"/>
  <c r="BO610" i="27"/>
  <c r="AT610" i="27"/>
  <c r="AV610" i="27" s="1"/>
  <c r="BB614" i="27"/>
  <c r="BC614" i="27" s="1"/>
  <c r="BO614" i="27"/>
  <c r="AU615" i="27"/>
  <c r="BB627" i="27"/>
  <c r="BC627" i="27" s="1"/>
  <c r="BQ595" i="27"/>
  <c r="BS610" i="27"/>
  <c r="A610" i="27"/>
  <c r="O610" i="27"/>
  <c r="AQ610" i="27"/>
  <c r="A613" i="27"/>
  <c r="BQ610" i="27"/>
  <c r="O613" i="27"/>
  <c r="BA610" i="27"/>
  <c r="AQ613" i="27"/>
  <c r="BN643" i="27"/>
  <c r="BS626" i="27"/>
  <c r="BA612" i="27"/>
  <c r="BN630" i="27"/>
  <c r="BN626" i="27"/>
  <c r="O615" i="27"/>
  <c r="BB595" i="27"/>
  <c r="BC595" i="27" s="1"/>
  <c r="O614" i="27"/>
  <c r="AX594" i="27"/>
  <c r="BB615" i="27"/>
  <c r="BC615" i="27" s="1"/>
  <c r="BP594" i="27"/>
  <c r="BA576" i="27"/>
  <c r="BQ643" i="27"/>
  <c r="BN594" i="27"/>
  <c r="AX576" i="27"/>
  <c r="AP594" i="27"/>
  <c r="AR594" i="27" s="1"/>
  <c r="AY614" i="27"/>
  <c r="AZ614" i="27" s="1"/>
  <c r="AP595" i="27"/>
  <c r="AR595" i="27" s="1"/>
  <c r="AY615" i="27"/>
  <c r="AZ615" i="27" s="1"/>
  <c r="AQ615" i="27"/>
  <c r="BI614" i="27"/>
  <c r="BI615" i="27"/>
  <c r="O594" i="27"/>
  <c r="AY597" i="27"/>
  <c r="AZ597" i="27" s="1"/>
  <c r="BB594" i="27"/>
  <c r="BC594" i="27" s="1"/>
  <c r="BI576" i="27"/>
  <c r="BO594" i="27"/>
  <c r="BA595" i="27"/>
  <c r="BQ576" i="27"/>
  <c r="BN627" i="27"/>
  <c r="BO595" i="27"/>
  <c r="AY595" i="27"/>
  <c r="AZ595" i="27" s="1"/>
  <c r="BP576" i="27"/>
  <c r="AU576" i="27"/>
  <c r="BN595" i="27"/>
  <c r="BB574" i="27"/>
  <c r="BC574" i="27" s="1"/>
  <c r="O595" i="27"/>
  <c r="BO576" i="27"/>
  <c r="BB576" i="27"/>
  <c r="BC576" i="27" s="1"/>
  <c r="O576" i="27"/>
  <c r="BS630" i="27"/>
  <c r="BS631" i="27"/>
  <c r="BN576" i="27"/>
  <c r="BQ630" i="27"/>
  <c r="BQ631" i="27"/>
  <c r="AY574" i="27"/>
  <c r="AZ574" i="27" s="1"/>
  <c r="AQ574" i="27"/>
  <c r="AQ594" i="27"/>
  <c r="BO630" i="27"/>
  <c r="BP627" i="27"/>
  <c r="BP595" i="27"/>
  <c r="AU594" i="27"/>
  <c r="BA597" i="27"/>
  <c r="AU595" i="27"/>
  <c r="BA626" i="27"/>
  <c r="BI559" i="27"/>
  <c r="BQ634" i="27"/>
  <c r="BQ626" i="27"/>
  <c r="AX627" i="27"/>
  <c r="BS562" i="27"/>
  <c r="BS584" i="27"/>
  <c r="BB626" i="27"/>
  <c r="BC626" i="27" s="1"/>
  <c r="BN562" i="27"/>
  <c r="BO584" i="27"/>
  <c r="BN565" i="27"/>
  <c r="BS598" i="27"/>
  <c r="BI594" i="27"/>
  <c r="BI595" i="27"/>
  <c r="BO599" i="27"/>
  <c r="AQ626" i="27"/>
  <c r="BS594" i="27"/>
  <c r="BI630" i="27"/>
  <c r="BO597" i="27"/>
  <c r="AQ627" i="27"/>
  <c r="BO563" i="27"/>
  <c r="BN597" i="27"/>
  <c r="BI627" i="27"/>
  <c r="BO566" i="27"/>
  <c r="BI562" i="27"/>
  <c r="BN629" i="27"/>
  <c r="BS633" i="27"/>
  <c r="BN598" i="27"/>
  <c r="AY627" i="27"/>
  <c r="AZ627" i="27" s="1"/>
  <c r="BP464" i="27"/>
  <c r="AX599" i="27"/>
  <c r="BI626" i="27"/>
  <c r="AX626" i="27"/>
  <c r="A598" i="27"/>
  <c r="A626" i="27"/>
  <c r="BS599" i="27"/>
  <c r="BS627" i="27"/>
  <c r="A627" i="27"/>
  <c r="BQ633" i="27"/>
  <c r="BB598" i="27"/>
  <c r="BC598" i="27" s="1"/>
  <c r="O598" i="27"/>
  <c r="BQ599" i="27"/>
  <c r="AU597" i="27"/>
  <c r="BQ627" i="27"/>
  <c r="BP633" i="27"/>
  <c r="BS619" i="27"/>
  <c r="BQ598" i="27"/>
  <c r="BP626" i="27"/>
  <c r="AU626" i="27"/>
  <c r="BS620" i="27"/>
  <c r="AT597" i="27"/>
  <c r="AV597" i="27" s="1"/>
  <c r="BB616" i="27"/>
  <c r="BC616" i="27" s="1"/>
  <c r="BN620" i="27"/>
  <c r="BP597" i="27"/>
  <c r="BO633" i="27"/>
  <c r="AX616" i="27"/>
  <c r="BP598" i="27"/>
  <c r="BQ566" i="27"/>
  <c r="BN635" i="27"/>
  <c r="BQ586" i="27"/>
  <c r="BP629" i="27"/>
  <c r="BN634" i="27"/>
  <c r="BO629" i="27"/>
  <c r="BS634" i="27"/>
  <c r="BN584" i="27"/>
  <c r="BI620" i="27"/>
  <c r="BQ644" i="27"/>
  <c r="BB584" i="27"/>
  <c r="BC584" i="27" s="1"/>
  <c r="BQ635" i="27"/>
  <c r="BA620" i="27"/>
  <c r="AY635" i="27"/>
  <c r="AZ635" i="27" s="1"/>
  <c r="BQ584" i="27"/>
  <c r="AX598" i="27"/>
  <c r="BS561" i="27"/>
  <c r="AY631" i="27"/>
  <c r="AZ631" i="27" s="1"/>
  <c r="AP618" i="27"/>
  <c r="AR618" i="27" s="1"/>
  <c r="BO586" i="27"/>
  <c r="BP619" i="27"/>
  <c r="A599" i="27"/>
  <c r="BN619" i="27"/>
  <c r="BS597" i="27"/>
  <c r="BB599" i="27"/>
  <c r="BC599" i="27" s="1"/>
  <c r="O599" i="27"/>
  <c r="A597" i="27"/>
  <c r="BP644" i="27"/>
  <c r="BN586" i="27"/>
  <c r="AP620" i="27"/>
  <c r="AR620" i="27" s="1"/>
  <c r="BB597" i="27"/>
  <c r="BC597" i="27" s="1"/>
  <c r="AQ599" i="27"/>
  <c r="O597" i="27"/>
  <c r="BP643" i="27"/>
  <c r="AQ597" i="27"/>
  <c r="BN547" i="27"/>
  <c r="BP562" i="27"/>
  <c r="BP635" i="27"/>
  <c r="AQ598" i="27"/>
  <c r="BN539" i="27"/>
  <c r="BO561" i="27"/>
  <c r="A566" i="27"/>
  <c r="BP631" i="27"/>
  <c r="O463" i="27"/>
  <c r="BQ560" i="27"/>
  <c r="BS566" i="27"/>
  <c r="BO644" i="27"/>
  <c r="BO619" i="27"/>
  <c r="BB619" i="27"/>
  <c r="BC619" i="27" s="1"/>
  <c r="O619" i="27"/>
  <c r="BS559" i="27"/>
  <c r="BO643" i="27"/>
  <c r="O630" i="27"/>
  <c r="BS586" i="27"/>
  <c r="BO620" i="27"/>
  <c r="BB620" i="27"/>
  <c r="BC620" i="27" s="1"/>
  <c r="AT620" i="27"/>
  <c r="AV620" i="27" s="1"/>
  <c r="O620" i="27"/>
  <c r="BQ565" i="27"/>
  <c r="BB632" i="27"/>
  <c r="BC632" i="27" s="1"/>
  <c r="BN644" i="27"/>
  <c r="AY586" i="27"/>
  <c r="AZ586" i="27" s="1"/>
  <c r="BP566" i="27"/>
  <c r="BQ632" i="27"/>
  <c r="BI618" i="27"/>
  <c r="AX584" i="27"/>
  <c r="AY619" i="27"/>
  <c r="AZ619" i="27" s="1"/>
  <c r="AQ619" i="27"/>
  <c r="BP565" i="27"/>
  <c r="AU634" i="27"/>
  <c r="AY620" i="27"/>
  <c r="AZ620" i="27" s="1"/>
  <c r="BI619" i="27"/>
  <c r="BS564" i="27"/>
  <c r="BN564" i="27"/>
  <c r="BA643" i="27"/>
  <c r="BS629" i="27"/>
  <c r="BI565" i="27"/>
  <c r="AY634" i="27"/>
  <c r="AZ634" i="27" s="1"/>
  <c r="AQ584" i="27"/>
  <c r="BQ620" i="27"/>
  <c r="BN463" i="27"/>
  <c r="BI584" i="27"/>
  <c r="AX529" i="27"/>
  <c r="BB586" i="27"/>
  <c r="BC586" i="27" s="1"/>
  <c r="O643" i="27"/>
  <c r="BO562" i="27"/>
  <c r="BO632" i="27"/>
  <c r="AY644" i="27"/>
  <c r="AZ644" i="27" s="1"/>
  <c r="AU632" i="27"/>
  <c r="O632" i="27"/>
  <c r="BA616" i="27"/>
  <c r="O618" i="27"/>
  <c r="AY643" i="27"/>
  <c r="AZ643" i="27" s="1"/>
  <c r="AU630" i="27"/>
  <c r="BA584" i="27"/>
  <c r="O631" i="27"/>
  <c r="AX618" i="27"/>
  <c r="A616" i="27"/>
  <c r="BI616" i="27"/>
  <c r="BN560" i="27"/>
  <c r="BN561" i="27"/>
  <c r="BO631" i="27"/>
  <c r="AQ586" i="27"/>
  <c r="BN563" i="27"/>
  <c r="BI566" i="27"/>
  <c r="AY565" i="27"/>
  <c r="AZ565" i="27" s="1"/>
  <c r="AX632" i="27"/>
  <c r="BN559" i="27"/>
  <c r="A586" i="27"/>
  <c r="A584" i="27"/>
  <c r="BP529" i="27"/>
  <c r="BP561" i="27"/>
  <c r="BS635" i="27"/>
  <c r="AQ616" i="27"/>
  <c r="BI643" i="27"/>
  <c r="BI632" i="27"/>
  <c r="AQ644" i="27"/>
  <c r="BP559" i="27"/>
  <c r="AQ643" i="27"/>
  <c r="O586" i="27"/>
  <c r="BA464" i="27"/>
  <c r="BI631" i="27"/>
  <c r="AP632" i="27"/>
  <c r="AR632" i="27" s="1"/>
  <c r="BB618" i="27"/>
  <c r="BC618" i="27" s="1"/>
  <c r="BA631" i="27"/>
  <c r="AQ631" i="27"/>
  <c r="BP616" i="27"/>
  <c r="AU616" i="27"/>
  <c r="BO618" i="27"/>
  <c r="BO616" i="27"/>
  <c r="O616" i="27"/>
  <c r="AT561" i="27"/>
  <c r="AV561" i="27" s="1"/>
  <c r="BN618" i="27"/>
  <c r="BN616" i="27"/>
  <c r="AY632" i="27"/>
  <c r="AZ632" i="27" s="1"/>
  <c r="AU643" i="27"/>
  <c r="BA529" i="27"/>
  <c r="AY630" i="27"/>
  <c r="AZ630" i="27" s="1"/>
  <c r="AU635" i="27"/>
  <c r="BB562" i="27"/>
  <c r="BC562" i="27" s="1"/>
  <c r="AY633" i="27"/>
  <c r="AZ633" i="27" s="1"/>
  <c r="AX562" i="27"/>
  <c r="BA635" i="27"/>
  <c r="AU633" i="27"/>
  <c r="AQ635" i="27"/>
  <c r="BS618" i="27"/>
  <c r="BA634" i="27"/>
  <c r="AQ634" i="27"/>
  <c r="BS616" i="27"/>
  <c r="BA632" i="27"/>
  <c r="BQ618" i="27"/>
  <c r="BA630" i="27"/>
  <c r="AQ630" i="27"/>
  <c r="BA633" i="27"/>
  <c r="AQ633" i="27"/>
  <c r="AY629" i="27"/>
  <c r="AZ629" i="27" s="1"/>
  <c r="BB631" i="27"/>
  <c r="BC631" i="27" s="1"/>
  <c r="A644" i="27"/>
  <c r="A635" i="27"/>
  <c r="A634" i="27"/>
  <c r="BB564" i="27"/>
  <c r="BC564" i="27" s="1"/>
  <c r="O561" i="27"/>
  <c r="BS632" i="27"/>
  <c r="BP632" i="27"/>
  <c r="AQ565" i="27"/>
  <c r="O562" i="27"/>
  <c r="A633" i="27"/>
  <c r="BB629" i="27"/>
  <c r="BC629" i="27" s="1"/>
  <c r="BB560" i="27"/>
  <c r="BC560" i="27" s="1"/>
  <c r="BB561" i="27"/>
  <c r="BC561" i="27" s="1"/>
  <c r="BB565" i="27"/>
  <c r="BC565" i="27" s="1"/>
  <c r="BI644" i="27"/>
  <c r="BB644" i="27"/>
  <c r="BC644" i="27" s="1"/>
  <c r="BB563" i="27"/>
  <c r="BC563" i="27" s="1"/>
  <c r="BA562" i="27"/>
  <c r="BB643" i="27"/>
  <c r="BC643" i="27" s="1"/>
  <c r="BA563" i="27"/>
  <c r="AU562" i="27"/>
  <c r="BI635" i="27"/>
  <c r="BB635" i="27"/>
  <c r="BC635" i="27" s="1"/>
  <c r="BA561" i="27"/>
  <c r="BI634" i="27"/>
  <c r="BB634" i="27"/>
  <c r="BC634" i="27" s="1"/>
  <c r="AX525" i="27"/>
  <c r="O560" i="27"/>
  <c r="BB630" i="27"/>
  <c r="BC630" i="27" s="1"/>
  <c r="BI633" i="27"/>
  <c r="BB633" i="27"/>
  <c r="BC633" i="27" s="1"/>
  <c r="BQ563" i="27"/>
  <c r="BS560" i="27"/>
  <c r="BI561" i="27"/>
  <c r="AX561" i="27"/>
  <c r="AP561" i="27"/>
  <c r="AR561" i="27" s="1"/>
  <c r="AP562" i="27"/>
  <c r="AR562" i="27" s="1"/>
  <c r="BS557" i="27"/>
  <c r="BP560" i="27"/>
  <c r="AX566" i="27"/>
  <c r="AP566" i="27"/>
  <c r="AR566" i="27" s="1"/>
  <c r="AX559" i="27"/>
  <c r="AP559" i="27"/>
  <c r="AR559" i="27" s="1"/>
  <c r="BQ557" i="27"/>
  <c r="A560" i="27"/>
  <c r="AU566" i="27"/>
  <c r="BP557" i="27"/>
  <c r="AU559" i="27"/>
  <c r="BN557" i="27"/>
  <c r="BP463" i="27"/>
  <c r="O629" i="27"/>
  <c r="AQ629" i="27"/>
  <c r="A559" i="27"/>
  <c r="BS565" i="27"/>
  <c r="BB566" i="27"/>
  <c r="BC566" i="27" s="1"/>
  <c r="A565" i="27"/>
  <c r="AU560" i="27"/>
  <c r="BO559" i="27"/>
  <c r="BB559" i="27"/>
  <c r="BC559" i="27" s="1"/>
  <c r="AQ562" i="27"/>
  <c r="BS539" i="27"/>
  <c r="BN529" i="27"/>
  <c r="BP563" i="27"/>
  <c r="AY560" i="27"/>
  <c r="AZ560" i="27" s="1"/>
  <c r="BN465" i="27"/>
  <c r="BO463" i="27"/>
  <c r="A563" i="27"/>
  <c r="BI563" i="27"/>
  <c r="BO537" i="27"/>
  <c r="BI463" i="27"/>
  <c r="AQ563" i="27"/>
  <c r="AQ560" i="27"/>
  <c r="BI524" i="27"/>
  <c r="BS488" i="27"/>
  <c r="BB463" i="27"/>
  <c r="BC463" i="27" s="1"/>
  <c r="BA557" i="27"/>
  <c r="AY563" i="27"/>
  <c r="AZ563" i="27" s="1"/>
  <c r="BS463" i="27"/>
  <c r="AX563" i="27"/>
  <c r="BB557" i="27"/>
  <c r="BC557" i="27" s="1"/>
  <c r="AU563" i="27"/>
  <c r="BN472" i="27"/>
  <c r="AT563" i="27"/>
  <c r="AV563" i="27" s="1"/>
  <c r="BN534" i="27"/>
  <c r="BB529" i="27"/>
  <c r="BC529" i="27" s="1"/>
  <c r="AQ472" i="27"/>
  <c r="BP541" i="27"/>
  <c r="BB525" i="27"/>
  <c r="BC525" i="27" s="1"/>
  <c r="A524" i="27"/>
  <c r="AY557" i="27"/>
  <c r="AZ557" i="27" s="1"/>
  <c r="AQ557" i="27"/>
  <c r="AQ529" i="27"/>
  <c r="BS472" i="27"/>
  <c r="BQ465" i="27"/>
  <c r="BS464" i="27"/>
  <c r="BB464" i="27"/>
  <c r="BC464" i="27" s="1"/>
  <c r="AY564" i="27"/>
  <c r="AZ564" i="27" s="1"/>
  <c r="AQ564" i="27"/>
  <c r="BP472" i="27"/>
  <c r="BP465" i="27"/>
  <c r="A464" i="27"/>
  <c r="BI557" i="27"/>
  <c r="AX557" i="27"/>
  <c r="AY524" i="27"/>
  <c r="AZ524" i="27" s="1"/>
  <c r="BI564" i="27"/>
  <c r="AX564" i="27"/>
  <c r="A557" i="27"/>
  <c r="BS525" i="27"/>
  <c r="A564" i="27"/>
  <c r="BB539" i="27"/>
  <c r="BC539" i="27" s="1"/>
  <c r="BN464" i="27"/>
  <c r="BA463" i="27"/>
  <c r="BO524" i="27"/>
  <c r="BQ564" i="27"/>
  <c r="AU557" i="27"/>
  <c r="BP564" i="27"/>
  <c r="BQ529" i="27"/>
  <c r="BQ525" i="27"/>
  <c r="BQ472" i="27"/>
  <c r="BS465" i="27"/>
  <c r="AY464" i="27"/>
  <c r="AZ464" i="27" s="1"/>
  <c r="AQ464" i="27"/>
  <c r="BP525" i="27"/>
  <c r="AY463" i="27"/>
  <c r="AZ463" i="27" s="1"/>
  <c r="AQ463" i="27"/>
  <c r="BS534" i="27"/>
  <c r="BO525" i="27"/>
  <c r="BI464" i="27"/>
  <c r="AX464" i="27"/>
  <c r="AP464" i="27"/>
  <c r="AR464" i="27" s="1"/>
  <c r="BQ534" i="27"/>
  <c r="AX463" i="27"/>
  <c r="AP463" i="27"/>
  <c r="AR463" i="27" s="1"/>
  <c r="BQ488" i="27"/>
  <c r="BQ464" i="27"/>
  <c r="BB465" i="27"/>
  <c r="BC465" i="27" s="1"/>
  <c r="AU463" i="27"/>
  <c r="BQ539" i="27"/>
  <c r="BO547" i="27"/>
  <c r="BN488" i="27"/>
  <c r="BO541" i="27"/>
  <c r="BN524" i="27"/>
  <c r="AY465" i="27"/>
  <c r="AZ465" i="27" s="1"/>
  <c r="BI543" i="27"/>
  <c r="BS529" i="27"/>
  <c r="BN536" i="27"/>
  <c r="AX465" i="27"/>
  <c r="A465" i="27"/>
  <c r="BS524" i="27"/>
  <c r="BQ524" i="27"/>
  <c r="BA472" i="27"/>
  <c r="BQ548" i="27"/>
  <c r="BQ536" i="27"/>
  <c r="O529" i="27"/>
  <c r="BB472" i="27"/>
  <c r="BC472" i="27" s="1"/>
  <c r="O525" i="27"/>
  <c r="AQ465" i="27"/>
  <c r="BP548" i="27"/>
  <c r="BI465" i="27"/>
  <c r="BO548" i="27"/>
  <c r="BI478" i="27"/>
  <c r="BO536" i="27"/>
  <c r="BI529" i="27"/>
  <c r="BB524" i="27"/>
  <c r="BC524" i="27" s="1"/>
  <c r="O539" i="27"/>
  <c r="BI536" i="27"/>
  <c r="A536" i="27"/>
  <c r="AY472" i="27"/>
  <c r="AZ472" i="27" s="1"/>
  <c r="BS537" i="27"/>
  <c r="BI537" i="27"/>
  <c r="A537" i="27"/>
  <c r="AX472" i="27"/>
  <c r="A472" i="27"/>
  <c r="BN537" i="27"/>
  <c r="BS479" i="27"/>
  <c r="BP542" i="27"/>
  <c r="BQ537" i="27"/>
  <c r="AY537" i="27"/>
  <c r="AZ537" i="27" s="1"/>
  <c r="BQ478" i="27"/>
  <c r="AQ524" i="27"/>
  <c r="BS513" i="27"/>
  <c r="BP536" i="27"/>
  <c r="AQ537" i="27"/>
  <c r="BI472" i="27"/>
  <c r="BQ514" i="27"/>
  <c r="AP525" i="27"/>
  <c r="AR525" i="27" s="1"/>
  <c r="A539" i="27"/>
  <c r="BI525" i="27"/>
  <c r="BS507" i="27"/>
  <c r="BI479" i="27"/>
  <c r="AY536" i="27"/>
  <c r="AZ536" i="27" s="1"/>
  <c r="A543" i="27"/>
  <c r="AQ547" i="27"/>
  <c r="BB536" i="27"/>
  <c r="BC536" i="27" s="1"/>
  <c r="BO514" i="27"/>
  <c r="BP479" i="27"/>
  <c r="AQ542" i="27"/>
  <c r="BB537" i="27"/>
  <c r="BC537" i="27" s="1"/>
  <c r="A479" i="27"/>
  <c r="BP543" i="27"/>
  <c r="BB542" i="27"/>
  <c r="BC542" i="27" s="1"/>
  <c r="BN541" i="27"/>
  <c r="BB547" i="27"/>
  <c r="BC547" i="27" s="1"/>
  <c r="O542" i="27"/>
  <c r="AY548" i="27"/>
  <c r="AZ548" i="27" s="1"/>
  <c r="AP536" i="27"/>
  <c r="AR536" i="27" s="1"/>
  <c r="AQ536" i="27"/>
  <c r="BI534" i="27"/>
  <c r="AX534" i="27"/>
  <c r="AP534" i="27"/>
  <c r="AR534" i="27" s="1"/>
  <c r="A542" i="27"/>
  <c r="A534" i="27"/>
  <c r="BI548" i="27"/>
  <c r="AU539" i="27"/>
  <c r="BQ513" i="27"/>
  <c r="BP534" i="27"/>
  <c r="AU534" i="27"/>
  <c r="BP513" i="27"/>
  <c r="BO513" i="27"/>
  <c r="BS478" i="27"/>
  <c r="BP539" i="27"/>
  <c r="BB534" i="27"/>
  <c r="BC534" i="27" s="1"/>
  <c r="BQ494" i="27"/>
  <c r="AP548" i="27"/>
  <c r="AR548" i="27" s="1"/>
  <c r="O513" i="27"/>
  <c r="BO478" i="27"/>
  <c r="AX542" i="27"/>
  <c r="BN478" i="27"/>
  <c r="AX547" i="27"/>
  <c r="BO495" i="27"/>
  <c r="AX543" i="27"/>
  <c r="BI547" i="27"/>
  <c r="BA539" i="27"/>
  <c r="BN514" i="27"/>
  <c r="BQ507" i="27"/>
  <c r="BP547" i="27"/>
  <c r="AP539" i="27"/>
  <c r="AR539" i="27" s="1"/>
  <c r="BO492" i="27"/>
  <c r="AU543" i="27"/>
  <c r="BN492" i="27"/>
  <c r="A540" i="27"/>
  <c r="BN548" i="27"/>
  <c r="AY539" i="27"/>
  <c r="AZ539" i="27" s="1"/>
  <c r="AX539" i="27"/>
  <c r="BS514" i="27"/>
  <c r="AP507" i="27"/>
  <c r="AR507" i="27" s="1"/>
  <c r="A478" i="27"/>
  <c r="AP543" i="27"/>
  <c r="AR543" i="27" s="1"/>
  <c r="A548" i="27"/>
  <c r="BQ541" i="27"/>
  <c r="BS547" i="27"/>
  <c r="BB548" i="27"/>
  <c r="BC548" i="27" s="1"/>
  <c r="A547" i="27"/>
  <c r="AQ548" i="27"/>
  <c r="BS494" i="27"/>
  <c r="BN540" i="27"/>
  <c r="AX526" i="27"/>
  <c r="BP494" i="27"/>
  <c r="BO479" i="27"/>
  <c r="BS542" i="27"/>
  <c r="AQ527" i="27"/>
  <c r="BS543" i="27"/>
  <c r="BS492" i="27"/>
  <c r="BN494" i="27"/>
  <c r="BI500" i="27"/>
  <c r="BO486" i="27"/>
  <c r="BI527" i="27"/>
  <c r="BQ542" i="27"/>
  <c r="BP492" i="27"/>
  <c r="BN499" i="27"/>
  <c r="BI514" i="27"/>
  <c r="AP526" i="27"/>
  <c r="AR526" i="27" s="1"/>
  <c r="BQ543" i="27"/>
  <c r="BO542" i="27"/>
  <c r="BI495" i="27"/>
  <c r="BS540" i="27"/>
  <c r="BO543" i="27"/>
  <c r="BB543" i="27"/>
  <c r="BC543" i="27" s="1"/>
  <c r="BS486" i="27"/>
  <c r="BB526" i="27"/>
  <c r="BC526" i="27" s="1"/>
  <c r="BQ540" i="27"/>
  <c r="BS527" i="27"/>
  <c r="BA543" i="27"/>
  <c r="BQ479" i="27"/>
  <c r="O520" i="27"/>
  <c r="BP526" i="27"/>
  <c r="O541" i="27"/>
  <c r="BO526" i="27"/>
  <c r="AP499" i="27"/>
  <c r="AR499" i="27" s="1"/>
  <c r="AY541" i="27"/>
  <c r="AZ541" i="27" s="1"/>
  <c r="BN527" i="27"/>
  <c r="BN485" i="27"/>
  <c r="BP507" i="27"/>
  <c r="BN520" i="27"/>
  <c r="BN526" i="27"/>
  <c r="BA486" i="27"/>
  <c r="BQ526" i="27"/>
  <c r="BB489" i="27"/>
  <c r="BC489" i="27" s="1"/>
  <c r="AQ486" i="27"/>
  <c r="BP527" i="27"/>
  <c r="AU527" i="27"/>
  <c r="BA541" i="27"/>
  <c r="BO527" i="27"/>
  <c r="BB527" i="27"/>
  <c r="BC527" i="27" s="1"/>
  <c r="O527" i="27"/>
  <c r="AQ540" i="27"/>
  <c r="O526" i="27"/>
  <c r="AX507" i="27"/>
  <c r="AQ541" i="27"/>
  <c r="BA494" i="27"/>
  <c r="BB520" i="27"/>
  <c r="BC520" i="27" s="1"/>
  <c r="AY527" i="27"/>
  <c r="AZ527" i="27" s="1"/>
  <c r="BB541" i="27"/>
  <c r="BC541" i="27" s="1"/>
  <c r="AX520" i="27"/>
  <c r="BI526" i="27"/>
  <c r="BB540" i="27"/>
  <c r="BC540" i="27" s="1"/>
  <c r="AU513" i="27"/>
  <c r="BS498" i="27"/>
  <c r="AY540" i="27"/>
  <c r="AZ540" i="27" s="1"/>
  <c r="AT541" i="27"/>
  <c r="AV541" i="27" s="1"/>
  <c r="O517" i="27"/>
  <c r="BN500" i="27"/>
  <c r="BQ500" i="27"/>
  <c r="O514" i="27"/>
  <c r="AX540" i="27"/>
  <c r="BQ517" i="27"/>
  <c r="BN517" i="27"/>
  <c r="AT488" i="27"/>
  <c r="AV488" i="27" s="1"/>
  <c r="A486" i="27"/>
  <c r="BQ498" i="27"/>
  <c r="BN498" i="27"/>
  <c r="BI513" i="27"/>
  <c r="BS520" i="27"/>
  <c r="A520" i="27"/>
  <c r="BI494" i="27"/>
  <c r="BA478" i="27"/>
  <c r="AQ520" i="27"/>
  <c r="O540" i="27"/>
  <c r="A541" i="27"/>
  <c r="BP500" i="27"/>
  <c r="BQ520" i="27"/>
  <c r="BP517" i="27"/>
  <c r="BO507" i="27"/>
  <c r="BP498" i="27"/>
  <c r="BA488" i="27"/>
  <c r="AQ479" i="27"/>
  <c r="BP520" i="27"/>
  <c r="BO488" i="27"/>
  <c r="BI507" i="27"/>
  <c r="AQ488" i="27"/>
  <c r="BP540" i="27"/>
  <c r="BO500" i="27"/>
  <c r="O486" i="27"/>
  <c r="BS495" i="27"/>
  <c r="BO517" i="27"/>
  <c r="AT486" i="27"/>
  <c r="AV486" i="27" s="1"/>
  <c r="A488" i="27"/>
  <c r="AP478" i="27"/>
  <c r="AR478" i="27" s="1"/>
  <c r="BB500" i="27"/>
  <c r="BC500" i="27" s="1"/>
  <c r="BI488" i="27"/>
  <c r="BI481" i="27"/>
  <c r="O495" i="27"/>
  <c r="BI517" i="27"/>
  <c r="BB499" i="27"/>
  <c r="BC499" i="27" s="1"/>
  <c r="BB507" i="27"/>
  <c r="BC507" i="27" s="1"/>
  <c r="AY479" i="27"/>
  <c r="AZ479" i="27" s="1"/>
  <c r="O507" i="27"/>
  <c r="BI474" i="27"/>
  <c r="BB498" i="27"/>
  <c r="BC498" i="27" s="1"/>
  <c r="BN486" i="27"/>
  <c r="BB479" i="27"/>
  <c r="BC479" i="27" s="1"/>
  <c r="AY478" i="27"/>
  <c r="AZ478" i="27" s="1"/>
  <c r="BQ486" i="27"/>
  <c r="BB478" i="27"/>
  <c r="BC478" i="27" s="1"/>
  <c r="AY488" i="27"/>
  <c r="AZ488" i="27" s="1"/>
  <c r="BB488" i="27"/>
  <c r="BC488" i="27" s="1"/>
  <c r="AY486" i="27"/>
  <c r="AZ486" i="27" s="1"/>
  <c r="BA498" i="27"/>
  <c r="BB486" i="27"/>
  <c r="BC486" i="27" s="1"/>
  <c r="AU479" i="27"/>
  <c r="AU478" i="27"/>
  <c r="AY499" i="27"/>
  <c r="AZ499" i="27" s="1"/>
  <c r="BA479" i="27"/>
  <c r="BB494" i="27"/>
  <c r="BC494" i="27" s="1"/>
  <c r="AY514" i="27"/>
  <c r="AZ514" i="27" s="1"/>
  <c r="AU486" i="27"/>
  <c r="AQ514" i="27"/>
  <c r="BO499" i="27"/>
  <c r="AT499" i="27"/>
  <c r="AV499" i="27" s="1"/>
  <c r="O499" i="27"/>
  <c r="A498" i="27"/>
  <c r="BB517" i="27"/>
  <c r="BC517" i="27" s="1"/>
  <c r="AY500" i="27"/>
  <c r="AZ500" i="27" s="1"/>
  <c r="AQ500" i="27"/>
  <c r="O498" i="27"/>
  <c r="BQ481" i="27"/>
  <c r="BB513" i="27"/>
  <c r="BC513" i="27" s="1"/>
  <c r="AY517" i="27"/>
  <c r="AZ517" i="27" s="1"/>
  <c r="AQ517" i="27"/>
  <c r="BN481" i="27"/>
  <c r="BQ499" i="27"/>
  <c r="BB514" i="27"/>
  <c r="BC514" i="27" s="1"/>
  <c r="AY498" i="27"/>
  <c r="AZ498" i="27" s="1"/>
  <c r="AT514" i="27"/>
  <c r="AV514" i="27" s="1"/>
  <c r="AQ498" i="27"/>
  <c r="BA500" i="27"/>
  <c r="AY513" i="27"/>
  <c r="AZ513" i="27" s="1"/>
  <c r="AQ513" i="27"/>
  <c r="AY494" i="27"/>
  <c r="AZ494" i="27" s="1"/>
  <c r="BI499" i="27"/>
  <c r="BB495" i="27"/>
  <c r="BC495" i="27" s="1"/>
  <c r="AU500" i="27"/>
  <c r="BP499" i="27"/>
  <c r="BN495" i="27"/>
  <c r="A494" i="27"/>
  <c r="AQ494" i="27"/>
  <c r="A500" i="27"/>
  <c r="BN505" i="27"/>
  <c r="BA477" i="27"/>
  <c r="BQ489" i="27"/>
  <c r="AY495" i="27"/>
  <c r="AZ495" i="27" s="1"/>
  <c r="AQ495" i="27"/>
  <c r="BA509" i="27"/>
  <c r="AX494" i="27"/>
  <c r="AP494" i="27"/>
  <c r="AR494" i="27" s="1"/>
  <c r="AP509" i="27"/>
  <c r="AR509" i="27" s="1"/>
  <c r="A509" i="27"/>
  <c r="AX495" i="27"/>
  <c r="AP495" i="27"/>
  <c r="AR495" i="27" s="1"/>
  <c r="BI492" i="27"/>
  <c r="BQ495" i="27"/>
  <c r="BI509" i="27"/>
  <c r="AU494" i="27"/>
  <c r="BO477" i="27"/>
  <c r="BO474" i="27"/>
  <c r="BQ461" i="27"/>
  <c r="BO505" i="27"/>
  <c r="BB509" i="27"/>
  <c r="BC509" i="27" s="1"/>
  <c r="AX492" i="27"/>
  <c r="AX509" i="27"/>
  <c r="BS489" i="27"/>
  <c r="A480" i="27"/>
  <c r="O480" i="27"/>
  <c r="BP489" i="27"/>
  <c r="BO489" i="27"/>
  <c r="BS509" i="27"/>
  <c r="BI604" i="27"/>
  <c r="O492" i="27"/>
  <c r="BQ509" i="27"/>
  <c r="AU509" i="27"/>
  <c r="AT492" i="27"/>
  <c r="AV492" i="27" s="1"/>
  <c r="BP509" i="27"/>
  <c r="AT509" i="27"/>
  <c r="AV509" i="27" s="1"/>
  <c r="BB492" i="27"/>
  <c r="BC492" i="27" s="1"/>
  <c r="BO509" i="27"/>
  <c r="BO603" i="27"/>
  <c r="BN604" i="27"/>
  <c r="O485" i="27"/>
  <c r="AP492" i="27"/>
  <c r="AR492" i="27" s="1"/>
  <c r="BS480" i="27"/>
  <c r="O481" i="27"/>
  <c r="BA489" i="27"/>
  <c r="AX603" i="27"/>
  <c r="BQ480" i="27"/>
  <c r="BI480" i="27"/>
  <c r="AP481" i="27"/>
  <c r="AR481" i="27" s="1"/>
  <c r="O477" i="27"/>
  <c r="AY489" i="27"/>
  <c r="AZ489" i="27" s="1"/>
  <c r="BO481" i="27"/>
  <c r="BI477" i="27"/>
  <c r="AX477" i="27"/>
  <c r="AP477" i="27"/>
  <c r="AR477" i="27" s="1"/>
  <c r="O474" i="27"/>
  <c r="AX489" i="27"/>
  <c r="BO480" i="27"/>
  <c r="AX474" i="27"/>
  <c r="AP474" i="27"/>
  <c r="AR474" i="27" s="1"/>
  <c r="A489" i="27"/>
  <c r="AU489" i="27"/>
  <c r="BN480" i="27"/>
  <c r="BB482" i="27"/>
  <c r="BC482" i="27" s="1"/>
  <c r="AQ489" i="27"/>
  <c r="O482" i="27"/>
  <c r="AT477" i="27"/>
  <c r="AV477" i="27" s="1"/>
  <c r="BI489" i="27"/>
  <c r="BS452" i="27"/>
  <c r="BP604" i="27"/>
  <c r="AT485" i="27"/>
  <c r="AV485" i="27" s="1"/>
  <c r="BB477" i="27"/>
  <c r="BC477" i="27" s="1"/>
  <c r="BB474" i="27"/>
  <c r="BC474" i="27" s="1"/>
  <c r="BO452" i="27"/>
  <c r="BS481" i="27"/>
  <c r="BA481" i="27"/>
  <c r="BI406" i="27"/>
  <c r="O408" i="27"/>
  <c r="BO604" i="27"/>
  <c r="BS477" i="27"/>
  <c r="BN477" i="27"/>
  <c r="BN427" i="27"/>
  <c r="BS474" i="27"/>
  <c r="BN474" i="27"/>
  <c r="BS485" i="27"/>
  <c r="BQ477" i="27"/>
  <c r="O450" i="27"/>
  <c r="BS505" i="27"/>
  <c r="BQ474" i="27"/>
  <c r="BQ485" i="27"/>
  <c r="BB485" i="27"/>
  <c r="BC485" i="27" s="1"/>
  <c r="AY481" i="27"/>
  <c r="AZ481" i="27" s="1"/>
  <c r="BQ505" i="27"/>
  <c r="BA485" i="27"/>
  <c r="AY480" i="27"/>
  <c r="AZ480" i="27" s="1"/>
  <c r="AQ480" i="27"/>
  <c r="AT603" i="27"/>
  <c r="AV603" i="27" s="1"/>
  <c r="BP485" i="27"/>
  <c r="BA505" i="27"/>
  <c r="AX482" i="27"/>
  <c r="BB481" i="27"/>
  <c r="BC481" i="27" s="1"/>
  <c r="BB480" i="27"/>
  <c r="BC480" i="27" s="1"/>
  <c r="BI450" i="27"/>
  <c r="BP452" i="27"/>
  <c r="AU505" i="27"/>
  <c r="BB505" i="27"/>
  <c r="BC505" i="27" s="1"/>
  <c r="O505" i="27"/>
  <c r="BP408" i="27"/>
  <c r="BO461" i="27"/>
  <c r="BN452" i="27"/>
  <c r="BN408" i="27"/>
  <c r="AY485" i="27"/>
  <c r="AZ485" i="27" s="1"/>
  <c r="AQ485" i="27"/>
  <c r="BQ406" i="27"/>
  <c r="AY505" i="27"/>
  <c r="AZ505" i="27" s="1"/>
  <c r="AQ505" i="27"/>
  <c r="BQ404" i="27"/>
  <c r="BI485" i="27"/>
  <c r="BI505" i="27"/>
  <c r="BQ422" i="27"/>
  <c r="BS408" i="27"/>
  <c r="O407" i="27"/>
  <c r="BA604" i="27"/>
  <c r="BO482" i="27"/>
  <c r="BS450" i="27"/>
  <c r="BN482" i="27"/>
  <c r="BI603" i="27"/>
  <c r="AQ482" i="27"/>
  <c r="BI482" i="27"/>
  <c r="AP482" i="27"/>
  <c r="AR482" i="27" s="1"/>
  <c r="BO450" i="27"/>
  <c r="BO425" i="27"/>
  <c r="BN450" i="27"/>
  <c r="O603" i="27"/>
  <c r="O604" i="27"/>
  <c r="AQ604" i="27"/>
  <c r="BS482" i="27"/>
  <c r="A408" i="27"/>
  <c r="BB603" i="27"/>
  <c r="BC603" i="27" s="1"/>
  <c r="AP603" i="27"/>
  <c r="AR603" i="27" s="1"/>
  <c r="BQ482" i="27"/>
  <c r="BS422" i="27"/>
  <c r="BS461" i="27"/>
  <c r="BS604" i="27"/>
  <c r="BA603" i="27"/>
  <c r="AP450" i="27"/>
  <c r="AR450" i="27" s="1"/>
  <c r="BB407" i="27"/>
  <c r="BC407" i="27" s="1"/>
  <c r="BB604" i="27"/>
  <c r="BC604" i="27" s="1"/>
  <c r="AX604" i="27"/>
  <c r="AT604" i="27"/>
  <c r="AV604" i="27" s="1"/>
  <c r="BP427" i="27"/>
  <c r="BO408" i="27"/>
  <c r="AX407" i="27"/>
  <c r="A461" i="27"/>
  <c r="BI452" i="27"/>
  <c r="BB452" i="27"/>
  <c r="BC452" i="27" s="1"/>
  <c r="AX452" i="27"/>
  <c r="AP452" i="27"/>
  <c r="AR452" i="27" s="1"/>
  <c r="O452" i="27"/>
  <c r="BB461" i="27"/>
  <c r="BC461" i="27" s="1"/>
  <c r="BB450" i="27"/>
  <c r="BC450" i="27" s="1"/>
  <c r="AX450" i="27"/>
  <c r="BS603" i="27"/>
  <c r="BN603" i="27"/>
  <c r="BQ424" i="27"/>
  <c r="BO424" i="27"/>
  <c r="BQ603" i="27"/>
  <c r="BN424" i="27"/>
  <c r="BB406" i="27"/>
  <c r="BC406" i="27" s="1"/>
  <c r="BI407" i="27"/>
  <c r="BP454" i="27"/>
  <c r="A406" i="27"/>
  <c r="AQ461" i="27"/>
  <c r="BQ450" i="27"/>
  <c r="BN454" i="27"/>
  <c r="AQ407" i="27"/>
  <c r="BB408" i="27"/>
  <c r="BC408" i="27" s="1"/>
  <c r="BQ407" i="27"/>
  <c r="BA461" i="27"/>
  <c r="AQ408" i="27"/>
  <c r="BI404" i="27"/>
  <c r="BI461" i="27"/>
  <c r="BA407" i="27"/>
  <c r="BP461" i="27"/>
  <c r="BA408" i="27"/>
  <c r="BP407" i="27"/>
  <c r="AU407" i="27"/>
  <c r="AU408" i="27"/>
  <c r="A425" i="27"/>
  <c r="BO407" i="27"/>
  <c r="AY461" i="27"/>
  <c r="AZ461" i="27" s="1"/>
  <c r="BS424" i="27"/>
  <c r="BS425" i="27"/>
  <c r="BS406" i="27"/>
  <c r="BB404" i="27"/>
  <c r="BC404" i="27" s="1"/>
  <c r="BS427" i="27"/>
  <c r="BS404" i="27"/>
  <c r="AU406" i="27"/>
  <c r="AY408" i="27"/>
  <c r="AZ408" i="27" s="1"/>
  <c r="BN407" i="27"/>
  <c r="AX461" i="27"/>
  <c r="BS454" i="27"/>
  <c r="BN425" i="27"/>
  <c r="BN404" i="27"/>
  <c r="BA406" i="27"/>
  <c r="A404" i="27"/>
  <c r="BO453" i="27"/>
  <c r="BO422" i="27"/>
  <c r="BP416" i="27"/>
  <c r="BA427" i="27"/>
  <c r="AY406" i="27"/>
  <c r="AZ406" i="27" s="1"/>
  <c r="AQ406" i="27"/>
  <c r="AY404" i="27"/>
  <c r="AZ404" i="27" s="1"/>
  <c r="AQ404" i="27"/>
  <c r="AX406" i="27"/>
  <c r="AP406" i="27"/>
  <c r="AR406" i="27" s="1"/>
  <c r="AX404" i="27"/>
  <c r="AP427" i="27"/>
  <c r="AR427" i="27" s="1"/>
  <c r="BN459" i="27"/>
  <c r="BN422" i="27"/>
  <c r="BP406" i="27"/>
  <c r="BP404" i="27"/>
  <c r="BO406" i="27"/>
  <c r="BS416" i="27"/>
  <c r="A427" i="27"/>
  <c r="A432" i="27"/>
  <c r="BQ425" i="27"/>
  <c r="BS410" i="27"/>
  <c r="BQ427" i="27"/>
  <c r="AU425" i="27"/>
  <c r="AU453" i="27"/>
  <c r="O424" i="27"/>
  <c r="BB425" i="27"/>
  <c r="BC425" i="27" s="1"/>
  <c r="O425" i="27"/>
  <c r="BQ459" i="27"/>
  <c r="BP453" i="27"/>
  <c r="BB427" i="27"/>
  <c r="BC427" i="27" s="1"/>
  <c r="O427" i="27"/>
  <c r="BS432" i="27"/>
  <c r="BA425" i="27"/>
  <c r="BA422" i="27"/>
  <c r="A411" i="27"/>
  <c r="AY425" i="27"/>
  <c r="AZ425" i="27" s="1"/>
  <c r="AQ425" i="27"/>
  <c r="AU422" i="27"/>
  <c r="AY427" i="27"/>
  <c r="AZ427" i="27" s="1"/>
  <c r="O453" i="27"/>
  <c r="BI454" i="27"/>
  <c r="A424" i="27"/>
  <c r="BB424" i="27"/>
  <c r="BC424" i="27" s="1"/>
  <c r="BA413" i="27"/>
  <c r="BB422" i="27"/>
  <c r="BC422" i="27" s="1"/>
  <c r="O422" i="27"/>
  <c r="BS459" i="27"/>
  <c r="BS453" i="27"/>
  <c r="BB453" i="27"/>
  <c r="BC453" i="27" s="1"/>
  <c r="BA424" i="27"/>
  <c r="BS413" i="27"/>
  <c r="AU454" i="27"/>
  <c r="AY424" i="27"/>
  <c r="AZ424" i="27" s="1"/>
  <c r="AQ424" i="27"/>
  <c r="AY422" i="27"/>
  <c r="AZ422" i="27" s="1"/>
  <c r="AQ422" i="27"/>
  <c r="BO416" i="27"/>
  <c r="A453" i="27"/>
  <c r="A454" i="27"/>
  <c r="BI422" i="27"/>
  <c r="AQ453" i="27"/>
  <c r="BO454" i="27"/>
  <c r="BB454" i="27"/>
  <c r="BC454" i="27" s="1"/>
  <c r="BN453" i="27"/>
  <c r="BA453" i="27"/>
  <c r="BA454" i="27"/>
  <c r="O459" i="27"/>
  <c r="AY453" i="27"/>
  <c r="AZ453" i="27" s="1"/>
  <c r="AY454" i="27"/>
  <c r="AZ454" i="27" s="1"/>
  <c r="AQ454" i="27"/>
  <c r="BQ416" i="27"/>
  <c r="BP413" i="27"/>
  <c r="BQ410" i="27"/>
  <c r="BN413" i="27"/>
  <c r="BB459" i="27"/>
  <c r="BC459" i="27" s="1"/>
  <c r="BQ468" i="27"/>
  <c r="AY413" i="27"/>
  <c r="AZ413" i="27" s="1"/>
  <c r="BA459" i="27"/>
  <c r="AY459" i="27"/>
  <c r="AZ459" i="27" s="1"/>
  <c r="BQ435" i="27"/>
  <c r="BP411" i="27"/>
  <c r="A416" i="27"/>
  <c r="BP432" i="27"/>
  <c r="A459" i="27"/>
  <c r="BN432" i="27"/>
  <c r="O411" i="27"/>
  <c r="AQ413" i="27"/>
  <c r="BN435" i="27"/>
  <c r="BP459" i="27"/>
  <c r="BS430" i="27"/>
  <c r="BO428" i="27"/>
  <c r="AQ459" i="27"/>
  <c r="BS441" i="27"/>
  <c r="BN32" i="27"/>
  <c r="AU413" i="27"/>
  <c r="BP419" i="27"/>
  <c r="AU416" i="27"/>
  <c r="BN419" i="27"/>
  <c r="BI432" i="27"/>
  <c r="BI410" i="27"/>
  <c r="BO413" i="27"/>
  <c r="BB413" i="27"/>
  <c r="BC413" i="27" s="1"/>
  <c r="O413" i="27"/>
  <c r="BB416" i="27"/>
  <c r="BC416" i="27" s="1"/>
  <c r="O416" i="27"/>
  <c r="BB432" i="27"/>
  <c r="BC432" i="27" s="1"/>
  <c r="BS435" i="27"/>
  <c r="BS411" i="27"/>
  <c r="AY416" i="27"/>
  <c r="AZ416" i="27" s="1"/>
  <c r="AQ416" i="27"/>
  <c r="BI413" i="27"/>
  <c r="A410" i="27"/>
  <c r="BO470" i="27"/>
  <c r="BQ430" i="27"/>
  <c r="BP410" i="27"/>
  <c r="AU410" i="27"/>
  <c r="BO411" i="27"/>
  <c r="BB411" i="27"/>
  <c r="BC411" i="27" s="1"/>
  <c r="BO410" i="27"/>
  <c r="BB410" i="27"/>
  <c r="BC410" i="27" s="1"/>
  <c r="BN411" i="27"/>
  <c r="BA410" i="27"/>
  <c r="A428" i="27"/>
  <c r="AY411" i="27"/>
  <c r="AZ411" i="27" s="1"/>
  <c r="AQ411" i="27"/>
  <c r="AY410" i="27"/>
  <c r="AZ410" i="27" s="1"/>
  <c r="AQ410" i="27"/>
  <c r="BB435" i="27"/>
  <c r="BC435" i="27" s="1"/>
  <c r="AQ435" i="27"/>
  <c r="BO430" i="27"/>
  <c r="BA432" i="27"/>
  <c r="AX420" i="27"/>
  <c r="AY432" i="27"/>
  <c r="AZ432" i="27" s="1"/>
  <c r="AQ432" i="27"/>
  <c r="BP446" i="27"/>
  <c r="AX432" i="27"/>
  <c r="AP432" i="27"/>
  <c r="AR432" i="27" s="1"/>
  <c r="BS428" i="27"/>
  <c r="BI435" i="27"/>
  <c r="AX435" i="27"/>
  <c r="BS396" i="27"/>
  <c r="A435" i="27"/>
  <c r="BO419" i="27"/>
  <c r="BP430" i="27"/>
  <c r="BQ432" i="27"/>
  <c r="AU432" i="27"/>
  <c r="BN428" i="27"/>
  <c r="BP435" i="27"/>
  <c r="BN418" i="27"/>
  <c r="A430" i="27"/>
  <c r="BQ428" i="27"/>
  <c r="AP400" i="27"/>
  <c r="AR400" i="27" s="1"/>
  <c r="BI420" i="27"/>
  <c r="AU428" i="27"/>
  <c r="O420" i="27"/>
  <c r="BB428" i="27"/>
  <c r="BC428" i="27" s="1"/>
  <c r="O428" i="27"/>
  <c r="BP469" i="27"/>
  <c r="BB430" i="27"/>
  <c r="BC430" i="27" s="1"/>
  <c r="O430" i="27"/>
  <c r="BS419" i="27"/>
  <c r="BP397" i="27"/>
  <c r="BS417" i="27"/>
  <c r="AY428" i="27"/>
  <c r="AZ428" i="27" s="1"/>
  <c r="AQ428" i="27"/>
  <c r="BQ417" i="27"/>
  <c r="AY430" i="27"/>
  <c r="AZ430" i="27" s="1"/>
  <c r="AQ430" i="27"/>
  <c r="BP417" i="27"/>
  <c r="AQ419" i="27"/>
  <c r="BO445" i="27"/>
  <c r="BN417" i="27"/>
  <c r="AP420" i="27"/>
  <c r="AR420" i="27" s="1"/>
  <c r="A419" i="27"/>
  <c r="BP399" i="27"/>
  <c r="BB397" i="27"/>
  <c r="BC397" i="27" s="1"/>
  <c r="BP468" i="27"/>
  <c r="AP418" i="27"/>
  <c r="AR418" i="27" s="1"/>
  <c r="BS420" i="27"/>
  <c r="BO399" i="27"/>
  <c r="BN468" i="27"/>
  <c r="AY446" i="27"/>
  <c r="AZ446" i="27" s="1"/>
  <c r="BQ420" i="27"/>
  <c r="BI417" i="27"/>
  <c r="AX401" i="27"/>
  <c r="AP469" i="27"/>
  <c r="AR469" i="27" s="1"/>
  <c r="BP420" i="27"/>
  <c r="AU420" i="27"/>
  <c r="AP467" i="27"/>
  <c r="AR467" i="27" s="1"/>
  <c r="BB419" i="27"/>
  <c r="BC419" i="27" s="1"/>
  <c r="O419" i="27"/>
  <c r="BI470" i="27"/>
  <c r="BO420" i="27"/>
  <c r="BB420" i="27"/>
  <c r="BC420" i="27" s="1"/>
  <c r="BA417" i="27"/>
  <c r="BA420" i="27"/>
  <c r="BI398" i="27"/>
  <c r="BS418" i="27"/>
  <c r="BQ418" i="27"/>
  <c r="AY419" i="27"/>
  <c r="AZ419" i="27" s="1"/>
  <c r="BO401" i="27"/>
  <c r="BS401" i="27"/>
  <c r="BN446" i="27"/>
  <c r="BQ446" i="27"/>
  <c r="BO447" i="27"/>
  <c r="BP447" i="27"/>
  <c r="BQ439" i="27"/>
  <c r="AU445" i="27"/>
  <c r="BQ399" i="27"/>
  <c r="BS399" i="27"/>
  <c r="BQ400" i="27"/>
  <c r="BO396" i="27"/>
  <c r="BN396" i="27"/>
  <c r="BQ442" i="27"/>
  <c r="BO442" i="27"/>
  <c r="A397" i="27"/>
  <c r="BI397" i="27"/>
  <c r="AQ401" i="27"/>
  <c r="A418" i="27"/>
  <c r="BI469" i="27"/>
  <c r="O469" i="27"/>
  <c r="BP418" i="27"/>
  <c r="AU418" i="27"/>
  <c r="BB417" i="27"/>
  <c r="BC417" i="27" s="1"/>
  <c r="O417" i="27"/>
  <c r="BS468" i="27"/>
  <c r="BB418" i="27"/>
  <c r="BC418" i="27" s="1"/>
  <c r="O418" i="27"/>
  <c r="O401" i="27"/>
  <c r="BB469" i="27"/>
  <c r="BC469" i="27" s="1"/>
  <c r="AP468" i="27"/>
  <c r="AR468" i="27" s="1"/>
  <c r="BB467" i="27"/>
  <c r="BC467" i="27" s="1"/>
  <c r="AY417" i="27"/>
  <c r="AZ417" i="27" s="1"/>
  <c r="AQ417" i="27"/>
  <c r="AY418" i="27"/>
  <c r="AZ418" i="27" s="1"/>
  <c r="AX469" i="27"/>
  <c r="AX467" i="27"/>
  <c r="BS442" i="27"/>
  <c r="BQ398" i="27"/>
  <c r="BQ469" i="27"/>
  <c r="BB468" i="27"/>
  <c r="BC468" i="27" s="1"/>
  <c r="O468" i="27"/>
  <c r="BP442" i="27"/>
  <c r="BS400" i="27"/>
  <c r="BQ467" i="27"/>
  <c r="BS402" i="27"/>
  <c r="BI467" i="27"/>
  <c r="BA468" i="27"/>
  <c r="BA398" i="27"/>
  <c r="AQ402" i="27"/>
  <c r="BP467" i="27"/>
  <c r="BI468" i="27"/>
  <c r="AU467" i="27"/>
  <c r="BQ402" i="27"/>
  <c r="AU468" i="27"/>
  <c r="BA446" i="27"/>
  <c r="BN400" i="27"/>
  <c r="BB400" i="27"/>
  <c r="BC400" i="27" s="1"/>
  <c r="BO469" i="27"/>
  <c r="BN401" i="27"/>
  <c r="BB401" i="27"/>
  <c r="BC401" i="27" s="1"/>
  <c r="BO467" i="27"/>
  <c r="AQ448" i="27"/>
  <c r="AU398" i="27"/>
  <c r="BN402" i="27"/>
  <c r="BA400" i="27"/>
  <c r="AT397" i="27"/>
  <c r="AV397" i="27" s="1"/>
  <c r="AX400" i="27"/>
  <c r="BN469" i="27"/>
  <c r="AY468" i="27"/>
  <c r="AZ468" i="27" s="1"/>
  <c r="BN467" i="27"/>
  <c r="A402" i="27"/>
  <c r="A438" i="27"/>
  <c r="A467" i="27"/>
  <c r="O402" i="27"/>
  <c r="AU446" i="27"/>
  <c r="AT446" i="27"/>
  <c r="AV446" i="27" s="1"/>
  <c r="BS398" i="27"/>
  <c r="AY397" i="27"/>
  <c r="AZ397" i="27" s="1"/>
  <c r="AX402" i="27"/>
  <c r="A396" i="27"/>
  <c r="BN448" i="27"/>
  <c r="O446" i="27"/>
  <c r="AX397" i="27"/>
  <c r="A400" i="27"/>
  <c r="BQ397" i="27"/>
  <c r="AX398" i="27"/>
  <c r="O400" i="27"/>
  <c r="A401" i="27"/>
  <c r="BB402" i="27"/>
  <c r="BC402" i="27" s="1"/>
  <c r="BQ401" i="27"/>
  <c r="BA447" i="27"/>
  <c r="BP398" i="27"/>
  <c r="BA401" i="27"/>
  <c r="BP400" i="27"/>
  <c r="BA402" i="27"/>
  <c r="AU400" i="27"/>
  <c r="BB439" i="27"/>
  <c r="BC439" i="27" s="1"/>
  <c r="BO397" i="27"/>
  <c r="BP401" i="27"/>
  <c r="AU401" i="27"/>
  <c r="BS447" i="27"/>
  <c r="BB446" i="27"/>
  <c r="BC446" i="27" s="1"/>
  <c r="BA439" i="27"/>
  <c r="BO398" i="27"/>
  <c r="BP402" i="27"/>
  <c r="AU402" i="27"/>
  <c r="BQ447" i="27"/>
  <c r="BI448" i="27"/>
  <c r="BN397" i="27"/>
  <c r="AP398" i="27"/>
  <c r="AR398" i="27" s="1"/>
  <c r="O396" i="27"/>
  <c r="BP445" i="27"/>
  <c r="BI446" i="27"/>
  <c r="BB398" i="27"/>
  <c r="BC398" i="27" s="1"/>
  <c r="BN445" i="27"/>
  <c r="AX399" i="27"/>
  <c r="A398" i="27"/>
  <c r="BI367" i="27"/>
  <c r="BP470" i="27"/>
  <c r="BS470" i="27"/>
  <c r="O397" i="27"/>
  <c r="A399" i="27"/>
  <c r="BP439" i="27"/>
  <c r="BO439" i="27"/>
  <c r="AQ397" i="27"/>
  <c r="O399" i="27"/>
  <c r="O470" i="27"/>
  <c r="BN439" i="27"/>
  <c r="BB399" i="27"/>
  <c r="BC399" i="27" s="1"/>
  <c r="AQ399" i="27"/>
  <c r="BS445" i="27"/>
  <c r="BA397" i="27"/>
  <c r="BI439" i="27"/>
  <c r="BA399" i="27"/>
  <c r="BQ441" i="27"/>
  <c r="A442" i="27"/>
  <c r="O442" i="27"/>
  <c r="BP441" i="27"/>
  <c r="BI442" i="27"/>
  <c r="AU399" i="27"/>
  <c r="BO441" i="27"/>
  <c r="BO443" i="27"/>
  <c r="O445" i="27"/>
  <c r="AY439" i="27"/>
  <c r="AZ439" i="27" s="1"/>
  <c r="BS448" i="27"/>
  <c r="AQ445" i="27"/>
  <c r="AX439" i="27"/>
  <c r="AQ446" i="27"/>
  <c r="A439" i="27"/>
  <c r="BA442" i="27"/>
  <c r="BQ448" i="27"/>
  <c r="AU439" i="27"/>
  <c r="AT439" i="27"/>
  <c r="AV439" i="27" s="1"/>
  <c r="AU448" i="27"/>
  <c r="BP448" i="27"/>
  <c r="BA448" i="27"/>
  <c r="AQ439" i="27"/>
  <c r="BA441" i="27"/>
  <c r="BI373" i="27"/>
  <c r="BI445" i="27"/>
  <c r="AY448" i="27"/>
  <c r="AZ448" i="27" s="1"/>
  <c r="AX438" i="27"/>
  <c r="BI443" i="27"/>
  <c r="O443" i="27"/>
  <c r="AY445" i="27"/>
  <c r="AZ445" i="27" s="1"/>
  <c r="O448" i="27"/>
  <c r="BB443" i="27"/>
  <c r="BC443" i="27" s="1"/>
  <c r="AP443" i="27"/>
  <c r="AR443" i="27" s="1"/>
  <c r="A447" i="27"/>
  <c r="AX443" i="27"/>
  <c r="AY447" i="27"/>
  <c r="AZ447" i="27" s="1"/>
  <c r="AU447" i="27"/>
  <c r="AQ447" i="27"/>
  <c r="BB448" i="27"/>
  <c r="BC448" i="27" s="1"/>
  <c r="BB445" i="27"/>
  <c r="BC445" i="27" s="1"/>
  <c r="BI447" i="27"/>
  <c r="BB447" i="27"/>
  <c r="BC447" i="27" s="1"/>
  <c r="AQ442" i="27"/>
  <c r="AP470" i="27"/>
  <c r="AR470" i="27" s="1"/>
  <c r="BS446" i="27"/>
  <c r="AY441" i="27"/>
  <c r="AZ441" i="27" s="1"/>
  <c r="AU441" i="27"/>
  <c r="AQ441" i="27"/>
  <c r="AY442" i="27"/>
  <c r="AZ442" i="27" s="1"/>
  <c r="AU442" i="27"/>
  <c r="BB470" i="27"/>
  <c r="BC470" i="27" s="1"/>
  <c r="AX470" i="27"/>
  <c r="BI441" i="27"/>
  <c r="BB441" i="27"/>
  <c r="BC441" i="27" s="1"/>
  <c r="O441" i="27"/>
  <c r="BB442" i="27"/>
  <c r="BC442" i="27" s="1"/>
  <c r="AT442" i="27"/>
  <c r="AV442" i="27" s="1"/>
  <c r="BS443" i="27"/>
  <c r="BN443" i="27"/>
  <c r="BQ470" i="27"/>
  <c r="BQ443" i="27"/>
  <c r="BB438" i="27"/>
  <c r="BC438" i="27" s="1"/>
  <c r="O438" i="27"/>
  <c r="BA438" i="27"/>
  <c r="BS438" i="27"/>
  <c r="BQ438" i="27"/>
  <c r="BP438" i="27"/>
  <c r="AU438" i="27"/>
  <c r="BO438" i="27"/>
  <c r="AQ438" i="27"/>
  <c r="BP389" i="27"/>
  <c r="BB396" i="27"/>
  <c r="BC396" i="27" s="1"/>
  <c r="BA396" i="27"/>
  <c r="AY396" i="27"/>
  <c r="AZ396" i="27" s="1"/>
  <c r="AY349" i="27"/>
  <c r="AZ349" i="27" s="1"/>
  <c r="BP396" i="27"/>
  <c r="AU396" i="27"/>
  <c r="AQ396" i="27"/>
  <c r="BP390" i="27"/>
  <c r="BA387" i="27"/>
  <c r="AP393" i="27"/>
  <c r="AR393" i="27" s="1"/>
  <c r="BS392" i="27"/>
  <c r="BP392" i="27"/>
  <c r="BS390" i="27"/>
  <c r="BQ393" i="27"/>
  <c r="BS374" i="27"/>
  <c r="BS349" i="27"/>
  <c r="BP393" i="27"/>
  <c r="BO393" i="27"/>
  <c r="BO384" i="27"/>
  <c r="BN393" i="27"/>
  <c r="BO389" i="27"/>
  <c r="AT393" i="27"/>
  <c r="AV393" i="27" s="1"/>
  <c r="AU393" i="27"/>
  <c r="BP334" i="27"/>
  <c r="BO334" i="27"/>
  <c r="BP342" i="27"/>
  <c r="BI393" i="27"/>
  <c r="BO342" i="27"/>
  <c r="O374" i="27"/>
  <c r="BN342" i="27"/>
  <c r="BN392" i="27"/>
  <c r="A389" i="27"/>
  <c r="AQ392" i="27"/>
  <c r="O393" i="27"/>
  <c r="BN384" i="27"/>
  <c r="BO349" i="27"/>
  <c r="BQ392" i="27"/>
  <c r="BS389" i="27"/>
  <c r="BN349" i="27"/>
  <c r="BI392" i="27"/>
  <c r="BS369" i="27"/>
  <c r="AY393" i="27"/>
  <c r="AZ393" i="27" s="1"/>
  <c r="AY392" i="27"/>
  <c r="AZ392" i="27" s="1"/>
  <c r="BB393" i="27"/>
  <c r="BC393" i="27" s="1"/>
  <c r="BB392" i="27"/>
  <c r="BC392" i="27" s="1"/>
  <c r="BS382" i="27"/>
  <c r="A392" i="27"/>
  <c r="A390" i="27"/>
  <c r="BA393" i="27"/>
  <c r="BN380" i="27"/>
  <c r="BQ349" i="27"/>
  <c r="BQ387" i="27"/>
  <c r="BS380" i="27"/>
  <c r="BO387" i="27"/>
  <c r="BS384" i="27"/>
  <c r="BN390" i="27"/>
  <c r="AY367" i="27"/>
  <c r="AZ367" i="27" s="1"/>
  <c r="BQ334" i="27"/>
  <c r="BQ380" i="27"/>
  <c r="BQ384" i="27"/>
  <c r="BP380" i="27"/>
  <c r="BB349" i="27"/>
  <c r="BC349" i="27" s="1"/>
  <c r="O367" i="27"/>
  <c r="BQ324" i="27"/>
  <c r="O390" i="27"/>
  <c r="BO382" i="27"/>
  <c r="BB390" i="27"/>
  <c r="BC390" i="27" s="1"/>
  <c r="AP367" i="27"/>
  <c r="AR367" i="27" s="1"/>
  <c r="BN381" i="27"/>
  <c r="BP367" i="27"/>
  <c r="AU367" i="27"/>
  <c r="AP390" i="27"/>
  <c r="AR390" i="27" s="1"/>
  <c r="BS387" i="27"/>
  <c r="BB387" i="27"/>
  <c r="BC387" i="27" s="1"/>
  <c r="BO367" i="27"/>
  <c r="BS326" i="27"/>
  <c r="BB373" i="27"/>
  <c r="BC373" i="27" s="1"/>
  <c r="BS381" i="27"/>
  <c r="BQ389" i="27"/>
  <c r="AX387" i="27"/>
  <c r="BO390" i="27"/>
  <c r="BQ371" i="27"/>
  <c r="BN367" i="27"/>
  <c r="BO371" i="27"/>
  <c r="AX390" i="27"/>
  <c r="BO370" i="27"/>
  <c r="A349" i="27"/>
  <c r="BN387" i="27"/>
  <c r="AP387" i="27"/>
  <c r="AR387" i="27" s="1"/>
  <c r="BS367" i="27"/>
  <c r="O349" i="27"/>
  <c r="BB367" i="27"/>
  <c r="BC367" i="27" s="1"/>
  <c r="AQ349" i="27"/>
  <c r="BO381" i="27"/>
  <c r="BN382" i="27"/>
  <c r="A387" i="27"/>
  <c r="BI387" i="27"/>
  <c r="O387" i="27"/>
  <c r="AT387" i="27"/>
  <c r="AV387" i="27" s="1"/>
  <c r="AU387" i="27"/>
  <c r="BO324" i="27"/>
  <c r="BS342" i="27"/>
  <c r="BS371" i="27"/>
  <c r="BB389" i="27"/>
  <c r="BC389" i="27" s="1"/>
  <c r="O389" i="27"/>
  <c r="BN372" i="27"/>
  <c r="A374" i="27"/>
  <c r="AY389" i="27"/>
  <c r="AZ389" i="27" s="1"/>
  <c r="AQ389" i="27"/>
  <c r="BN371" i="27"/>
  <c r="BS377" i="27"/>
  <c r="BA384" i="27"/>
  <c r="BS373" i="27"/>
  <c r="BN377" i="27"/>
  <c r="O373" i="27"/>
  <c r="BO341" i="27"/>
  <c r="BN369" i="27"/>
  <c r="BI380" i="27"/>
  <c r="BB380" i="27"/>
  <c r="BC380" i="27" s="1"/>
  <c r="AX380" i="27"/>
  <c r="AP380" i="27"/>
  <c r="AR380" i="27" s="1"/>
  <c r="O380" i="27"/>
  <c r="BO358" i="27"/>
  <c r="BI382" i="27"/>
  <c r="BB382" i="27"/>
  <c r="BC382" i="27" s="1"/>
  <c r="AX382" i="27"/>
  <c r="AT382" i="27"/>
  <c r="AV382" i="27" s="1"/>
  <c r="AP382" i="27"/>
  <c r="AR382" i="27" s="1"/>
  <c r="O382" i="27"/>
  <c r="BA382" i="27"/>
  <c r="BN358" i="27"/>
  <c r="O370" i="27"/>
  <c r="BI384" i="27"/>
  <c r="BB384" i="27"/>
  <c r="BC384" i="27" s="1"/>
  <c r="AX384" i="27"/>
  <c r="AT384" i="27"/>
  <c r="AV384" i="27" s="1"/>
  <c r="AP384" i="27"/>
  <c r="AR384" i="27" s="1"/>
  <c r="O384" i="27"/>
  <c r="BS334" i="27"/>
  <c r="BI381" i="27"/>
  <c r="BB381" i="27"/>
  <c r="BC381" i="27" s="1"/>
  <c r="AX381" i="27"/>
  <c r="AP381" i="27"/>
  <c r="AR381" i="27" s="1"/>
  <c r="O381" i="27"/>
  <c r="BO362" i="27"/>
  <c r="BP348" i="27"/>
  <c r="BN348" i="27"/>
  <c r="BI370" i="27"/>
  <c r="BQ382" i="27"/>
  <c r="AY377" i="27"/>
  <c r="AZ377" i="27" s="1"/>
  <c r="BQ381" i="27"/>
  <c r="BS341" i="27"/>
  <c r="BQ341" i="27"/>
  <c r="BB377" i="27"/>
  <c r="BC377" i="27" s="1"/>
  <c r="O377" i="27"/>
  <c r="A377" i="27"/>
  <c r="BQ377" i="27"/>
  <c r="BP377" i="27"/>
  <c r="AQ377" i="27"/>
  <c r="BB374" i="27"/>
  <c r="BC374" i="27" s="1"/>
  <c r="BP337" i="27"/>
  <c r="AY373" i="27"/>
  <c r="AZ373" i="27" s="1"/>
  <c r="AQ373" i="27"/>
  <c r="BS358" i="27"/>
  <c r="BN340" i="27"/>
  <c r="BO369" i="27"/>
  <c r="AY374" i="27"/>
  <c r="AZ374" i="27" s="1"/>
  <c r="AQ374" i="27"/>
  <c r="BO336" i="27"/>
  <c r="AX373" i="27"/>
  <c r="AP373" i="27"/>
  <c r="AR373" i="27" s="1"/>
  <c r="BB297" i="27"/>
  <c r="BC297" i="27" s="1"/>
  <c r="BQ358" i="27"/>
  <c r="AY341" i="27"/>
  <c r="AZ341" i="27" s="1"/>
  <c r="BO337" i="27"/>
  <c r="AX374" i="27"/>
  <c r="AP374" i="27"/>
  <c r="AR374" i="27" s="1"/>
  <c r="BQ373" i="27"/>
  <c r="BS372" i="27"/>
  <c r="BB370" i="27"/>
  <c r="BC370" i="27" s="1"/>
  <c r="AQ370" i="27"/>
  <c r="BQ374" i="27"/>
  <c r="BA372" i="27"/>
  <c r="BP373" i="27"/>
  <c r="BP374" i="27"/>
  <c r="BO348" i="27"/>
  <c r="BQ372" i="27"/>
  <c r="BO373" i="27"/>
  <c r="BS336" i="27"/>
  <c r="AY370" i="27"/>
  <c r="AZ370" i="27" s="1"/>
  <c r="BO374" i="27"/>
  <c r="BS337" i="27"/>
  <c r="BP370" i="27"/>
  <c r="BP340" i="27"/>
  <c r="BQ336" i="27"/>
  <c r="BO372" i="27"/>
  <c r="BQ297" i="27"/>
  <c r="BP356" i="27"/>
  <c r="BO338" i="27"/>
  <c r="BO339" i="27"/>
  <c r="BI339" i="27"/>
  <c r="BS370" i="27"/>
  <c r="BN370" i="27"/>
  <c r="BA369" i="27"/>
  <c r="BN338" i="27"/>
  <c r="A369" i="27"/>
  <c r="BN339" i="27"/>
  <c r="BN336" i="27"/>
  <c r="BI347" i="27"/>
  <c r="AY372" i="27"/>
  <c r="AZ372" i="27" s="1"/>
  <c r="AU372" i="27"/>
  <c r="AQ372" i="27"/>
  <c r="BS339" i="27"/>
  <c r="AY371" i="27"/>
  <c r="AZ371" i="27" s="1"/>
  <c r="AQ371" i="27"/>
  <c r="BS338" i="27"/>
  <c r="BA339" i="27"/>
  <c r="AY369" i="27"/>
  <c r="AZ369" i="27" s="1"/>
  <c r="AU369" i="27"/>
  <c r="AQ369" i="27"/>
  <c r="BA336" i="27"/>
  <c r="BI372" i="27"/>
  <c r="BB372" i="27"/>
  <c r="BC372" i="27" s="1"/>
  <c r="O372" i="27"/>
  <c r="BI371" i="27"/>
  <c r="BB371" i="27"/>
  <c r="BC371" i="27" s="1"/>
  <c r="O371" i="27"/>
  <c r="BQ338" i="27"/>
  <c r="BA334" i="27"/>
  <c r="BN347" i="27"/>
  <c r="O339" i="27"/>
  <c r="BI369" i="27"/>
  <c r="BB369" i="27"/>
  <c r="BC369" i="27" s="1"/>
  <c r="A334" i="27"/>
  <c r="AQ357" i="27"/>
  <c r="BQ339" i="27"/>
  <c r="AU331" i="27"/>
  <c r="AT306" i="27"/>
  <c r="AV306" i="27" s="1"/>
  <c r="AY339" i="27"/>
  <c r="AZ339" i="27" s="1"/>
  <c r="AU339" i="27"/>
  <c r="AQ339" i="27"/>
  <c r="AY336" i="27"/>
  <c r="AZ336" i="27" s="1"/>
  <c r="AQ336" i="27"/>
  <c r="BA331" i="27"/>
  <c r="AY337" i="27"/>
  <c r="AZ337" i="27" s="1"/>
  <c r="AQ337" i="27"/>
  <c r="BA330" i="27"/>
  <c r="AY334" i="27"/>
  <c r="AZ334" i="27" s="1"/>
  <c r="AU334" i="27"/>
  <c r="AQ334" i="27"/>
  <c r="BI341" i="27"/>
  <c r="BB339" i="27"/>
  <c r="BC339" i="27" s="1"/>
  <c r="AY331" i="27"/>
  <c r="AZ331" i="27" s="1"/>
  <c r="BI336" i="27"/>
  <c r="BB336" i="27"/>
  <c r="BC336" i="27" s="1"/>
  <c r="O336" i="27"/>
  <c r="AQ307" i="27"/>
  <c r="BQ348" i="27"/>
  <c r="BI337" i="27"/>
  <c r="BB337" i="27"/>
  <c r="BC337" i="27" s="1"/>
  <c r="O337" i="27"/>
  <c r="AY306" i="27"/>
  <c r="AZ306" i="27" s="1"/>
  <c r="AP329" i="27"/>
  <c r="AR329" i="27" s="1"/>
  <c r="BP351" i="27"/>
  <c r="BP341" i="27"/>
  <c r="BS340" i="27"/>
  <c r="A340" i="27"/>
  <c r="BI334" i="27"/>
  <c r="BB334" i="27"/>
  <c r="BC334" i="27" s="1"/>
  <c r="BB329" i="27"/>
  <c r="BC329" i="27" s="1"/>
  <c r="BB307" i="27"/>
  <c r="BC307" i="27" s="1"/>
  <c r="AQ314" i="27"/>
  <c r="BB354" i="27"/>
  <c r="BC354" i="27" s="1"/>
  <c r="A364" i="27"/>
  <c r="BN308" i="27"/>
  <c r="AY354" i="27"/>
  <c r="AZ354" i="27" s="1"/>
  <c r="BS361" i="27"/>
  <c r="BO340" i="27"/>
  <c r="BB340" i="27"/>
  <c r="BC340" i="27" s="1"/>
  <c r="O340" i="27"/>
  <c r="BB326" i="27"/>
  <c r="BC326" i="27" s="1"/>
  <c r="BB314" i="27"/>
  <c r="BC314" i="27" s="1"/>
  <c r="AY353" i="27"/>
  <c r="AZ353" i="27" s="1"/>
  <c r="BN361" i="27"/>
  <c r="BB342" i="27"/>
  <c r="BC342" i="27" s="1"/>
  <c r="O342" i="27"/>
  <c r="BS357" i="27"/>
  <c r="AY352" i="27"/>
  <c r="AZ352" i="27" s="1"/>
  <c r="AU360" i="27"/>
  <c r="AY348" i="27"/>
  <c r="AZ348" i="27" s="1"/>
  <c r="BA342" i="27"/>
  <c r="BQ357" i="27"/>
  <c r="AY340" i="27"/>
  <c r="AZ340" i="27" s="1"/>
  <c r="AQ340" i="27"/>
  <c r="AY342" i="27"/>
  <c r="AZ342" i="27" s="1"/>
  <c r="AQ342" i="27"/>
  <c r="BI362" i="27"/>
  <c r="BP357" i="27"/>
  <c r="AP362" i="27"/>
  <c r="AR362" i="27" s="1"/>
  <c r="BO351" i="27"/>
  <c r="BI342" i="27"/>
  <c r="BI297" i="27"/>
  <c r="BO357" i="27"/>
  <c r="BO347" i="27"/>
  <c r="BQ299" i="27"/>
  <c r="O341" i="27"/>
  <c r="AX338" i="27"/>
  <c r="BS360" i="27"/>
  <c r="BB341" i="27"/>
  <c r="BC341" i="27" s="1"/>
  <c r="A358" i="27"/>
  <c r="BP353" i="27"/>
  <c r="BB358" i="27"/>
  <c r="BC358" i="27" s="1"/>
  <c r="AQ341" i="27"/>
  <c r="O358" i="27"/>
  <c r="A338" i="27"/>
  <c r="BQ294" i="27"/>
  <c r="BB338" i="27"/>
  <c r="BC338" i="27" s="1"/>
  <c r="AQ358" i="27"/>
  <c r="O338" i="27"/>
  <c r="BP294" i="27"/>
  <c r="BQ321" i="27"/>
  <c r="BS364" i="27"/>
  <c r="AQ338" i="27"/>
  <c r="BS343" i="27"/>
  <c r="BQ305" i="27"/>
  <c r="BP362" i="27"/>
  <c r="BO352" i="27"/>
  <c r="BO305" i="27"/>
  <c r="BO350" i="27"/>
  <c r="BN346" i="27"/>
  <c r="AY358" i="27"/>
  <c r="AZ358" i="27" s="1"/>
  <c r="BI354" i="27"/>
  <c r="BS321" i="27"/>
  <c r="AQ361" i="27"/>
  <c r="BS314" i="27"/>
  <c r="BI361" i="27"/>
  <c r="BP350" i="27"/>
  <c r="BN362" i="27"/>
  <c r="BB361" i="27"/>
  <c r="BC361" i="27" s="1"/>
  <c r="O361" i="27"/>
  <c r="BQ308" i="27"/>
  <c r="BN343" i="27"/>
  <c r="BA361" i="27"/>
  <c r="BQ314" i="27"/>
  <c r="AY361" i="27"/>
  <c r="AZ361" i="27" s="1"/>
  <c r="BP321" i="27"/>
  <c r="BI323" i="27"/>
  <c r="BO321" i="27"/>
  <c r="BS347" i="27"/>
  <c r="BS351" i="27"/>
  <c r="O354" i="27"/>
  <c r="BO364" i="27"/>
  <c r="BQ361" i="27"/>
  <c r="A309" i="27"/>
  <c r="BS346" i="27"/>
  <c r="BN353" i="27"/>
  <c r="O352" i="27"/>
  <c r="BN364" i="27"/>
  <c r="BP361" i="27"/>
  <c r="AU361" i="27"/>
  <c r="BS362" i="27"/>
  <c r="BQ351" i="27"/>
  <c r="BS324" i="27"/>
  <c r="BQ343" i="27"/>
  <c r="BQ350" i="27"/>
  <c r="BN350" i="27"/>
  <c r="BI344" i="27"/>
  <c r="BQ327" i="27"/>
  <c r="BP314" i="27"/>
  <c r="BI314" i="27"/>
  <c r="BS356" i="27"/>
  <c r="BO353" i="27"/>
  <c r="AT364" i="27"/>
  <c r="AV364" i="27" s="1"/>
  <c r="BO360" i="27"/>
  <c r="BO326" i="27"/>
  <c r="O330" i="27"/>
  <c r="BO346" i="27"/>
  <c r="BQ354" i="27"/>
  <c r="BO327" i="27"/>
  <c r="O360" i="27"/>
  <c r="BQ353" i="27"/>
  <c r="AQ364" i="27"/>
  <c r="AY344" i="27"/>
  <c r="AZ344" i="27" s="1"/>
  <c r="BI364" i="27"/>
  <c r="BO356" i="27"/>
  <c r="BN330" i="27"/>
  <c r="BQ356" i="27"/>
  <c r="BN289" i="27"/>
  <c r="BP360" i="27"/>
  <c r="BN360" i="27"/>
  <c r="BS332" i="27"/>
  <c r="BB364" i="27"/>
  <c r="BC364" i="27" s="1"/>
  <c r="BN290" i="27"/>
  <c r="BP326" i="27"/>
  <c r="BN326" i="27"/>
  <c r="BI330" i="27"/>
  <c r="BP332" i="27"/>
  <c r="BA364" i="27"/>
  <c r="BS291" i="27"/>
  <c r="BS300" i="27"/>
  <c r="BP327" i="27"/>
  <c r="BI360" i="27"/>
  <c r="BO332" i="27"/>
  <c r="BO281" i="27"/>
  <c r="BQ291" i="27"/>
  <c r="BS313" i="27"/>
  <c r="BP323" i="27"/>
  <c r="BN300" i="27"/>
  <c r="BN332" i="27"/>
  <c r="AY364" i="27"/>
  <c r="AZ364" i="27" s="1"/>
  <c r="BO291" i="27"/>
  <c r="BQ309" i="27"/>
  <c r="BS305" i="27"/>
  <c r="BP324" i="27"/>
  <c r="BN297" i="27"/>
  <c r="BP308" i="27"/>
  <c r="BN314" i="27"/>
  <c r="BI313" i="27"/>
  <c r="BP347" i="27"/>
  <c r="BI352" i="27"/>
  <c r="O350" i="27"/>
  <c r="BQ364" i="27"/>
  <c r="BN291" i="27"/>
  <c r="BP305" i="27"/>
  <c r="BI305" i="27"/>
  <c r="BP346" i="27"/>
  <c r="BO354" i="27"/>
  <c r="BI350" i="27"/>
  <c r="BA357" i="27"/>
  <c r="BA360" i="27"/>
  <c r="AP354" i="27"/>
  <c r="AR354" i="27" s="1"/>
  <c r="AP352" i="27"/>
  <c r="AR352" i="27" s="1"/>
  <c r="O344" i="27"/>
  <c r="BB344" i="27"/>
  <c r="BC344" i="27" s="1"/>
  <c r="BA323" i="27"/>
  <c r="AU323" i="27"/>
  <c r="AP319" i="27"/>
  <c r="AR319" i="27" s="1"/>
  <c r="AY351" i="27"/>
  <c r="AZ351" i="27" s="1"/>
  <c r="BB320" i="27"/>
  <c r="BC320" i="27" s="1"/>
  <c r="BB352" i="27"/>
  <c r="BC352" i="27" s="1"/>
  <c r="AY350" i="27"/>
  <c r="AZ350" i="27" s="1"/>
  <c r="AP350" i="27"/>
  <c r="AR350" i="27" s="1"/>
  <c r="AQ350" i="27"/>
  <c r="AP300" i="27"/>
  <c r="AR300" i="27" s="1"/>
  <c r="AP284" i="27"/>
  <c r="AR284" i="27" s="1"/>
  <c r="AY360" i="27"/>
  <c r="AZ360" i="27" s="1"/>
  <c r="AY356" i="27"/>
  <c r="AZ356" i="27" s="1"/>
  <c r="BS344" i="27"/>
  <c r="AT320" i="27"/>
  <c r="AV320" i="27" s="1"/>
  <c r="BQ352" i="27"/>
  <c r="AY357" i="27"/>
  <c r="AZ357" i="27" s="1"/>
  <c r="AU351" i="27"/>
  <c r="BQ344" i="27"/>
  <c r="AT319" i="27"/>
  <c r="AV319" i="27" s="1"/>
  <c r="AU348" i="27"/>
  <c r="AQ353" i="27"/>
  <c r="BP344" i="27"/>
  <c r="BB300" i="27"/>
  <c r="BC300" i="27" s="1"/>
  <c r="AU350" i="27"/>
  <c r="BO344" i="27"/>
  <c r="AX327" i="27"/>
  <c r="BA348" i="27"/>
  <c r="AU356" i="27"/>
  <c r="AQ351" i="27"/>
  <c r="AX300" i="27"/>
  <c r="BA343" i="27"/>
  <c r="BA350" i="27"/>
  <c r="AU357" i="27"/>
  <c r="AQ348" i="27"/>
  <c r="AQ344" i="27"/>
  <c r="BA356" i="27"/>
  <c r="AQ356" i="27"/>
  <c r="BB323" i="27"/>
  <c r="BC323" i="27" s="1"/>
  <c r="A356" i="27"/>
  <c r="BI306" i="27"/>
  <c r="AT313" i="27"/>
  <c r="AV313" i="27" s="1"/>
  <c r="A357" i="27"/>
  <c r="BB308" i="27"/>
  <c r="BC308" i="27" s="1"/>
  <c r="O300" i="27"/>
  <c r="BQ270" i="27"/>
  <c r="A304" i="27"/>
  <c r="BQ307" i="27"/>
  <c r="BB306" i="27"/>
  <c r="BC306" i="27" s="1"/>
  <c r="AY305" i="27"/>
  <c r="AZ305" i="27" s="1"/>
  <c r="O305" i="27"/>
  <c r="BI346" i="27"/>
  <c r="BI353" i="27"/>
  <c r="BB353" i="27"/>
  <c r="BC353" i="27" s="1"/>
  <c r="O353" i="27"/>
  <c r="BS297" i="27"/>
  <c r="BO297" i="27"/>
  <c r="AX323" i="27"/>
  <c r="BB319" i="27"/>
  <c r="BC319" i="27" s="1"/>
  <c r="AU299" i="27"/>
  <c r="BO343" i="27"/>
  <c r="BI343" i="27"/>
  <c r="BI351" i="27"/>
  <c r="BB351" i="27"/>
  <c r="BC351" i="27" s="1"/>
  <c r="O351" i="27"/>
  <c r="BN301" i="27"/>
  <c r="BS307" i="27"/>
  <c r="BO308" i="27"/>
  <c r="AX320" i="27"/>
  <c r="BI348" i="27"/>
  <c r="BB348" i="27"/>
  <c r="BC348" i="27" s="1"/>
  <c r="O348" i="27"/>
  <c r="BA324" i="27"/>
  <c r="BB299" i="27"/>
  <c r="BC299" i="27" s="1"/>
  <c r="O347" i="27"/>
  <c r="BB350" i="27"/>
  <c r="BC350" i="27" s="1"/>
  <c r="AX297" i="27"/>
  <c r="O362" i="27"/>
  <c r="BI356" i="27"/>
  <c r="BB356" i="27"/>
  <c r="BC356" i="27" s="1"/>
  <c r="AQ288" i="27"/>
  <c r="O343" i="27"/>
  <c r="BI357" i="27"/>
  <c r="BB357" i="27"/>
  <c r="BC357" i="27" s="1"/>
  <c r="BS289" i="27"/>
  <c r="BQ329" i="27"/>
  <c r="BI331" i="27"/>
  <c r="AQ308" i="27"/>
  <c r="BS354" i="27"/>
  <c r="BP354" i="27"/>
  <c r="BS282" i="27"/>
  <c r="BQ296" i="27"/>
  <c r="AT324" i="27"/>
  <c r="AV324" i="27" s="1"/>
  <c r="BS352" i="27"/>
  <c r="BP352" i="27"/>
  <c r="BB313" i="27"/>
  <c r="BC313" i="27" s="1"/>
  <c r="BS329" i="27"/>
  <c r="BI300" i="27"/>
  <c r="BB331" i="27"/>
  <c r="BC331" i="27" s="1"/>
  <c r="AT308" i="27"/>
  <c r="AV308" i="27" s="1"/>
  <c r="BS294" i="27"/>
  <c r="BO311" i="27"/>
  <c r="BS323" i="27"/>
  <c r="BO330" i="27"/>
  <c r="BN329" i="27"/>
  <c r="BI327" i="27"/>
  <c r="AQ332" i="27"/>
  <c r="AY347" i="27"/>
  <c r="AZ347" i="27" s="1"/>
  <c r="AQ347" i="27"/>
  <c r="BS320" i="27"/>
  <c r="BI320" i="27"/>
  <c r="AY346" i="27"/>
  <c r="AZ346" i="27" s="1"/>
  <c r="AU346" i="27"/>
  <c r="AQ346" i="27"/>
  <c r="BN296" i="27"/>
  <c r="BS319" i="27"/>
  <c r="BO323" i="27"/>
  <c r="BN327" i="27"/>
  <c r="BI299" i="27"/>
  <c r="AY362" i="27"/>
  <c r="AZ362" i="27" s="1"/>
  <c r="BN294" i="27"/>
  <c r="BS299" i="27"/>
  <c r="BQ320" i="27"/>
  <c r="BN323" i="27"/>
  <c r="AY343" i="27"/>
  <c r="AZ343" i="27" s="1"/>
  <c r="AU343" i="27"/>
  <c r="AQ343" i="27"/>
  <c r="BQ319" i="27"/>
  <c r="BP320" i="27"/>
  <c r="BB347" i="27"/>
  <c r="BC347" i="27" s="1"/>
  <c r="BP319" i="27"/>
  <c r="BO320" i="27"/>
  <c r="BB346" i="27"/>
  <c r="BC346" i="27" s="1"/>
  <c r="O346" i="27"/>
  <c r="BQ300" i="27"/>
  <c r="BP299" i="27"/>
  <c r="BO319" i="27"/>
  <c r="BI307" i="27"/>
  <c r="BB362" i="27"/>
  <c r="BC362" i="27" s="1"/>
  <c r="BI281" i="27"/>
  <c r="BS306" i="27"/>
  <c r="BP300" i="27"/>
  <c r="BN299" i="27"/>
  <c r="BB343" i="27"/>
  <c r="BC343" i="27" s="1"/>
  <c r="BS330" i="27"/>
  <c r="BQ313" i="27"/>
  <c r="BP313" i="27"/>
  <c r="BO307" i="27"/>
  <c r="BI329" i="27"/>
  <c r="BO313" i="27"/>
  <c r="BN307" i="27"/>
  <c r="BS311" i="27"/>
  <c r="BO284" i="27"/>
  <c r="BQ318" i="27"/>
  <c r="BQ316" i="27"/>
  <c r="BQ330" i="27"/>
  <c r="BO329" i="27"/>
  <c r="BI326" i="27"/>
  <c r="O320" i="27"/>
  <c r="A313" i="27"/>
  <c r="AX332" i="27"/>
  <c r="BI283" i="27"/>
  <c r="AQ291" i="27"/>
  <c r="BN331" i="27"/>
  <c r="BB324" i="27"/>
  <c r="BC324" i="27" s="1"/>
  <c r="O297" i="27"/>
  <c r="A332" i="27"/>
  <c r="BB316" i="27"/>
  <c r="BC316" i="27" s="1"/>
  <c r="BB288" i="27"/>
  <c r="BC288" i="27" s="1"/>
  <c r="AX324" i="27"/>
  <c r="O308" i="27"/>
  <c r="AX321" i="27"/>
  <c r="AQ305" i="27"/>
  <c r="BN281" i="27"/>
  <c r="A301" i="27"/>
  <c r="BS331" i="27"/>
  <c r="AX288" i="27"/>
  <c r="AT321" i="27"/>
  <c r="AV321" i="27" s="1"/>
  <c r="BS290" i="27"/>
  <c r="O293" i="27"/>
  <c r="AP330" i="27"/>
  <c r="AR330" i="27" s="1"/>
  <c r="BQ306" i="27"/>
  <c r="AP360" i="27"/>
  <c r="AR360" i="27" s="1"/>
  <c r="AU264" i="27"/>
  <c r="BQ290" i="27"/>
  <c r="BI293" i="27"/>
  <c r="BN316" i="27"/>
  <c r="AX308" i="27"/>
  <c r="BA320" i="27"/>
  <c r="AP326" i="27"/>
  <c r="AR326" i="27" s="1"/>
  <c r="O331" i="27"/>
  <c r="BI332" i="27"/>
  <c r="AP332" i="27"/>
  <c r="AR332" i="27" s="1"/>
  <c r="BO234" i="27"/>
  <c r="BP290" i="27"/>
  <c r="BI296" i="27"/>
  <c r="BN309" i="27"/>
  <c r="BQ331" i="27"/>
  <c r="AY320" i="27"/>
  <c r="AZ320" i="27" s="1"/>
  <c r="AX307" i="27"/>
  <c r="AT297" i="27"/>
  <c r="AV297" i="27" s="1"/>
  <c r="AP323" i="27"/>
  <c r="AR323" i="27" s="1"/>
  <c r="O329" i="27"/>
  <c r="BP306" i="27"/>
  <c r="BI308" i="27"/>
  <c r="AY319" i="27"/>
  <c r="AZ319" i="27" s="1"/>
  <c r="A326" i="27"/>
  <c r="A323" i="27"/>
  <c r="BB311" i="27"/>
  <c r="BC311" i="27" s="1"/>
  <c r="BP331" i="27"/>
  <c r="BO306" i="27"/>
  <c r="AP297" i="27"/>
  <c r="AR297" i="27" s="1"/>
  <c r="O327" i="27"/>
  <c r="A321" i="27"/>
  <c r="BB332" i="27"/>
  <c r="BC332" i="27" s="1"/>
  <c r="BB304" i="27"/>
  <c r="BC304" i="27" s="1"/>
  <c r="AQ327" i="27"/>
  <c r="A299" i="27"/>
  <c r="BB294" i="27"/>
  <c r="BC294" i="27" s="1"/>
  <c r="BI318" i="27"/>
  <c r="O312" i="27"/>
  <c r="BB360" i="27"/>
  <c r="BC360" i="27" s="1"/>
  <c r="BA313" i="27"/>
  <c r="BB330" i="27"/>
  <c r="BC330" i="27" s="1"/>
  <c r="AT305" i="27"/>
  <c r="AV305" i="27" s="1"/>
  <c r="AP313" i="27"/>
  <c r="AR313" i="27" s="1"/>
  <c r="BI312" i="27"/>
  <c r="O301" i="27"/>
  <c r="BB327" i="27"/>
  <c r="BC327" i="27" s="1"/>
  <c r="BA305" i="27"/>
  <c r="BB305" i="27"/>
  <c r="BC305" i="27" s="1"/>
  <c r="AQ324" i="27"/>
  <c r="BQ255" i="27"/>
  <c r="BQ312" i="27"/>
  <c r="BO288" i="27"/>
  <c r="BI319" i="27"/>
  <c r="BB321" i="27"/>
  <c r="BC321" i="27" s="1"/>
  <c r="BA326" i="27"/>
  <c r="BI280" i="27"/>
  <c r="O283" i="27"/>
  <c r="O296" i="27"/>
  <c r="BQ304" i="27"/>
  <c r="A318" i="27"/>
  <c r="BI288" i="27"/>
  <c r="BA327" i="27"/>
  <c r="AX319" i="27"/>
  <c r="AU297" i="27"/>
  <c r="O306" i="27"/>
  <c r="A319" i="27"/>
  <c r="BP318" i="27"/>
  <c r="A311" i="27"/>
  <c r="AP306" i="27"/>
  <c r="AR306" i="27" s="1"/>
  <c r="O307" i="27"/>
  <c r="BP312" i="27"/>
  <c r="BN288" i="27"/>
  <c r="AX299" i="27"/>
  <c r="BS262" i="27"/>
  <c r="BN283" i="27"/>
  <c r="AU291" i="27"/>
  <c r="BP304" i="27"/>
  <c r="AY311" i="27"/>
  <c r="AZ311" i="27" s="1"/>
  <c r="BA321" i="27"/>
  <c r="AY307" i="27"/>
  <c r="AZ307" i="27" s="1"/>
  <c r="AP331" i="27"/>
  <c r="AR331" i="27" s="1"/>
  <c r="BS296" i="27"/>
  <c r="BP301" i="27"/>
  <c r="BS316" i="27"/>
  <c r="AY329" i="27"/>
  <c r="AZ329" i="27" s="1"/>
  <c r="AY313" i="27"/>
  <c r="AZ313" i="27" s="1"/>
  <c r="AU330" i="27"/>
  <c r="BP293" i="27"/>
  <c r="BO312" i="27"/>
  <c r="BS309" i="27"/>
  <c r="AY330" i="27"/>
  <c r="AZ330" i="27" s="1"/>
  <c r="AY314" i="27"/>
  <c r="AZ314" i="27" s="1"/>
  <c r="AU326" i="27"/>
  <c r="BO304" i="27"/>
  <c r="BB309" i="27"/>
  <c r="BC309" i="27" s="1"/>
  <c r="BQ288" i="27"/>
  <c r="AY326" i="27"/>
  <c r="AZ326" i="27" s="1"/>
  <c r="AX329" i="27"/>
  <c r="BQ289" i="27"/>
  <c r="BO301" i="27"/>
  <c r="BI311" i="27"/>
  <c r="BP309" i="27"/>
  <c r="AX330" i="27"/>
  <c r="AQ321" i="27"/>
  <c r="O321" i="27"/>
  <c r="BO296" i="27"/>
  <c r="A294" i="27"/>
  <c r="BN318" i="27"/>
  <c r="BO316" i="27"/>
  <c r="AT316" i="27"/>
  <c r="AV316" i="27" s="1"/>
  <c r="BA316" i="27"/>
  <c r="AX314" i="27"/>
  <c r="AT314" i="27"/>
  <c r="AV314" i="27" s="1"/>
  <c r="AQ320" i="27"/>
  <c r="BN258" i="27"/>
  <c r="BP289" i="27"/>
  <c r="BS312" i="27"/>
  <c r="O304" i="27"/>
  <c r="BA306" i="27"/>
  <c r="AX326" i="27"/>
  <c r="BP288" i="27"/>
  <c r="O288" i="27"/>
  <c r="A324" i="27"/>
  <c r="O324" i="27"/>
  <c r="BS304" i="27"/>
  <c r="AQ299" i="27"/>
  <c r="BO282" i="27"/>
  <c r="BS301" i="27"/>
  <c r="BB301" i="27"/>
  <c r="BC301" i="27" s="1"/>
  <c r="AY316" i="27"/>
  <c r="AZ316" i="27" s="1"/>
  <c r="AQ316" i="27"/>
  <c r="AU304" i="27"/>
  <c r="AY309" i="27"/>
  <c r="AZ309" i="27" s="1"/>
  <c r="AQ309" i="27"/>
  <c r="AT311" i="27"/>
  <c r="AV311" i="27" s="1"/>
  <c r="BI316" i="27"/>
  <c r="AX316" i="27"/>
  <c r="BI309" i="27"/>
  <c r="AX309" i="27"/>
  <c r="A316" i="27"/>
  <c r="BB312" i="27"/>
  <c r="BC312" i="27" s="1"/>
  <c r="AU316" i="27"/>
  <c r="AY294" i="27"/>
  <c r="AZ294" i="27" s="1"/>
  <c r="AQ312" i="27"/>
  <c r="AX296" i="27"/>
  <c r="BB318" i="27"/>
  <c r="BC318" i="27" s="1"/>
  <c r="AQ301" i="27"/>
  <c r="BA312" i="27"/>
  <c r="AX311" i="27"/>
  <c r="BA311" i="27"/>
  <c r="AX304" i="27"/>
  <c r="AQ318" i="27"/>
  <c r="BO318" i="27"/>
  <c r="BA304" i="27"/>
  <c r="AX301" i="27"/>
  <c r="BA294" i="27"/>
  <c r="AQ311" i="27"/>
  <c r="AU278" i="27"/>
  <c r="AQ304" i="27"/>
  <c r="BA291" i="27"/>
  <c r="BN311" i="27"/>
  <c r="AY318" i="27"/>
  <c r="AZ318" i="27" s="1"/>
  <c r="BQ311" i="27"/>
  <c r="AY312" i="27"/>
  <c r="AZ312" i="27" s="1"/>
  <c r="AQ282" i="27"/>
  <c r="AY304" i="27"/>
  <c r="AZ304" i="27" s="1"/>
  <c r="AY301" i="27"/>
  <c r="AZ301" i="27" s="1"/>
  <c r="BO280" i="27"/>
  <c r="BQ280" i="27"/>
  <c r="BN280" i="27"/>
  <c r="AQ293" i="27"/>
  <c r="AU294" i="27"/>
  <c r="AT296" i="27"/>
  <c r="AV296" i="27" s="1"/>
  <c r="O294" i="27"/>
  <c r="BB293" i="27"/>
  <c r="BC293" i="27" s="1"/>
  <c r="AT294" i="27"/>
  <c r="AV294" i="27" s="1"/>
  <c r="BA293" i="27"/>
  <c r="BB296" i="27"/>
  <c r="BC296" i="27" s="1"/>
  <c r="AY293" i="27"/>
  <c r="AZ293" i="27" s="1"/>
  <c r="BA296" i="27"/>
  <c r="BB280" i="27"/>
  <c r="BC280" i="27" s="1"/>
  <c r="AY291" i="27"/>
  <c r="AZ291" i="27" s="1"/>
  <c r="AQ296" i="27"/>
  <c r="AQ294" i="27"/>
  <c r="BQ260" i="27"/>
  <c r="BS285" i="27"/>
  <c r="AT293" i="27"/>
  <c r="AV293" i="27" s="1"/>
  <c r="BO262" i="27"/>
  <c r="BN270" i="27"/>
  <c r="AX284" i="27"/>
  <c r="BP260" i="27"/>
  <c r="BO285" i="27"/>
  <c r="BI285" i="27"/>
  <c r="BO293" i="27"/>
  <c r="BQ164" i="27"/>
  <c r="BO260" i="27"/>
  <c r="BB283" i="27"/>
  <c r="BC283" i="27" s="1"/>
  <c r="BA282" i="27"/>
  <c r="BB291" i="27"/>
  <c r="BC291" i="27" s="1"/>
  <c r="O291" i="27"/>
  <c r="BS270" i="27"/>
  <c r="A263" i="27"/>
  <c r="BN256" i="27"/>
  <c r="AT258" i="27"/>
  <c r="AV258" i="27" s="1"/>
  <c r="BN285" i="27"/>
  <c r="BQ282" i="27"/>
  <c r="BA284" i="27"/>
  <c r="BN293" i="27"/>
  <c r="BO270" i="27"/>
  <c r="BP282" i="27"/>
  <c r="BI284" i="27"/>
  <c r="BP224" i="27"/>
  <c r="BN250" i="27"/>
  <c r="AU271" i="27"/>
  <c r="BS280" i="27"/>
  <c r="AP281" i="27"/>
  <c r="AR281" i="27" s="1"/>
  <c r="O284" i="27"/>
  <c r="BI291" i="27"/>
  <c r="BS255" i="27"/>
  <c r="AP280" i="27"/>
  <c r="AR280" i="27" s="1"/>
  <c r="BS293" i="27"/>
  <c r="BO225" i="27"/>
  <c r="BQ285" i="27"/>
  <c r="BO235" i="27"/>
  <c r="O264" i="27"/>
  <c r="BQ281" i="27"/>
  <c r="A255" i="27"/>
  <c r="BB284" i="27"/>
  <c r="BC284" i="27" s="1"/>
  <c r="A282" i="27"/>
  <c r="BS284" i="27"/>
  <c r="BN284" i="27"/>
  <c r="BS264" i="27"/>
  <c r="BS258" i="27"/>
  <c r="AY285" i="27"/>
  <c r="AZ285" i="27" s="1"/>
  <c r="BP261" i="27"/>
  <c r="BQ264" i="27"/>
  <c r="BS256" i="27"/>
  <c r="BS281" i="27"/>
  <c r="AY283" i="27"/>
  <c r="AZ283" i="27" s="1"/>
  <c r="AQ285" i="27"/>
  <c r="BQ256" i="27"/>
  <c r="AY280" i="27"/>
  <c r="AZ280" i="27" s="1"/>
  <c r="AQ255" i="27"/>
  <c r="BQ224" i="27"/>
  <c r="BO261" i="27"/>
  <c r="BP256" i="27"/>
  <c r="O256" i="27"/>
  <c r="AX283" i="27"/>
  <c r="BQ284" i="27"/>
  <c r="BQ223" i="27"/>
  <c r="BO258" i="27"/>
  <c r="AY257" i="27"/>
  <c r="AZ257" i="27" s="1"/>
  <c r="O285" i="27"/>
  <c r="AY289" i="27"/>
  <c r="AZ289" i="27" s="1"/>
  <c r="AQ289" i="27"/>
  <c r="BQ220" i="27"/>
  <c r="BS278" i="27"/>
  <c r="AY290" i="27"/>
  <c r="AZ290" i="27" s="1"/>
  <c r="AQ290" i="27"/>
  <c r="BB263" i="27"/>
  <c r="BC263" i="27" s="1"/>
  <c r="AY282" i="27"/>
  <c r="AZ282" i="27" s="1"/>
  <c r="AU282" i="27"/>
  <c r="BA271" i="27"/>
  <c r="BB218" i="27"/>
  <c r="BC218" i="27" s="1"/>
  <c r="AY271" i="27"/>
  <c r="AZ271" i="27" s="1"/>
  <c r="AQ270" i="27"/>
  <c r="BB255" i="27"/>
  <c r="BC255" i="27" s="1"/>
  <c r="BI289" i="27"/>
  <c r="BB289" i="27"/>
  <c r="BC289" i="27" s="1"/>
  <c r="O289" i="27"/>
  <c r="BP278" i="27"/>
  <c r="BI263" i="27"/>
  <c r="AQ263" i="27"/>
  <c r="BI290" i="27"/>
  <c r="BB290" i="27"/>
  <c r="BC290" i="27" s="1"/>
  <c r="O290" i="27"/>
  <c r="AP262" i="27"/>
  <c r="AR262" i="27" s="1"/>
  <c r="BA285" i="27"/>
  <c r="BI282" i="27"/>
  <c r="BB282" i="27"/>
  <c r="BC282" i="27" s="1"/>
  <c r="AQ258" i="27"/>
  <c r="BA255" i="27"/>
  <c r="BA281" i="27"/>
  <c r="BN271" i="27"/>
  <c r="BI279" i="27"/>
  <c r="A256" i="27"/>
  <c r="BP255" i="27"/>
  <c r="BA283" i="27"/>
  <c r="A257" i="27"/>
  <c r="AX255" i="27"/>
  <c r="BQ219" i="27"/>
  <c r="BI257" i="27"/>
  <c r="AT256" i="27"/>
  <c r="AV256" i="27" s="1"/>
  <c r="AT281" i="27"/>
  <c r="AV281" i="27" s="1"/>
  <c r="AQ283" i="27"/>
  <c r="AY262" i="27"/>
  <c r="AZ262" i="27" s="1"/>
  <c r="AT257" i="27"/>
  <c r="AV257" i="27" s="1"/>
  <c r="BO283" i="27"/>
  <c r="A281" i="27"/>
  <c r="BN224" i="27"/>
  <c r="BN260" i="27"/>
  <c r="BQ258" i="27"/>
  <c r="BS283" i="27"/>
  <c r="AQ271" i="27"/>
  <c r="BO255" i="27"/>
  <c r="A280" i="27"/>
  <c r="BS263" i="27"/>
  <c r="AQ278" i="27"/>
  <c r="BO257" i="27"/>
  <c r="BQ283" i="27"/>
  <c r="BI255" i="27"/>
  <c r="BB285" i="27"/>
  <c r="BC285" i="27" s="1"/>
  <c r="AY281" i="27"/>
  <c r="AZ281" i="27" s="1"/>
  <c r="BP271" i="27"/>
  <c r="AY256" i="27"/>
  <c r="AZ256" i="27" s="1"/>
  <c r="BB281" i="27"/>
  <c r="BC281" i="27" s="1"/>
  <c r="AY255" i="27"/>
  <c r="AZ255" i="27" s="1"/>
  <c r="AU285" i="27"/>
  <c r="BB271" i="27"/>
  <c r="BC271" i="27" s="1"/>
  <c r="BQ221" i="27"/>
  <c r="AQ248" i="27"/>
  <c r="BO278" i="27"/>
  <c r="BI278" i="27"/>
  <c r="BB270" i="27"/>
  <c r="BC270" i="27" s="1"/>
  <c r="A278" i="27"/>
  <c r="BB258" i="27"/>
  <c r="BC258" i="27" s="1"/>
  <c r="BO279" i="27"/>
  <c r="AY258" i="27"/>
  <c r="AZ258" i="27" s="1"/>
  <c r="BP223" i="27"/>
  <c r="BS279" i="27"/>
  <c r="AX258" i="27"/>
  <c r="BQ274" i="27"/>
  <c r="BQ271" i="27"/>
  <c r="BN257" i="27"/>
  <c r="A264" i="27"/>
  <c r="A258" i="27"/>
  <c r="BI237" i="27"/>
  <c r="BP274" i="27"/>
  <c r="O258" i="27"/>
  <c r="BO275" i="27"/>
  <c r="BS257" i="27"/>
  <c r="BB256" i="27"/>
  <c r="BC256" i="27" s="1"/>
  <c r="BQ228" i="27"/>
  <c r="BP263" i="27"/>
  <c r="BB257" i="27"/>
  <c r="BC257" i="27" s="1"/>
  <c r="AQ256" i="27"/>
  <c r="BP279" i="27"/>
  <c r="BA258" i="27"/>
  <c r="AQ257" i="27"/>
  <c r="BS212" i="27"/>
  <c r="BO228" i="27"/>
  <c r="BO274" i="27"/>
  <c r="BO271" i="27"/>
  <c r="BQ257" i="27"/>
  <c r="BA256" i="27"/>
  <c r="BS211" i="27"/>
  <c r="BO226" i="27"/>
  <c r="BN275" i="27"/>
  <c r="BA257" i="27"/>
  <c r="BP140" i="27"/>
  <c r="BO263" i="27"/>
  <c r="BB278" i="27"/>
  <c r="BC278" i="27" s="1"/>
  <c r="BB264" i="27"/>
  <c r="BC264" i="27" s="1"/>
  <c r="BB262" i="27"/>
  <c r="BC262" i="27" s="1"/>
  <c r="BA264" i="27"/>
  <c r="A271" i="27"/>
  <c r="AQ225" i="27"/>
  <c r="AY264" i="27"/>
  <c r="AZ264" i="27" s="1"/>
  <c r="BA263" i="27"/>
  <c r="AY270" i="27"/>
  <c r="AZ270" i="27" s="1"/>
  <c r="AU263" i="27"/>
  <c r="AQ279" i="27"/>
  <c r="BP264" i="27"/>
  <c r="AY278" i="27"/>
  <c r="AZ278" i="27" s="1"/>
  <c r="BO264" i="27"/>
  <c r="AQ222" i="27"/>
  <c r="AY263" i="27"/>
  <c r="AZ263" i="27" s="1"/>
  <c r="AQ264" i="27"/>
  <c r="BA248" i="27"/>
  <c r="BA278" i="27"/>
  <c r="BO211" i="27"/>
  <c r="AU218" i="27"/>
  <c r="BP236" i="27"/>
  <c r="BQ243" i="27"/>
  <c r="BA261" i="27"/>
  <c r="O262" i="27"/>
  <c r="BI234" i="27"/>
  <c r="BO244" i="27"/>
  <c r="BQ261" i="27"/>
  <c r="BA274" i="27"/>
  <c r="O279" i="27"/>
  <c r="BI231" i="27"/>
  <c r="BO227" i="27"/>
  <c r="BP262" i="27"/>
  <c r="AT262" i="27"/>
  <c r="AV262" i="27" s="1"/>
  <c r="BO134" i="27"/>
  <c r="BQ222" i="27"/>
  <c r="BN235" i="27"/>
  <c r="AP246" i="27"/>
  <c r="AR246" i="27" s="1"/>
  <c r="BN121" i="27"/>
  <c r="BB279" i="27"/>
  <c r="BC279" i="27" s="1"/>
  <c r="AY279" i="27"/>
  <c r="AZ279" i="27" s="1"/>
  <c r="BB212" i="27"/>
  <c r="BC212" i="27" s="1"/>
  <c r="BS227" i="27"/>
  <c r="AY234" i="27"/>
  <c r="AZ234" i="27" s="1"/>
  <c r="A270" i="27"/>
  <c r="BS235" i="27"/>
  <c r="BB246" i="27"/>
  <c r="BC246" i="27" s="1"/>
  <c r="BQ248" i="27"/>
  <c r="BS275" i="27"/>
  <c r="BN261" i="27"/>
  <c r="BQ278" i="27"/>
  <c r="BI270" i="27"/>
  <c r="BA262" i="27"/>
  <c r="O271" i="27"/>
  <c r="BB225" i="27"/>
  <c r="BC225" i="27" s="1"/>
  <c r="BS245" i="27"/>
  <c r="BS267" i="27"/>
  <c r="BN274" i="27"/>
  <c r="BQ263" i="27"/>
  <c r="BQ226" i="27"/>
  <c r="BQ245" i="27"/>
  <c r="BA250" i="27"/>
  <c r="BN267" i="27"/>
  <c r="BQ279" i="27"/>
  <c r="BN262" i="27"/>
  <c r="A262" i="27"/>
  <c r="BO219" i="27"/>
  <c r="AX216" i="27"/>
  <c r="BQ235" i="27"/>
  <c r="BQ244" i="27"/>
  <c r="BA260" i="27"/>
  <c r="BN231" i="27"/>
  <c r="BP149" i="27"/>
  <c r="BQ231" i="27"/>
  <c r="BI275" i="27"/>
  <c r="BB275" i="27"/>
  <c r="BC275" i="27" s="1"/>
  <c r="AX275" i="27"/>
  <c r="AP275" i="27"/>
  <c r="AR275" i="27" s="1"/>
  <c r="O275" i="27"/>
  <c r="AY274" i="27"/>
  <c r="AZ274" i="27" s="1"/>
  <c r="AQ274" i="27"/>
  <c r="BP220" i="27"/>
  <c r="BP225" i="27"/>
  <c r="BS253" i="27"/>
  <c r="BQ267" i="27"/>
  <c r="BI260" i="27"/>
  <c r="BB260" i="27"/>
  <c r="BC260" i="27" s="1"/>
  <c r="AX260" i="27"/>
  <c r="AT260" i="27"/>
  <c r="AV260" i="27" s="1"/>
  <c r="AP260" i="27"/>
  <c r="AR260" i="27" s="1"/>
  <c r="O260" i="27"/>
  <c r="AU274" i="27"/>
  <c r="BS138" i="27"/>
  <c r="BS221" i="27"/>
  <c r="BP212" i="27"/>
  <c r="BP228" i="27"/>
  <c r="BP253" i="27"/>
  <c r="BI261" i="27"/>
  <c r="BB261" i="27"/>
  <c r="BC261" i="27" s="1"/>
  <c r="AX261" i="27"/>
  <c r="AT261" i="27"/>
  <c r="AV261" i="27" s="1"/>
  <c r="AP261" i="27"/>
  <c r="AR261" i="27" s="1"/>
  <c r="O261" i="27"/>
  <c r="BS224" i="27"/>
  <c r="BO218" i="27"/>
  <c r="BP226" i="27"/>
  <c r="BO253" i="27"/>
  <c r="A267" i="27"/>
  <c r="BI274" i="27"/>
  <c r="BB274" i="27"/>
  <c r="BC274" i="27" s="1"/>
  <c r="O274" i="27"/>
  <c r="BO212" i="27"/>
  <c r="BN221" i="27"/>
  <c r="BI225" i="27"/>
  <c r="BB267" i="27"/>
  <c r="BC267" i="27" s="1"/>
  <c r="BQ275" i="27"/>
  <c r="BO214" i="27"/>
  <c r="BI216" i="27"/>
  <c r="A214" i="27"/>
  <c r="BO236" i="27"/>
  <c r="BN211" i="27"/>
  <c r="BI214" i="27"/>
  <c r="BP245" i="27"/>
  <c r="BO245" i="27"/>
  <c r="BI244" i="27"/>
  <c r="BI211" i="27"/>
  <c r="BQ209" i="27"/>
  <c r="BI210" i="27"/>
  <c r="O209" i="27"/>
  <c r="BS231" i="27"/>
  <c r="BO232" i="27"/>
  <c r="BI243" i="27"/>
  <c r="BO248" i="27"/>
  <c r="BP222" i="27"/>
  <c r="BO231" i="27"/>
  <c r="BN246" i="27"/>
  <c r="BP221" i="27"/>
  <c r="O267" i="27"/>
  <c r="BP127" i="27"/>
  <c r="BN124" i="27"/>
  <c r="BQ210" i="27"/>
  <c r="AP267" i="27"/>
  <c r="AR267" i="27" s="1"/>
  <c r="BS233" i="27"/>
  <c r="BN251" i="27"/>
  <c r="BN223" i="27"/>
  <c r="BO237" i="27"/>
  <c r="BP242" i="27"/>
  <c r="BA267" i="27"/>
  <c r="BS210" i="27"/>
  <c r="BP218" i="27"/>
  <c r="BI222" i="27"/>
  <c r="BQ233" i="27"/>
  <c r="BS215" i="27"/>
  <c r="BP219" i="27"/>
  <c r="BN210" i="27"/>
  <c r="BQ232" i="27"/>
  <c r="AY267" i="27"/>
  <c r="AZ267" i="27" s="1"/>
  <c r="BP215" i="27"/>
  <c r="BI217" i="27"/>
  <c r="BO233" i="27"/>
  <c r="BO242" i="27"/>
  <c r="BI246" i="27"/>
  <c r="BQ253" i="27"/>
  <c r="A253" i="27"/>
  <c r="BP210" i="27"/>
  <c r="BI212" i="27"/>
  <c r="BI228" i="27"/>
  <c r="BS251" i="27"/>
  <c r="BI209" i="27"/>
  <c r="A212" i="27"/>
  <c r="BP227" i="27"/>
  <c r="BN238" i="27"/>
  <c r="BI227" i="27"/>
  <c r="BN244" i="27"/>
  <c r="BS250" i="27"/>
  <c r="BI251" i="27"/>
  <c r="BP267" i="27"/>
  <c r="AU267" i="27"/>
  <c r="BS134" i="27"/>
  <c r="BQ218" i="27"/>
  <c r="BO223" i="27"/>
  <c r="BS238" i="27"/>
  <c r="BN237" i="27"/>
  <c r="BI226" i="27"/>
  <c r="O225" i="27"/>
  <c r="BS249" i="27"/>
  <c r="O228" i="27"/>
  <c r="BN134" i="27"/>
  <c r="BS236" i="27"/>
  <c r="BP237" i="27"/>
  <c r="BN233" i="27"/>
  <c r="O232" i="27"/>
  <c r="BP251" i="27"/>
  <c r="BS127" i="27"/>
  <c r="BN130" i="27"/>
  <c r="BQ211" i="27"/>
  <c r="BO215" i="27"/>
  <c r="BS237" i="27"/>
  <c r="BO238" i="27"/>
  <c r="BN232" i="27"/>
  <c r="BI232" i="27"/>
  <c r="O231" i="27"/>
  <c r="BO251" i="27"/>
  <c r="BS214" i="27"/>
  <c r="BO220" i="27"/>
  <c r="BI223" i="27"/>
  <c r="O211" i="27"/>
  <c r="BQ234" i="27"/>
  <c r="BN234" i="27"/>
  <c r="BQ242" i="27"/>
  <c r="BN249" i="27"/>
  <c r="BB253" i="27"/>
  <c r="BC253" i="27" s="1"/>
  <c r="O253" i="27"/>
  <c r="BI218" i="27"/>
  <c r="BP246" i="27"/>
  <c r="BB243" i="27"/>
  <c r="BC243" i="27" s="1"/>
  <c r="AU248" i="27"/>
  <c r="BA253" i="27"/>
  <c r="BN164" i="27"/>
  <c r="AT192" i="27"/>
  <c r="AV192" i="27" s="1"/>
  <c r="AT248" i="27"/>
  <c r="AV248" i="27" s="1"/>
  <c r="AU246" i="27"/>
  <c r="O250" i="27"/>
  <c r="AY253" i="27"/>
  <c r="AZ253" i="27" s="1"/>
  <c r="BO216" i="27"/>
  <c r="BA215" i="27"/>
  <c r="BS226" i="27"/>
  <c r="BP238" i="27"/>
  <c r="BO246" i="27"/>
  <c r="AT246" i="27"/>
  <c r="AV246" i="27" s="1"/>
  <c r="A244" i="27"/>
  <c r="BB248" i="27"/>
  <c r="BC248" i="27" s="1"/>
  <c r="O248" i="27"/>
  <c r="BI199" i="27"/>
  <c r="BQ140" i="27"/>
  <c r="BA251" i="27"/>
  <c r="BA247" i="27"/>
  <c r="BA249" i="27"/>
  <c r="AU253" i="27"/>
  <c r="BS234" i="27"/>
  <c r="BP216" i="27"/>
  <c r="BI250" i="27"/>
  <c r="AY248" i="27"/>
  <c r="AZ248" i="27" s="1"/>
  <c r="BP181" i="27"/>
  <c r="BS46" i="27"/>
  <c r="BQ215" i="27"/>
  <c r="BN220" i="27"/>
  <c r="AQ209" i="27"/>
  <c r="BQ225" i="27"/>
  <c r="BN227" i="27"/>
  <c r="AQ234" i="27"/>
  <c r="BS244" i="27"/>
  <c r="BN242" i="27"/>
  <c r="AY242" i="27"/>
  <c r="AZ242" i="27" s="1"/>
  <c r="AQ247" i="27"/>
  <c r="BO250" i="27"/>
  <c r="BI248" i="27"/>
  <c r="AQ253" i="27"/>
  <c r="BO190" i="27"/>
  <c r="BQ216" i="27"/>
  <c r="BO222" i="27"/>
  <c r="BN218" i="27"/>
  <c r="BB224" i="27"/>
  <c r="BC224" i="27" s="1"/>
  <c r="BA221" i="27"/>
  <c r="O220" i="27"/>
  <c r="BA225" i="27"/>
  <c r="AX243" i="27"/>
  <c r="BO249" i="27"/>
  <c r="BQ212" i="27"/>
  <c r="O218" i="27"/>
  <c r="A222" i="27"/>
  <c r="BN236" i="27"/>
  <c r="BA226" i="27"/>
  <c r="AU234" i="27"/>
  <c r="BB247" i="27"/>
  <c r="BC247" i="27" s="1"/>
  <c r="BI166" i="27"/>
  <c r="BI46" i="27"/>
  <c r="BN216" i="27"/>
  <c r="O216" i="27"/>
  <c r="A220" i="27"/>
  <c r="BA232" i="27"/>
  <c r="O199" i="27"/>
  <c r="AX238" i="27"/>
  <c r="AY251" i="27"/>
  <c r="AZ251" i="27" s="1"/>
  <c r="AQ251" i="27"/>
  <c r="O221" i="27"/>
  <c r="AX225" i="27"/>
  <c r="BP250" i="27"/>
  <c r="AY250" i="27"/>
  <c r="AZ250" i="27" s="1"/>
  <c r="AU250" i="27"/>
  <c r="AQ250" i="27"/>
  <c r="O224" i="27"/>
  <c r="AX228" i="27"/>
  <c r="AT238" i="27"/>
  <c r="AV238" i="27" s="1"/>
  <c r="AY247" i="27"/>
  <c r="AZ247" i="27" s="1"/>
  <c r="BP249" i="27"/>
  <c r="AY249" i="27"/>
  <c r="AZ249" i="27" s="1"/>
  <c r="AU249" i="27"/>
  <c r="AQ249" i="27"/>
  <c r="AP238" i="27"/>
  <c r="AR238" i="27" s="1"/>
  <c r="O238" i="27"/>
  <c r="AY246" i="27"/>
  <c r="AZ246" i="27" s="1"/>
  <c r="BP248" i="27"/>
  <c r="BB214" i="27"/>
  <c r="BC214" i="27" s="1"/>
  <c r="BB251" i="27"/>
  <c r="BC251" i="27" s="1"/>
  <c r="O251" i="27"/>
  <c r="BA217" i="27"/>
  <c r="A221" i="27"/>
  <c r="BI238" i="27"/>
  <c r="AP235" i="27"/>
  <c r="AR235" i="27" s="1"/>
  <c r="BB250" i="27"/>
  <c r="BC250" i="27" s="1"/>
  <c r="AY218" i="27"/>
  <c r="AZ218" i="27" s="1"/>
  <c r="A224" i="27"/>
  <c r="O236" i="27"/>
  <c r="AX247" i="27"/>
  <c r="BI249" i="27"/>
  <c r="BB249" i="27"/>
  <c r="BC249" i="27" s="1"/>
  <c r="O249" i="27"/>
  <c r="BI130" i="27"/>
  <c r="O235" i="27"/>
  <c r="AX246" i="27"/>
  <c r="BI162" i="27"/>
  <c r="BI247" i="27"/>
  <c r="BI236" i="27"/>
  <c r="O181" i="27"/>
  <c r="BI127" i="27"/>
  <c r="BA236" i="27"/>
  <c r="AP243" i="27"/>
  <c r="AR243" i="27" s="1"/>
  <c r="BS248" i="27"/>
  <c r="AQ221" i="27"/>
  <c r="BI235" i="27"/>
  <c r="BA233" i="27"/>
  <c r="O246" i="27"/>
  <c r="O243" i="27"/>
  <c r="A127" i="27"/>
  <c r="BB220" i="27"/>
  <c r="BC220" i="27" s="1"/>
  <c r="BI233" i="27"/>
  <c r="O242" i="27"/>
  <c r="AY220" i="27"/>
  <c r="AZ220" i="27" s="1"/>
  <c r="BA234" i="27"/>
  <c r="AQ231" i="27"/>
  <c r="BS246" i="27"/>
  <c r="BO247" i="27"/>
  <c r="AT247" i="27"/>
  <c r="AV247" i="27" s="1"/>
  <c r="O247" i="27"/>
  <c r="A245" i="27"/>
  <c r="BB124" i="27"/>
  <c r="BC124" i="27" s="1"/>
  <c r="AQ215" i="27"/>
  <c r="AP228" i="27"/>
  <c r="AR228" i="27" s="1"/>
  <c r="BS243" i="27"/>
  <c r="BB245" i="27"/>
  <c r="BC245" i="27" s="1"/>
  <c r="O245" i="27"/>
  <c r="AX221" i="27"/>
  <c r="AQ216" i="27"/>
  <c r="AP236" i="27"/>
  <c r="AR236" i="27" s="1"/>
  <c r="BB244" i="27"/>
  <c r="BC244" i="27" s="1"/>
  <c r="AT244" i="27"/>
  <c r="AV244" i="27" s="1"/>
  <c r="A242" i="27"/>
  <c r="AX220" i="27"/>
  <c r="AQ217" i="27"/>
  <c r="BB238" i="27"/>
  <c r="BC238" i="27" s="1"/>
  <c r="AY225" i="27"/>
  <c r="AZ225" i="27" s="1"/>
  <c r="BQ247" i="27"/>
  <c r="BO243" i="27"/>
  <c r="AY245" i="27"/>
  <c r="AZ245" i="27" s="1"/>
  <c r="AQ245" i="27"/>
  <c r="AX218" i="27"/>
  <c r="AP232" i="27"/>
  <c r="AR232" i="27" s="1"/>
  <c r="BB242" i="27"/>
  <c r="BC242" i="27" s="1"/>
  <c r="AY244" i="27"/>
  <c r="AZ244" i="27" s="1"/>
  <c r="AQ244" i="27"/>
  <c r="BB228" i="27"/>
  <c r="BC228" i="27" s="1"/>
  <c r="BN247" i="27"/>
  <c r="BB221" i="27"/>
  <c r="BC221" i="27" s="1"/>
  <c r="AP215" i="27"/>
  <c r="AR215" i="27" s="1"/>
  <c r="BA238" i="27"/>
  <c r="AY231" i="27"/>
  <c r="AZ231" i="27" s="1"/>
  <c r="AQ242" i="27"/>
  <c r="BB216" i="27"/>
  <c r="BC216" i="27" s="1"/>
  <c r="BA216" i="27"/>
  <c r="BA228" i="27"/>
  <c r="BA223" i="27"/>
  <c r="AU209" i="27"/>
  <c r="BA227" i="27"/>
  <c r="BP247" i="27"/>
  <c r="BN243" i="27"/>
  <c r="BA219" i="27"/>
  <c r="O234" i="27"/>
  <c r="BS232" i="27"/>
  <c r="BQ153" i="27"/>
  <c r="BO165" i="27"/>
  <c r="AX209" i="27"/>
  <c r="AT216" i="27"/>
  <c r="AV216" i="27" s="1"/>
  <c r="BB236" i="27"/>
  <c r="BC236" i="27" s="1"/>
  <c r="AX236" i="27"/>
  <c r="AT236" i="27"/>
  <c r="AV236" i="27" s="1"/>
  <c r="A233" i="27"/>
  <c r="BB222" i="27"/>
  <c r="BC222" i="27" s="1"/>
  <c r="AT217" i="27"/>
  <c r="AV217" i="27" s="1"/>
  <c r="AP220" i="27"/>
  <c r="AR220" i="27" s="1"/>
  <c r="BB237" i="27"/>
  <c r="BC237" i="27" s="1"/>
  <c r="AX237" i="27"/>
  <c r="AP237" i="27"/>
  <c r="AR237" i="27" s="1"/>
  <c r="O237" i="27"/>
  <c r="BS140" i="27"/>
  <c r="BN214" i="27"/>
  <c r="AY222" i="27"/>
  <c r="AZ222" i="27" s="1"/>
  <c r="BB235" i="27"/>
  <c r="BC235" i="27" s="1"/>
  <c r="AY227" i="27"/>
  <c r="AZ227" i="27" s="1"/>
  <c r="AX235" i="27"/>
  <c r="AU227" i="27"/>
  <c r="AQ227" i="27"/>
  <c r="BS122" i="27"/>
  <c r="BS222" i="27"/>
  <c r="BB234" i="27"/>
  <c r="BC234" i="27" s="1"/>
  <c r="AY226" i="27"/>
  <c r="AZ226" i="27" s="1"/>
  <c r="AQ226" i="27"/>
  <c r="BB219" i="27"/>
  <c r="BC219" i="27" s="1"/>
  <c r="BB223" i="27"/>
  <c r="BC223" i="27" s="1"/>
  <c r="BB233" i="27"/>
  <c r="BC233" i="27" s="1"/>
  <c r="AX233" i="27"/>
  <c r="AT233" i="27"/>
  <c r="AV233" i="27" s="1"/>
  <c r="AP233" i="27"/>
  <c r="AR233" i="27" s="1"/>
  <c r="BQ121" i="27"/>
  <c r="BB232" i="27"/>
  <c r="BC232" i="27" s="1"/>
  <c r="AX232" i="27"/>
  <c r="AT232" i="27"/>
  <c r="AV232" i="27" s="1"/>
  <c r="BO209" i="27"/>
  <c r="BB217" i="27"/>
  <c r="BC217" i="27" s="1"/>
  <c r="AP211" i="27"/>
  <c r="AR211" i="27" s="1"/>
  <c r="BB231" i="27"/>
  <c r="BC231" i="27" s="1"/>
  <c r="BB209" i="27"/>
  <c r="BC209" i="27" s="1"/>
  <c r="AY217" i="27"/>
  <c r="AZ217" i="27" s="1"/>
  <c r="BN139" i="27"/>
  <c r="BA122" i="27"/>
  <c r="BP209" i="27"/>
  <c r="BB211" i="27"/>
  <c r="BC211" i="27" s="1"/>
  <c r="AY212" i="27"/>
  <c r="AZ212" i="27" s="1"/>
  <c r="AU216" i="27"/>
  <c r="BA220" i="27"/>
  <c r="BS225" i="27"/>
  <c r="BS164" i="27"/>
  <c r="BN122" i="27"/>
  <c r="BP124" i="27"/>
  <c r="BS219" i="27"/>
  <c r="BB210" i="27"/>
  <c r="BC210" i="27" s="1"/>
  <c r="AU217" i="27"/>
  <c r="BS228" i="27"/>
  <c r="A227" i="27"/>
  <c r="AQ46" i="27"/>
  <c r="A226" i="27"/>
  <c r="BN138" i="27"/>
  <c r="BS209" i="27"/>
  <c r="BB227" i="27"/>
  <c r="BC227" i="27" s="1"/>
  <c r="BS165" i="27"/>
  <c r="BB226" i="27"/>
  <c r="BC226" i="27" s="1"/>
  <c r="AT210" i="27"/>
  <c r="AV210" i="27" s="1"/>
  <c r="AP224" i="27"/>
  <c r="AR224" i="27" s="1"/>
  <c r="O219" i="27"/>
  <c r="AX214" i="27"/>
  <c r="BQ147" i="27"/>
  <c r="BN137" i="27"/>
  <c r="BB215" i="27"/>
  <c r="BC215" i="27" s="1"/>
  <c r="AY214" i="27"/>
  <c r="AZ214" i="27" s="1"/>
  <c r="AX212" i="27"/>
  <c r="AQ224" i="27"/>
  <c r="AP223" i="27"/>
  <c r="AR223" i="27" s="1"/>
  <c r="O215" i="27"/>
  <c r="BO177" i="27"/>
  <c r="BN147" i="27"/>
  <c r="A140" i="27"/>
  <c r="BA214" i="27"/>
  <c r="AX211" i="27"/>
  <c r="AT221" i="27"/>
  <c r="AV221" i="27" s="1"/>
  <c r="AP218" i="27"/>
  <c r="AR218" i="27" s="1"/>
  <c r="O217" i="27"/>
  <c r="A210" i="27"/>
  <c r="BQ54" i="27"/>
  <c r="BO164" i="27"/>
  <c r="BN190" i="27"/>
  <c r="A139" i="27"/>
  <c r="A46" i="27"/>
  <c r="BI219" i="27"/>
  <c r="BA212" i="27"/>
  <c r="AX210" i="27"/>
  <c r="AU221" i="27"/>
  <c r="AP219" i="27"/>
  <c r="AR219" i="27" s="1"/>
  <c r="BI215" i="27"/>
  <c r="BO130" i="27"/>
  <c r="AY46" i="27"/>
  <c r="AZ46" i="27" s="1"/>
  <c r="AT219" i="27"/>
  <c r="AV219" i="27" s="1"/>
  <c r="AP214" i="27"/>
  <c r="AR214" i="27" s="1"/>
  <c r="A223" i="27"/>
  <c r="AX224" i="27"/>
  <c r="BN165" i="27"/>
  <c r="BQ122" i="27"/>
  <c r="AY224" i="27"/>
  <c r="AZ224" i="27" s="1"/>
  <c r="AX223" i="27"/>
  <c r="AT215" i="27"/>
  <c r="AV215" i="27" s="1"/>
  <c r="AP212" i="27"/>
  <c r="AR212" i="27" s="1"/>
  <c r="BN217" i="27"/>
  <c r="AY223" i="27"/>
  <c r="AZ223" i="27" s="1"/>
  <c r="BO217" i="27"/>
  <c r="BP217" i="27"/>
  <c r="AX219" i="27"/>
  <c r="AP210" i="27"/>
  <c r="AR210" i="27" s="1"/>
  <c r="BO175" i="27"/>
  <c r="BI177" i="27"/>
  <c r="BO138" i="27"/>
  <c r="BP139" i="27"/>
  <c r="BI140" i="27"/>
  <c r="O122" i="27"/>
  <c r="BQ217" i="27"/>
  <c r="BP214" i="27"/>
  <c r="AX215" i="27"/>
  <c r="AT212" i="27"/>
  <c r="AV212" i="27" s="1"/>
  <c r="BS171" i="27"/>
  <c r="BI192" i="27"/>
  <c r="BO137" i="27"/>
  <c r="BO121" i="27"/>
  <c r="BI122" i="27"/>
  <c r="BS178" i="27"/>
  <c r="BO133" i="27"/>
  <c r="BS125" i="27"/>
  <c r="BI124" i="27"/>
  <c r="BQ125" i="27"/>
  <c r="BN127" i="27"/>
  <c r="AU127" i="27"/>
  <c r="BP125" i="27"/>
  <c r="BA125" i="27"/>
  <c r="BB46" i="27"/>
  <c r="BC46" i="27" s="1"/>
  <c r="O194" i="27"/>
  <c r="O177" i="27"/>
  <c r="BN133" i="27"/>
  <c r="AP124" i="27"/>
  <c r="AR124" i="27" s="1"/>
  <c r="O192" i="27"/>
  <c r="BO125" i="27"/>
  <c r="BQ167" i="27"/>
  <c r="BP167" i="27"/>
  <c r="AY130" i="27"/>
  <c r="AZ130" i="27" s="1"/>
  <c r="BS166" i="27"/>
  <c r="BS170" i="27"/>
  <c r="BP168" i="27"/>
  <c r="BO167" i="27"/>
  <c r="A194" i="27"/>
  <c r="A195" i="27"/>
  <c r="BS133" i="27"/>
  <c r="AY124" i="27"/>
  <c r="AZ124" i="27" s="1"/>
  <c r="BQ46" i="27"/>
  <c r="BP166" i="27"/>
  <c r="BQ165" i="27"/>
  <c r="BN171" i="27"/>
  <c r="BO194" i="27"/>
  <c r="BS195" i="27"/>
  <c r="BS190" i="27"/>
  <c r="BQ138" i="27"/>
  <c r="AQ121" i="27"/>
  <c r="BP46" i="27"/>
  <c r="BO168" i="27"/>
  <c r="BN167" i="27"/>
  <c r="BQ175" i="27"/>
  <c r="BP195" i="27"/>
  <c r="BQ177" i="27"/>
  <c r="BQ137" i="27"/>
  <c r="BQ139" i="27"/>
  <c r="BO46" i="27"/>
  <c r="BP170" i="27"/>
  <c r="BO195" i="27"/>
  <c r="BP134" i="27"/>
  <c r="AX124" i="27"/>
  <c r="BB125" i="27"/>
  <c r="BC125" i="27" s="1"/>
  <c r="BI175" i="27"/>
  <c r="O141" i="27"/>
  <c r="BS162" i="27"/>
  <c r="BQ166" i="27"/>
  <c r="BP171" i="27"/>
  <c r="BI181" i="27"/>
  <c r="BN175" i="27"/>
  <c r="BS194" i="27"/>
  <c r="BI133" i="27"/>
  <c r="BS139" i="27"/>
  <c r="BN140" i="27"/>
  <c r="BI139" i="27"/>
  <c r="AY121" i="27"/>
  <c r="AZ121" i="27" s="1"/>
  <c r="BA121" i="27"/>
  <c r="BP130" i="27"/>
  <c r="BI125" i="27"/>
  <c r="BA124" i="27"/>
  <c r="AP125" i="27"/>
  <c r="AR125" i="27" s="1"/>
  <c r="BO171" i="27"/>
  <c r="AQ134" i="27"/>
  <c r="BS121" i="27"/>
  <c r="O121" i="27"/>
  <c r="AU124" i="27"/>
  <c r="AT130" i="27"/>
  <c r="AV130" i="27" s="1"/>
  <c r="BS192" i="27"/>
  <c r="AT125" i="27"/>
  <c r="AV125" i="27" s="1"/>
  <c r="BO124" i="27"/>
  <c r="AY125" i="27"/>
  <c r="AZ125" i="27" s="1"/>
  <c r="BI195" i="27"/>
  <c r="BQ192" i="27"/>
  <c r="AT177" i="27"/>
  <c r="AV177" i="27" s="1"/>
  <c r="BQ190" i="27"/>
  <c r="BA137" i="27"/>
  <c r="BO153" i="27"/>
  <c r="O162" i="27"/>
  <c r="BS181" i="27"/>
  <c r="O175" i="27"/>
  <c r="BO192" i="27"/>
  <c r="BS137" i="27"/>
  <c r="BS130" i="27"/>
  <c r="A130" i="27"/>
  <c r="BN153" i="27"/>
  <c r="AT122" i="27"/>
  <c r="AV122" i="27" s="1"/>
  <c r="BB130" i="27"/>
  <c r="BC130" i="27" s="1"/>
  <c r="A125" i="27"/>
  <c r="A147" i="27"/>
  <c r="BI172" i="27"/>
  <c r="BO178" i="27"/>
  <c r="BO181" i="27"/>
  <c r="BO199" i="27"/>
  <c r="BB140" i="27"/>
  <c r="BC140" i="27" s="1"/>
  <c r="BS124" i="27"/>
  <c r="AQ130" i="27"/>
  <c r="A124" i="27"/>
  <c r="BI67" i="27"/>
  <c r="BN178" i="27"/>
  <c r="BN181" i="27"/>
  <c r="BS175" i="27"/>
  <c r="BN192" i="27"/>
  <c r="AP199" i="27"/>
  <c r="AR199" i="27" s="1"/>
  <c r="O133" i="27"/>
  <c r="BO122" i="27"/>
  <c r="BB122" i="27"/>
  <c r="BC122" i="27" s="1"/>
  <c r="A165" i="27"/>
  <c r="BB121" i="27"/>
  <c r="BC121" i="27" s="1"/>
  <c r="AY122" i="27"/>
  <c r="AZ122" i="27" s="1"/>
  <c r="AT134" i="27"/>
  <c r="AV134" i="27" s="1"/>
  <c r="BA134" i="27"/>
  <c r="AX139" i="27"/>
  <c r="BB139" i="27"/>
  <c r="BC139" i="27" s="1"/>
  <c r="AY139" i="27"/>
  <c r="AZ139" i="27" s="1"/>
  <c r="AU199" i="27"/>
  <c r="AT121" i="27"/>
  <c r="AV121" i="27" s="1"/>
  <c r="AP127" i="27"/>
  <c r="AR127" i="27" s="1"/>
  <c r="AP140" i="27"/>
  <c r="AR140" i="27" s="1"/>
  <c r="A121" i="27"/>
  <c r="BQ127" i="27"/>
  <c r="AP139" i="27"/>
  <c r="AR139" i="27" s="1"/>
  <c r="AY127" i="27"/>
  <c r="AZ127" i="27" s="1"/>
  <c r="AP122" i="27"/>
  <c r="AR122" i="27" s="1"/>
  <c r="BA138" i="27"/>
  <c r="BB127" i="27"/>
  <c r="BC127" i="27" s="1"/>
  <c r="AY140" i="27"/>
  <c r="AZ140" i="27" s="1"/>
  <c r="BN194" i="27"/>
  <c r="BA127" i="27"/>
  <c r="AQ178" i="27"/>
  <c r="BA199" i="27"/>
  <c r="AU122" i="27"/>
  <c r="AU121" i="27"/>
  <c r="AY134" i="27"/>
  <c r="AZ134" i="27" s="1"/>
  <c r="AX177" i="27"/>
  <c r="BP133" i="27"/>
  <c r="AY133" i="27"/>
  <c r="AZ133" i="27" s="1"/>
  <c r="AQ133" i="27"/>
  <c r="BB164" i="27"/>
  <c r="BC164" i="27" s="1"/>
  <c r="AX199" i="27"/>
  <c r="BI138" i="27"/>
  <c r="BB138" i="27"/>
  <c r="BC138" i="27" s="1"/>
  <c r="AX138" i="27"/>
  <c r="AT138" i="27"/>
  <c r="AV138" i="27" s="1"/>
  <c r="AP138" i="27"/>
  <c r="AR138" i="27" s="1"/>
  <c r="O138" i="27"/>
  <c r="BB168" i="27"/>
  <c r="BC168" i="27" s="1"/>
  <c r="AQ192" i="27"/>
  <c r="BI137" i="27"/>
  <c r="BB137" i="27"/>
  <c r="BC137" i="27" s="1"/>
  <c r="AX137" i="27"/>
  <c r="AT137" i="27"/>
  <c r="AV137" i="27" s="1"/>
  <c r="AP137" i="27"/>
  <c r="AR137" i="27" s="1"/>
  <c r="O137" i="27"/>
  <c r="BI134" i="27"/>
  <c r="BB134" i="27"/>
  <c r="BC134" i="27" s="1"/>
  <c r="O134" i="27"/>
  <c r="AP177" i="27"/>
  <c r="AR177" i="27" s="1"/>
  <c r="BB133" i="27"/>
  <c r="BC133" i="27" s="1"/>
  <c r="AX171" i="27"/>
  <c r="BB177" i="27"/>
  <c r="BC177" i="27" s="1"/>
  <c r="BB192" i="27"/>
  <c r="BC192" i="27" s="1"/>
  <c r="BB199" i="27"/>
  <c r="BC199" i="27" s="1"/>
  <c r="BA177" i="27"/>
  <c r="BA192" i="27"/>
  <c r="BQ199" i="27"/>
  <c r="BP177" i="27"/>
  <c r="AY192" i="27"/>
  <c r="AZ192" i="27" s="1"/>
  <c r="AY190" i="27"/>
  <c r="AZ190" i="27" s="1"/>
  <c r="AU190" i="27"/>
  <c r="AQ190" i="27"/>
  <c r="BP199" i="27"/>
  <c r="BI190" i="27"/>
  <c r="BB190" i="27"/>
  <c r="BC190" i="27" s="1"/>
  <c r="O190" i="27"/>
  <c r="BS177" i="27"/>
  <c r="BS199" i="27"/>
  <c r="AY195" i="27"/>
  <c r="AZ195" i="27" s="1"/>
  <c r="BB195" i="27"/>
  <c r="BC195" i="27" s="1"/>
  <c r="BQ195" i="27"/>
  <c r="AQ195" i="27"/>
  <c r="AQ194" i="27"/>
  <c r="AP195" i="27"/>
  <c r="AR195" i="27" s="1"/>
  <c r="BB194" i="27"/>
  <c r="BC194" i="27" s="1"/>
  <c r="BA194" i="27"/>
  <c r="AY194" i="27"/>
  <c r="AZ194" i="27" s="1"/>
  <c r="BQ194" i="27"/>
  <c r="AU194" i="27"/>
  <c r="BB175" i="27"/>
  <c r="BC175" i="27" s="1"/>
  <c r="BA175" i="27"/>
  <c r="AY175" i="27"/>
  <c r="AZ175" i="27" s="1"/>
  <c r="AU175" i="27"/>
  <c r="AQ175" i="27"/>
  <c r="BB181" i="27"/>
  <c r="BC181" i="27" s="1"/>
  <c r="AY181" i="27"/>
  <c r="AZ181" i="27" s="1"/>
  <c r="AQ181" i="27"/>
  <c r="BN170" i="27"/>
  <c r="BI167" i="27"/>
  <c r="BI178" i="27"/>
  <c r="O166" i="27"/>
  <c r="BN168" i="27"/>
  <c r="AQ168" i="27"/>
  <c r="BO162" i="27"/>
  <c r="BB178" i="27"/>
  <c r="BC178" i="27" s="1"/>
  <c r="O178" i="27"/>
  <c r="O146" i="27"/>
  <c r="O153" i="27"/>
  <c r="BN162" i="27"/>
  <c r="AP167" i="27"/>
  <c r="AR167" i="27" s="1"/>
  <c r="BN161" i="27"/>
  <c r="BI164" i="27"/>
  <c r="AY178" i="27"/>
  <c r="AZ178" i="27" s="1"/>
  <c r="BS153" i="27"/>
  <c r="BB172" i="27"/>
  <c r="BC172" i="27" s="1"/>
  <c r="BQ170" i="27"/>
  <c r="BS168" i="27"/>
  <c r="AY172" i="27"/>
  <c r="AZ172" i="27" s="1"/>
  <c r="BQ178" i="27"/>
  <c r="BS149" i="27"/>
  <c r="O172" i="27"/>
  <c r="A171" i="27"/>
  <c r="BB171" i="27"/>
  <c r="BC171" i="27" s="1"/>
  <c r="AQ172" i="27"/>
  <c r="O171" i="27"/>
  <c r="A167" i="27"/>
  <c r="BQ172" i="27"/>
  <c r="BB167" i="27"/>
  <c r="BC167" i="27" s="1"/>
  <c r="AQ171" i="27"/>
  <c r="BP172" i="27"/>
  <c r="BA167" i="27"/>
  <c r="AU167" i="27"/>
  <c r="BO172" i="27"/>
  <c r="BB149" i="27"/>
  <c r="BC149" i="27" s="1"/>
  <c r="BN172" i="27"/>
  <c r="AY167" i="27"/>
  <c r="AZ167" i="27" s="1"/>
  <c r="BB186" i="27"/>
  <c r="BC186" i="27" s="1"/>
  <c r="BA149" i="27"/>
  <c r="AY168" i="27"/>
  <c r="AZ168" i="27" s="1"/>
  <c r="AQ164" i="27"/>
  <c r="AY164" i="27"/>
  <c r="AZ164" i="27" s="1"/>
  <c r="BI168" i="27"/>
  <c r="AX168" i="27"/>
  <c r="A168" i="27"/>
  <c r="A164" i="27"/>
  <c r="BB158" i="27"/>
  <c r="BC158" i="27" s="1"/>
  <c r="AU166" i="27"/>
  <c r="AU168" i="27"/>
  <c r="AT168" i="27"/>
  <c r="AV168" i="27" s="1"/>
  <c r="BB150" i="27"/>
  <c r="BC150" i="27" s="1"/>
  <c r="AT164" i="27"/>
  <c r="AV164" i="27" s="1"/>
  <c r="BA142" i="27"/>
  <c r="BA170" i="27"/>
  <c r="BI170" i="27"/>
  <c r="AX170" i="27"/>
  <c r="AP170" i="27"/>
  <c r="AR170" i="27" s="1"/>
  <c r="A170" i="27"/>
  <c r="AY166" i="27"/>
  <c r="AZ166" i="27" s="1"/>
  <c r="BB165" i="27"/>
  <c r="BC165" i="27" s="1"/>
  <c r="O165" i="27"/>
  <c r="BB170" i="27"/>
  <c r="BC170" i="27" s="1"/>
  <c r="AY165" i="27"/>
  <c r="AZ165" i="27" s="1"/>
  <c r="AQ165" i="27"/>
  <c r="AT162" i="27"/>
  <c r="AV162" i="27" s="1"/>
  <c r="AP166" i="27"/>
  <c r="AR166" i="27" s="1"/>
  <c r="BB166" i="27"/>
  <c r="BC166" i="27" s="1"/>
  <c r="BA166" i="27"/>
  <c r="BO166" i="27"/>
  <c r="BB162" i="27"/>
  <c r="BC162" i="27" s="1"/>
  <c r="A186" i="27"/>
  <c r="AQ162" i="27"/>
  <c r="AQ161" i="27"/>
  <c r="A146" i="27"/>
  <c r="BS161" i="27"/>
  <c r="BA162" i="27"/>
  <c r="BQ161" i="27"/>
  <c r="BQ187" i="27"/>
  <c r="BS147" i="27"/>
  <c r="BP161" i="27"/>
  <c r="AY162" i="27"/>
  <c r="AZ162" i="27" s="1"/>
  <c r="BP187" i="27"/>
  <c r="BN158" i="27"/>
  <c r="BO187" i="27"/>
  <c r="BS146" i="27"/>
  <c r="BN187" i="27"/>
  <c r="BP146" i="27"/>
  <c r="BP147" i="27"/>
  <c r="BQ162" i="27"/>
  <c r="BO146" i="27"/>
  <c r="BO149" i="27"/>
  <c r="AY158" i="27"/>
  <c r="AZ158" i="27" s="1"/>
  <c r="AX158" i="27"/>
  <c r="BI161" i="27"/>
  <c r="AQ158" i="27"/>
  <c r="BB161" i="27"/>
  <c r="BC161" i="27" s="1"/>
  <c r="O161" i="27"/>
  <c r="AY161" i="27"/>
  <c r="AZ161" i="27" s="1"/>
  <c r="BA153" i="27"/>
  <c r="BI158" i="27"/>
  <c r="O158" i="27"/>
  <c r="BA158" i="27"/>
  <c r="BS158" i="27"/>
  <c r="BQ158" i="27"/>
  <c r="BP158" i="27"/>
  <c r="AU158" i="27"/>
  <c r="A153" i="27"/>
  <c r="AU153" i="27"/>
  <c r="AT153" i="27"/>
  <c r="AV153" i="27" s="1"/>
  <c r="AX150" i="27"/>
  <c r="AQ153" i="27"/>
  <c r="BB153" i="27"/>
  <c r="BC153" i="27" s="1"/>
  <c r="AY153" i="27"/>
  <c r="AZ153" i="27" s="1"/>
  <c r="BN150" i="27"/>
  <c r="BQ146" i="27"/>
  <c r="O149" i="27"/>
  <c r="AQ150" i="27"/>
  <c r="BI150" i="27"/>
  <c r="AP150" i="27"/>
  <c r="AR150" i="27" s="1"/>
  <c r="BS141" i="27"/>
  <c r="BQ149" i="27"/>
  <c r="BS186" i="27"/>
  <c r="BS185" i="27"/>
  <c r="O150" i="27"/>
  <c r="BS120" i="27"/>
  <c r="BI145" i="27"/>
  <c r="O145" i="27"/>
  <c r="BP185" i="27"/>
  <c r="BO185" i="27"/>
  <c r="BS150" i="27"/>
  <c r="BQ150" i="27"/>
  <c r="BN185" i="27"/>
  <c r="BB141" i="27"/>
  <c r="BC141" i="27" s="1"/>
  <c r="BP150" i="27"/>
  <c r="AX118" i="27"/>
  <c r="BN186" i="27"/>
  <c r="BN141" i="27"/>
  <c r="BI147" i="27"/>
  <c r="AX147" i="27"/>
  <c r="AP147" i="27"/>
  <c r="AR147" i="27" s="1"/>
  <c r="BI74" i="27"/>
  <c r="A149" i="27"/>
  <c r="AQ73" i="27"/>
  <c r="BQ120" i="27"/>
  <c r="BI186" i="27"/>
  <c r="BB147" i="27"/>
  <c r="BC147" i="27" s="1"/>
  <c r="BP120" i="27"/>
  <c r="BA145" i="27"/>
  <c r="BQ141" i="27"/>
  <c r="BP141" i="27"/>
  <c r="BB145" i="27"/>
  <c r="BC145" i="27" s="1"/>
  <c r="BO186" i="27"/>
  <c r="BO142" i="27"/>
  <c r="AY149" i="27"/>
  <c r="AZ149" i="27" s="1"/>
  <c r="AQ149" i="27"/>
  <c r="BQ70" i="27"/>
  <c r="BB119" i="27"/>
  <c r="BC119" i="27" s="1"/>
  <c r="AY187" i="27"/>
  <c r="AZ187" i="27" s="1"/>
  <c r="BN142" i="27"/>
  <c r="AP145" i="27"/>
  <c r="AR145" i="27" s="1"/>
  <c r="AY145" i="27"/>
  <c r="AZ145" i="27" s="1"/>
  <c r="AX146" i="27"/>
  <c r="AP146" i="27"/>
  <c r="AR146" i="27" s="1"/>
  <c r="AQ142" i="27"/>
  <c r="BS145" i="27"/>
  <c r="AP142" i="27"/>
  <c r="AR142" i="27" s="1"/>
  <c r="BQ145" i="27"/>
  <c r="BB142" i="27"/>
  <c r="BC142" i="27" s="1"/>
  <c r="BP145" i="27"/>
  <c r="AU145" i="27"/>
  <c r="BB146" i="27"/>
  <c r="BC146" i="27" s="1"/>
  <c r="BO145" i="27"/>
  <c r="AY186" i="27"/>
  <c r="AZ186" i="27" s="1"/>
  <c r="AY142" i="27"/>
  <c r="AZ142" i="27" s="1"/>
  <c r="BS108" i="27"/>
  <c r="AU74" i="27"/>
  <c r="BQ142" i="27"/>
  <c r="BP110" i="27"/>
  <c r="AT72" i="27"/>
  <c r="AV72" i="27" s="1"/>
  <c r="BA187" i="27"/>
  <c r="BP142" i="27"/>
  <c r="AU142" i="27"/>
  <c r="O142" i="27"/>
  <c r="BS114" i="27"/>
  <c r="BQ113" i="27"/>
  <c r="BB71" i="27"/>
  <c r="BC71" i="27" s="1"/>
  <c r="AY141" i="27"/>
  <c r="AZ141" i="27" s="1"/>
  <c r="AQ141" i="27"/>
  <c r="BI142" i="27"/>
  <c r="AQ71" i="27"/>
  <c r="BQ116" i="27"/>
  <c r="O187" i="27"/>
  <c r="A185" i="27"/>
  <c r="BI141" i="27"/>
  <c r="AQ70" i="27"/>
  <c r="BB185" i="27"/>
  <c r="BC185" i="27" s="1"/>
  <c r="O185" i="27"/>
  <c r="BO42" i="27"/>
  <c r="BN70" i="27"/>
  <c r="BS116" i="27"/>
  <c r="BA185" i="27"/>
  <c r="AU187" i="27"/>
  <c r="AP186" i="27"/>
  <c r="AR186" i="27" s="1"/>
  <c r="O90" i="27"/>
  <c r="BP186" i="27"/>
  <c r="AP185" i="27"/>
  <c r="AR185" i="27" s="1"/>
  <c r="AU185" i="27"/>
  <c r="A115" i="27"/>
  <c r="AY185" i="27"/>
  <c r="AZ185" i="27" s="1"/>
  <c r="O115" i="27"/>
  <c r="AX185" i="27"/>
  <c r="A187" i="27"/>
  <c r="BS80" i="27"/>
  <c r="O55" i="27"/>
  <c r="BB187" i="27"/>
  <c r="BC187" i="27" s="1"/>
  <c r="AQ187" i="27"/>
  <c r="BP39" i="27"/>
  <c r="BN108" i="27"/>
  <c r="AQ186" i="27"/>
  <c r="BP115" i="27"/>
  <c r="BO111" i="27"/>
  <c r="BP70" i="27"/>
  <c r="BP67" i="27"/>
  <c r="BO70" i="27"/>
  <c r="BB120" i="27"/>
  <c r="BC120" i="27" s="1"/>
  <c r="BS36" i="27"/>
  <c r="BI61" i="27"/>
  <c r="BO119" i="27"/>
  <c r="O120" i="27"/>
  <c r="BS35" i="27"/>
  <c r="BN119" i="27"/>
  <c r="BS54" i="27"/>
  <c r="BS34" i="27"/>
  <c r="BS52" i="27"/>
  <c r="BN118" i="27"/>
  <c r="A119" i="27"/>
  <c r="BN115" i="27"/>
  <c r="O119" i="27"/>
  <c r="A118" i="27"/>
  <c r="AY120" i="27"/>
  <c r="AZ120" i="27" s="1"/>
  <c r="O116" i="27"/>
  <c r="BB115" i="27"/>
  <c r="BC115" i="27" s="1"/>
  <c r="O118" i="27"/>
  <c r="A120" i="27"/>
  <c r="A60" i="27"/>
  <c r="AT119" i="27"/>
  <c r="AV119" i="27" s="1"/>
  <c r="BP36" i="27"/>
  <c r="BP35" i="27"/>
  <c r="BI113" i="27"/>
  <c r="BB70" i="27"/>
  <c r="BC70" i="27" s="1"/>
  <c r="BO120" i="27"/>
  <c r="BA90" i="27"/>
  <c r="BO55" i="27"/>
  <c r="A116" i="27"/>
  <c r="BA115" i="27"/>
  <c r="BA70" i="27"/>
  <c r="BA73" i="27"/>
  <c r="BS119" i="27"/>
  <c r="BO33" i="27"/>
  <c r="AX71" i="27"/>
  <c r="A74" i="27"/>
  <c r="BS118" i="27"/>
  <c r="AQ119" i="27"/>
  <c r="AQ120" i="27"/>
  <c r="BS67" i="27"/>
  <c r="A90" i="27"/>
  <c r="BS115" i="27"/>
  <c r="O61" i="27"/>
  <c r="BQ119" i="27"/>
  <c r="BO110" i="27"/>
  <c r="BO114" i="27"/>
  <c r="BS66" i="27"/>
  <c r="O67" i="27"/>
  <c r="BO118" i="27"/>
  <c r="AY119" i="27"/>
  <c r="AZ119" i="27" s="1"/>
  <c r="BI111" i="27"/>
  <c r="A43" i="27"/>
  <c r="BO106" i="27"/>
  <c r="BN114" i="27"/>
  <c r="BO115" i="27"/>
  <c r="AT115" i="27"/>
  <c r="AV115" i="27" s="1"/>
  <c r="BQ66" i="27"/>
  <c r="AY115" i="27"/>
  <c r="AZ115" i="27" s="1"/>
  <c r="A56" i="27"/>
  <c r="AX119" i="27"/>
  <c r="O110" i="27"/>
  <c r="O108" i="27"/>
  <c r="BP66" i="27"/>
  <c r="BN116" i="27"/>
  <c r="AX115" i="27"/>
  <c r="BO67" i="27"/>
  <c r="BB118" i="27"/>
  <c r="BC118" i="27" s="1"/>
  <c r="BN36" i="27"/>
  <c r="BN67" i="27"/>
  <c r="AQ118" i="27"/>
  <c r="BI91" i="27"/>
  <c r="BQ118" i="27"/>
  <c r="BA119" i="27"/>
  <c r="AQ115" i="27"/>
  <c r="BS110" i="27"/>
  <c r="BA118" i="27"/>
  <c r="BS106" i="27"/>
  <c r="BP61" i="27"/>
  <c r="BS33" i="27"/>
  <c r="BO61" i="27"/>
  <c r="BS71" i="27"/>
  <c r="BI72" i="27"/>
  <c r="BN31" i="27"/>
  <c r="BN34" i="27"/>
  <c r="BO43" i="27"/>
  <c r="A57" i="27"/>
  <c r="A106" i="27"/>
  <c r="BP60" i="27"/>
  <c r="BS63" i="27"/>
  <c r="O62" i="27"/>
  <c r="AQ116" i="27"/>
  <c r="BQ62" i="27"/>
  <c r="BA55" i="27"/>
  <c r="BN42" i="27"/>
  <c r="O106" i="27"/>
  <c r="BN60" i="27"/>
  <c r="BO62" i="27"/>
  <c r="BQ65" i="27"/>
  <c r="A66" i="27"/>
  <c r="BS55" i="27"/>
  <c r="BP62" i="27"/>
  <c r="A75" i="27"/>
  <c r="BQ110" i="27"/>
  <c r="O107" i="27"/>
  <c r="BN113" i="27"/>
  <c r="BN62" i="27"/>
  <c r="BS56" i="27"/>
  <c r="BP55" i="27"/>
  <c r="BB116" i="27"/>
  <c r="BC116" i="27" s="1"/>
  <c r="BP106" i="27"/>
  <c r="BP71" i="27"/>
  <c r="BN55" i="27"/>
  <c r="BA116" i="27"/>
  <c r="BI66" i="27"/>
  <c r="AY116" i="27"/>
  <c r="AZ116" i="27" s="1"/>
  <c r="BO112" i="27"/>
  <c r="BP34" i="27"/>
  <c r="BI112" i="27"/>
  <c r="BI62" i="27"/>
  <c r="BO65" i="27"/>
  <c r="BB55" i="27"/>
  <c r="BC55" i="27" s="1"/>
  <c r="BO54" i="27"/>
  <c r="BN106" i="27"/>
  <c r="BI64" i="27"/>
  <c r="BP116" i="27"/>
  <c r="AU116" i="27"/>
  <c r="BS89" i="27"/>
  <c r="BP32" i="27"/>
  <c r="BQ89" i="27"/>
  <c r="BS31" i="27"/>
  <c r="BO34" i="27"/>
  <c r="BN89" i="27"/>
  <c r="BO52" i="27"/>
  <c r="BI54" i="27"/>
  <c r="BI107" i="27"/>
  <c r="BI63" i="27"/>
  <c r="A64" i="27"/>
  <c r="BN71" i="27"/>
  <c r="O56" i="27"/>
  <c r="AY55" i="27"/>
  <c r="AZ55" i="27" s="1"/>
  <c r="A111" i="27"/>
  <c r="BN35" i="27"/>
  <c r="BP42" i="27"/>
  <c r="A92" i="27"/>
  <c r="A112" i="27"/>
  <c r="BN65" i="27"/>
  <c r="BN63" i="27"/>
  <c r="BQ74" i="27"/>
  <c r="BO53" i="27"/>
  <c r="BP111" i="27"/>
  <c r="BQ90" i="27"/>
  <c r="BO73" i="27"/>
  <c r="BN29" i="27"/>
  <c r="BS43" i="27"/>
  <c r="BO12" i="27"/>
  <c r="BQ35" i="27"/>
  <c r="BS42" i="27"/>
  <c r="BN54" i="27"/>
  <c r="BP112" i="27"/>
  <c r="BQ73" i="27"/>
  <c r="BO72" i="27"/>
  <c r="BQ56" i="27"/>
  <c r="BO103" i="27"/>
  <c r="BQ111" i="27"/>
  <c r="BO74" i="27"/>
  <c r="BQ36" i="27"/>
  <c r="BS44" i="27"/>
  <c r="BQ43" i="27"/>
  <c r="BO100" i="27"/>
  <c r="BS113" i="27"/>
  <c r="BS60" i="27"/>
  <c r="BQ72" i="27"/>
  <c r="BO71" i="27"/>
  <c r="BP56" i="27"/>
  <c r="A55" i="27"/>
  <c r="BO64" i="27"/>
  <c r="BO102" i="27"/>
  <c r="BN82" i="27"/>
  <c r="BP29" i="27"/>
  <c r="BN44" i="27"/>
  <c r="BN100" i="27"/>
  <c r="BP107" i="27"/>
  <c r="BQ60" i="27"/>
  <c r="BN56" i="27"/>
  <c r="BQ63" i="27"/>
  <c r="BN74" i="27"/>
  <c r="BN43" i="27"/>
  <c r="BS74" i="27"/>
  <c r="BN73" i="27"/>
  <c r="BP73" i="27"/>
  <c r="BS57" i="27"/>
  <c r="BS111" i="27"/>
  <c r="BO107" i="27"/>
  <c r="BP63" i="27"/>
  <c r="BS90" i="27"/>
  <c r="AQ55" i="27"/>
  <c r="BN57" i="27"/>
  <c r="BS112" i="27"/>
  <c r="BP72" i="27"/>
  <c r="BS102" i="27"/>
  <c r="BS39" i="27"/>
  <c r="BS82" i="27"/>
  <c r="BQ103" i="27"/>
  <c r="BQ102" i="27"/>
  <c r="BN112" i="27"/>
  <c r="BS65" i="27"/>
  <c r="BN103" i="27"/>
  <c r="BN102" i="27"/>
  <c r="AX72" i="27"/>
  <c r="BB56" i="27"/>
  <c r="BC56" i="27" s="1"/>
  <c r="BI73" i="27"/>
  <c r="AX67" i="27"/>
  <c r="AT70" i="27"/>
  <c r="AV70" i="27" s="1"/>
  <c r="AP90" i="27"/>
  <c r="AR90" i="27" s="1"/>
  <c r="BA56" i="27"/>
  <c r="AT65" i="27"/>
  <c r="AV65" i="27" s="1"/>
  <c r="AP62" i="27"/>
  <c r="AR62" i="27" s="1"/>
  <c r="AP72" i="27"/>
  <c r="AR72" i="27" s="1"/>
  <c r="A73" i="27"/>
  <c r="AY56" i="27"/>
  <c r="AZ56" i="27" s="1"/>
  <c r="BB72" i="27"/>
  <c r="BC72" i="27" s="1"/>
  <c r="AU56" i="27"/>
  <c r="BB62" i="27"/>
  <c r="BC62" i="27" s="1"/>
  <c r="BA65" i="27"/>
  <c r="AQ56" i="27"/>
  <c r="AY71" i="27"/>
  <c r="AZ71" i="27" s="1"/>
  <c r="AX63" i="27"/>
  <c r="AY63" i="27"/>
  <c r="AZ63" i="27" s="1"/>
  <c r="AP61" i="27"/>
  <c r="AR61" i="27" s="1"/>
  <c r="AQ61" i="27"/>
  <c r="AY90" i="27"/>
  <c r="AZ90" i="27" s="1"/>
  <c r="AX90" i="27"/>
  <c r="BB90" i="27"/>
  <c r="BC90" i="27" s="1"/>
  <c r="O70" i="27"/>
  <c r="A70" i="27"/>
  <c r="BI70" i="27"/>
  <c r="AT64" i="27"/>
  <c r="AV64" i="27" s="1"/>
  <c r="BS72" i="27"/>
  <c r="BP90" i="27"/>
  <c r="BO66" i="27"/>
  <c r="BI71" i="27"/>
  <c r="BB74" i="27"/>
  <c r="BC74" i="27" s="1"/>
  <c r="BA67" i="27"/>
  <c r="AY70" i="27"/>
  <c r="AZ70" i="27" s="1"/>
  <c r="AU90" i="27"/>
  <c r="A72" i="27"/>
  <c r="BA62" i="27"/>
  <c r="AY65" i="27"/>
  <c r="AZ65" i="27" s="1"/>
  <c r="AU73" i="27"/>
  <c r="A71" i="27"/>
  <c r="BB106" i="27"/>
  <c r="BC106" i="27" s="1"/>
  <c r="BN90" i="27"/>
  <c r="BI65" i="27"/>
  <c r="BB73" i="27"/>
  <c r="BC73" i="27" s="1"/>
  <c r="AP65" i="27"/>
  <c r="AR65" i="27" s="1"/>
  <c r="AY66" i="27"/>
  <c r="AZ66" i="27" s="1"/>
  <c r="AQ74" i="27"/>
  <c r="AP67" i="27"/>
  <c r="AR67" i="27" s="1"/>
  <c r="A65" i="27"/>
  <c r="BP75" i="27"/>
  <c r="AQ64" i="27"/>
  <c r="AX74" i="27"/>
  <c r="AP66" i="27"/>
  <c r="AR66" i="27" s="1"/>
  <c r="BB65" i="27"/>
  <c r="BC65" i="27" s="1"/>
  <c r="AX73" i="27"/>
  <c r="AU67" i="27"/>
  <c r="BB67" i="27"/>
  <c r="BC67" i="27" s="1"/>
  <c r="AY62" i="27"/>
  <c r="AZ62" i="27" s="1"/>
  <c r="BB66" i="27"/>
  <c r="BC66" i="27" s="1"/>
  <c r="AU61" i="27"/>
  <c r="AT90" i="27"/>
  <c r="AV90" i="27" s="1"/>
  <c r="AT73" i="27"/>
  <c r="AV73" i="27" s="1"/>
  <c r="BB64" i="27"/>
  <c r="BC64" i="27" s="1"/>
  <c r="BB61" i="27"/>
  <c r="BC61" i="27" s="1"/>
  <c r="BA64" i="27"/>
  <c r="AY61" i="27"/>
  <c r="AZ61" i="27" s="1"/>
  <c r="BP64" i="27"/>
  <c r="AP63" i="27"/>
  <c r="AR63" i="27" s="1"/>
  <c r="AY111" i="27"/>
  <c r="AZ111" i="27" s="1"/>
  <c r="AU63" i="27"/>
  <c r="AY106" i="27"/>
  <c r="AZ106" i="27" s="1"/>
  <c r="AT62" i="27"/>
  <c r="AV62" i="27" s="1"/>
  <c r="AQ57" i="27"/>
  <c r="AY64" i="27"/>
  <c r="AZ64" i="27" s="1"/>
  <c r="BN64" i="27"/>
  <c r="BB51" i="27"/>
  <c r="BC51" i="27" s="1"/>
  <c r="BA61" i="27"/>
  <c r="BS64" i="27"/>
  <c r="A63" i="27"/>
  <c r="BB63" i="27"/>
  <c r="BC63" i="27" s="1"/>
  <c r="AQ103" i="27"/>
  <c r="AX106" i="27"/>
  <c r="BS61" i="27"/>
  <c r="BQ61" i="27"/>
  <c r="BB112" i="27"/>
  <c r="BC112" i="27" s="1"/>
  <c r="AU60" i="27"/>
  <c r="BB60" i="27"/>
  <c r="BC60" i="27" s="1"/>
  <c r="O60" i="27"/>
  <c r="BA60" i="27"/>
  <c r="AT112" i="27"/>
  <c r="AV112" i="27" s="1"/>
  <c r="BS75" i="27"/>
  <c r="AQ51" i="27"/>
  <c r="BQ75" i="27"/>
  <c r="BA113" i="27"/>
  <c r="AY60" i="27"/>
  <c r="AZ60" i="27" s="1"/>
  <c r="AQ60" i="27"/>
  <c r="BB110" i="27"/>
  <c r="BC110" i="27" s="1"/>
  <c r="BI43" i="27"/>
  <c r="BI76" i="27"/>
  <c r="BB102" i="27"/>
  <c r="BC102" i="27" s="1"/>
  <c r="BI58" i="27"/>
  <c r="AP105" i="27"/>
  <c r="AR105" i="27" s="1"/>
  <c r="AX107" i="27"/>
  <c r="AT106" i="27"/>
  <c r="AV106" i="27" s="1"/>
  <c r="BQ114" i="27"/>
  <c r="AT107" i="27"/>
  <c r="AV107" i="27" s="1"/>
  <c r="BA107" i="27"/>
  <c r="BP113" i="27"/>
  <c r="AU113" i="27"/>
  <c r="BB113" i="27"/>
  <c r="BC113" i="27" s="1"/>
  <c r="O113" i="27"/>
  <c r="O102" i="27"/>
  <c r="BB114" i="27"/>
  <c r="BC114" i="27" s="1"/>
  <c r="O114" i="27"/>
  <c r="BI108" i="27"/>
  <c r="A110" i="27"/>
  <c r="A102" i="27"/>
  <c r="BB107" i="27"/>
  <c r="BC107" i="27" s="1"/>
  <c r="AQ111" i="27"/>
  <c r="AY113" i="27"/>
  <c r="AZ113" i="27" s="1"/>
  <c r="AQ113" i="27"/>
  <c r="AQ106" i="27"/>
  <c r="AY114" i="27"/>
  <c r="AZ114" i="27" s="1"/>
  <c r="AQ114" i="27"/>
  <c r="AP107" i="27"/>
  <c r="AR107" i="27" s="1"/>
  <c r="AP108" i="27"/>
  <c r="AR108" i="27" s="1"/>
  <c r="BI114" i="27"/>
  <c r="BN27" i="27"/>
  <c r="BP27" i="27"/>
  <c r="AP110" i="27"/>
  <c r="AR110" i="27" s="1"/>
  <c r="AQ110" i="27"/>
  <c r="BO30" i="27"/>
  <c r="BO75" i="27"/>
  <c r="BO99" i="27"/>
  <c r="BQ99" i="27"/>
  <c r="BS99" i="27"/>
  <c r="BQ50" i="27"/>
  <c r="BP50" i="27"/>
  <c r="BI95" i="27"/>
  <c r="A95" i="27"/>
  <c r="BP51" i="27"/>
  <c r="BO51" i="27"/>
  <c r="BP30" i="27"/>
  <c r="A32" i="27"/>
  <c r="BI32" i="27"/>
  <c r="BI96" i="27"/>
  <c r="A96" i="27"/>
  <c r="BQ39" i="27"/>
  <c r="BO39" i="27"/>
  <c r="BB108" i="27"/>
  <c r="BC108" i="27" s="1"/>
  <c r="AP112" i="27"/>
  <c r="AR112" i="27" s="1"/>
  <c r="BA112" i="27"/>
  <c r="BO50" i="27"/>
  <c r="BN30" i="27"/>
  <c r="BI88" i="27"/>
  <c r="O88" i="27"/>
  <c r="BP15" i="27"/>
  <c r="BQ15" i="27"/>
  <c r="BS15" i="27"/>
  <c r="BN53" i="27"/>
  <c r="BN51" i="27"/>
  <c r="AX108" i="27"/>
  <c r="BN50" i="27"/>
  <c r="BN96" i="27"/>
  <c r="BP96" i="27"/>
  <c r="BO96" i="27"/>
  <c r="BS50" i="27"/>
  <c r="A52" i="27"/>
  <c r="O52" i="27"/>
  <c r="BP31" i="27"/>
  <c r="BQ31" i="27"/>
  <c r="O35" i="27"/>
  <c r="BO32" i="27"/>
  <c r="BS32" i="27"/>
  <c r="BS86" i="27"/>
  <c r="BS92" i="27"/>
  <c r="BS96" i="27"/>
  <c r="BN99" i="27"/>
  <c r="BS51" i="27"/>
  <c r="O53" i="27"/>
  <c r="BI53" i="27"/>
  <c r="A53" i="27"/>
  <c r="AY110" i="27"/>
  <c r="AZ110" i="27" s="1"/>
  <c r="BO28" i="27"/>
  <c r="BQ28" i="27"/>
  <c r="BN107" i="27"/>
  <c r="BQ107" i="27"/>
  <c r="BN95" i="27"/>
  <c r="BO95" i="27"/>
  <c r="BI35" i="27"/>
  <c r="BP80" i="27"/>
  <c r="BN80" i="27"/>
  <c r="BS95" i="27"/>
  <c r="BP88" i="27"/>
  <c r="BQ95" i="27"/>
  <c r="BN21" i="27"/>
  <c r="BP33" i="27"/>
  <c r="BQ33" i="27"/>
  <c r="BO29" i="27"/>
  <c r="A39" i="27"/>
  <c r="O39" i="27"/>
  <c r="BO76" i="27"/>
  <c r="BN76" i="27"/>
  <c r="BO86" i="27"/>
  <c r="BP89" i="27"/>
  <c r="BP92" i="27"/>
  <c r="BQ96" i="27"/>
  <c r="BQ52" i="27"/>
  <c r="O51" i="27"/>
  <c r="A51" i="27"/>
  <c r="BI51" i="27"/>
  <c r="AY112" i="27"/>
  <c r="AZ112" i="27" s="1"/>
  <c r="BQ108" i="27"/>
  <c r="BP108" i="27"/>
  <c r="BS91" i="27"/>
  <c r="BP86" i="27"/>
  <c r="BQ92" i="27"/>
  <c r="BS29" i="27"/>
  <c r="A38" i="27"/>
  <c r="O38" i="27"/>
  <c r="BN86" i="27"/>
  <c r="BO92" i="27"/>
  <c r="BP95" i="27"/>
  <c r="A105" i="27"/>
  <c r="O105" i="27"/>
  <c r="BI105" i="27"/>
  <c r="A37" i="27"/>
  <c r="O37" i="27"/>
  <c r="BI100" i="27"/>
  <c r="A100" i="27"/>
  <c r="BQ51" i="27"/>
  <c r="AQ112" i="27"/>
  <c r="A36" i="27"/>
  <c r="O36" i="27"/>
  <c r="O95" i="27"/>
  <c r="BP53" i="27"/>
  <c r="BS53" i="27"/>
  <c r="BB111" i="27"/>
  <c r="BC111" i="27" s="1"/>
  <c r="AQ107" i="27"/>
  <c r="O80" i="27"/>
  <c r="O92" i="27"/>
  <c r="BI50" i="27"/>
  <c r="BS103" i="27"/>
  <c r="A50" i="27"/>
  <c r="BS100" i="27"/>
  <c r="BA106" i="27"/>
  <c r="A44" i="27"/>
  <c r="A103" i="27"/>
  <c r="BB57" i="27"/>
  <c r="BC57" i="27" s="1"/>
  <c r="O57" i="27"/>
  <c r="AT100" i="27"/>
  <c r="AV100" i="27" s="1"/>
  <c r="BA57" i="27"/>
  <c r="AY57" i="27"/>
  <c r="AZ57" i="27" s="1"/>
  <c r="BB52" i="27"/>
  <c r="BC52" i="27" s="1"/>
  <c r="BB105" i="27"/>
  <c r="BC105" i="27" s="1"/>
  <c r="AU54" i="27"/>
  <c r="BQ57" i="27"/>
  <c r="BO58" i="27"/>
  <c r="AU52" i="27"/>
  <c r="AQ58" i="27"/>
  <c r="BP57" i="27"/>
  <c r="AU57" i="27"/>
  <c r="BS58" i="27"/>
  <c r="BA54" i="27"/>
  <c r="AQ53" i="27"/>
  <c r="BA51" i="27"/>
  <c r="AU51" i="27"/>
  <c r="AY58" i="27"/>
  <c r="AZ58" i="27" s="1"/>
  <c r="AY95" i="27"/>
  <c r="AZ95" i="27" s="1"/>
  <c r="AY54" i="27"/>
  <c r="AZ54" i="27" s="1"/>
  <c r="AY88" i="27"/>
  <c r="AZ88" i="27" s="1"/>
  <c r="AX105" i="27"/>
  <c r="AP50" i="27"/>
  <c r="AR50" i="27" s="1"/>
  <c r="BA103" i="27"/>
  <c r="BN105" i="27"/>
  <c r="BB58" i="27"/>
  <c r="BC58" i="27" s="1"/>
  <c r="AX50" i="27"/>
  <c r="AY53" i="27"/>
  <c r="AZ53" i="27" s="1"/>
  <c r="BQ105" i="27"/>
  <c r="O58" i="27"/>
  <c r="BP58" i="27"/>
  <c r="BB54" i="27"/>
  <c r="BC54" i="27" s="1"/>
  <c r="AX51" i="27"/>
  <c r="O54" i="27"/>
  <c r="BB53" i="27"/>
  <c r="BC53" i="27" s="1"/>
  <c r="BB50" i="27"/>
  <c r="BC50" i="27" s="1"/>
  <c r="AU53" i="27"/>
  <c r="AP54" i="27"/>
  <c r="AR54" i="27" s="1"/>
  <c r="AP52" i="27"/>
  <c r="AR52" i="27" s="1"/>
  <c r="AU105" i="27"/>
  <c r="BQ58" i="27"/>
  <c r="BA53" i="27"/>
  <c r="AY51" i="27"/>
  <c r="AZ51" i="27" s="1"/>
  <c r="BS105" i="27"/>
  <c r="AT102" i="27"/>
  <c r="AV102" i="27" s="1"/>
  <c r="BA105" i="27"/>
  <c r="BO105" i="27"/>
  <c r="AX52" i="27"/>
  <c r="BA102" i="27"/>
  <c r="AY102" i="27"/>
  <c r="AZ102" i="27" s="1"/>
  <c r="AX102" i="27"/>
  <c r="AU103" i="27"/>
  <c r="AT103" i="27"/>
  <c r="AV103" i="27" s="1"/>
  <c r="AQ102" i="27"/>
  <c r="BB86" i="27"/>
  <c r="BC86" i="27" s="1"/>
  <c r="BI103" i="27"/>
  <c r="BB100" i="27"/>
  <c r="BC100" i="27" s="1"/>
  <c r="BA99" i="27"/>
  <c r="BB99" i="27"/>
  <c r="BC99" i="27" s="1"/>
  <c r="BB103" i="27"/>
  <c r="BC103" i="27" s="1"/>
  <c r="AY103" i="27"/>
  <c r="AZ103" i="27" s="1"/>
  <c r="BA100" i="27"/>
  <c r="AQ89" i="27"/>
  <c r="BA88" i="27"/>
  <c r="AU36" i="27"/>
  <c r="AY99" i="27"/>
  <c r="AZ99" i="27" s="1"/>
  <c r="AQ99" i="27"/>
  <c r="AY100" i="27"/>
  <c r="AZ100" i="27" s="1"/>
  <c r="AQ100" i="27"/>
  <c r="AQ95" i="27"/>
  <c r="BI99" i="27"/>
  <c r="AX99" i="27"/>
  <c r="A99" i="27"/>
  <c r="BB92" i="27"/>
  <c r="BC92" i="27" s="1"/>
  <c r="BQ100" i="27"/>
  <c r="BP99" i="27"/>
  <c r="AU99" i="27"/>
  <c r="AP39" i="27"/>
  <c r="AR39" i="27" s="1"/>
  <c r="BB82" i="27"/>
  <c r="BC82" i="27" s="1"/>
  <c r="AX76" i="27"/>
  <c r="BB95" i="27"/>
  <c r="BC95" i="27" s="1"/>
  <c r="BB96" i="27"/>
  <c r="BC96" i="27" s="1"/>
  <c r="AU92" i="27"/>
  <c r="AY96" i="27"/>
  <c r="AZ96" i="27" s="1"/>
  <c r="AQ96" i="27"/>
  <c r="AY86" i="27"/>
  <c r="AZ86" i="27" s="1"/>
  <c r="AT88" i="27"/>
  <c r="AV88" i="27" s="1"/>
  <c r="BO91" i="27"/>
  <c r="BB91" i="27"/>
  <c r="BC91" i="27" s="1"/>
  <c r="O91" i="27"/>
  <c r="BN91" i="27"/>
  <c r="AU88" i="27"/>
  <c r="AY91" i="27"/>
  <c r="AZ91" i="27" s="1"/>
  <c r="AQ91" i="27"/>
  <c r="AY92" i="27"/>
  <c r="AZ92" i="27" s="1"/>
  <c r="AQ92" i="27"/>
  <c r="AX92" i="27"/>
  <c r="BQ91" i="27"/>
  <c r="BB88" i="27"/>
  <c r="BC88" i="27" s="1"/>
  <c r="BS88" i="27"/>
  <c r="BQ88" i="27"/>
  <c r="BO88" i="27"/>
  <c r="AQ88" i="27"/>
  <c r="BA86" i="27"/>
  <c r="BI89" i="27"/>
  <c r="BB89" i="27"/>
  <c r="BC89" i="27" s="1"/>
  <c r="O89" i="27"/>
  <c r="AY89" i="27"/>
  <c r="AZ89" i="27" s="1"/>
  <c r="AX86" i="27"/>
  <c r="A86" i="27"/>
  <c r="AQ76" i="27"/>
  <c r="AU86" i="27"/>
  <c r="AQ86" i="27"/>
  <c r="BI86" i="27"/>
  <c r="AY29" i="27"/>
  <c r="AZ29" i="27" s="1"/>
  <c r="AY36" i="27"/>
  <c r="AZ36" i="27" s="1"/>
  <c r="BB76" i="27"/>
  <c r="BC76" i="27" s="1"/>
  <c r="BB80" i="27"/>
  <c r="BC80" i="27" s="1"/>
  <c r="BA75" i="27"/>
  <c r="BA76" i="27"/>
  <c r="AY82" i="27"/>
  <c r="AZ82" i="27" s="1"/>
  <c r="AQ82" i="27"/>
  <c r="AQ35" i="27"/>
  <c r="AY80" i="27"/>
  <c r="AZ80" i="27" s="1"/>
  <c r="AQ80" i="27"/>
  <c r="BI82" i="27"/>
  <c r="AX82" i="27"/>
  <c r="BI80" i="27"/>
  <c r="A82" i="27"/>
  <c r="BQ82" i="27"/>
  <c r="BQ80" i="27"/>
  <c r="BP82" i="27"/>
  <c r="BA39" i="27"/>
  <c r="AQ32" i="27"/>
  <c r="BS38" i="27"/>
  <c r="BS76" i="27"/>
  <c r="A76" i="27"/>
  <c r="BQ76" i="27"/>
  <c r="AU75" i="27"/>
  <c r="AU76" i="27"/>
  <c r="BB28" i="27"/>
  <c r="BC28" i="27" s="1"/>
  <c r="BB75" i="27"/>
  <c r="BC75" i="27" s="1"/>
  <c r="O75" i="27"/>
  <c r="AY75" i="27"/>
  <c r="AZ75" i="27" s="1"/>
  <c r="AQ75" i="27"/>
  <c r="BB31" i="27"/>
  <c r="BC31" i="27" s="1"/>
  <c r="BB37" i="27"/>
  <c r="BC37" i="27" s="1"/>
  <c r="BI29" i="27"/>
  <c r="BB36" i="27"/>
  <c r="BC36" i="27" s="1"/>
  <c r="BA42" i="27"/>
  <c r="BB43" i="27"/>
  <c r="BC43" i="27" s="1"/>
  <c r="AQ43" i="27"/>
  <c r="AQ42" i="27"/>
  <c r="AY43" i="27"/>
  <c r="AZ43" i="27" s="1"/>
  <c r="AX42" i="27"/>
  <c r="BB42" i="27"/>
  <c r="BC42" i="27" s="1"/>
  <c r="BI42" i="27"/>
  <c r="O42" i="27"/>
  <c r="BO38" i="27"/>
  <c r="BN38" i="27"/>
  <c r="AU42" i="27"/>
  <c r="BA15" i="27"/>
  <c r="BA29" i="27"/>
  <c r="AX37" i="27"/>
  <c r="BI44" i="27"/>
  <c r="AP44" i="27"/>
  <c r="AR44" i="27" s="1"/>
  <c r="BA38" i="27"/>
  <c r="AQ29" i="27"/>
  <c r="BA37" i="27"/>
  <c r="AT37" i="27"/>
  <c r="AV37" i="27" s="1"/>
  <c r="O29" i="27"/>
  <c r="BP38" i="27"/>
  <c r="BA36" i="27"/>
  <c r="AQ38" i="27"/>
  <c r="BB44" i="27"/>
  <c r="BC44" i="27" s="1"/>
  <c r="AQ37" i="27"/>
  <c r="AQ36" i="27"/>
  <c r="AY44" i="27"/>
  <c r="AZ44" i="27" s="1"/>
  <c r="AY31" i="27"/>
  <c r="AZ31" i="27" s="1"/>
  <c r="AY39" i="27"/>
  <c r="AZ39" i="27" s="1"/>
  <c r="BQ44" i="27"/>
  <c r="BB13" i="27"/>
  <c r="BC13" i="27" s="1"/>
  <c r="AY28" i="27"/>
  <c r="AZ28" i="27" s="1"/>
  <c r="AY38" i="27"/>
  <c r="AZ38" i="27" s="1"/>
  <c r="BP44" i="27"/>
  <c r="AY37" i="27"/>
  <c r="AZ37" i="27" s="1"/>
  <c r="AU29" i="27"/>
  <c r="BA34" i="27"/>
  <c r="AU39" i="27"/>
  <c r="AY35" i="27"/>
  <c r="AZ35" i="27" s="1"/>
  <c r="AU38" i="27"/>
  <c r="BB15" i="27"/>
  <c r="BC15" i="27" s="1"/>
  <c r="AY32" i="27"/>
  <c r="AZ32" i="27" s="1"/>
  <c r="BQ37" i="27"/>
  <c r="BA28" i="27"/>
  <c r="BB29" i="27"/>
  <c r="BC29" i="27" s="1"/>
  <c r="AQ34" i="27"/>
  <c r="BS27" i="27"/>
  <c r="BS30" i="27"/>
  <c r="AQ33" i="27"/>
  <c r="BB39" i="27"/>
  <c r="BC39" i="27" s="1"/>
  <c r="AY34" i="27"/>
  <c r="AZ34" i="27" s="1"/>
  <c r="BB33" i="27"/>
  <c r="BC33" i="27" s="1"/>
  <c r="BI11" i="27"/>
  <c r="AT20" i="27"/>
  <c r="AV20" i="27" s="1"/>
  <c r="BQ27" i="27"/>
  <c r="BB38" i="27"/>
  <c r="BC38" i="27" s="1"/>
  <c r="AY33" i="27"/>
  <c r="AZ33" i="27" s="1"/>
  <c r="BB35" i="27"/>
  <c r="BC35" i="27" s="1"/>
  <c r="BB11" i="27"/>
  <c r="BC11" i="27" s="1"/>
  <c r="BI34" i="27"/>
  <c r="BB34" i="27"/>
  <c r="BC34" i="27" s="1"/>
  <c r="AT34" i="27"/>
  <c r="AV34" i="27" s="1"/>
  <c r="O34" i="27"/>
  <c r="BB14" i="27"/>
  <c r="BC14" i="27" s="1"/>
  <c r="BI31" i="27"/>
  <c r="BB32" i="27"/>
  <c r="BC32" i="27" s="1"/>
  <c r="O32" i="27"/>
  <c r="BO37" i="27"/>
  <c r="AP22" i="27"/>
  <c r="AR22" i="27" s="1"/>
  <c r="BB30" i="27"/>
  <c r="BC30" i="27" s="1"/>
  <c r="BO15" i="27"/>
  <c r="BA30" i="27"/>
  <c r="O31" i="27"/>
  <c r="BS37" i="27"/>
  <c r="BP37" i="27"/>
  <c r="AP21" i="27"/>
  <c r="AR21" i="27" s="1"/>
  <c r="AU28" i="27"/>
  <c r="AU34" i="27"/>
  <c r="BI18" i="27"/>
  <c r="AU30" i="27"/>
  <c r="BI28" i="27"/>
  <c r="BI19" i="27"/>
  <c r="BP28" i="27"/>
  <c r="BI33" i="27"/>
  <c r="BS21" i="27"/>
  <c r="BI10" i="27"/>
  <c r="BS18" i="27"/>
  <c r="BI13" i="27"/>
  <c r="BP13" i="27"/>
  <c r="BO13" i="27"/>
  <c r="AP30" i="27"/>
  <c r="AR30" i="27" s="1"/>
  <c r="BS19" i="27"/>
  <c r="AP31" i="27"/>
  <c r="AR31" i="27" s="1"/>
  <c r="A28" i="27"/>
  <c r="BN28" i="27"/>
  <c r="A33" i="27"/>
  <c r="BP18" i="27"/>
  <c r="AQ31" i="27"/>
  <c r="A30" i="27"/>
  <c r="BI30" i="27"/>
  <c r="AQ28" i="27"/>
  <c r="BP14" i="27"/>
  <c r="BI22" i="27"/>
  <c r="AP27" i="27"/>
  <c r="AR27" i="27" s="1"/>
  <c r="AQ27" i="27"/>
  <c r="BI27" i="27"/>
  <c r="A27" i="27"/>
  <c r="BS22" i="27"/>
  <c r="A22" i="27"/>
  <c r="O14" i="27"/>
  <c r="BI14" i="27"/>
  <c r="BP19" i="27"/>
  <c r="BO18" i="27"/>
  <c r="BO19" i="27"/>
  <c r="BQ18" i="27"/>
  <c r="AY30" i="27"/>
  <c r="AZ30" i="27" s="1"/>
  <c r="BQ19" i="27"/>
  <c r="A20" i="27"/>
  <c r="O20" i="27"/>
  <c r="BP12" i="27"/>
  <c r="BN12" i="27"/>
  <c r="BS11" i="27"/>
  <c r="BN11" i="27"/>
  <c r="BP11" i="27"/>
  <c r="BO11" i="27"/>
  <c r="BQ11" i="27"/>
  <c r="A21" i="27"/>
  <c r="O21" i="27"/>
  <c r="BI21" i="27"/>
  <c r="BO14" i="27"/>
  <c r="BQ14" i="27"/>
  <c r="BN14" i="27"/>
  <c r="BQ21" i="27"/>
  <c r="BO21" i="27"/>
  <c r="BQ20" i="27"/>
  <c r="BO20" i="27"/>
  <c r="BN20" i="27"/>
  <c r="BP20" i="27"/>
  <c r="AY27" i="27"/>
  <c r="AZ27" i="27" s="1"/>
  <c r="BB27" i="27"/>
  <c r="BC27" i="27" s="1"/>
  <c r="AX27" i="27"/>
  <c r="AU22" i="27"/>
  <c r="BO27" i="27"/>
  <c r="BI12" i="27"/>
  <c r="BN13" i="27"/>
  <c r="BQ22" i="27"/>
  <c r="BS13" i="27"/>
  <c r="BP22" i="27"/>
  <c r="AX19" i="27"/>
  <c r="AY19" i="27"/>
  <c r="AZ19" i="27" s="1"/>
  <c r="AX12" i="27"/>
  <c r="AY12" i="27"/>
  <c r="AZ12" i="27" s="1"/>
  <c r="BB18" i="27"/>
  <c r="BC18" i="27" s="1"/>
  <c r="AX18" i="27"/>
  <c r="AY18" i="27"/>
  <c r="AZ18" i="27" s="1"/>
  <c r="AT19" i="27"/>
  <c r="AV19" i="27" s="1"/>
  <c r="BB12" i="27"/>
  <c r="BC12" i="27" s="1"/>
  <c r="AP13" i="27"/>
  <c r="AR13" i="27" s="1"/>
  <c r="AQ13" i="27"/>
  <c r="BN9" i="27"/>
  <c r="AX20" i="27"/>
  <c r="O18" i="27"/>
  <c r="BS12" i="27"/>
  <c r="BB22" i="27"/>
  <c r="BC22" i="27" s="1"/>
  <c r="O19" i="27"/>
  <c r="AQ15" i="27"/>
  <c r="O15" i="27"/>
  <c r="AQ14" i="27"/>
  <c r="BA22" i="27"/>
  <c r="AX15" i="27"/>
  <c r="AU11" i="27"/>
  <c r="AT21" i="27"/>
  <c r="AV21" i="27" s="1"/>
  <c r="AY22" i="27"/>
  <c r="AZ22" i="27" s="1"/>
  <c r="BA21" i="27"/>
  <c r="BO22" i="27"/>
  <c r="BI15" i="27"/>
  <c r="BS9" i="27"/>
  <c r="BQ9" i="27"/>
  <c r="AQ20" i="27"/>
  <c r="BB20" i="27"/>
  <c r="BC20" i="27" s="1"/>
  <c r="AP20" i="27"/>
  <c r="AR20" i="27" s="1"/>
  <c r="BA20" i="27"/>
  <c r="BO8" i="27"/>
  <c r="BQ8" i="27"/>
  <c r="BB19" i="27"/>
  <c r="BC19" i="27" s="1"/>
  <c r="AP19" i="27"/>
  <c r="AR19" i="27" s="1"/>
  <c r="BA19" i="27"/>
  <c r="AQ19" i="27"/>
  <c r="O13" i="27"/>
  <c r="O12" i="27"/>
  <c r="O11" i="27"/>
  <c r="AX14" i="27"/>
  <c r="AX13" i="27"/>
  <c r="AQ12" i="27"/>
  <c r="AY21" i="27"/>
  <c r="AZ21" i="27" s="1"/>
  <c r="AQ11" i="27"/>
  <c r="AX11" i="27"/>
  <c r="AT15" i="27"/>
  <c r="AV15" i="27" s="1"/>
  <c r="AT13" i="27"/>
  <c r="AV13" i="27" s="1"/>
  <c r="AP18" i="27"/>
  <c r="AR18" i="27" s="1"/>
  <c r="BA13" i="27"/>
  <c r="BB21" i="27"/>
  <c r="BC21" i="27" s="1"/>
  <c r="BA11" i="27"/>
  <c r="A14" i="27"/>
  <c r="BI9" i="27"/>
  <c r="BN8" i="27"/>
  <c r="BP8" i="27"/>
  <c r="BS8" i="27"/>
  <c r="BO10" i="27"/>
  <c r="BS10" i="27"/>
  <c r="BP10" i="27"/>
  <c r="BQ10" i="27"/>
  <c r="BO9" i="27"/>
  <c r="BI8" i="27"/>
  <c r="AP9" i="27"/>
  <c r="AR9" i="27" s="1"/>
  <c r="BA9" i="27"/>
  <c r="O8" i="27"/>
  <c r="AY10" i="27"/>
  <c r="AZ10" i="27" s="1"/>
  <c r="AX10" i="27"/>
  <c r="AP8" i="27"/>
  <c r="AR8" i="27" s="1"/>
  <c r="AX9" i="27"/>
  <c r="AY9" i="27"/>
  <c r="AZ9" i="27" s="1"/>
  <c r="BB9" i="27"/>
  <c r="BC9" i="27" s="1"/>
  <c r="BB10" i="27"/>
  <c r="BC10" i="27" s="1"/>
  <c r="O9" i="27"/>
  <c r="AX8" i="27"/>
  <c r="AY8" i="27"/>
  <c r="AZ8" i="27" s="1"/>
  <c r="BB8" i="27"/>
  <c r="BC8" i="27" s="1"/>
  <c r="AP10" i="27"/>
  <c r="AR10" i="27" s="1"/>
  <c r="AQ10" i="27"/>
  <c r="AU9" i="27"/>
  <c r="AQ9" i="27"/>
  <c r="O10" i="27"/>
  <c r="C2" i="30" l="1"/>
  <c r="C18" i="30"/>
  <c r="C34" i="30"/>
  <c r="C50" i="30"/>
  <c r="C66" i="30"/>
  <c r="C82" i="30"/>
  <c r="C98" i="30"/>
  <c r="C114" i="30"/>
  <c r="C130" i="30"/>
  <c r="C146" i="30"/>
  <c r="C162" i="30"/>
  <c r="C178" i="30"/>
  <c r="C194" i="30"/>
  <c r="C210" i="30"/>
  <c r="C226" i="30"/>
  <c r="C242" i="30"/>
  <c r="C258" i="30"/>
  <c r="C274" i="30"/>
  <c r="C290" i="30"/>
  <c r="C306" i="30"/>
  <c r="C322" i="30"/>
  <c r="C338" i="30"/>
  <c r="C15" i="30"/>
  <c r="C31" i="30"/>
  <c r="C47" i="30"/>
  <c r="C63" i="30"/>
  <c r="C79" i="30"/>
  <c r="C95" i="30"/>
  <c r="C111" i="30"/>
  <c r="C127" i="30"/>
  <c r="C143" i="30"/>
  <c r="C159" i="30"/>
  <c r="C175" i="30"/>
  <c r="C191" i="30"/>
  <c r="C207" i="30"/>
  <c r="C223" i="30"/>
  <c r="C239" i="30"/>
  <c r="C255" i="30"/>
  <c r="C271" i="30"/>
  <c r="C287" i="30"/>
  <c r="C303" i="30"/>
  <c r="C4" i="30"/>
  <c r="C20" i="30"/>
  <c r="C36" i="30"/>
  <c r="C52" i="30"/>
  <c r="C68" i="30"/>
  <c r="C84" i="30"/>
  <c r="C100" i="30"/>
  <c r="C116" i="30"/>
  <c r="C132" i="30"/>
  <c r="C148" i="30"/>
  <c r="C164" i="30"/>
  <c r="C180" i="30"/>
  <c r="C196" i="30"/>
  <c r="C212" i="30"/>
  <c r="C228" i="30"/>
  <c r="C244" i="30"/>
  <c r="C260" i="30"/>
  <c r="C276" i="30"/>
  <c r="C292" i="30"/>
  <c r="C308" i="30"/>
  <c r="C324" i="30"/>
  <c r="C340" i="30"/>
  <c r="C53" i="30"/>
  <c r="C117" i="30"/>
  <c r="C181" i="30"/>
  <c r="C245" i="30"/>
  <c r="C309" i="30"/>
  <c r="C343" i="30"/>
  <c r="C359" i="30"/>
  <c r="C375" i="30"/>
  <c r="D4" i="30"/>
  <c r="D20" i="30"/>
  <c r="D36" i="30"/>
  <c r="D52" i="30"/>
  <c r="D68" i="30"/>
  <c r="D84" i="30"/>
  <c r="D100" i="30"/>
  <c r="D116" i="30"/>
  <c r="D132" i="30"/>
  <c r="D148" i="30"/>
  <c r="D164" i="30"/>
  <c r="D180" i="30"/>
  <c r="D196" i="30"/>
  <c r="D212" i="30"/>
  <c r="C9" i="30"/>
  <c r="C73" i="30"/>
  <c r="C137" i="30"/>
  <c r="C201" i="30"/>
  <c r="C265" i="30"/>
  <c r="C323" i="30"/>
  <c r="C348" i="30"/>
  <c r="C364" i="30"/>
  <c r="C380" i="30"/>
  <c r="D9" i="30"/>
  <c r="D25" i="30"/>
  <c r="D41" i="30"/>
  <c r="D57" i="30"/>
  <c r="D73" i="30"/>
  <c r="D89" i="30"/>
  <c r="D105" i="30"/>
  <c r="D121" i="30"/>
  <c r="D137" i="30"/>
  <c r="D153" i="30"/>
  <c r="D169" i="30"/>
  <c r="D185" i="30"/>
  <c r="D201" i="30"/>
  <c r="C109" i="30"/>
  <c r="C237" i="30"/>
  <c r="C341" i="30"/>
  <c r="C373" i="30"/>
  <c r="D18" i="30"/>
  <c r="D50" i="30"/>
  <c r="D82" i="30"/>
  <c r="D114" i="30"/>
  <c r="D146" i="30"/>
  <c r="D178" i="30"/>
  <c r="D207" i="30"/>
  <c r="D228" i="30"/>
  <c r="D244" i="30"/>
  <c r="D260" i="30"/>
  <c r="D276" i="30"/>
  <c r="D292" i="30"/>
  <c r="D308" i="30"/>
  <c r="D324" i="30"/>
  <c r="D340" i="30"/>
  <c r="D356" i="30"/>
  <c r="D372" i="30"/>
  <c r="D388" i="30"/>
  <c r="E17" i="30"/>
  <c r="E33" i="30"/>
  <c r="E49" i="30"/>
  <c r="E65" i="30"/>
  <c r="E81" i="30"/>
  <c r="E97" i="30"/>
  <c r="C113" i="30"/>
  <c r="C241" i="30"/>
  <c r="C342" i="30"/>
  <c r="C374" i="30"/>
  <c r="D19" i="30"/>
  <c r="D51" i="30"/>
  <c r="D83" i="30"/>
  <c r="D115" i="30"/>
  <c r="D147" i="30"/>
  <c r="D179" i="30"/>
  <c r="D209" i="30"/>
  <c r="D229" i="30"/>
  <c r="D245" i="30"/>
  <c r="D261" i="30"/>
  <c r="D277" i="30"/>
  <c r="D293" i="30"/>
  <c r="D309" i="30"/>
  <c r="D325" i="30"/>
  <c r="D341" i="30"/>
  <c r="D357" i="30"/>
  <c r="D373" i="30"/>
  <c r="E2" i="30"/>
  <c r="E18" i="30"/>
  <c r="E34" i="30"/>
  <c r="E50" i="30"/>
  <c r="E66" i="30"/>
  <c r="E82" i="30"/>
  <c r="E98" i="30"/>
  <c r="E114" i="30"/>
  <c r="E130" i="30"/>
  <c r="E146" i="30"/>
  <c r="E162" i="30"/>
  <c r="E178" i="30"/>
  <c r="E194" i="30"/>
  <c r="E210" i="30"/>
  <c r="E226" i="30"/>
  <c r="E242" i="30"/>
  <c r="E258" i="30"/>
  <c r="E274" i="30"/>
  <c r="E290" i="30"/>
  <c r="E306" i="30"/>
  <c r="E322" i="30"/>
  <c r="C93" i="30"/>
  <c r="C333" i="30"/>
  <c r="D14" i="30"/>
  <c r="D78" i="30"/>
  <c r="D142" i="30"/>
  <c r="D205" i="30"/>
  <c r="D242" i="30"/>
  <c r="D274" i="30"/>
  <c r="D306" i="30"/>
  <c r="D338" i="30"/>
  <c r="D370" i="30"/>
  <c r="E15" i="30"/>
  <c r="E47" i="30"/>
  <c r="E79" i="30"/>
  <c r="E107" i="30"/>
  <c r="E128" i="30"/>
  <c r="E149" i="30"/>
  <c r="E171" i="30"/>
  <c r="E192" i="30"/>
  <c r="E213" i="30"/>
  <c r="E235" i="30"/>
  <c r="E256" i="30"/>
  <c r="E277" i="30"/>
  <c r="E299" i="30"/>
  <c r="E320" i="30"/>
  <c r="E339" i="30"/>
  <c r="E355" i="30"/>
  <c r="E371" i="30"/>
  <c r="E387" i="30"/>
  <c r="F16" i="30"/>
  <c r="F32" i="30"/>
  <c r="F48" i="30"/>
  <c r="C6" i="30"/>
  <c r="C22" i="30"/>
  <c r="C38" i="30"/>
  <c r="C54" i="30"/>
  <c r="C70" i="30"/>
  <c r="C86" i="30"/>
  <c r="C102" i="30"/>
  <c r="C118" i="30"/>
  <c r="C134" i="30"/>
  <c r="C150" i="30"/>
  <c r="C166" i="30"/>
  <c r="C182" i="30"/>
  <c r="C198" i="30"/>
  <c r="C214" i="30"/>
  <c r="C230" i="30"/>
  <c r="C246" i="30"/>
  <c r="C262" i="30"/>
  <c r="C278" i="30"/>
  <c r="C294" i="30"/>
  <c r="C310" i="30"/>
  <c r="C326" i="30"/>
  <c r="C3" i="30"/>
  <c r="C19" i="30"/>
  <c r="C35" i="30"/>
  <c r="C51" i="30"/>
  <c r="C67" i="30"/>
  <c r="C83" i="30"/>
  <c r="C99" i="30"/>
  <c r="C115" i="30"/>
  <c r="C131" i="30"/>
  <c r="C147" i="30"/>
  <c r="C163" i="30"/>
  <c r="C179" i="30"/>
  <c r="C195" i="30"/>
  <c r="C211" i="30"/>
  <c r="C227" i="30"/>
  <c r="C243" i="30"/>
  <c r="C259" i="30"/>
  <c r="C275" i="30"/>
  <c r="C291" i="30"/>
  <c r="C307" i="30"/>
  <c r="C8" i="30"/>
  <c r="C24" i="30"/>
  <c r="C40" i="30"/>
  <c r="C56" i="30"/>
  <c r="C72" i="30"/>
  <c r="C88" i="30"/>
  <c r="C104" i="30"/>
  <c r="C120" i="30"/>
  <c r="C136" i="30"/>
  <c r="C152" i="30"/>
  <c r="C168" i="30"/>
  <c r="C184" i="30"/>
  <c r="C200" i="30"/>
  <c r="C216" i="30"/>
  <c r="C232" i="30"/>
  <c r="C248" i="30"/>
  <c r="C264" i="30"/>
  <c r="C280" i="30"/>
  <c r="C296" i="30"/>
  <c r="C312" i="30"/>
  <c r="C328" i="30"/>
  <c r="C5" i="30"/>
  <c r="C69" i="30"/>
  <c r="C133" i="30"/>
  <c r="C197" i="30"/>
  <c r="C261" i="30"/>
  <c r="C321" i="30"/>
  <c r="C347" i="30"/>
  <c r="C363" i="30"/>
  <c r="C379" i="30"/>
  <c r="D8" i="30"/>
  <c r="D24" i="30"/>
  <c r="D40" i="30"/>
  <c r="D56" i="30"/>
  <c r="D72" i="30"/>
  <c r="D88" i="30"/>
  <c r="D104" i="30"/>
  <c r="D120" i="30"/>
  <c r="D136" i="30"/>
  <c r="D152" i="30"/>
  <c r="D168" i="30"/>
  <c r="D184" i="30"/>
  <c r="D200" i="30"/>
  <c r="D216" i="30"/>
  <c r="C25" i="30"/>
  <c r="C89" i="30"/>
  <c r="C153" i="30"/>
  <c r="C217" i="30"/>
  <c r="C281" i="30"/>
  <c r="C331" i="30"/>
  <c r="C352" i="30"/>
  <c r="C368" i="30"/>
  <c r="C384" i="30"/>
  <c r="D13" i="30"/>
  <c r="D29" i="30"/>
  <c r="D45" i="30"/>
  <c r="D61" i="30"/>
  <c r="D77" i="30"/>
  <c r="D93" i="30"/>
  <c r="D109" i="30"/>
  <c r="D125" i="30"/>
  <c r="D141" i="30"/>
  <c r="D157" i="30"/>
  <c r="D173" i="30"/>
  <c r="D189" i="30"/>
  <c r="C13" i="30"/>
  <c r="C141" i="30"/>
  <c r="C269" i="30"/>
  <c r="C349" i="30"/>
  <c r="C381" i="30"/>
  <c r="D26" i="30"/>
  <c r="D58" i="30"/>
  <c r="D90" i="30"/>
  <c r="D122" i="30"/>
  <c r="D154" i="30"/>
  <c r="D186" i="30"/>
  <c r="D213" i="30"/>
  <c r="D232" i="30"/>
  <c r="D248" i="30"/>
  <c r="D264" i="30"/>
  <c r="D280" i="30"/>
  <c r="D296" i="30"/>
  <c r="D312" i="30"/>
  <c r="D328" i="30"/>
  <c r="D344" i="30"/>
  <c r="D360" i="30"/>
  <c r="D376" i="30"/>
  <c r="E5" i="30"/>
  <c r="E21" i="30"/>
  <c r="E37" i="30"/>
  <c r="E53" i="30"/>
  <c r="E69" i="30"/>
  <c r="E85" i="30"/>
  <c r="C17" i="30"/>
  <c r="C145" i="30"/>
  <c r="C273" i="30"/>
  <c r="C350" i="30"/>
  <c r="C382" i="30"/>
  <c r="D27" i="30"/>
  <c r="D59" i="30"/>
  <c r="D91" i="30"/>
  <c r="D123" i="30"/>
  <c r="D155" i="30"/>
  <c r="D187" i="30"/>
  <c r="D214" i="30"/>
  <c r="D233" i="30"/>
  <c r="D249" i="30"/>
  <c r="D265" i="30"/>
  <c r="D281" i="30"/>
  <c r="D297" i="30"/>
  <c r="D313" i="30"/>
  <c r="D329" i="30"/>
  <c r="D345" i="30"/>
  <c r="D361" i="30"/>
  <c r="D377" i="30"/>
  <c r="E6" i="30"/>
  <c r="E22" i="30"/>
  <c r="E38" i="30"/>
  <c r="E54" i="30"/>
  <c r="E70" i="30"/>
  <c r="E86" i="30"/>
  <c r="E102" i="30"/>
  <c r="E118" i="30"/>
  <c r="E134" i="30"/>
  <c r="E150" i="30"/>
  <c r="E166" i="30"/>
  <c r="E182" i="30"/>
  <c r="E198" i="30"/>
  <c r="E214" i="30"/>
  <c r="E230" i="30"/>
  <c r="E246" i="30"/>
  <c r="E262" i="30"/>
  <c r="E278" i="30"/>
  <c r="E294" i="30"/>
  <c r="E310" i="30"/>
  <c r="E326" i="30"/>
  <c r="C157" i="30"/>
  <c r="C353" i="30"/>
  <c r="D30" i="30"/>
  <c r="D94" i="30"/>
  <c r="D158" i="30"/>
  <c r="D215" i="30"/>
  <c r="D250" i="30"/>
  <c r="D282" i="30"/>
  <c r="D314" i="30"/>
  <c r="D346" i="30"/>
  <c r="D378" i="30"/>
  <c r="E23" i="30"/>
  <c r="E55" i="30"/>
  <c r="E87" i="30"/>
  <c r="E112" i="30"/>
  <c r="E133" i="30"/>
  <c r="E155" i="30"/>
  <c r="E176" i="30"/>
  <c r="E197" i="30"/>
  <c r="E219" i="30"/>
  <c r="E240" i="30"/>
  <c r="E261" i="30"/>
  <c r="E283" i="30"/>
  <c r="E304" i="30"/>
  <c r="E325" i="30"/>
  <c r="E343" i="30"/>
  <c r="E359" i="30"/>
  <c r="E375" i="30"/>
  <c r="F4" i="30"/>
  <c r="F20" i="30"/>
  <c r="F36" i="30"/>
  <c r="F52" i="30"/>
  <c r="F68" i="30"/>
  <c r="F84" i="30"/>
  <c r="F100" i="30"/>
  <c r="F116" i="30"/>
  <c r="F132" i="30"/>
  <c r="F148" i="30"/>
  <c r="F164" i="30"/>
  <c r="F180" i="30"/>
  <c r="F196" i="30"/>
  <c r="F212" i="30"/>
  <c r="C33" i="30"/>
  <c r="C289" i="30"/>
  <c r="C386" i="30"/>
  <c r="D63" i="30"/>
  <c r="D127" i="30"/>
  <c r="D191" i="30"/>
  <c r="D235" i="30"/>
  <c r="D267" i="30"/>
  <c r="D299" i="30"/>
  <c r="D331" i="30"/>
  <c r="D363" i="30"/>
  <c r="E8" i="30"/>
  <c r="E40" i="30"/>
  <c r="E72" i="30"/>
  <c r="E103" i="30"/>
  <c r="E124" i="30"/>
  <c r="E145" i="30"/>
  <c r="E167" i="30"/>
  <c r="E188" i="30"/>
  <c r="E209" i="30"/>
  <c r="E231" i="30"/>
  <c r="E252" i="30"/>
  <c r="E273" i="30"/>
  <c r="E295" i="30"/>
  <c r="E316" i="30"/>
  <c r="E336" i="30"/>
  <c r="E352" i="30"/>
  <c r="E368" i="30"/>
  <c r="E384" i="30"/>
  <c r="F13" i="30"/>
  <c r="F29" i="30"/>
  <c r="F45" i="30"/>
  <c r="F61" i="30"/>
  <c r="F77" i="30"/>
  <c r="F93" i="30"/>
  <c r="F109" i="30"/>
  <c r="F125" i="30"/>
  <c r="C10" i="30"/>
  <c r="C26" i="30"/>
  <c r="C42" i="30"/>
  <c r="C58" i="30"/>
  <c r="C74" i="30"/>
  <c r="C90" i="30"/>
  <c r="C106" i="30"/>
  <c r="C122" i="30"/>
  <c r="C138" i="30"/>
  <c r="C154" i="30"/>
  <c r="C170" i="30"/>
  <c r="C186" i="30"/>
  <c r="C202" i="30"/>
  <c r="C218" i="30"/>
  <c r="C234" i="30"/>
  <c r="C250" i="30"/>
  <c r="C266" i="30"/>
  <c r="C282" i="30"/>
  <c r="C298" i="30"/>
  <c r="C314" i="30"/>
  <c r="C330" i="30"/>
  <c r="C7" i="30"/>
  <c r="C23" i="30"/>
  <c r="C39" i="30"/>
  <c r="C55" i="30"/>
  <c r="C71" i="30"/>
  <c r="C87" i="30"/>
  <c r="C103" i="30"/>
  <c r="C119" i="30"/>
  <c r="C135" i="30"/>
  <c r="C151" i="30"/>
  <c r="C167" i="30"/>
  <c r="C183" i="30"/>
  <c r="C199" i="30"/>
  <c r="C215" i="30"/>
  <c r="C231" i="30"/>
  <c r="C247" i="30"/>
  <c r="C263" i="30"/>
  <c r="C279" i="30"/>
  <c r="C295" i="30"/>
  <c r="C311" i="30"/>
  <c r="C12" i="30"/>
  <c r="C28" i="30"/>
  <c r="C44" i="30"/>
  <c r="C60" i="30"/>
  <c r="C76" i="30"/>
  <c r="C92" i="30"/>
  <c r="C108" i="30"/>
  <c r="C124" i="30"/>
  <c r="C140" i="30"/>
  <c r="C156" i="30"/>
  <c r="C172" i="30"/>
  <c r="C188" i="30"/>
  <c r="C204" i="30"/>
  <c r="C220" i="30"/>
  <c r="C236" i="30"/>
  <c r="C252" i="30"/>
  <c r="C268" i="30"/>
  <c r="C284" i="30"/>
  <c r="C300" i="30"/>
  <c r="C316" i="30"/>
  <c r="C332" i="30"/>
  <c r="C21" i="30"/>
  <c r="C85" i="30"/>
  <c r="C149" i="30"/>
  <c r="C213" i="30"/>
  <c r="C277" i="30"/>
  <c r="C329" i="30"/>
  <c r="C351" i="30"/>
  <c r="C367" i="30"/>
  <c r="C383" i="30"/>
  <c r="D12" i="30"/>
  <c r="D28" i="30"/>
  <c r="D44" i="30"/>
  <c r="D60" i="30"/>
  <c r="D76" i="30"/>
  <c r="D92" i="30"/>
  <c r="D108" i="30"/>
  <c r="D124" i="30"/>
  <c r="D140" i="30"/>
  <c r="D156" i="30"/>
  <c r="D172" i="30"/>
  <c r="D188" i="30"/>
  <c r="D204" i="30"/>
  <c r="D220" i="30"/>
  <c r="C14" i="30"/>
  <c r="C78" i="30"/>
  <c r="C142" i="30"/>
  <c r="C206" i="30"/>
  <c r="C270" i="30"/>
  <c r="C334" i="30"/>
  <c r="C59" i="30"/>
  <c r="C123" i="30"/>
  <c r="C187" i="30"/>
  <c r="C251" i="30"/>
  <c r="C315" i="30"/>
  <c r="C64" i="30"/>
  <c r="C128" i="30"/>
  <c r="C192" i="30"/>
  <c r="C256" i="30"/>
  <c r="C320" i="30"/>
  <c r="C165" i="30"/>
  <c r="C355" i="30"/>
  <c r="D32" i="30"/>
  <c r="D96" i="30"/>
  <c r="D160" i="30"/>
  <c r="D224" i="30"/>
  <c r="C121" i="30"/>
  <c r="C249" i="30"/>
  <c r="C344" i="30"/>
  <c r="C376" i="30"/>
  <c r="D21" i="30"/>
  <c r="D53" i="30"/>
  <c r="D85" i="30"/>
  <c r="D117" i="30"/>
  <c r="D149" i="30"/>
  <c r="D181" i="30"/>
  <c r="C77" i="30"/>
  <c r="C325" i="30"/>
  <c r="D10" i="30"/>
  <c r="D74" i="30"/>
  <c r="D138" i="30"/>
  <c r="D202" i="30"/>
  <c r="D240" i="30"/>
  <c r="D272" i="30"/>
  <c r="D304" i="30"/>
  <c r="D336" i="30"/>
  <c r="D368" i="30"/>
  <c r="E13" i="30"/>
  <c r="E45" i="30"/>
  <c r="E77" i="30"/>
  <c r="C81" i="30"/>
  <c r="C327" i="30"/>
  <c r="D11" i="30"/>
  <c r="D75" i="30"/>
  <c r="D139" i="30"/>
  <c r="D203" i="30"/>
  <c r="D241" i="30"/>
  <c r="D273" i="30"/>
  <c r="D305" i="30"/>
  <c r="D337" i="30"/>
  <c r="D369" i="30"/>
  <c r="E14" i="30"/>
  <c r="E46" i="30"/>
  <c r="E78" i="30"/>
  <c r="E110" i="30"/>
  <c r="E142" i="30"/>
  <c r="E174" i="30"/>
  <c r="E206" i="30"/>
  <c r="E238" i="30"/>
  <c r="E270" i="30"/>
  <c r="E302" i="30"/>
  <c r="C29" i="30"/>
  <c r="C385" i="30"/>
  <c r="D126" i="30"/>
  <c r="D234" i="30"/>
  <c r="D298" i="30"/>
  <c r="D362" i="30"/>
  <c r="E39" i="30"/>
  <c r="E101" i="30"/>
  <c r="E144" i="30"/>
  <c r="E187" i="30"/>
  <c r="E229" i="30"/>
  <c r="E272" i="30"/>
  <c r="E315" i="30"/>
  <c r="E351" i="30"/>
  <c r="E383" i="30"/>
  <c r="F28" i="30"/>
  <c r="F60" i="30"/>
  <c r="F80" i="30"/>
  <c r="F104" i="30"/>
  <c r="F124" i="30"/>
  <c r="F144" i="30"/>
  <c r="F168" i="30"/>
  <c r="F188" i="30"/>
  <c r="F208" i="30"/>
  <c r="C97" i="30"/>
  <c r="C354" i="30"/>
  <c r="D47" i="30"/>
  <c r="D143" i="30"/>
  <c r="D217" i="30"/>
  <c r="D259" i="30"/>
  <c r="D307" i="30"/>
  <c r="D347" i="30"/>
  <c r="D387" i="30"/>
  <c r="E48" i="30"/>
  <c r="E88" i="30"/>
  <c r="E119" i="30"/>
  <c r="E151" i="30"/>
  <c r="E177" i="30"/>
  <c r="E204" i="30"/>
  <c r="E236" i="30"/>
  <c r="E263" i="30"/>
  <c r="E289" i="30"/>
  <c r="E321" i="30"/>
  <c r="E344" i="30"/>
  <c r="E364" i="30"/>
  <c r="E388" i="30"/>
  <c r="F21" i="30"/>
  <c r="F41" i="30"/>
  <c r="F65" i="30"/>
  <c r="F85" i="30"/>
  <c r="F105" i="30"/>
  <c r="F129" i="30"/>
  <c r="F145" i="30"/>
  <c r="F161" i="30"/>
  <c r="F177" i="30"/>
  <c r="F193" i="30"/>
  <c r="F209" i="30"/>
  <c r="C189" i="30"/>
  <c r="D38" i="30"/>
  <c r="D166" i="30"/>
  <c r="D254" i="30"/>
  <c r="D318" i="30"/>
  <c r="D382" i="30"/>
  <c r="E59" i="30"/>
  <c r="E115" i="30"/>
  <c r="E157" i="30"/>
  <c r="E200" i="30"/>
  <c r="E243" i="30"/>
  <c r="E285" i="30"/>
  <c r="E328" i="30"/>
  <c r="E361" i="30"/>
  <c r="F6" i="30"/>
  <c r="F38" i="30"/>
  <c r="F70" i="30"/>
  <c r="F102" i="30"/>
  <c r="F134" i="30"/>
  <c r="F166" i="30"/>
  <c r="F198" i="30"/>
  <c r="F226" i="30"/>
  <c r="F242" i="30"/>
  <c r="F258" i="30"/>
  <c r="F274" i="30"/>
  <c r="F290" i="30"/>
  <c r="F306" i="30"/>
  <c r="F322" i="30"/>
  <c r="F338" i="30"/>
  <c r="F354" i="30"/>
  <c r="F370" i="30"/>
  <c r="F386" i="30"/>
  <c r="G15" i="30"/>
  <c r="G31" i="30"/>
  <c r="G47" i="30"/>
  <c r="G63" i="30"/>
  <c r="G79" i="30"/>
  <c r="G95" i="30"/>
  <c r="G111" i="30"/>
  <c r="G127" i="30"/>
  <c r="G143" i="30"/>
  <c r="G159" i="30"/>
  <c r="G175" i="30"/>
  <c r="G191" i="30"/>
  <c r="G207" i="30"/>
  <c r="G223" i="30"/>
  <c r="G239" i="30"/>
  <c r="G255" i="30"/>
  <c r="G271" i="30"/>
  <c r="G287" i="30"/>
  <c r="G303" i="30"/>
  <c r="G319" i="30"/>
  <c r="G335" i="30"/>
  <c r="G351" i="30"/>
  <c r="G367" i="30"/>
  <c r="G383" i="30"/>
  <c r="G388" i="30"/>
  <c r="C377" i="30"/>
  <c r="D118" i="30"/>
  <c r="D230" i="30"/>
  <c r="D294" i="30"/>
  <c r="D358" i="30"/>
  <c r="E35" i="30"/>
  <c r="E99" i="30"/>
  <c r="E141" i="30"/>
  <c r="E184" i="30"/>
  <c r="E227" i="30"/>
  <c r="E269" i="30"/>
  <c r="E312" i="30"/>
  <c r="E349" i="30"/>
  <c r="E381" i="30"/>
  <c r="F34" i="30"/>
  <c r="F82" i="30"/>
  <c r="F138" i="30"/>
  <c r="F202" i="30"/>
  <c r="F244" i="30"/>
  <c r="F276" i="30"/>
  <c r="F308" i="30"/>
  <c r="F340" i="30"/>
  <c r="F372" i="30"/>
  <c r="G17" i="30"/>
  <c r="G49" i="30"/>
  <c r="G81" i="30"/>
  <c r="G113" i="30"/>
  <c r="G145" i="30"/>
  <c r="C362" i="30"/>
  <c r="C30" i="30"/>
  <c r="C94" i="30"/>
  <c r="C158" i="30"/>
  <c r="C222" i="30"/>
  <c r="C286" i="30"/>
  <c r="C11" i="30"/>
  <c r="C75" i="30"/>
  <c r="C139" i="30"/>
  <c r="C203" i="30"/>
  <c r="C267" i="30"/>
  <c r="C16" i="30"/>
  <c r="C80" i="30"/>
  <c r="C144" i="30"/>
  <c r="C208" i="30"/>
  <c r="C272" i="30"/>
  <c r="C336" i="30"/>
  <c r="C229" i="30"/>
  <c r="C371" i="30"/>
  <c r="D48" i="30"/>
  <c r="D112" i="30"/>
  <c r="D176" i="30"/>
  <c r="C41" i="30"/>
  <c r="C169" i="30"/>
  <c r="C297" i="30"/>
  <c r="C356" i="30"/>
  <c r="C388" i="30"/>
  <c r="D33" i="30"/>
  <c r="D65" i="30"/>
  <c r="D97" i="30"/>
  <c r="D129" i="30"/>
  <c r="D161" i="30"/>
  <c r="D193" i="30"/>
  <c r="C173" i="30"/>
  <c r="C357" i="30"/>
  <c r="D34" i="30"/>
  <c r="D98" i="30"/>
  <c r="D162" i="30"/>
  <c r="D218" i="30"/>
  <c r="D252" i="30"/>
  <c r="D284" i="30"/>
  <c r="D316" i="30"/>
  <c r="D348" i="30"/>
  <c r="D380" i="30"/>
  <c r="E25" i="30"/>
  <c r="E57" i="30"/>
  <c r="E89" i="30"/>
  <c r="C177" i="30"/>
  <c r="C358" i="30"/>
  <c r="D35" i="30"/>
  <c r="D99" i="30"/>
  <c r="D163" i="30"/>
  <c r="D219" i="30"/>
  <c r="D253" i="30"/>
  <c r="D285" i="30"/>
  <c r="D317" i="30"/>
  <c r="D349" i="30"/>
  <c r="D381" i="30"/>
  <c r="E26" i="30"/>
  <c r="E58" i="30"/>
  <c r="E90" i="30"/>
  <c r="E122" i="30"/>
  <c r="E154" i="30"/>
  <c r="E186" i="30"/>
  <c r="E218" i="30"/>
  <c r="E250" i="30"/>
  <c r="E282" i="30"/>
  <c r="E314" i="30"/>
  <c r="C221" i="30"/>
  <c r="D46" i="30"/>
  <c r="D174" i="30"/>
  <c r="D258" i="30"/>
  <c r="D322" i="30"/>
  <c r="D386" i="30"/>
  <c r="E63" i="30"/>
  <c r="E117" i="30"/>
  <c r="E160" i="30"/>
  <c r="E203" i="30"/>
  <c r="E245" i="30"/>
  <c r="E288" i="30"/>
  <c r="E331" i="30"/>
  <c r="E363" i="30"/>
  <c r="F8" i="30"/>
  <c r="F40" i="30"/>
  <c r="F64" i="30"/>
  <c r="F88" i="30"/>
  <c r="F108" i="30"/>
  <c r="F128" i="30"/>
  <c r="F152" i="30"/>
  <c r="F172" i="30"/>
  <c r="F192" i="30"/>
  <c r="F216" i="30"/>
  <c r="C161" i="30"/>
  <c r="C370" i="30"/>
  <c r="D79" i="30"/>
  <c r="D159" i="30"/>
  <c r="D227" i="30"/>
  <c r="D275" i="30"/>
  <c r="D315" i="30"/>
  <c r="D355" i="30"/>
  <c r="E16" i="30"/>
  <c r="E56" i="30"/>
  <c r="E96" i="30"/>
  <c r="E129" i="30"/>
  <c r="E156" i="30"/>
  <c r="E183" i="30"/>
  <c r="E215" i="30"/>
  <c r="E241" i="30"/>
  <c r="E268" i="30"/>
  <c r="E300" i="30"/>
  <c r="E327" i="30"/>
  <c r="E348" i="30"/>
  <c r="E372" i="30"/>
  <c r="F5" i="30"/>
  <c r="F25" i="30"/>
  <c r="F49" i="30"/>
  <c r="F69" i="30"/>
  <c r="F89" i="30"/>
  <c r="F113" i="30"/>
  <c r="F133" i="30"/>
  <c r="F149" i="30"/>
  <c r="F165" i="30"/>
  <c r="F181" i="30"/>
  <c r="F197" i="30"/>
  <c r="F213" i="30"/>
  <c r="C317" i="30"/>
  <c r="D70" i="30"/>
  <c r="D198" i="30"/>
  <c r="D270" i="30"/>
  <c r="D334" i="30"/>
  <c r="E11" i="30"/>
  <c r="E75" i="30"/>
  <c r="E125" i="30"/>
  <c r="E168" i="30"/>
  <c r="E211" i="30"/>
  <c r="E253" i="30"/>
  <c r="E296" i="30"/>
  <c r="E337" i="30"/>
  <c r="E369" i="30"/>
  <c r="F14" i="30"/>
  <c r="F46" i="30"/>
  <c r="F78" i="30"/>
  <c r="F110" i="30"/>
  <c r="F142" i="30"/>
  <c r="F174" i="30"/>
  <c r="F206" i="30"/>
  <c r="F230" i="30"/>
  <c r="F246" i="30"/>
  <c r="F262" i="30"/>
  <c r="F278" i="30"/>
  <c r="F294" i="30"/>
  <c r="F310" i="30"/>
  <c r="F326" i="30"/>
  <c r="F342" i="30"/>
  <c r="F358" i="30"/>
  <c r="F374" i="30"/>
  <c r="G3" i="30"/>
  <c r="G19" i="30"/>
  <c r="G35" i="30"/>
  <c r="G51" i="30"/>
  <c r="G67" i="30"/>
  <c r="G83" i="30"/>
  <c r="G99" i="30"/>
  <c r="G115" i="30"/>
  <c r="G131" i="30"/>
  <c r="G147" i="30"/>
  <c r="G163" i="30"/>
  <c r="G179" i="30"/>
  <c r="G195" i="30"/>
  <c r="G211" i="30"/>
  <c r="G227" i="30"/>
  <c r="G243" i="30"/>
  <c r="G259" i="30"/>
  <c r="G275" i="30"/>
  <c r="G291" i="30"/>
  <c r="G307" i="30"/>
  <c r="G323" i="30"/>
  <c r="G339" i="30"/>
  <c r="G355" i="30"/>
  <c r="G371" i="30"/>
  <c r="G387" i="30"/>
  <c r="C125" i="30"/>
  <c r="D22" i="30"/>
  <c r="D150" i="30"/>
  <c r="D246" i="30"/>
  <c r="D310" i="30"/>
  <c r="D374" i="30"/>
  <c r="E51" i="30"/>
  <c r="E109" i="30"/>
  <c r="E152" i="30"/>
  <c r="E195" i="30"/>
  <c r="E237" i="30"/>
  <c r="E280" i="30"/>
  <c r="E323" i="30"/>
  <c r="E357" i="30"/>
  <c r="F2" i="30"/>
  <c r="F42" i="30"/>
  <c r="F90" i="30"/>
  <c r="F154" i="30"/>
  <c r="F218" i="30"/>
  <c r="F252" i="30"/>
  <c r="F284" i="30"/>
  <c r="F316" i="30"/>
  <c r="F348" i="30"/>
  <c r="F380" i="30"/>
  <c r="G25" i="30"/>
  <c r="G57" i="30"/>
  <c r="G89" i="30"/>
  <c r="G121" i="30"/>
  <c r="C65" i="30"/>
  <c r="D7" i="30"/>
  <c r="D135" i="30"/>
  <c r="D239" i="30"/>
  <c r="D303" i="30"/>
  <c r="D367" i="30"/>
  <c r="C46" i="30"/>
  <c r="C110" i="30"/>
  <c r="C174" i="30"/>
  <c r="C238" i="30"/>
  <c r="C302" i="30"/>
  <c r="C27" i="30"/>
  <c r="C91" i="30"/>
  <c r="C155" i="30"/>
  <c r="C219" i="30"/>
  <c r="C283" i="30"/>
  <c r="C32" i="30"/>
  <c r="C96" i="30"/>
  <c r="C160" i="30"/>
  <c r="C224" i="30"/>
  <c r="C288" i="30"/>
  <c r="C37" i="30"/>
  <c r="C293" i="30"/>
  <c r="C387" i="30"/>
  <c r="D64" i="30"/>
  <c r="D128" i="30"/>
  <c r="D192" i="30"/>
  <c r="C57" i="30"/>
  <c r="C185" i="30"/>
  <c r="C313" i="30"/>
  <c r="C360" i="30"/>
  <c r="D5" i="30"/>
  <c r="D37" i="30"/>
  <c r="D69" i="30"/>
  <c r="D101" i="30"/>
  <c r="D133" i="30"/>
  <c r="D165" i="30"/>
  <c r="D197" i="30"/>
  <c r="C205" i="30"/>
  <c r="C365" i="30"/>
  <c r="D42" i="30"/>
  <c r="D106" i="30"/>
  <c r="D170" i="30"/>
  <c r="D223" i="30"/>
  <c r="D256" i="30"/>
  <c r="D288" i="30"/>
  <c r="D320" i="30"/>
  <c r="D352" i="30"/>
  <c r="D384" i="30"/>
  <c r="E29" i="30"/>
  <c r="E61" i="30"/>
  <c r="E93" i="30"/>
  <c r="C209" i="30"/>
  <c r="C366" i="30"/>
  <c r="D43" i="30"/>
  <c r="D107" i="30"/>
  <c r="D171" i="30"/>
  <c r="D225" i="30"/>
  <c r="D257" i="30"/>
  <c r="D289" i="30"/>
  <c r="D321" i="30"/>
  <c r="D353" i="30"/>
  <c r="D385" i="30"/>
  <c r="E30" i="30"/>
  <c r="E62" i="30"/>
  <c r="E94" i="30"/>
  <c r="E126" i="30"/>
  <c r="E158" i="30"/>
  <c r="E190" i="30"/>
  <c r="E222" i="30"/>
  <c r="E254" i="30"/>
  <c r="E286" i="30"/>
  <c r="E318" i="30"/>
  <c r="C285" i="30"/>
  <c r="D62" i="30"/>
  <c r="D190" i="30"/>
  <c r="D266" i="30"/>
  <c r="D330" i="30"/>
  <c r="E7" i="30"/>
  <c r="E71" i="30"/>
  <c r="E123" i="30"/>
  <c r="E165" i="30"/>
  <c r="E208" i="30"/>
  <c r="E251" i="30"/>
  <c r="E293" i="30"/>
  <c r="E335" i="30"/>
  <c r="E367" i="30"/>
  <c r="F12" i="30"/>
  <c r="F44" i="30"/>
  <c r="F72" i="30"/>
  <c r="F92" i="30"/>
  <c r="F112" i="30"/>
  <c r="F136" i="30"/>
  <c r="F156" i="30"/>
  <c r="F176" i="30"/>
  <c r="F200" i="30"/>
  <c r="F220" i="30"/>
  <c r="C225" i="30"/>
  <c r="D15" i="30"/>
  <c r="D95" i="30"/>
  <c r="D175" i="30"/>
  <c r="D243" i="30"/>
  <c r="D283" i="30"/>
  <c r="D323" i="30"/>
  <c r="D371" i="30"/>
  <c r="E24" i="30"/>
  <c r="E64" i="30"/>
  <c r="E108" i="30"/>
  <c r="E135" i="30"/>
  <c r="E161" i="30"/>
  <c r="E193" i="30"/>
  <c r="E220" i="30"/>
  <c r="E247" i="30"/>
  <c r="E279" i="30"/>
  <c r="E305" i="30"/>
  <c r="E332" i="30"/>
  <c r="E356" i="30"/>
  <c r="E376" i="30"/>
  <c r="F9" i="30"/>
  <c r="F33" i="30"/>
  <c r="F53" i="30"/>
  <c r="F73" i="30"/>
  <c r="F97" i="30"/>
  <c r="F117" i="30"/>
  <c r="F137" i="30"/>
  <c r="F153" i="30"/>
  <c r="F169" i="30"/>
  <c r="F185" i="30"/>
  <c r="F201" i="30"/>
  <c r="F217" i="30"/>
  <c r="C361" i="30"/>
  <c r="D102" i="30"/>
  <c r="D221" i="30"/>
  <c r="D286" i="30"/>
  <c r="D350" i="30"/>
  <c r="E27" i="30"/>
  <c r="E91" i="30"/>
  <c r="E136" i="30"/>
  <c r="E179" i="30"/>
  <c r="E221" i="30"/>
  <c r="E264" i="30"/>
  <c r="E307" i="30"/>
  <c r="E345" i="30"/>
  <c r="E377" i="30"/>
  <c r="F22" i="30"/>
  <c r="F54" i="30"/>
  <c r="F86" i="30"/>
  <c r="F118" i="30"/>
  <c r="F150" i="30"/>
  <c r="F182" i="30"/>
  <c r="F214" i="30"/>
  <c r="F234" i="30"/>
  <c r="F250" i="30"/>
  <c r="F266" i="30"/>
  <c r="F282" i="30"/>
  <c r="F298" i="30"/>
  <c r="F314" i="30"/>
  <c r="F330" i="30"/>
  <c r="F346" i="30"/>
  <c r="F362" i="30"/>
  <c r="F378" i="30"/>
  <c r="G7" i="30"/>
  <c r="G23" i="30"/>
  <c r="G39" i="30"/>
  <c r="G55" i="30"/>
  <c r="G71" i="30"/>
  <c r="G87" i="30"/>
  <c r="G103" i="30"/>
  <c r="G119" i="30"/>
  <c r="G135" i="30"/>
  <c r="G151" i="30"/>
  <c r="G167" i="30"/>
  <c r="G183" i="30"/>
  <c r="G199" i="30"/>
  <c r="G215" i="30"/>
  <c r="G231" i="30"/>
  <c r="C62" i="30"/>
  <c r="C318" i="30"/>
  <c r="C235" i="30"/>
  <c r="C176" i="30"/>
  <c r="C337" i="30"/>
  <c r="D208" i="30"/>
  <c r="C372" i="30"/>
  <c r="D113" i="30"/>
  <c r="C301" i="30"/>
  <c r="D194" i="30"/>
  <c r="D332" i="30"/>
  <c r="E73" i="30"/>
  <c r="D67" i="30"/>
  <c r="D269" i="30"/>
  <c r="E10" i="30"/>
  <c r="E138" i="30"/>
  <c r="E266" i="30"/>
  <c r="D110" i="30"/>
  <c r="E31" i="30"/>
  <c r="E224" i="30"/>
  <c r="E379" i="30"/>
  <c r="F96" i="30"/>
  <c r="F184" i="30"/>
  <c r="D31" i="30"/>
  <c r="D291" i="30"/>
  <c r="E80" i="30"/>
  <c r="E199" i="30"/>
  <c r="E311" i="30"/>
  <c r="F17" i="30"/>
  <c r="F101" i="30"/>
  <c r="F173" i="30"/>
  <c r="D6" i="30"/>
  <c r="D366" i="30"/>
  <c r="E189" i="30"/>
  <c r="E353" i="30"/>
  <c r="F94" i="30"/>
  <c r="F221" i="30"/>
  <c r="F286" i="30"/>
  <c r="F350" i="30"/>
  <c r="G27" i="30"/>
  <c r="G91" i="30"/>
  <c r="G155" i="30"/>
  <c r="G219" i="30"/>
  <c r="G263" i="30"/>
  <c r="G295" i="30"/>
  <c r="G327" i="30"/>
  <c r="G359" i="30"/>
  <c r="G364" i="30"/>
  <c r="D54" i="30"/>
  <c r="D262" i="30"/>
  <c r="E3" i="30"/>
  <c r="E120" i="30"/>
  <c r="E205" i="30"/>
  <c r="E291" i="30"/>
  <c r="E365" i="30"/>
  <c r="F50" i="30"/>
  <c r="F170" i="30"/>
  <c r="F260" i="30"/>
  <c r="F324" i="30"/>
  <c r="F388" i="30"/>
  <c r="G65" i="30"/>
  <c r="G129" i="30"/>
  <c r="D39" i="30"/>
  <c r="D199" i="30"/>
  <c r="D287" i="30"/>
  <c r="D383" i="30"/>
  <c r="E60" i="30"/>
  <c r="E116" i="30"/>
  <c r="E159" i="30"/>
  <c r="E201" i="30"/>
  <c r="E244" i="30"/>
  <c r="E287" i="30"/>
  <c r="E329" i="30"/>
  <c r="E362" i="30"/>
  <c r="F7" i="30"/>
  <c r="F39" i="30"/>
  <c r="F71" i="30"/>
  <c r="F103" i="30"/>
  <c r="F135" i="30"/>
  <c r="F167" i="30"/>
  <c r="F199" i="30"/>
  <c r="F227" i="30"/>
  <c r="F243" i="30"/>
  <c r="F259" i="30"/>
  <c r="F275" i="30"/>
  <c r="F291" i="30"/>
  <c r="F307" i="30"/>
  <c r="F323" i="30"/>
  <c r="F339" i="30"/>
  <c r="F355" i="30"/>
  <c r="F371" i="30"/>
  <c r="F387" i="30"/>
  <c r="G16" i="30"/>
  <c r="G32" i="30"/>
  <c r="G48" i="30"/>
  <c r="G64" i="30"/>
  <c r="G80" i="30"/>
  <c r="G96" i="30"/>
  <c r="G112" i="30"/>
  <c r="G128" i="30"/>
  <c r="G144" i="30"/>
  <c r="G160" i="30"/>
  <c r="G176" i="30"/>
  <c r="G192" i="30"/>
  <c r="G208" i="30"/>
  <c r="G224" i="30"/>
  <c r="G240" i="30"/>
  <c r="G256" i="30"/>
  <c r="G272" i="30"/>
  <c r="G288" i="30"/>
  <c r="G304" i="30"/>
  <c r="G320" i="30"/>
  <c r="G336" i="30"/>
  <c r="G352" i="30"/>
  <c r="G372" i="30"/>
  <c r="F58" i="30"/>
  <c r="F130" i="30"/>
  <c r="F194" i="30"/>
  <c r="F240" i="30"/>
  <c r="F272" i="30"/>
  <c r="F304" i="30"/>
  <c r="F336" i="30"/>
  <c r="F368" i="30"/>
  <c r="G13" i="30"/>
  <c r="G45" i="30"/>
  <c r="G77" i="30"/>
  <c r="G109" i="30"/>
  <c r="G141" i="30"/>
  <c r="D151" i="30"/>
  <c r="E52" i="30"/>
  <c r="E239" i="30"/>
  <c r="F3" i="30"/>
  <c r="F131" i="30"/>
  <c r="F241" i="30"/>
  <c r="F305" i="30"/>
  <c r="F369" i="30"/>
  <c r="G46" i="30"/>
  <c r="G110" i="30"/>
  <c r="G162" i="30"/>
  <c r="G194" i="30"/>
  <c r="G226" i="30"/>
  <c r="G258" i="30"/>
  <c r="G290" i="30"/>
  <c r="G322" i="30"/>
  <c r="G354" i="30"/>
  <c r="G386" i="30"/>
  <c r="G197" i="30"/>
  <c r="G261" i="30"/>
  <c r="G325" i="30"/>
  <c r="C346" i="30"/>
  <c r="E175" i="30"/>
  <c r="F83" i="30"/>
  <c r="F281" i="30"/>
  <c r="G22" i="30"/>
  <c r="G150" i="30"/>
  <c r="G214" i="30"/>
  <c r="G278" i="30"/>
  <c r="G342" i="30"/>
  <c r="D295" i="30"/>
  <c r="E313" i="30"/>
  <c r="F187" i="30"/>
  <c r="F349" i="30"/>
  <c r="G74" i="30"/>
  <c r="G185" i="30"/>
  <c r="G249" i="30"/>
  <c r="G313" i="30"/>
  <c r="G377" i="30"/>
  <c r="D263" i="30"/>
  <c r="E121" i="30"/>
  <c r="E292" i="30"/>
  <c r="F43" i="30"/>
  <c r="F171" i="30"/>
  <c r="F261" i="30"/>
  <c r="F325" i="30"/>
  <c r="G2" i="30"/>
  <c r="G66" i="30"/>
  <c r="G146" i="30"/>
  <c r="G205" i="30"/>
  <c r="G269" i="30"/>
  <c r="G333" i="30"/>
  <c r="D87" i="30"/>
  <c r="E217" i="30"/>
  <c r="F115" i="30"/>
  <c r="F297" i="30"/>
  <c r="G38" i="30"/>
  <c r="G158" i="30"/>
  <c r="G222" i="30"/>
  <c r="G286" i="30"/>
  <c r="G350" i="30"/>
  <c r="D231" i="30"/>
  <c r="E271" i="30"/>
  <c r="F155" i="30"/>
  <c r="F301" i="30"/>
  <c r="G42" i="30"/>
  <c r="G161" i="30"/>
  <c r="G225" i="30"/>
  <c r="G289" i="30"/>
  <c r="G353" i="30"/>
  <c r="D55" i="30"/>
  <c r="F107" i="30"/>
  <c r="F357" i="30"/>
  <c r="G173" i="30"/>
  <c r="G373" i="30"/>
  <c r="F233" i="30"/>
  <c r="G190" i="30"/>
  <c r="G382" i="30"/>
  <c r="F27" i="30"/>
  <c r="G106" i="30"/>
  <c r="G257" i="30"/>
  <c r="C254" i="30"/>
  <c r="C45" i="30"/>
  <c r="E41" i="30"/>
  <c r="D365" i="30"/>
  <c r="C369" i="30"/>
  <c r="E347" i="30"/>
  <c r="C335" i="30"/>
  <c r="E172" i="30"/>
  <c r="F81" i="30"/>
  <c r="D302" i="30"/>
  <c r="F62" i="30"/>
  <c r="F334" i="30"/>
  <c r="G139" i="30"/>
  <c r="G283" i="30"/>
  <c r="G379" i="30"/>
  <c r="D342" i="30"/>
  <c r="E259" i="30"/>
  <c r="F122" i="30"/>
  <c r="F364" i="30"/>
  <c r="C319" i="30"/>
  <c r="D271" i="30"/>
  <c r="E44" i="30"/>
  <c r="E148" i="30"/>
  <c r="E191" i="30"/>
  <c r="E233" i="30"/>
  <c r="E276" i="30"/>
  <c r="E319" i="30"/>
  <c r="E354" i="30"/>
  <c r="G140" i="30"/>
  <c r="G220" i="30"/>
  <c r="G268" i="30"/>
  <c r="G316" i="30"/>
  <c r="G368" i="30"/>
  <c r="F178" i="30"/>
  <c r="F296" i="30"/>
  <c r="G5" i="30"/>
  <c r="G101" i="30"/>
  <c r="D375" i="30"/>
  <c r="F99" i="30"/>
  <c r="F353" i="30"/>
  <c r="G154" i="30"/>
  <c r="G250" i="30"/>
  <c r="G346" i="30"/>
  <c r="G245" i="30"/>
  <c r="E84" i="30"/>
  <c r="F377" i="30"/>
  <c r="G262" i="30"/>
  <c r="E228" i="30"/>
  <c r="G58" i="30"/>
  <c r="G297" i="30"/>
  <c r="E68" i="30"/>
  <c r="F139" i="30"/>
  <c r="F373" i="30"/>
  <c r="G189" i="30"/>
  <c r="G381" i="30"/>
  <c r="F265" i="30"/>
  <c r="G206" i="30"/>
  <c r="C378" i="30"/>
  <c r="F269" i="30"/>
  <c r="G209" i="30"/>
  <c r="C126" i="30"/>
  <c r="C43" i="30"/>
  <c r="C299" i="30"/>
  <c r="C240" i="30"/>
  <c r="D16" i="30"/>
  <c r="C105" i="30"/>
  <c r="D17" i="30"/>
  <c r="D145" i="30"/>
  <c r="D2" i="30"/>
  <c r="D236" i="30"/>
  <c r="D364" i="30"/>
  <c r="C49" i="30"/>
  <c r="D131" i="30"/>
  <c r="D301" i="30"/>
  <c r="E42" i="30"/>
  <c r="E170" i="30"/>
  <c r="E298" i="30"/>
  <c r="D226" i="30"/>
  <c r="E95" i="30"/>
  <c r="E267" i="30"/>
  <c r="F24" i="30"/>
  <c r="F120" i="30"/>
  <c r="F204" i="30"/>
  <c r="D111" i="30"/>
  <c r="D339" i="30"/>
  <c r="E113" i="30"/>
  <c r="E225" i="30"/>
  <c r="E340" i="30"/>
  <c r="F37" i="30"/>
  <c r="F121" i="30"/>
  <c r="F189" i="30"/>
  <c r="D134" i="30"/>
  <c r="E43" i="30"/>
  <c r="E232" i="30"/>
  <c r="E385" i="30"/>
  <c r="F126" i="30"/>
  <c r="F238" i="30"/>
  <c r="F302" i="30"/>
  <c r="F366" i="30"/>
  <c r="G43" i="30"/>
  <c r="G107" i="30"/>
  <c r="G171" i="30"/>
  <c r="G235" i="30"/>
  <c r="G267" i="30"/>
  <c r="G299" i="30"/>
  <c r="G331" i="30"/>
  <c r="G363" i="30"/>
  <c r="G376" i="30"/>
  <c r="D86" i="30"/>
  <c r="D278" i="30"/>
  <c r="E19" i="30"/>
  <c r="E131" i="30"/>
  <c r="E216" i="30"/>
  <c r="E301" i="30"/>
  <c r="E373" i="30"/>
  <c r="F66" i="30"/>
  <c r="F186" i="30"/>
  <c r="F268" i="30"/>
  <c r="F332" i="30"/>
  <c r="G9" i="30"/>
  <c r="G73" i="30"/>
  <c r="G137" i="30"/>
  <c r="D71" i="30"/>
  <c r="D222" i="30"/>
  <c r="D319" i="30"/>
  <c r="E12" i="30"/>
  <c r="E76" i="30"/>
  <c r="E127" i="30"/>
  <c r="E169" i="30"/>
  <c r="E212" i="30"/>
  <c r="E255" i="30"/>
  <c r="E297" i="30"/>
  <c r="E338" i="30"/>
  <c r="E370" i="30"/>
  <c r="F15" i="30"/>
  <c r="F47" i="30"/>
  <c r="F79" i="30"/>
  <c r="F111" i="30"/>
  <c r="F143" i="30"/>
  <c r="F175" i="30"/>
  <c r="F207" i="30"/>
  <c r="F231" i="30"/>
  <c r="F247" i="30"/>
  <c r="F263" i="30"/>
  <c r="F279" i="30"/>
  <c r="F295" i="30"/>
  <c r="F311" i="30"/>
  <c r="F327" i="30"/>
  <c r="F343" i="30"/>
  <c r="F359" i="30"/>
  <c r="F375" i="30"/>
  <c r="G4" i="30"/>
  <c r="G20" i="30"/>
  <c r="G36" i="30"/>
  <c r="G52" i="30"/>
  <c r="G68" i="30"/>
  <c r="G84" i="30"/>
  <c r="G100" i="30"/>
  <c r="G116" i="30"/>
  <c r="G132" i="30"/>
  <c r="G148" i="30"/>
  <c r="G164" i="30"/>
  <c r="G180" i="30"/>
  <c r="G196" i="30"/>
  <c r="G212" i="30"/>
  <c r="G228" i="30"/>
  <c r="G244" i="30"/>
  <c r="G260" i="30"/>
  <c r="G276" i="30"/>
  <c r="G292" i="30"/>
  <c r="G308" i="30"/>
  <c r="G324" i="30"/>
  <c r="G340" i="30"/>
  <c r="G356" i="30"/>
  <c r="G380" i="30"/>
  <c r="F74" i="30"/>
  <c r="F146" i="30"/>
  <c r="F210" i="30"/>
  <c r="F248" i="30"/>
  <c r="F280" i="30"/>
  <c r="F312" i="30"/>
  <c r="F344" i="30"/>
  <c r="F376" i="30"/>
  <c r="G21" i="30"/>
  <c r="G53" i="30"/>
  <c r="G85" i="30"/>
  <c r="G117" i="30"/>
  <c r="G149" i="30"/>
  <c r="D247" i="30"/>
  <c r="E111" i="30"/>
  <c r="E281" i="30"/>
  <c r="F35" i="30"/>
  <c r="F163" i="30"/>
  <c r="F257" i="30"/>
  <c r="F321" i="30"/>
  <c r="F385" i="30"/>
  <c r="G62" i="30"/>
  <c r="G126" i="30"/>
  <c r="G170" i="30"/>
  <c r="G202" i="30"/>
  <c r="G234" i="30"/>
  <c r="G266" i="30"/>
  <c r="G298" i="30"/>
  <c r="G330" i="30"/>
  <c r="G362" i="30"/>
  <c r="G114" i="30"/>
  <c r="G213" i="30"/>
  <c r="G277" i="30"/>
  <c r="G341" i="30"/>
  <c r="D211" i="30"/>
  <c r="E260" i="30"/>
  <c r="F147" i="30"/>
  <c r="F313" i="30"/>
  <c r="G54" i="30"/>
  <c r="G166" i="30"/>
  <c r="G230" i="30"/>
  <c r="G294" i="30"/>
  <c r="G358" i="30"/>
  <c r="E36" i="30"/>
  <c r="E382" i="30"/>
  <c r="F237" i="30"/>
  <c r="F381" i="30"/>
  <c r="G122" i="30"/>
  <c r="G201" i="30"/>
  <c r="G265" i="30"/>
  <c r="G329" i="30"/>
  <c r="C257" i="30"/>
  <c r="D327" i="30"/>
  <c r="E164" i="30"/>
  <c r="E334" i="30"/>
  <c r="F75" i="30"/>
  <c r="F203" i="30"/>
  <c r="F277" i="30"/>
  <c r="F341" i="30"/>
  <c r="G18" i="30"/>
  <c r="G82" i="30"/>
  <c r="G157" i="30"/>
  <c r="G221" i="30"/>
  <c r="G285" i="30"/>
  <c r="G357" i="30"/>
  <c r="D279" i="30"/>
  <c r="E303" i="30"/>
  <c r="F179" i="30"/>
  <c r="F329" i="30"/>
  <c r="G70" i="30"/>
  <c r="G174" i="30"/>
  <c r="G238" i="30"/>
  <c r="G302" i="30"/>
  <c r="G366" i="30"/>
  <c r="D359" i="30"/>
  <c r="E350" i="30"/>
  <c r="F219" i="30"/>
  <c r="F333" i="30"/>
  <c r="G90" i="30"/>
  <c r="G177" i="30"/>
  <c r="G241" i="30"/>
  <c r="G305" i="30"/>
  <c r="G369" i="30"/>
  <c r="F273" i="30"/>
  <c r="F337" i="30"/>
  <c r="G14" i="30"/>
  <c r="G78" i="30"/>
  <c r="G142" i="30"/>
  <c r="G178" i="30"/>
  <c r="G210" i="30"/>
  <c r="G242" i="30"/>
  <c r="G274" i="30"/>
  <c r="G306" i="30"/>
  <c r="G338" i="30"/>
  <c r="G370" i="30"/>
  <c r="G229" i="30"/>
  <c r="G293" i="30"/>
  <c r="D343" i="30"/>
  <c r="F211" i="30"/>
  <c r="G86" i="30"/>
  <c r="G246" i="30"/>
  <c r="G374" i="30"/>
  <c r="E143" i="30"/>
  <c r="F285" i="30"/>
  <c r="G153" i="30"/>
  <c r="G281" i="30"/>
  <c r="E4" i="30"/>
  <c r="E366" i="30"/>
  <c r="F293" i="30"/>
  <c r="G98" i="30"/>
  <c r="G301" i="30"/>
  <c r="E374" i="30"/>
  <c r="G102" i="30"/>
  <c r="G254" i="30"/>
  <c r="E100" i="30"/>
  <c r="F365" i="30"/>
  <c r="G321" i="30"/>
  <c r="C112" i="30"/>
  <c r="D130" i="30"/>
  <c r="D3" i="30"/>
  <c r="E106" i="30"/>
  <c r="D354" i="30"/>
  <c r="F76" i="30"/>
  <c r="D251" i="30"/>
  <c r="E284" i="30"/>
  <c r="F157" i="30"/>
  <c r="E147" i="30"/>
  <c r="F190" i="30"/>
  <c r="G11" i="30"/>
  <c r="G203" i="30"/>
  <c r="G315" i="30"/>
  <c r="C345" i="30"/>
  <c r="E83" i="30"/>
  <c r="E341" i="30"/>
  <c r="F236" i="30"/>
  <c r="G41" i="30"/>
  <c r="D167" i="30"/>
  <c r="D351" i="30"/>
  <c r="E105" i="30"/>
  <c r="E386" i="30"/>
  <c r="F31" i="30"/>
  <c r="F63" i="30"/>
  <c r="F95" i="30"/>
  <c r="F127" i="30"/>
  <c r="F159" i="30"/>
  <c r="F191" i="30"/>
  <c r="F222" i="30"/>
  <c r="F239" i="30"/>
  <c r="F271" i="30"/>
  <c r="F287" i="30"/>
  <c r="F319" i="30"/>
  <c r="F351" i="30"/>
  <c r="F383" i="30"/>
  <c r="G28" i="30"/>
  <c r="G60" i="30"/>
  <c r="G92" i="30"/>
  <c r="G124" i="30"/>
  <c r="G172" i="30"/>
  <c r="G204" i="30"/>
  <c r="G252" i="30"/>
  <c r="G300" i="30"/>
  <c r="G348" i="30"/>
  <c r="F114" i="30"/>
  <c r="F264" i="30"/>
  <c r="F360" i="30"/>
  <c r="G69" i="30"/>
  <c r="D23" i="30"/>
  <c r="E358" i="30"/>
  <c r="F289" i="30"/>
  <c r="G94" i="30"/>
  <c r="G218" i="30"/>
  <c r="G314" i="30"/>
  <c r="G181" i="30"/>
  <c r="G365" i="30"/>
  <c r="F249" i="30"/>
  <c r="G198" i="30"/>
  <c r="D119" i="30"/>
  <c r="F317" i="30"/>
  <c r="G233" i="30"/>
  <c r="D183" i="30"/>
  <c r="F11" i="30"/>
  <c r="F309" i="30"/>
  <c r="G130" i="30"/>
  <c r="G317" i="30"/>
  <c r="F51" i="30"/>
  <c r="G134" i="30"/>
  <c r="G334" i="30"/>
  <c r="F91" i="30"/>
  <c r="G138" i="30"/>
  <c r="G337" i="30"/>
  <c r="C190" i="30"/>
  <c r="C107" i="30"/>
  <c r="C48" i="30"/>
  <c r="C304" i="30"/>
  <c r="D80" i="30"/>
  <c r="C233" i="30"/>
  <c r="D49" i="30"/>
  <c r="D177" i="30"/>
  <c r="D66" i="30"/>
  <c r="D268" i="30"/>
  <c r="E9" i="30"/>
  <c r="C305" i="30"/>
  <c r="D195" i="30"/>
  <c r="D333" i="30"/>
  <c r="E74" i="30"/>
  <c r="E202" i="30"/>
  <c r="E330" i="30"/>
  <c r="D290" i="30"/>
  <c r="E139" i="30"/>
  <c r="E309" i="30"/>
  <c r="F56" i="30"/>
  <c r="F140" i="30"/>
  <c r="F224" i="30"/>
  <c r="D206" i="30"/>
  <c r="D379" i="30"/>
  <c r="E140" i="30"/>
  <c r="E257" i="30"/>
  <c r="E360" i="30"/>
  <c r="F57" i="30"/>
  <c r="F141" i="30"/>
  <c r="F205" i="30"/>
  <c r="D238" i="30"/>
  <c r="E104" i="30"/>
  <c r="E275" i="30"/>
  <c r="F30" i="30"/>
  <c r="F158" i="30"/>
  <c r="F254" i="30"/>
  <c r="F318" i="30"/>
  <c r="F382" i="30"/>
  <c r="G59" i="30"/>
  <c r="G123" i="30"/>
  <c r="G187" i="30"/>
  <c r="G247" i="30"/>
  <c r="G279" i="30"/>
  <c r="G311" i="30"/>
  <c r="G343" i="30"/>
  <c r="G375" i="30"/>
  <c r="C253" i="30"/>
  <c r="D182" i="30"/>
  <c r="D326" i="30"/>
  <c r="E67" i="30"/>
  <c r="E163" i="30"/>
  <c r="E248" i="30"/>
  <c r="E333" i="30"/>
  <c r="F10" i="30"/>
  <c r="F106" i="30"/>
  <c r="F228" i="30"/>
  <c r="F292" i="30"/>
  <c r="F356" i="30"/>
  <c r="G33" i="30"/>
  <c r="G97" i="30"/>
  <c r="C193" i="30"/>
  <c r="D103" i="30"/>
  <c r="D255" i="30"/>
  <c r="D335" i="30"/>
  <c r="E28" i="30"/>
  <c r="E92" i="30"/>
  <c r="E137" i="30"/>
  <c r="E180" i="30"/>
  <c r="E223" i="30"/>
  <c r="E265" i="30"/>
  <c r="E308" i="30"/>
  <c r="E346" i="30"/>
  <c r="E378" i="30"/>
  <c r="F23" i="30"/>
  <c r="F55" i="30"/>
  <c r="F87" i="30"/>
  <c r="F119" i="30"/>
  <c r="F151" i="30"/>
  <c r="F183" i="30"/>
  <c r="F215" i="30"/>
  <c r="F235" i="30"/>
  <c r="F251" i="30"/>
  <c r="F267" i="30"/>
  <c r="F283" i="30"/>
  <c r="F299" i="30"/>
  <c r="F315" i="30"/>
  <c r="F331" i="30"/>
  <c r="F347" i="30"/>
  <c r="F363" i="30"/>
  <c r="F379" i="30"/>
  <c r="G8" i="30"/>
  <c r="G24" i="30"/>
  <c r="G40" i="30"/>
  <c r="G56" i="30"/>
  <c r="G72" i="30"/>
  <c r="G88" i="30"/>
  <c r="G104" i="30"/>
  <c r="G120" i="30"/>
  <c r="G136" i="30"/>
  <c r="G152" i="30"/>
  <c r="G168" i="30"/>
  <c r="G184" i="30"/>
  <c r="G200" i="30"/>
  <c r="G216" i="30"/>
  <c r="G232" i="30"/>
  <c r="G248" i="30"/>
  <c r="G264" i="30"/>
  <c r="G280" i="30"/>
  <c r="G296" i="30"/>
  <c r="G312" i="30"/>
  <c r="G328" i="30"/>
  <c r="G344" i="30"/>
  <c r="G360" i="30"/>
  <c r="G384" i="30"/>
  <c r="F98" i="30"/>
  <c r="F162" i="30"/>
  <c r="F223" i="30"/>
  <c r="F256" i="30"/>
  <c r="F288" i="30"/>
  <c r="F320" i="30"/>
  <c r="F352" i="30"/>
  <c r="F384" i="30"/>
  <c r="G29" i="30"/>
  <c r="G61" i="30"/>
  <c r="G93" i="30"/>
  <c r="G125" i="30"/>
  <c r="C129" i="30"/>
  <c r="D311" i="30"/>
  <c r="E153" i="30"/>
  <c r="E324" i="30"/>
  <c r="F67" i="30"/>
  <c r="F195" i="30"/>
  <c r="G165" i="30"/>
  <c r="G349" i="30"/>
  <c r="E342" i="30"/>
  <c r="F345" i="30"/>
  <c r="G182" i="30"/>
  <c r="G310" i="30"/>
  <c r="F59" i="30"/>
  <c r="G26" i="30"/>
  <c r="G217" i="30"/>
  <c r="G345" i="30"/>
  <c r="E207" i="30"/>
  <c r="F229" i="30"/>
  <c r="G34" i="30"/>
  <c r="G237" i="30"/>
  <c r="E20" i="30"/>
  <c r="F361" i="30"/>
  <c r="G318" i="30"/>
  <c r="F253" i="30"/>
  <c r="G193" i="30"/>
  <c r="G385" i="30"/>
  <c r="C171" i="30"/>
  <c r="C101" i="30"/>
  <c r="D144" i="30"/>
  <c r="C339" i="30"/>
  <c r="D81" i="30"/>
  <c r="D300" i="30"/>
  <c r="D237" i="30"/>
  <c r="E234" i="30"/>
  <c r="E181" i="30"/>
  <c r="F160" i="30"/>
  <c r="E32" i="30"/>
  <c r="E380" i="30"/>
  <c r="C61" i="30"/>
  <c r="E317" i="30"/>
  <c r="F270" i="30"/>
  <c r="G75" i="30"/>
  <c r="G251" i="30"/>
  <c r="G347" i="30"/>
  <c r="D210" i="30"/>
  <c r="E173" i="30"/>
  <c r="F26" i="30"/>
  <c r="F300" i="30"/>
  <c r="G105" i="30"/>
  <c r="F255" i="30"/>
  <c r="F303" i="30"/>
  <c r="F335" i="30"/>
  <c r="F367" i="30"/>
  <c r="G12" i="30"/>
  <c r="G44" i="30"/>
  <c r="G76" i="30"/>
  <c r="G108" i="30"/>
  <c r="G156" i="30"/>
  <c r="G188" i="30"/>
  <c r="G236" i="30"/>
  <c r="G284" i="30"/>
  <c r="G332" i="30"/>
  <c r="F18" i="30"/>
  <c r="F232" i="30"/>
  <c r="F328" i="30"/>
  <c r="G37" i="30"/>
  <c r="G133" i="30"/>
  <c r="E196" i="30"/>
  <c r="F225" i="30"/>
  <c r="G30" i="30"/>
  <c r="G186" i="30"/>
  <c r="G282" i="30"/>
  <c r="G378" i="30"/>
  <c r="G309" i="30"/>
  <c r="F19" i="30"/>
  <c r="G118" i="30"/>
  <c r="G326" i="30"/>
  <c r="F123" i="30"/>
  <c r="G169" i="30"/>
  <c r="G361" i="30"/>
  <c r="E249" i="30"/>
  <c r="F245" i="30"/>
  <c r="G50" i="30"/>
  <c r="G253" i="30"/>
  <c r="E132" i="30"/>
  <c r="G6" i="30"/>
  <c r="G270" i="30"/>
  <c r="E185" i="30"/>
  <c r="G10" i="30"/>
  <c r="G273" i="30"/>
  <c r="AT181" i="27"/>
  <c r="AV181" i="27" s="1"/>
  <c r="AT235" i="27"/>
  <c r="AV235" i="27" s="1"/>
  <c r="BA300" i="27"/>
  <c r="BA319" i="27"/>
  <c r="AU507" i="27"/>
  <c r="AU520" i="27"/>
  <c r="AT619" i="27"/>
  <c r="AV619" i="27" s="1"/>
  <c r="AU645" i="27"/>
  <c r="AU181" i="27"/>
  <c r="AU377" i="27"/>
  <c r="AU536" i="27"/>
  <c r="BA390" i="27"/>
  <c r="AT8" i="27"/>
  <c r="AV8" i="27" s="1"/>
  <c r="BA18" i="27"/>
  <c r="BA95" i="27"/>
  <c r="BA245" i="27"/>
  <c r="AT275" i="27"/>
  <c r="AV275" i="27" s="1"/>
  <c r="BA275" i="27"/>
  <c r="BA290" i="27"/>
  <c r="BA338" i="27"/>
  <c r="AU495" i="27"/>
  <c r="BA586" i="27"/>
  <c r="AU662" i="27"/>
  <c r="BA210" i="27"/>
  <c r="BA66" i="27"/>
  <c r="BA367" i="27"/>
  <c r="BA565" i="27"/>
  <c r="BA662" i="27"/>
  <c r="BA63" i="27"/>
  <c r="BA72" i="27"/>
  <c r="AU147" i="27"/>
  <c r="AU164" i="27"/>
  <c r="BA165" i="27"/>
  <c r="AU140" i="27"/>
  <c r="AT312" i="27"/>
  <c r="AV312" i="27" s="1"/>
  <c r="AT327" i="27"/>
  <c r="AV327" i="27" s="1"/>
  <c r="BA332" i="27"/>
  <c r="BA329" i="27"/>
  <c r="BA374" i="27"/>
  <c r="BA392" i="27"/>
  <c r="AT461" i="27"/>
  <c r="AV461" i="27" s="1"/>
  <c r="AU492" i="27"/>
  <c r="BA499" i="27"/>
  <c r="BA465" i="27"/>
  <c r="BA614" i="27"/>
  <c r="BA653" i="27"/>
  <c r="AT647" i="27"/>
  <c r="AV647" i="27" s="1"/>
  <c r="AT567" i="27"/>
  <c r="AV567" i="27" s="1"/>
  <c r="BA645" i="27"/>
  <c r="AU114" i="27"/>
  <c r="BA195" i="27"/>
  <c r="AT332" i="27"/>
  <c r="AV332" i="27" s="1"/>
  <c r="AU337" i="27"/>
  <c r="BA380" i="27"/>
  <c r="AU430" i="27"/>
  <c r="AT529" i="27"/>
  <c r="AV529" i="27" s="1"/>
  <c r="BA619" i="27"/>
  <c r="AU653" i="27"/>
  <c r="BA45" i="27"/>
  <c r="BA371" i="27"/>
  <c r="AU10" i="27"/>
  <c r="AU44" i="27"/>
  <c r="BA52" i="27"/>
  <c r="AU130" i="27"/>
  <c r="AU314" i="27"/>
  <c r="BA340" i="27"/>
  <c r="AU340" i="27"/>
  <c r="AT380" i="27"/>
  <c r="AV380" i="27" s="1"/>
  <c r="AT547" i="27"/>
  <c r="AV547" i="27" s="1"/>
  <c r="AU564" i="27"/>
  <c r="BA579" i="27"/>
  <c r="AU33" i="27"/>
  <c r="BA209" i="27"/>
  <c r="BA33" i="27"/>
  <c r="AU35" i="27"/>
  <c r="AU50" i="27"/>
  <c r="BA108" i="27"/>
  <c r="AU66" i="27"/>
  <c r="BA150" i="27"/>
  <c r="AU165" i="27"/>
  <c r="BA161" i="27"/>
  <c r="BA140" i="27"/>
  <c r="AT307" i="27"/>
  <c r="AV307" i="27" s="1"/>
  <c r="BA389" i="27"/>
  <c r="BA469" i="27"/>
  <c r="BA418" i="27"/>
  <c r="AT637" i="27"/>
  <c r="AV637" i="27" s="1"/>
  <c r="BA638" i="27"/>
  <c r="AU551" i="27"/>
  <c r="AT550" i="27"/>
  <c r="AV550" i="27" s="1"/>
  <c r="AT568" i="27"/>
  <c r="AV568" i="27" s="1"/>
  <c r="AT14" i="27"/>
  <c r="AV14" i="27" s="1"/>
  <c r="BA50" i="27"/>
  <c r="AU141" i="27"/>
  <c r="AU146" i="27"/>
  <c r="AU301" i="27"/>
  <c r="BA309" i="27"/>
  <c r="BA288" i="27"/>
  <c r="AU336" i="27"/>
  <c r="AU427" i="27"/>
  <c r="BA513" i="27"/>
  <c r="AT536" i="27"/>
  <c r="AV536" i="27" s="1"/>
  <c r="AU472" i="27"/>
  <c r="AU629" i="27"/>
  <c r="BA609" i="27"/>
  <c r="AT638" i="27"/>
  <c r="AV638" i="27" s="1"/>
  <c r="AU242" i="27"/>
  <c r="AU362" i="27"/>
  <c r="BA14" i="27"/>
  <c r="AT111" i="27"/>
  <c r="AV111" i="27" s="1"/>
  <c r="BA74" i="27"/>
  <c r="AT108" i="27"/>
  <c r="AV108" i="27" s="1"/>
  <c r="AT118" i="27"/>
  <c r="AV118" i="27" s="1"/>
  <c r="AT178" i="27"/>
  <c r="AV178" i="27" s="1"/>
  <c r="BA139" i="27"/>
  <c r="AT349" i="27"/>
  <c r="AV349" i="27" s="1"/>
  <c r="AT498" i="27"/>
  <c r="AV498" i="27" s="1"/>
  <c r="BA599" i="27"/>
  <c r="AT614" i="27"/>
  <c r="AV614" i="27" s="1"/>
  <c r="AU580" i="27"/>
  <c r="AU607" i="27"/>
  <c r="BA554" i="27"/>
  <c r="BA567" i="27"/>
  <c r="BA114" i="27"/>
  <c r="AT89" i="27"/>
  <c r="AV89" i="27" s="1"/>
  <c r="BA190" i="27"/>
  <c r="AU220" i="27"/>
  <c r="BA270" i="27"/>
  <c r="AU280" i="27"/>
  <c r="AU290" i="27"/>
  <c r="BA629" i="27"/>
  <c r="AU644" i="27"/>
  <c r="AU652" i="27"/>
  <c r="AU8" i="27"/>
  <c r="AT91" i="27"/>
  <c r="AV91" i="27" s="1"/>
  <c r="AU95" i="27"/>
  <c r="BA89" i="27"/>
  <c r="AT195" i="27"/>
  <c r="AV195" i="27" s="1"/>
  <c r="BA46" i="27"/>
  <c r="AU46" i="27"/>
  <c r="AT223" i="27"/>
  <c r="AV223" i="27" s="1"/>
  <c r="BA231" i="27"/>
  <c r="BA280" i="27"/>
  <c r="BA352" i="27"/>
  <c r="AU354" i="27"/>
  <c r="AT341" i="27"/>
  <c r="AV341" i="27" s="1"/>
  <c r="AU392" i="27"/>
  <c r="AU417" i="27"/>
  <c r="AT482" i="27"/>
  <c r="AV482" i="27" s="1"/>
  <c r="AT481" i="27"/>
  <c r="AV481" i="27" s="1"/>
  <c r="BA480" i="27"/>
  <c r="AU542" i="27"/>
  <c r="BA627" i="27"/>
  <c r="AU642" i="27"/>
  <c r="BA642" i="27"/>
  <c r="AU136" i="27"/>
  <c r="BA229" i="27"/>
  <c r="BA646" i="27"/>
  <c r="AU45" i="27"/>
  <c r="AU537" i="27"/>
  <c r="AU591" i="27"/>
  <c r="AU548" i="27"/>
  <c r="BA641" i="27"/>
  <c r="BA71" i="27"/>
  <c r="BA186" i="27"/>
  <c r="BA178" i="27"/>
  <c r="AU133" i="27"/>
  <c r="AT224" i="27"/>
  <c r="AV224" i="27" s="1"/>
  <c r="AU222" i="27"/>
  <c r="BA243" i="27"/>
  <c r="AT279" i="27"/>
  <c r="AV279" i="27" s="1"/>
  <c r="AT284" i="27"/>
  <c r="AV284" i="27" s="1"/>
  <c r="AU419" i="27"/>
  <c r="AU424" i="27"/>
  <c r="BA474" i="27"/>
  <c r="AU540" i="27"/>
  <c r="AU464" i="27"/>
  <c r="BA644" i="27"/>
  <c r="AT618" i="27"/>
  <c r="AV618" i="27" s="1"/>
  <c r="AT599" i="27"/>
  <c r="AV599" i="27" s="1"/>
  <c r="AT612" i="27"/>
  <c r="AV612" i="27" s="1"/>
  <c r="AT623" i="27"/>
  <c r="AV623" i="27" s="1"/>
  <c r="AU545" i="27"/>
  <c r="AT605" i="27"/>
  <c r="AV605" i="27" s="1"/>
  <c r="AU85" i="27"/>
  <c r="AU132" i="27"/>
  <c r="AT229" i="27"/>
  <c r="AV229" i="27" s="1"/>
  <c r="AU554" i="27"/>
  <c r="BA570" i="27"/>
  <c r="BA548" i="27"/>
  <c r="BA547" i="27"/>
  <c r="BA435" i="27"/>
  <c r="AT10" i="27"/>
  <c r="AV10" i="27" s="1"/>
  <c r="AU32" i="27"/>
  <c r="BA43" i="27"/>
  <c r="AU120" i="27"/>
  <c r="AT150" i="27"/>
  <c r="AV150" i="27" s="1"/>
  <c r="AT161" i="27"/>
  <c r="AV161" i="27" s="1"/>
  <c r="AU139" i="27"/>
  <c r="AU231" i="27"/>
  <c r="AU251" i="27"/>
  <c r="BA308" i="27"/>
  <c r="BA362" i="27"/>
  <c r="BA353" i="27"/>
  <c r="BA358" i="27"/>
  <c r="AU411" i="27"/>
  <c r="BA404" i="27"/>
  <c r="AT450" i="27"/>
  <c r="AV450" i="27" s="1"/>
  <c r="BA482" i="27"/>
  <c r="BA517" i="27"/>
  <c r="AU524" i="27"/>
  <c r="AU650" i="27"/>
  <c r="BA652" i="27"/>
  <c r="BA96" i="27"/>
  <c r="AT110" i="27"/>
  <c r="AV110" i="27" s="1"/>
  <c r="AT71" i="27"/>
  <c r="AV71" i="27" s="1"/>
  <c r="AU186" i="27"/>
  <c r="BA147" i="27"/>
  <c r="AU170" i="27"/>
  <c r="AT172" i="27"/>
  <c r="AV172" i="27" s="1"/>
  <c r="AU228" i="27"/>
  <c r="AU255" i="27"/>
  <c r="BA301" i="27"/>
  <c r="AT329" i="27"/>
  <c r="AV329" i="27" s="1"/>
  <c r="BA346" i="27"/>
  <c r="AT358" i="27"/>
  <c r="AV358" i="27" s="1"/>
  <c r="AU371" i="27"/>
  <c r="AT370" i="27"/>
  <c r="AV370" i="27" s="1"/>
  <c r="BA381" i="27"/>
  <c r="AT445" i="27"/>
  <c r="AV445" i="27" s="1"/>
  <c r="BA411" i="27"/>
  <c r="AU404" i="27"/>
  <c r="AU526" i="27"/>
  <c r="BA526" i="27"/>
  <c r="BA559" i="27"/>
  <c r="AU598" i="27"/>
  <c r="BA574" i="27"/>
  <c r="BA615" i="27"/>
  <c r="BA623" i="27"/>
  <c r="AU647" i="27"/>
  <c r="BA518" i="27"/>
  <c r="AU646" i="27"/>
  <c r="BA568" i="27"/>
  <c r="AU12" i="27"/>
  <c r="BA58" i="27"/>
  <c r="AT149" i="27"/>
  <c r="AV149" i="27" s="1"/>
  <c r="BA244" i="27"/>
  <c r="AU225" i="27"/>
  <c r="AU318" i="27"/>
  <c r="AT318" i="27"/>
  <c r="AV318" i="27" s="1"/>
  <c r="AT288" i="27"/>
  <c r="AV288" i="27" s="1"/>
  <c r="AU300" i="27"/>
  <c r="BA351" i="27"/>
  <c r="AU352" i="27"/>
  <c r="BA344" i="27"/>
  <c r="AU342" i="27"/>
  <c r="BA377" i="27"/>
  <c r="AT381" i="27"/>
  <c r="AV381" i="27" s="1"/>
  <c r="AU389" i="27"/>
  <c r="AU469" i="27"/>
  <c r="BA416" i="27"/>
  <c r="BA452" i="27"/>
  <c r="AT474" i="27"/>
  <c r="AV474" i="27" s="1"/>
  <c r="BA514" i="27"/>
  <c r="BA540" i="27"/>
  <c r="BA542" i="27"/>
  <c r="BA534" i="27"/>
  <c r="BA560" i="27"/>
  <c r="AU565" i="27"/>
  <c r="BA598" i="27"/>
  <c r="BA580" i="27"/>
  <c r="AU609" i="27"/>
  <c r="BA605" i="27"/>
  <c r="BA266" i="27"/>
  <c r="BA230" i="27"/>
  <c r="AU570" i="27"/>
  <c r="AT31" i="27"/>
  <c r="AV31" i="27" s="1"/>
  <c r="AT18" i="27"/>
  <c r="AV18" i="27" s="1"/>
  <c r="BA32" i="27"/>
  <c r="BA80" i="27"/>
  <c r="BA171" i="27"/>
  <c r="BA224" i="27"/>
  <c r="AU211" i="27"/>
  <c r="AT283" i="27"/>
  <c r="AV283" i="27" s="1"/>
  <c r="BA299" i="27"/>
  <c r="AT374" i="27"/>
  <c r="AV374" i="27" s="1"/>
  <c r="AT470" i="27"/>
  <c r="AV470" i="27" s="1"/>
  <c r="BA470" i="27"/>
  <c r="AT443" i="27"/>
  <c r="AV443" i="27" s="1"/>
  <c r="BA467" i="27"/>
  <c r="BA430" i="27"/>
  <c r="AU435" i="27"/>
  <c r="AU459" i="27"/>
  <c r="AT537" i="27"/>
  <c r="AV537" i="27" s="1"/>
  <c r="AU525" i="27"/>
  <c r="BA618" i="27"/>
  <c r="AT584" i="27"/>
  <c r="AV584" i="27" s="1"/>
  <c r="BA581" i="27"/>
  <c r="AT581" i="27"/>
  <c r="AV581" i="27" s="1"/>
  <c r="AU578" i="27"/>
  <c r="AT80" i="27"/>
  <c r="AV80" i="27" s="1"/>
  <c r="BA110" i="27"/>
  <c r="AT12" i="27"/>
  <c r="AV12" i="27" s="1"/>
  <c r="BA31" i="27"/>
  <c r="BA44" i="27"/>
  <c r="BA35" i="27"/>
  <c r="BA92" i="27"/>
  <c r="BA111" i="27"/>
  <c r="BA172" i="27"/>
  <c r="BA218" i="27"/>
  <c r="BA235" i="27"/>
  <c r="AT243" i="27"/>
  <c r="AV243" i="27" s="1"/>
  <c r="AT245" i="27"/>
  <c r="AV245" i="27" s="1"/>
  <c r="AU344" i="27"/>
  <c r="BA354" i="27"/>
  <c r="BA341" i="27"/>
  <c r="AU370" i="27"/>
  <c r="AU390" i="27"/>
  <c r="BA428" i="27"/>
  <c r="AT452" i="27"/>
  <c r="AV452" i="27" s="1"/>
  <c r="BA525" i="27"/>
  <c r="BA524" i="27"/>
  <c r="AU593" i="27"/>
  <c r="AT518" i="27"/>
  <c r="AV518" i="27" s="1"/>
  <c r="BA545" i="27"/>
  <c r="BA550" i="27"/>
  <c r="BA551" i="27"/>
  <c r="AT27" i="27"/>
  <c r="AV27" i="27" s="1"/>
  <c r="BA82" i="27"/>
  <c r="BA91" i="27"/>
  <c r="BA146" i="27"/>
  <c r="AU171" i="27"/>
  <c r="BA133" i="27"/>
  <c r="AT214" i="27"/>
  <c r="AV214" i="27" s="1"/>
  <c r="AU226" i="27"/>
  <c r="BA211" i="27"/>
  <c r="BA242" i="27"/>
  <c r="BA222" i="27"/>
  <c r="BA289" i="27"/>
  <c r="AU309" i="27"/>
  <c r="BA337" i="27"/>
  <c r="BA373" i="27"/>
  <c r="BA349" i="27"/>
  <c r="BA443" i="27"/>
  <c r="BA419" i="27"/>
  <c r="BA450" i="27"/>
  <c r="BA495" i="27"/>
  <c r="BA520" i="27"/>
  <c r="BA527" i="27"/>
  <c r="AU586" i="27"/>
  <c r="AU627" i="27"/>
  <c r="BA593" i="27"/>
  <c r="BA637" i="27"/>
  <c r="AU606" i="27"/>
  <c r="BA606" i="27"/>
  <c r="BA132" i="27"/>
  <c r="AU266" i="27"/>
  <c r="BA27" i="27"/>
  <c r="AU43" i="27"/>
  <c r="AU82" i="27"/>
  <c r="AU96" i="27"/>
  <c r="AT58" i="27"/>
  <c r="AV58" i="27" s="1"/>
  <c r="AU55" i="27"/>
  <c r="BA120" i="27"/>
  <c r="BA141" i="27"/>
  <c r="AT237" i="27"/>
  <c r="AV237" i="27" s="1"/>
  <c r="BA237" i="27"/>
  <c r="BA279" i="27"/>
  <c r="AT270" i="27"/>
  <c r="AV270" i="27" s="1"/>
  <c r="AU289" i="27"/>
  <c r="AU347" i="27"/>
  <c r="BA347" i="27"/>
  <c r="AU353" i="27"/>
  <c r="BA307" i="27"/>
  <c r="AU338" i="27"/>
  <c r="AU373" i="27"/>
  <c r="AU480" i="27"/>
  <c r="BA507" i="27"/>
  <c r="AT517" i="27"/>
  <c r="AV517" i="27" s="1"/>
  <c r="AU465" i="27"/>
  <c r="BA564" i="27"/>
  <c r="BA566" i="27"/>
  <c r="AU631" i="27"/>
  <c r="BA650" i="27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Q2" i="27" l="1"/>
  <c r="G4" i="33" l="1"/>
  <c r="G5" i="33"/>
  <c r="G6" i="33"/>
  <c r="G7" i="33"/>
  <c r="G8" i="33"/>
  <c r="G9" i="33"/>
  <c r="G10" i="33"/>
  <c r="G11" i="33"/>
  <c r="G12" i="33"/>
  <c r="G13" i="33"/>
  <c r="G14" i="33"/>
  <c r="G4" i="2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CC326-F47B-4D0D-9998-AACE341AE564}" keepAlive="1" name="Query - Fix Mapping" description="Connection to the 'Fix Mapping' query in the workbook." type="5" refreshedVersion="8" background="1" saveData="1">
    <dbPr connection="Provider=Microsoft.Mashup.OleDb.1;Data Source=$Workbook$;Location=Fix Mapping;Extended Properties=&quot;&quot;" command="SELECT * FROM [Fix Mapping]"/>
  </connection>
  <connection id="2" xr16:uid="{7A10A8CB-0CD4-455F-AF05-E3AC7F4887E3}" keepAlive="1" name="Query - Form To Win" description="Connection to the 'Form To Win' query in the workbook." type="5" refreshedVersion="6" background="1" saveData="1">
    <dbPr connection="Provider=Microsoft.Mashup.OleDb.1;Data Source=$Workbook$;Location=Form To Win;Extended Properties=&quot;&quot;" command="SELECT * FROM [Form To Win]"/>
  </connection>
  <connection id="3" xr16:uid="{2B7838CA-5754-4A22-B3B4-7B54433E722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6F247135-BABB-47DF-B605-A1A071454990}" keepAlive="1" name="Query - Pvt Map 1" description="Connection to the 'Pvt Map 1' query in the workbook." type="5" refreshedVersion="8" background="1" saveData="1">
    <dbPr connection="Provider=Microsoft.Mashup.OleDb.1;Data Source=$Workbook$;Location=Pvt Map 1;Extended Properties=&quot;&quot;" command="SELECT * FROM [Pvt Map 1]"/>
  </connection>
  <connection id="5" xr16:uid="{9BADE066-2D2D-46D8-A821-AFFF4C2C221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7B1A872A-F02D-403C-AA47-E16333F26B44}" keepAlive="1" name="Query - Table43" description="Connection to the 'Table43' query in the workbook." type="5" refreshedVersion="8" background="1" saveData="1">
    <dbPr connection="Provider=Microsoft.Mashup.OleDb.1;Data Source=$Workbook$;Location=Table43;Extended Properties=&quot;&quot;" command="SELECT * FROM [Table43]"/>
  </connection>
  <connection id="7" xr16:uid="{E4F70726-7A32-44A5-843A-8E6CA8D10DB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6B6EA40D-464B-4CEE-AED8-032E6ADA9B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<sst xmlns="http://schemas.openxmlformats.org/spreadsheetml/2006/main" count="14434" uniqueCount="3544">
  <si>
    <t>Kode Pcpl</t>
  </si>
  <si>
    <t>SATUAN</t>
  </si>
  <si>
    <t>KODE PRODUK PRINSIPAL</t>
  </si>
  <si>
    <t>NAMA ITEM</t>
  </si>
  <si>
    <t>ISI/CTN</t>
  </si>
  <si>
    <t>HARGA INCLUDE PPN 11% IN CTN</t>
  </si>
  <si>
    <t>HARGA/PCS</t>
  </si>
  <si>
    <t>Nama Barang Principle</t>
  </si>
  <si>
    <t>Klp Brg Pcpl</t>
  </si>
  <si>
    <t>Sortir Daftar Produk Principle sesuai Nama lalu sortir lagi by  kelompok</t>
  </si>
  <si>
    <t>Copy dan Paste kan ke Sheet Form Master (sesuaikan kolom nya)</t>
  </si>
  <si>
    <t>NO</t>
  </si>
  <si>
    <t>SATUAN Fix Win</t>
  </si>
  <si>
    <t xml:space="preserve">Nama Pcpl                   </t>
  </si>
  <si>
    <t>kode  2 Digit                (hrf+No)</t>
  </si>
  <si>
    <t>Nama            KLP</t>
  </si>
  <si>
    <t>kode  2 Digit                (Nomor)</t>
  </si>
  <si>
    <t>Nama            Sub KLP</t>
  </si>
  <si>
    <t>kode  1 Digit                (Nomor)</t>
  </si>
  <si>
    <t>Nama            Aroma/             Rasa</t>
  </si>
  <si>
    <t>kode  4 Digit                (Nomor)</t>
  </si>
  <si>
    <t>Nama Win</t>
  </si>
  <si>
    <t>LEN 15</t>
  </si>
  <si>
    <t>LEN 50</t>
  </si>
  <si>
    <t>Kolom Principle</t>
  </si>
  <si>
    <t>Nama            Promo</t>
  </si>
  <si>
    <t>ABC</t>
  </si>
  <si>
    <t>kode  2 Digit                (Nomor)2</t>
  </si>
  <si>
    <t>kode  1 Digit                (Nomor)4</t>
  </si>
  <si>
    <t>Kode BARANG Win2</t>
  </si>
  <si>
    <t>PASTE NAMA DAN CODE PRINCIPLE                                                                                                                                                                                               (Buat Format seperti ini dan Ambil dari Daftar Harga Principle)</t>
  </si>
  <si>
    <t>UPDATE TGL</t>
  </si>
  <si>
    <t>ISI SESUAIKAN ANTARA DMS vs WIN</t>
  </si>
  <si>
    <t>HASIL CODE KELOMPOK, CODE BARANG &amp; NAMA BARANG WIN</t>
  </si>
  <si>
    <t>G1</t>
  </si>
  <si>
    <t>GDI</t>
  </si>
  <si>
    <t>Nama Kelompok Win</t>
  </si>
  <si>
    <t>Daftar Harga</t>
  </si>
  <si>
    <t>Harga Beli</t>
  </si>
  <si>
    <t>Harga Beli Krt
(- PPN)</t>
  </si>
  <si>
    <t>Harga Beli Pcs
(-PPN)</t>
  </si>
  <si>
    <t>Harga Beli Pcs
(+PPN)</t>
  </si>
  <si>
    <t>Harga Beli Krt
(+PPN)</t>
  </si>
  <si>
    <t>Harga Jual GT</t>
  </si>
  <si>
    <t>Update Per</t>
  </si>
  <si>
    <t>SM</t>
  </si>
  <si>
    <t>GOLONGAN</t>
  </si>
  <si>
    <t>PRINCIPAL</t>
  </si>
  <si>
    <t>RAMLI</t>
  </si>
  <si>
    <t>HENDRIK</t>
  </si>
  <si>
    <t>GODREJ DISTRIBUSI INDONESIA, PT</t>
  </si>
  <si>
    <t>SOFTEX INDONESIA, PT</t>
  </si>
  <si>
    <t>SUN PAPER SOURCE, PT</t>
  </si>
  <si>
    <t>SUDIRMAN</t>
  </si>
  <si>
    <t>ABC PRESIDENT INDONESIA, PT</t>
  </si>
  <si>
    <t>ENI</t>
  </si>
  <si>
    <t>FORISA NUSAPERSADA, PT</t>
  </si>
  <si>
    <t>GONDOWANGI TRADISIONAL KOSMETIK, PT</t>
  </si>
  <si>
    <t>PURATOS, PT</t>
  </si>
  <si>
    <t>MUSTIKA RATUBUANA INTERNATIONAL</t>
  </si>
  <si>
    <t>JEMS</t>
  </si>
  <si>
    <t>PZ CUSSONS INDONESIA, PT</t>
  </si>
  <si>
    <t>RECKITT BENCKISER, PT</t>
  </si>
  <si>
    <t>BUDI</t>
  </si>
  <si>
    <t>ENERGIZER INDONESIA, PT</t>
  </si>
  <si>
    <t>SAHAR</t>
  </si>
  <si>
    <t>KINO INDONESIA. TBK, PT</t>
  </si>
  <si>
    <t>L'OREAL INDONESIA, PT</t>
  </si>
  <si>
    <t>RATNA</t>
  </si>
  <si>
    <t>DOLPHIN, PT</t>
  </si>
  <si>
    <t>INMAS SURYA MAKMUR, PT</t>
  </si>
  <si>
    <t>URC INDONESIA, PT</t>
  </si>
  <si>
    <t>ADNA SENTRAL NIAGA, PT</t>
  </si>
  <si>
    <t>EASTON KALERIS INDONESIA, PT</t>
  </si>
  <si>
    <t>UNIVERSAL INDOFOOD PRODUCT, PT</t>
  </si>
  <si>
    <t>ADE DAN ARIEF</t>
  </si>
  <si>
    <t>HEINZ ABC INDONESIA, PT</t>
  </si>
  <si>
    <t>S1</t>
  </si>
  <si>
    <t>SFTX</t>
  </si>
  <si>
    <t>MTS</t>
  </si>
  <si>
    <t>M1</t>
  </si>
  <si>
    <t>ABCPI</t>
  </si>
  <si>
    <t>A1</t>
  </si>
  <si>
    <t>FRS</t>
  </si>
  <si>
    <t>F1</t>
  </si>
  <si>
    <t>GDW</t>
  </si>
  <si>
    <t>G2</t>
  </si>
  <si>
    <t>PRT</t>
  </si>
  <si>
    <t>P1</t>
  </si>
  <si>
    <t>MRT</t>
  </si>
  <si>
    <t>M2</t>
  </si>
  <si>
    <t>CS</t>
  </si>
  <si>
    <t>C1</t>
  </si>
  <si>
    <t>RBI</t>
  </si>
  <si>
    <t>R1</t>
  </si>
  <si>
    <t>E1</t>
  </si>
  <si>
    <t>KNF</t>
  </si>
  <si>
    <t>K1</t>
  </si>
  <si>
    <t>LOI</t>
  </si>
  <si>
    <t>L1</t>
  </si>
  <si>
    <t>DLP</t>
  </si>
  <si>
    <t>D1</t>
  </si>
  <si>
    <t>INMAS</t>
  </si>
  <si>
    <t>I1</t>
  </si>
  <si>
    <t>URC</t>
  </si>
  <si>
    <t>U1</t>
  </si>
  <si>
    <t>A2</t>
  </si>
  <si>
    <t>ASN</t>
  </si>
  <si>
    <t>EST</t>
  </si>
  <si>
    <t>E2</t>
  </si>
  <si>
    <t>UNIBIS</t>
  </si>
  <si>
    <t>U2</t>
  </si>
  <si>
    <t>A3</t>
  </si>
  <si>
    <t>MACROSENTRA NIAGABOGA, PT</t>
  </si>
  <si>
    <t>MMY</t>
  </si>
  <si>
    <t>M3</t>
  </si>
  <si>
    <t>NO.</t>
  </si>
  <si>
    <t>Efektif
Pembuatan</t>
  </si>
  <si>
    <t>Efektif Naik Harga</t>
  </si>
  <si>
    <t>Mata Uang</t>
  </si>
  <si>
    <t>Approval</t>
  </si>
  <si>
    <t>Status
Pembuatan</t>
  </si>
  <si>
    <t>Status
Harga</t>
  </si>
  <si>
    <t>Kode PCPL To Win</t>
  </si>
  <si>
    <t>SAT BSR</t>
  </si>
  <si>
    <t>GD</t>
  </si>
  <si>
    <t>Sama</t>
  </si>
  <si>
    <t>Kode PRK</t>
  </si>
  <si>
    <t>Kode PRK SJ</t>
  </si>
  <si>
    <t>Kode Job</t>
  </si>
  <si>
    <t>To Win, diisi oleh Admin</t>
  </si>
  <si>
    <t>Harga Jual Pcs GT
(-PPN)</t>
  </si>
  <si>
    <t>Harga Jual Krt GT
(- PPN)</t>
  </si>
  <si>
    <t>Harga Jual Pcs GT
(+PPN</t>
  </si>
  <si>
    <t>Harga Jual Krt GT
(+PPN)</t>
  </si>
  <si>
    <t>Harga Jual Pcs MT
(-PPN)</t>
  </si>
  <si>
    <t>Harga Jual Krt MT
(- PPN)</t>
  </si>
  <si>
    <t>Harga Jual Pcs MT
(+PPN)</t>
  </si>
  <si>
    <t>Harga Jual Krt MT
(+PPN)</t>
  </si>
  <si>
    <t>IDR</t>
  </si>
  <si>
    <t>KRT</t>
  </si>
  <si>
    <t>GD01</t>
  </si>
  <si>
    <t>Kode
Golongan</t>
  </si>
  <si>
    <t>No. Urut
Item Sama</t>
  </si>
  <si>
    <t>KELOMPOK PRODUK
By Principle</t>
  </si>
  <si>
    <t>kode  1 Digit                (Nomor)3</t>
  </si>
  <si>
    <t>Nama            Sub KLP2</t>
  </si>
  <si>
    <t>kode  1 Digit                (Nomor)5</t>
  </si>
  <si>
    <t>KELOMPOK PRODUK</t>
  </si>
  <si>
    <t>Sum of No. Urut
Item Sama</t>
  </si>
  <si>
    <t>Kode Barang Win</t>
  </si>
  <si>
    <t>Kode PCPL yang sama</t>
  </si>
  <si>
    <t>PCPL KODE 1</t>
  </si>
  <si>
    <t>PCPL KODE 2</t>
  </si>
  <si>
    <t>PCPL KODE 3</t>
  </si>
  <si>
    <t>PCPL KODE 4</t>
  </si>
  <si>
    <t>PCPL KODE 5</t>
  </si>
  <si>
    <t>Sheet kuning adalah rumus, jangan diganggu</t>
  </si>
  <si>
    <t>CONCATENATE MAPPING</t>
  </si>
  <si>
    <t>Buat satu folder master barang, master kelompok, price list, mapping produk win to pcpl dan mapping produk pcpl to win</t>
  </si>
  <si>
    <t>Master barang, master kelompok, price list, mapping produk win to pcpl  dan mapping produk pcpl to win berdiri sendiri dalam satu book</t>
  </si>
  <si>
    <t>MOTASA</t>
  </si>
  <si>
    <t>MOTASA INDONESIA, PT</t>
  </si>
  <si>
    <t>M4</t>
  </si>
  <si>
    <t>Nama            Gramasi atau Jumlah Pack per CTN</t>
  </si>
  <si>
    <t>KET TAMBAHAN2</t>
  </si>
  <si>
    <t>Gunakan ini apabila item tersebut sachet</t>
  </si>
  <si>
    <t>CHAROEN POKPHAND INDONESIA, PT</t>
  </si>
  <si>
    <t>CPI</t>
  </si>
  <si>
    <t>C2</t>
  </si>
  <si>
    <t>kode  1 Digit                (Nomor)32</t>
  </si>
  <si>
    <t>Kode Kelompok Win</t>
  </si>
  <si>
    <t>Kode Jenis Produk</t>
  </si>
  <si>
    <t>ALEX</t>
  </si>
  <si>
    <t>Nama Golongan</t>
  </si>
  <si>
    <t>kode  1 Digit
(Nomor)</t>
  </si>
  <si>
    <t>KET. GOLONGAN</t>
  </si>
  <si>
    <t>LITER</t>
  </si>
  <si>
    <t>GRAM</t>
  </si>
  <si>
    <t>Tanda Kode Revisi</t>
  </si>
  <si>
    <t>Status Barang</t>
  </si>
  <si>
    <t>Ket. Tambahan / Pembantu</t>
  </si>
  <si>
    <t>Harga Jual MT</t>
  </si>
  <si>
    <t>MARGIN</t>
  </si>
  <si>
    <t>Nama Principle</t>
  </si>
  <si>
    <t>PCS</t>
  </si>
  <si>
    <t>SHEET</t>
  </si>
  <si>
    <t>KODE BARANG</t>
  </si>
  <si>
    <t>NAMA BARANG</t>
  </si>
  <si>
    <t>NAMA KELOMPOK</t>
  </si>
  <si>
    <t>NAMA PRINCIPLE</t>
  </si>
  <si>
    <t>ANTANGIN GROUP</t>
  </si>
  <si>
    <t>CANDY GROUP</t>
  </si>
  <si>
    <t>IMUGARD GROUP</t>
  </si>
  <si>
    <t>KOJIMA MADU</t>
  </si>
  <si>
    <t>KULDON GROUP</t>
  </si>
  <si>
    <t>MEN GROUP</t>
  </si>
  <si>
    <t>OBH GROUP</t>
  </si>
  <si>
    <t>WOMEN GROUP</t>
  </si>
  <si>
    <t>PILKITA</t>
  </si>
  <si>
    <t>FRESHCARE GROUP</t>
  </si>
  <si>
    <t>FRESHLIVING GROUP</t>
  </si>
  <si>
    <t>HERBA</t>
  </si>
  <si>
    <t>HOTIN GROUP</t>
  </si>
  <si>
    <t>MADU GROUP</t>
  </si>
  <si>
    <t>MYWELL</t>
  </si>
  <si>
    <t>TRESNOJOYO</t>
  </si>
  <si>
    <t>ANTANGIN JRG PLUS JAHE MERAH TD20</t>
  </si>
  <si>
    <t>ANTANGIN JUNIORS SD5</t>
  </si>
  <si>
    <t>ANTANGIN JRG + MADU SD12</t>
  </si>
  <si>
    <t>ANTANGIN MINT SD12</t>
  </si>
  <si>
    <t>ANTANGIN MINT SD5</t>
  </si>
  <si>
    <t>ANTANGIN GOOD NIGTH TD20</t>
  </si>
  <si>
    <t>ANTANGIN HABBATUSSAUDA SD12</t>
  </si>
  <si>
    <t>ANTANGIN HABBATUSSAUDA SD14</t>
  </si>
  <si>
    <t>ANTANGIN MINT SD14</t>
  </si>
  <si>
    <t>OB HERBAL PERMEN HERBAL RASA MINT S5</t>
  </si>
  <si>
    <t>ANTANGIN PERMEN HERBAL RASA MADU MINT T30</t>
  </si>
  <si>
    <t>ANTANGIN PERMEN ANEKA RASA T250</t>
  </si>
  <si>
    <t>ANTANGIN PERMEN ANEKA RASA T150</t>
  </si>
  <si>
    <t>TEJAHE PERMEN RASA JAHE B50</t>
  </si>
  <si>
    <t>TEJAHE PERMEN RASA JAHE T150</t>
  </si>
  <si>
    <t>TEJAHE PERMEN RASA BANDREK B50</t>
  </si>
  <si>
    <t>TEJAHE PERMEN RASA JAHE T250</t>
  </si>
  <si>
    <t>TEJAHE PERMEN RASA SEKOTENG B50</t>
  </si>
  <si>
    <t>ZIPLONG PERMEN RASA MINT B50</t>
  </si>
  <si>
    <t>TEJAHE PERMEN ASSORTED T150</t>
  </si>
  <si>
    <t>ZIPLONG PERMEN RASA MINT SD5</t>
  </si>
  <si>
    <t>KOJIMA CANDY BAG 50</t>
  </si>
  <si>
    <t>KOJIMA CANDY S5</t>
  </si>
  <si>
    <t>ZIPLONG PERMEN RASA EUCALYPTUS MINT B50</t>
  </si>
  <si>
    <t>PERMEN TEJAHE JAHE MERAH BAG 50</t>
  </si>
  <si>
    <t>ANTANGIN PERMEN ANEKA RASA B50</t>
  </si>
  <si>
    <t>IMUGARD K10</t>
  </si>
  <si>
    <t>KOJIMA D10</t>
  </si>
  <si>
    <t>KOJIMA B140</t>
  </si>
  <si>
    <t>KOJIMA R6</t>
  </si>
  <si>
    <t>KOJIMA B100</t>
  </si>
  <si>
    <t>KULDON TD10</t>
  </si>
  <si>
    <t>KULDON GRANULE S10</t>
  </si>
  <si>
    <t>SRONGPAS D20</t>
  </si>
  <si>
    <t>ANTALINU TD20</t>
  </si>
  <si>
    <t>OB HERBAL B100</t>
  </si>
  <si>
    <t>OB HERBAL B60</t>
  </si>
  <si>
    <t>OB HERBAL D10</t>
  </si>
  <si>
    <t>OB HERBAL JUNIOR B60</t>
  </si>
  <si>
    <t>OB HERBAL ZIPLONG D5</t>
  </si>
  <si>
    <t>OB HERBAL 30 ML</t>
  </si>
  <si>
    <t>OB HERBAL JUNIOR 30 ML</t>
  </si>
  <si>
    <t>OB HERBAL HABBATUSSAUDA B60</t>
  </si>
  <si>
    <t>OB HERBAL SACHET R12 (RENCENG ISI 12 SACHET)</t>
  </si>
  <si>
    <t>OB HERBAL SACHET D11 (DUS ISI 11 SACHET)</t>
  </si>
  <si>
    <t>NATUR SLIM S30</t>
  </si>
  <si>
    <t>TUNTAS  K10</t>
  </si>
  <si>
    <t>RAPET WANGI K10</t>
  </si>
  <si>
    <t>PILKITA 2T D50 TM</t>
  </si>
  <si>
    <t>PILKITA PLUS MADU SD12</t>
  </si>
  <si>
    <t>FRESHCARE GREEN TEA</t>
  </si>
  <si>
    <t>FRESHCARE SPLASH FRUITY</t>
  </si>
  <si>
    <t>FRESHCARE LAVENDER</t>
  </si>
  <si>
    <t>FRESHCARE ORIGINAL</t>
  </si>
  <si>
    <t>FRESHCARE STRONG</t>
  </si>
  <si>
    <t>FRESHCARE SANDALWOOD</t>
  </si>
  <si>
    <t>FRESHCARE SPORT</t>
  </si>
  <si>
    <t>FRESHCARE TEENS HAPPY CERRY</t>
  </si>
  <si>
    <t>FRESHCARE TEENS BUBBLE GUM</t>
  </si>
  <si>
    <t>FRESHCARE TEENS PASSION FRUIT</t>
  </si>
  <si>
    <t>FRESHCARE MIX CITRUS</t>
  </si>
  <si>
    <t>FRESHCARE MINYAK KAYU PUTIH</t>
  </si>
  <si>
    <t>FRESHCARE PRESS &amp; RELAX STRONG 10 ml</t>
  </si>
  <si>
    <t>FRESHCARE PRESS &amp; RELAX MINYAK ANGIN KAYU PUTIH</t>
  </si>
  <si>
    <t>FRESHCARE MIX EUCALYPTUS</t>
  </si>
  <si>
    <t>FRESHCARE EUCALYPTUS PATCH</t>
  </si>
  <si>
    <t>FRESHCARE TELON PATCH</t>
  </si>
  <si>
    <t>FRESHCARE SMASH</t>
  </si>
  <si>
    <t>FRESHCARE SMASH MATCHA</t>
  </si>
  <si>
    <t>FRESHCARE STRONG 15+5ML</t>
  </si>
  <si>
    <t>FRESHLIVING ESSENTIAL LAVENDER OIL 10 ML</t>
  </si>
  <si>
    <t>FRESHLIVING ESSENTIAL PEPPERMINT OIL 10 ML</t>
  </si>
  <si>
    <t>FRESHLIVING ESSENTIAL EUCALYPTUS LAVENDER OIL 10 ML</t>
  </si>
  <si>
    <t>FRESHLIVING MINYAK ZAITUN 50ML</t>
  </si>
  <si>
    <t>FRESHLIVING ZAITUN LOTION 80 gr</t>
  </si>
  <si>
    <t>FRESHLIVING STEAM EYE MASK LAVENDER</t>
  </si>
  <si>
    <t>FRESHLIVING BEBIO C&amp;F</t>
  </si>
  <si>
    <t>FRESHLIVING BEBIO ITHCY</t>
  </si>
  <si>
    <t>FRESHLIVING BEBIO TUMMY</t>
  </si>
  <si>
    <t>MINYAK HERBA WAHID 100 ml</t>
  </si>
  <si>
    <t>HOTIN CREAM 120 ml</t>
  </si>
  <si>
    <t>HOTIN CREAM AROMATHERAPY 120 ml</t>
  </si>
  <si>
    <t>HOTIN CREAM PUMP 120 ml</t>
  </si>
  <si>
    <t>HOTIN CREAM AROMATHERAPY PUMP 120 ml</t>
  </si>
  <si>
    <t>HOTIN CREAM 60 ml</t>
  </si>
  <si>
    <t>HOTIN CREAM AROMATHERAPY 60 ml</t>
  </si>
  <si>
    <t>HOTIN CREAM TUBE 60 ml</t>
  </si>
  <si>
    <t>HOTIN CREAM TUBE 120 ml</t>
  </si>
  <si>
    <t>HOTIN CREAM AROMATHERAPY TUBE 60 ml</t>
  </si>
  <si>
    <t>HOTIN CREAM AROMATHERAPY TUBE 120 ml</t>
  </si>
  <si>
    <t>HOTIN CREAM STRONG TUBE 60 gr</t>
  </si>
  <si>
    <t>HOTIN CREAM STRONG 120 ml</t>
  </si>
  <si>
    <t>HOTIN KOYO AROMATHERAPY 10 Lbr</t>
  </si>
  <si>
    <t>HOTIN STRONG TUBE 120 gr</t>
  </si>
  <si>
    <t>HOTIN BALSEM OTOT EXTRA HOT 20g +5g</t>
  </si>
  <si>
    <t>HOTIN CREAM STRONG BOTOL 60 gr</t>
  </si>
  <si>
    <t>HOTIN GO 100 gr</t>
  </si>
  <si>
    <t>HOTIN GO STRONG 100 gr</t>
  </si>
  <si>
    <t>HOTIN GO TUBE 50 gr</t>
  </si>
  <si>
    <t>HOTIN GO STRONG TUBE 50 gr</t>
  </si>
  <si>
    <t>MADU TJ MURNI 150 gr</t>
  </si>
  <si>
    <t>MADU TJ EXTRA 150 gr</t>
  </si>
  <si>
    <t>MADU TJ MURNI 250 gr</t>
  </si>
  <si>
    <t>MADU TJ EXTRA 250 gr</t>
  </si>
  <si>
    <t>MADU KURMA TJ 150 gr</t>
  </si>
  <si>
    <t>MADU TJ MURNI 500 gr</t>
  </si>
  <si>
    <t>MADU TJ EXTRA 500 gr</t>
  </si>
  <si>
    <t>MADU KURMA TJ 250 gr</t>
  </si>
  <si>
    <t>MADU TJ JOYBEE JERUK 100 ml</t>
  </si>
  <si>
    <t>MADU TJ JOYBEE ORIGINAL 100 ml</t>
  </si>
  <si>
    <t>MADU TJ JOYBEE STRAWBERRY 100 ml</t>
  </si>
  <si>
    <t>MADU TJ PANAS DALAM 150 gr</t>
  </si>
  <si>
    <t>MADU TJ JOYBEE GROW EMULSION 200 ml</t>
  </si>
  <si>
    <t>SARI KURMA TJ 250 gr</t>
  </si>
  <si>
    <t>MADU LEMON TJ</t>
  </si>
  <si>
    <t>TJ JOYBEE GUMMY</t>
  </si>
  <si>
    <t>MADU TJ PANAS DALAM DUS ISI 5s</t>
  </si>
  <si>
    <t>MADU TJ JAHE MERAH MINT 150 gr</t>
  </si>
  <si>
    <t>MADU TJ JAHE MERAH MINT 250 g</t>
  </si>
  <si>
    <t>MADU KURMA TJ 500 gr</t>
  </si>
  <si>
    <t>MADU TJ HITAM PAHIT 250 gr</t>
  </si>
  <si>
    <t>MADU TJ JAHE MERAH MINT 500 gr</t>
  </si>
  <si>
    <t>MADU TJ MANUKA 250 gr</t>
  </si>
  <si>
    <t>MADU TJ MURNI POUCH 500 gr</t>
  </si>
  <si>
    <t>TJ PROPOLIS ISI 5 KAPSUL</t>
  </si>
  <si>
    <t>MADU TJ HONEY COMB 250 gr</t>
  </si>
  <si>
    <t>WELMOVE 5 Kaplet</t>
  </si>
  <si>
    <t>OM3HEART 30 SOFT CAPSULES</t>
  </si>
  <si>
    <t>OM3HEART 60 SOFT CAPSULES</t>
  </si>
  <si>
    <t>FITBES FORCE KAPLET 5s</t>
  </si>
  <si>
    <t>WELMOVE ULTRA</t>
  </si>
  <si>
    <t>MYWELL VIT C + Zn K5</t>
  </si>
  <si>
    <t>MYWELL VITAMIN D3 1000 IU</t>
  </si>
  <si>
    <t>MINYAK TELON TRESNOJOYO 60 ml</t>
  </si>
  <si>
    <t>MINYAK TELON TRESNOJOYO 100 ml</t>
  </si>
  <si>
    <t>BALSAM TELON TRESNOJOYO 20 gr</t>
  </si>
  <si>
    <t>BALSAM TELON TRESNOJOYO 40 gr</t>
  </si>
  <si>
    <t>TELON HERBAL PLUS CITRONELLA 60 ml</t>
  </si>
  <si>
    <t>TELON HERBAL PLUS CITRONELLA 100 ml</t>
  </si>
  <si>
    <t>MINYAK KAYU PUTIH LOS 60 ml</t>
  </si>
  <si>
    <t>BALJITOT 50 ml</t>
  </si>
  <si>
    <t>TELON HERBAL PLUS CITRONELLA 100 ml BANDED MINYAK TELON 30 ml</t>
  </si>
  <si>
    <t>MINYAK KAYU PUTIH LOS 120 ml</t>
  </si>
  <si>
    <t>MADU TJ JERUK D12 (DUS)</t>
  </si>
  <si>
    <t>MADU TJ ORIGINAL D12 (DUS)</t>
  </si>
  <si>
    <t>MADU TJ STRAWBERRY D12 (DUS)</t>
  </si>
  <si>
    <t xml:space="preserve">STRIP     </t>
  </si>
  <si>
    <t xml:space="preserve">SACHET    </t>
  </si>
  <si>
    <t xml:space="preserve">TOPLES    </t>
  </si>
  <si>
    <t xml:space="preserve">BAG       </t>
  </si>
  <si>
    <t xml:space="preserve">PCS       </t>
  </si>
  <si>
    <t xml:space="preserve">BLISTER   </t>
  </si>
  <si>
    <t xml:space="preserve">BOTOL     </t>
  </si>
  <si>
    <t>STICK PACK</t>
  </si>
  <si>
    <t xml:space="preserve">DUS       </t>
  </si>
  <si>
    <t xml:space="preserve">TUBE      </t>
  </si>
  <si>
    <t xml:space="preserve">POT       </t>
  </si>
  <si>
    <t xml:space="preserve">POUCH     </t>
  </si>
  <si>
    <t xml:space="preserve">AMPLOP    </t>
  </si>
  <si>
    <t>M6</t>
  </si>
  <si>
    <t>MPM</t>
  </si>
  <si>
    <t>M5</t>
  </si>
  <si>
    <t>PT. MARKETAMA INDAH</t>
  </si>
  <si>
    <t>MARKETAMA</t>
  </si>
  <si>
    <t>PT. FKS SEJAHTERA</t>
  </si>
  <si>
    <t>FKS</t>
  </si>
  <si>
    <t>F3</t>
  </si>
  <si>
    <t>45MIX</t>
  </si>
  <si>
    <t>PT. MULIA PUTRA MANDIRI</t>
  </si>
  <si>
    <t>PT. PRIMARASA ABADI SEJAHTERA</t>
  </si>
  <si>
    <t>PAS</t>
  </si>
  <si>
    <t>P2</t>
  </si>
  <si>
    <t>040411111</t>
  </si>
  <si>
    <t>040415100</t>
  </si>
  <si>
    <t>040413100</t>
  </si>
  <si>
    <t>040701100</t>
  </si>
  <si>
    <t>040703100</t>
  </si>
  <si>
    <t>040702100</t>
  </si>
  <si>
    <t>040701101</t>
  </si>
  <si>
    <t>040702101</t>
  </si>
  <si>
    <t>040703101</t>
  </si>
  <si>
    <t>041715400</t>
  </si>
  <si>
    <t>041716400</t>
  </si>
  <si>
    <t>041717400</t>
  </si>
  <si>
    <t>041718400</t>
  </si>
  <si>
    <t>041719400</t>
  </si>
  <si>
    <t>041720400</t>
  </si>
  <si>
    <t>042501703</t>
  </si>
  <si>
    <t>042501800</t>
  </si>
  <si>
    <t>042502800</t>
  </si>
  <si>
    <t>042503800</t>
  </si>
  <si>
    <t>042504800</t>
  </si>
  <si>
    <t>042505001</t>
  </si>
  <si>
    <t>042505800</t>
  </si>
  <si>
    <t>042506800</t>
  </si>
  <si>
    <t>050413100</t>
  </si>
  <si>
    <t>050413200</t>
  </si>
  <si>
    <t>050415100</t>
  </si>
  <si>
    <t>050415200</t>
  </si>
  <si>
    <t>050701100</t>
  </si>
  <si>
    <t>050701101</t>
  </si>
  <si>
    <t>050702100</t>
  </si>
  <si>
    <t>050702101</t>
  </si>
  <si>
    <t>050703100</t>
  </si>
  <si>
    <t>050703101</t>
  </si>
  <si>
    <t>050701293</t>
  </si>
  <si>
    <t>050702293</t>
  </si>
  <si>
    <t>050703293</t>
  </si>
  <si>
    <t>050704293</t>
  </si>
  <si>
    <t>072601000</t>
  </si>
  <si>
    <t>072602000</t>
  </si>
  <si>
    <t>072603000</t>
  </si>
  <si>
    <t>072604000</t>
  </si>
  <si>
    <t>051701001</t>
  </si>
  <si>
    <t>051701002</t>
  </si>
  <si>
    <t>051701003</t>
  </si>
  <si>
    <t>051701300</t>
  </si>
  <si>
    <t>051701700</t>
  </si>
  <si>
    <t>051701800</t>
  </si>
  <si>
    <t>051702001</t>
  </si>
  <si>
    <t>051702300</t>
  </si>
  <si>
    <t>051702700</t>
  </si>
  <si>
    <t>051702800</t>
  </si>
  <si>
    <t>051703001</t>
  </si>
  <si>
    <t>051703002</t>
  </si>
  <si>
    <t>051703003</t>
  </si>
  <si>
    <t>051703300</t>
  </si>
  <si>
    <t>051703700</t>
  </si>
  <si>
    <t>051703800</t>
  </si>
  <si>
    <t>051704001</t>
  </si>
  <si>
    <t>051704300</t>
  </si>
  <si>
    <t>051704700</t>
  </si>
  <si>
    <t>051704800</t>
  </si>
  <si>
    <t>051705001</t>
  </si>
  <si>
    <t>051705002</t>
  </si>
  <si>
    <t>051705300</t>
  </si>
  <si>
    <t>051705700</t>
  </si>
  <si>
    <t>051705800</t>
  </si>
  <si>
    <t>051706001</t>
  </si>
  <si>
    <t>051706300</t>
  </si>
  <si>
    <t>051706700</t>
  </si>
  <si>
    <t>051706800</t>
  </si>
  <si>
    <t>052501500</t>
  </si>
  <si>
    <t>052501600</t>
  </si>
  <si>
    <t>052501902</t>
  </si>
  <si>
    <t>052502400</t>
  </si>
  <si>
    <t>052502500</t>
  </si>
  <si>
    <t>052502901</t>
  </si>
  <si>
    <t>052503400</t>
  </si>
  <si>
    <t>052503500</t>
  </si>
  <si>
    <t>052503901</t>
  </si>
  <si>
    <t>052504400</t>
  </si>
  <si>
    <t>052504500</t>
  </si>
  <si>
    <t>052505400</t>
  </si>
  <si>
    <t>052505500</t>
  </si>
  <si>
    <t>052506401</t>
  </si>
  <si>
    <t>052506501</t>
  </si>
  <si>
    <t>052602001</t>
  </si>
  <si>
    <t>061701300</t>
  </si>
  <si>
    <t>061701502</t>
  </si>
  <si>
    <t>061702300</t>
  </si>
  <si>
    <t>061702502</t>
  </si>
  <si>
    <t>061703300</t>
  </si>
  <si>
    <t>061703502</t>
  </si>
  <si>
    <t>061704300</t>
  </si>
  <si>
    <t>061704502</t>
  </si>
  <si>
    <t>061705300</t>
  </si>
  <si>
    <t>061705502</t>
  </si>
  <si>
    <t>061706300</t>
  </si>
  <si>
    <t>061706502</t>
  </si>
  <si>
    <t>070701000</t>
  </si>
  <si>
    <t>070701292</t>
  </si>
  <si>
    <t>070702000</t>
  </si>
  <si>
    <t>070702292</t>
  </si>
  <si>
    <t>070703292</t>
  </si>
  <si>
    <t>071701204</t>
  </si>
  <si>
    <t>071701302</t>
  </si>
  <si>
    <t>071702204</t>
  </si>
  <si>
    <t>071702302</t>
  </si>
  <si>
    <t>071703204</t>
  </si>
  <si>
    <t>071703302</t>
  </si>
  <si>
    <t>071705204</t>
  </si>
  <si>
    <t>071705302</t>
  </si>
  <si>
    <t>081721100</t>
  </si>
  <si>
    <t>081722100</t>
  </si>
  <si>
    <t>081723100</t>
  </si>
  <si>
    <t>101701007</t>
  </si>
  <si>
    <t>101701009</t>
  </si>
  <si>
    <t>101702001</t>
  </si>
  <si>
    <t>191701307</t>
  </si>
  <si>
    <t>191701306</t>
  </si>
  <si>
    <t>040402200</t>
  </si>
  <si>
    <t>Sabun DREAM Papaya 72x100G</t>
  </si>
  <si>
    <t>DERMYTHOL BAR 12x6x70Gr (Lunchbox) Mix Varian</t>
  </si>
  <si>
    <t>DERMYTHOL Hygienic Protect 72x70Gr</t>
  </si>
  <si>
    <t>DERMYTHOL Hygienic Bio Sulfur 72x70Gr</t>
  </si>
  <si>
    <t>Garden of Na'Eem Taifi Rose 72x75Gr</t>
  </si>
  <si>
    <t>Garden of Na'Eem Midnight Gardenia 72x75Gr</t>
  </si>
  <si>
    <t>Garden of Na'Eem Royal Jasmine 72x75Gr</t>
  </si>
  <si>
    <t>Garden of Na'Eem Taifi Rose 24x3x75Gr (P3)</t>
  </si>
  <si>
    <t>Garden of NaEem Royal Jasmine 24x3x75Gr (P3)</t>
  </si>
  <si>
    <t>Garden of NaEem Midnight Gardenia 24x3x75Gr (P3)</t>
  </si>
  <si>
    <t>Sabun SHINZUI Matsu 144x80Gr</t>
  </si>
  <si>
    <t>Sabun SHINZUI Hana 144x80Gr</t>
  </si>
  <si>
    <t>Sabun SHINZUI Kirei 144x80Gr</t>
  </si>
  <si>
    <t>Sabun SHINZUI Myori 144x80Gr</t>
  </si>
  <si>
    <t>Sabun SHINZUI Sakura 144x80Gr</t>
  </si>
  <si>
    <t>Sabun SHINZUI Kensho 144x80Gr</t>
  </si>
  <si>
    <t>Zen Body Soap Mix 6x12x80Gr (6 Lunchbox)</t>
  </si>
  <si>
    <t>Zen Body Soap Shiso &amp; Sandalwood 24x3x70Gr (P3)</t>
  </si>
  <si>
    <t>Zen Body Soap Shiso &amp; Sea Salt 24x3x70Gr (P3)</t>
  </si>
  <si>
    <t>Zen Body Soap Shiso &amp; Sulphur 24x3x70Gr (P3)</t>
  </si>
  <si>
    <t>Zen Body Soap Shiso &amp; Tea Tree 24x3x70Gr (P3)</t>
  </si>
  <si>
    <t>ZEN Body Soap Shiso &amp; Sulphur 72x60Gr</t>
  </si>
  <si>
    <t>Zen Body Soap Shiso &amp; Echinacea 24x3x70Gr (P3)</t>
  </si>
  <si>
    <t>Zen Body Soap Shiso &amp; Juniper Berries 24x3x70Gr (P3)</t>
  </si>
  <si>
    <t>DERMYTHOL Body Cleanser Hygienic Bio Sulfur Ref 24x400Ml</t>
  </si>
  <si>
    <t>DERMYTHOL Body Cleanser Hygienic Bio Sulfur Btl 24x480Ml</t>
  </si>
  <si>
    <t>DERMYTHOL Body Cleanser Hygienic Protect Ref 24x400Ml</t>
  </si>
  <si>
    <t>DERMYTHOL Body Cleanser Hygienic Protect Btl 24x480Ml</t>
  </si>
  <si>
    <t>Garden of Na eem Body Cleanser Taifi Rose Ref 24 x 400Ml</t>
  </si>
  <si>
    <t>Garden of Na eem Body Cleanser Taifi Rose Botol 24 x 480Ml</t>
  </si>
  <si>
    <t>Garden of Na eem Body Cleanser Royal Jasmine Ref 24 x 400Ml</t>
  </si>
  <si>
    <t>Garden of Na eem Body Cleanser Royal Jasmine Botol 24 x 480Ml</t>
  </si>
  <si>
    <t>Garden of Na eem Body Cleanser Midnight Gardenia Ref 24 x 400Ml</t>
  </si>
  <si>
    <t>Garden of Na eem Body Cleanser Midnight Gardenia Botol 24 x 480Ml</t>
  </si>
  <si>
    <t>PINK SKIN PERFUME LTN First Love 48x180Ml</t>
  </si>
  <si>
    <t>PINK SKIN PERFUME LTN Shining Star 48x180Ml</t>
  </si>
  <si>
    <t>PINK SKIN PERFUME LTN Sweet Rose 48x180Ml</t>
  </si>
  <si>
    <t>PINK SKIN PERFUME LTN Forget Me Not 48x180Ml</t>
  </si>
  <si>
    <t>PINK SKIN Parfume Lotion First Love Star 48x70 ml</t>
  </si>
  <si>
    <t>PINK SKIN Parfume Lotion Shining Star 48x70 ml</t>
  </si>
  <si>
    <t>PINK SKIN Parfume Lotion Sweet Rose 48x70 ml</t>
  </si>
  <si>
    <t>PINK SKIN Parfume Lotion Forget Me Not 48x70 ml</t>
  </si>
  <si>
    <t>SHZ Body Cleanser Matsu Ref 48x85Ml</t>
  </si>
  <si>
    <t>SHZ BCL Matsu Ref 12x725Ml</t>
  </si>
  <si>
    <t>SHZ BCL Matsu Ref 24x380Ml</t>
  </si>
  <si>
    <t>Sabun Cair SHINZUI Regular Ref 48x180ML</t>
  </si>
  <si>
    <t>Sabun Cair SHINZUI Matsu 48x225Ml</t>
  </si>
  <si>
    <t>Sabun Cair SHINZUI Matsu 24x480ML</t>
  </si>
  <si>
    <t>SHZ BCL Hana Ref 24x380Ml</t>
  </si>
  <si>
    <t>Sabun Cair SHINZUI Hana Ref 48x180ML</t>
  </si>
  <si>
    <t>Sabun Cair SHINZUI Hana 48x225Ml</t>
  </si>
  <si>
    <t>Sabun Cair SHINZUI Hana 24x480ML</t>
  </si>
  <si>
    <t>SHZ Body Cleanser Kirei Ref 48x85Ml</t>
  </si>
  <si>
    <t>SHZ BCL Kirei Ref 12x725Ml</t>
  </si>
  <si>
    <t>SHZ BCL Kirei Ref 24x380Ml</t>
  </si>
  <si>
    <t>Sabun Cair SHINZUI Kirei Ref 48x180ML</t>
  </si>
  <si>
    <t>Sabun Cair SHINZUI Kirei 48x225Ml</t>
  </si>
  <si>
    <t>Sabun Cair SHINZUI Kirei 24x480ML</t>
  </si>
  <si>
    <t>SHZ BCL Myori Ref 24x380Ml</t>
  </si>
  <si>
    <t>Sabun Cair SHINZUI Myori Ref 48x180ML</t>
  </si>
  <si>
    <t>Sabun Cair SHINZUI Myori 48x225Ml</t>
  </si>
  <si>
    <t>Sabun Cair SHINZUI Myori 24x480ML</t>
  </si>
  <si>
    <t>SHZ BCL Sakura Ref 12x725Ml</t>
  </si>
  <si>
    <t>SHZ BCL Sakura Ref 24x380Ml</t>
  </si>
  <si>
    <t>Sabun Cair SHINZUI Sakura Ref 48x180ML</t>
  </si>
  <si>
    <t>Sabun Cair SHINZUI Sakura 48x225Ml</t>
  </si>
  <si>
    <t>Sabun Cair SHINZUI Sakura 24x480ML</t>
  </si>
  <si>
    <t>SHZ BCL KS Ref 24x380Ml</t>
  </si>
  <si>
    <t>Sabun Cair SHINZUI Kensho Ref 48x180ML</t>
  </si>
  <si>
    <t>Sabun Cair SHINZUI Kensho 48x225Ml</t>
  </si>
  <si>
    <t>Sabun Cair SHINZUI Kensho 24x480ML</t>
  </si>
  <si>
    <t>BodyWash ZEN Shiso&amp;Sandalwood Btl 24x480Ml</t>
  </si>
  <si>
    <t>BodyWash ZEN Shiso&amp;Sandalwood Ref 24x400Ml</t>
  </si>
  <si>
    <t>ZEN Body Cleanser Shiso&amp; Sandalwood Ref 48 x 85Ml</t>
  </si>
  <si>
    <t>Body Cleanser ZEN Shiso &amp; Tea Tree Ref 24x400Ml</t>
  </si>
  <si>
    <t>Body Cleanser ZEN Shiso &amp; Tea Tree Btl 24x480Ml</t>
  </si>
  <si>
    <t>ZEN Body Cleanser Shiso&amp;Tea Tree Ref 48x85Ml</t>
  </si>
  <si>
    <t>BodyWash ZEN Shiso&amp;SeaSalt Ref 24x400Ml</t>
  </si>
  <si>
    <t>BodyWash ZEN Shiso&amp;SeaSalt 24x480Ml</t>
  </si>
  <si>
    <t>ZEN Body Cleanser Shiso&amp;Sea Salt Ref 48x85Ml</t>
  </si>
  <si>
    <t>Body Cleanser ZEN Shiso &amp; Echinacea Ref 24x400Ml</t>
  </si>
  <si>
    <t>Body Cleanser ZEN Shiso &amp; Echinacea Btl 24x480Ml</t>
  </si>
  <si>
    <t>BodyWash ZEN Shiso&amp;Sulphur Ref 24x400Ml</t>
  </si>
  <si>
    <t>BodyWash ZEN Shiso&amp;Sulphur Btl 24x480Ml</t>
  </si>
  <si>
    <t>ZEN Body Cleanser Shiso And Juniper Berries Ref 24x400Ml</t>
  </si>
  <si>
    <t>ZEN Body Cleanser Shiso And Juniper Berries Btl 24x480Ml</t>
  </si>
  <si>
    <t>PINK SKIN Perfume BCL Shining Star Botol 24x360Ml Upsize 30%</t>
  </si>
  <si>
    <t>Body Scrub SHINZUI Matsu 96x110Gr</t>
  </si>
  <si>
    <t>Body Scrub SHINZUI Matsu 48x200Gr New</t>
  </si>
  <si>
    <t>Body Scrub SHINZUI Hana 96x110Gr</t>
  </si>
  <si>
    <t>Body Scrub SHINZUI Hana 48x200Gr New</t>
  </si>
  <si>
    <t>Body Scrub SHINZUI Kirei 96x110Gr</t>
  </si>
  <si>
    <t>Body Scrub SHINZUI Kirei 48x200Gr New</t>
  </si>
  <si>
    <t>Body Scrub SHINZUI Myori 96x110Gr</t>
  </si>
  <si>
    <t>Body Scrub SHINZUI Myori 48x200Gr New</t>
  </si>
  <si>
    <t>Body Scrub SHINZUI Sakura 96x110Gr</t>
  </si>
  <si>
    <t>Body Scrub SHINZUI Sakura 48x200Gr New</t>
  </si>
  <si>
    <t>Body Scrub SHINZUI Kensho 96x110Gr</t>
  </si>
  <si>
    <t>Body Scrub SHINZUI Kensho 48x200Gr New</t>
  </si>
  <si>
    <t>Gardenia Glow BLT Taifi Rose Sachet 10x48x9Ml</t>
  </si>
  <si>
    <t>GG BLT Taifi Rose 48x200Ml</t>
  </si>
  <si>
    <t>Gardenia Glow BLT Royal Jasmine Sachet 10x48x9Ml</t>
  </si>
  <si>
    <t>GG BLT Royal Jasmine 48X200Ml</t>
  </si>
  <si>
    <t>GG BLT Midnight Gardenia 48X200Ml</t>
  </si>
  <si>
    <t>Body Lotion SHINZUI Matsu 48x100ml New</t>
  </si>
  <si>
    <t>Body Lotion SHINZUI Matsu 48x210ml New</t>
  </si>
  <si>
    <t>Body Lotion SHINZUI Hana 48x100ml New</t>
  </si>
  <si>
    <t>Body Lotion SHINZUI Hana 48x210ml New</t>
  </si>
  <si>
    <t>Body Lotion SHINZUI Kirei 48x100ml New</t>
  </si>
  <si>
    <t>Body Lotion SHINZUI Kirei 48x210ml New</t>
  </si>
  <si>
    <t>Body Lotion SHINZUI Sakura 48x100ml New</t>
  </si>
  <si>
    <t>Body Lotion SHINZUI Sakura 48x210ml New</t>
  </si>
  <si>
    <t>SHZ Exfoliating Gel Ichigo 48 x 130Ml</t>
  </si>
  <si>
    <t>SHZ Exfoliating Gel Cica 48 x 130Ml</t>
  </si>
  <si>
    <t>SHZ Exfoliating Gel Honey 48 x 130Ml</t>
  </si>
  <si>
    <t>SHZ Brightening Serum 48x20Ml</t>
  </si>
  <si>
    <t>SHZ Serum Moisturizer 48x30Gr</t>
  </si>
  <si>
    <t>SHZ Brightening Sunscreen SPF 35 PA 48x30Ml</t>
  </si>
  <si>
    <t>Facial Wash SHINZUI Cica 48x80ML Upsize 20ML</t>
  </si>
  <si>
    <t>SHZ F.Wash Snow Mushroom 12x10x20Ml (P10)</t>
  </si>
  <si>
    <t>Facial Wash SHINZUI Snow Mushroom 48x80ML Upsize 20ML</t>
  </si>
  <si>
    <t>DREAM</t>
  </si>
  <si>
    <t>DERMYTHOL</t>
  </si>
  <si>
    <t>GARDEN OF NAEEM</t>
  </si>
  <si>
    <t>SHINZUI1</t>
  </si>
  <si>
    <t>ZEN</t>
  </si>
  <si>
    <t>PINK SKIN</t>
  </si>
  <si>
    <t>SHINZUI2</t>
  </si>
  <si>
    <t>ZEN2</t>
  </si>
  <si>
    <t>GARDENIA GLOW</t>
  </si>
  <si>
    <t>PT. UNITAMA SARI MAS</t>
  </si>
  <si>
    <t>USM</t>
  </si>
  <si>
    <t>U3</t>
  </si>
  <si>
    <t>PT. FOKUS RITEL NUSAPRIMA</t>
  </si>
  <si>
    <t>FRN</t>
  </si>
  <si>
    <t>F4</t>
  </si>
  <si>
    <t>400ML</t>
  </si>
  <si>
    <t>PCH</t>
  </si>
  <si>
    <t>480ML</t>
  </si>
  <si>
    <t>100G</t>
  </si>
  <si>
    <t>9ML</t>
  </si>
  <si>
    <t>200ML</t>
  </si>
  <si>
    <t>180ML</t>
  </si>
  <si>
    <t>70ML</t>
  </si>
  <si>
    <t>360ML</t>
  </si>
  <si>
    <t>725ML</t>
  </si>
  <si>
    <t>380ML</t>
  </si>
  <si>
    <t>225ML</t>
  </si>
  <si>
    <t>BTL</t>
  </si>
  <si>
    <t>110G</t>
  </si>
  <si>
    <t>200G</t>
  </si>
  <si>
    <t>100ML</t>
  </si>
  <si>
    <t>210ML</t>
  </si>
  <si>
    <t>130ML</t>
  </si>
  <si>
    <t>20ML</t>
  </si>
  <si>
    <t>30ML</t>
  </si>
  <si>
    <t>80ML</t>
  </si>
  <si>
    <t>85ML</t>
  </si>
  <si>
    <t>PUMP</t>
  </si>
  <si>
    <t xml:space="preserve">BTL </t>
  </si>
  <si>
    <t>TUBE</t>
  </si>
  <si>
    <t>JAR</t>
  </si>
  <si>
    <t xml:space="preserve">PCH </t>
  </si>
  <si>
    <t>BOX</t>
  </si>
  <si>
    <t>PACK</t>
  </si>
  <si>
    <t>SCH</t>
  </si>
  <si>
    <t>30G</t>
  </si>
  <si>
    <t>75G</t>
  </si>
  <si>
    <t>80G</t>
  </si>
  <si>
    <t>70G</t>
  </si>
  <si>
    <t>60G</t>
  </si>
  <si>
    <t>F4011100007010</t>
  </si>
  <si>
    <t>F4012101040010</t>
  </si>
  <si>
    <t>F4012102040010</t>
  </si>
  <si>
    <t>F4012001048020</t>
  </si>
  <si>
    <t>F4012002048020</t>
  </si>
  <si>
    <t>F4013001007010</t>
  </si>
  <si>
    <t>F4013002007010</t>
  </si>
  <si>
    <t>F4021001010010</t>
  </si>
  <si>
    <t>F4031101040010</t>
  </si>
  <si>
    <t>F4031102040020</t>
  </si>
  <si>
    <t>F4031103040020</t>
  </si>
  <si>
    <t>F4031001048030</t>
  </si>
  <si>
    <t>F4031002048030</t>
  </si>
  <si>
    <t>F4031003048010</t>
  </si>
  <si>
    <t>F4032001007510</t>
  </si>
  <si>
    <t>F4032001007520</t>
  </si>
  <si>
    <t>F4032002007510</t>
  </si>
  <si>
    <t>F4032002007520</t>
  </si>
  <si>
    <t>F4032003007510</t>
  </si>
  <si>
    <t>F4032003007520</t>
  </si>
  <si>
    <t>F4041001020010</t>
  </si>
  <si>
    <t>F4041002020010</t>
  </si>
  <si>
    <t>F4041002000920</t>
  </si>
  <si>
    <t>F4041003020010</t>
  </si>
  <si>
    <t>F4041003000920</t>
  </si>
  <si>
    <t>F4051001036011</t>
  </si>
  <si>
    <t>F4052001018010</t>
  </si>
  <si>
    <t>F4052001007010</t>
  </si>
  <si>
    <t>F4052002018010</t>
  </si>
  <si>
    <t>F4052002007010</t>
  </si>
  <si>
    <t>F4052003018010</t>
  </si>
  <si>
    <t>F4052003007010</t>
  </si>
  <si>
    <t>F4052004018010</t>
  </si>
  <si>
    <t>F4052004007010</t>
  </si>
  <si>
    <t>F4061101038010</t>
  </si>
  <si>
    <t>F4061102038010</t>
  </si>
  <si>
    <t>F4061103038010</t>
  </si>
  <si>
    <t>F4061103072510</t>
  </si>
  <si>
    <t>F4061103008510</t>
  </si>
  <si>
    <t>F4061104038010</t>
  </si>
  <si>
    <t>F4061104072510</t>
  </si>
  <si>
    <t>F4061109008510</t>
  </si>
  <si>
    <t>F4061110038010</t>
  </si>
  <si>
    <t>F4061111038010</t>
  </si>
  <si>
    <t>F4061111072510</t>
  </si>
  <si>
    <t>F4062001010010</t>
  </si>
  <si>
    <t>F4062001021010</t>
  </si>
  <si>
    <t>F4062002010010</t>
  </si>
  <si>
    <t>F4062002021010</t>
  </si>
  <si>
    <t>F4062003010010</t>
  </si>
  <si>
    <t>F4062003021010</t>
  </si>
  <si>
    <t>F4062004010010</t>
  </si>
  <si>
    <t>F4062004021010</t>
  </si>
  <si>
    <t>F4063001011010</t>
  </si>
  <si>
    <t>F4063001020010</t>
  </si>
  <si>
    <t>F4063002011010</t>
  </si>
  <si>
    <t>F4063002020010</t>
  </si>
  <si>
    <t>F4063003011010</t>
  </si>
  <si>
    <t>F4063003020010</t>
  </si>
  <si>
    <t>F4063004011010</t>
  </si>
  <si>
    <t>F4063004020010</t>
  </si>
  <si>
    <t>F4063005011010</t>
  </si>
  <si>
    <t>F4063005020010</t>
  </si>
  <si>
    <t>F4063006011010</t>
  </si>
  <si>
    <t>F4063006020010</t>
  </si>
  <si>
    <t>F4064001013010</t>
  </si>
  <si>
    <t>F4064002013010</t>
  </si>
  <si>
    <t>F4064003013010</t>
  </si>
  <si>
    <t>F4065001008011</t>
  </si>
  <si>
    <t>F4065002008011</t>
  </si>
  <si>
    <t>F4065003002010</t>
  </si>
  <si>
    <t>F4066001008010</t>
  </si>
  <si>
    <t>F4066002008010</t>
  </si>
  <si>
    <t>F4066003008010</t>
  </si>
  <si>
    <t>F4066004008010</t>
  </si>
  <si>
    <t>F4066005008010</t>
  </si>
  <si>
    <t>F4066006008010</t>
  </si>
  <si>
    <t>F4067101018010</t>
  </si>
  <si>
    <t>F4067102018010</t>
  </si>
  <si>
    <t>F4067103018010</t>
  </si>
  <si>
    <t>F4067104018010</t>
  </si>
  <si>
    <t>F4067005018010</t>
  </si>
  <si>
    <t>F4067005048020</t>
  </si>
  <si>
    <t>F4067006048020</t>
  </si>
  <si>
    <t>F4067007022530</t>
  </si>
  <si>
    <t>F4067007048030</t>
  </si>
  <si>
    <t>F4067008022530</t>
  </si>
  <si>
    <t>F4067008048030</t>
  </si>
  <si>
    <t>F4067009048020</t>
  </si>
  <si>
    <t>F4067010018010</t>
  </si>
  <si>
    <t>F4068001002010</t>
  </si>
  <si>
    <t>F4068002003020</t>
  </si>
  <si>
    <t>F4069001003010</t>
  </si>
  <si>
    <t>F4071101040010</t>
  </si>
  <si>
    <t>F4071102040010</t>
  </si>
  <si>
    <t>F4071103008510</t>
  </si>
  <si>
    <t>F4071104008510</t>
  </si>
  <si>
    <t>F4071105040010</t>
  </si>
  <si>
    <t>F4071105008510</t>
  </si>
  <si>
    <t>F4071001048030</t>
  </si>
  <si>
    <t>F4071002048030</t>
  </si>
  <si>
    <t>F4071003048030</t>
  </si>
  <si>
    <t>F4072101040010</t>
  </si>
  <si>
    <t>F4072102040010</t>
  </si>
  <si>
    <t>F4072103040010</t>
  </si>
  <si>
    <t>F4072001048020</t>
  </si>
  <si>
    <t>F4072002048020</t>
  </si>
  <si>
    <t>F4072003048020</t>
  </si>
  <si>
    <t>F4073101008010</t>
  </si>
  <si>
    <t>F4073002006010</t>
  </si>
  <si>
    <t>F4073003007020</t>
  </si>
  <si>
    <t>F4073004007020</t>
  </si>
  <si>
    <t>F4073005007020</t>
  </si>
  <si>
    <t>F4073006007020</t>
  </si>
  <si>
    <t>F4073007007020</t>
  </si>
  <si>
    <t>F4073008007020</t>
  </si>
  <si>
    <t>DERMYTHOL BAR LUNCH 70G X 6 BOX</t>
  </si>
  <si>
    <t>DERMYTHOL BAR</t>
  </si>
  <si>
    <t>DERMYTHOL BCL REF HYGIENIC BIO SLFR 400ML X 24 PCH</t>
  </si>
  <si>
    <t>DERMYTHOL BCL REF HYGIENIC PROTECT 400ML X 24 PCH</t>
  </si>
  <si>
    <t>DERMYTHOL BCL HYGIENIC BIO SULFUR 480ML X 24 PUMP</t>
  </si>
  <si>
    <t>DERMYTHOL BCL HYGIENIC PROTECT 480ML X 24 PUMP</t>
  </si>
  <si>
    <t>DERMYTHOL SABUN HYGIENIC BIO SULFUR 70G X 72 PCS</t>
  </si>
  <si>
    <t>DERMYTHOL SABUN HYGIENIC PROTECT 70G X 72 PCS</t>
  </si>
  <si>
    <t>DREAM SABUN PAPAYA 100G X 72 PCS</t>
  </si>
  <si>
    <t>GRDN OF NA EEM BCL REF MDNGHT GRDN 400ML X 24 PUMP</t>
  </si>
  <si>
    <t>GRDN OF NA EEM BCL REF ROYAL JASMNE 400ML X 24 PCH</t>
  </si>
  <si>
    <t>GRDN OF NA EEM BCL REF TAIFI ROSE 400ML X 24 PCH</t>
  </si>
  <si>
    <t>GRDN OF NA EEM BCL MDNGHT GRDN 480ML X 24 BTL</t>
  </si>
  <si>
    <t>GRDN OF NA EEM BCL ROYAL JASMINE 480ML X 24 BTL</t>
  </si>
  <si>
    <t>GRDN OF NA EEM BCL TAIFI ROSE 480ML X 24 PUMP</t>
  </si>
  <si>
    <t>GRDN OF NA EEM SABUN MIDNIGHT GRDN 75G X 24 PACK</t>
  </si>
  <si>
    <t>GRDN OF NA EEM SABUN MIDNIGHT GRDN 75G X 72 PCS</t>
  </si>
  <si>
    <t>GRDN OF NA EEM SABUN ROYAL JASMINE 75G X 24 PACK</t>
  </si>
  <si>
    <t>GRDN OF NA EEM SABUN ROYAL JASMINE 75G X 72 PCS</t>
  </si>
  <si>
    <t>GRDN OF NA EEM SABUN TAIFI ROSE 75G X 24 PACK</t>
  </si>
  <si>
    <t>GRDN OF NA EEM SABUN TAIFI ROSE 75G X 72 PCS</t>
  </si>
  <si>
    <t>GRDN GLOW BODY LTN MIDNIGHT GRDN 200ML X 48 BTL</t>
  </si>
  <si>
    <t>GRDN GLOW BODY LTN RYL JASMINE 200ML X 48 BTL</t>
  </si>
  <si>
    <t>GRDN GLOW BODY LTN RYL JASMINE 9ML X 48 SCH</t>
  </si>
  <si>
    <t>GRDN GLOW BODY LTN TAIFI ROSE 200ML X 48 BTL</t>
  </si>
  <si>
    <t>GRDN GLOW BODY LTN TAIFI ROSE 9ML X 48 SCH</t>
  </si>
  <si>
    <t>PINK SKIN BCL SHINING STAR 360ML X 24 TUBE 30%</t>
  </si>
  <si>
    <t>PINK SKIN PARFUME LTN FIRST LOVE 180ML X 48 TUBE</t>
  </si>
  <si>
    <t>PINK SKIN PARFUME LTN FIRST LOVE 70ML X 48 TUBE</t>
  </si>
  <si>
    <t>PINK SKIN PARFUME LTN FORGET ME NT 180ML X 48 TUBE</t>
  </si>
  <si>
    <t>PINK SKIN PARFUME LTN FORGET ME NT 70ML X 48 TUBE</t>
  </si>
  <si>
    <t>PINK SKIN PARFUME LTN SHINING STAR 180ML X 48 TUBE</t>
  </si>
  <si>
    <t>PINK SKIN PARFUME LTN SHINING STAR 70ML X 48 TUBE</t>
  </si>
  <si>
    <t>PINK SKIN PARFUME LTN SWEET ROSE 180ML X 48 TUBE</t>
  </si>
  <si>
    <t>PINK SKIN PARFUME LTN SWEET ROSE 70ML X 48 TUBE</t>
  </si>
  <si>
    <t>SHINZUI BODY CLEANSER REFILL HANA 380ML X 24 PCH</t>
  </si>
  <si>
    <t>SHINZUI BODY CLEANSER REFILL KENSHO 380ML X 24 PCH</t>
  </si>
  <si>
    <t>SHINZUI BODY CLEANSER REFILL KIREI 380ML X 24 PCH</t>
  </si>
  <si>
    <t>SHINZUI BODY CLEANSER REFILL KIREI 725ML X 12 PCH</t>
  </si>
  <si>
    <t>SHINZUI BODY CLEANSER REFILL KIREI 85ML X 48 PCH</t>
  </si>
  <si>
    <t>SHINZUI BODY CLEANSER REFILL MATSU 380ML X 24 PCH</t>
  </si>
  <si>
    <t>SHINZUI BODY CLEANSER REFILL MATSU 725ML X 12 PCH</t>
  </si>
  <si>
    <t>SHINZUI BODY CLEANSER REFILL MATSU 85ML X 48 PCH</t>
  </si>
  <si>
    <t>SHINZUI BODY CLEANSER REFILL MYORI 380ML X 24 PCH</t>
  </si>
  <si>
    <t>SHINZUI BODY CLEANSER REFILL SAKURA 380ML X 24 PCH</t>
  </si>
  <si>
    <t>SHINZUI BODY CLEANSER REFILL SAKURA 725ML X 12 PCH</t>
  </si>
  <si>
    <t>SHINZUI BODY LATION HANA 100ML X 48 BTL</t>
  </si>
  <si>
    <t>SHINZUI BODY LATION HANA 210ML X 48 BTL</t>
  </si>
  <si>
    <t>SHINZUI BODY LATION KIREI 100ML X 48 BTL</t>
  </si>
  <si>
    <t>SHINZUI BODY LATION KIREI 210ML X 48 BTL</t>
  </si>
  <si>
    <t>SHINZUI BODY LATION MATSU 100ML X 48 BTL</t>
  </si>
  <si>
    <t>SHINZUI BODY LATION MATSU 210ML X 48 BTL</t>
  </si>
  <si>
    <t>SHINZUI BODY LATION SAKURA 100ML X 48 BTL</t>
  </si>
  <si>
    <t>SHINZUI BODY LATION SAKURA 210ML X 48 BTL</t>
  </si>
  <si>
    <t>SHINZUI BODY SCRUB HANA 110G X 96 JAR</t>
  </si>
  <si>
    <t>SHINZUI BODY SCRUB HANA 200G X 48 JAR</t>
  </si>
  <si>
    <t>SHINZUI BODY SCRUB KENSHO 110G X 96 JAR</t>
  </si>
  <si>
    <t>SHINZUI BODY SCRUB KENSHO 200G X 48 JAR</t>
  </si>
  <si>
    <t>SHINZUI BODY SCRUB KIREI 110G X 96 JAR</t>
  </si>
  <si>
    <t>SHINZUI BODY SCRUB KIREI 200G X 48 JAR</t>
  </si>
  <si>
    <t>SHINZUI BODY SCRUB MATSU 110G X 96 JAR</t>
  </si>
  <si>
    <t>SHINZUI BODY SCRUB MATSU 200G X 48 JAR</t>
  </si>
  <si>
    <t>SHINZUI BODY SCRUB MYORI 110G X 96 JAR</t>
  </si>
  <si>
    <t>SHINZUI BODY SCRUB MYORI 200G X 48 JAR</t>
  </si>
  <si>
    <t>SHINZUI BODY SCRUB SAKURA 110G X 96 JAR</t>
  </si>
  <si>
    <t>SHINZUI BODY SCRUB SAKURA 200G X 48 JAR</t>
  </si>
  <si>
    <t>SHINZUI EXFOLIATING GEL CICA 130ML X 48 TUBE</t>
  </si>
  <si>
    <t>SHINZUI EXFOLIATING GEL HONEY 130ML X 48 TUBE</t>
  </si>
  <si>
    <t>SHINZUI EXFOLIATING GEL ICHIGO 130ML X 48 TUBE</t>
  </si>
  <si>
    <t>SHINZUI FACIAL WSH SNOW MSHRM 80ML X 48 TUBE +20ML</t>
  </si>
  <si>
    <t>SHINZUI FACIAL WSH CICA 80ML X 48 TUBE +20ML</t>
  </si>
  <si>
    <t>SHINZUI FACIAL WSH SNOW MSHRM 20ML X 12 TUBE</t>
  </si>
  <si>
    <t>SHINZUI SABUN HANA 80G X 144 PCS</t>
  </si>
  <si>
    <t>SHINZUI SABUN KENSHO 80G X 144 PCS</t>
  </si>
  <si>
    <t>SHINZUI SABUN KIREI 80G X 144 PCS</t>
  </si>
  <si>
    <t>SHINZUI SABUN MATSU 80G X 144 PCS</t>
  </si>
  <si>
    <t>SHINZUI SABUN MYORI 80G X 144 PCS</t>
  </si>
  <si>
    <t>SHINZUI SABUN SAKURA 80G X 144 PCS</t>
  </si>
  <si>
    <t>SHINZUI SABUN CAIR REFILL KENSHO 180ML X 48 PCH</t>
  </si>
  <si>
    <t>SHINZUI SABUN CAIR REFILL KIREI 180ML X 48 PCH</t>
  </si>
  <si>
    <t>SHINZUI SABUN CAIR REFILL MYORI 180ML X 48 PCH</t>
  </si>
  <si>
    <t>SHINZUI SABUN CAIR REFILL SAKURA 180ML X 48 PCH</t>
  </si>
  <si>
    <t>SHINZUI SABUN CAIR HANA 180ML X 48 PCH</t>
  </si>
  <si>
    <t>SHINZUI SABUN CAIR HANA 480ML X 24 PUMP</t>
  </si>
  <si>
    <t>SHINZUI SABUN CAIR KENSHO 480ML X 24 PUMP</t>
  </si>
  <si>
    <t>SHINZUI SABUN CAIR KIREI 225ML X 48 BTL</t>
  </si>
  <si>
    <t>SHINZUI SABUN CAIR KIREI 480ML X 24 BTL</t>
  </si>
  <si>
    <t>SHINZUI SABUN CAIR MATSU 225ML X 48 BTL</t>
  </si>
  <si>
    <t>SHINZUI SABUN CAIR MATSU 480ML X 24 BTL</t>
  </si>
  <si>
    <t>SHINZUI SABUN CAIR MYORI 480ML X 24 PUMP</t>
  </si>
  <si>
    <t>SHINZUI SERUM BRIGHTENING 20ML X 48 TUBE</t>
  </si>
  <si>
    <t>SHINZUI SERUM MOISTURIZER 30G X 48 JAR</t>
  </si>
  <si>
    <t>SHINZUI SUNSCREEN SPF 35 30ML X 48 TUBE</t>
  </si>
  <si>
    <t>ZEN BCL REF SHISO &amp; ECHINACEA 400ML X 24 PCH</t>
  </si>
  <si>
    <t>ZEN BCL REF SHISO &amp; JUNIPER BERRIES 400ML X 24 PCH</t>
  </si>
  <si>
    <t>ZEN BCL REF SHISO &amp; SANDALWOOD 85ML X 48 PCH</t>
  </si>
  <si>
    <t>ZEN BCL REF SHISO &amp; SEA SALT 85ML X 48 PCH</t>
  </si>
  <si>
    <t>ZEN BCL REF SHISO &amp; TEA TREE 400ML X 24 PCH</t>
  </si>
  <si>
    <t>ZEN BCL REF SHISO &amp; TEA TREE 85ML X 48 PCH</t>
  </si>
  <si>
    <t>ZEN BCL SHISO &amp; ECHINACEA 480ML X 24 PUMP</t>
  </si>
  <si>
    <t>ZEN BCL SHISO &amp; JUNIPER BERRIES 480ML X 24 PUMP</t>
  </si>
  <si>
    <t>ZEN BCL SHISO &amp; TEA TREE 480ML X 24 PUMP</t>
  </si>
  <si>
    <t>ZEN BODY WSH REF SHISO &amp; SANDALWOOD 400ML X 24 PCH</t>
  </si>
  <si>
    <t>ZEN BODY WSH REF SHISO &amp; SEA SALT 400ML X 24 PCH</t>
  </si>
  <si>
    <t>ZEN BODY WSH REF SHISO &amp; SULPHUR 400ML X 24 PCH</t>
  </si>
  <si>
    <t>ZEN BODY WSH SHISO &amp; SANDALWOOD 480ML X 24 PUMP</t>
  </si>
  <si>
    <t>ZEN BODY WSH SHISO &amp; SEA SALT 480ML X 24 PUMP</t>
  </si>
  <si>
    <t>ZEN BODY WSH SHISO &amp; SULPHUR 480ML X 24 PUMP</t>
  </si>
  <si>
    <t>ZEN SABUN LUNCH MIX 80G X 6 BOX</t>
  </si>
  <si>
    <t>ZEN SABUN SHINSO &amp; SULPHUR 60G X 72 PCS</t>
  </si>
  <si>
    <t>ZEN SABUN SHISO &amp; ECHINACEA 70G X 24 PACK</t>
  </si>
  <si>
    <t>ZEN SABUN SHISO &amp; JUNIPER BERRIES 70G X 24 PACK</t>
  </si>
  <si>
    <t>ZEN SABUN SHISO &amp; SANDALWOOD 70G X 24 PACK</t>
  </si>
  <si>
    <t>ZEN SABUN SHISO &amp; SEA SALT 70G X 24 PACK</t>
  </si>
  <si>
    <t>ZEN SABUN SHISO &amp; SULPHUR 70G X 24 PACK</t>
  </si>
  <si>
    <t>ZEN SABUN SHISO &amp; TEA TREE 70G X 24 PACK</t>
  </si>
  <si>
    <t>F4011</t>
  </si>
  <si>
    <t>DERMYTHOL BCL</t>
  </si>
  <si>
    <t>F4012</t>
  </si>
  <si>
    <t>DERMYTHOL SABUN</t>
  </si>
  <si>
    <t>F4013</t>
  </si>
  <si>
    <t>DREAM SABUN</t>
  </si>
  <si>
    <t>F4021</t>
  </si>
  <si>
    <t>GRDN OF NA EEM BCL</t>
  </si>
  <si>
    <t>F4031</t>
  </si>
  <si>
    <t>GRDN OF NA EEM SABUN</t>
  </si>
  <si>
    <t>F4032</t>
  </si>
  <si>
    <t>GRDN GLOW BODY LTN</t>
  </si>
  <si>
    <t>F4041</t>
  </si>
  <si>
    <t>PINK SKIN BCL</t>
  </si>
  <si>
    <t>F4051</t>
  </si>
  <si>
    <t>PINK SKIN PARFUME LTN</t>
  </si>
  <si>
    <t>F4052</t>
  </si>
  <si>
    <t>SHINZUI BODY CLEANSER</t>
  </si>
  <si>
    <t>F4061</t>
  </si>
  <si>
    <t>SHINZUI BODY LATION</t>
  </si>
  <si>
    <t>F4062</t>
  </si>
  <si>
    <t>SHINZUI BODY SCRUB</t>
  </si>
  <si>
    <t>F4063</t>
  </si>
  <si>
    <t>SHINZUI EXFOLIATING</t>
  </si>
  <si>
    <t>F4064</t>
  </si>
  <si>
    <t>SHINZUI FACIAL WSH</t>
  </si>
  <si>
    <t>F4065</t>
  </si>
  <si>
    <t>SHINZUI SABUN</t>
  </si>
  <si>
    <t>F4066</t>
  </si>
  <si>
    <t>SHINZUI SABUN CAIR</t>
  </si>
  <si>
    <t>F4067</t>
  </si>
  <si>
    <t>SHINZUI SERUM</t>
  </si>
  <si>
    <t>F4068</t>
  </si>
  <si>
    <t>SHINZUI SUNSCREEN</t>
  </si>
  <si>
    <t>F4069</t>
  </si>
  <si>
    <t>ZEN BCL</t>
  </si>
  <si>
    <t>F4071</t>
  </si>
  <si>
    <t>ZEN BODY WSH</t>
  </si>
  <si>
    <t>F4072</t>
  </si>
  <si>
    <t>ZEN SABUN</t>
  </si>
  <si>
    <t>F4073</t>
  </si>
  <si>
    <t>S-FRN</t>
  </si>
  <si>
    <t>F4067011048020</t>
  </si>
  <si>
    <t>SHINZUI SABUN CAIR REG/MATSU 180ML X 48 PCH</t>
  </si>
  <si>
    <t>SHINZUI SABUN CAIR SAKURA 480ML X 24 PUMP</t>
  </si>
  <si>
    <t>052506000</t>
  </si>
  <si>
    <t>ZEN BCL Shiso &amp; Juniper Berries Ref 48x85Ml</t>
  </si>
  <si>
    <t>Zen Bar Soap Shiso &amp; Tea Tree 18x4x60Gr (P4) Geger</t>
  </si>
  <si>
    <t xml:space="preserve">ZEN </t>
  </si>
  <si>
    <t>Zen Body Soap Mix 6x12x70Gr Upsize (6 Lunchbox)</t>
  </si>
  <si>
    <t>Zen Bcl Tea Tree Ref 24x400Ml (1PKT DW L Basil SCH 15Ml</t>
  </si>
  <si>
    <t>ZEN BCL ShISO &amp; Sandalwood Ref 24x400Ml (1PIC) &amp; ZEN BCL Shiso &amp; JB sachet 15Ml (1PIC)</t>
  </si>
  <si>
    <t>ZEN BCL Shiso &amp; Sea Salt Ref 24x400Ml (1PIC) &amp; ZEN Shiso &amp; JB 15Ml (1PIC)</t>
  </si>
  <si>
    <t>ZEN BCL Shiso &amp; Sulphur Ref 24x400Ml (1PCS) &amp; ZEN Shiso &amp; JB 15Ml (1PCS)</t>
  </si>
  <si>
    <t>SHZ BCL MATSU REF 400MLX3X12 (2PKT1 ZEN BCL TEATREE 400ML)</t>
  </si>
  <si>
    <t>SHZ BCL SAKURA REF 24X400ML (1PCH) &amp; SHZ Exfo Ichigo SCH 9ML (1PCS) 1 PKTX24</t>
  </si>
  <si>
    <t>Sabun Zen Shiso &amp; Tea Tree 18x4x70Gr (P4)</t>
  </si>
  <si>
    <t>042502500</t>
  </si>
  <si>
    <t>042502501</t>
  </si>
  <si>
    <t>042502503</t>
  </si>
  <si>
    <t>051701495</t>
  </si>
  <si>
    <t>051705401</t>
  </si>
  <si>
    <t>052506402</t>
  </si>
  <si>
    <t>052506602</t>
  </si>
  <si>
    <t>052506702</t>
  </si>
  <si>
    <t>052502402</t>
  </si>
  <si>
    <t>042501702</t>
  </si>
  <si>
    <t>070702391</t>
  </si>
  <si>
    <t>051701012</t>
  </si>
  <si>
    <t>Sabun Zen Shiso &amp; SANDALWOOD 82X80Gr</t>
  </si>
  <si>
    <t>SHZ FWS SNOW MUSHROOM 80ML UPSIZE 20ML &amp; SHZ FWS SNOW MUSHROOM 20ML 1 PKTX48</t>
  </si>
  <si>
    <t>PINK SKIN EDP FORGET ME NOT 48X30ML</t>
  </si>
  <si>
    <t>PINK SKIN EDP FIRST LOVE 48X30ML</t>
  </si>
  <si>
    <t>PINK SKIN EDP SWEET ROSE 48X30ML</t>
  </si>
  <si>
    <t>PINK SKIN EDP SHINING STAR 48X330ML</t>
  </si>
  <si>
    <t>051701400</t>
  </si>
  <si>
    <t>051702400</t>
  </si>
  <si>
    <t>051703400</t>
  </si>
  <si>
    <t>051704400</t>
  </si>
  <si>
    <t>051705400</t>
  </si>
  <si>
    <t>051706400</t>
  </si>
  <si>
    <t>BCL Shinzui Matsu Ref 24x420ml</t>
  </si>
  <si>
    <t>BCL Shinzui Hana Ref 24x420ml @24</t>
  </si>
  <si>
    <t>BCL Shinzui Kirei Ref 24x420ml</t>
  </si>
  <si>
    <t>BCL Shinzui Myori Ref 24x420ml @24</t>
  </si>
  <si>
    <t>BCL Shinzui Sakura Ref 24x420ml @24</t>
  </si>
  <si>
    <t>BCL Shinzui Kensho Ref 24x420ml</t>
  </si>
  <si>
    <t>420ML</t>
  </si>
  <si>
    <t>042501102</t>
  </si>
  <si>
    <t>042501008</t>
  </si>
  <si>
    <t>042503004</t>
  </si>
  <si>
    <t>042502008</t>
  </si>
  <si>
    <t>042505005</t>
  </si>
  <si>
    <t>042506008</t>
  </si>
  <si>
    <t>061704003</t>
  </si>
  <si>
    <t>061703004</t>
  </si>
  <si>
    <t>061705004</t>
  </si>
  <si>
    <t>SHZ B. Scrub MY 200Gr New &amp; SHZ FWS Snow Mushroom 20Ml 1Pkt1 x48</t>
  </si>
  <si>
    <t>SHZ B. Scrub K 200Gr NEW &amp; SHZ FWS Snow Mushroom 200Ml 1Pkt1 x48</t>
  </si>
  <si>
    <t>SHZ Bright Sunscreen SPF 35 PA 30Ml &amp; SHZ FWS Snow Mushroom 20Ml 1Pkt1 x48</t>
  </si>
  <si>
    <t>041701000</t>
  </si>
  <si>
    <t>SHZ BAR MATSU 24X3X60GR PW</t>
  </si>
  <si>
    <t>041703000</t>
  </si>
  <si>
    <t xml:space="preserve">SHZ BAR KIREI 24X3X60GR PW </t>
  </si>
  <si>
    <t>061701003</t>
  </si>
  <si>
    <t>SHZ B. SCRUB MT 200GR NEW &amp; SHZ FWS SNOW MUSHROOM 20ML 1PKT1 X48</t>
  </si>
  <si>
    <t>(blank)</t>
  </si>
  <si>
    <t>F4053004003020</t>
  </si>
  <si>
    <t>F4053001003020</t>
  </si>
  <si>
    <t>F4053002003020</t>
  </si>
  <si>
    <t>F4053003003020</t>
  </si>
  <si>
    <t>F4061104040011</t>
  </si>
  <si>
    <t>F4061204042010</t>
  </si>
  <si>
    <t>F4061301042010</t>
  </si>
  <si>
    <t>F4061403042010</t>
  </si>
  <si>
    <t>F4061510042010</t>
  </si>
  <si>
    <t>F4061611042010</t>
  </si>
  <si>
    <t>F4061702042010</t>
  </si>
  <si>
    <t>F4061111040011</t>
  </si>
  <si>
    <t>F40630050200111</t>
  </si>
  <si>
    <t>F40630030200111</t>
  </si>
  <si>
    <t>F40630060200111</t>
  </si>
  <si>
    <t>F40630040200111</t>
  </si>
  <si>
    <t>F40690010030121</t>
  </si>
  <si>
    <t>F4065001008012</t>
  </si>
  <si>
    <t>F4066004006010</t>
  </si>
  <si>
    <t>F4066003006010</t>
  </si>
  <si>
    <t>F4067005022530</t>
  </si>
  <si>
    <t>F4067006022530</t>
  </si>
  <si>
    <t>F4067009022530</t>
  </si>
  <si>
    <t>F4067011022530</t>
  </si>
  <si>
    <t>F4071103040011</t>
  </si>
  <si>
    <t>F4071104040011</t>
  </si>
  <si>
    <t>F40711020085101</t>
  </si>
  <si>
    <t>F4071105040011</t>
  </si>
  <si>
    <t>F4071106040011</t>
  </si>
  <si>
    <t>F4073005008010</t>
  </si>
  <si>
    <t>F4073208007020</t>
  </si>
  <si>
    <t>F4073208006020</t>
  </si>
  <si>
    <t>F4073101007010</t>
  </si>
  <si>
    <t>F4073101007010N</t>
  </si>
  <si>
    <t>SHINZUI BODY CLEANSER REF MATSU 400ML X 12 PCH BND</t>
  </si>
  <si>
    <t>SHINZUI BODY CLEANSER REF SAKURA 400ML X 24 PCH BND</t>
  </si>
  <si>
    <t>SHINZUI BODY SCRUB MYORI 200G X 48 JAR BANDED</t>
  </si>
  <si>
    <t>SHINZUI BODY SCRUB KIREI 200G X 48 JAR BANDED</t>
  </si>
  <si>
    <t>SHINZUI BODY SCRUB SAKURA 200G X 48 JAR BANDED</t>
  </si>
  <si>
    <t>SHINZUI SUNSCREEN SPF 35 30ML X 48 TUBE BANDED</t>
  </si>
  <si>
    <t>SHINZUI SABUN CAIR HANA 225ML X 48 BTL</t>
  </si>
  <si>
    <t>SHINZUI SABUN CAIR KENSHO 225ML X 48 BTL</t>
  </si>
  <si>
    <t>SHINZUI SABUN CAIR MYORI 225ML X 48 BTL</t>
  </si>
  <si>
    <t>SHINZUI SABUN CAIR SAKURA 225ML X 48 BTL</t>
  </si>
  <si>
    <t>ZEN BCL REF SHISO &amp; SANDALWOOD 400ML X 24 PCH BND</t>
  </si>
  <si>
    <t>ZEN BCL REF SHISO &amp; SEA SALT 400ML X 24 PCH BND</t>
  </si>
  <si>
    <t>ZEN BCL REF SHISO &amp; JUNIPER BERRIES 85ML X 48 PCH</t>
  </si>
  <si>
    <t>ZEN BCL REF SHISO &amp; TEA TREE 400ML X 24 PCH BND</t>
  </si>
  <si>
    <t>ZEN BCL REF SHISO &amp; SULPHUR 400ML X 24 PCH BND</t>
  </si>
  <si>
    <t>ZEN SABUN 4P SHISO &amp; TEA TREE 70G X 18 PACK</t>
  </si>
  <si>
    <t>ZEN SABUN 4P SHISO &amp; TEA TREE 60G X 18 PACK</t>
  </si>
  <si>
    <t>ZEN SABUN LUNCH MIX 70G X 6 BOX</t>
  </si>
  <si>
    <t>PINK SKIN EDP SWEET ROSE 30ML X 48 BTL</t>
  </si>
  <si>
    <t>PINK SKIN EDP FIRST LOVE 30ML X 48 BTL</t>
  </si>
  <si>
    <t>PINK SKIN EDP FORGET ME NOT 30ML X 48 BTL</t>
  </si>
  <si>
    <t>PINK SKIN EDP SHINING STAR 30ML X 48 BTL</t>
  </si>
  <si>
    <t>SHINZUI BODY CLEANSER REFILL MATSU 420ML X 24 PCH</t>
  </si>
  <si>
    <t>SHINZUI BODY CLEANSER REFILL HANA 420ML X 24 PCH</t>
  </si>
  <si>
    <t>SHINZUI BODY CLEANSER REFILL KIREI 420ML X 24 PCH</t>
  </si>
  <si>
    <t>SHINZUI BODY CLEANSER REFILL MYORI 420ML X 24 PCH</t>
  </si>
  <si>
    <t>SHINZUI BODY CLEANSER REFILL SAKURA 420ML X 24 PCH</t>
  </si>
  <si>
    <t>SHINZUI BODY CLEANSER REFILL KENSHO 420ML X 24 PCH</t>
  </si>
  <si>
    <t>SHINZUI BODY SCRUB MATSU 200G X 48 JAR BANDED</t>
  </si>
  <si>
    <t>SHINZUI FACIAL WSH SNOW MSHRM 80ML X 48 TUBE BND</t>
  </si>
  <si>
    <t>SHINZUI SABUN MATSU 60G X 72 PCS</t>
  </si>
  <si>
    <t>SHINZUI SABUN KIREI 60G X 72 PCS</t>
  </si>
  <si>
    <t>ZEN SABUN SHISO &amp; SANDALWOOD 80G X 72 PCS</t>
  </si>
  <si>
    <t>ZEN SABUN LUNCH MIX 70G X 12 BOX</t>
  </si>
  <si>
    <t>Lama</t>
  </si>
  <si>
    <t>PINK SKIN EDP</t>
  </si>
  <si>
    <t>F4053</t>
  </si>
  <si>
    <t>042504004</t>
  </si>
  <si>
    <t>SHZ F. WASH SNOW MUSHROOM 120X20ML</t>
  </si>
  <si>
    <t>800ML</t>
  </si>
  <si>
    <t>ZEN Body Cleanser Shiso&amp; Sandalwood Ref 12X800Ml</t>
  </si>
  <si>
    <t>052501800</t>
  </si>
  <si>
    <t>051705000</t>
  </si>
  <si>
    <t>SHZ BCL S REF 6X1500ML</t>
  </si>
  <si>
    <t>1500ML</t>
  </si>
  <si>
    <t>SHZ BRIGHTENING ESCENCE TONER 48X50ML</t>
  </si>
  <si>
    <t>50ML</t>
  </si>
  <si>
    <t>PCSX10</t>
  </si>
  <si>
    <t>48 RCG</t>
  </si>
  <si>
    <t>GARDENIA GLOW BODY LTN</t>
  </si>
  <si>
    <t>Column1</t>
  </si>
  <si>
    <t>F4031101040020</t>
  </si>
  <si>
    <t>F4041002000930</t>
  </si>
  <si>
    <t>F4041003000930</t>
  </si>
  <si>
    <t>F4061111150010</t>
  </si>
  <si>
    <t>F4061001005010</t>
  </si>
  <si>
    <t>F4065001002020</t>
  </si>
  <si>
    <t>F4066004006020</t>
  </si>
  <si>
    <t>F4066003006020</t>
  </si>
  <si>
    <t>F4071103080010</t>
  </si>
  <si>
    <t>GRDN OF NA EEM BCL REF MDNGHT GRDN 400ML X 24 PCH</t>
  </si>
  <si>
    <t>GARDENIA GLOW BODY LTN RYL JASMINE 9ML X 48 RCG PCSX10</t>
  </si>
  <si>
    <t>GRDN GLOW BODY LTN TAIFI ROSE 9ML X 48 RCG PCSX10</t>
  </si>
  <si>
    <t>SHINZUI BODY CLEANSER REF SAKURA 1500ML X 6 PCH</t>
  </si>
  <si>
    <t>SHINZUI TONER BRIGHTENING ESCENCE 50ML X 48 BTL</t>
  </si>
  <si>
    <t>SHINZUI FACIAL WSH SNOW MSHRM 20ML X 120 PCS</t>
  </si>
  <si>
    <t>SHINZUI SABUN MATSU 60G X 24 PACK</t>
  </si>
  <si>
    <t>SHINZUI SABUN KIREI 60G X 24 PACK</t>
  </si>
  <si>
    <t>ZEN BCL REF SHISO &amp; SANDALWOOD 800ML X 12 PCH</t>
  </si>
  <si>
    <t>SHINZUI TONER</t>
  </si>
  <si>
    <t>Column2</t>
  </si>
  <si>
    <t>700ML</t>
  </si>
  <si>
    <t>01</t>
  </si>
  <si>
    <t>0</t>
  </si>
  <si>
    <t>00</t>
  </si>
  <si>
    <t>0100</t>
  </si>
  <si>
    <t>AUTOSOL Metal Polish  15 gr</t>
  </si>
  <si>
    <t>AUTOSOL Metal Polish 50 gr</t>
  </si>
  <si>
    <t>BIOSOL SACHET 20 ML+5 ML</t>
  </si>
  <si>
    <t>BIOSOL SACHET 20 ML+5 ML PROMO 12+1</t>
  </si>
  <si>
    <t>BIOSOL POUCH 400 ML</t>
  </si>
  <si>
    <t>BIOSOL POUCH 400 ML BUY 1 GET 1</t>
  </si>
  <si>
    <t>BIOSOL POUCH REGULAR 700ML</t>
  </si>
  <si>
    <t>BIOSOL POUCH 700 ML BUY 1 GET 1</t>
  </si>
  <si>
    <t>LEM Lalat Kertas CapGajah 3s</t>
  </si>
  <si>
    <t>LEM Lalat CapGajah Stick 12s New</t>
  </si>
  <si>
    <t>LEM TUBE CAP GAJAH 50ML.</t>
  </si>
  <si>
    <t>LEM Tube CapGajah 100ml</t>
  </si>
  <si>
    <t>LEM TIKUS TRAP CAP GAJAH</t>
  </si>
  <si>
    <t>Carrera Dashb.Cleaner Btl.175m</t>
  </si>
  <si>
    <t>Carrera Pengkilap Ban 200 ml</t>
  </si>
  <si>
    <t>Carrera Wash&amp; Wax Refill 400ml</t>
  </si>
  <si>
    <t>Carrera Motor Chain Lube 110 ml</t>
  </si>
  <si>
    <t>CARRERA P`KILAP BAN FOAM  400ML</t>
  </si>
  <si>
    <t>Carrera PolesMtr SG PUMP 100ml</t>
  </si>
  <si>
    <t>Carrera Shampoo Mobil 400 ml</t>
  </si>
  <si>
    <t>Carrera Shampoo Mobil 800 ml</t>
  </si>
  <si>
    <t>Carrera SHAMPOOMotor 24`S 20ml</t>
  </si>
  <si>
    <t>CARRERA SPON SABUT MOBIL</t>
  </si>
  <si>
    <t>CARRERA SPON MOTOR</t>
  </si>
  <si>
    <t>Carrera Spon Serba Guna</t>
  </si>
  <si>
    <t>Carrera XP-1000 Pelumas 200ml</t>
  </si>
  <si>
    <t>FOGO LEMARI PAPER PRINCESS 12G</t>
  </si>
  <si>
    <t>Fogo Lemari Floral 30 gr</t>
  </si>
  <si>
    <t>Fogo Lemari Fresh 30 gr</t>
  </si>
  <si>
    <t>HIT AEROSOL LILY BLOSSOM 150ML 13.000.</t>
  </si>
  <si>
    <t>HIT AEROSOL LILY BLOSSOM 150+25ML EXTRA</t>
  </si>
  <si>
    <t>HIT AER LILY BLOSSOM 180ml DF</t>
  </si>
  <si>
    <t>HIT AEROSOL LILY BLOSSOM 180+30ML EXTRA</t>
  </si>
  <si>
    <t>HIT AER LILY BLOSSOM 400ML</t>
  </si>
  <si>
    <t>HIT AER LILY BLOSSOM 600ML</t>
  </si>
  <si>
    <t>HIT AER LILY BLOSSOM 600+50ML EXTRA</t>
  </si>
  <si>
    <t>HIT AEROSOL ORANGE 150ML 13.000.</t>
  </si>
  <si>
    <t>HIT AEROSOL ORANGE 150+25ML EXTRA</t>
  </si>
  <si>
    <t>HIT AER ORANGE 180ml DF</t>
  </si>
  <si>
    <t>HIT AER ORANGE 180+30ML EXTRA</t>
  </si>
  <si>
    <t>HIT AER ORANGE 400ML</t>
  </si>
  <si>
    <t>HIT AER ORANGE 400+40ML EXTRA</t>
  </si>
  <si>
    <t>HIT AER ORANGE 600ML</t>
  </si>
  <si>
    <t>HIT AER ORANGE 600+50ML EXTRA</t>
  </si>
  <si>
    <t>HIT AER ORANGE 750ML.</t>
  </si>
  <si>
    <t>HIT AER COTTON POWDER 400ML.</t>
  </si>
  <si>
    <t>HIT AER COTTON POWDER 400+40ML EXTRA</t>
  </si>
  <si>
    <t>HIT AER COTTON POWDER 600ML.</t>
  </si>
  <si>
    <t>HIT AER COTTON POWDER 600+50ML EXTRA</t>
  </si>
  <si>
    <t>HIT AEROSOL COTTON POWDER 750ML</t>
  </si>
  <si>
    <t>HIT AER FRESH CITRUS 600ML</t>
  </si>
  <si>
    <t>HIT AER FRESH CITRUS 600+50ML EXTRA</t>
  </si>
  <si>
    <t>HIT AEROSOL PINK BLOSSOM 150ML NP</t>
  </si>
  <si>
    <t>HIT AEROSOL PINK BLOSSOM 150ML 13.000.</t>
  </si>
  <si>
    <t>HIT AEROSOL PINK BLOSSOM 150+25ML EXTRA</t>
  </si>
  <si>
    <t>HIT AER PINK BLOSSOM 200ML</t>
  </si>
  <si>
    <t>HIT AER PINK BLOSSOM 180ml DF</t>
  </si>
  <si>
    <t>HIT AER PINK BLOSSOM 180+30ML EXTRA</t>
  </si>
  <si>
    <t>HIT AER PINK BLOSSOM 400ML</t>
  </si>
  <si>
    <t>HIT AER PINK BLOSSOM 400+40ML EXTRA</t>
  </si>
  <si>
    <t>HIT AER JAPANESE SAKURA 180ml DF</t>
  </si>
  <si>
    <t>HIT AER JAPANESE SAKURA 180+30ML EXTRA</t>
  </si>
  <si>
    <t>HIT AER JAPANESE SAKURA 400ML</t>
  </si>
  <si>
    <t>HIT AER JAPANESE SAKURA 400ML SN   </t>
  </si>
  <si>
    <t>HIT AER JAPANESE SAKURA 400+40ML EXTRA</t>
  </si>
  <si>
    <t>HIT AER JAPANESE SAKURA 600ML</t>
  </si>
  <si>
    <t>HIT AER JAPANESE SAKURA 600ML SN</t>
  </si>
  <si>
    <t>HIT AER JAPANESE SAKURA 600+50ML EXTRA</t>
  </si>
  <si>
    <t>HIT AER LAVENDER BREEZE 400ML</t>
  </si>
  <si>
    <t>HIT AER LAVENDER BREZEE 400+40ML EXTRA</t>
  </si>
  <si>
    <t>HIT AER LAVENDER BREEZE 600ML</t>
  </si>
  <si>
    <t>HIT AER LAVENDER BREZEE 600+50ML EXTRA</t>
  </si>
  <si>
    <t>HIT AER LILY BLOSSOM 750ML.</t>
  </si>
  <si>
    <t>HIT AEROSOL LAVENDER BREEZE 750ML.</t>
  </si>
  <si>
    <t>HIT AER FRESH CITRUS 400ML</t>
  </si>
  <si>
    <t>HIT AER FRESH CITRUS 400+40ML EXTRA</t>
  </si>
  <si>
    <t>HIT AER PINK BLOSSOM 600ML</t>
  </si>
  <si>
    <t>HIT AER PINK BLOSSOM 600+50ML EXTRA</t>
  </si>
  <si>
    <t>HIT ANTI KECOA GEL 20 GR</t>
  </si>
  <si>
    <t>HIT ANTI KECOA GEL 20 GR FB</t>
  </si>
  <si>
    <t>HIT ANTI KECOA AEROSOL 150ML NF.</t>
  </si>
  <si>
    <t>HIT Electric Ekonomis +Lampu</t>
  </si>
  <si>
    <t>HIT MAT GK DEVICE WITH CABLE 6S.</t>
  </si>
  <si>
    <t>HIT MAT GK NEW DEVICE CABLE 6s CLASSIC</t>
  </si>
  <si>
    <t>HIT LIQUID LILY BLOSSOM 175ML ND</t>
  </si>
  <si>
    <t>HIT LIQ POUCH CLS LILY B 360ML</t>
  </si>
  <si>
    <t>HIT Liq Pouch GTea Extra 360ml</t>
  </si>
  <si>
    <t>HIT Liq Pouch GTea 700ml</t>
  </si>
  <si>
    <t>HIT LIQUID LB 700ML BND HIT LB 175ML ND</t>
  </si>
  <si>
    <t>HIT Spray Liq PouchOrange 360m</t>
  </si>
  <si>
    <t>HIT LIQUID ORANGE 700ML ND</t>
  </si>
  <si>
    <t>HIT MAGIC FLORAL 4+2S.</t>
  </si>
  <si>
    <t>HIT MAGIC FRESH 4+2S.</t>
  </si>
  <si>
    <t>HIT MAGIC FRESH 10S.</t>
  </si>
  <si>
    <t>HIT MAGIC LILY BLOSSOM 10`S 0.15FU TH</t>
  </si>
  <si>
    <t>HIT PIRAMIDA CLASSY LILY 10S</t>
  </si>
  <si>
    <t>HIT PIRAMIDA FLORAL BLOSSOM 10S</t>
  </si>
  <si>
    <t>HIT M EXPERT 10JAM C.LILY 4S 0.13FU</t>
  </si>
  <si>
    <t>HIT PIRAMIDA CLASSY LILY 4S</t>
  </si>
  <si>
    <t>HIT M EXPERT 10JAM F.BLOSSOM 4S 0.13FU</t>
  </si>
  <si>
    <t>HIT PIRAMIDA FLORAL BLOSSOM 4S</t>
  </si>
  <si>
    <t>HIT Mat  4`s Hanger (864`s)</t>
  </si>
  <si>
    <t>HIT MAT CLASSIC 4S PROMO 12+1</t>
  </si>
  <si>
    <t>HIT MAT GK REFILL 30S (18+12S) CLASSIC.</t>
  </si>
  <si>
    <t>HIT MAT GK REFILL 60S (48+12S) CLASSIC</t>
  </si>
  <si>
    <t>HIT MAT GREEN TEA 4S HGR</t>
  </si>
  <si>
    <t>HIT MAT GK REFILL 15S.</t>
  </si>
  <si>
    <t>HIT MAT GK REFILL 30S (18+12S) GREEN TEA</t>
  </si>
  <si>
    <t>HIT MAT GK REFILL 60S (48+12S) GREEN TE</t>
  </si>
  <si>
    <t>HIT MATGK REFILL 60(48+12s) Pink Blossom</t>
  </si>
  <si>
    <t>HIT MAT GT NO DEVICE 6S.</t>
  </si>
  <si>
    <t>HIT GOODKNIGHT NON-STOP SET + REF FRESH</t>
  </si>
  <si>
    <t>HIT LV GOODKNIGHT NON-STOP SET NF.</t>
  </si>
  <si>
    <t>HIT GOODKNIGHT NON-STOP REF CLASSIC</t>
  </si>
  <si>
    <t>HIT LV GOODKNIGHT NONSTOP REF CLASSIC N</t>
  </si>
  <si>
    <t>HIT GOODKNIGHT XPRESS SET</t>
  </si>
  <si>
    <t>HIT LV GOODKNIGHT XPRESS SET NF.</t>
  </si>
  <si>
    <t>HIT GOODKNIGHT NON-STOP REF  FRESH</t>
  </si>
  <si>
    <t>HIT LV GOODKNIGHT NONSTOP REFILLFRESH N</t>
  </si>
  <si>
    <t>HIT GOODKNIGHT XPRESS REF FRESH</t>
  </si>
  <si>
    <t>HIT GOODKNIGHT XPRESS REF APPLE</t>
  </si>
  <si>
    <t>HIT LV GOODKNIGHT XPRESS REFILL APPLE N</t>
  </si>
  <si>
    <t>HIT LV GK XPRESS REFILL PINK BLOSSOM NF.</t>
  </si>
  <si>
    <t>HIT POMPA PLASTIK ND</t>
  </si>
  <si>
    <t>KLINPAK Aluminium Foil</t>
  </si>
  <si>
    <t>KLINPAK Aluminium Foil Jumbo</t>
  </si>
  <si>
    <t>KLINPAK ALUMINIUM FOIL 5m x 30cm.</t>
  </si>
  <si>
    <t>Klinpak A Foil Refill Reg. 8mx</t>
  </si>
  <si>
    <t>KLINPAK Alum Foil Refil Jumbo</t>
  </si>
  <si>
    <t>KLINPAK Cling Wrap</t>
  </si>
  <si>
    <t>KLINPAK Cling Wrap Jumbo</t>
  </si>
  <si>
    <t>KLINPAK CW Big Roll 500mx45cm</t>
  </si>
  <si>
    <t>KLINPAK Cling Wrap Refill</t>
  </si>
  <si>
    <t>KLINPAK Cling Wrap Refill Jumb</t>
  </si>
  <si>
    <t>KLINPAK K Plastik Serbaguna</t>
  </si>
  <si>
    <t>KLINPAK K Sampah Kecil 40x50</t>
  </si>
  <si>
    <t>KLINPAK K. Sampah Sedang 60x80</t>
  </si>
  <si>
    <t>KLINPAK K. Sampah Besar 80x100</t>
  </si>
  <si>
    <t>KLINPAK K. Sampah Ext. 100x120</t>
  </si>
  <si>
    <t>MITU BABY PAKET OVAL NEW</t>
  </si>
  <si>
    <t>MITU BABY COLOGNE F&amp;C FRESH GREEN 50ML</t>
  </si>
  <si>
    <t>MITU BABY COLOGNE F&amp;C FRESH GREEN 100ML</t>
  </si>
  <si>
    <t>MITU BABY COLOGNE F&amp;C GREEN 100ML BUNDLE</t>
  </si>
  <si>
    <t>MITU BABY COLOGNE F&amp;C SWEET PINK 50ML</t>
  </si>
  <si>
    <t>MITU BABY COLOGNE F&amp;C SWEET PINK 100ML</t>
  </si>
  <si>
    <t>MITU BABY COLOGNE F&amp;C PINK 100ML BUNDLE.</t>
  </si>
  <si>
    <t>MITU BABY WIPES GPP PINK ROSE 50'S BOGOF</t>
  </si>
  <si>
    <t>MITU BABY WIPES GPP PURPLE FR 50'S BOGOF</t>
  </si>
  <si>
    <t>MITU BABY WIPES GPP WHITE VL 50'S BOGOF</t>
  </si>
  <si>
    <t>MITU BABY WIPES GPP BLUE LILY 50'S BOGOF</t>
  </si>
  <si>
    <t>MITU BABY HAIR LOTION F&amp;C ALOE 100ML BTL</t>
  </si>
  <si>
    <t>MITU BABY POWDER F&amp;C CLASSIC 50GR+50%</t>
  </si>
  <si>
    <t>MITU BABY POWDER F&amp;C CLASSIC 100GR+50%</t>
  </si>
  <si>
    <t>MITU BABY POWDER F&amp;C CLASSIC 200GR+50%</t>
  </si>
  <si>
    <t>MITU BABY POWDER F&amp;C FLORAL 50GR+50%</t>
  </si>
  <si>
    <t>MITU BABY POWDER F&amp;C FLORAL 100GR+50%</t>
  </si>
  <si>
    <t>MITU BABY POWDER F&amp;C FLORAL 200GR+50%</t>
  </si>
  <si>
    <t>MITU BABY SABUN 2IN1 F&amp;C HONEY 200ML BTL</t>
  </si>
  <si>
    <t>MITU BABY SABUN 2IN1F&amp;C HONEY 200ML REF</t>
  </si>
  <si>
    <t>MITU BABY SABUN 2IN1 F&amp;C HONEY 400ML REF</t>
  </si>
  <si>
    <t>MITU BABY SHAMPOO F&amp;C ALOE 200ML BTL</t>
  </si>
  <si>
    <t>MITU BABY SHAMPOO F&amp;C ALOE 400ML REF</t>
  </si>
  <si>
    <t>MITU BABY WIPES F&amp;C BLUEBERRY 10'S BOGOF</t>
  </si>
  <si>
    <t>MITU BABY WIPES F&amp;C BLUE BERRY 60'S BT</t>
  </si>
  <si>
    <t>MITU BABY WIPES F&amp;C PINK CHERRY 4`S</t>
  </si>
  <si>
    <t>MITU BABY WIPES F&amp;C PINK CHERRY 4’S NS</t>
  </si>
  <si>
    <t>MITU BABY WIPES F&amp;C PINK CHERRY 10`S</t>
  </si>
  <si>
    <t>MITU BABY WIPES F&amp;C PINK CHERRY 60`S BT</t>
  </si>
  <si>
    <t>MITU BABY WIPES F&amp;C PINK 25S SINGLE</t>
  </si>
  <si>
    <t>MITU BABY WIPES F&amp;C PINK 25S RENCENG.</t>
  </si>
  <si>
    <t>MITU BABY WIPES F&amp;C PINK 40S BOGOF+20S</t>
  </si>
  <si>
    <t>MITU BABY WIPES F&amp;C BLUE 25S SINGLE.</t>
  </si>
  <si>
    <t>MITU BABY WIPES F&amp;C BLUE 40S BOGOF+20S</t>
  </si>
  <si>
    <t>MITU BW F&amp;C BLOOMING CHERRY 30`s SINGLE</t>
  </si>
  <si>
    <t>MITU BABY WIPES AS REFRESHING 4`S</t>
  </si>
  <si>
    <t>MITU BABY WIPES AS REFRESHING 4'S</t>
  </si>
  <si>
    <t>MITU BABY WIPES AS REFRESHING 10`S B1G1</t>
  </si>
  <si>
    <t>MITU BABY WIPES ANTISEPTIC BOGOF 45s</t>
  </si>
  <si>
    <t>MITU MINI PAKET ZIPLOCK</t>
  </si>
  <si>
    <t>Mitu Wetties Btl ASeptic 90s</t>
  </si>
  <si>
    <t>Mitu Wetties Btl Lemon 90s</t>
  </si>
  <si>
    <t>MT WT .PACK A.SEPTIC 10's+"ND"</t>
  </si>
  <si>
    <t>Mitu Wetties Ref ASeptic 90s</t>
  </si>
  <si>
    <t>Mitu Wetties Ref Lemon 90s</t>
  </si>
  <si>
    <t>NYU CREME HC SACHET BLUE BLACK 20GR</t>
  </si>
  <si>
    <t>NYU CREME HC BLUE BLACK (S)</t>
  </si>
  <si>
    <t>NYU CREME HC BURGUNDY (S)</t>
  </si>
  <si>
    <t>NYU CREME BURGUNDY + BLEACH BUNDLE.</t>
  </si>
  <si>
    <t>NYU CREME HC CARAMEL (S)</t>
  </si>
  <si>
    <t>NYU CREME CARAMEL + BLEACH BUNDLE.</t>
  </si>
  <si>
    <t>NYU CREME HC COPPERY BROWN (S)</t>
  </si>
  <si>
    <t>NYU CREME COPPERY BROWN + BLEACH BUNDLE.</t>
  </si>
  <si>
    <t>NYU CREME HC SACHET NATURAL BLACK 20GR</t>
  </si>
  <si>
    <t>NYU CREME NATURAL BLACK 20GR (PI)</t>
  </si>
  <si>
    <t>NYU CREME HAIR COLOR MP-N BLACK 2X30+30</t>
  </si>
  <si>
    <t>NYU CREME HC NATURAL BLACK (S)</t>
  </si>
  <si>
    <t>NYU CREME HC SACHET NATURAL BROWN 20GR</t>
  </si>
  <si>
    <t>NYU CREME HC NATURAL BROWN (S)</t>
  </si>
  <si>
    <t>NYU CREME HC FLAMING ORANGE ( S )</t>
  </si>
  <si>
    <t>NYU CREME NATURAL BLEACH</t>
  </si>
  <si>
    <t>NYU CREME HC SACHET GOLDEN BROWN 20GR</t>
  </si>
  <si>
    <t>NYU CREME GOLDEN BROWN</t>
  </si>
  <si>
    <t>NYU CREME GOLDEN BROWN + BLEACH BUNDLE.</t>
  </si>
  <si>
    <t>NYU CREME HC CHERRY RED (S)</t>
  </si>
  <si>
    <t>NYU CREME CHERRY RED + BLEACH BUNDLE.</t>
  </si>
  <si>
    <t>NYU CREME HC CHERRY RED (NF)</t>
  </si>
  <si>
    <t>NYU CREME ASH BLONDE</t>
  </si>
  <si>
    <t>NYU HENNA SHAMPOO HAIR COLOR-BLUE BLACK</t>
  </si>
  <si>
    <t>NYU HENNA SHAMPOO HC BURGUNDY</t>
  </si>
  <si>
    <t>NYU HENNA SHAMPOO HC BURGUNDY-5MIN.</t>
  </si>
  <si>
    <t>NYU HENNA SHAMPOO HC NATURAL BLACK</t>
  </si>
  <si>
    <t>NYU HENNA SHAMPOO HC NAT BLACK-5MIN.</t>
  </si>
  <si>
    <t>NYU HENNA SHAMPOO HC NATURAL BROWN</t>
  </si>
  <si>
    <t>NYU HENNA SHAMPOO HC NAT BROWN-5 MIN.</t>
  </si>
  <si>
    <t>POLYTEX SPON REG JUM B2B PRO.</t>
  </si>
  <si>
    <t>POLYTEX K SAMPAH M 60x80</t>
  </si>
  <si>
    <t>POLYTEX K SAMPAH L 80x100</t>
  </si>
  <si>
    <t>POLYTEX K SAMPAH XL 100x120</t>
  </si>
  <si>
    <t>POLYTEX LAP KAIN MICROFIBER</t>
  </si>
  <si>
    <t>POLYTEX SABUT JARING 5K</t>
  </si>
  <si>
    <t>POLYTEX SABUT JARING ANTI GORES</t>
  </si>
  <si>
    <t>POLYTEX SABUT SPON ANTI GORES ND</t>
  </si>
  <si>
    <t>POLYTEX SBT SPON EXTRA BERSIH&amp;THN LAMA</t>
  </si>
  <si>
    <t>POLYTEX PKT SBTSPON XTRABERSIH&amp;THNLAMA2S</t>
  </si>
  <si>
    <t>POLYTEX PKT SBTSPON EBTL 2S NEW.</t>
  </si>
  <si>
    <t>POLYTEX SABUT SPON REGULAR</t>
  </si>
  <si>
    <t>POLYTEX SPON REGULER NEW</t>
  </si>
  <si>
    <t>POLYTEX PKT SBT SPON REGULAR 2S ND</t>
  </si>
  <si>
    <t>POLYTEX PKT SBTSPON REG 2S NEW.</t>
  </si>
  <si>
    <t>POLYTEX MTP SPON EXTRA BERSIH ISI 3</t>
  </si>
  <si>
    <t>POLYTEX SBT HIJAU EXTRA BERSIH&amp;THN LAMA</t>
  </si>
  <si>
    <t>POLYTEX SPON PENYERAP SERBAGUNA</t>
  </si>
  <si>
    <t>POLYTEX SPON SERBAGUNA ND</t>
  </si>
  <si>
    <t>POLYTEX STAINLESS STEEL REGULAR 12,5G</t>
  </si>
  <si>
    <t>POLYTEX SABUT STAINLESS 40G.</t>
  </si>
  <si>
    <t>POLYTEX STAINLESS REG 12,5G PAPAN12S ND</t>
  </si>
  <si>
    <t>POLYTEX SS REG 12,5G PAPAN12S NS</t>
  </si>
  <si>
    <t>POLYTEX MTP SS 20 GR EXTRA BERSIH ISI 3.</t>
  </si>
  <si>
    <t>POLYTEX SS EXTRA BERSIH&amp;TAHAN LAMA 20GR</t>
  </si>
  <si>
    <t>POLYTEX SS EXTRA BERSIH&amp;TAHAN LAMA20GR2S</t>
  </si>
  <si>
    <t>POLYTEX SS EBTL 20GR 2S NEW.</t>
  </si>
  <si>
    <t>POLYTEX MTP SS 20G EXT BERSIH ISI 3 NEW</t>
  </si>
  <si>
    <t>Proclin Bottle Regular 200 ml</t>
  </si>
  <si>
    <t>Proclin Bottle 500ml</t>
  </si>
  <si>
    <t>Proclin Bottle 1000ml</t>
  </si>
  <si>
    <t>PROCLIN BLEACH JERIGEN 3.5 L</t>
  </si>
  <si>
    <t>PROCLIN PENGHILANG NODA PLUS SCH 25ML ND</t>
  </si>
  <si>
    <t>PROCLIN PN SACHET FREE POLYTEX SPONS REG</t>
  </si>
  <si>
    <t>PROCLIN PENGHLNGNODA PLUS PCH150ML ND</t>
  </si>
  <si>
    <t>PROCLIN PENGHILANG NODA PLUS 400ML SPOUT</t>
  </si>
  <si>
    <t>PROCLIN PN 400ML FREE POLYTEX EKS BERSIH</t>
  </si>
  <si>
    <t>PROCLIN 400ML FREE STELLA POCKET</t>
  </si>
  <si>
    <t>PROCLIN PENGHILANG NODA 400ML+50ML.</t>
  </si>
  <si>
    <t>PROCLIN PENGHILANG NODA PLUS PC 800ML ND</t>
  </si>
  <si>
    <t>PROCLIN 800ML FREE POLYTEX EKSTRA BERSIH</t>
  </si>
  <si>
    <t>PROCLIN PN AKSI PUTIH POUCH 400ML</t>
  </si>
  <si>
    <t>PROCLIN BLEACH SACHET 25ML</t>
  </si>
  <si>
    <t>POLYTEX SPON REGULER NEW PROMO 12+1.</t>
  </si>
  <si>
    <t>SANITER HAND SANITIZER GEL PCH 200ML</t>
  </si>
  <si>
    <t>SANITER HAND SANITIZER PUMP GEL 230ML</t>
  </si>
  <si>
    <t>SHOCK ANTI SUMBAT 350GR</t>
  </si>
  <si>
    <t>STELLA AER ORANGE 140ML RJV</t>
  </si>
  <si>
    <t>STELLA AER ORANGE 175ML RJV</t>
  </si>
  <si>
    <t>STELLA AER JEJU ORANGE 175ML.</t>
  </si>
  <si>
    <t>STELLA AER JEJU ORANGE 175+25ML RJV</t>
  </si>
  <si>
    <t>STELLA AER ORANGE 2X350ML MTP RJV</t>
  </si>
  <si>
    <t>STELLA AER ORANGE 350ML RJV</t>
  </si>
  <si>
    <t>STELLA AER JEJU ORANGE 350ML</t>
  </si>
  <si>
    <t>STELLA AER JEJU ORANGE 350+50ML RJV</t>
  </si>
  <si>
    <t>STELLA AER ORANGE T. 350+50ML RJV</t>
  </si>
  <si>
    <t>STELLA AER JEJU ORANGE 140ML.</t>
  </si>
  <si>
    <t>STELLA AER APPLE 200ML RJV</t>
  </si>
  <si>
    <t>STELLA AER APPLE 175ML RJV</t>
  </si>
  <si>
    <t>STELLA AER APPLE 175+25ML RJV</t>
  </si>
  <si>
    <t>STELLA AER APPLE 400ML RJV</t>
  </si>
  <si>
    <t>STELLA AER APPLE 350ML RJV</t>
  </si>
  <si>
    <t>STELLA AER APPLE 350+50ML RJV</t>
  </si>
  <si>
    <t>STELLA AER APPLE 2X400ML MTP RJV</t>
  </si>
  <si>
    <t>STELLA AER APPLE 2X350ML MTP RJV</t>
  </si>
  <si>
    <t>STELLA AER APPLE 350+50ML MTP RJV</t>
  </si>
  <si>
    <t>STELLA AER JAPANESE SAKURA 175ML RJV</t>
  </si>
  <si>
    <t>STELLA AER JAPANESE SAKURA 175+25ML RJV</t>
  </si>
  <si>
    <t>STELLA AER JAPANESE SAKURA 350ML RJV</t>
  </si>
  <si>
    <t>STELLA AER J. SAKURA 350+50ML RJV</t>
  </si>
  <si>
    <t>STELLA AER LEMON 175ML RJV</t>
  </si>
  <si>
    <t>STELLA AER LEMON 175+25ML RJ</t>
  </si>
  <si>
    <t>STELLA AER LEMON 350ML RJV</t>
  </si>
  <si>
    <t>STELLA AER LEMON 350+50ML RJV</t>
  </si>
  <si>
    <t>STELLA AER CAFFE LATTE 175 ML RJV</t>
  </si>
  <si>
    <t>STELLA AER CAFFE LATTE 175+25ML RJV</t>
  </si>
  <si>
    <t>STELLA AER CAFFE LATTE 350ML RJV</t>
  </si>
  <si>
    <t>STELLA AER CAFFE LATTE 350+50ML RJV</t>
  </si>
  <si>
    <t>STELLA AER W. VERBENA 350+50ML RJV</t>
  </si>
  <si>
    <t>STELLA AER R.KENANGA 350ML RJV</t>
  </si>
  <si>
    <t>STELLA AER R. KENANGA 350+50ML RJV</t>
  </si>
  <si>
    <t>STELLA AER SECRET LAVENDER 175 ML RJV</t>
  </si>
  <si>
    <t>STELLA AER SECRET LAVENDER 175+25ML RJV</t>
  </si>
  <si>
    <t>STELLA AER S.LAVENDER 350ML RJV</t>
  </si>
  <si>
    <t>STELLA AER S. LAVENDER 350+50ML RJV</t>
  </si>
  <si>
    <t>STELLA AER B. JASMINE S 175ML RJV</t>
  </si>
  <si>
    <t>STELLA AER B. JASMINE S 175+25ML RJV</t>
  </si>
  <si>
    <t>STELLA AER B. JASMINE S 350ML RJV</t>
  </si>
  <si>
    <t>STELLA AER B. JASMINE S 350+50ML RJV</t>
  </si>
  <si>
    <t>STELLA AER W.VERBENA 350ML RJV</t>
  </si>
  <si>
    <t>STELLA AER RAJA AMPAT L. 175+25ML </t>
  </si>
  <si>
    <t>STELLA AER RAJA AMPAT L. 350+50ML </t>
  </si>
  <si>
    <t>STELLA MTC REF RAJA AMPAT L.160ML</t>
  </si>
  <si>
    <t>STELLA MTC REF RAJA AMPAT L. 160+65ML </t>
  </si>
  <si>
    <t>STELLA AIO C.LATTE 42+13GR RJV</t>
  </si>
  <si>
    <t>STELLA AIO C.LATTE 42+13GR(3+1) MTP RJV</t>
  </si>
  <si>
    <t>STELLA AIO C.LATTE 42+13GR FOC PROCLINPN</t>
  </si>
  <si>
    <t>STELLA AIO APPLE 42+13GR RJV</t>
  </si>
  <si>
    <t>STELLA AIO APPLE 42+13GR FOC PROCLINPN</t>
  </si>
  <si>
    <t>STELLA Ail in One BOUGENVILLE 42+13gr</t>
  </si>
  <si>
    <t>STELLA AIO BOUGENVILLE 42+13GR FOC PROCL</t>
  </si>
  <si>
    <t>STELLA AIO LEMON 42+13GR RJV</t>
  </si>
  <si>
    <t>STELLA AIO LEMON 42+13GR(3+1) MTP RJV</t>
  </si>
  <si>
    <t>STELLA AIO LEMON 42+13GR FOC PROCLINPN</t>
  </si>
  <si>
    <t>STELLA AIO ORANGE 42+13GR RJV</t>
  </si>
  <si>
    <t>STELLA AIO JEJU ORANGE 42+13GR.</t>
  </si>
  <si>
    <t>STELLA AIO ORANGE 42+13GR(3+1) MTP RJV</t>
  </si>
  <si>
    <t>STELLA AIO JEJU ORANGE 42+13GR(3+1) MTP.</t>
  </si>
  <si>
    <t>STELLA AIO ORANGE 42+13GR FOC PROCLINPN</t>
  </si>
  <si>
    <t>STELLA AIO MTP ORANGE FREE PROCLIN 150M</t>
  </si>
  <si>
    <t>STELLA All in One SENSATION 42+13gr</t>
  </si>
  <si>
    <t>STELLA AIO SENSATION 42+13GR FOCPROCLINP</t>
  </si>
  <si>
    <t>STELLA AIO LAVENDER 42+13GR RJV</t>
  </si>
  <si>
    <t>STELLA AIO LVNDR 42+13GR FOC PROCLINPN</t>
  </si>
  <si>
    <t>STELLA AIO B.JASMINE 42+13GR RJV.</t>
  </si>
  <si>
    <t>STELLA AIO BJS FREE PROCLIN PN SACHET.</t>
  </si>
  <si>
    <t>STELLA AIO LAVENDER 42+13GR(3+1) MTP RJV</t>
  </si>
  <si>
    <t>STELLA DAILY FRESH G.VANILLA</t>
  </si>
  <si>
    <t>STELLA DF CAR+INDOOR VANILLA TWIST RJV</t>
  </si>
  <si>
    <t>STELLA DAILY FRESH G.FRESH</t>
  </si>
  <si>
    <t>STELLA DF CAR+INDOOR LILY DREAM RJV</t>
  </si>
  <si>
    <t>STELLA DF CAR+INDOOR LILY RJV REG.</t>
  </si>
  <si>
    <t>STELLA DF CAR+INDOOR LILY DREAM MTP RJV</t>
  </si>
  <si>
    <t>STELLA DF CAR+INDOOR LILY MTP RJV REG.</t>
  </si>
  <si>
    <t>STELLA DF CAR+INDOOR VANILLA RJV REG.</t>
  </si>
  <si>
    <t>STELLA DF CAR+INDOOR VANILLA TWIST MTP R</t>
  </si>
  <si>
    <t>STELLA DF CAR+INDOOR VANILLA MTP RJV RE</t>
  </si>
  <si>
    <t>STELLA DF CAR+INDOOR ORANGE SUNKIST RJV</t>
  </si>
  <si>
    <t>STELLA DF CAR+INDOOR ORANGE RJV REG.</t>
  </si>
  <si>
    <t>STELLA DF CAR+INDOOR ROSE KISS RJV</t>
  </si>
  <si>
    <t>STELLA DF CAR+INDOOR ROSE RJV REG.</t>
  </si>
  <si>
    <t>STELLA DF CAR+INDOOR AQUA FRESH RJV</t>
  </si>
  <si>
    <t>STELLA DF CAR+INDOOR AQUA RJV REG.</t>
  </si>
  <si>
    <t>STELLA DF CAR+INDOOR MUSK AFTER S RJV</t>
  </si>
  <si>
    <t>STELLA FRESH PROTECT FAB SPRAY PP 245ML</t>
  </si>
  <si>
    <t>STELLA FRESH PROTECT FAB SPRAY CB 245ML</t>
  </si>
  <si>
    <t>STELLA AER FRESH PROTECT F.CITRUS 300ML</t>
  </si>
  <si>
    <t>STELLA AER FRESH PROTECT F.FLORAL 300ML</t>
  </si>
  <si>
    <t>STELLA FUN N FRESH FRUITY NFRESH MTP 1+1</t>
  </si>
  <si>
    <t>STELLA FUN &amp; FRESH CARAMEL MACHIATO SP.</t>
  </si>
  <si>
    <t>STELLA FUN&amp;FRESH C.MACCHIATO MTP 1+1</t>
  </si>
  <si>
    <t>STELLA FUN &amp; FRESH HAPPY DAY</t>
  </si>
  <si>
    <t>STELLA FUN N FRESH HAPPY DAY MTP 1+1</t>
  </si>
  <si>
    <t>STELLA FUN &amp; FRESH FRUITY N FRESH</t>
  </si>
  <si>
    <t>STELLA FUN N FRESH SAKURA BLOSSOM MTP1+1</t>
  </si>
  <si>
    <t>STELLA FUN &amp; FRESH SAKURA BLOSSOM SP.</t>
  </si>
  <si>
    <t>STELLA FUN &amp; FRESH ICED SENSATION</t>
  </si>
  <si>
    <t>STELLA MATIC BOX SET NEWSIZE</t>
  </si>
  <si>
    <t>STELLA MATIC BOXSET B.JASMINE S EDITION.</t>
  </si>
  <si>
    <t>STELLA MATIC BOX SET+FREE AEROSOL 140ML</t>
  </si>
  <si>
    <t>STELLA MATIC BOX SET+FREE AER. 140ML MIX</t>
  </si>
  <si>
    <t>STELLA MATIC BOX SET + HANG N FLIP EXTRA</t>
  </si>
  <si>
    <t>STELLA MTC SET + HANG N FLIP RJV EXTRA</t>
  </si>
  <si>
    <t>STELLA MTC SET + MTC SET RAL RJV EXTRA</t>
  </si>
  <si>
    <t>STELLA MTC SET PARFUMIST SMART</t>
  </si>
  <si>
    <t>STELLA SMART MTC BOX RJV 160ML EXTRA</t>
  </si>
  <si>
    <t>STELLA MTC REF C.LATTE 2X160ML MTP RJV</t>
  </si>
  <si>
    <t>STELLA MTC REF C.LATTE 160+65ML MTP RJV</t>
  </si>
  <si>
    <t>STELLA MTC REF GREEN FANTASY 160ML RJV</t>
  </si>
  <si>
    <t>STELLA MTC REF G.FANTASY 160+65ML RJV</t>
  </si>
  <si>
    <t>STELLA MTC REF G.FANTASY 2X160ML MTP RJV</t>
  </si>
  <si>
    <t>STELLA MTC REF G.FANTASY 160+65ML MTPRJV</t>
  </si>
  <si>
    <t>STELLA MTC REF ORANGE 160ML RJV</t>
  </si>
  <si>
    <t>STELLA MTC REF JEJU ORANGE 160ML.</t>
  </si>
  <si>
    <t>STELLA MTC REF ORANGE T. 160+65ML RJV</t>
  </si>
  <si>
    <t>STELLA MTC REF ORANGE 2X160ML MTP RJV</t>
  </si>
  <si>
    <t>STELLA MTC REF JEJU ORANGE 2X160ML MTP.</t>
  </si>
  <si>
    <t>STELLA MTC REF LEMON 160ML RJV</t>
  </si>
  <si>
    <t>STELLA MTC REF LEMON 160+65ML RJV</t>
  </si>
  <si>
    <t>STELLA MTC REF APPLE 160ML RJV</t>
  </si>
  <si>
    <t>STELLA MTC REF APPLE 160+65ML RJV</t>
  </si>
  <si>
    <t>STELLA MTC REF APPLE 2X160 ML MTP RJV</t>
  </si>
  <si>
    <t>STELLA MTC REF APPLE 160+65ML MTP RJV</t>
  </si>
  <si>
    <t>STELLA MTC REF W.FLOWER 225ML+TTKAN RJV</t>
  </si>
  <si>
    <t>STELLA MTC REF W.FLOWER 160ML+TTKAN RJV</t>
  </si>
  <si>
    <t>STELLA MTC REF W.FLOWER 160+65ML TTK RJV</t>
  </si>
  <si>
    <t>STE MTC REF FRESH&amp;PROTECT F.CITRUS 225ML</t>
  </si>
  <si>
    <t>STELLA MTC REF B. JASMINE S 160ML RJV.</t>
  </si>
  <si>
    <t>STELLA MTC REF B. JASMINE S 160+65ML RJV</t>
  </si>
  <si>
    <t>STELLA MTC REF J.SAKURA 160ML RJV</t>
  </si>
  <si>
    <t>STELLA MTC REF J.SAKURA 160+65ML RJV</t>
  </si>
  <si>
    <t>STELLA MTC REF C.LATTE 160ML RJV</t>
  </si>
  <si>
    <t>STELLA MTC REF C.LATTE 160+65ML RJV</t>
  </si>
  <si>
    <t>STELLA MTC REF J.SAKURA 2X160ML MTP RJV</t>
  </si>
  <si>
    <t>STELLA MTC REF J.SAKURA 160+65ML MTP RJV</t>
  </si>
  <si>
    <t>STELLA MTC REF S.LAVENDER 160ML RJV</t>
  </si>
  <si>
    <t>STELLA MTC REF LAVENDER 160+65ML RJV</t>
  </si>
  <si>
    <t>STELLA MTC REF S.LAVENDER 2X160 MTP RJV</t>
  </si>
  <si>
    <t>STELLA MTC REF LAVENDER 160+65ML MTP RJV</t>
  </si>
  <si>
    <t>STELLA MTC REF W.VERBENA 160ML RJV</t>
  </si>
  <si>
    <t>STELLA MTC REF W.VERBENA 160+65ML RJV</t>
  </si>
  <si>
    <t>STELLA MTC REF R.KENANGA 160ML RJV</t>
  </si>
  <si>
    <t>STELLA MTC REF R.KENANGA 160+65ML RJV</t>
  </si>
  <si>
    <t>Stella Mini Matic Set C. Latte</t>
  </si>
  <si>
    <t>Stella Mini Matic Set G. Fantasy</t>
  </si>
  <si>
    <t>Stella Mini Mtc Ref Caffe Latte 40 ml</t>
  </si>
  <si>
    <t>Stella Mini Mtc Ref. G.Fantasy 40 ml</t>
  </si>
  <si>
    <t>Stella Mini Mtc Ref Dream Island 40 ml</t>
  </si>
  <si>
    <t>STELLA POCKET BATHROOM ORANGE RJV</t>
  </si>
  <si>
    <t>STELLA POCKET BATHROOM PURPLE RJV</t>
  </si>
  <si>
    <t>STELLA POCKET BATHROOM BLUE RJV</t>
  </si>
  <si>
    <t>STELLA POCKET BATHROOM GREEN RJV</t>
  </si>
  <si>
    <t>STELLA POCKET BATHROOM RJV - MTP 4 PCS.</t>
  </si>
  <si>
    <t>STELLA POCKET BATHROOM EXOTIC FRUIT.</t>
  </si>
  <si>
    <t>STELLA POCKET BATHROOM LUXURIOS FLOWER.</t>
  </si>
  <si>
    <t>STELLA DF CAR+INDOOR ROSE KISS MTP RJV</t>
  </si>
  <si>
    <t>STELLA DF CAR+INDOOR ROSE MTP RJV REG.</t>
  </si>
  <si>
    <t>STELLA CLIP N TWIST AFTERSMOKE</t>
  </si>
  <si>
    <t>STELLA CLIP N TWIST AQUA MARINE</t>
  </si>
  <si>
    <t>STELLA ELECTRIC DEVICE SET CP</t>
  </si>
  <si>
    <t>STELLA ELECTRIC DEVICE SET CP 2.0</t>
  </si>
  <si>
    <t>STELLA ELEC REF LAVENDER BLOOM 25ML SP</t>
  </si>
  <si>
    <t>STELLA ELEC REF COMFORTING LAVENDER 25ML</t>
  </si>
  <si>
    <t>STELLA ELEC REF JASMINE BREEZE 25ML SP</t>
  </si>
  <si>
    <t>STELLA MIST DIFF LG SET</t>
  </si>
  <si>
    <t>STELLA MIST DIFF LG REFF</t>
  </si>
  <si>
    <t>STELLA HANG N FLIP JASMINE FLOW 9+3ML</t>
  </si>
  <si>
    <t>STELLA HANG N FLIP JASMINE FLOW 9ML</t>
  </si>
  <si>
    <t>STELLA HANG N FLIP AQUA REFLECTION 9ML</t>
  </si>
  <si>
    <t>SUSEMI Sabut Spon 24x12</t>
  </si>
  <si>
    <t>SUSEMI Sabut Stainless Hgr</t>
  </si>
  <si>
    <t>SUSEMI SABUT STAINLESS 40 GR</t>
  </si>
  <si>
    <t>SUSEMI Sabut Polos (Isi 12)</t>
  </si>
  <si>
    <t>STELLA HANG N FLIP AQUA REFLECTION 9+3ML</t>
  </si>
  <si>
    <t>GAS WONDERFUEL 220gr</t>
  </si>
  <si>
    <t>MITU BABY ESSENTIAL GIFT SET</t>
  </si>
  <si>
    <t>MITU BABY PREMIUM GIFT SET</t>
  </si>
  <si>
    <t>MITU BABY WIPES F&amp;C BLUE BERRY 4`S</t>
  </si>
  <si>
    <t>MITU BABY WIPES F&amp;C BLUE BERRY 4’S NS</t>
  </si>
  <si>
    <t>HIT GOODKNIGHT LV REF APPLE MTP.</t>
  </si>
  <si>
    <t>HIT GOODKNIGHT LV REF FRESH MTP.</t>
  </si>
  <si>
    <t>HIT AER LILY BLOSSOM 400+40ML EXTRA</t>
  </si>
  <si>
    <t>8992745730101</t>
  </si>
  <si>
    <t>8992745730200</t>
  </si>
  <si>
    <t>8992745540892</t>
  </si>
  <si>
    <t>8992745730118</t>
  </si>
  <si>
    <t>8992745730217</t>
  </si>
  <si>
    <t>8992745195214</t>
  </si>
  <si>
    <t>8992748195402</t>
  </si>
  <si>
    <t>8992745000457</t>
  </si>
  <si>
    <t>8992748195204</t>
  </si>
  <si>
    <t>8992748195303</t>
  </si>
  <si>
    <t>8992746700806</t>
  </si>
  <si>
    <t>8992746700417</t>
  </si>
  <si>
    <t>8992745700401</t>
  </si>
  <si>
    <t>8992745380665</t>
  </si>
  <si>
    <t>8992745705314</t>
  </si>
  <si>
    <t>8992745705284</t>
  </si>
  <si>
    <t>8992746700844</t>
  </si>
  <si>
    <t>8992746700875</t>
  </si>
  <si>
    <t>8992746700769</t>
  </si>
  <si>
    <t>8992745700913</t>
  </si>
  <si>
    <t>8992745705031</t>
  </si>
  <si>
    <t>8992745700951</t>
  </si>
  <si>
    <t>8992746700738</t>
  </si>
  <si>
    <t>8992745330134</t>
  </si>
  <si>
    <t>8992745330110</t>
  </si>
  <si>
    <t>8992745330127</t>
  </si>
  <si>
    <t>8992745480426</t>
  </si>
  <si>
    <t>8992745140955</t>
  </si>
  <si>
    <t>8992745705420</t>
  </si>
  <si>
    <t>8992745140962</t>
  </si>
  <si>
    <t>8992745480419</t>
  </si>
  <si>
    <t>8992745120407</t>
  </si>
  <si>
    <t>8992745120469</t>
  </si>
  <si>
    <t>8992745120476</t>
  </si>
  <si>
    <t>8992745000020</t>
  </si>
  <si>
    <t>8992745000631</t>
  </si>
  <si>
    <t>8992745000648</t>
  </si>
  <si>
    <t>8992745001232</t>
  </si>
  <si>
    <t>8992745130406</t>
  </si>
  <si>
    <t>8992745480228</t>
  </si>
  <si>
    <t>8992745480112</t>
  </si>
  <si>
    <t>8992745480488</t>
  </si>
  <si>
    <t>8992745480495</t>
  </si>
  <si>
    <t>8992745480617</t>
  </si>
  <si>
    <t>8992745480501</t>
  </si>
  <si>
    <t>8992745000365</t>
  </si>
  <si>
    <t>8992745000273</t>
  </si>
  <si>
    <t>8992745000013</t>
  </si>
  <si>
    <t>8992745000440</t>
  </si>
  <si>
    <t>8992745120957</t>
  </si>
  <si>
    <t>8992745610311</t>
  </si>
  <si>
    <t>8992745560630</t>
  </si>
  <si>
    <t>8992745560579</t>
  </si>
  <si>
    <t>8992745120186</t>
  </si>
  <si>
    <t>8992745120179</t>
  </si>
  <si>
    <t>8992745120056</t>
  </si>
  <si>
    <t>8992745120414</t>
  </si>
  <si>
    <t>8992745120513</t>
  </si>
  <si>
    <t>8992745120537</t>
  </si>
  <si>
    <t>8992745120131</t>
  </si>
  <si>
    <t>8992745120216</t>
  </si>
  <si>
    <t>8992745130246</t>
  </si>
  <si>
    <t>8992745130277</t>
  </si>
  <si>
    <t>8992745130284</t>
  </si>
  <si>
    <t>8992745999768</t>
  </si>
  <si>
    <t>8992745705635</t>
  </si>
  <si>
    <t>8992745705642</t>
  </si>
  <si>
    <t>8992745705673</t>
  </si>
  <si>
    <t>8992745705680</t>
  </si>
  <si>
    <t>8992745140016</t>
  </si>
  <si>
    <t>8992745120636</t>
  </si>
  <si>
    <t>8992745120650</t>
  </si>
  <si>
    <t>8992745999973</t>
  </si>
  <si>
    <t>8992745000143</t>
  </si>
  <si>
    <t>8992745999980</t>
  </si>
  <si>
    <t>8992745999997</t>
  </si>
  <si>
    <t>8992745000426</t>
  </si>
  <si>
    <t>8992745000419</t>
  </si>
  <si>
    <t>8992745000150</t>
  </si>
  <si>
    <t>8992745140689</t>
  </si>
  <si>
    <t>8992745120247</t>
  </si>
  <si>
    <t>8992745120254</t>
  </si>
  <si>
    <t>8992745140559</t>
  </si>
  <si>
    <t>8992745560586</t>
  </si>
  <si>
    <t>8992745705567</t>
  </si>
  <si>
    <t>8992745000402</t>
  </si>
  <si>
    <t>8992745120324</t>
  </si>
  <si>
    <t>8992749770356</t>
  </si>
  <si>
    <t>8992749770370</t>
  </si>
  <si>
    <t>8992745000068</t>
  </si>
  <si>
    <t>8992749770363</t>
  </si>
  <si>
    <t>8992742770384</t>
  </si>
  <si>
    <t>8992749770301</t>
  </si>
  <si>
    <t>8992749770325</t>
  </si>
  <si>
    <t>8992742770704</t>
  </si>
  <si>
    <t>8992749770318</t>
  </si>
  <si>
    <t>8992742770391</t>
  </si>
  <si>
    <t>8992749770431</t>
  </si>
  <si>
    <t>8992749770509</t>
  </si>
  <si>
    <t>8992749770516</t>
  </si>
  <si>
    <t>8992749770523</t>
  </si>
  <si>
    <t>8992749770530</t>
  </si>
  <si>
    <t>8992745326298</t>
  </si>
  <si>
    <t>8992745326663</t>
  </si>
  <si>
    <t>8992745326670</t>
  </si>
  <si>
    <t>8992745326472</t>
  </si>
  <si>
    <t>8992745326489</t>
  </si>
  <si>
    <t>8992745540830</t>
  </si>
  <si>
    <t>8992745545088</t>
  </si>
  <si>
    <t>8992745550396</t>
  </si>
  <si>
    <t>8992745540823</t>
  </si>
  <si>
    <t>8992745826880</t>
  </si>
  <si>
    <t>8992745326816</t>
  </si>
  <si>
    <t>8992745550488</t>
  </si>
  <si>
    <t>8992745380160</t>
  </si>
  <si>
    <t>8992745326724</t>
  </si>
  <si>
    <t>8992745380689</t>
  </si>
  <si>
    <t>8992745550426</t>
  </si>
  <si>
    <t>8992745550457</t>
  </si>
  <si>
    <t>8992745550440</t>
  </si>
  <si>
    <t>8992745550631</t>
  </si>
  <si>
    <t>8992745560104</t>
  </si>
  <si>
    <t>8992745380696</t>
  </si>
  <si>
    <t>8992750540917</t>
  </si>
  <si>
    <t>8992750540412</t>
  </si>
  <si>
    <t>8992745540298</t>
  </si>
  <si>
    <t>8992750540900</t>
  </si>
  <si>
    <t>8992750540405</t>
  </si>
  <si>
    <t>8992750540856</t>
  </si>
  <si>
    <t>8992745480514</t>
  </si>
  <si>
    <t>8992745550518</t>
  </si>
  <si>
    <t>8992745540717</t>
  </si>
  <si>
    <t>8992745550525</t>
  </si>
  <si>
    <t>8992745480518</t>
  </si>
  <si>
    <t>8992745326755</t>
  </si>
  <si>
    <t>8992745540687</t>
  </si>
  <si>
    <t>8992745550532</t>
  </si>
  <si>
    <t>8992745326304</t>
  </si>
  <si>
    <t>8992745540090</t>
  </si>
  <si>
    <t>8992750540436</t>
  </si>
  <si>
    <t>8992745540137</t>
  </si>
  <si>
    <t>8992745540113</t>
  </si>
  <si>
    <t>8992750540528</t>
  </si>
  <si>
    <t>8992745001225</t>
  </si>
  <si>
    <t>8992745999775</t>
  </si>
  <si>
    <t>8992745999829</t>
  </si>
  <si>
    <t>8992745999812</t>
  </si>
  <si>
    <t>8992745999805</t>
  </si>
  <si>
    <t>8992745480464</t>
  </si>
  <si>
    <t>8992745000105</t>
  </si>
  <si>
    <t>8992745999782</t>
  </si>
  <si>
    <t>8992745480457</t>
  </si>
  <si>
    <t>8992745999799</t>
  </si>
  <si>
    <t>8992745470861</t>
  </si>
  <si>
    <t>8992745560982</t>
  </si>
  <si>
    <t>8992745001218</t>
  </si>
  <si>
    <t>8992745000389</t>
  </si>
  <si>
    <t>8992745999690</t>
  </si>
  <si>
    <t>8992745001089</t>
  </si>
  <si>
    <t>8992745000099</t>
  </si>
  <si>
    <t>8992745475262</t>
  </si>
  <si>
    <t>8992745475217</t>
  </si>
  <si>
    <t>8992745475279</t>
  </si>
  <si>
    <t>8992742000047</t>
  </si>
  <si>
    <t>8992745480624</t>
  </si>
  <si>
    <t>8992745480600</t>
  </si>
  <si>
    <t>8992745480471</t>
  </si>
  <si>
    <t>8992749360601</t>
  </si>
  <si>
    <t>8992742000009</t>
  </si>
  <si>
    <t>8992749360663</t>
  </si>
  <si>
    <t>8992742360455</t>
  </si>
  <si>
    <t>8992742360264</t>
  </si>
  <si>
    <t>8992745999713</t>
  </si>
  <si>
    <t>8992742370683</t>
  </si>
  <si>
    <t>8992745999720</t>
  </si>
  <si>
    <t>8992742000016</t>
  </si>
  <si>
    <t>8992742000023</t>
  </si>
  <si>
    <t>8992742370164</t>
  </si>
  <si>
    <t>8992749360625</t>
  </si>
  <si>
    <t>8992742380972</t>
  </si>
  <si>
    <t>8992742360844</t>
  </si>
  <si>
    <t>8992745000051</t>
  </si>
  <si>
    <t>8992742000030</t>
  </si>
  <si>
    <t>8992742360851</t>
  </si>
  <si>
    <t>8992745999737</t>
  </si>
  <si>
    <t>8992745550266</t>
  </si>
  <si>
    <t>8992745550259</t>
  </si>
  <si>
    <t>8992745230267</t>
  </si>
  <si>
    <t>8992745230113</t>
  </si>
  <si>
    <t>8992745550310</t>
  </si>
  <si>
    <t>8992745550334</t>
  </si>
  <si>
    <t>8992745730255</t>
  </si>
  <si>
    <t>8992745560593</t>
  </si>
  <si>
    <t>8992745560609</t>
  </si>
  <si>
    <t>8992745540359</t>
  </si>
  <si>
    <t>8992745475187</t>
  </si>
  <si>
    <t>8992745610786</t>
  </si>
  <si>
    <t>8992745610618</t>
  </si>
  <si>
    <t>8992745999881</t>
  </si>
  <si>
    <t>8992745320326</t>
  </si>
  <si>
    <t>8992745705710</t>
  </si>
  <si>
    <t>8992745320241</t>
  </si>
  <si>
    <t>8992745320289</t>
  </si>
  <si>
    <t>8992745320197</t>
  </si>
  <si>
    <t>8992745610366</t>
  </si>
  <si>
    <t>8992745610519</t>
  </si>
  <si>
    <t>8992745610526</t>
  </si>
  <si>
    <t>8992745320302</t>
  </si>
  <si>
    <t>8992745320166</t>
  </si>
  <si>
    <t>8992745610762</t>
  </si>
  <si>
    <t>8992745610779</t>
  </si>
  <si>
    <t>8992745480167</t>
  </si>
  <si>
    <t>8992745480143</t>
  </si>
  <si>
    <t>8992745610472</t>
  </si>
  <si>
    <t>8992745610489</t>
  </si>
  <si>
    <t>8992745000129</t>
  </si>
  <si>
    <t>8992745000136</t>
  </si>
  <si>
    <t>8992745001034</t>
  </si>
  <si>
    <t>8992745001010</t>
  </si>
  <si>
    <t>8992745001041</t>
  </si>
  <si>
    <t>8992745610885</t>
  </si>
  <si>
    <t>8992745475637</t>
  </si>
  <si>
    <t>8992745320067</t>
  </si>
  <si>
    <t>8992745320074</t>
  </si>
  <si>
    <t>8992745320784</t>
  </si>
  <si>
    <t>8992745610694</t>
  </si>
  <si>
    <t>8992745320050</t>
  </si>
  <si>
    <t>8992745705758</t>
  </si>
  <si>
    <t>8992745320135</t>
  </si>
  <si>
    <t>8992745610892</t>
  </si>
  <si>
    <t>8992745000174</t>
  </si>
  <si>
    <t>8992745480211</t>
  </si>
  <si>
    <t>8992745380825</t>
  </si>
  <si>
    <t>8992745560210</t>
  </si>
  <si>
    <t>8992745380191</t>
  </si>
  <si>
    <t>8992745380245</t>
  </si>
  <si>
    <t>8992745380832</t>
  </si>
  <si>
    <t>8992745380238</t>
  </si>
  <si>
    <t>8992745380221</t>
  </si>
  <si>
    <t>8992745000198</t>
  </si>
  <si>
    <t>8992745000211</t>
  </si>
  <si>
    <t>8992745560661</t>
  </si>
  <si>
    <t>8992745560654</t>
  </si>
  <si>
    <t>8992745475347</t>
  </si>
  <si>
    <t>8992745475330</t>
  </si>
  <si>
    <t>8992745999928</t>
  </si>
  <si>
    <t>8992745000327</t>
  </si>
  <si>
    <t>8992745705659</t>
  </si>
  <si>
    <t>8992745000037</t>
  </si>
  <si>
    <t>8992745999935</t>
  </si>
  <si>
    <t>8992745000044</t>
  </si>
  <si>
    <t>8992745610540</t>
  </si>
  <si>
    <t>8992745000334</t>
  </si>
  <si>
    <t>8992745000488</t>
  </si>
  <si>
    <t>8992745325406</t>
  </si>
  <si>
    <t>8992745705413</t>
  </si>
  <si>
    <t>8992745560753</t>
  </si>
  <si>
    <t>8992745326229</t>
  </si>
  <si>
    <t>8992745560746</t>
  </si>
  <si>
    <t>8992745325437</t>
  </si>
  <si>
    <t>8992745560739</t>
  </si>
  <si>
    <t>8992745325420</t>
  </si>
  <si>
    <t>8992745320142</t>
  </si>
  <si>
    <t>8992745610717</t>
  </si>
  <si>
    <t>8992745325550</t>
  </si>
  <si>
    <t>8992745475590</t>
  </si>
  <si>
    <t>8992745000112</t>
  </si>
  <si>
    <t>8992745610533</t>
  </si>
  <si>
    <t>8992745560449</t>
  </si>
  <si>
    <t>8992745475644</t>
  </si>
  <si>
    <t>8992745610496</t>
  </si>
  <si>
    <t>8992745480235</t>
  </si>
  <si>
    <t>8992745480150</t>
  </si>
  <si>
    <t>8992745480136</t>
  </si>
  <si>
    <t>8992745326120</t>
  </si>
  <si>
    <t>8992745560784</t>
  </si>
  <si>
    <t>8992745326137</t>
  </si>
  <si>
    <t>8992745560807</t>
  </si>
  <si>
    <t>8992745940128</t>
  </si>
  <si>
    <t>8992745940142</t>
  </si>
  <si>
    <t>8992745940166</t>
  </si>
  <si>
    <t>8992745940135</t>
  </si>
  <si>
    <t>8992745000372</t>
  </si>
  <si>
    <t>8992745000341</t>
  </si>
  <si>
    <t>8992745000358</t>
  </si>
  <si>
    <t>8992745326694</t>
  </si>
  <si>
    <t>8992745326687</t>
  </si>
  <si>
    <t>8992745475422</t>
  </si>
  <si>
    <t>8992745475439</t>
  </si>
  <si>
    <t>8992745480709</t>
  </si>
  <si>
    <t>8992745480716</t>
  </si>
  <si>
    <t>8992745480723</t>
  </si>
  <si>
    <t>8992745480273</t>
  </si>
  <si>
    <t>8992745480280</t>
  </si>
  <si>
    <t>8992745000464</t>
  </si>
  <si>
    <t>8992745000471</t>
  </si>
  <si>
    <t>8992742375350</t>
  </si>
  <si>
    <t>8992742375312</t>
  </si>
  <si>
    <t>8992742375398</t>
  </si>
  <si>
    <t>8992742995213</t>
  </si>
  <si>
    <t>8992745600350</t>
  </si>
  <si>
    <t>8992745000235</t>
  </si>
  <si>
    <t>8992745000242</t>
  </si>
  <si>
    <t>8992745550242</t>
  </si>
  <si>
    <t>8992745000969</t>
  </si>
  <si>
    <t>8992745000976</t>
  </si>
  <si>
    <t>AUTOSOL METAL POLISH 144 TUBE X 15GR 8216 AS01</t>
  </si>
  <si>
    <t>AUTOSOL METAL POLISH 48 TUBE X 50GR 8217 AS02</t>
  </si>
  <si>
    <t>BIOSOL 144 SCH X 20ML 14370 35630 BS01</t>
  </si>
  <si>
    <t>BIOSOL 12 POUCH X 400ML 8247 BS02</t>
  </si>
  <si>
    <t>BIOSOL 6 POUCH X 400ML BANDED 56288 BS04</t>
  </si>
  <si>
    <t>BIOSOL 12 POUCH X 700ML 13979 BS03</t>
  </si>
  <si>
    <t>BIOSOL 6 PCH X 700ML BANDED 56289 BS05</t>
  </si>
  <si>
    <t>C.GAJAH LEM LALAT KERTAS 120 PCS X 3S 8390 CGL01</t>
  </si>
  <si>
    <t>C.GAJAH LEM LALAT STICK 72 PCS X 12S 8387 CGL02</t>
  </si>
  <si>
    <t>C.GAJAH LEM TIKUS 144 TUBE X 50ML 57428 CGT05</t>
  </si>
  <si>
    <t>C.GAJAH LEM TIKUS 144 TUBE X 100ML 8380 CGT01</t>
  </si>
  <si>
    <t>C.GJH LEM TKS TRAP 72 PCS X 60GR 29423 39248 CGT02</t>
  </si>
  <si>
    <t>CARRERA D.CLEANER 12 BTL X 175ML 8251 CR01</t>
  </si>
  <si>
    <t>CARRERA PENGKILAP BAN 48 PCH X 200ML 8275 CR03</t>
  </si>
  <si>
    <t>CARRERA REF WASH&amp;WAX 12 PCH X 400ML 8273 CR07</t>
  </si>
  <si>
    <t>CARRERA LUBE MOTOR CHAIN 12 BTL X 110ML 8813 CR08</t>
  </si>
  <si>
    <t>CARRERA PENGKILAP BAN 12 BTL X 400ML 14989 CR09</t>
  </si>
  <si>
    <t>CARRERA POLES MOTOR 24 PUMP X 100ML 9093 CR12</t>
  </si>
  <si>
    <t>CARRERA SHP MOBIL 12 PCH X 400ML 8267 CR13</t>
  </si>
  <si>
    <t>CARRERA SHP MOBIL 12 PCH X 800ML 8266 CR14</t>
  </si>
  <si>
    <t>CARRERA SHP MOTOR 144 PCS X 20ML 24'S 09997 CR21</t>
  </si>
  <si>
    <t>CARRERA SPON MOBIL 24 PCS X 180GR 7529 CR15</t>
  </si>
  <si>
    <t>CARRERA SPON MOTOR 144 PCS X 180GR 8280 CR16</t>
  </si>
  <si>
    <t>CARRERA SPON SERBA GUNA 24 PCS X 180GR 7530 CR17</t>
  </si>
  <si>
    <t>CARRERA PELUMAS XP-1000 12 BTL X 200ML 8279 CR18</t>
  </si>
  <si>
    <t>FOGO PENG. LEMARI PRINCES 72 PCSX12GR 14892 FPL01</t>
  </si>
  <si>
    <t>FOGO PENG. LEMARI FLORAL 72 PCS X 30GR 8199 FPL03</t>
  </si>
  <si>
    <t>FOGO PENG. LEMARI FRESH 72 PCS X 30GR 8200 FPL04</t>
  </si>
  <si>
    <t>HIT AE LILY BLOSSOM 24 KLGX150ML 57866 60017 HA30</t>
  </si>
  <si>
    <t>HIT AE LILY B 12 KLGX180ML 60019 39470 49644 HA02</t>
  </si>
  <si>
    <t>HIT AE LILY B 12 KLGX415/400ML 59922 39465 HA04</t>
  </si>
  <si>
    <t>HIT AE LILY B 12 KLG X 600ML 60011 39440 HA06</t>
  </si>
  <si>
    <t>HIT AE ORANGE 24 KLG X 150ML 57867 60018 HA31</t>
  </si>
  <si>
    <t>HIT AE ORANGE 12 KLGX180ML 39471 49655 60020 HA10</t>
  </si>
  <si>
    <t>HIT AE ORANGE 12 KLG X 415/400ML 39289 59923 HA12</t>
  </si>
  <si>
    <t>HIT AE ORANGE 12 KLGX600ML 60012 39285 39441 HA14</t>
  </si>
  <si>
    <t>HIT AE ORANGE 12 KLG X 750ML 43771 HA28</t>
  </si>
  <si>
    <t>HIT AE COTTON POWDER 12 KLGX400ML 58477 60008 HA36</t>
  </si>
  <si>
    <t>HIT AE COTTON POWDER 12 KLG X 600ML 60009 HA37</t>
  </si>
  <si>
    <t>HIT AE COTTON POWDER 12 KLG X 750ML 60525 HA45</t>
  </si>
  <si>
    <t>HIT AE CITRUS 12 KLG X 600ML 60013 39442 HA25</t>
  </si>
  <si>
    <t>HIT AE PINK BLOSSOM 24KLGX150ML 44129 60016 HA32</t>
  </si>
  <si>
    <t>HIT AE PINK BLOSSOM 12KLGX180ML 49656 60053 HA27</t>
  </si>
  <si>
    <t>HIT AE PINK BLOSSOM 12 KLGX400ML 60005 39291 HA21</t>
  </si>
  <si>
    <t>HIT AE J.SAKURA 12 KLG X 180ML 49657 60021 HA22</t>
  </si>
  <si>
    <t>HIT AE J.SAKURA 12 KLG X 400ML 39469 60006 HA23</t>
  </si>
  <si>
    <t>HIT AE J.SAKURA 12 KLG X 600ML 60015 39444 HA24</t>
  </si>
  <si>
    <t>HIT AE LAVENDER BREEZE12KLGX400ML 60007 50816 HA34</t>
  </si>
  <si>
    <t>HIT AF LAVENDER BREEZE12KLGX400ML 60007 50816 HA34</t>
  </si>
  <si>
    <t>HIT AE LAVENDER BREEZE 12 KLG X 600ML 60010 HA33</t>
  </si>
  <si>
    <t>HIT AE LILY BLOSSOM 12 KLG X 750ML 43770 HA29</t>
  </si>
  <si>
    <t>HIT AE LAVENDER BREEZE 12 KLG X 750ML 57355 HA35</t>
  </si>
  <si>
    <t>HIT AE EXP CITRS 12KLGX415/400ML 39467 59924 HAE07</t>
  </si>
  <si>
    <t>HIT AE EXPT PINK B 12 KLGX600ML 60014 39443 HAE13</t>
  </si>
  <si>
    <t>HIT ANTI KECOA GEL 12 PCS X 20GR 26239 56830 HAC01</t>
  </si>
  <si>
    <t>HIT ANTI KECOA SPRAY 12 KLG X 150ML 57598 HAC02</t>
  </si>
  <si>
    <t>HIT ELECTRC EKO 48PCSX225GR+CABLE 50006 58771 HE03</t>
  </si>
  <si>
    <t>HIT LIQUID CLS LILY B 24PCHX175ML 16504 49640 HL01</t>
  </si>
  <si>
    <t>HIT LIQUID CLS LILY B 12 PCH X 360ML 16505 HL02</t>
  </si>
  <si>
    <t>HIT LIQUID G.TEA 12 PCH X 360ML 12018 HL04</t>
  </si>
  <si>
    <t>HIT LIQUID G.TEA 12 PCH X 700ML 8190 HL05</t>
  </si>
  <si>
    <t>HIT LIQUID LILY B 12 PCHX700MLBDD 28263 49642 HL06</t>
  </si>
  <si>
    <t>HIT LIQUID ORANGE 12 PCH X 360ML 8191 HL07</t>
  </si>
  <si>
    <t>HIT LIQUID ORANGE 12 PCH X 700ML 8192 49641 HL08</t>
  </si>
  <si>
    <t>HIT MGC FLORAL 576PCSX4S+2S 31134 43780 23911 HM01</t>
  </si>
  <si>
    <t>HIT MAGIC FRESH 4+2 (12 BNS 1) 43781 23912 HM04</t>
  </si>
  <si>
    <t>HIT MGC FRESH 144 PCS X 10S 43783 HM07</t>
  </si>
  <si>
    <t>HIT MGC LILY B 144 PCS X 10S 19319 31159 HM08</t>
  </si>
  <si>
    <t>HIT MGC P CLASSY LILY 36PCSX10S 29460 43778 ΗΜΕΡ02</t>
  </si>
  <si>
    <t>HIT M.EXP P FLRAL B 36 PCSX10S 29463 43779 ΗΜΕΡ04</t>
  </si>
  <si>
    <t>HIT PIRAMIDA 10H C.LILY B 120 4S 35627 43776 29462</t>
  </si>
  <si>
    <t>HIT MGCEXP 10H FLRL B 120 PCSX4S 35628 43777 HME02</t>
  </si>
  <si>
    <t>HIT MAT CLASSIC 864 PCSX4S 12+1 7556 35625 ΗΜΑΤ01</t>
  </si>
  <si>
    <t>HIT MAT CLASSIC 144 PCSX18+12S 23534 56227 ΗΜΑΤ09</t>
  </si>
  <si>
    <t>HIT MAT CLASSIC 72 PCSX48S+6S 23557 56229 ΗΜΑΤ03</t>
  </si>
  <si>
    <t>HIT MAT G.TEA 864 PCS X 4S 12+1 35626 17204 HMAT06</t>
  </si>
  <si>
    <t>HIT MAT G.TEA 144 PCS X 15S 49994 ΗΜΑΤ13</t>
  </si>
  <si>
    <t>HIT MAT G.TEA 144 PCS X 18S +9S 23556 56226 ΗΜΑΤ11</t>
  </si>
  <si>
    <t>HIT MAT G.TEA 72 PCS X 48S+6S 23559 56228 ΗΜΑΤ08</t>
  </si>
  <si>
    <t>HIT MAT GKNIGHT PINK B 144 PCS X 30S 57199 ΗΜΑΤ12</t>
  </si>
  <si>
    <t>HIT MAT GKNIGHT PINK B 72 PCS X 60S 57198 ΗΜΑΤ11</t>
  </si>
  <si>
    <t>HIT MAT NO DEVISE G.TEA 48PCSX48S+6S 50005 HMAT12</t>
  </si>
  <si>
    <t>HIT GKNIGHT NS EKO 24 SETX250GR 36707 57316 HGN01</t>
  </si>
  <si>
    <t xml:space="preserve">HIT GKNIGHT NS CLASSIC 144BOX X 35ML 36708 57318 </t>
  </si>
  <si>
    <t>HIT GKNIGHT EXPRS APPLE 24 SETX204GR 36247 57200</t>
  </si>
  <si>
    <t>HIT GKNIGHT NS EXPRS FRESH 144BOXX35ML 36709 57317</t>
  </si>
  <si>
    <t>HIT GKNIGHT EXPRS FRESH 144 BOXX45ML 36249 57203</t>
  </si>
  <si>
    <t>HIT GKNIGHT EXPRS APPLE 144 BOXX45ML 36248 57201</t>
  </si>
  <si>
    <t>HIT GKNIGHT EXPRS P.BLOSOM 144BOXX45ML 57315 HGE05</t>
  </si>
  <si>
    <t>HIT POMPA PLASTIK 120 PCS X 300GR 7596 49639 HP01</t>
  </si>
  <si>
    <t>KLINPAK ALU FOIL REG 12 PCS X 30CM 8320 KAF01</t>
  </si>
  <si>
    <t>KLINPAK ALU FOIL JUMBO 12 PCS X 45CM 8322 KAF02</t>
  </si>
  <si>
    <t>KLINPAK ALU FOIL REG 5M 12 PCS X 30CM 49588 KAF05</t>
  </si>
  <si>
    <t>KLINPAK ALU FOIL REF REG 24 PCS X 30CM 8321 KAF03</t>
  </si>
  <si>
    <t>KLINPAK ALU FOIL REF JUMBO 24 PCSX45CM 8323 KAF04</t>
  </si>
  <si>
    <t>KLINPAK CWRAP REG 12 X 30CM 8325 KCW01</t>
  </si>
  <si>
    <t>KLINPAK CWRAP JUMBO 12 X 38CM 8327 KCW02</t>
  </si>
  <si>
    <t>KLINPAK CLING WRAP BIG 6 PCS X 45CM 8330 KCW05</t>
  </si>
  <si>
    <t>KLINPAK CWRAP REF REG 24 X 30CM 8326 KCW03</t>
  </si>
  <si>
    <t>KLINPAK CWRAP REF JUMBO 24 X 38CM 8328 KCW04</t>
  </si>
  <si>
    <t>KLINPAK K. PLASTIK S.GUNA 24 PCS X 38CM 8340 KK01</t>
  </si>
  <si>
    <t>KLINPAK K. SAMPAH KECIL 24 PCS X 50CM 8336 KK02</t>
  </si>
  <si>
    <t>KLINPAK K. SAMPAH SEDANG 24 PCS X 80CM 8337 KK03</t>
  </si>
  <si>
    <t>KLINPAK K. SAMPAH BESAR 24 PCS X 100CM 8338 KK04</t>
  </si>
  <si>
    <t>KLINPAK K. SAMPAH EXT 24 PCS X 120CM 8339 KK05</t>
  </si>
  <si>
    <t>MITUB PACK 12 BOX X IKG 35995 MBP07</t>
  </si>
  <si>
    <t>MITUB COLG F&amp;C F.GREEN 48 PCS X 50ML 28274 MBC01</t>
  </si>
  <si>
    <t>MITUB COLG F&amp;C F.GREEN 48 PCS X 100ML 28012 58790</t>
  </si>
  <si>
    <t>MITUB COLG F&amp;C S.PINK 48 PCS X 50ML 28285 MBC02</t>
  </si>
  <si>
    <t>MITUB BABY COLG F&amp;C PINK 48 PCSX100ML 28013 58791</t>
  </si>
  <si>
    <t>MITUB GPP PINK ROSE 24 PCS X 50S BGF 27245 MGPP01</t>
  </si>
  <si>
    <t>MITUB GPP PURPLE FR 24 PCS X 50S BGF 27246 MGPP02</t>
  </si>
  <si>
    <t>MITUB GPP WHITE 24 PCS X 50S BGF 27248 MGPP03</t>
  </si>
  <si>
    <t>MITUB GPP BLUE LILY 24 PCS X 50S BGF 27244 MGPP04</t>
  </si>
  <si>
    <t>MITUB HAIR LOT F&amp;C ALOE 48 PCSX100ML 28137 MBHL01</t>
  </si>
  <si>
    <t>MITUB PWDR F&amp;C CLS 36 BTL X 50GR +50% 28269 ΜΒΡ01</t>
  </si>
  <si>
    <t>MITUB PWDR F&amp;C CLS 36 BTL X 100GR+50% 28271 MBP02</t>
  </si>
  <si>
    <t>MITUB PWDR F&amp;C CLS 36 BTL X 200GR+50% 28273 ΜΒΡ03</t>
  </si>
  <si>
    <t>MITUB PWDR F&amp;C FLRL 36 BTL X 50GR+50% 28268 MBP04</t>
  </si>
  <si>
    <t>MITUB PWDR F&amp;C FLRL 36 BTLX100GR +50% 28270 MBP05</t>
  </si>
  <si>
    <t>MITUB PWDR F&amp;C FLRL 36 BTLX200GR +50% 28272 MBP06</t>
  </si>
  <si>
    <t>MITUB SABUN F&amp;C HNY 36 BTL X 200ML 27989 MBS02</t>
  </si>
  <si>
    <t>MITUB SABUN REF F&amp;C HNY 36 PCHX200ML 27990 MBS01</t>
  </si>
  <si>
    <t>MITUB SABUN REF F&amp;C HNY 12 PCHX400ML 27991 MBS03</t>
  </si>
  <si>
    <t>MITUB SHP F&amp;C ALOE 36 BTL X 200ML 28065 MBS04</t>
  </si>
  <si>
    <t>MITUB SHP REF FC ALOE 12PCHX400ML 27883 9897 MBS05</t>
  </si>
  <si>
    <t>MITUB WIPES F&amp;C B.BRY 144 PCSX10S BGF 27233 MBW03</t>
  </si>
  <si>
    <t>MITUB WIPES F&amp;C B.BERRY 24 BTL X 60S 27241 MBW07</t>
  </si>
  <si>
    <t>MITUB WPS F&amp;C P.CHERRY 288 PCSX4S 27230 58366</t>
  </si>
  <si>
    <t>MITUB WIPES F&amp;C P.CHERRY 144 PCSX10S 27232 MBW09</t>
  </si>
  <si>
    <t>MITUB WIPES F&amp;C P.CHERRY 24 BTL X 60S 27240 MBW14</t>
  </si>
  <si>
    <t>MITUB WIPES SINGLE F&amp;C PINK 72PCSX25S 49679 MBW23</t>
  </si>
  <si>
    <t>MITUB WIPES F&amp;C PINK 72 PCS X 25S RCG 49678 MBW24</t>
  </si>
  <si>
    <t>MITUB WIPES F&amp;C P 24 PCS X 40SBGF+20S 31568 MBW15</t>
  </si>
  <si>
    <t>MITUB WIPES F&amp;C BLUE 72 PCS X 25S 49680 MBW25</t>
  </si>
  <si>
    <t>MITUB WIPES F&amp;C B 24 PCS X 40SBGF+20S 31569 MBW16</t>
  </si>
  <si>
    <t>MITUB WIPES F&amp;C B.CHRY 72PCSX30S 38278 39256 MBW22</t>
  </si>
  <si>
    <t>MITUB WIPES AS REFRESH 288PCSX4S 27227 58367 MBW17</t>
  </si>
  <si>
    <t>MITUB WIPES AS REFRSH 144 PCSX10S BGF 27228 MBW18</t>
  </si>
  <si>
    <t>MITUB WIPES AS EXT 24PCSX45S BGF 31371 43531 MBW21</t>
  </si>
  <si>
    <t>MITU MINI ZIPLOCK 36 PACK X 250GR 18118 MM01</t>
  </si>
  <si>
    <t>MITU WETTIES A.SEPT 24 BTL X 90S 12840 MW02</t>
  </si>
  <si>
    <t>MITU WETTIES LEMON 24 BTL X 90S 12841 MW03</t>
  </si>
  <si>
    <t>MITU WETTIES FAMILY TRAVEL 144 PACKX10S 8104 MW04</t>
  </si>
  <si>
    <t>MITU WETTIES REF A.SEPT 24 PCS X 90S 12842 MW07</t>
  </si>
  <si>
    <t>MITU WETTIES REF LEMON 24 PCS X 90S 12843 MW08</t>
  </si>
  <si>
    <t>NYU HC CRM BLUE BLACK 144 SCH X 20GR 60485 NHC26</t>
  </si>
  <si>
    <t>NYU HC CRM BLUE BLACK 24 BOX X 150GR 20677 NHC01</t>
  </si>
  <si>
    <t>NYU HC CRM BURGUNDY 24 BOX X 150GR 23335 NHC03</t>
  </si>
  <si>
    <t xml:space="preserve">NYU CREME BURGUNDY + BLEACH BUNDLE 58723 </t>
  </si>
  <si>
    <t>NYU HC CRM CARAMEL 24 BOX X 150GR 23337 NHC05</t>
  </si>
  <si>
    <t>NYU HC CRM CARAMEL 24 BOX X 150GR BND 58724 NHC43</t>
  </si>
  <si>
    <t>NYU HC CRM COPPERY BROWN 24 BOXX150GR 23336 NHC07</t>
  </si>
  <si>
    <t>NYU HC CREAM COPPERY BROWN 24 BOX BND 58765 NHC22</t>
  </si>
  <si>
    <t>NYU HC CRM NAT.BLACK 144 SCH X 20GR 37720 60392</t>
  </si>
  <si>
    <t>NYU HC CRM NAT BLACK 24 BOX X 60ML MTP 49695 NHC18</t>
  </si>
  <si>
    <t>NYU HC CRM NAT.BLACK 24 BOX X 150GR 23333 NHC09</t>
  </si>
  <si>
    <t>NYU HC CRM NAT.BROWN 144 SCH X 20GR 37721 NHC19</t>
  </si>
  <si>
    <t>NYU HC CRM NAT.BROWN 24 BOX X 150GR 23334 NHC11</t>
  </si>
  <si>
    <t>NYU HC CRM FLAME ORANGE 24 BOXX150GR 33215 NHC12</t>
  </si>
  <si>
    <t>NYU HC CRM NAT.BLEACH 24 BOX X 150GR 28482 NHC14</t>
  </si>
  <si>
    <t>NYU HC CRM GLDN BROWN 144 SCH X 20GR 60394 NHC25</t>
  </si>
  <si>
    <t>NYU HC CRM GOLDEN BROWN 24BOX X 150GR 56280 NHC19</t>
  </si>
  <si>
    <t>NYU HC CRM GLDN BROWN 24 BOX X 150GR BND 58766</t>
  </si>
  <si>
    <t>NYU HC CRM CHERRY RED 24 BOX X 150GR BND 61151</t>
  </si>
  <si>
    <t>NYU HC CRM ASH BLONDE 24 BOX X 150GR 59819 NHC23</t>
  </si>
  <si>
    <t>NYU HC SHP BLUE BLACK 72 PCS X 300GR 49694 NHC20</t>
  </si>
  <si>
    <t>NYU HC SHP BURGUNDY 72PCS X 20ML 35898 57115 NHC15</t>
  </si>
  <si>
    <t>NYU HC SHP NAT.BLACK 72 PCSX20ML 35899 57116 NHC16</t>
  </si>
  <si>
    <t>NYU HC SHP NAT.BROWN 72 PCS X 20ML 57117 NHC17</t>
  </si>
  <si>
    <t>POLYTEX SPON REG JUMBO 48 PCS X 50GR 57762 PSL10</t>
  </si>
  <si>
    <t>POLYTEX K. SAMPAH M 24 PCS X 80CM 39308 PLK03</t>
  </si>
  <si>
    <t>POLYTEX K. SAMPAH L 24 PCS X 100CM 39309 PLK02</t>
  </si>
  <si>
    <t>POLYTEX K. SAMPAH XL 24 PCS X 120CM 39310 PLK01</t>
  </si>
  <si>
    <t>PLTX KAIN PENYERAP 72 PCS X 30GR 8508 31382 PK01</t>
  </si>
  <si>
    <t>POLYTEX SABUT JARING A. GORES 72 PCS 50292 PSJ02</t>
  </si>
  <si>
    <t>PLTX SPON JARING ANTI GORES 72 PCS 31388 PSJ01</t>
  </si>
  <si>
    <t>PLTX SABUT SPON ANTI GORES 288 PCS 31387 PSS01</t>
  </si>
  <si>
    <t>PLTX SABUT SPON EXTRA KUAT 288 PCS 31386 PSS02</t>
  </si>
  <si>
    <t>PLTX PAKET S.SPON EXT.KUAT 120 PCS 2S 31567 58055</t>
  </si>
  <si>
    <t>PLTX SABUT SPON REG 288 PCS 31394 57615 PSS04</t>
  </si>
  <si>
    <t>PLTX SABUT SPON PAKET REG 120 PCS 2S 31566 58056</t>
  </si>
  <si>
    <t>POLYTEX SABUT SPN EXTRA 80 PCS MTP 2+1 50345 PSS06</t>
  </si>
  <si>
    <t>POLYTEX SABUT SPN EXTRA 48 PCS MTP 3+2 50347 PSS07</t>
  </si>
  <si>
    <t>PLTX SABUT NILON HIJAU EXT 576X100GR 31393 PSN01</t>
  </si>
  <si>
    <t>PLTX SPON PENYERAP 72 PCS X 50GR 15289 31384 PSP01</t>
  </si>
  <si>
    <t>PLTX SPON SERBAGUNA 144 PCSX50GR 8472 31390 PSP02</t>
  </si>
  <si>
    <t>PLTX SSTEEL REG. 72 PCS X 12.5GR 8567 31385 PSL02</t>
  </si>
  <si>
    <t>POLYTEX SS REGULER 72 PCS X 40GR 49586 PSL09</t>
  </si>
  <si>
    <t>PLTX SSTEL PPN 72 PCSX12.5G 128 31623 60134 PSL03</t>
  </si>
  <si>
    <t>PLTX SSTEL PPN 72 PCSX12.5G 12S 31623 60134 PSL03</t>
  </si>
  <si>
    <t>POLYTEX SS EXT BERSIH24PCSX20GR MTP2+1 59999 PSL08</t>
  </si>
  <si>
    <t>PLTX SSTEEL E.BERSIH 72 PCSX20GR 20644 31392 PSL04</t>
  </si>
  <si>
    <t>PLTX SSTEEL EXT.BERSIH 48 PCS X 20GR2S 58057 PSL05</t>
  </si>
  <si>
    <t>PLYTX SS EXT BRSH PCS X 20GR MTP2+INEW 59999 PSL11</t>
  </si>
  <si>
    <t>PROCLIN 48 BTL X 200ML 8233 PCL01</t>
  </si>
  <si>
    <t>PROCLIN 24 BTL X 500ML 8237 PCL02</t>
  </si>
  <si>
    <t>PROCLIN 12 BTL X 1 L 8238 PCL03</t>
  </si>
  <si>
    <t>PROCLIN 4 JRG X 3.5 L 35632 PCL04</t>
  </si>
  <si>
    <t>PROCLIN PN 144 SCH X 25ML 32020 42167 58815 PPN01</t>
  </si>
  <si>
    <t>PROCLIN PN 24 PCH X 125ML +25ML 32016 42168 PPN02</t>
  </si>
  <si>
    <t>PROCLIN PN 12 PCH X 400ML 57197 58787 41771 PPN05</t>
  </si>
  <si>
    <t>PROCLIN PN PLS 12PCHX800ML 32018 42169 58788 PPN06</t>
  </si>
  <si>
    <t>PROCLIN PN AKSI PUTIH 12 PCH X 400ML 25913 PPN09</t>
  </si>
  <si>
    <t>PROCLIN LIQUID REGULER 144 PCS X 25ML 35631 PL01</t>
  </si>
  <si>
    <t>POLYTEX S.SPN REG 288 PCS X 100GR 12+1 59659 PSS04</t>
  </si>
  <si>
    <t>SANITER HAND SANTZR GEL 24 PCHX200ML 29967 SHS02</t>
  </si>
  <si>
    <t>SANITER HAND SANTZR GEL 12 PUMPX230ML 29583 SHS03</t>
  </si>
  <si>
    <t>SHOCK ANTI SUMBAT 24BTLX375/350GR 7598 42844 SHO01</t>
  </si>
  <si>
    <t>STELLA AE ORANGE 12 KLG X 140ML 29986 43449 SAE01</t>
  </si>
  <si>
    <t>STL AE ORANGE 12 KLGX175ML 57842 59909 57476 SAE02</t>
  </si>
  <si>
    <t>STELLA AE ORANGE 6 PCS X 350ML 57617 SAE41</t>
  </si>
  <si>
    <t>STELLA AE ORNGE 12 KLG X 350ML 57840 59935 60567</t>
  </si>
  <si>
    <t>STELLA AE ORANGE 12 KLG X 140ML 57843 SAE37</t>
  </si>
  <si>
    <t>STELLA AE APPLE 12 KLG X 175ML 59911 43470 57475</t>
  </si>
  <si>
    <t>STL AE APPLE 12 KLGX350ML 59927 43464 57465 SAE06</t>
  </si>
  <si>
    <t>STELLA AE APPLE 6 PCSX400ML MTP 57616 59936 SAE07</t>
  </si>
  <si>
    <t>STELLA AE J.SAKURA 12 KLGX175ML 59914 43472 57479</t>
  </si>
  <si>
    <t>STELLA AE J.SAKURA 12KLG X 350ML 59931 57469 SAE08</t>
  </si>
  <si>
    <t>STELLA AE LEMON 12 KLG X 175ML 59910 57474 SAE09</t>
  </si>
  <si>
    <t>STL AE LEMON 12 KLGX350ML 43463 57466 59928 SAE10</t>
  </si>
  <si>
    <t>STELLA AE CAFE LATTE 12KLGX175ML 57480 59925 SAE23</t>
  </si>
  <si>
    <t>STL AER CAFE LATTE 12PCSX350ML 43454 57467 59929</t>
  </si>
  <si>
    <t>STELLA AE W.VERBENA 12PCSX350ML 43450 59933 SAE17</t>
  </si>
  <si>
    <t>STL AE R. KENANGA 12PCS X 350ML 57470 59932 SAE18</t>
  </si>
  <si>
    <t>STELLA AE S.LAVENDER 12KLGX175ML 57478 59913 SAE22</t>
  </si>
  <si>
    <t>STL AE S.LAVENDER 12KLGX350ML 43453 57468 59930</t>
  </si>
  <si>
    <t>STELLA AE B.JASMINE 12 KLGX175ML 57477 59912 SAE24</t>
  </si>
  <si>
    <t>STELLA AE B.JASMINE 12 KLGX350ML 59934 57472 SAE25</t>
  </si>
  <si>
    <t>STELLA AE WARM VERBENA 12 KLG X 350ML 57471 SAE27</t>
  </si>
  <si>
    <t>STELLA AE RAJAAMPATL. 12 KLG X 175ML 59926 SAE28</t>
  </si>
  <si>
    <t>STELLA AE RAJAAMPATL. 12 KLG X 350ML 59938 SAE29</t>
  </si>
  <si>
    <t>STL MTC REF R. AMPAT L 12 KLG X 160ML 59956 SAE30</t>
  </si>
  <si>
    <t>STL MTC REF R. AMPAT L12 KLG X 160ML 59956 SAE30</t>
  </si>
  <si>
    <t>STELLA AIO CAFE L. 72PCSX42GR 33311 43509 SAIO01</t>
  </si>
  <si>
    <t>STELLA AIOCAFE L.18PCSX42GR 3+1 33267 43490 SAIO02</t>
  </si>
  <si>
    <t>STELLA AIO CAFE L 72 PCS X 42GR BDD 49992 SAIO16</t>
  </si>
  <si>
    <t>STELLA AIO APPLE 72 PCS X 42GR 33250 43508 SAI003</t>
  </si>
  <si>
    <t>STELLA AIO APPLE 72 PCS X 42GR BANDED 49991 SAIO14</t>
  </si>
  <si>
    <t>STELLA AIO F.BOUGENVILE 72 PCSX42GR 33254 SAIO04</t>
  </si>
  <si>
    <t>STELLA AIO BOUGENVILE 72 PCS X 42GR BANDED 49974</t>
  </si>
  <si>
    <t>STELLA AIO LEMON 72 PCS X 42GR 33248 43506 SAIO05</t>
  </si>
  <si>
    <t>STELLA AIO LEMON 18 PCS X 42GR 3+1 43489 SAI006</t>
  </si>
  <si>
    <t>STELLA AIO LEMON 72 PCS X 42GR BDD 49989 SAIO15</t>
  </si>
  <si>
    <t>STELLA AIO ORANGE 72 PCS X 42GR 43507 58076 SAIO08</t>
  </si>
  <si>
    <t>STELLA AIO ORANGE 72 PCS X 42GR 43507 58076 SAI008</t>
  </si>
  <si>
    <t>STELA AIO ORANGE 18PCSX42GR 3+1 33265 43488 58077</t>
  </si>
  <si>
    <t>STELLA AIO ORNGE 72 PCS X 42GR BANDED 49990 SAIO13</t>
  </si>
  <si>
    <t>STELLA AIO ORANGE 18 PCSX42GR BANDED 57196 SAIO21</t>
  </si>
  <si>
    <t>STELLA AIO SENSATION 72 PCS X 42GR 33253 SAIO10</t>
  </si>
  <si>
    <t>STL AIO SENSATION 72 PCSX42GR BANDED 49995 SAIO17</t>
  </si>
  <si>
    <t>STELLA AIO S.LVENDER 72PCSX42GR 33312 43510 SAIO11</t>
  </si>
  <si>
    <t>STELLA AIO S.LAVENDER 72 PCS X 42GR BANDED 49993</t>
  </si>
  <si>
    <t>STELLA AIO B.JASMIN S 72PCSX42GR+13GR 50038 SAIO18</t>
  </si>
  <si>
    <t>STL AIO B.JASMINE S 72PCSX42GR BANDED 57312 SAIO020</t>
  </si>
  <si>
    <t>STL AIO MTP L.GARDEN 18PCSX42GR+13GR 43491 SAIO19</t>
  </si>
  <si>
    <t>STL DF CAR INDOR VANILA 72PCSX7ML 14293 49693SDF01</t>
  </si>
  <si>
    <t>STELLA DLY FRESH G.FRESH 72 PCS X 7ML 14711 SDF02</t>
  </si>
  <si>
    <t>STELLA DP CAR+INDOOR LILY RJV REG 49692 58512</t>
  </si>
  <si>
    <t>STL DF IND L.DREAM 72PCSX7ML MTP 29198 49688 SD102</t>
  </si>
  <si>
    <t>STELLA DLY INDOOR VANILLA 72 PCSX7ML 14294 58513</t>
  </si>
  <si>
    <t>STL DF CAR INDOR VNLA 72 PCSX7ML MTP 49689 58509</t>
  </si>
  <si>
    <t>STL DF CAR INDOR ORANGE 72PCSX7ML 11642 49691SD106</t>
  </si>
  <si>
    <t>STL DF INDOR KISS 72PCS X 7ML 11641 49690 SD107</t>
  </si>
  <si>
    <t>STL DF INDOR KISS 72PCS X 7ML 11641 49690 SD107.</t>
  </si>
  <si>
    <t>STL DF CAR INDOR A.FRESH 73 PCS X 7ML 58514 SD109</t>
  </si>
  <si>
    <t>STL DF CAR INDOR M.AFTER S 72 PCSX7ML 50202 SD110</t>
  </si>
  <si>
    <t>STELLA FAB.SPRAY P.PEONY 12 PCSX245ML 30008 SFS01</t>
  </si>
  <si>
    <t>STELLA FAB.SPRAY C.BLOOM 12 PCSX245ML 30007 SFS02</t>
  </si>
  <si>
    <t>STELLA F&amp;P F.CITRUS 12 KLG X 300ML 30010 SFP02</t>
  </si>
  <si>
    <t>STELLA F&amp;P F.FLORAL 12 KLG X 300ML 30009 SFP03</t>
  </si>
  <si>
    <t>STELLA F&amp;F FTY&amp;FRESH 144 PCSX21GR MTP 28143 SFF1O</t>
  </si>
  <si>
    <t>STELLA F&amp;F C.MACHIATO 144 PCS 50838 SFF11</t>
  </si>
  <si>
    <t>STELLA F&amp;F C.MACIATO 144 PCSX21GR MTP 28144 SFF03</t>
  </si>
  <si>
    <t>STELLA F&amp;F HAPPYDAY 144 PCS 44140 SFF08</t>
  </si>
  <si>
    <t>STELLA F&amp;F HAPPYDAY 144 PCS X 21GRMTP 28142 SFF06</t>
  </si>
  <si>
    <t>STELLA F&amp;F FRUITY N FRESH 144 PCS 44141 SFF09</t>
  </si>
  <si>
    <t>STELLA F&amp;F S.BLOSSOM 144 PCS X 21GR 28895 SFF07</t>
  </si>
  <si>
    <t>STELLA F&amp;F SAKURA BLOSSOM 144 PCS 50839 SFF12</t>
  </si>
  <si>
    <t>STELLA F&amp;F ICED SENSATION 144 PCS 57692 SFF13</t>
  </si>
  <si>
    <t>STL MTC SET 12 BOX X 1KG 60575 60607 60758</t>
  </si>
  <si>
    <t>STL MTC SET 12 BOX X IKG 60575 60607 60758</t>
  </si>
  <si>
    <t>STELLA MTC PARFUMIST SMART 12 PCS X 60133 29829</t>
  </si>
  <si>
    <t>STL MTC REF CAFE L 6PCSX160ML MTP 50051 59950 SM03</t>
  </si>
  <si>
    <t>STELLA MTC REF GFNTSY 12PCSX160ML 50027 59947 SM05</t>
  </si>
  <si>
    <t>STL MTC REF G.FNTSY 6PCSX160MLMTP 50049 59948 SM06</t>
  </si>
  <si>
    <t>STELLA MTC REF ORNGE12PCSX160ML 50029 57844 60565</t>
  </si>
  <si>
    <t>STL MTC REF ORNGE 6PCSX160ML MTP 43523 50050 58075</t>
  </si>
  <si>
    <t>STELLA MTC REF LEMON F12PCSX160ML 50028 59944 SM09</t>
  </si>
  <si>
    <t>STELLA MTC REF APLE F 12PCSX160ML 50031 59953 SM10</t>
  </si>
  <si>
    <t>STL MTC REF APPLE 6PCSX160ML MTP 50047 59952 SM11</t>
  </si>
  <si>
    <t>STELLA MTC REF W.FLWR 12PCSX160ML 50046 59940 SM13</t>
  </si>
  <si>
    <t>STELLA MTC REF F.CITRUS 12 PCS X 225ML 30573 SM15</t>
  </si>
  <si>
    <t>STELLA MTC REF B. JASMINE 12PCSX160ML 59951 SM16</t>
  </si>
  <si>
    <t>STL MTCP REF SAKURA 12KLGX160ML 50045 59945 SMP02</t>
  </si>
  <si>
    <t>STL MTCP REF CAFE L. 12PCSX160ML 50030 59949 SMP03</t>
  </si>
  <si>
    <t>STL MTCP REF SKURA 6PCSX160MLMTP 50048 59946 SMP04</t>
  </si>
  <si>
    <t>STL MTCP REF S.LVNDR 12KLGX160ML 50032 59941 SMP06</t>
  </si>
  <si>
    <t>STL MTCP REF LVNDR 6PCSX160MLMTP 50052 59942 SMP10</t>
  </si>
  <si>
    <t>STL MTCP REF W.VERB 12KLGX160ML 50033 59939 SMP08</t>
  </si>
  <si>
    <t>STL MTCP ROYAL KNNGA 12KLGX160ML 50034 59943 SMP09</t>
  </si>
  <si>
    <t>STELLA M.MTC SET CAFE LATTE 24 KLG X 29249 SMM01</t>
  </si>
  <si>
    <t>STELLA M.MTC SET G.FANTASY 24 KLG X 28611 SMM02</t>
  </si>
  <si>
    <t>STELLA M.MTC REF CAFE L. 24 KLGX40ML 28520 SMM03</t>
  </si>
  <si>
    <t>STELLA M.MTC REF G.FANTASY 24 PCSX40ML 7717 SMM04</t>
  </si>
  <si>
    <t>STELLA M.MTC REF D.ISLAND 24 KLGX40ML 28519 SMM05</t>
  </si>
  <si>
    <t>STL POCBATH F&amp;P ORANGE 72PCSX10G 43483 33710 SPB01</t>
  </si>
  <si>
    <t>STL POCBATH F&amp;P PURP 72PCSX10GR 33709 43482 SPB02</t>
  </si>
  <si>
    <t>STL POCBATH F&amp;P BLUE 72 PCSX10GR 43484 33711 SPB03</t>
  </si>
  <si>
    <t>STELLA PBATH F&amp;P GREN 72PCSX10GR 33712 43505 SPB04</t>
  </si>
  <si>
    <t>STL POCBATH F&amp;P MULTIPACK 18 BOX X10GR 56279 SPB06</t>
  </si>
  <si>
    <t>STELLA POCBATH F&amp;P EXOTIC 72 PCS X 50840 SPB07</t>
  </si>
  <si>
    <t>STELLA POCBATH F&amp;P LUXURIOS 72 PCS X 50841 SPB08</t>
  </si>
  <si>
    <t>STL DF CAR RED KIS/ROS 72PCS MTP 49686 58506 SDC02</t>
  </si>
  <si>
    <t>STELLA C&amp;T AFTER SMOKE 24 PCS X 100GR 31090 SCT01</t>
  </si>
  <si>
    <t>STELLA C&amp;T AQUA MARINE 24 PCS X 100GR 31092 SCT03</t>
  </si>
  <si>
    <t>STELLA ELECTRIC 24 SET X 25ML 42087 59816 S04</t>
  </si>
  <si>
    <t>STELLA ELEC LAVENDER BLOOM 144 PCSX25ML 59494 S05</t>
  </si>
  <si>
    <t>STELLA ELEC JASMINE BREEZE 144 PCSX25ML 42096 S06</t>
  </si>
  <si>
    <t>STELLA MIST DIFFUSER SET LEMON 6 PCS 34894 S07</t>
  </si>
  <si>
    <t>STELLA MIST DIFFUSER REFFIL LEMON 12 PCS 34917 S08</t>
  </si>
  <si>
    <t>STELLA HANG&amp;FLIP JASMINE FLOW 24 PCS X 9ML 58886</t>
  </si>
  <si>
    <t>STELLA HANG&amp;FLIP JASMINE FLOW 24 PCS X 9ML 57599</t>
  </si>
  <si>
    <t>STELLA HANG&amp;FLIP AQUA REFLECT 24 PCS X 9ML 57600</t>
  </si>
  <si>
    <t>SUSEMI SABUT SPON 288 PCS 8487 SUS01</t>
  </si>
  <si>
    <t>SUSEMI SABUT STAINLESS 432 PCS X 8502 SUS02</t>
  </si>
  <si>
    <t>SUSEMI SABUT STAINLESS 72 PCS X 40GR 18633 SUS04</t>
  </si>
  <si>
    <t>SUSEMI SABUT POLOS 576 PCS 8523 SUS03</t>
  </si>
  <si>
    <t>STELLA HANG&amp;FLIP AQUA REFLECT 24 PCS X 9ML 58887</t>
  </si>
  <si>
    <t>GAS WONDERFUEL 12 KLG X 220GR 7868 GAS01</t>
  </si>
  <si>
    <t>MITU BABY GIFT SET ESSENTIAL 24 PACK X 50291 MB01</t>
  </si>
  <si>
    <t>MITU BABY GIFT SET PREMIUM 6 PACK X 50313 MB02</t>
  </si>
  <si>
    <t>MITUB WIPES F&amp;C B.BERRY 288 PCS X 4S 58365 MBW38</t>
  </si>
  <si>
    <t xml:space="preserve">HIT GKNIGHT EXPRS RF APPLE 144 BOXX45ML MTP 59201 </t>
  </si>
  <si>
    <t xml:space="preserve">HIT GKNIGHT N-S FRESH 144 BOX X 35ML MTP 59202 </t>
  </si>
  <si>
    <t>AUTOSOL</t>
  </si>
  <si>
    <t>BIOSOL</t>
  </si>
  <si>
    <t>METAL POLISH</t>
  </si>
  <si>
    <t>15GR</t>
  </si>
  <si>
    <t>50GR</t>
  </si>
  <si>
    <t>CARRERA</t>
  </si>
  <si>
    <t>FOGO</t>
  </si>
  <si>
    <t>DASHBOARD CLEANER</t>
  </si>
  <si>
    <t>175ML</t>
  </si>
  <si>
    <t>MOTOR CHAIN</t>
  </si>
  <si>
    <t>SERBA GUNA</t>
  </si>
  <si>
    <t>LUBE</t>
  </si>
  <si>
    <t>SPON</t>
  </si>
  <si>
    <t>PELUMAS</t>
  </si>
  <si>
    <t>110ML</t>
  </si>
  <si>
    <t>KLG</t>
  </si>
  <si>
    <t>SET</t>
  </si>
  <si>
    <t>NamaJenisKemasan</t>
  </si>
  <si>
    <t>JRG</t>
  </si>
  <si>
    <t>PENGKILAP BAN</t>
  </si>
  <si>
    <t>POLES MOTOR</t>
  </si>
  <si>
    <t>180GR</t>
  </si>
  <si>
    <t>SHAMPOO</t>
  </si>
  <si>
    <t>MOBIL</t>
  </si>
  <si>
    <t>MOTOR</t>
  </si>
  <si>
    <t>REFILL</t>
  </si>
  <si>
    <t>FLORAL</t>
  </si>
  <si>
    <t>FRESH</t>
  </si>
  <si>
    <t>XP-1000</t>
  </si>
  <si>
    <t>PENGHARUM LEMARI</t>
  </si>
  <si>
    <t>PRINCESS</t>
  </si>
  <si>
    <t>30GR</t>
  </si>
  <si>
    <t>12GR</t>
  </si>
  <si>
    <t>GAS</t>
  </si>
  <si>
    <t>WONDERFUEL</t>
  </si>
  <si>
    <t>220GR</t>
  </si>
  <si>
    <t>HIT</t>
  </si>
  <si>
    <t>AEROSOL</t>
  </si>
  <si>
    <t>COTTON POWDER</t>
  </si>
  <si>
    <t>415/400ML</t>
  </si>
  <si>
    <t>600ML</t>
  </si>
  <si>
    <t>FRESH CITRUS</t>
  </si>
  <si>
    <t>JAPANESE SAKURA</t>
  </si>
  <si>
    <t>LILY BLOSSOM</t>
  </si>
  <si>
    <t>LAVENDER BREEZE</t>
  </si>
  <si>
    <t>ORANGE</t>
  </si>
  <si>
    <t>PINK BLOSSOM</t>
  </si>
  <si>
    <t>CAP GAJAH</t>
  </si>
  <si>
    <t>KERTAS</t>
  </si>
  <si>
    <t>TIKUS</t>
  </si>
  <si>
    <t>TRAP</t>
  </si>
  <si>
    <t>3S</t>
  </si>
  <si>
    <t>12S</t>
  </si>
  <si>
    <t>750ML</t>
  </si>
  <si>
    <t>150ML</t>
  </si>
  <si>
    <t>ANTI KECOA</t>
  </si>
  <si>
    <t>GEL</t>
  </si>
  <si>
    <t>SPRAY</t>
  </si>
  <si>
    <t>APPLE</t>
  </si>
  <si>
    <t>CLASSIC</t>
  </si>
  <si>
    <t>EKO</t>
  </si>
  <si>
    <t>20GR</t>
  </si>
  <si>
    <t>ELECTRIC</t>
  </si>
  <si>
    <t>BANDED</t>
  </si>
  <si>
    <t>225GR</t>
  </si>
  <si>
    <t>45ML</t>
  </si>
  <si>
    <t>GOODKNIGHT EXPRESS</t>
  </si>
  <si>
    <t>GOODKNIGHT NON-STOP</t>
  </si>
  <si>
    <t>EKONOMIS</t>
  </si>
  <si>
    <t>250GR</t>
  </si>
  <si>
    <t>35ML</t>
  </si>
  <si>
    <t>LIQUID</t>
  </si>
  <si>
    <t>MAGIC</t>
  </si>
  <si>
    <t>MAT</t>
  </si>
  <si>
    <t>CLASSIC LILY BLOSSOM</t>
  </si>
  <si>
    <t>GREEN TEA</t>
  </si>
  <si>
    <t>EXPERT</t>
  </si>
  <si>
    <t>FLORAL BLOSSOM</t>
  </si>
  <si>
    <t>10S</t>
  </si>
  <si>
    <t>12+1</t>
  </si>
  <si>
    <t>4S</t>
  </si>
  <si>
    <t>18S</t>
  </si>
  <si>
    <t>48S</t>
  </si>
  <si>
    <t>15S</t>
  </si>
  <si>
    <t>30S</t>
  </si>
  <si>
    <t>60S</t>
  </si>
  <si>
    <t>6S</t>
  </si>
  <si>
    <t>KLINPAK</t>
  </si>
  <si>
    <t>POMPA PLASTIK</t>
  </si>
  <si>
    <t>ALUMINIUM FOIL</t>
  </si>
  <si>
    <t>JUMBO</t>
  </si>
  <si>
    <t>45CM</t>
  </si>
  <si>
    <t>30CM</t>
  </si>
  <si>
    <t>5M</t>
  </si>
  <si>
    <t>ESSENTIAL</t>
  </si>
  <si>
    <t>PREMIUM</t>
  </si>
  <si>
    <t>CLING WRAP</t>
  </si>
  <si>
    <t>BIG</t>
  </si>
  <si>
    <t>BESAR</t>
  </si>
  <si>
    <t>KECIL</t>
  </si>
  <si>
    <t>SEDANG</t>
  </si>
  <si>
    <t>38CM</t>
  </si>
  <si>
    <t>REGULER</t>
  </si>
  <si>
    <t>KANTONG PLASTIK</t>
  </si>
  <si>
    <t>KANTONG SAMPAH</t>
  </si>
  <si>
    <t>SERBAGUNA</t>
  </si>
  <si>
    <t>100CM</t>
  </si>
  <si>
    <t>EXTRA</t>
  </si>
  <si>
    <t>120CM</t>
  </si>
  <si>
    <t>50CM</t>
  </si>
  <si>
    <t>80CM</t>
  </si>
  <si>
    <t>MITU BABY</t>
  </si>
  <si>
    <t>MITU MINI</t>
  </si>
  <si>
    <t>MITU WETTIES</t>
  </si>
  <si>
    <t>ZIPLOCK</t>
  </si>
  <si>
    <t>LEMON</t>
  </si>
  <si>
    <t>FAMILY TRAVEL</t>
  </si>
  <si>
    <t>ANTISEPTIC</t>
  </si>
  <si>
    <t>90S</t>
  </si>
  <si>
    <t>GIFT SET</t>
  </si>
  <si>
    <t>PAKET</t>
  </si>
  <si>
    <t>F&amp;C</t>
  </si>
  <si>
    <t>BURGUNDY</t>
  </si>
  <si>
    <t>BURGUNDY + BLEACH</t>
  </si>
  <si>
    <t>SWEET PINK</t>
  </si>
  <si>
    <t>FRESH GREEN</t>
  </si>
  <si>
    <t>PINK CHERRY</t>
  </si>
  <si>
    <t>NYU CREME</t>
  </si>
  <si>
    <t>GANTI POPOK</t>
  </si>
  <si>
    <t>BLUE LILY</t>
  </si>
  <si>
    <t>PINK ROSE</t>
  </si>
  <si>
    <t>50S</t>
  </si>
  <si>
    <t>BOGOF</t>
  </si>
  <si>
    <t>PURPLE</t>
  </si>
  <si>
    <t>WHITE</t>
  </si>
  <si>
    <t>ALOE</t>
  </si>
  <si>
    <t>HONEY</t>
  </si>
  <si>
    <t>BLUE</t>
  </si>
  <si>
    <t>REFRESHING</t>
  </si>
  <si>
    <t>+50%</t>
  </si>
  <si>
    <t>100GR</t>
  </si>
  <si>
    <t>200GR</t>
  </si>
  <si>
    <t>25S</t>
  </si>
  <si>
    <t>ASH BLONDE</t>
  </si>
  <si>
    <t>CARAMEL + BLEACH</t>
  </si>
  <si>
    <t>CARAMEL</t>
  </si>
  <si>
    <t>COPPERY BROWN</t>
  </si>
  <si>
    <t>CHERRY RED</t>
  </si>
  <si>
    <t>45S</t>
  </si>
  <si>
    <t>40S</t>
  </si>
  <si>
    <t>BLOOMING CHERRY</t>
  </si>
  <si>
    <t>20S</t>
  </si>
  <si>
    <t>NYU HENNA</t>
  </si>
  <si>
    <t>STELLA MATIC</t>
  </si>
  <si>
    <t>BLOSSOM BERRY</t>
  </si>
  <si>
    <t>25s</t>
  </si>
  <si>
    <t>2S</t>
  </si>
  <si>
    <t>40GR</t>
  </si>
  <si>
    <t>1 L</t>
  </si>
  <si>
    <t>500ML</t>
  </si>
  <si>
    <t>3.5 L</t>
  </si>
  <si>
    <t>25ML</t>
  </si>
  <si>
    <t>230ML</t>
  </si>
  <si>
    <t>60ML</t>
  </si>
  <si>
    <t>250ML</t>
  </si>
  <si>
    <t>140ML</t>
  </si>
  <si>
    <t>350ML</t>
  </si>
  <si>
    <t>42GR</t>
  </si>
  <si>
    <t>300ML</t>
  </si>
  <si>
    <t>245ML</t>
  </si>
  <si>
    <t>40ML</t>
  </si>
  <si>
    <t>160ML</t>
  </si>
  <si>
    <t>125ML</t>
  </si>
  <si>
    <t>HAIR COLOUR</t>
  </si>
  <si>
    <t>COPPERY BROWN + BLEACH</t>
  </si>
  <si>
    <t>CHERRY RED + BLEACH</t>
  </si>
  <si>
    <t>BLUE BLACK</t>
  </si>
  <si>
    <t>GOLDEN BROWN + BLEACH</t>
  </si>
  <si>
    <t>GOLDEN BROWN</t>
  </si>
  <si>
    <t>ANTI GORES</t>
  </si>
  <si>
    <t>EXTRA KUAT</t>
  </si>
  <si>
    <t>L</t>
  </si>
  <si>
    <t>M</t>
  </si>
  <si>
    <t>XL</t>
  </si>
  <si>
    <t>CITRUS</t>
  </si>
  <si>
    <t>FLAMING ORANGE</t>
  </si>
  <si>
    <t>NATURAL BLACK</t>
  </si>
  <si>
    <t>NATURAL BROWN</t>
  </si>
  <si>
    <t>AQUA REFLECTION</t>
  </si>
  <si>
    <t>JASMINE FLOW</t>
  </si>
  <si>
    <t>CARAMEL MACHIATO</t>
  </si>
  <si>
    <t>SAKURA BLOSSOM</t>
  </si>
  <si>
    <t>SABUT STAINLESS</t>
  </si>
  <si>
    <t>MULTI PACK</t>
  </si>
  <si>
    <t>NATURAL BLEACH</t>
  </si>
  <si>
    <t>KAIN</t>
  </si>
  <si>
    <t>POLYTEX</t>
  </si>
  <si>
    <t>MICROFIBER</t>
  </si>
  <si>
    <t>SABUT SPON</t>
  </si>
  <si>
    <t>SABUT</t>
  </si>
  <si>
    <t>EXTRA BERSIH &amp; TAHAN LAMA</t>
  </si>
  <si>
    <t>REGULAR</t>
  </si>
  <si>
    <t>JARING</t>
  </si>
  <si>
    <t>12.5G</t>
  </si>
  <si>
    <t>5S</t>
  </si>
  <si>
    <t>S.STEEL</t>
  </si>
  <si>
    <t>REGULAR JUMBO</t>
  </si>
  <si>
    <t>PENGHILANG NODA</t>
  </si>
  <si>
    <t>PROCLIN</t>
  </si>
  <si>
    <t>AKSI PUTIH</t>
  </si>
  <si>
    <t>SHOCK</t>
  </si>
  <si>
    <t>ANTI SUMBAT</t>
  </si>
  <si>
    <t>ALL IN ONE</t>
  </si>
  <si>
    <t>CAFFE LATTE</t>
  </si>
  <si>
    <t>3+1</t>
  </si>
  <si>
    <t>STELLA</t>
  </si>
  <si>
    <t>CLIP&amp;TWIST</t>
  </si>
  <si>
    <t>DAILY FRESH</t>
  </si>
  <si>
    <t>BLOOMING JASMINE</t>
  </si>
  <si>
    <t>RAJA AMPAT LAGOON</t>
  </si>
  <si>
    <t>LAVENDER</t>
  </si>
  <si>
    <t>WARM VERBENA</t>
  </si>
  <si>
    <t>BOUGENVILLE</t>
  </si>
  <si>
    <t>SENSATION</t>
  </si>
  <si>
    <t>LILY DREAM</t>
  </si>
  <si>
    <t>AFTERSMOKE</t>
  </si>
  <si>
    <t>AQUA MARINE</t>
  </si>
  <si>
    <t>GREEN FRESH</t>
  </si>
  <si>
    <t>CAR+INDOOR</t>
  </si>
  <si>
    <t>VANILLA</t>
  </si>
  <si>
    <t>DEVICE</t>
  </si>
  <si>
    <t>FRUITY</t>
  </si>
  <si>
    <t>FUN&amp;FRESH</t>
  </si>
  <si>
    <t>HAPPY DAY</t>
  </si>
  <si>
    <t>ICED SENSATION</t>
  </si>
  <si>
    <t>PINK PEONY</t>
  </si>
  <si>
    <t>HANG&amp;FLIP</t>
  </si>
  <si>
    <t>DREAM ISLAND</t>
  </si>
  <si>
    <t>GREEN FANTASY</t>
  </si>
  <si>
    <t>FLORAL CITRUS</t>
  </si>
  <si>
    <t>WILD FLOWER</t>
  </si>
  <si>
    <t>GREEN</t>
  </si>
  <si>
    <t>EXOTIC FRUIT</t>
  </si>
  <si>
    <t>LUXURIOS FLOWER</t>
  </si>
  <si>
    <t>REFRESHING KENANGA</t>
  </si>
  <si>
    <t>AQUA</t>
  </si>
  <si>
    <t>MUSK</t>
  </si>
  <si>
    <t>ROSE KISS</t>
  </si>
  <si>
    <t>CAR+INDOOR MTP</t>
  </si>
  <si>
    <t>REFILL MULTI PACK</t>
  </si>
  <si>
    <t>ROYAL KENANGA</t>
  </si>
  <si>
    <t>SABUT POLOS</t>
  </si>
  <si>
    <t>SUSEMI</t>
  </si>
  <si>
    <t>02</t>
  </si>
  <si>
    <t>0000</t>
  </si>
  <si>
    <t>C.GJH LEM TKS TRP 12 PCSX60GR MTP 5+1"34355"CGT03</t>
  </si>
  <si>
    <t>HIT AE EXPT CITRUS 12 KLGX600ML "34859"37980"HAE08</t>
  </si>
  <si>
    <t>HIT LIQUID CLASIC LILY B 12 PCHX700ML "16506"HL03</t>
  </si>
  <si>
    <t>MITUB WIPES F&amp;C B.BERRY 36 PCS X 24S "27237"MBW05</t>
  </si>
  <si>
    <t>MITUB WIPES F&amp;C P.CHERRY 36 PCS X 24S"27236"MBW11</t>
  </si>
  <si>
    <t>POLYTEX LAP PENYERAP CHAMOIS 72PCSX1S"31383"PLP01</t>
  </si>
  <si>
    <t>POLYTEX SS SP REGULER 120 PACK MTP"29118"PSL07</t>
  </si>
  <si>
    <t>SANITER ASURF SANTZR AE 12 KLGX200ML"57947"SAS05</t>
  </si>
  <si>
    <t>STELLA AE ORANGE 6 PCSX400ML MTP"43466"59937"SAE04</t>
  </si>
  <si>
    <t>STELLA AER JEJU ORANGE 350+50ML MTP RJV</t>
  </si>
  <si>
    <t>C.GAJAH LEM TIKUS TRAP 72 PCS X 70GR "17673"CGT04</t>
  </si>
  <si>
    <t>CARRERA WIPER&amp;WASH 12 BTL X 250ML "8271"CR04</t>
  </si>
  <si>
    <t>FOGO PENG. LEMARI BREEZE 72 PCS X 30GR"8198"FPL02</t>
  </si>
  <si>
    <t>HIT AE EXPT BLOOM.TEA 12 KLG X 200ML "34832"HAE01</t>
  </si>
  <si>
    <t>HIT ELECTRIC TIKUS 48 PCS X 225GR+ ALAT"7533"HE02</t>
  </si>
  <si>
    <t>HIT MGC 0.15 FRESH 576 PCS X 3S "7576"HM03</t>
  </si>
  <si>
    <t>HIT MGC 0.15 LILY B 576 PCS X 4S +2S"29541"HM05</t>
  </si>
  <si>
    <t>HIT MGC FLORAL 144 PCS X 10S "15298"HM06</t>
  </si>
  <si>
    <t>HIT MGC EXP P CLS LILY B 576 PCSX4S "28914"HMEP01</t>
  </si>
  <si>
    <t>HIT MAT CLASSIC 144 PCS X 18S +6S"7562"HMAT02</t>
  </si>
  <si>
    <t>HIT MAT FLORAL 144 PCS X 18S +6S"7572"HMAT04</t>
  </si>
  <si>
    <t>HIT ONE PUSH G.TEA 48 PCS X 10ML BGF"34916"HOP05</t>
  </si>
  <si>
    <t>HIT ONE PUSH ORANGE 48 PCS X 10ML "34915"HOP09</t>
  </si>
  <si>
    <t>HIT ONE PUSH ORANGE 48 PCS X 10ML BGF"20719"HOP10</t>
  </si>
  <si>
    <t>MITUB MILK BATH F&amp;C OAT 24 BTLX200ML "27992"MMB01</t>
  </si>
  <si>
    <t>MITUB MILK BATH REF OAT 12 PCH X 400ML"27994"MMB03</t>
  </si>
  <si>
    <t>MITUB OIL F&amp;C OLIVE 48 BTL X 95ML+50%"28073"MBO01</t>
  </si>
  <si>
    <t>MITUB WIPES F&amp;C B.BERRY 72 PCS X 20S "27235"MBW04</t>
  </si>
  <si>
    <t>MITUB WIPES F&amp;C B.BERRY 24 PCS X 60S "27243"MBW06</t>
  </si>
  <si>
    <t>MITUB WIPES F&amp;C P.CHERRY 72 PCS X 20S"27234"MBW10</t>
  </si>
  <si>
    <t>MITU WETTIES FAMILY LEMON 144 PACKX10S "8106"MW06</t>
  </si>
  <si>
    <t>NYU HC CRM COPPERY BROWN 144 SCHX85GR"20112"NHC06</t>
  </si>
  <si>
    <t>NYU HC CRM CHERRY RED 24 BOX X 150GR "27283"NHC13</t>
  </si>
  <si>
    <t>POLYTEX SELULOSA EXT.KUAT 72 PCSX50GR"31389"PSL06</t>
  </si>
  <si>
    <t>PROCLIN PN 24 BTL X 180ML "31984"PPN03</t>
  </si>
  <si>
    <t>PROCLIN PN 24 BTL X 400ML "19545"PPN04</t>
  </si>
  <si>
    <t>STELLA AE ROSE 12 KLG X 200ML "29992"SAE11</t>
  </si>
  <si>
    <t>STELLA AE ROSE 12 PCS X 400ML "7667"29999"SAE12</t>
  </si>
  <si>
    <t>STELLA AE ODOUR.N 12 KLG X 400ML "30002"SAE20</t>
  </si>
  <si>
    <t>STELLA AIO LIME C. 72 PCS X 42GR "33252"SAIO07</t>
  </si>
  <si>
    <t>STELLA BATHROOM F.GREEN 72 PCS X 42GR "33286"SB02</t>
  </si>
  <si>
    <t>STELLA DLY FRESH ORANGE B 72 PCS X 7ML"8741"SDF04</t>
  </si>
  <si>
    <t>STELLA DLY FRESH RED KISS 72 PCS X 7ML"8740"SDF06</t>
  </si>
  <si>
    <t>STELLA DLY INDOOR DREAM 72 PCS X 7ML "11643"SDI01</t>
  </si>
  <si>
    <t>STELLA F&amp;F FRUITY&amp;FRESH 144 PCSX21GR "26248"SFF01</t>
  </si>
  <si>
    <t>STELLA F&amp;F C.MACCHIATO 144 PCS X 21GR"24792"SFF02</t>
  </si>
  <si>
    <t>STELLA M.MTC REF T.BREEZE 24 PCSX40ML "7723"SMM08</t>
  </si>
  <si>
    <t>STELLA SKYLINE DRAGON 24 PCS X 70ML "7610"SS03</t>
  </si>
  <si>
    <t>70GR</t>
  </si>
  <si>
    <t>60GR</t>
  </si>
  <si>
    <t>LEM LALAT</t>
  </si>
  <si>
    <t>LEM TIKUS</t>
  </si>
  <si>
    <t>WIPER&amp;WASH</t>
  </si>
  <si>
    <t>BREEZE</t>
  </si>
  <si>
    <t>BLOOMING TEA</t>
  </si>
  <si>
    <t>ALAT</t>
  </si>
  <si>
    <t>ONE PUSH</t>
  </si>
  <si>
    <t>10ML</t>
  </si>
  <si>
    <t>OAT</t>
  </si>
  <si>
    <t>OLIVE</t>
  </si>
  <si>
    <t>95ML</t>
  </si>
  <si>
    <t>24</t>
  </si>
  <si>
    <t>24S</t>
  </si>
  <si>
    <t>CHAMOIS</t>
  </si>
  <si>
    <t>SANITER</t>
  </si>
  <si>
    <t>SELULOSA</t>
  </si>
  <si>
    <t>SS &amp; SP</t>
  </si>
  <si>
    <t>AIR SURFACE</t>
  </si>
  <si>
    <t>HAND SANITIZER</t>
  </si>
  <si>
    <t>ODOUR NETRALIZER</t>
  </si>
  <si>
    <t>ROSE</t>
  </si>
  <si>
    <t>LIME</t>
  </si>
  <si>
    <t>RED KISS</t>
  </si>
  <si>
    <t>INDOOR</t>
  </si>
  <si>
    <t>TROPICAL BREEZE</t>
  </si>
  <si>
    <t>SKYLINE</t>
  </si>
  <si>
    <t>DRAGON</t>
  </si>
  <si>
    <t>03</t>
  </si>
  <si>
    <t>1</t>
  </si>
  <si>
    <t>04</t>
  </si>
  <si>
    <t>05</t>
  </si>
  <si>
    <t>06</t>
  </si>
  <si>
    <t>EXPERT PIRAMIDA</t>
  </si>
  <si>
    <t>07</t>
  </si>
  <si>
    <t>08</t>
  </si>
  <si>
    <t>09</t>
  </si>
  <si>
    <t>MITU BABY COLOGNE</t>
  </si>
  <si>
    <t>MITU BABY HAIR LOTION</t>
  </si>
  <si>
    <t>MITU BABY MILK BATH</t>
  </si>
  <si>
    <t>MITU BABY OIL</t>
  </si>
  <si>
    <t>MITU BABY POWDER</t>
  </si>
  <si>
    <t>MITU BABY SABUN</t>
  </si>
  <si>
    <t>F&amp;C 2IN1</t>
  </si>
  <si>
    <t>MITU BABY SHAMPOO</t>
  </si>
  <si>
    <t>MITU BABY WIPES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</si>
  <si>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</si>
  <si>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</si>
  <si>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</si>
  <si>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</si>
  <si>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</si>
  <si>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</si>
  <si>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</si>
  <si>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</si>
  <si>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</si>
  <si>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</si>
  <si>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</si>
  <si>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</si>
  <si>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</si>
  <si>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LAP</t>
  </si>
  <si>
    <t>PENYERAP</t>
  </si>
  <si>
    <t>NILON</t>
  </si>
  <si>
    <t>2</t>
  </si>
  <si>
    <t>SPON MULTI PACK</t>
  </si>
  <si>
    <t>SPON PAKET</t>
  </si>
  <si>
    <t>STAINLESS</t>
  </si>
  <si>
    <t>3</t>
  </si>
  <si>
    <t>4</t>
  </si>
  <si>
    <t>5</t>
  </si>
  <si>
    <t>6</t>
  </si>
  <si>
    <t>23</t>
  </si>
  <si>
    <t>25</t>
  </si>
  <si>
    <t>PARFUMIST SMART</t>
  </si>
  <si>
    <t>STELLA MIST DIFFUSER</t>
  </si>
  <si>
    <t>26</t>
  </si>
  <si>
    <t>MINI</t>
  </si>
  <si>
    <t>27</t>
  </si>
  <si>
    <t>28</t>
  </si>
  <si>
    <t>29</t>
  </si>
  <si>
    <t>30</t>
  </si>
  <si>
    <t>STELLA POCKET BATHROOM</t>
  </si>
  <si>
    <t>1001</t>
  </si>
  <si>
    <t>0010</t>
  </si>
  <si>
    <t>0110</t>
  </si>
  <si>
    <t>0012</t>
  </si>
  <si>
    <t>0120</t>
  </si>
  <si>
    <t>0125</t>
  </si>
  <si>
    <t>0150</t>
  </si>
  <si>
    <t>0140</t>
  </si>
  <si>
    <t>0015</t>
  </si>
  <si>
    <t>0175</t>
  </si>
  <si>
    <t>0160</t>
  </si>
  <si>
    <t>0180</t>
  </si>
  <si>
    <t>0018</t>
  </si>
  <si>
    <t>+12S</t>
  </si>
  <si>
    <t>+6S</t>
  </si>
  <si>
    <t>0200</t>
  </si>
  <si>
    <t>0020</t>
  </si>
  <si>
    <t>0220</t>
  </si>
  <si>
    <t>0225</t>
  </si>
  <si>
    <t>0230</t>
  </si>
  <si>
    <t>0245</t>
  </si>
  <si>
    <t>0024</t>
  </si>
  <si>
    <t>0250</t>
  </si>
  <si>
    <t>0025</t>
  </si>
  <si>
    <t>0002</t>
  </si>
  <si>
    <t>1003</t>
  </si>
  <si>
    <t>0030</t>
  </si>
  <si>
    <t>0300</t>
  </si>
  <si>
    <t>0350</t>
  </si>
  <si>
    <t>0035</t>
  </si>
  <si>
    <t>0360</t>
  </si>
  <si>
    <t>0038</t>
  </si>
  <si>
    <t>0003</t>
  </si>
  <si>
    <t>0400</t>
  </si>
  <si>
    <t>0040</t>
  </si>
  <si>
    <t>0045</t>
  </si>
  <si>
    <t>0048</t>
  </si>
  <si>
    <t>0004</t>
  </si>
  <si>
    <t>0500</t>
  </si>
  <si>
    <t>0050</t>
  </si>
  <si>
    <t>0005</t>
  </si>
  <si>
    <t>0600</t>
  </si>
  <si>
    <t>0060</t>
  </si>
  <si>
    <t>0006</t>
  </si>
  <si>
    <t>0700</t>
  </si>
  <si>
    <t>0070</t>
  </si>
  <si>
    <t>0750</t>
  </si>
  <si>
    <t>0800</t>
  </si>
  <si>
    <t>0080</t>
  </si>
  <si>
    <t>0095</t>
  </si>
  <si>
    <t>0090</t>
  </si>
  <si>
    <t>WASH&amp;WAX</t>
  </si>
  <si>
    <t>FRESH MULTI PACK</t>
  </si>
  <si>
    <t>MAT GOODKNIGHT</t>
  </si>
  <si>
    <t>5+1</t>
  </si>
  <si>
    <t>JASMINE BREEZE</t>
  </si>
  <si>
    <t>STICK</t>
  </si>
  <si>
    <t>F&amp;P FABRIC SPRAY</t>
  </si>
  <si>
    <t>F&amp;P</t>
  </si>
  <si>
    <t>PAPAN</t>
  </si>
  <si>
    <t>STELLA AIO LAVENDER 42+10GR(3+1) MTP RJV</t>
  </si>
  <si>
    <t>Column3</t>
  </si>
  <si>
    <t>Column4</t>
  </si>
  <si>
    <t>RCG</t>
  </si>
  <si>
    <t>0042</t>
  </si>
  <si>
    <t>Column5</t>
  </si>
  <si>
    <t>G1011000001510</t>
  </si>
  <si>
    <t>G1011000005010</t>
  </si>
  <si>
    <t>G1020000002010</t>
  </si>
  <si>
    <t>G1020000040021</t>
  </si>
  <si>
    <t>G1020000040020</t>
  </si>
  <si>
    <t>G1020000070021</t>
  </si>
  <si>
    <t>G1020000070020</t>
  </si>
  <si>
    <t>G1031001001210</t>
  </si>
  <si>
    <t>G1031002000310</t>
  </si>
  <si>
    <t>G1032101006011</t>
  </si>
  <si>
    <t>G1032001006010</t>
  </si>
  <si>
    <t>G1032001007010</t>
  </si>
  <si>
    <t>G1032000005010</t>
  </si>
  <si>
    <t>G1032000010010</t>
  </si>
  <si>
    <t>G1041000017510</t>
  </si>
  <si>
    <t>G1042001011010</t>
  </si>
  <si>
    <t>G1043001020010</t>
  </si>
  <si>
    <t>G1044000020010</t>
  </si>
  <si>
    <t>G1044000040010</t>
  </si>
  <si>
    <t>G1045000010010</t>
  </si>
  <si>
    <t>G1046101040010</t>
  </si>
  <si>
    <t>G1047101040010</t>
  </si>
  <si>
    <t>G1047101080010</t>
  </si>
  <si>
    <t>G1047202002020</t>
  </si>
  <si>
    <t>G1048101018010</t>
  </si>
  <si>
    <t>G1048202018010</t>
  </si>
  <si>
    <t>G1048303018010</t>
  </si>
  <si>
    <t>G1049000025010</t>
  </si>
  <si>
    <t>G1051001003010</t>
  </si>
  <si>
    <t>G1051002003010</t>
  </si>
  <si>
    <t>G1051003003010</t>
  </si>
  <si>
    <t>G1051004001210</t>
  </si>
  <si>
    <t>G1061000022010</t>
  </si>
  <si>
    <t>G1071001020010</t>
  </si>
  <si>
    <t>G1071002060010</t>
  </si>
  <si>
    <t>G1071003040010</t>
  </si>
  <si>
    <t>G1071003060010</t>
  </si>
  <si>
    <t>G1071003075010</t>
  </si>
  <si>
    <t>G1071004040010</t>
  </si>
  <si>
    <t>G1071004060010</t>
  </si>
  <si>
    <t>G1071005018010</t>
  </si>
  <si>
    <t>G1071005040010</t>
  </si>
  <si>
    <t>G1071005060010</t>
  </si>
  <si>
    <t>G1071006040010</t>
  </si>
  <si>
    <t>G1071006060010</t>
  </si>
  <si>
    <t>G1071006075010</t>
  </si>
  <si>
    <t>G1071007015010</t>
  </si>
  <si>
    <t>G1071007018010</t>
  </si>
  <si>
    <t>G1071007040010</t>
  </si>
  <si>
    <t>G1071007060010</t>
  </si>
  <si>
    <t>G1071007075010</t>
  </si>
  <si>
    <t>G1071008015010</t>
  </si>
  <si>
    <t>G1071008018010</t>
  </si>
  <si>
    <t>G1071008040010</t>
  </si>
  <si>
    <t>G1071008060010</t>
  </si>
  <si>
    <t>G1071008075010</t>
  </si>
  <si>
    <t>G1071009015010</t>
  </si>
  <si>
    <t>G1071009018010</t>
  </si>
  <si>
    <t>G1071009040010</t>
  </si>
  <si>
    <t>G1071009060010</t>
  </si>
  <si>
    <t>G1072001002010</t>
  </si>
  <si>
    <t>G1072002015020</t>
  </si>
  <si>
    <t>G1078101022510</t>
  </si>
  <si>
    <t>G1078001022511</t>
  </si>
  <si>
    <t>G1073101004510</t>
  </si>
  <si>
    <t>G1073201004510</t>
  </si>
  <si>
    <t>G1073102004510</t>
  </si>
  <si>
    <t>G1073103004510</t>
  </si>
  <si>
    <t>G1073001000010</t>
  </si>
  <si>
    <t>G1074101003510</t>
  </si>
  <si>
    <t>G1074102003510</t>
  </si>
  <si>
    <t>G1074001025010</t>
  </si>
  <si>
    <t>G1074002003520</t>
  </si>
  <si>
    <t>G1075001017510</t>
  </si>
  <si>
    <t>G1075001036010</t>
  </si>
  <si>
    <t>G1075001070010</t>
  </si>
  <si>
    <t>G1075002036010</t>
  </si>
  <si>
    <t>G1075002070010</t>
  </si>
  <si>
    <t>G1075003070011</t>
  </si>
  <si>
    <t>G1075004036010</t>
  </si>
  <si>
    <t>G1075004070010</t>
  </si>
  <si>
    <t>G1076201000410</t>
  </si>
  <si>
    <t>G1076101000410</t>
  </si>
  <si>
    <t>G1076202000410</t>
  </si>
  <si>
    <t>G1076202001010</t>
  </si>
  <si>
    <t>G1076201001010</t>
  </si>
  <si>
    <t>G1076001000410</t>
  </si>
  <si>
    <t>G1076002001010</t>
  </si>
  <si>
    <t>G1076002000410</t>
  </si>
  <si>
    <t>G1076003001010</t>
  </si>
  <si>
    <t>G1076003000310</t>
  </si>
  <si>
    <t>G1076003000411</t>
  </si>
  <si>
    <t>G1076004001010</t>
  </si>
  <si>
    <t>G1078101001510</t>
  </si>
  <si>
    <t>G1078101001811</t>
  </si>
  <si>
    <t>G1078101004810</t>
  </si>
  <si>
    <t>G1078001001811</t>
  </si>
  <si>
    <t>G1077001001812</t>
  </si>
  <si>
    <t>G1078001004810</t>
  </si>
  <si>
    <t>G1077001000413</t>
  </si>
  <si>
    <t>G1077002001812</t>
  </si>
  <si>
    <t>G1077003000410</t>
  </si>
  <si>
    <t>G1077003000610</t>
  </si>
  <si>
    <t>G1078004003010</t>
  </si>
  <si>
    <t>G1078004006010</t>
  </si>
  <si>
    <t>G1079001001011</t>
  </si>
  <si>
    <t>G1079002001010</t>
  </si>
  <si>
    <t>G1079002001011</t>
  </si>
  <si>
    <t>G1070001000010</t>
  </si>
  <si>
    <t>G1081101003010</t>
  </si>
  <si>
    <t>G1081101004510</t>
  </si>
  <si>
    <t>G1081001003010</t>
  </si>
  <si>
    <t>G1081002003010</t>
  </si>
  <si>
    <t>G1081002004510</t>
  </si>
  <si>
    <t>G1082101003810</t>
  </si>
  <si>
    <t>G1082102003010</t>
  </si>
  <si>
    <t>G1082001004510</t>
  </si>
  <si>
    <t>G1082002003810</t>
  </si>
  <si>
    <t>G1082003003010</t>
  </si>
  <si>
    <t>G1083001010010</t>
  </si>
  <si>
    <t>G1084001010010</t>
  </si>
  <si>
    <t>G1084002012010</t>
  </si>
  <si>
    <t>G1084003005010</t>
  </si>
  <si>
    <t>G1084004008010</t>
  </si>
  <si>
    <t>G1091001005011</t>
  </si>
  <si>
    <t>G1091002005011</t>
  </si>
  <si>
    <t>G1091003005011</t>
  </si>
  <si>
    <t>G1091004005011</t>
  </si>
  <si>
    <t>G1092001000010</t>
  </si>
  <si>
    <t>G1092002000010</t>
  </si>
  <si>
    <t>G1093000000010</t>
  </si>
  <si>
    <t>G1101001010010</t>
  </si>
  <si>
    <t>G1101001005010</t>
  </si>
  <si>
    <t>G1101003010010</t>
  </si>
  <si>
    <t>G1101003005010</t>
  </si>
  <si>
    <t>G1111001010010</t>
  </si>
  <si>
    <t>G1121101040010</t>
  </si>
  <si>
    <t>G1121001020020</t>
  </si>
  <si>
    <t>G1131001009511</t>
  </si>
  <si>
    <t>G1141001010011</t>
  </si>
  <si>
    <t>G1141001020011</t>
  </si>
  <si>
    <t>G1141001005011</t>
  </si>
  <si>
    <t>G1141002010011</t>
  </si>
  <si>
    <t>G1141002020011</t>
  </si>
  <si>
    <t>G1141002005011</t>
  </si>
  <si>
    <t>G1151101020010</t>
  </si>
  <si>
    <t>G1151101040010</t>
  </si>
  <si>
    <t>G1151001020020</t>
  </si>
  <si>
    <t>G1161101040010</t>
  </si>
  <si>
    <t>G1161001020020</t>
  </si>
  <si>
    <t>G1171001004511</t>
  </si>
  <si>
    <t>G1171002001011</t>
  </si>
  <si>
    <t>G1171002000410</t>
  </si>
  <si>
    <t>G1172001002520</t>
  </si>
  <si>
    <t>G1172001002510</t>
  </si>
  <si>
    <t>G1172001003010</t>
  </si>
  <si>
    <t>G1172001000410</t>
  </si>
  <si>
    <t>G1172002001011</t>
  </si>
  <si>
    <t>G1172002002010</t>
  </si>
  <si>
    <t>G1172002002410</t>
  </si>
  <si>
    <t>G1172002002510</t>
  </si>
  <si>
    <t>G1172002004011</t>
  </si>
  <si>
    <t>G1172002000410</t>
  </si>
  <si>
    <t>G1172002006010</t>
  </si>
  <si>
    <t>G1172002006020</t>
  </si>
  <si>
    <t>G1172003001010</t>
  </si>
  <si>
    <t>G1172003002010</t>
  </si>
  <si>
    <t>G1172003002410</t>
  </si>
  <si>
    <t>G1172003004011</t>
  </si>
  <si>
    <t>G1172003006020</t>
  </si>
  <si>
    <t>G1181000025010</t>
  </si>
  <si>
    <t>G1191100009010</t>
  </si>
  <si>
    <t>G1191000001020</t>
  </si>
  <si>
    <t>G1192001001010</t>
  </si>
  <si>
    <t>G1192000001010</t>
  </si>
  <si>
    <t>G1190101009010</t>
  </si>
  <si>
    <t>G1190001009020</t>
  </si>
  <si>
    <t>G1201101006010</t>
  </si>
  <si>
    <t>G1201001000010</t>
  </si>
  <si>
    <t>G1201002000020</t>
  </si>
  <si>
    <t>G1201002000010</t>
  </si>
  <si>
    <t>G1201003000010</t>
  </si>
  <si>
    <t>G1201004000010</t>
  </si>
  <si>
    <t>G1201005000010</t>
  </si>
  <si>
    <t>G1201006000010</t>
  </si>
  <si>
    <t>G1201007000011</t>
  </si>
  <si>
    <t>G1201007000010</t>
  </si>
  <si>
    <t>G1201008000010</t>
  </si>
  <si>
    <t>G1201009000010</t>
  </si>
  <si>
    <t>G1201009000020</t>
  </si>
  <si>
    <t>G1201010000010</t>
  </si>
  <si>
    <t>G1201011000010</t>
  </si>
  <si>
    <t>G1201012000010</t>
  </si>
  <si>
    <t>G1201012000020</t>
  </si>
  <si>
    <t>G1201013000010</t>
  </si>
  <si>
    <t>G1201014000020</t>
  </si>
  <si>
    <t>G1201014000010</t>
  </si>
  <si>
    <t>G1201015000010</t>
  </si>
  <si>
    <t>G1201016000020</t>
  </si>
  <si>
    <t>G1201016000010</t>
  </si>
  <si>
    <t>G1211001000010</t>
  </si>
  <si>
    <t>G1211002000010</t>
  </si>
  <si>
    <t>G1211003000010</t>
  </si>
  <si>
    <t>G1211004000010</t>
  </si>
  <si>
    <t>G1221001010010</t>
  </si>
  <si>
    <t>G1221002008010</t>
  </si>
  <si>
    <t>G1221003012010</t>
  </si>
  <si>
    <t>G1222101000010</t>
  </si>
  <si>
    <t>G1222201000010</t>
  </si>
  <si>
    <t>G1223101000310</t>
  </si>
  <si>
    <t>G1223001000210</t>
  </si>
  <si>
    <t>G1223001000010</t>
  </si>
  <si>
    <t>G1223001001210</t>
  </si>
  <si>
    <t>G1223201001210</t>
  </si>
  <si>
    <t>G1224101000010</t>
  </si>
  <si>
    <t>G1224201000010</t>
  </si>
  <si>
    <t>G1224301000010</t>
  </si>
  <si>
    <t>G1224302000010</t>
  </si>
  <si>
    <t>G1224303000010</t>
  </si>
  <si>
    <t>G1224303000210</t>
  </si>
  <si>
    <t>G1224401000310</t>
  </si>
  <si>
    <t>G1224401000510</t>
  </si>
  <si>
    <t>G1224501000210</t>
  </si>
  <si>
    <t>G1224601000010</t>
  </si>
  <si>
    <t>G1225001000010</t>
  </si>
  <si>
    <t>G1226101000010</t>
  </si>
  <si>
    <t>G1226201000010</t>
  </si>
  <si>
    <t>G1226001000010</t>
  </si>
  <si>
    <t>G1226002000010</t>
  </si>
  <si>
    <t>G1227101000010</t>
  </si>
  <si>
    <t>G1231001040010</t>
  </si>
  <si>
    <t>G1231000012510</t>
  </si>
  <si>
    <t>G1231000018020</t>
  </si>
  <si>
    <t>G1231000002530</t>
  </si>
  <si>
    <t>G1231000040010</t>
  </si>
  <si>
    <t>G1231000040011</t>
  </si>
  <si>
    <t>G1231000040020</t>
  </si>
  <si>
    <t>G1231000080011</t>
  </si>
  <si>
    <t>G1231000080010</t>
  </si>
  <si>
    <t>G1230000100110</t>
  </si>
  <si>
    <t>G1230000020010</t>
  </si>
  <si>
    <t>G1230000002520</t>
  </si>
  <si>
    <t>G1230000100330</t>
  </si>
  <si>
    <t>G1230000050010</t>
  </si>
  <si>
    <t>G1241100020010</t>
  </si>
  <si>
    <t>G1242001020010</t>
  </si>
  <si>
    <t>G1242001023020</t>
  </si>
  <si>
    <t>G1250001000010</t>
  </si>
  <si>
    <t>G1261201024510</t>
  </si>
  <si>
    <t>G1261102030020</t>
  </si>
  <si>
    <t>G1261103030020</t>
  </si>
  <si>
    <t>G1261204024510</t>
  </si>
  <si>
    <t>G1261201040010</t>
  </si>
  <si>
    <t>G1261202035010</t>
  </si>
  <si>
    <t>G1261001017510</t>
  </si>
  <si>
    <t>G1261001035010</t>
  </si>
  <si>
    <t>G1261002017510</t>
  </si>
  <si>
    <t>G1261002035010</t>
  </si>
  <si>
    <t>G1261003017510</t>
  </si>
  <si>
    <t>G1261003035010</t>
  </si>
  <si>
    <t>G1261004017510</t>
  </si>
  <si>
    <t>G1261004035010</t>
  </si>
  <si>
    <t>G1261005017510</t>
  </si>
  <si>
    <t>G1261005035010</t>
  </si>
  <si>
    <t>G1261006017510</t>
  </si>
  <si>
    <t>G1261006035010</t>
  </si>
  <si>
    <t>G1261007040010</t>
  </si>
  <si>
    <t>G1261008014010</t>
  </si>
  <si>
    <t>G1261008017510</t>
  </si>
  <si>
    <t>G1261008035010</t>
  </si>
  <si>
    <t>G1261008000010</t>
  </si>
  <si>
    <t>G1261009017510</t>
  </si>
  <si>
    <t>G1261009035010</t>
  </si>
  <si>
    <t>G1261010035010</t>
  </si>
  <si>
    <t>G1261011020010</t>
  </si>
  <si>
    <t>G1261011040010</t>
  </si>
  <si>
    <t>G1261012035010</t>
  </si>
  <si>
    <t>G1262101004211</t>
  </si>
  <si>
    <t>G1262102004211</t>
  </si>
  <si>
    <t>G1262103004211</t>
  </si>
  <si>
    <t>G1262104004211</t>
  </si>
  <si>
    <t>G1262104004212</t>
  </si>
  <si>
    <t>G1262001004211</t>
  </si>
  <si>
    <t>G1262001004210</t>
  </si>
  <si>
    <t>G1262003004211</t>
  </si>
  <si>
    <t>G1262002004211</t>
  </si>
  <si>
    <t>G1262002004210</t>
  </si>
  <si>
    <t>G1262004004211</t>
  </si>
  <si>
    <t>G1262004004210</t>
  </si>
  <si>
    <t>G1262005004211</t>
  </si>
  <si>
    <t>G1262005004210</t>
  </si>
  <si>
    <t>G1262006004211</t>
  </si>
  <si>
    <t>G1262006004210</t>
  </si>
  <si>
    <t>G1262007004210</t>
  </si>
  <si>
    <t>G1262008004211</t>
  </si>
  <si>
    <t>G1262008004210</t>
  </si>
  <si>
    <t>G1262009004211</t>
  </si>
  <si>
    <t>G1262009004210</t>
  </si>
  <si>
    <t>G1263001010010</t>
  </si>
  <si>
    <t>G1263002010010</t>
  </si>
  <si>
    <t>G1264101000010</t>
  </si>
  <si>
    <t>G1264102000010</t>
  </si>
  <si>
    <t>G1264103000010</t>
  </si>
  <si>
    <t>G1264104000010</t>
  </si>
  <si>
    <t>G1264105000010</t>
  </si>
  <si>
    <t>G1264106000010</t>
  </si>
  <si>
    <t>G1264201000010</t>
  </si>
  <si>
    <t>G1264202000010</t>
  </si>
  <si>
    <t>G1264203000010</t>
  </si>
  <si>
    <t>G1264301000010</t>
  </si>
  <si>
    <t>G1264001000010</t>
  </si>
  <si>
    <t>G1264002000010</t>
  </si>
  <si>
    <t>G1264003000010</t>
  </si>
  <si>
    <t>G1265000002510</t>
  </si>
  <si>
    <t>G1266001002510</t>
  </si>
  <si>
    <t>G1266002002510</t>
  </si>
  <si>
    <t>G1267101000010</t>
  </si>
  <si>
    <t>G1267102000010</t>
  </si>
  <si>
    <t>G1267103000010</t>
  </si>
  <si>
    <t>G1267104000010</t>
  </si>
  <si>
    <t>G1267001000010</t>
  </si>
  <si>
    <t>G1267002000010</t>
  </si>
  <si>
    <t>G1267003000010</t>
  </si>
  <si>
    <t>G1267004000010</t>
  </si>
  <si>
    <t>G1267005000010</t>
  </si>
  <si>
    <t>G1268006000010</t>
  </si>
  <si>
    <t>G1268007000010</t>
  </si>
  <si>
    <t>G1269001007010</t>
  </si>
  <si>
    <t>G1290100000010</t>
  </si>
  <si>
    <t>G1290001000020</t>
  </si>
  <si>
    <t>G1290002000020</t>
  </si>
  <si>
    <t>G1290003000020</t>
  </si>
  <si>
    <t>G1290004000020</t>
  </si>
  <si>
    <t>G1290005000020</t>
  </si>
  <si>
    <t>G1290006000020</t>
  </si>
  <si>
    <t>G1290007000020</t>
  </si>
  <si>
    <t>G1271101004010</t>
  </si>
  <si>
    <t>G1271102004010</t>
  </si>
  <si>
    <t>G1271103004010</t>
  </si>
  <si>
    <t>G1271104004010</t>
  </si>
  <si>
    <t>G1271201000010</t>
  </si>
  <si>
    <t>G1271202000010</t>
  </si>
  <si>
    <t>G1272100000010</t>
  </si>
  <si>
    <t>G1270101016010</t>
  </si>
  <si>
    <t>G1270102016010</t>
  </si>
  <si>
    <t>G1270103016010</t>
  </si>
  <si>
    <t>G1270105016010</t>
  </si>
  <si>
    <t>G1270104022510</t>
  </si>
  <si>
    <t>G1270106016010</t>
  </si>
  <si>
    <t>G1270107016010</t>
  </si>
  <si>
    <t>G1270205016010</t>
  </si>
  <si>
    <t>G1270108016010</t>
  </si>
  <si>
    <t>G1270109016010</t>
  </si>
  <si>
    <t>G1270110016010</t>
  </si>
  <si>
    <t>G1270111016010</t>
  </si>
  <si>
    <t>G1270112016010</t>
  </si>
  <si>
    <t>G1270113016010</t>
  </si>
  <si>
    <t>G1270201016010</t>
  </si>
  <si>
    <t>G1270202016010</t>
  </si>
  <si>
    <t>G1270203016010</t>
  </si>
  <si>
    <t>G1270204016010</t>
  </si>
  <si>
    <t>G1270206016010</t>
  </si>
  <si>
    <t>G1270300000010</t>
  </si>
  <si>
    <t>G1280101000010</t>
  </si>
  <si>
    <t>G1280201000010</t>
  </si>
  <si>
    <t>G1301000000010</t>
  </si>
  <si>
    <t>G1302000000010</t>
  </si>
  <si>
    <t>G1303000004010</t>
  </si>
  <si>
    <t>G1303100000010</t>
  </si>
  <si>
    <t>AUTOSOL METAL POLISH 15GR X 144 TUBE</t>
  </si>
  <si>
    <t>AUTOSOL METAL POLISH 50GR X 48 TUBE</t>
  </si>
  <si>
    <t>BIOSOL 20ML X 144 SCH</t>
  </si>
  <si>
    <t>BIOSOL 400ML X 6 PCH BOGOF</t>
  </si>
  <si>
    <t>BIOSOL 400ML X 12 PCH</t>
  </si>
  <si>
    <t>BIOSOL 700ML X 6 PCH BOGOF</t>
  </si>
  <si>
    <t>BIOSOL 700ML X 12 PCH</t>
  </si>
  <si>
    <t>CAP GAJAH LEM LALAT STICK 12S X 72 PCS</t>
  </si>
  <si>
    <t>CAP GAJAH LEM LALAT KERTAS 3S X 120 PCS</t>
  </si>
  <si>
    <t>CAP GAJAH LEM TIKUS MULTI PACK TRAP 60GR X 12 PCS 5+1</t>
  </si>
  <si>
    <t>CAP GAJAH LEM TIKUS TRAP 60GR X 72 PCS</t>
  </si>
  <si>
    <t>CAP GAJAH LEM TIKUS TRAP 70GR X 72 PCS</t>
  </si>
  <si>
    <t>CAP GAJAH LEM TIKUS 50ML X 144 TUBE</t>
  </si>
  <si>
    <t>CAP GAJAH LEM TIKUS 100ML X 144 TUBE</t>
  </si>
  <si>
    <t>CARRERA DASHBOARD CLEANER 175ML X 12 BTL</t>
  </si>
  <si>
    <t>CARRERA MOTOR CHAIN LUBE 110ML X 12 BTL</t>
  </si>
  <si>
    <t>CARRERA PELUMAS XP-1000 200ML X 12 BTL</t>
  </si>
  <si>
    <t>CARRERA PENGKILAP BAN 200ML X 48 PCH</t>
  </si>
  <si>
    <t>CARRERA PENGKILAP BAN 400ML X 12 BTL</t>
  </si>
  <si>
    <t>CARRERA POLES MOTOR 100ML X 24 PUMP</t>
  </si>
  <si>
    <t>CARRERA WASH&amp;WAX REFILL 400ML X 12 PCH</t>
  </si>
  <si>
    <t>CARRERA SHAMPOO MOBIL 400ML X 12 PCH</t>
  </si>
  <si>
    <t>CARRERA SHAMPOO MOBIL 800ML X 12 PCH</t>
  </si>
  <si>
    <t>CARRERA SHAMPOO MOTOR 20ML X 144 PCS</t>
  </si>
  <si>
    <t>CARRERA SPON MOBIL 180GR X 24 PCS</t>
  </si>
  <si>
    <t>CARRERA SPON MOTOR 180GR X 144 PCS</t>
  </si>
  <si>
    <t>CARRERA SPON SERBA GUNA 180GR X 24 PCS</t>
  </si>
  <si>
    <t>CARRERA WIPER&amp;WASH 250ML X 12 BTL</t>
  </si>
  <si>
    <t>FOGO PENGHARUM LEMARI BREEZE 30GR X 72 PCS</t>
  </si>
  <si>
    <t>FOGO PENGHARUM LEMARI FLORAL 30GR X 72 PCS</t>
  </si>
  <si>
    <t>FOGO PENGHARUM LEMARI FRESH 30GR X 72 PCS</t>
  </si>
  <si>
    <t>FOGO PENGHARUM LEMARI PRINCESS 12GR X 72 PCS</t>
  </si>
  <si>
    <t>GAS WONDERFUEL 220GR X 12 KLG</t>
  </si>
  <si>
    <t>HIT AEROSOL BLOOMING TEA 200ML X 12 KLG</t>
  </si>
  <si>
    <t>HIT AEROSOL CITRUS 600ML X 12 KLG</t>
  </si>
  <si>
    <t>HIT AEROSOL COTTON POWDER 400ML X 12 KLG</t>
  </si>
  <si>
    <t>HIT AEROSOL COTTON POWDER 600ML X 12 KLG</t>
  </si>
  <si>
    <t>HIT AEROSOL COTTON POWDER 750ML X 12 KLG</t>
  </si>
  <si>
    <t>HIT AEROSOL FRESH CITRUS 415/400ML X 12 KLG</t>
  </si>
  <si>
    <t>HIT AEROSOL FRESH CITRUS 600ML X 12 KLG</t>
  </si>
  <si>
    <t>HIT AEROSOL JAPANESE SAKURA 180ML X 12 KLG</t>
  </si>
  <si>
    <t>HIT AEROSOL JAPANESE SAKURA 400ML X 12 KLG</t>
  </si>
  <si>
    <t>HIT AEROSOL JAPANESE SAKURA 600ML X 12 KLG</t>
  </si>
  <si>
    <t>HIT AEROSOL LAVENDER BREEZE 400ML X 12 KLG</t>
  </si>
  <si>
    <t>HIT AEROSOL LAVENDER BREEZE 600ML X 12 KLG</t>
  </si>
  <si>
    <t>HIT AEROSOL LAVENDER BREEZE 750ML X 12 KLG</t>
  </si>
  <si>
    <t>HIT AEROSOL LILY BLOSSOM 150ML X 24 KLG</t>
  </si>
  <si>
    <t>HIT AEROSOL LILY BLOSSOM 180ML X 12 KLG</t>
  </si>
  <si>
    <t>HIT AEROSOL LILY BLOSSOM 415/400ML X 12 KLG</t>
  </si>
  <si>
    <t>HIT AEROSOL LILY BLOSSOM 600ML X 12 KLG</t>
  </si>
  <si>
    <t>HIT AEROSOL LILY BLOSSOM 750ML X 12 KLG</t>
  </si>
  <si>
    <t>HIT AEROSOL ORANGE 150ML X 24 KLG</t>
  </si>
  <si>
    <t>HIT AEROSOL ORANGE 180ML X 12 KLG</t>
  </si>
  <si>
    <t>HIT AEROSOL ORANGE 415/400ML X 12 KLG</t>
  </si>
  <si>
    <t>HIT AEROSOL ORANGE 600ML X 12 KLG</t>
  </si>
  <si>
    <t>HIT AEROSOL ORANGE 750ML X 12 KLG</t>
  </si>
  <si>
    <t>HIT AEROSOL PINK BLOSSOM 150ML X 24 KLG</t>
  </si>
  <si>
    <t>HIT AEROSOL PINK BLOSSOM 180ML X 12 KLG</t>
  </si>
  <si>
    <t>HIT AEROSOL PINK BLOSSOM 400ML X 12 KLG</t>
  </si>
  <si>
    <t>HIT AEROSOL PINK BLOSSOM 600ML X 12 KLG</t>
  </si>
  <si>
    <t>HIT ANTI KECOA GEL 20GR X 12 PCS</t>
  </si>
  <si>
    <t>HIT ANTI KECOA SPRAY 150ML X 12 KLG</t>
  </si>
  <si>
    <t>HIT MAT GOODKNIGHT ALAT TIKUS 225GR X 48 PCS</t>
  </si>
  <si>
    <t>HIT MAT GOODKNIGHT EKO 225GR X 48 PCS BANDED</t>
  </si>
  <si>
    <t>HIT GOODKNIGHT EXPRESS REFILL APPLE 45ML X 144 BOX</t>
  </si>
  <si>
    <t>HIT GOODKNIGHT EXPRESS REFILL MULTI PACK APPLE 45ML X 144 BOX</t>
  </si>
  <si>
    <t>HIT GOODKNIGHT EXPRESS REFILL FRESH 45ML X 144 BOX</t>
  </si>
  <si>
    <t>HIT GOODKNIGHT EXPRESS REFILL PINK BLOSSOM 45ML X 144 BOX</t>
  </si>
  <si>
    <t>HIT GOODKNIGHT EXPRESS APPLE X 24 SET</t>
  </si>
  <si>
    <t>HIT GOODKNIGHT NON-STOP REFILL CLASSIC 35ML X 144 BOX</t>
  </si>
  <si>
    <t>HIT GOODKNIGHT NON-STOP REFILL FRESH 35ML X 144 BOX</t>
  </si>
  <si>
    <t>HIT GOODKNIGHT NON-STOP EKONOMIS 250GR X 24 SET</t>
  </si>
  <si>
    <t>HIT GOODKNIGHT NON-STOP FRESH MULTI PACK 35ML X 144 BOX</t>
  </si>
  <si>
    <t>HIT LIQUID CLASSIC LILY BLOSSOM 175ML X 24 PCH</t>
  </si>
  <si>
    <t>HIT LIQUID CLASSIC LILY BLOSSOM 360ML X 12 PCH</t>
  </si>
  <si>
    <t>HIT LIQUID CLASSIC LILY BLOSSOM 700ML X 12 PCH</t>
  </si>
  <si>
    <t>HIT LIQUID GREEN TEA 360ML X 12 PCH</t>
  </si>
  <si>
    <t>HIT LIQUID GREEN TEA 700ML X 12 PCH</t>
  </si>
  <si>
    <t>HIT LIQUID LILY BLOSSOM 700ML X 12 PCH BANDED</t>
  </si>
  <si>
    <t>HIT LIQUID ORANGE 360ML X 12 PCH</t>
  </si>
  <si>
    <t>HIT LIQUID ORANGE 700ML X 12 PCH</t>
  </si>
  <si>
    <t>HIT MAGIC EXPERT PIRAMIDA CLASSIC LILY BLOSSOM 4S X 120 PCS</t>
  </si>
  <si>
    <t>HIT MAGIC EXPERT CLASSIC LILY BLOSSOM 4S X 576 PCS</t>
  </si>
  <si>
    <t>HIT MAGIC EXPERT PIRAMIDA FLORAL BLOSSOM 4S X 120 PCS</t>
  </si>
  <si>
    <t>HIT MAGIC EXPERT PIRAMIDA FLORAL BLOSSOM 10S X 36 PCS</t>
  </si>
  <si>
    <t>HIT MAGIC EXPERT PIRAMIDA CLASSIC LILY BLOSSOM 10S X 36 PCS</t>
  </si>
  <si>
    <t>HIT MAGIC CLASSIC LILY BLOSSOM 4S X 576 PCS</t>
  </si>
  <si>
    <t>HIT MAGIC FLORAL 10S X 144 PCS</t>
  </si>
  <si>
    <t>HIT MAGIC FLORAL 4S X 576 PCS</t>
  </si>
  <si>
    <t>HIT MAGIC FRESH 10S X 144 PCS</t>
  </si>
  <si>
    <t>HIT MAGIC FRESH 3S X 576 PCS</t>
  </si>
  <si>
    <t>HIT MAGIC FRESH 4S X 576 PCS 12+1</t>
  </si>
  <si>
    <t>HIT MAGIC LILY BLOSSOM 10S X 144 PCS</t>
  </si>
  <si>
    <t>HIT MAT GOODKNIGHT REFILL GREEN TEA 15S X 144 PCS</t>
  </si>
  <si>
    <t>HIT MAT GOODKNIGHT REFILL GREEN TEA 18S X 144 PCS +12S</t>
  </si>
  <si>
    <t>HIT MAT GOODKNIGHT REFILL GREEN TEA 48S X 72 PCS</t>
  </si>
  <si>
    <t>HIT MAT GOODKNIGHT CLASSIC 18S X 144 PCS +12S</t>
  </si>
  <si>
    <t>HIT MAT CLASSIC 18S X 144 PCS +6S</t>
  </si>
  <si>
    <t>HIT MAT CLASSIC 4S X 864 PCS 12+1</t>
  </si>
  <si>
    <t>HIT MAT FLORAL 18S X 144 PCS +6S</t>
  </si>
  <si>
    <t>HIT MAT GREEN TEA 4S X 864 PCS</t>
  </si>
  <si>
    <t>HIT MAT GREEN TEA 6S X 48 PCS</t>
  </si>
  <si>
    <t>HIT MAT GOODKNIGHT PINK BLOSSOM 30S X 144 PCS</t>
  </si>
  <si>
    <t>HIT MAT GOODKNIGHT PINK BLOSSOM 60S X 72 PCS</t>
  </si>
  <si>
    <t>HIT ONE PUSH GREEN TEA 10ML X 48 PCS BOGOF</t>
  </si>
  <si>
    <t>HIT ONE PUSH ORANGE 10ML X 48 PCS</t>
  </si>
  <si>
    <t>HIT ONE PUSH ORANGE 10ML X 48 PCS BOGOF</t>
  </si>
  <si>
    <t>HIT POMPA PLASTIK X 120 PCS</t>
  </si>
  <si>
    <t>KLINPAK ALUMINIUM FOIL REFILL JUMBO 30CM X 24 PCS</t>
  </si>
  <si>
    <t>KLINPAK ALUMINIUM FOIL REFILL JUMBO 45CM X 24 PCS</t>
  </si>
  <si>
    <t>KLINPAK ALUMINIUM FOIL 5M 30CM X 12 PCS</t>
  </si>
  <si>
    <t>KLINPAK ALUMINIUM FOIL JUMBO 45CM X 12 PCS</t>
  </si>
  <si>
    <t>KLINPAK CLING WRAP REFILL JUMBO 38CM X 24 PCS</t>
  </si>
  <si>
    <t>KLINPAK CLING WRAP REFILL REGULER 30CM X 24 PCS</t>
  </si>
  <si>
    <t>KLINPAK CLING WRAP BIG 45CM X 6 PCS</t>
  </si>
  <si>
    <t>KLINPAK CLING WRAP JUMBO 38CM X 12 PCS</t>
  </si>
  <si>
    <t>KLINPAK CLING WRAP REGULER 30CM X 12 PCS</t>
  </si>
  <si>
    <t>KLINPAK KANTONG PLASTIK SERBAGUNA 38CM X 24 PCS</t>
  </si>
  <si>
    <t>KLINPAK KANTONG SAMPAH BESAR 100CM X 24 PCS</t>
  </si>
  <si>
    <t>KLINPAK KANTONG SAMPAH EXTRA 120CM X 24 PCS</t>
  </si>
  <si>
    <t>KLINPAK KANTONG SAMPAH KECIL 50CM X 24 PCS</t>
  </si>
  <si>
    <t>KLINPAK KANTONG SAMPAH SEDANG 80CM X 24 PCS</t>
  </si>
  <si>
    <t>MITU BABY GANTI POPOK BLUE LILY 50S X 24 PCS BOGOF</t>
  </si>
  <si>
    <t>MITU BABY GANTI POPOK PINK ROSE 50S X 24 PCS BOGOF</t>
  </si>
  <si>
    <t>MITU BABY GANTI POPOK PURPLE 50S X 24 PCS BOGOF</t>
  </si>
  <si>
    <t>MITU BABY GANTI POPOK WHITE 50S X 24 PCS BOGOF</t>
  </si>
  <si>
    <t>MITU BABY GIFT SET ESSENTIAL X 24 PACK</t>
  </si>
  <si>
    <t>MITU BABY GIFT SET PREMIUM X 6 PACK</t>
  </si>
  <si>
    <t>MITU BABY PAKET X 12 BOX</t>
  </si>
  <si>
    <t>MITU BABY COLOGNE F&amp;C FRESH GREEN 100ML X 48 PCS</t>
  </si>
  <si>
    <t>MITU BABY COLOGNE F&amp;C FRESH GREEN 50ML X 48 PCS</t>
  </si>
  <si>
    <t>MITU BABY COLOGNE F&amp;C SWEET PINK 100ML X 48 PCS</t>
  </si>
  <si>
    <t>MITU BABY COLOGNE F&amp;C SWEET PINK 50ML X 48 PCS</t>
  </si>
  <si>
    <t>MITU BABY HAIR LOTION F&amp;C ALOE 100ML X 48 PCS</t>
  </si>
  <si>
    <t>MITU BABY MILK BATH F&amp;C REFILL OAT 400ML X 12 PCH</t>
  </si>
  <si>
    <t>MITU BABY MILK BATH F&amp;C OAT 200ML X 24 BTL</t>
  </si>
  <si>
    <t>MITU BABY OIL F&amp;C OLIVE 95ML X 48 BTL +50%</t>
  </si>
  <si>
    <t>MITU BABY POWDER F&amp;C CLASSIC 100GR X 36 BTL +50%</t>
  </si>
  <si>
    <t>MITU BABY POWDER F&amp;C CLASSIC 200GR X 36 BTL +50%</t>
  </si>
  <si>
    <t>MITU BABY POWDER F&amp;C CLASSIC 50GR X 36 BTL +50%</t>
  </si>
  <si>
    <t>MITU BABY POWDER F&amp;C FLORAL 100GR X 36 BTL +50%</t>
  </si>
  <si>
    <t>MITU BABY POWDER F&amp;C FLORAL 200GR X 36 BTL +50%</t>
  </si>
  <si>
    <t>MITU BABY POWDER F&amp;C FLORAL 50GR X 36 BTL +50%</t>
  </si>
  <si>
    <t>MITU BABY SABUN F&amp;C 2IN1 REFILL HONEY 200ML X 36 PCH</t>
  </si>
  <si>
    <t>MITU BABY SABUN F&amp;C 2IN1 REFILL HONEY 400ML X 12 PCH</t>
  </si>
  <si>
    <t>MITU BABY SABUN F&amp;C 2IN1 HONEY 200ML X 36 BTL</t>
  </si>
  <si>
    <t>MITU BABY SHAMPOO F&amp;C REFILL ALOE 400ML X 12 PCH</t>
  </si>
  <si>
    <t>MITU BABY SHAMPOO F&amp;C ALOE 200ML X 36 BTL</t>
  </si>
  <si>
    <t>MITU BABY WIPES ANTISEPTIC EXTRA 45S X 24 PCS BOGOF</t>
  </si>
  <si>
    <t>MITU BABY WIPES ANTISEPTIC REFRESHING 10S X 144 PCS BOGOF</t>
  </si>
  <si>
    <t>MITU BABY WIPES ANTISEPTIC REFRESHING 4S X 288 PCS</t>
  </si>
  <si>
    <t>MITU BABY WIPES F&amp;C BLOOMING CHERRY 25S X 72 RCG</t>
  </si>
  <si>
    <t>MITU BABY WIPES F&amp;C BLOOMING CHERRY 25S X 72 PCS</t>
  </si>
  <si>
    <t>MITU BABY WIPES F&amp;C BLOOMING CHERRY 30S X 72 PCS</t>
  </si>
  <si>
    <t>MITU BABY WIPES F&amp;C BLOOMING CHERRY 4S X 288 PCS</t>
  </si>
  <si>
    <t>MITU BABY WIPES F&amp;C BLOSSOM BERRY 10S X 144 PCS BOGOF</t>
  </si>
  <si>
    <t>MITU BABY WIPES F&amp;C BLOSSOM BERRY 20S X 72 PCS</t>
  </si>
  <si>
    <t>MITU BABY WIPES F&amp;C BLOSSOM BERRY 24S X 36 PCS</t>
  </si>
  <si>
    <t>MITU BABY WIPES F&amp;C BLOSSOM BERRY 25S X 72 PCS</t>
  </si>
  <si>
    <t>MITU BABY WIPES F&amp;C BLOSSOM BERRY 40S X 24 PCS BOGOF</t>
  </si>
  <si>
    <t>MITU BABY WIPES F&amp;C BLOSSOM BERRY 4S X 288 PCS</t>
  </si>
  <si>
    <t>MITU BABY WIPES F&amp;C BLOSSOM BERRY 60S X 24 PCS</t>
  </si>
  <si>
    <t>MITU BABY WIPES F&amp;C BLOSSOM BERRY 60S X 24 BTL</t>
  </si>
  <si>
    <t>MITU BABY WIPES F&amp;C PINK CHERRY 10S X 144 PCS</t>
  </si>
  <si>
    <t>MITU BABY WIPES F&amp;C PINK CHERRY 20S X 72 PCS</t>
  </si>
  <si>
    <t>MITU BABY WIPES F&amp;C PINK CHERRY 24S X 36 PCS</t>
  </si>
  <si>
    <t>MITU BABY WIPES F&amp;C PINK CHERRY 40S X 24 PCS BOGOF</t>
  </si>
  <si>
    <t>MITU BABY WIPES F&amp;C PINK CHERRY 60S X 24 BTL</t>
  </si>
  <si>
    <t>MITU MINI ZIPLOCK 250GR X 36 PACK</t>
  </si>
  <si>
    <t>MITU WETTIES ANTISEPTIC REFILL 90S X 24 PCS</t>
  </si>
  <si>
    <t>MITU WETTIES FAMILY TRAVEL LEMON 10S X 144 PACK</t>
  </si>
  <si>
    <t>MITU WETTIES FAMILY TRAVEL 10S X 144 PACK</t>
  </si>
  <si>
    <t>MITU WETTIES REFILL LEMON 90S X 24 PCS</t>
  </si>
  <si>
    <t>MITU WETTIES LEMON 90S X 24 BTL</t>
  </si>
  <si>
    <t>NYU CREME HAIR COLOUR MULTI PACK NATURAL BLACK 60ML X 24 BOX</t>
  </si>
  <si>
    <t>NYU CREME HAIR COLOUR ASH BLONDE X 24 BOX</t>
  </si>
  <si>
    <t>NYU CREME HAIR COLOUR BLUE BLACK X 144 SCH</t>
  </si>
  <si>
    <t>NYU CREME HAIR COLOUR BLUE BLACK X 24 BOX</t>
  </si>
  <si>
    <t>NYU CREME HAIR COLOUR BURGUNDY X 24 BOX</t>
  </si>
  <si>
    <t>NYU CREME HAIR COLOUR BURGUNDY + BLEACH X 24 BOX</t>
  </si>
  <si>
    <t>NYU CREME HAIR COLOUR CARAMEL X 24 BOX</t>
  </si>
  <si>
    <t>NYU CREME HAIR COLOUR CARAMEL + BLEACH X 24 BOX</t>
  </si>
  <si>
    <t>NYU CREME HAIR COLOUR CHERRY RED X 24 BOX BANDED</t>
  </si>
  <si>
    <t>NYU CREME HAIR COLOUR CHERRY RED X 24 BOX</t>
  </si>
  <si>
    <t>NYU CREME HAIR COLOUR CHERRY RED + BLEACH X 24 BOX</t>
  </si>
  <si>
    <t>NYU CREME HAIR COLOUR COPPERY BROWN X 24 BOX</t>
  </si>
  <si>
    <t>NYU CREME HAIR COLOUR COPPERY BROWN X 144 SCH</t>
  </si>
  <si>
    <t>NYU CREME HAIR COLOUR COPPERY BROWN + BLEACH X 24 BOX</t>
  </si>
  <si>
    <t>NYU CREME HAIR COLOUR FLAMING ORANGE X 24 BOX</t>
  </si>
  <si>
    <t>NYU CREME HAIR COLOUR GOLDEN BROWN X 24 BOX</t>
  </si>
  <si>
    <t>NYU CREME HAIR COLOUR GOLDEN BROWN X 144 SCH</t>
  </si>
  <si>
    <t>NYU CREME HAIR COLOUR GOLDEN BROWN + BLEACH X 24 BOX</t>
  </si>
  <si>
    <t>NYU CREME HAIR COLOUR NATURAL BLACK X 144 SCH</t>
  </si>
  <si>
    <t>NYU CREME HAIR COLOUR NATURAL BLACK X 24 BOX</t>
  </si>
  <si>
    <t>NYU CREME HAIR COLOUR NATURAL BLEACH X 24 BOX</t>
  </si>
  <si>
    <t>NYU CREME HAIR COLOUR NATURAL BROWN X 144 SCH</t>
  </si>
  <si>
    <t>NYU CREME HAIR COLOUR NATURAL BROWN X 24 BOX</t>
  </si>
  <si>
    <t>NYU HENNA SHAMPOO BLUE BLACK X 72 PCS</t>
  </si>
  <si>
    <t>NYU HENNA SHAMPOO BURGUNDY X 72 PCS</t>
  </si>
  <si>
    <t>NYU HENNA SHAMPOO NATURAL BLACK X 72 PCS</t>
  </si>
  <si>
    <t>NYU HENNA SHAMPOO NATURAL BROWN X 72 PCS</t>
  </si>
  <si>
    <t>POLYTEX KANTONG SAMPAH L 100CM X 24 PCS</t>
  </si>
  <si>
    <t>POLYTEX KANTONG SAMPAH M 80CM X 24 PCS</t>
  </si>
  <si>
    <t>POLYTEX KANTONG SAMPAH XL 120CM X 24 PCS</t>
  </si>
  <si>
    <t>POLYTEX LAP KAIN MICROFIBER X 72 PCS</t>
  </si>
  <si>
    <t>POLYTEX LAP PENYERAP CHAMOIS X 72 PCS</t>
  </si>
  <si>
    <t>POLYTEX S.STEEL MULTI PACK EXTRA BERSIH &amp; TAHAN LAMA 3S X 24 PCS</t>
  </si>
  <si>
    <t>POLYTEX S.STEEL EXTRA BERSIH &amp; TAHAN LAMA 2S X 48 PCS</t>
  </si>
  <si>
    <t>POLYTEX S.STEEL EXTRA BERSIH &amp; TAHAN LAMA X 72 PCS</t>
  </si>
  <si>
    <t>POLYTEX S.STEEL REGULAR 12.5G X 72 PCS</t>
  </si>
  <si>
    <t>POLYTEX S.STEEL PAPAN REGULAR 12.5G X 72 PCS</t>
  </si>
  <si>
    <t>POLYTEX SABUT JARING ANTI GORES X 72 PCS</t>
  </si>
  <si>
    <t>POLYTEX SABUT NILON EXTRA BERSIH &amp; TAHAN LAMA X 576 PCS</t>
  </si>
  <si>
    <t>POLYTEX SABUT SPON ANTI GORES X 288 PCS</t>
  </si>
  <si>
    <t>POLYTEX SABUT SPON EXTRA BERSIH &amp; TAHAN LAMA X 288 PCS</t>
  </si>
  <si>
    <t>POLYTEX SABUT SPON REGULAR X 288 PCS</t>
  </si>
  <si>
    <t>POLYTEX SABUT SPON REGULAR 2S X 120 PCS</t>
  </si>
  <si>
    <t>POLYTEX SABUT SPON MULTI PACK EXTRA BERSIH &amp; TAHAN LAMA 3S X 80 PCS</t>
  </si>
  <si>
    <t>POLYTEX SABUT SPON MULTI PACK EXTRA BERSIH &amp; TAHAN LAMA 5S X 48 PCS</t>
  </si>
  <si>
    <t>POLYTEX SABUT SPON PAKET EXTRA KUAT 2S X 120 PCS</t>
  </si>
  <si>
    <t>POLYTEX SABUT STAINLESS REGULER X 72 PCS</t>
  </si>
  <si>
    <t>POLYTEX SELULOSA EXTRA KUAT X 72 PCS</t>
  </si>
  <si>
    <t>POLYTEX SPON JARING ANTI GORES X 72 PCS</t>
  </si>
  <si>
    <t>POLYTEX SPON PENYERAP SERBAGUNA X 72 PCS</t>
  </si>
  <si>
    <t>POLYTEX SPON REGULAR JUMBO X 48 PCS</t>
  </si>
  <si>
    <t>POLYTEX SPON SERBAGUNA X 144 PCS</t>
  </si>
  <si>
    <t>POLYTEX SS &amp; SP MULTI PACK REGULER X 24 PCS</t>
  </si>
  <si>
    <t>PROCLIN PENGHILANG NODA AKSI PUTIH 400ML X 12 PCH</t>
  </si>
  <si>
    <t>PROCLIN PENGHILANG NODA 125ML X 24 PCH</t>
  </si>
  <si>
    <t>PROCLIN PENGHILANG NODA 180ML X 24 BTL</t>
  </si>
  <si>
    <t>PROCLIN PENGHILANG NODA 400ML X 12 PCH</t>
  </si>
  <si>
    <t>PROCLIN PENGHILANG NODA 400ML X 12 PCH BANDED</t>
  </si>
  <si>
    <t>PROCLIN PENGHILANG NODA 400ML X 24 BTL</t>
  </si>
  <si>
    <t>PROCLIN PENGHILANG NODA 800ML X 12 PCH</t>
  </si>
  <si>
    <t>PROCLIN 1 L X 12 BTL</t>
  </si>
  <si>
    <t>PROCLIN 200ML X 48 BTL</t>
  </si>
  <si>
    <t>PROCLIN 25ML X 144 PCS</t>
  </si>
  <si>
    <t>PROCLIN 3.5 L X 4 JRG</t>
  </si>
  <si>
    <t>PROCLIN 500ML X 24 BTL</t>
  </si>
  <si>
    <t>SANITER AEROSOL AIR SURFACE 200ML X 12 KLG</t>
  </si>
  <si>
    <t>SANITER HAND SANITIZER GEL 200ML X 24 PCH</t>
  </si>
  <si>
    <t>SANITER HAND SANITIZER GEL 230ML X 12 PUMP</t>
  </si>
  <si>
    <t>SHOCK ANTI SUMBAT X 24 BTL</t>
  </si>
  <si>
    <t>STELLA AEROSOL F&amp;P CITRUS 300ML X 12 KLG</t>
  </si>
  <si>
    <t>STELLA AEROSOL F&amp;P FLORAL 300ML X 12 KLG</t>
  </si>
  <si>
    <t>STELLA AEROSOL F&amp;P FABRIC SPRAY PINK PEONY 245ML X 12 PCS</t>
  </si>
  <si>
    <t>STELLA AEROSOL MULTI PACK APPLE 400ML X 6 KLG</t>
  </si>
  <si>
    <t>STELLA AEROSOL MULTI PACK ORANGE 350ML X 6 KLG</t>
  </si>
  <si>
    <t>STELLA AEROSOL APPLE 175ML X 12 KLG</t>
  </si>
  <si>
    <t>STELLA AEROSOL APPLE 350ML X 12 KLG</t>
  </si>
  <si>
    <t>STELLA AEROSOL BLOOMING JASMINE 175ML X 12 KLG</t>
  </si>
  <si>
    <t>STELLA AEROSOL BLOOMING JASMINE 350ML X 12 KLG</t>
  </si>
  <si>
    <t>STELLA AEROSOL CAFFE LATTE 175ML X 12 KLG</t>
  </si>
  <si>
    <t>STELLA AEROSOL CAFFE LATTE 350ML X 12 KLG</t>
  </si>
  <si>
    <t>STELLA AEROSOL JAPANESE SAKURA 175ML X 12 KLG</t>
  </si>
  <si>
    <t>STELLA AEROSOL JAPANESE SAKURA 350ML X 12 KLG</t>
  </si>
  <si>
    <t>STELLA AEROSOL LAVENDER 175ML X 12 KLG</t>
  </si>
  <si>
    <t>STELLA AEROSOL LAVENDER 350ML X 12 KLG</t>
  </si>
  <si>
    <t>STELLA AEROSOL LEMON 175ML X 12 KLG</t>
  </si>
  <si>
    <t>STELLA AEROSOL LEMON 350ML X 12 KLG</t>
  </si>
  <si>
    <t>STELLA AEROSOL ODOUR NETRALIZER 400ML X 12 KLG</t>
  </si>
  <si>
    <t>STELLA AEROSOL ORANGE 140ML X 12 KLG</t>
  </si>
  <si>
    <t>STELLA AEROSOL ORANGE 175ML X 12 KLG</t>
  </si>
  <si>
    <t>STELLA AEROSOL ORANGE 350ML X 12 KLG</t>
  </si>
  <si>
    <t>STELLA AEROSOL RAJA AMPAT LAGOON 175ML X 12 KLG</t>
  </si>
  <si>
    <t>STELLA AEROSOL RAJA AMPAT LAGOON 350ML X 12 KLG</t>
  </si>
  <si>
    <t>STELLA AEROSOL REFRESHING KENANGA 350ML X 12 KLG</t>
  </si>
  <si>
    <t>STELLA AEROSOL ROSE 200ML X 12 KLG</t>
  </si>
  <si>
    <t>STELLA AEROSOL ROSE 400ML X 12 KLG</t>
  </si>
  <si>
    <t>STELLA AEROSOL WARM VERBENA 350ML X 12 KLG</t>
  </si>
  <si>
    <t>STELLA ALL IN ONE MULTI PACK CAFFE LATTE 42GR X 18 PCS 3+1</t>
  </si>
  <si>
    <t>STELLA ALL IN ONE MULTI PACK LAVENDER 42GR X 18 PCS 3+1</t>
  </si>
  <si>
    <t>STELLA ALL IN ONE MULTI PACK LEMON 42GR X 18 PCS 3+1</t>
  </si>
  <si>
    <t>STELLA ALL IN ONE MULTI PACK ORANGE 42GR X 18 PCS 3+1</t>
  </si>
  <si>
    <t>STELLA ALL IN ONE MULTI PACK ORANGE 42GR X 18 PCS BANDED</t>
  </si>
  <si>
    <t>STELLA ALL IN ONE APPLE 42GR X 72 PCS BANDED</t>
  </si>
  <si>
    <t>STELLA ALL IN ONE APPLE 42GR X 72 PCS</t>
  </si>
  <si>
    <t>STELLA ALL IN ONE BOUGENVILLE 42GR X 72 PCS BANDED</t>
  </si>
  <si>
    <t>STELLA ALL IN ONE BOUGENVILLE 42GR X 72 PCS</t>
  </si>
  <si>
    <t>STELLA ALL IN ONE CAFFE LATTE 42GR X 72 PCS BANDED</t>
  </si>
  <si>
    <t>STELLA ALL IN ONE CAFFE LATTE 42GR X 72 PCS</t>
  </si>
  <si>
    <t>STELLA ALL IN ONE LAVENDER 42GR X 72 PCS BANDED</t>
  </si>
  <si>
    <t>STELLA ALL IN ONE LAVENDER 42GR X 72 PCS</t>
  </si>
  <si>
    <t>STELLA ALL IN ONE LEMON 42GR X 72 PCS BANDED</t>
  </si>
  <si>
    <t>STELLA ALL IN ONE LEMON 42GR X 72 PCS</t>
  </si>
  <si>
    <t>STELLA ALL IN ONE LIME 42GR X 72 PCS</t>
  </si>
  <si>
    <t>STELLA ALL IN ONE ORANGE 42GR X 72 PCS BANDED</t>
  </si>
  <si>
    <t>STELLA ALL IN ONE ORANGE 42GR X 72 PCS</t>
  </si>
  <si>
    <t>STELLA ALL IN ONE SENSATION 42GR X 72 PCS BANDED</t>
  </si>
  <si>
    <t>STELLA ALL IN ONE SENSATION 42GR X 72 PCS</t>
  </si>
  <si>
    <t>STELLA CLIP&amp;TWIST AFTERSMOKE 100GR X 24 PCS</t>
  </si>
  <si>
    <t>STELLA CLIP&amp;TWIST AQUA MARINE 100GR X 24 PCS</t>
  </si>
  <si>
    <t>STELLA DAILY FRESH CAR+INDOOR AQUA X 72 PCS</t>
  </si>
  <si>
    <t>STELLA DAILY FRESH CAR+INDOOR LILY DREAM X 72 PCS</t>
  </si>
  <si>
    <t>STELLA DAILY FRESH CAR+INDOOR MUSK X 72 PCS</t>
  </si>
  <si>
    <t>STELLA DAILY FRESH CAR+INDOOR ORANGE X 72 PCS</t>
  </si>
  <si>
    <t>STELLA DAILY FRESH CAR+INDOOR ROSE KISS X 72 PCS</t>
  </si>
  <si>
    <t>STELLA DAILY FRESH CAR+INDOOR VANILLA X 72 PCS</t>
  </si>
  <si>
    <t>STELLA DAILY FRESH CAR+INDOOR MTP LILY DREAM X 72 PCS</t>
  </si>
  <si>
    <t>STELLA DAILY FRESH CAR+INDOOR MTP ROSE KISS X 72 PCS</t>
  </si>
  <si>
    <t>STELLA DAILY FRESH CAR+INDOOR MTP VANILLA X 72 PCS</t>
  </si>
  <si>
    <t>STELLA DAILY FRESH INDOOR DREAM ISLAND X 72 PCS</t>
  </si>
  <si>
    <t>STELLA DAILY FRESH GREEN FRESH X 72 PCS</t>
  </si>
  <si>
    <t>STELLA DAILY FRESH RED KISS X 72 PCS</t>
  </si>
  <si>
    <t>STELLA DEVICE 25ML X 24 SET</t>
  </si>
  <si>
    <t>STELLA ELECTRIC JASMINE BREEZE 25ML X 144 PCS</t>
  </si>
  <si>
    <t>STELLA ELECTRIC LAVENDER 25ML X 144 PCS</t>
  </si>
  <si>
    <t>STELLA FUN&amp;FRESH MULTI PACK CARAMEL MACHIATO X 144 PCS</t>
  </si>
  <si>
    <t>STELLA FUN&amp;FRESH MULTI PACK FRUITY X 144 PCS</t>
  </si>
  <si>
    <t>STELLA FUN&amp;FRESH MULTI PACK HAPPY DAY X 144 PCS</t>
  </si>
  <si>
    <t>STELLA FUN&amp;FRESH MULTI PACK SAKURA BLOSSOM X 144 PCS</t>
  </si>
  <si>
    <t>STELLA FUN&amp;FRESH CARAMEL MACHIATO X 144 PCS</t>
  </si>
  <si>
    <t>STELLA FUN&amp;FRESH FRUITY X 144 PCS</t>
  </si>
  <si>
    <t>STELLA FUN&amp;FRESH HAPPY DAY X 144 PCS</t>
  </si>
  <si>
    <t>STELLA FUN&amp;FRESH ICED SENSATION X 144 PCS</t>
  </si>
  <si>
    <t>STELLA FUN&amp;FRESH SAKURA BLOSSOM X 144 PCS</t>
  </si>
  <si>
    <t>STELLA HANG&amp;FLIP AQUA REFLECTION X 24 PCS</t>
  </si>
  <si>
    <t>STELLA HANG&amp;FLIP JASMINE FLOW X 24 PCS</t>
  </si>
  <si>
    <t>STELLA SKYLINE DRAGON 70ML X 24 PCS</t>
  </si>
  <si>
    <t>STELLA POCKET BATHROOM MULTI PACK X 18 BOX</t>
  </si>
  <si>
    <t>STELLA POCKET BATHROOM BLUE X 72 PCS</t>
  </si>
  <si>
    <t>STELLA POCKET BATHROOM EXOTIC FRUIT X 72 PCS</t>
  </si>
  <si>
    <t>STELLA POCKET BATHROOM GREEN X 72 PCS</t>
  </si>
  <si>
    <t>STELLA POCKET BATHROOM LUXURIOS FLOWER X 72 PCS</t>
  </si>
  <si>
    <t>STELLA POCKET BATHROOM ORANGE X 72 PCS</t>
  </si>
  <si>
    <t>STELLA POCKET BATHROOM PURPLE X 72 PCS</t>
  </si>
  <si>
    <t>STELLA POCKET BATHROOM FRESH GREEN X 72 PCS</t>
  </si>
  <si>
    <t>STELLA MATIC MINI REFILL CAFFE LATTE 40ML X 24 KLG</t>
  </si>
  <si>
    <t>STELLA MATIC MINI REFILL DREAM ISLAND 40ML X 24 KLG</t>
  </si>
  <si>
    <t>STELLA MATIC MINI REFILL GREEN FANTASY 40ML X 24 KLG</t>
  </si>
  <si>
    <t>STELLA MATIC MINI REFILL TROPICAL BREEZE 40ML X 24 KLG</t>
  </si>
  <si>
    <t>STELLA MATIC MINI SET CAFFE LATTE X 24 KLG</t>
  </si>
  <si>
    <t>STELLA MATIC MINI SET GREEN FANTASY X 24 KLG</t>
  </si>
  <si>
    <t>STELLA MATIC PARFUMIST SMART SET X 12 PCS</t>
  </si>
  <si>
    <t>STELLA MATIC REFILL APPLE 160ML X 12 KLG</t>
  </si>
  <si>
    <t>STELLA MATIC REFILL BLOOMING JASMINE 160ML X 12 KLG</t>
  </si>
  <si>
    <t>STELLA MATIC REFILL CAFFE LATTE 160ML X 12 KLG</t>
  </si>
  <si>
    <t>STELLA MATIC REFILL GREEN FANTASY 160ML X 12 KLG</t>
  </si>
  <si>
    <t>STELLA MATIC REFILL FLORAL CITRUS 225ML X 12 KLG</t>
  </si>
  <si>
    <t>STELLA MATIC REFILL JAPANESE SAKURA 160ML X 12 KLG</t>
  </si>
  <si>
    <t>STELLA MATIC REFILL LAVENDER 160ML X 12 KLG</t>
  </si>
  <si>
    <t>STELLA MATIC REFILL MULTI PACK LAVENDER 160ML X 6 KLG</t>
  </si>
  <si>
    <t>STELLA MATIC REFILL LEMON 160ML X 12 KLG</t>
  </si>
  <si>
    <t>STELLA MATIC REFILL ORANGE 160ML X 12 KLG</t>
  </si>
  <si>
    <t>STELLA MATIC REFILL RAJA AMPAT LAGOON 160ML X 12 KLG</t>
  </si>
  <si>
    <t>STELLA MATIC REFILL ROYAL KENANGA 160ML X 12 KLG</t>
  </si>
  <si>
    <t>STELLA MATIC REFILL WARM VERBENA 160ML X 12 KLG</t>
  </si>
  <si>
    <t>STELLA MATIC REFILL WILD FLOWER 160ML X 12 KLG</t>
  </si>
  <si>
    <t>STELLA MATIC REFILL MULTI PACK APPLE 160ML X 6 KLG</t>
  </si>
  <si>
    <t>STELLA MATIC REFILL MULTI PACK CAFFE LATTE 160ML X 6 KLG</t>
  </si>
  <si>
    <t>STELLA MATIC REFILL MULTI PACK GREEN FANTASY 160ML X 6 KLG</t>
  </si>
  <si>
    <t>STELLA MATIC REFILL MULTI PACK JAPANESE SAKURA 160ML X 6 KLG</t>
  </si>
  <si>
    <t>STELLA MATIC REFILL MULTI PACK ORANGE 160ML X 6 KLG</t>
  </si>
  <si>
    <t>STELLA MATIC SET X 12 BOX</t>
  </si>
  <si>
    <t>STELLA MIST DIFFUSER REFILL LEMON X 12 PCS</t>
  </si>
  <si>
    <t>STELLA MIST DIFFUSER SET LEMON X 6 PCS</t>
  </si>
  <si>
    <t>SUSEMI SABUT POLOS X 576 PCS</t>
  </si>
  <si>
    <t>SUSEMI SABUT SPON X 288 PCS</t>
  </si>
  <si>
    <t>SUSEMI SABUT STAINLESS 40GR X 72 PCS</t>
  </si>
  <si>
    <t>SUSEMI SABUT STAINLESS PAPAN X 432 PCS</t>
  </si>
  <si>
    <t>Column6</t>
  </si>
  <si>
    <t>HIT MAT CLASSIC 72 PCSX4S 12+1 7556 35625 ΗΜΑΤ01</t>
  </si>
  <si>
    <t>MPC</t>
  </si>
  <si>
    <t>PEMBERSIH</t>
  </si>
  <si>
    <t>3.8 L</t>
  </si>
  <si>
    <t>COTTON BLOOM</t>
  </si>
  <si>
    <t>STELLA ELEC REF LOVING JASMINE 25ML SP</t>
  </si>
  <si>
    <t>LOVING JASMINE</t>
  </si>
  <si>
    <t>STELLA MTC REF J. ORANGE 160+65ML RJV</t>
  </si>
  <si>
    <t>STELLA MTC REF J.ORANGE 160+65 ML RJV</t>
  </si>
  <si>
    <t>160ML+65ML</t>
  </si>
  <si>
    <t>POLYTEX SABUT JARING ANTI GORES NS</t>
  </si>
  <si>
    <t>NYU CRÈME NATURAL BROWN 20GR (PI)</t>
  </si>
  <si>
    <t xml:space="preserve">NYU HC CRM NAT. BROWN 144 SCH X 20GR </t>
  </si>
  <si>
    <t>STELLA AIO JEJU ORANGE 42+10GR RJV</t>
  </si>
  <si>
    <t>42GR+10GR</t>
  </si>
  <si>
    <t>HIT MAT GK REFILL 4S GREEN TEA NF</t>
  </si>
  <si>
    <t>SANITER PERSONAL WIPES SANITIZER 50S</t>
  </si>
  <si>
    <t>WIPES</t>
  </si>
  <si>
    <t>PERSONAL</t>
  </si>
  <si>
    <t>SANITIZER</t>
  </si>
  <si>
    <t/>
  </si>
  <si>
    <t>G1201016002020</t>
  </si>
  <si>
    <t>G1228201100330</t>
  </si>
  <si>
    <t>G1243102005020</t>
  </si>
  <si>
    <t>G1266003002510</t>
  </si>
  <si>
    <t>KLINPAK ALUMINIUM FOIL REGULER 30CM X 12 PCS</t>
  </si>
  <si>
    <t>MITU WETTIES ANTISEPTIC 90S X 24 BTL</t>
  </si>
  <si>
    <t>X</t>
  </si>
  <si>
    <t>NYU CREME HAIR COLOUR NATURAL BROWN 20GR X 144 SCH</t>
  </si>
  <si>
    <t>POLYTEX MPC PEMBERSIH SERBAGUNA 3.8 L X 4 JRG</t>
  </si>
  <si>
    <t>SANITER PERSONAL WIPES SANITIZER 50S X 24 PCS</t>
  </si>
  <si>
    <t>STELLA AEROSOL F&amp;P FABRIC SPRAY COTTON BLOOM 245ML X 12 PCS</t>
  </si>
  <si>
    <t>STELLA AEROSOL MULTI PACK ORANGE 400ML X 6 KLG</t>
  </si>
  <si>
    <t>STELLA ELECTRIC LOVING JASMINE 25ML X 144 PCS</t>
  </si>
  <si>
    <t>HIT MATGK REFILL 30(18+12s) Pink Blossom</t>
  </si>
  <si>
    <t>HIT MAT GK REFILL 30+3S PINK BLOSSOM NF</t>
  </si>
  <si>
    <t>STELLA AIO BALINESE JASMINE 42+10GR RJV</t>
  </si>
  <si>
    <t>STELLA AIO S.BOUGENVILLE 42+10GR RJV</t>
  </si>
  <si>
    <t>BALINESE JASMIN</t>
  </si>
  <si>
    <t>G1262010004210</t>
  </si>
  <si>
    <t>G1262011004210</t>
  </si>
  <si>
    <t>STELLA AIO LAVENDER 42+10GR RJV</t>
  </si>
  <si>
    <t>PROCLIN PENGHILANG NODA 25ML X 144 SCH</t>
  </si>
  <si>
    <t>STELLA ALL IN ONE BALINESE JASMIN 42GR+10GR X 72 PCS</t>
  </si>
  <si>
    <t>STELLA AIO F.SENSATION 42+10GR RJV</t>
  </si>
  <si>
    <t>F.SENSATION</t>
  </si>
  <si>
    <t>HIT MAT GK REFILL 4S CLASSIC NF</t>
  </si>
  <si>
    <t>G1078105000410</t>
  </si>
  <si>
    <t>G1262013004210</t>
  </si>
  <si>
    <t>48S/60S</t>
  </si>
  <si>
    <t>HIT MAT GK DEVICE WITH CABLE 6S NF</t>
  </si>
  <si>
    <t>EKO CLASSIC</t>
  </si>
  <si>
    <t>STELLA AIO CAFÉ LATTE 42+10GR</t>
  </si>
  <si>
    <t>STL MTC REF ORNGE 6PCSX160ML MTP 43523 50050 59955</t>
  </si>
  <si>
    <t>SANITER SURFACE MULTIPURPOSE WIPES 40`s 4907131</t>
  </si>
  <si>
    <t>SURFACE</t>
  </si>
  <si>
    <t>MULTI PURPOSE</t>
  </si>
  <si>
    <t>G1244101004010</t>
  </si>
  <si>
    <t>MITU WETTIES FAMILY COLGNE 144 PACKX10S"8107"MW05</t>
  </si>
  <si>
    <t>COLGNE</t>
  </si>
  <si>
    <t>HIT AE GREEN FOREST 12 KLGX600ML "28383"37981"HA18</t>
  </si>
  <si>
    <t>HIT AE GREEN FOREST 12 KLGX600ML</t>
  </si>
  <si>
    <t>GREEN FOREST</t>
  </si>
  <si>
    <t>G1071010060010</t>
  </si>
  <si>
    <t>G1192002001010</t>
  </si>
  <si>
    <t>HIT MAT GK REFILL 60+6S GREEN TEA NF</t>
  </si>
  <si>
    <t>HIT MAT GK REFILL 30+3S GREEN TEA NF</t>
  </si>
  <si>
    <t>+3S</t>
  </si>
  <si>
    <t>MITUB SHP REF FC ALOE 12PCHX400ML 27883 9897 MBS06</t>
  </si>
  <si>
    <t>BIOSOL POUCH 700 ML BUY 1 GET 1 ND NEW</t>
  </si>
  <si>
    <t xml:space="preserve">POLYTEX MTP SPON EXTRA BERSIH ISI 5 </t>
  </si>
  <si>
    <t>POLYTEX MTP SPON EXTRA BERSIH ISI 5 NEW</t>
  </si>
  <si>
    <t>STELLA AIO LEMON 42+10GR (3+1) MTP RJV</t>
  </si>
  <si>
    <t>STELLA HANG&amp;FLIP MIDNIGHT E 9+3ML 62467</t>
  </si>
  <si>
    <t>STELLA HANG&amp;FLIP MORNING BLUSH 9+3ML 62468</t>
  </si>
  <si>
    <t xml:space="preserve">MIDNIGHT </t>
  </si>
  <si>
    <t>MORNING BLUSH</t>
  </si>
  <si>
    <t>9+3ML</t>
  </si>
  <si>
    <t>G1268008000010</t>
  </si>
  <si>
    <t>G1268009000010</t>
  </si>
  <si>
    <t>ORANGE MTP</t>
  </si>
  <si>
    <t>HIT MAT GK REFILL 30+3S CLASSIC NF</t>
  </si>
  <si>
    <t>HIT LV GK XPRESS REFILL PINK BLOSSOM NF</t>
  </si>
  <si>
    <t>HIT LV GOODKNIGHT REFILL APPLE</t>
  </si>
  <si>
    <t>STELLA AIO LEMON 42+10GR RJV</t>
  </si>
  <si>
    <t>+10</t>
  </si>
  <si>
    <t>Stella Daily INDOOR Blossom</t>
  </si>
  <si>
    <t>HIT LV GOODKNIGHT XP REFILL FRESH</t>
  </si>
  <si>
    <t>HIT LV GOODKNIGHT XPRESS REFILL FRESH N</t>
  </si>
  <si>
    <t>BIOSOL HIT POWER L2L 500ML B2B PRO</t>
  </si>
  <si>
    <t>HIT POWER</t>
  </si>
  <si>
    <t>L2L</t>
  </si>
  <si>
    <t>B2B PRO</t>
  </si>
  <si>
    <t>G1021101050030</t>
  </si>
  <si>
    <t>KLINPAK ZIPBAG EASY SLIDER MEDIUM 27x28</t>
  </si>
  <si>
    <t>28CM</t>
  </si>
  <si>
    <t>0028</t>
  </si>
  <si>
    <t>S.MEDIUM</t>
  </si>
  <si>
    <t>G1081001002810</t>
  </si>
  <si>
    <t>STELLA AE F.JASMINE 12 PCS X 400ML "7683"SAE14</t>
  </si>
  <si>
    <t>F. JASMINE</t>
  </si>
  <si>
    <t>G1261013040010</t>
  </si>
  <si>
    <t>PERANGKAP MEKANIS CAP GAJAH</t>
  </si>
  <si>
    <t>30033000750000</t>
  </si>
  <si>
    <t>750GR</t>
  </si>
  <si>
    <t>G1032001075010</t>
  </si>
  <si>
    <t>052506002</t>
  </si>
  <si>
    <t>052505003</t>
  </si>
  <si>
    <t>042506012</t>
  </si>
  <si>
    <t>042501011</t>
  </si>
  <si>
    <t>F4062005021010</t>
  </si>
  <si>
    <t>071704302</t>
  </si>
  <si>
    <t>F40610001030010</t>
  </si>
  <si>
    <t>F40610001015010</t>
  </si>
  <si>
    <t>F4064001026010</t>
  </si>
  <si>
    <t>081722200</t>
  </si>
  <si>
    <t>F4065002008012</t>
  </si>
  <si>
    <t>F4065003002013</t>
  </si>
  <si>
    <t>191704000</t>
  </si>
  <si>
    <t>TOPLES</t>
  </si>
  <si>
    <t>F4065004008020</t>
  </si>
  <si>
    <t>F4066003006013</t>
  </si>
  <si>
    <t>041703100</t>
  </si>
  <si>
    <t>F4066006006020</t>
  </si>
  <si>
    <t>041702001</t>
  </si>
  <si>
    <t>F40611001001010</t>
  </si>
  <si>
    <t>F40611002001010</t>
  </si>
  <si>
    <t>F4071103038010</t>
  </si>
  <si>
    <t>052501004</t>
  </si>
  <si>
    <t>F4071104038010</t>
  </si>
  <si>
    <t>052503002</t>
  </si>
  <si>
    <t>F4062005010010</t>
  </si>
  <si>
    <t>071704204</t>
  </si>
  <si>
    <t>F4068002001520</t>
  </si>
  <si>
    <t>BIOSOL HIT POWER L2L B2B PRO 500ML X 24 JRG</t>
  </si>
  <si>
    <t>CAP GAJAH LEM TIKUS TRAP 750GR X 12 PCS</t>
  </si>
  <si>
    <t>HIT AEROSOL GREEN FOREST 600ML X 12 KLG</t>
  </si>
  <si>
    <t>HIT MAT GOODKNIGHT CLASSIC 48S/60S X 72 PCS</t>
  </si>
  <si>
    <t>HIT MAT GOODKNIGHT REFILL CLASSIC 4S X 864 PCS</t>
  </si>
  <si>
    <t>KLINPAK ZIPLOCK S.MEDIUM 28CM X 12 PCS</t>
  </si>
  <si>
    <t>MITU WETTIES FAMILY TRAVEL COLGNE 10S X 144 PACK</t>
  </si>
  <si>
    <t>PROCLIN PENGHILANG NODA 800ML X PCH BANDED</t>
  </si>
  <si>
    <t>SANITER SURFACE WIPES MULTI PURPOSE 40S X 24 PCS</t>
  </si>
  <si>
    <t>STELLA AEROSOL F. JASMINE 400ML X 12 KLG</t>
  </si>
  <si>
    <t>STELLA ALL IN ONE BALINESE JASMIN 42GR X 72 PCS</t>
  </si>
  <si>
    <t>STELLA ALL IN ONE BALINESE JASMIN 42GR X 72 PCS BANDED</t>
  </si>
  <si>
    <t>STELLA ALL IN ONE F.SENSATION 42GR X 72 PCS</t>
  </si>
  <si>
    <t>STELLA DAILY FRESH CAR+INDOOR ORANGE MTP X 72 PCS</t>
  </si>
  <si>
    <t>STELLA HANG&amp;FLIP MIDNIGHT 9+3ML X 24 PCS</t>
  </si>
  <si>
    <t>STELLA HANG&amp;FLIP MORNING BLUSH 9+3ML X 24 PCS</t>
  </si>
  <si>
    <t>STELLA AER RAJA AMPAT L. 175ML</t>
  </si>
  <si>
    <t>STELLA DF CAR+INDOOR MUSK RJV REG.</t>
  </si>
  <si>
    <t>HIT ONE PUSH G.TEA 48 PCS X 16ML +3ML"24279"HOP06</t>
  </si>
  <si>
    <t>HIT ONE PUSH G.TEA 48 PCS X 16ML +3ML</t>
  </si>
  <si>
    <t>16ML</t>
  </si>
  <si>
    <t>0016</t>
  </si>
  <si>
    <t>+3ML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</si>
</sst>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Aptos Narrow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58AE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protection locked="0"/>
    </xf>
    <xf numFmtId="41" fontId="5" fillId="0" borderId="0">
      <alignment vertical="top"/>
      <protection locked="0"/>
    </xf>
    <xf numFmtId="0" fontId="7" fillId="0" borderId="0">
      <alignment vertical="center"/>
    </xf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pivotButton="1"/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165" fontId="15" fillId="8" borderId="0" xfId="1" applyNumberFormat="1" applyFont="1" applyFill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2" fontId="0" fillId="0" borderId="0" xfId="0" applyNumberFormat="1"/>
    <xf numFmtId="43" fontId="0" fillId="0" borderId="0" xfId="1" applyFont="1" applyAlignment="1">
      <alignment horizontal="center" vertical="center"/>
    </xf>
    <xf numFmtId="43" fontId="12" fillId="7" borderId="0" xfId="1" applyFont="1" applyFill="1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43" fontId="0" fillId="0" borderId="0" xfId="1" applyFont="1"/>
    <xf numFmtId="43" fontId="17" fillId="2" borderId="0" xfId="1" applyFont="1" applyFill="1" applyAlignment="1">
      <alignment horizontal="center" vertical="center" wrapText="1"/>
    </xf>
    <xf numFmtId="43" fontId="12" fillId="8" borderId="0" xfId="1" applyFont="1" applyFill="1" applyAlignment="1">
      <alignment horizontal="center" vertical="center" wrapText="1"/>
    </xf>
    <xf numFmtId="43" fontId="12" fillId="9" borderId="0" xfId="1" applyFont="1" applyFill="1" applyAlignment="1">
      <alignment horizontal="center" vertical="center" wrapText="1"/>
    </xf>
    <xf numFmtId="10" fontId="0" fillId="0" borderId="0" xfId="8" applyNumberFormat="1" applyFont="1" applyAlignment="1">
      <alignment horizontal="center" vertical="center"/>
    </xf>
    <xf numFmtId="10" fontId="13" fillId="2" borderId="10" xfId="8" applyNumberFormat="1" applyFont="1" applyFill="1" applyBorder="1" applyAlignment="1">
      <alignment horizontal="center" vertical="center"/>
    </xf>
    <xf numFmtId="10" fontId="12" fillId="9" borderId="0" xfId="8" applyNumberFormat="1" applyFont="1" applyFill="1" applyAlignment="1">
      <alignment horizontal="center" vertical="center" wrapText="1"/>
    </xf>
    <xf numFmtId="10" fontId="2" fillId="0" borderId="0" xfId="8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3" fontId="2" fillId="0" borderId="0" xfId="8" applyNumberFormat="1" applyFont="1" applyFill="1" applyAlignment="1">
      <alignment horizontal="center" vertical="center"/>
    </xf>
    <xf numFmtId="9" fontId="2" fillId="0" borderId="0" xfId="8" applyFont="1" applyFill="1" applyAlignment="1">
      <alignment horizontal="center" vertical="center"/>
    </xf>
    <xf numFmtId="9" fontId="0" fillId="0" borderId="0" xfId="8" applyFont="1" applyAlignment="1">
      <alignment horizontal="center" vertical="center"/>
    </xf>
    <xf numFmtId="9" fontId="13" fillId="2" borderId="10" xfId="8" applyFont="1" applyFill="1" applyBorder="1" applyAlignment="1">
      <alignment horizontal="center" vertical="center"/>
    </xf>
    <xf numFmtId="9" fontId="12" fillId="9" borderId="0" xfId="8" applyFont="1" applyFill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10" fontId="2" fillId="0" borderId="0" xfId="8" applyNumberFormat="1" applyFont="1" applyFill="1" applyBorder="1" applyAlignment="1">
      <alignment horizontal="center" vertical="center"/>
    </xf>
    <xf numFmtId="43" fontId="2" fillId="0" borderId="0" xfId="8" applyNumberFormat="1" applyFont="1" applyFill="1" applyBorder="1" applyAlignment="1">
      <alignment horizontal="center" vertical="center"/>
    </xf>
    <xf numFmtId="9" fontId="2" fillId="0" borderId="0" xfId="8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1" fontId="0" fillId="11" borderId="12" xfId="0" applyNumberFormat="1" applyFill="1" applyBorder="1" applyAlignment="1">
      <alignment horizontal="center" vertical="center"/>
    </xf>
    <xf numFmtId="1" fontId="0" fillId="11" borderId="13" xfId="0" applyNumberForma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1" fontId="0" fillId="12" borderId="12" xfId="0" applyNumberForma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49" fontId="2" fillId="1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49" fontId="2" fillId="12" borderId="0" xfId="0" quotePrefix="1" applyNumberFormat="1" applyFont="1" applyFill="1" applyAlignment="1">
      <alignment horizontal="center" vertical="center"/>
    </xf>
    <xf numFmtId="1" fontId="2" fillId="12" borderId="0" xfId="0" applyNumberFormat="1" applyFont="1" applyFill="1" applyAlignment="1">
      <alignment horizontal="center" vertical="center"/>
    </xf>
    <xf numFmtId="43" fontId="2" fillId="12" borderId="0" xfId="1" applyFont="1" applyFill="1" applyBorder="1" applyAlignment="1">
      <alignment horizontal="center" vertical="center"/>
    </xf>
    <xf numFmtId="10" fontId="2" fillId="12" borderId="0" xfId="8" applyNumberFormat="1" applyFont="1" applyFill="1" applyBorder="1" applyAlignment="1">
      <alignment horizontal="center" vertical="center"/>
    </xf>
    <xf numFmtId="43" fontId="2" fillId="12" borderId="0" xfId="8" applyNumberFormat="1" applyFont="1" applyFill="1" applyBorder="1" applyAlignment="1">
      <alignment horizontal="center" vertical="center"/>
    </xf>
    <xf numFmtId="9" fontId="2" fillId="12" borderId="0" xfId="8" applyFont="1" applyFill="1" applyBorder="1" applyAlignment="1">
      <alignment horizontal="center" vertical="center"/>
    </xf>
    <xf numFmtId="14" fontId="2" fillId="12" borderId="0" xfId="0" applyNumberFormat="1" applyFont="1" applyFill="1" applyAlignment="1">
      <alignment horizontal="center" vertical="center"/>
    </xf>
    <xf numFmtId="0" fontId="0" fillId="12" borderId="0" xfId="0" applyFill="1"/>
    <xf numFmtId="43" fontId="2" fillId="12" borderId="0" xfId="1" applyFont="1" applyFill="1" applyAlignment="1">
      <alignment horizontal="center" vertical="center"/>
    </xf>
    <xf numFmtId="10" fontId="2" fillId="12" borderId="0" xfId="8" applyNumberFormat="1" applyFont="1" applyFill="1" applyAlignment="1">
      <alignment horizontal="center" vertical="center"/>
    </xf>
    <xf numFmtId="43" fontId="2" fillId="12" borderId="0" xfId="8" applyNumberFormat="1" applyFont="1" applyFill="1" applyAlignment="1">
      <alignment horizontal="center" vertical="center"/>
    </xf>
    <xf numFmtId="9" fontId="2" fillId="12" borderId="0" xfId="8" applyFont="1" applyFill="1" applyAlignment="1">
      <alignment horizontal="center" vertical="center"/>
    </xf>
    <xf numFmtId="0" fontId="0" fillId="12" borderId="0" xfId="0" quotePrefix="1" applyFill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" fontId="0" fillId="13" borderId="0" xfId="0" applyNumberForma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49" fontId="2" fillId="13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49" fontId="2" fillId="13" borderId="0" xfId="0" quotePrefix="1" applyNumberFormat="1" applyFont="1" applyFill="1" applyAlignment="1">
      <alignment horizontal="center" vertical="center"/>
    </xf>
    <xf numFmtId="43" fontId="2" fillId="13" borderId="0" xfId="1" applyFont="1" applyFill="1" applyAlignment="1">
      <alignment horizontal="center" vertical="center"/>
    </xf>
    <xf numFmtId="10" fontId="2" fillId="13" borderId="0" xfId="8" applyNumberFormat="1" applyFont="1" applyFill="1" applyAlignment="1">
      <alignment horizontal="center" vertical="center"/>
    </xf>
    <xf numFmtId="43" fontId="2" fillId="13" borderId="0" xfId="8" applyNumberFormat="1" applyFont="1" applyFill="1" applyAlignment="1">
      <alignment horizontal="center" vertical="center"/>
    </xf>
    <xf numFmtId="9" fontId="2" fillId="13" borderId="0" xfId="8" applyFont="1" applyFill="1" applyAlignment="1">
      <alignment horizontal="center" vertical="center"/>
    </xf>
    <xf numFmtId="14" fontId="2" fillId="13" borderId="0" xfId="0" applyNumberFormat="1" applyFont="1" applyFill="1" applyAlignment="1">
      <alignment horizontal="center" vertical="center"/>
    </xf>
    <xf numFmtId="0" fontId="0" fillId="13" borderId="0" xfId="0" applyFill="1"/>
    <xf numFmtId="1" fontId="0" fillId="12" borderId="13" xfId="0" applyNumberFormat="1" applyFill="1" applyBorder="1" applyAlignment="1">
      <alignment horizontal="center" vertical="center"/>
    </xf>
    <xf numFmtId="1" fontId="0" fillId="13" borderId="13" xfId="0" applyNumberForma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" fontId="0" fillId="14" borderId="0" xfId="0" applyNumberFormat="1" applyFill="1" applyAlignment="1">
      <alignment horizontal="center" vertical="center"/>
    </xf>
    <xf numFmtId="1" fontId="0" fillId="14" borderId="12" xfId="0" applyNumberFormat="1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49" fontId="2" fillId="14" borderId="0" xfId="0" applyNumberFormat="1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49" fontId="2" fillId="14" borderId="0" xfId="0" quotePrefix="1" applyNumberFormat="1" applyFont="1" applyFill="1" applyAlignment="1">
      <alignment horizontal="center" vertical="center"/>
    </xf>
    <xf numFmtId="1" fontId="2" fillId="14" borderId="0" xfId="0" applyNumberFormat="1" applyFont="1" applyFill="1" applyAlignment="1">
      <alignment horizontal="center" vertical="center"/>
    </xf>
    <xf numFmtId="43" fontId="2" fillId="14" borderId="0" xfId="1" applyFont="1" applyFill="1" applyAlignment="1">
      <alignment horizontal="center" vertical="center"/>
    </xf>
    <xf numFmtId="10" fontId="2" fillId="14" borderId="0" xfId="8" applyNumberFormat="1" applyFont="1" applyFill="1" applyAlignment="1">
      <alignment horizontal="center" vertical="center"/>
    </xf>
    <xf numFmtId="43" fontId="2" fillId="14" borderId="0" xfId="8" applyNumberFormat="1" applyFont="1" applyFill="1" applyAlignment="1">
      <alignment horizontal="center" vertical="center"/>
    </xf>
    <xf numFmtId="9" fontId="2" fillId="14" borderId="0" xfId="8" applyFont="1" applyFill="1" applyAlignment="1">
      <alignment horizontal="center" vertical="center"/>
    </xf>
    <xf numFmtId="14" fontId="2" fillId="14" borderId="0" xfId="0" applyNumberFormat="1" applyFont="1" applyFill="1" applyAlignment="1">
      <alignment horizontal="center" vertical="center"/>
    </xf>
    <xf numFmtId="0" fontId="0" fillId="14" borderId="0" xfId="0" applyFill="1"/>
    <xf numFmtId="0" fontId="0" fillId="15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1" fontId="0" fillId="15" borderId="13" xfId="0" applyNumberForma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49" fontId="2" fillId="15" borderId="0" xfId="0" applyNumberFormat="1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49" fontId="2" fillId="15" borderId="0" xfId="0" quotePrefix="1" applyNumberFormat="1" applyFont="1" applyFill="1" applyAlignment="1">
      <alignment horizontal="center" vertical="center"/>
    </xf>
    <xf numFmtId="1" fontId="2" fillId="15" borderId="0" xfId="0" applyNumberFormat="1" applyFont="1" applyFill="1" applyAlignment="1">
      <alignment horizontal="center" vertical="center"/>
    </xf>
    <xf numFmtId="14" fontId="2" fillId="15" borderId="0" xfId="0" applyNumberFormat="1" applyFont="1" applyFill="1" applyAlignment="1">
      <alignment horizontal="center" vertical="center"/>
    </xf>
    <xf numFmtId="0" fontId="0" fillId="15" borderId="0" xfId="0" applyFill="1"/>
    <xf numFmtId="1" fontId="0" fillId="15" borderId="12" xfId="0" applyNumberForma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43" fontId="2" fillId="15" borderId="0" xfId="1" applyFont="1" applyFill="1" applyAlignment="1">
      <alignment horizontal="center" vertical="center"/>
    </xf>
    <xf numFmtId="10" fontId="2" fillId="15" borderId="0" xfId="8" applyNumberFormat="1" applyFont="1" applyFill="1" applyAlignment="1">
      <alignment horizontal="center" vertical="center"/>
    </xf>
    <xf numFmtId="43" fontId="2" fillId="15" borderId="0" xfId="8" applyNumberFormat="1" applyFont="1" applyFill="1" applyAlignment="1">
      <alignment horizontal="center" vertical="center"/>
    </xf>
    <xf numFmtId="9" fontId="2" fillId="15" borderId="0" xfId="8" applyFont="1" applyFill="1" applyAlignment="1">
      <alignment horizontal="center" vertical="center"/>
    </xf>
    <xf numFmtId="1" fontId="0" fillId="13" borderId="12" xfId="0" applyNumberForma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2" borderId="12" xfId="0" applyNumberFormat="1" applyFill="1" applyBorder="1" applyAlignment="1">
      <alignment horizontal="center" vertical="center"/>
    </xf>
    <xf numFmtId="0" fontId="0" fillId="12" borderId="0" xfId="0" applyNumberFormat="1" applyFill="1" applyAlignment="1">
      <alignment horizontal="left" vertical="center"/>
    </xf>
    <xf numFmtId="0" fontId="2" fillId="12" borderId="0" xfId="0" applyNumberFormat="1" applyFont="1" applyFill="1" applyAlignment="1">
      <alignment horizontal="center" vertical="center"/>
    </xf>
    <xf numFmtId="43" fontId="2" fillId="12" borderId="0" xfId="1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5" fontId="13" fillId="2" borderId="10" xfId="1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43" fontId="13" fillId="2" borderId="10" xfId="1" applyFont="1" applyFill="1" applyBorder="1" applyAlignment="1">
      <alignment horizontal="center" vertical="center"/>
    </xf>
    <xf numFmtId="43" fontId="2" fillId="12" borderId="0" xfId="1" applyNumberFormat="1" applyFont="1" applyFill="1" applyAlignment="1">
      <alignment horizontal="center" vertical="center"/>
    </xf>
  </cellXfs>
  <cellStyles count="9">
    <cellStyle name="Comma" xfId="1" builtinId="3"/>
    <cellStyle name="Comma [0] 2" xfId="6" xr:uid="{B209AE8D-8414-4967-9B47-DE634695549A}"/>
    <cellStyle name="Comma 2" xfId="4" xr:uid="{3380173F-AD94-497B-88D1-7ABB8C0FBF67}"/>
    <cellStyle name="Comma 4" xfId="3" xr:uid="{BC76AE30-B22F-4565-8381-1CB1CD70D49D}"/>
    <cellStyle name="Normal" xfId="0" builtinId="0"/>
    <cellStyle name="Normal 2" xfId="2" xr:uid="{2DFBE380-8AC0-4BB4-AC2C-CCCDCF5765A3}"/>
    <cellStyle name="Normal 2 2" xfId="5" xr:uid="{F9D4CD8E-B798-4FFA-9031-10EDEC68785D}"/>
    <cellStyle name="Normal 3" xfId="7" xr:uid="{C21BE021-33E3-46F7-8BEA-8310A5A367FF}"/>
    <cellStyle name="Percent" xfId="8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har\Downloads\Template%20Master%20Product%20dan%20Harga%20Surya%20Perk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Forisa"/>
      <sheetName val="DES 2025"/>
      <sheetName val="FEB 2026"/>
      <sheetName val="Harga BTL dan Canvas"/>
      <sheetName val="Harga Canvass"/>
    </sheetNames>
    <sheetDataSet>
      <sheetData sheetId="0" refreshError="1"/>
      <sheetData sheetId="1" refreshError="1"/>
      <sheetData sheetId="2" refreshError="1">
        <row r="3">
          <cell r="A3" t="str">
            <v>F1A.ADASAGA.01</v>
          </cell>
          <cell r="B3" t="str">
            <v>ANGET SARI SUSU JAHE RENCENG</v>
          </cell>
          <cell r="C3" t="str">
            <v>F Loc P.Ggr AS-RE Ginger Milk Rcg</v>
          </cell>
          <cell r="D3" t="str">
            <v>ANGET SARI REGULAR</v>
          </cell>
          <cell r="E3" t="str">
            <v>BEVERAGE 1</v>
          </cell>
          <cell r="F3" t="str">
            <v>CB</v>
          </cell>
          <cell r="G3">
            <v>250</v>
          </cell>
          <cell r="H3" t="str">
            <v>BAG</v>
          </cell>
          <cell r="I3">
            <v>50</v>
          </cell>
          <cell r="J3" t="str">
            <v>RCG</v>
          </cell>
          <cell r="K3">
            <v>10</v>
          </cell>
          <cell r="L3" t="str">
            <v>PCS</v>
          </cell>
          <cell r="M3">
            <v>1</v>
          </cell>
          <cell r="N3">
            <v>5</v>
          </cell>
          <cell r="O3">
            <v>25</v>
          </cell>
          <cell r="P3">
            <v>250</v>
          </cell>
          <cell r="Q3">
            <v>226296</v>
          </cell>
          <cell r="R3">
            <v>246663</v>
          </cell>
          <cell r="S3">
            <v>294185</v>
          </cell>
          <cell r="T3">
            <v>246663</v>
          </cell>
          <cell r="U3" t="str">
            <v>AKTIF</v>
          </cell>
          <cell r="V3">
            <v>905.18399999999997</v>
          </cell>
          <cell r="W3">
            <v>986.65200000000004</v>
          </cell>
          <cell r="X3">
            <v>1176.74</v>
          </cell>
        </row>
        <row r="4">
          <cell r="A4" t="str">
            <v>F1A.ADASAGA.02</v>
          </cell>
          <cell r="B4" t="str">
            <v>ANGET SARI SUSU JAHE INN</v>
          </cell>
          <cell r="C4" t="str">
            <v>F Loc P.Ggr AS-RE Ginger Milk Inn-B</v>
          </cell>
          <cell r="D4" t="str">
            <v>ANGET SARI REGULAR</v>
          </cell>
          <cell r="E4" t="str">
            <v>BEVERAGE 1</v>
          </cell>
          <cell r="F4" t="str">
            <v>CB</v>
          </cell>
          <cell r="G4">
            <v>250</v>
          </cell>
          <cell r="H4" t="str">
            <v>INN</v>
          </cell>
          <cell r="I4">
            <v>5</v>
          </cell>
          <cell r="L4" t="str">
            <v>PCS</v>
          </cell>
          <cell r="M4">
            <v>1</v>
          </cell>
          <cell r="N4">
            <v>50</v>
          </cell>
          <cell r="O4">
            <v>0</v>
          </cell>
          <cell r="P4">
            <v>250</v>
          </cell>
          <cell r="Q4">
            <v>236437</v>
          </cell>
          <cell r="R4">
            <v>257716</v>
          </cell>
          <cell r="S4">
            <v>307368</v>
          </cell>
          <cell r="T4">
            <v>257716</v>
          </cell>
          <cell r="U4" t="str">
            <v>AKTIF</v>
          </cell>
          <cell r="V4">
            <v>945.74800000000005</v>
          </cell>
          <cell r="W4">
            <v>1030.864</v>
          </cell>
          <cell r="X4">
            <v>1229.472</v>
          </cell>
        </row>
        <row r="5">
          <cell r="A5" t="str">
            <v>F1A.ADASAGC.02</v>
          </cell>
          <cell r="B5" t="str">
            <v>ANGET SARI WEDANG JAHE INN</v>
          </cell>
          <cell r="C5" t="str">
            <v>F Loc P.Ggr AS-RE Ginger Inn-B</v>
          </cell>
          <cell r="D5" t="str">
            <v>ANGET SARI REGULAR</v>
          </cell>
          <cell r="E5" t="str">
            <v>BEVERAGE 1</v>
          </cell>
          <cell r="F5" t="str">
            <v>CB</v>
          </cell>
          <cell r="G5">
            <v>250</v>
          </cell>
          <cell r="H5" t="str">
            <v>INN</v>
          </cell>
          <cell r="I5">
            <v>5</v>
          </cell>
          <cell r="L5" t="str">
            <v>PCS</v>
          </cell>
          <cell r="M5">
            <v>1</v>
          </cell>
          <cell r="N5">
            <v>50</v>
          </cell>
          <cell r="O5">
            <v>0</v>
          </cell>
          <cell r="P5">
            <v>250</v>
          </cell>
          <cell r="Q5">
            <v>236437</v>
          </cell>
          <cell r="R5">
            <v>257716</v>
          </cell>
          <cell r="S5">
            <v>307368</v>
          </cell>
          <cell r="T5">
            <v>257716</v>
          </cell>
          <cell r="U5" t="str">
            <v>AKTIF</v>
          </cell>
          <cell r="V5">
            <v>945.74800000000005</v>
          </cell>
          <cell r="W5">
            <v>1030.864</v>
          </cell>
          <cell r="X5">
            <v>1229.472</v>
          </cell>
        </row>
        <row r="6">
          <cell r="A6" t="str">
            <v>F1A.ADASAGC.08</v>
          </cell>
          <cell r="B6" t="str">
            <v>ANGET SARI WEDANG JAHE RENCENG</v>
          </cell>
          <cell r="C6" t="str">
            <v>F Loc P.Ggr AS-RE Ginger 240S</v>
          </cell>
          <cell r="D6" t="str">
            <v>ANGET SARI REGULAR</v>
          </cell>
          <cell r="E6" t="str">
            <v>BEVERAGE 1</v>
          </cell>
          <cell r="F6" t="str">
            <v>CB</v>
          </cell>
          <cell r="G6">
            <v>240</v>
          </cell>
          <cell r="H6" t="str">
            <v>BAG</v>
          </cell>
          <cell r="I6">
            <v>20</v>
          </cell>
          <cell r="J6" t="str">
            <v>RCG</v>
          </cell>
          <cell r="K6">
            <v>10</v>
          </cell>
          <cell r="L6" t="str">
            <v>PCS</v>
          </cell>
          <cell r="M6">
            <v>1</v>
          </cell>
          <cell r="N6">
            <v>12</v>
          </cell>
          <cell r="O6">
            <v>24</v>
          </cell>
          <cell r="P6">
            <v>240</v>
          </cell>
          <cell r="Q6">
            <v>217244</v>
          </cell>
          <cell r="R6">
            <v>236797</v>
          </cell>
          <cell r="S6">
            <v>282418</v>
          </cell>
          <cell r="T6">
            <v>236797</v>
          </cell>
          <cell r="U6" t="str">
            <v>AKTIF</v>
          </cell>
          <cell r="V6">
            <v>905.18333333333328</v>
          </cell>
          <cell r="W6">
            <v>986.6541666666667</v>
          </cell>
          <cell r="X6">
            <v>1176.7416666666666</v>
          </cell>
        </row>
        <row r="7">
          <cell r="A7" t="str">
            <v>F1A.ADASAGE.01</v>
          </cell>
          <cell r="B7" t="str">
            <v>ANGET SARI NIPIS JAHE RENCENG</v>
          </cell>
          <cell r="C7" t="str">
            <v>F Loc P.Ggr AS-RE Ginger Lime Rcg</v>
          </cell>
          <cell r="D7" t="str">
            <v>ANGET SARI REGULAR</v>
          </cell>
          <cell r="E7" t="str">
            <v>BEVERAGE 1</v>
          </cell>
          <cell r="F7" t="str">
            <v>CB</v>
          </cell>
          <cell r="G7">
            <v>250</v>
          </cell>
          <cell r="H7" t="str">
            <v>BAG</v>
          </cell>
          <cell r="I7">
            <v>50</v>
          </cell>
          <cell r="J7" t="str">
            <v>RCG</v>
          </cell>
          <cell r="K7">
            <v>10</v>
          </cell>
          <cell r="L7" t="str">
            <v>PCS</v>
          </cell>
          <cell r="M7">
            <v>1</v>
          </cell>
          <cell r="N7">
            <v>5</v>
          </cell>
          <cell r="O7">
            <v>25</v>
          </cell>
          <cell r="P7">
            <v>250</v>
          </cell>
          <cell r="Q7">
            <v>226296</v>
          </cell>
          <cell r="R7">
            <v>246663</v>
          </cell>
          <cell r="S7">
            <v>294185</v>
          </cell>
          <cell r="T7">
            <v>246663</v>
          </cell>
          <cell r="U7" t="str">
            <v>AKTIF</v>
          </cell>
          <cell r="V7">
            <v>905.18399999999997</v>
          </cell>
          <cell r="W7">
            <v>986.65200000000004</v>
          </cell>
          <cell r="X7">
            <v>1176.74</v>
          </cell>
        </row>
        <row r="8">
          <cell r="A8" t="str">
            <v>F1A.ADASAGH.01</v>
          </cell>
          <cell r="B8" t="str">
            <v>ANGET SARI EMPON EMPON RENCENG</v>
          </cell>
          <cell r="C8" t="str">
            <v>F Loc P.Ggr AS-RE Empon Empon Rcg</v>
          </cell>
          <cell r="D8" t="str">
            <v>ANGET SARI REGULAR</v>
          </cell>
          <cell r="E8" t="str">
            <v>BEVERAGE 1</v>
          </cell>
          <cell r="F8" t="str">
            <v>CB</v>
          </cell>
          <cell r="G8">
            <v>250</v>
          </cell>
          <cell r="H8" t="str">
            <v>BAG</v>
          </cell>
          <cell r="I8">
            <v>50</v>
          </cell>
          <cell r="J8" t="str">
            <v>RCG</v>
          </cell>
          <cell r="K8">
            <v>10</v>
          </cell>
          <cell r="L8" t="str">
            <v>PCS</v>
          </cell>
          <cell r="M8">
            <v>1</v>
          </cell>
          <cell r="N8">
            <v>5</v>
          </cell>
          <cell r="O8">
            <v>25</v>
          </cell>
          <cell r="P8">
            <v>250</v>
          </cell>
          <cell r="Q8">
            <v>226296</v>
          </cell>
          <cell r="R8">
            <v>246663</v>
          </cell>
          <cell r="S8">
            <v>294185</v>
          </cell>
          <cell r="T8">
            <v>246663</v>
          </cell>
          <cell r="U8" t="str">
            <v>AKTIF</v>
          </cell>
          <cell r="V8">
            <v>905.18399999999997</v>
          </cell>
          <cell r="W8">
            <v>986.65200000000004</v>
          </cell>
          <cell r="X8">
            <v>1176.74</v>
          </cell>
        </row>
        <row r="9">
          <cell r="A9" t="str">
            <v>F1A.ABKMABB.01</v>
          </cell>
          <cell r="B9" t="str">
            <v>KAROMAH MADU RENCENG</v>
          </cell>
          <cell r="C9" t="str">
            <v>F Loc P.Mlk KM-SK Honey Rcg</v>
          </cell>
          <cell r="D9" t="str">
            <v>KAROMAH SUSU KAMBING</v>
          </cell>
          <cell r="E9" t="str">
            <v>BEVERAGE 1</v>
          </cell>
          <cell r="F9" t="str">
            <v>CB</v>
          </cell>
          <cell r="G9">
            <v>120</v>
          </cell>
          <cell r="H9" t="str">
            <v>BAG</v>
          </cell>
          <cell r="I9">
            <v>20</v>
          </cell>
          <cell r="J9" t="str">
            <v>RCG</v>
          </cell>
          <cell r="K9">
            <v>10</v>
          </cell>
          <cell r="L9" t="str">
            <v>PCS</v>
          </cell>
          <cell r="M9">
            <v>1</v>
          </cell>
          <cell r="N9">
            <v>6</v>
          </cell>
          <cell r="O9">
            <v>12</v>
          </cell>
          <cell r="P9">
            <v>120</v>
          </cell>
          <cell r="Q9">
            <v>220887</v>
          </cell>
          <cell r="R9">
            <v>240767</v>
          </cell>
          <cell r="S9">
            <v>287153</v>
          </cell>
          <cell r="T9">
            <v>240767</v>
          </cell>
          <cell r="U9" t="str">
            <v>AKTIF</v>
          </cell>
          <cell r="V9">
            <v>1840.7249999999999</v>
          </cell>
          <cell r="W9">
            <v>2006.3916666666667</v>
          </cell>
          <cell r="X9">
            <v>2392.9416666666666</v>
          </cell>
        </row>
        <row r="10">
          <cell r="A10" t="str">
            <v>F1A.ABKMABB.03</v>
          </cell>
          <cell r="B10" t="str">
            <v>KAROMAH MADU INN</v>
          </cell>
          <cell r="C10" t="str">
            <v>F Loc P.Mlk KM-SK Honey Inn-B</v>
          </cell>
          <cell r="D10" t="str">
            <v>KAROMAH SUSU KAMBING</v>
          </cell>
          <cell r="E10" t="str">
            <v>BEVERAGE 1</v>
          </cell>
          <cell r="F10" t="str">
            <v>CB</v>
          </cell>
          <cell r="G10">
            <v>120</v>
          </cell>
          <cell r="H10" t="str">
            <v>INN</v>
          </cell>
          <cell r="I10">
            <v>5</v>
          </cell>
          <cell r="L10" t="str">
            <v>PCS</v>
          </cell>
          <cell r="M10">
            <v>1</v>
          </cell>
          <cell r="N10">
            <v>24</v>
          </cell>
          <cell r="O10">
            <v>0</v>
          </cell>
          <cell r="P10">
            <v>120</v>
          </cell>
          <cell r="Q10">
            <v>238558</v>
          </cell>
          <cell r="R10">
            <v>260028</v>
          </cell>
          <cell r="S10">
            <v>306296</v>
          </cell>
          <cell r="T10">
            <v>260028</v>
          </cell>
          <cell r="U10" t="str">
            <v>AKTIF</v>
          </cell>
          <cell r="V10">
            <v>1987.9833333333333</v>
          </cell>
          <cell r="W10">
            <v>2166.9</v>
          </cell>
          <cell r="X10">
            <v>2552.4666666666667</v>
          </cell>
        </row>
        <row r="11">
          <cell r="A11" t="str">
            <v>F1A.ABKMAOJ.01</v>
          </cell>
          <cell r="B11" t="str">
            <v>KAROMAH KURMA RENCENG</v>
          </cell>
          <cell r="C11" t="str">
            <v>F Loc P.Mlk KM-SK Kurma Rcg</v>
          </cell>
          <cell r="D11" t="str">
            <v>KAROMAH SUSU KAMBING</v>
          </cell>
          <cell r="E11" t="str">
            <v>BEVERAGE 1</v>
          </cell>
          <cell r="F11" t="str">
            <v>CB</v>
          </cell>
          <cell r="G11">
            <v>120</v>
          </cell>
          <cell r="H11" t="str">
            <v>BAG</v>
          </cell>
          <cell r="I11">
            <v>20</v>
          </cell>
          <cell r="J11" t="str">
            <v>RCG</v>
          </cell>
          <cell r="K11">
            <v>10</v>
          </cell>
          <cell r="L11" t="str">
            <v>PCS</v>
          </cell>
          <cell r="M11">
            <v>1</v>
          </cell>
          <cell r="N11">
            <v>6</v>
          </cell>
          <cell r="O11">
            <v>12</v>
          </cell>
          <cell r="P11">
            <v>120</v>
          </cell>
          <cell r="Q11">
            <v>220887</v>
          </cell>
          <cell r="R11">
            <v>240767</v>
          </cell>
          <cell r="S11">
            <v>287153</v>
          </cell>
          <cell r="T11">
            <v>240767</v>
          </cell>
          <cell r="U11" t="str">
            <v>AKTIF</v>
          </cell>
          <cell r="V11">
            <v>1840.7249999999999</v>
          </cell>
          <cell r="W11">
            <v>2006.3916666666667</v>
          </cell>
          <cell r="X11">
            <v>2392.9416666666666</v>
          </cell>
        </row>
        <row r="12">
          <cell r="A12" t="str">
            <v>F1A.ABKMAXD.01</v>
          </cell>
          <cell r="B12" t="str">
            <v>KAROMAH ORIGINAL RENCENG</v>
          </cell>
          <cell r="C12" t="str">
            <v>F Loc P.Mlk KM-SK Original Rcg</v>
          </cell>
          <cell r="D12" t="str">
            <v>KAROMAH SUSU KAMBING</v>
          </cell>
          <cell r="E12" t="str">
            <v>BEVERAGE 1</v>
          </cell>
          <cell r="F12" t="str">
            <v>CB</v>
          </cell>
          <cell r="G12">
            <v>120</v>
          </cell>
          <cell r="H12" t="str">
            <v>BAG</v>
          </cell>
          <cell r="I12">
            <v>20</v>
          </cell>
          <cell r="J12" t="str">
            <v>RCG</v>
          </cell>
          <cell r="K12">
            <v>10</v>
          </cell>
          <cell r="L12" t="str">
            <v>PCS</v>
          </cell>
          <cell r="M12">
            <v>1</v>
          </cell>
          <cell r="N12">
            <v>6</v>
          </cell>
          <cell r="O12">
            <v>12</v>
          </cell>
          <cell r="P12">
            <v>120</v>
          </cell>
          <cell r="Q12">
            <v>220887</v>
          </cell>
          <cell r="R12">
            <v>240767</v>
          </cell>
          <cell r="S12">
            <v>287153</v>
          </cell>
          <cell r="T12">
            <v>240767</v>
          </cell>
          <cell r="U12" t="str">
            <v>AKTIF</v>
          </cell>
          <cell r="V12">
            <v>1840.7249999999999</v>
          </cell>
          <cell r="W12">
            <v>2006.3916666666667</v>
          </cell>
          <cell r="X12">
            <v>2392.9416666666666</v>
          </cell>
        </row>
        <row r="13">
          <cell r="A13" t="str">
            <v>F1A.ABKMAXD.03</v>
          </cell>
          <cell r="B13" t="str">
            <v>KAROMAH ORIGINAL INN</v>
          </cell>
          <cell r="C13" t="str">
            <v>F Loc P.Mlk KM-SK Original Inn-B</v>
          </cell>
          <cell r="D13" t="str">
            <v>KAROMAH SUSU KAMBING</v>
          </cell>
          <cell r="E13" t="str">
            <v>BEVERAGE 1</v>
          </cell>
          <cell r="F13" t="str">
            <v>CB</v>
          </cell>
          <cell r="G13">
            <v>120</v>
          </cell>
          <cell r="H13" t="str">
            <v>INN</v>
          </cell>
          <cell r="I13">
            <v>5</v>
          </cell>
          <cell r="L13" t="str">
            <v>PCS</v>
          </cell>
          <cell r="M13">
            <v>1</v>
          </cell>
          <cell r="N13">
            <v>24</v>
          </cell>
          <cell r="O13">
            <v>0</v>
          </cell>
          <cell r="P13">
            <v>120</v>
          </cell>
          <cell r="Q13">
            <v>238558</v>
          </cell>
          <cell r="R13">
            <v>260028</v>
          </cell>
          <cell r="S13">
            <v>306296</v>
          </cell>
          <cell r="T13">
            <v>260028</v>
          </cell>
          <cell r="U13" t="str">
            <v>AKTIF</v>
          </cell>
          <cell r="V13">
            <v>1987.9833333333333</v>
          </cell>
          <cell r="W13">
            <v>2166.9</v>
          </cell>
          <cell r="X13">
            <v>2552.4666666666667</v>
          </cell>
        </row>
        <row r="14">
          <cell r="A14" t="str">
            <v>F1A.ABMLABH.02</v>
          </cell>
          <cell r="B14" t="str">
            <v>MILK TEA TIME BROWN SUGAR RENCENG</v>
          </cell>
          <cell r="C14" t="str">
            <v>F Loc P.Mlk ML-TM BC.Brown Sugar Rcg</v>
          </cell>
          <cell r="D14" t="str">
            <v>MILK TEA TIME</v>
          </cell>
          <cell r="E14" t="str">
            <v>BEVERAGE 1</v>
          </cell>
          <cell r="F14" t="str">
            <v>CB</v>
          </cell>
          <cell r="G14">
            <v>120</v>
          </cell>
          <cell r="H14" t="str">
            <v>BAG</v>
          </cell>
          <cell r="I14">
            <v>20</v>
          </cell>
          <cell r="J14" t="str">
            <v>RCG</v>
          </cell>
          <cell r="K14">
            <v>10</v>
          </cell>
          <cell r="L14" t="str">
            <v>PCS</v>
          </cell>
          <cell r="M14">
            <v>1</v>
          </cell>
          <cell r="N14">
            <v>6</v>
          </cell>
          <cell r="O14">
            <v>12</v>
          </cell>
          <cell r="P14">
            <v>120</v>
          </cell>
          <cell r="Q14">
            <v>145440</v>
          </cell>
          <cell r="R14">
            <v>158530</v>
          </cell>
          <cell r="S14">
            <v>187200</v>
          </cell>
          <cell r="T14">
            <v>158530</v>
          </cell>
          <cell r="U14" t="str">
            <v>AKTIF</v>
          </cell>
          <cell r="V14">
            <v>1212</v>
          </cell>
          <cell r="W14">
            <v>1321.0833333333333</v>
          </cell>
          <cell r="X14">
            <v>1560</v>
          </cell>
        </row>
        <row r="15">
          <cell r="A15" t="str">
            <v>F1A.ABMLACY.02</v>
          </cell>
          <cell r="B15" t="str">
            <v>MILK TEA TIME CHOCO HAZELNUT RENCENG</v>
          </cell>
          <cell r="C15" t="str">
            <v>F Loc P.Mlk ML-TM Choco Hazelnut Rcg</v>
          </cell>
          <cell r="D15" t="str">
            <v>MILK TEA TIME</v>
          </cell>
          <cell r="E15" t="str">
            <v>BEVERAGE 1</v>
          </cell>
          <cell r="F15" t="str">
            <v>CB</v>
          </cell>
          <cell r="G15">
            <v>120</v>
          </cell>
          <cell r="H15" t="str">
            <v>BAG</v>
          </cell>
          <cell r="I15">
            <v>20</v>
          </cell>
          <cell r="J15" t="str">
            <v>RCG</v>
          </cell>
          <cell r="K15">
            <v>10</v>
          </cell>
          <cell r="L15" t="str">
            <v>PCS</v>
          </cell>
          <cell r="M15">
            <v>1</v>
          </cell>
          <cell r="N15">
            <v>6</v>
          </cell>
          <cell r="O15">
            <v>12</v>
          </cell>
          <cell r="P15">
            <v>120</v>
          </cell>
          <cell r="Q15">
            <v>145440</v>
          </cell>
          <cell r="R15">
            <v>158530</v>
          </cell>
          <cell r="S15">
            <v>187200</v>
          </cell>
          <cell r="T15">
            <v>158530</v>
          </cell>
          <cell r="U15" t="str">
            <v>AKTIF</v>
          </cell>
          <cell r="V15">
            <v>1212</v>
          </cell>
          <cell r="W15">
            <v>1321.0833333333333</v>
          </cell>
          <cell r="X15">
            <v>1560</v>
          </cell>
        </row>
        <row r="16">
          <cell r="A16" t="str">
            <v>F1A.ABMLADO.02</v>
          </cell>
          <cell r="B16" t="str">
            <v>MILK TEA TIME SALT CHEESE RENCENG</v>
          </cell>
          <cell r="C16" t="str">
            <v>F Loc P.Mlk ML-TM Salt C.Cheese Rcg</v>
          </cell>
          <cell r="D16" t="str">
            <v>MILK TEA TIME</v>
          </cell>
          <cell r="E16" t="str">
            <v>BEVERAGE 1</v>
          </cell>
          <cell r="F16" t="str">
            <v>CB</v>
          </cell>
          <cell r="G16">
            <v>120</v>
          </cell>
          <cell r="H16" t="str">
            <v>BAG</v>
          </cell>
          <cell r="I16">
            <v>20</v>
          </cell>
          <cell r="J16" t="str">
            <v>RCG</v>
          </cell>
          <cell r="K16">
            <v>10</v>
          </cell>
          <cell r="L16" t="str">
            <v>PCS</v>
          </cell>
          <cell r="M16">
            <v>1</v>
          </cell>
          <cell r="N16">
            <v>6</v>
          </cell>
          <cell r="O16">
            <v>12</v>
          </cell>
          <cell r="P16">
            <v>120</v>
          </cell>
          <cell r="Q16">
            <v>145440</v>
          </cell>
          <cell r="R16">
            <v>158530</v>
          </cell>
          <cell r="S16">
            <v>187200</v>
          </cell>
          <cell r="T16">
            <v>158530</v>
          </cell>
          <cell r="U16" t="str">
            <v>AKTIF</v>
          </cell>
          <cell r="V16">
            <v>1212</v>
          </cell>
          <cell r="W16">
            <v>1321.0833333333333</v>
          </cell>
          <cell r="X16">
            <v>1560</v>
          </cell>
        </row>
        <row r="17">
          <cell r="A17" t="str">
            <v>F1A.ABMLATK.02</v>
          </cell>
          <cell r="B17" t="str">
            <v>MILK TEA TIME TEH TARIK RENCENG</v>
          </cell>
          <cell r="C17" t="str">
            <v>F Loc P.Mlk ML-TM Teh Tarik Rcg</v>
          </cell>
          <cell r="D17" t="str">
            <v>MILK TEA TIME</v>
          </cell>
          <cell r="E17" t="str">
            <v>BEVERAGE 1</v>
          </cell>
          <cell r="F17" t="str">
            <v>CB</v>
          </cell>
          <cell r="G17">
            <v>120</v>
          </cell>
          <cell r="H17" t="str">
            <v>BAG</v>
          </cell>
          <cell r="I17">
            <v>20</v>
          </cell>
          <cell r="J17" t="str">
            <v>RCG</v>
          </cell>
          <cell r="K17">
            <v>10</v>
          </cell>
          <cell r="L17" t="str">
            <v>PCS</v>
          </cell>
          <cell r="M17">
            <v>1</v>
          </cell>
          <cell r="N17">
            <v>6</v>
          </cell>
          <cell r="O17">
            <v>12</v>
          </cell>
          <cell r="P17">
            <v>120</v>
          </cell>
          <cell r="Q17">
            <v>145440</v>
          </cell>
          <cell r="R17">
            <v>158530</v>
          </cell>
          <cell r="S17">
            <v>187200</v>
          </cell>
          <cell r="T17">
            <v>158530</v>
          </cell>
          <cell r="U17" t="str">
            <v>AKTIF</v>
          </cell>
          <cell r="V17">
            <v>1212</v>
          </cell>
          <cell r="W17">
            <v>1321.0833333333333</v>
          </cell>
          <cell r="X17">
            <v>1560</v>
          </cell>
        </row>
        <row r="18">
          <cell r="A18" t="str">
            <v>F1A.ABPIECS.01</v>
          </cell>
          <cell r="B18" t="str">
            <v>POP ICE ACTIVE CHOCO MALT RENCENG</v>
          </cell>
          <cell r="C18" t="str">
            <v>F Loc P.Mlk PI-AC Choco Malt Rcg</v>
          </cell>
          <cell r="D18" t="str">
            <v>POP ICE ACTIVE</v>
          </cell>
          <cell r="E18" t="str">
            <v>BEVERAGE 1</v>
          </cell>
          <cell r="F18" t="str">
            <v>CB</v>
          </cell>
          <cell r="G18">
            <v>250</v>
          </cell>
          <cell r="H18" t="str">
            <v>BAG</v>
          </cell>
          <cell r="I18">
            <v>50</v>
          </cell>
          <cell r="J18" t="str">
            <v>RCG</v>
          </cell>
          <cell r="K18">
            <v>10</v>
          </cell>
          <cell r="L18" t="str">
            <v>PCS</v>
          </cell>
          <cell r="M18">
            <v>1</v>
          </cell>
          <cell r="N18">
            <v>5</v>
          </cell>
          <cell r="O18">
            <v>25</v>
          </cell>
          <cell r="P18">
            <v>250</v>
          </cell>
          <cell r="Q18">
            <v>221051</v>
          </cell>
          <cell r="R18">
            <v>241894</v>
          </cell>
          <cell r="S18">
            <v>284513</v>
          </cell>
          <cell r="T18">
            <v>241894</v>
          </cell>
          <cell r="V18">
            <v>884.20399999999995</v>
          </cell>
          <cell r="W18">
            <v>967.57600000000002</v>
          </cell>
          <cell r="X18">
            <v>1138.0519999999999</v>
          </cell>
        </row>
        <row r="19">
          <cell r="A19" t="str">
            <v>F1A.ABPIEFF.01</v>
          </cell>
          <cell r="B19" t="str">
            <v>POP ICE ACTIVE TORNADO SQUASH RENCENG</v>
          </cell>
          <cell r="C19" t="str">
            <v>F Loc P.Mlk PI-AC Tornado Squash Rcg</v>
          </cell>
          <cell r="D19" t="str">
            <v>POP ICE ACTIVE</v>
          </cell>
          <cell r="E19" t="str">
            <v>BEVERAGE 1</v>
          </cell>
          <cell r="F19" t="str">
            <v>CB</v>
          </cell>
          <cell r="G19">
            <v>250</v>
          </cell>
          <cell r="H19" t="str">
            <v>BAG</v>
          </cell>
          <cell r="I19">
            <v>50</v>
          </cell>
          <cell r="J19" t="str">
            <v>RCG</v>
          </cell>
          <cell r="K19">
            <v>10</v>
          </cell>
          <cell r="L19" t="str">
            <v>PCS</v>
          </cell>
          <cell r="M19">
            <v>1</v>
          </cell>
          <cell r="N19">
            <v>5</v>
          </cell>
          <cell r="O19">
            <v>25</v>
          </cell>
          <cell r="P19">
            <v>250</v>
          </cell>
          <cell r="Q19">
            <v>221051</v>
          </cell>
          <cell r="R19">
            <v>241894</v>
          </cell>
          <cell r="S19">
            <v>284513</v>
          </cell>
          <cell r="T19">
            <v>241894</v>
          </cell>
          <cell r="V19">
            <v>884.20399999999995</v>
          </cell>
          <cell r="W19">
            <v>967.57600000000002</v>
          </cell>
          <cell r="X19">
            <v>1138.0519999999999</v>
          </cell>
        </row>
        <row r="20">
          <cell r="A20" t="str">
            <v>F1A.ABPIFCS.02</v>
          </cell>
          <cell r="B20" t="str">
            <v>POP ICE CD CHOCO MALT GRATIS 2 SCH</v>
          </cell>
          <cell r="C20" t="str">
            <v>F Loc P.Mlk PI-CD Choco Malt P.2's</v>
          </cell>
          <cell r="D20" t="str">
            <v>POP ICE CHOCO DREAM</v>
          </cell>
          <cell r="E20" t="str">
            <v>BEVERAGE 1</v>
          </cell>
          <cell r="F20" t="str">
            <v>CB</v>
          </cell>
          <cell r="G20">
            <v>240</v>
          </cell>
          <cell r="H20" t="str">
            <v>BAG</v>
          </cell>
          <cell r="I20">
            <v>48</v>
          </cell>
          <cell r="J20" t="str">
            <v>RCG</v>
          </cell>
          <cell r="K20">
            <v>12</v>
          </cell>
          <cell r="L20" t="str">
            <v>PCS</v>
          </cell>
          <cell r="M20">
            <v>1</v>
          </cell>
          <cell r="N20">
            <v>5</v>
          </cell>
          <cell r="O20">
            <v>20</v>
          </cell>
          <cell r="P20">
            <v>240</v>
          </cell>
          <cell r="Q20">
            <v>176784</v>
          </cell>
          <cell r="R20">
            <v>193514</v>
          </cell>
          <cell r="S20">
            <v>227537</v>
          </cell>
          <cell r="T20">
            <v>193514</v>
          </cell>
          <cell r="V20">
            <v>736.6</v>
          </cell>
          <cell r="W20">
            <v>806.30833333333328</v>
          </cell>
          <cell r="X20">
            <v>948.07083333333333</v>
          </cell>
        </row>
        <row r="21">
          <cell r="A21" t="str">
            <v>F1A.ABPIFEB.02</v>
          </cell>
          <cell r="B21" t="str">
            <v>POP ICE CD CHOCO MINT GRATIS 2 SCH</v>
          </cell>
          <cell r="C21" t="str">
            <v>F Loc P.Mlk PI-CD Choco Mint P.2's</v>
          </cell>
          <cell r="D21" t="str">
            <v>POP ICE CHOCO DREAM</v>
          </cell>
          <cell r="E21" t="str">
            <v>BEVERAGE 1</v>
          </cell>
          <cell r="F21" t="str">
            <v>CB</v>
          </cell>
          <cell r="G21">
            <v>240</v>
          </cell>
          <cell r="H21" t="str">
            <v>BAG</v>
          </cell>
          <cell r="I21">
            <v>48</v>
          </cell>
          <cell r="J21" t="str">
            <v>RCG</v>
          </cell>
          <cell r="K21">
            <v>12</v>
          </cell>
          <cell r="L21" t="str">
            <v>PCS</v>
          </cell>
          <cell r="M21">
            <v>1</v>
          </cell>
          <cell r="N21">
            <v>5</v>
          </cell>
          <cell r="O21">
            <v>20</v>
          </cell>
          <cell r="P21">
            <v>240</v>
          </cell>
          <cell r="Q21">
            <v>176784</v>
          </cell>
          <cell r="R21">
            <v>193514</v>
          </cell>
          <cell r="S21">
            <v>227537</v>
          </cell>
          <cell r="T21">
            <v>193514</v>
          </cell>
          <cell r="V21">
            <v>736.6</v>
          </cell>
          <cell r="W21">
            <v>806.30833333333328</v>
          </cell>
          <cell r="X21">
            <v>948.07083333333333</v>
          </cell>
        </row>
        <row r="22">
          <cell r="A22" t="str">
            <v>F1A.ABPIFEC.02</v>
          </cell>
          <cell r="B22" t="str">
            <v>POP ICE CD CHOCO LATTE GRATIS 2 SCH</v>
          </cell>
          <cell r="C22" t="str">
            <v>F Loc P.Mlk PI-CD Choco Latte P.2's</v>
          </cell>
          <cell r="D22" t="str">
            <v>POP ICE CHOCO DREAM</v>
          </cell>
          <cell r="E22" t="str">
            <v>BEVERAGE 1</v>
          </cell>
          <cell r="F22" t="str">
            <v>CB</v>
          </cell>
          <cell r="G22">
            <v>240</v>
          </cell>
          <cell r="H22" t="str">
            <v>BAG</v>
          </cell>
          <cell r="I22">
            <v>48</v>
          </cell>
          <cell r="J22" t="str">
            <v>RCG</v>
          </cell>
          <cell r="K22">
            <v>12</v>
          </cell>
          <cell r="L22" t="str">
            <v>PCS</v>
          </cell>
          <cell r="M22">
            <v>1</v>
          </cell>
          <cell r="N22">
            <v>5</v>
          </cell>
          <cell r="O22">
            <v>20</v>
          </cell>
          <cell r="P22">
            <v>240</v>
          </cell>
          <cell r="Q22">
            <v>176784</v>
          </cell>
          <cell r="R22">
            <v>193514</v>
          </cell>
          <cell r="S22">
            <v>227537</v>
          </cell>
          <cell r="T22">
            <v>193514</v>
          </cell>
          <cell r="V22">
            <v>736.6</v>
          </cell>
          <cell r="W22">
            <v>806.30833333333328</v>
          </cell>
          <cell r="X22">
            <v>948.07083333333333</v>
          </cell>
        </row>
        <row r="23">
          <cell r="A23" t="str">
            <v>F1A.ABPIFEE.02</v>
          </cell>
          <cell r="B23" t="str">
            <v>POP ICE CD CHOCO COCONUT GRATIS 2 SCH</v>
          </cell>
          <cell r="C23" t="str">
            <v>F Loc P.Mlk PI-CD Choco Coconut P.2's</v>
          </cell>
          <cell r="D23" t="str">
            <v>POP ICE CHOCO DREAM</v>
          </cell>
          <cell r="E23" t="str">
            <v>BEVERAGE 1</v>
          </cell>
          <cell r="F23" t="str">
            <v>CB</v>
          </cell>
          <cell r="G23">
            <v>240</v>
          </cell>
          <cell r="H23" t="str">
            <v>BAG</v>
          </cell>
          <cell r="I23">
            <v>48</v>
          </cell>
          <cell r="J23" t="str">
            <v>RCG</v>
          </cell>
          <cell r="K23">
            <v>12</v>
          </cell>
          <cell r="L23" t="str">
            <v>PCS</v>
          </cell>
          <cell r="M23">
            <v>1</v>
          </cell>
          <cell r="N23">
            <v>5</v>
          </cell>
          <cell r="O23">
            <v>20</v>
          </cell>
          <cell r="P23">
            <v>240</v>
          </cell>
          <cell r="Q23">
            <v>176784</v>
          </cell>
          <cell r="R23">
            <v>193514</v>
          </cell>
          <cell r="S23">
            <v>227537</v>
          </cell>
          <cell r="T23">
            <v>193514</v>
          </cell>
          <cell r="V23">
            <v>736.6</v>
          </cell>
          <cell r="W23">
            <v>806.30833333333328</v>
          </cell>
          <cell r="X23">
            <v>948.07083333333333</v>
          </cell>
        </row>
        <row r="24">
          <cell r="A24" t="str">
            <v>F1A.ABPIACA.01</v>
          </cell>
          <cell r="B24" t="str">
            <v>POP ICE REG CHOCOLATE RENCENG</v>
          </cell>
          <cell r="C24" t="str">
            <v>F Loc P.Mlk PI-RE Chocolate Rcg</v>
          </cell>
          <cell r="D24" t="str">
            <v>POP ICE REGULAR</v>
          </cell>
          <cell r="E24" t="str">
            <v>BEVERAGE 1</v>
          </cell>
          <cell r="F24" t="str">
            <v>CB</v>
          </cell>
          <cell r="G24">
            <v>250</v>
          </cell>
          <cell r="H24" t="str">
            <v>BAG</v>
          </cell>
          <cell r="I24">
            <v>50</v>
          </cell>
          <cell r="J24" t="str">
            <v>RCG</v>
          </cell>
          <cell r="K24">
            <v>10</v>
          </cell>
          <cell r="L24" t="str">
            <v>PCS</v>
          </cell>
          <cell r="M24">
            <v>1</v>
          </cell>
          <cell r="N24">
            <v>5</v>
          </cell>
          <cell r="O24">
            <v>25</v>
          </cell>
          <cell r="P24">
            <v>250</v>
          </cell>
          <cell r="Q24">
            <v>221051</v>
          </cell>
          <cell r="R24">
            <v>241894</v>
          </cell>
          <cell r="S24">
            <v>284513</v>
          </cell>
          <cell r="T24">
            <v>241894</v>
          </cell>
          <cell r="V24">
            <v>884.20399999999995</v>
          </cell>
          <cell r="W24">
            <v>967.57600000000002</v>
          </cell>
          <cell r="X24">
            <v>1138.0519999999999</v>
          </cell>
        </row>
        <row r="25">
          <cell r="A25" t="str">
            <v>F1A.ABPIACA.05</v>
          </cell>
          <cell r="B25" t="str">
            <v>POP ICE REG CHOCOLATE OUTERPACK</v>
          </cell>
          <cell r="C25" t="str">
            <v>F Loc P.Mlk PI-RE Chocolate OP</v>
          </cell>
          <cell r="D25" t="str">
            <v>POP ICE REGULAR</v>
          </cell>
          <cell r="E25" t="str">
            <v>BEVERAGE 1</v>
          </cell>
          <cell r="F25" t="str">
            <v>CB</v>
          </cell>
          <cell r="G25">
            <v>240</v>
          </cell>
          <cell r="H25" t="str">
            <v>BAG</v>
          </cell>
          <cell r="I25">
            <v>5</v>
          </cell>
          <cell r="L25" t="str">
            <v>PCS</v>
          </cell>
          <cell r="M25">
            <v>1</v>
          </cell>
          <cell r="N25">
            <v>48</v>
          </cell>
          <cell r="O25">
            <v>0</v>
          </cell>
          <cell r="P25">
            <v>240</v>
          </cell>
          <cell r="Q25">
            <v>207638</v>
          </cell>
          <cell r="R25">
            <v>227029</v>
          </cell>
          <cell r="S25">
            <v>273116</v>
          </cell>
          <cell r="T25">
            <v>227029</v>
          </cell>
          <cell r="V25">
            <v>865.1583333333333</v>
          </cell>
          <cell r="W25">
            <v>945.95416666666665</v>
          </cell>
          <cell r="X25">
            <v>1137.9833333333333</v>
          </cell>
        </row>
        <row r="26">
          <cell r="A26" t="str">
            <v>F1A.ABPIACB.01</v>
          </cell>
          <cell r="B26" t="str">
            <v>POP ICE REG CHOCO BISCUIT RENCENG</v>
          </cell>
          <cell r="C26" t="str">
            <v>F Loc P.Mlk PI-RE Choco Bisc Rcg</v>
          </cell>
          <cell r="D26" t="str">
            <v>POP ICE REGULAR</v>
          </cell>
          <cell r="E26" t="str">
            <v>BEVERAGE 1</v>
          </cell>
          <cell r="F26" t="str">
            <v>CB</v>
          </cell>
          <cell r="G26">
            <v>250</v>
          </cell>
          <cell r="H26" t="str">
            <v>BAG</v>
          </cell>
          <cell r="I26">
            <v>50</v>
          </cell>
          <cell r="J26" t="str">
            <v>RCG</v>
          </cell>
          <cell r="K26">
            <v>10</v>
          </cell>
          <cell r="L26" t="str">
            <v>PCS</v>
          </cell>
          <cell r="M26">
            <v>1</v>
          </cell>
          <cell r="N26">
            <v>5</v>
          </cell>
          <cell r="O26">
            <v>25</v>
          </cell>
          <cell r="P26">
            <v>250</v>
          </cell>
          <cell r="Q26">
            <v>221051</v>
          </cell>
          <cell r="R26">
            <v>241894</v>
          </cell>
          <cell r="S26">
            <v>284513</v>
          </cell>
          <cell r="T26">
            <v>241894</v>
          </cell>
          <cell r="V26">
            <v>884.20399999999995</v>
          </cell>
          <cell r="W26">
            <v>967.57600000000002</v>
          </cell>
          <cell r="X26">
            <v>1138.0519999999999</v>
          </cell>
        </row>
        <row r="27">
          <cell r="A27" t="str">
            <v>F1A.ABPIACC.01</v>
          </cell>
          <cell r="B27" t="str">
            <v>POP ICE REG CHOCO CREAM RENCENG</v>
          </cell>
          <cell r="C27" t="str">
            <v>F Loc P.Mlk PI-RE Choco Cream Rcg</v>
          </cell>
          <cell r="D27" t="str">
            <v>POP ICE REGULAR</v>
          </cell>
          <cell r="E27" t="str">
            <v>BEVERAGE 1</v>
          </cell>
          <cell r="F27" t="str">
            <v>CB</v>
          </cell>
          <cell r="G27">
            <v>250</v>
          </cell>
          <cell r="H27" t="str">
            <v>BAG</v>
          </cell>
          <cell r="I27">
            <v>50</v>
          </cell>
          <cell r="J27" t="str">
            <v>RCG</v>
          </cell>
          <cell r="K27">
            <v>10</v>
          </cell>
          <cell r="L27" t="str">
            <v>PCS</v>
          </cell>
          <cell r="M27">
            <v>1</v>
          </cell>
          <cell r="N27">
            <v>5</v>
          </cell>
          <cell r="O27">
            <v>25</v>
          </cell>
          <cell r="P27">
            <v>250</v>
          </cell>
          <cell r="Q27">
            <v>221051</v>
          </cell>
          <cell r="R27">
            <v>241894</v>
          </cell>
          <cell r="S27">
            <v>284513</v>
          </cell>
          <cell r="T27">
            <v>241894</v>
          </cell>
          <cell r="V27">
            <v>884.20399999999995</v>
          </cell>
          <cell r="W27">
            <v>967.57600000000002</v>
          </cell>
          <cell r="X27">
            <v>1138.0519999999999</v>
          </cell>
        </row>
        <row r="28">
          <cell r="A28" t="str">
            <v>F1A.ABPIACD.01</v>
          </cell>
          <cell r="B28" t="str">
            <v>POP ICE REG CHOCO MILK RENCENG</v>
          </cell>
          <cell r="C28" t="str">
            <v>F Loc P.Mlk PI-RE Choco Milk Rcg</v>
          </cell>
          <cell r="D28" t="str">
            <v>POP ICE REGULAR</v>
          </cell>
          <cell r="E28" t="str">
            <v>BEVERAGE 1</v>
          </cell>
          <cell r="F28" t="str">
            <v>CB</v>
          </cell>
          <cell r="G28">
            <v>250</v>
          </cell>
          <cell r="H28" t="str">
            <v>BAG</v>
          </cell>
          <cell r="I28">
            <v>50</v>
          </cell>
          <cell r="J28" t="str">
            <v>RCG</v>
          </cell>
          <cell r="K28">
            <v>10</v>
          </cell>
          <cell r="L28" t="str">
            <v>PCS</v>
          </cell>
          <cell r="M28">
            <v>1</v>
          </cell>
          <cell r="N28">
            <v>5</v>
          </cell>
          <cell r="O28">
            <v>25</v>
          </cell>
          <cell r="P28">
            <v>250</v>
          </cell>
          <cell r="Q28">
            <v>221051</v>
          </cell>
          <cell r="R28">
            <v>241894</v>
          </cell>
          <cell r="S28">
            <v>284513</v>
          </cell>
          <cell r="T28">
            <v>241894</v>
          </cell>
          <cell r="V28">
            <v>884.20399999999995</v>
          </cell>
          <cell r="W28">
            <v>967.57600000000002</v>
          </cell>
          <cell r="X28">
            <v>1138.0519999999999</v>
          </cell>
        </row>
        <row r="29">
          <cell r="A29" t="str">
            <v>F1A.ABPIACF.01</v>
          </cell>
          <cell r="B29" t="str">
            <v>POP ICE REG CAPPUCINO RENCENG</v>
          </cell>
          <cell r="C29" t="str">
            <v>F Loc P.Mlk PI-RE Cappucino Rcg</v>
          </cell>
          <cell r="D29" t="str">
            <v>POP ICE REGULAR</v>
          </cell>
          <cell r="E29" t="str">
            <v>BEVERAGE 1</v>
          </cell>
          <cell r="F29" t="str">
            <v>CB</v>
          </cell>
          <cell r="G29">
            <v>250</v>
          </cell>
          <cell r="H29" t="str">
            <v>BAG</v>
          </cell>
          <cell r="I29">
            <v>50</v>
          </cell>
          <cell r="J29" t="str">
            <v>RCG</v>
          </cell>
          <cell r="K29">
            <v>10</v>
          </cell>
          <cell r="L29" t="str">
            <v>PCS</v>
          </cell>
          <cell r="M29">
            <v>1</v>
          </cell>
          <cell r="N29">
            <v>5</v>
          </cell>
          <cell r="O29">
            <v>25</v>
          </cell>
          <cell r="P29">
            <v>250</v>
          </cell>
          <cell r="Q29">
            <v>221051</v>
          </cell>
          <cell r="R29">
            <v>241894</v>
          </cell>
          <cell r="S29">
            <v>284513</v>
          </cell>
          <cell r="T29">
            <v>241894</v>
          </cell>
          <cell r="V29">
            <v>884.20399999999995</v>
          </cell>
          <cell r="W29">
            <v>967.57600000000002</v>
          </cell>
          <cell r="X29">
            <v>1138.0519999999999</v>
          </cell>
        </row>
        <row r="30">
          <cell r="A30" t="str">
            <v>F1A.ABPIACG.01</v>
          </cell>
          <cell r="B30" t="str">
            <v>POP ICE REG MOCCACINO RENCENG</v>
          </cell>
          <cell r="C30" t="str">
            <v>F Loc P.Mlk PI-RE Moccacino Rcg</v>
          </cell>
          <cell r="D30" t="str">
            <v>POP ICE REGULAR</v>
          </cell>
          <cell r="E30" t="str">
            <v>BEVERAGE 1</v>
          </cell>
          <cell r="F30" t="str">
            <v>CB</v>
          </cell>
          <cell r="G30">
            <v>250</v>
          </cell>
          <cell r="H30" t="str">
            <v>BAG</v>
          </cell>
          <cell r="I30">
            <v>50</v>
          </cell>
          <cell r="J30" t="str">
            <v>RCG</v>
          </cell>
          <cell r="K30">
            <v>10</v>
          </cell>
          <cell r="L30" t="str">
            <v>PCS</v>
          </cell>
          <cell r="M30">
            <v>1</v>
          </cell>
          <cell r="N30">
            <v>5</v>
          </cell>
          <cell r="O30">
            <v>25</v>
          </cell>
          <cell r="P30">
            <v>250</v>
          </cell>
          <cell r="Q30">
            <v>221051</v>
          </cell>
          <cell r="R30">
            <v>241894</v>
          </cell>
          <cell r="S30">
            <v>284513</v>
          </cell>
          <cell r="T30">
            <v>241894</v>
          </cell>
          <cell r="V30">
            <v>884.20399999999995</v>
          </cell>
          <cell r="W30">
            <v>967.57600000000002</v>
          </cell>
          <cell r="X30">
            <v>1138.0519999999999</v>
          </cell>
        </row>
        <row r="31">
          <cell r="A31" t="str">
            <v>F1A.ABPIACQ.01</v>
          </cell>
          <cell r="B31" t="str">
            <v>POP ICE REG CHOCO CHEESE RENCENG</v>
          </cell>
          <cell r="C31" t="str">
            <v>F Loc P.Mlk PI-RE Choco Cheese Rcg</v>
          </cell>
          <cell r="D31" t="str">
            <v>POP ICE REGULAR</v>
          </cell>
          <cell r="E31" t="str">
            <v>BEVERAGE 1</v>
          </cell>
          <cell r="F31" t="str">
            <v>CB</v>
          </cell>
          <cell r="G31">
            <v>250</v>
          </cell>
          <cell r="H31" t="str">
            <v>BAG</v>
          </cell>
          <cell r="I31">
            <v>50</v>
          </cell>
          <cell r="J31" t="str">
            <v>RCG</v>
          </cell>
          <cell r="K31">
            <v>10</v>
          </cell>
          <cell r="L31" t="str">
            <v>PCS</v>
          </cell>
          <cell r="M31">
            <v>1</v>
          </cell>
          <cell r="N31">
            <v>5</v>
          </cell>
          <cell r="O31">
            <v>25</v>
          </cell>
          <cell r="P31">
            <v>250</v>
          </cell>
          <cell r="Q31">
            <v>221051</v>
          </cell>
          <cell r="R31">
            <v>241894</v>
          </cell>
          <cell r="S31">
            <v>284513</v>
          </cell>
          <cell r="T31">
            <v>241894</v>
          </cell>
          <cell r="V31">
            <v>884.20399999999995</v>
          </cell>
          <cell r="W31">
            <v>967.57600000000002</v>
          </cell>
          <cell r="X31">
            <v>1138.0519999999999</v>
          </cell>
        </row>
        <row r="32">
          <cell r="A32" t="str">
            <v>F1A.ABPIADD.01</v>
          </cell>
          <cell r="B32" t="str">
            <v>POP ICE REG TARO RENCENG</v>
          </cell>
          <cell r="C32" t="str">
            <v>F Loc P.Mlk PI-RE Taro Rcg</v>
          </cell>
          <cell r="D32" t="str">
            <v>POP ICE REGULAR</v>
          </cell>
          <cell r="E32" t="str">
            <v>BEVERAGE 1</v>
          </cell>
          <cell r="F32" t="str">
            <v>CB</v>
          </cell>
          <cell r="G32">
            <v>250</v>
          </cell>
          <cell r="H32" t="str">
            <v>BAG</v>
          </cell>
          <cell r="I32">
            <v>50</v>
          </cell>
          <cell r="J32" t="str">
            <v>RCG</v>
          </cell>
          <cell r="K32">
            <v>10</v>
          </cell>
          <cell r="L32" t="str">
            <v>PCS</v>
          </cell>
          <cell r="M32">
            <v>1</v>
          </cell>
          <cell r="N32">
            <v>5</v>
          </cell>
          <cell r="O32">
            <v>25</v>
          </cell>
          <cell r="P32">
            <v>250</v>
          </cell>
          <cell r="Q32">
            <v>221051</v>
          </cell>
          <cell r="R32">
            <v>241894</v>
          </cell>
          <cell r="S32">
            <v>284513</v>
          </cell>
          <cell r="T32">
            <v>241894</v>
          </cell>
          <cell r="V32">
            <v>884.20399999999995</v>
          </cell>
          <cell r="W32">
            <v>967.57600000000002</v>
          </cell>
          <cell r="X32">
            <v>1138.0519999999999</v>
          </cell>
        </row>
        <row r="33">
          <cell r="A33" t="str">
            <v>F1A.ABPIADF.01</v>
          </cell>
          <cell r="B33" t="str">
            <v>POP ICE REG VANILLA LATTE RENCENG</v>
          </cell>
          <cell r="C33" t="str">
            <v>F Loc P.Mlk PI-RE Van Latte Rcg</v>
          </cell>
          <cell r="D33" t="str">
            <v>POP ICE REGULAR</v>
          </cell>
          <cell r="E33" t="str">
            <v>BEVERAGE 1</v>
          </cell>
          <cell r="F33" t="str">
            <v>CB</v>
          </cell>
          <cell r="G33">
            <v>250</v>
          </cell>
          <cell r="H33" t="str">
            <v>BAG</v>
          </cell>
          <cell r="I33">
            <v>50</v>
          </cell>
          <cell r="J33" t="str">
            <v>RCG</v>
          </cell>
          <cell r="K33">
            <v>10</v>
          </cell>
          <cell r="L33" t="str">
            <v>PCS</v>
          </cell>
          <cell r="M33">
            <v>1</v>
          </cell>
          <cell r="N33">
            <v>5</v>
          </cell>
          <cell r="O33">
            <v>25</v>
          </cell>
          <cell r="P33">
            <v>250</v>
          </cell>
          <cell r="Q33">
            <v>221051</v>
          </cell>
          <cell r="R33">
            <v>241894</v>
          </cell>
          <cell r="S33">
            <v>284513</v>
          </cell>
          <cell r="T33">
            <v>241894</v>
          </cell>
          <cell r="V33">
            <v>884.20399999999995</v>
          </cell>
          <cell r="W33">
            <v>967.57600000000002</v>
          </cell>
          <cell r="X33">
            <v>1138.0519999999999</v>
          </cell>
        </row>
        <row r="34">
          <cell r="A34" t="str">
            <v>F1A.ABPIADH.01</v>
          </cell>
          <cell r="B34" t="str">
            <v>POP ICE REG VANILLA BLUE RENCENG</v>
          </cell>
          <cell r="C34" t="str">
            <v>F Loc P.Mlk PI-RE Van Blue Rcg</v>
          </cell>
          <cell r="D34" t="str">
            <v>POP ICE REGULAR</v>
          </cell>
          <cell r="E34" t="str">
            <v>BEVERAGE 1</v>
          </cell>
          <cell r="F34" t="str">
            <v>CB</v>
          </cell>
          <cell r="G34">
            <v>250</v>
          </cell>
          <cell r="H34" t="str">
            <v>BAG</v>
          </cell>
          <cell r="I34">
            <v>50</v>
          </cell>
          <cell r="J34" t="str">
            <v>RCG</v>
          </cell>
          <cell r="K34">
            <v>10</v>
          </cell>
          <cell r="L34" t="str">
            <v>PCS</v>
          </cell>
          <cell r="M34">
            <v>1</v>
          </cell>
          <cell r="N34">
            <v>5</v>
          </cell>
          <cell r="O34">
            <v>25</v>
          </cell>
          <cell r="P34">
            <v>250</v>
          </cell>
          <cell r="Q34">
            <v>221051</v>
          </cell>
          <cell r="R34">
            <v>241894</v>
          </cell>
          <cell r="S34">
            <v>284513</v>
          </cell>
          <cell r="T34">
            <v>241894</v>
          </cell>
          <cell r="V34">
            <v>884.20399999999995</v>
          </cell>
          <cell r="W34">
            <v>967.57600000000002</v>
          </cell>
          <cell r="X34">
            <v>1138.0519999999999</v>
          </cell>
        </row>
        <row r="35">
          <cell r="A35" t="str">
            <v>F1A.ABPIADK.01</v>
          </cell>
          <cell r="B35" t="str">
            <v>POP ICE REG CREAM CHEESE RENCENG</v>
          </cell>
          <cell r="C35" t="str">
            <v>F Loc P.Mlk PI-RE Cream Cheese Rcg</v>
          </cell>
          <cell r="D35" t="str">
            <v>POP ICE REGULAR</v>
          </cell>
          <cell r="E35" t="str">
            <v>BEVERAGE 1</v>
          </cell>
          <cell r="F35" t="str">
            <v>CB</v>
          </cell>
          <cell r="G35">
            <v>250</v>
          </cell>
          <cell r="H35" t="str">
            <v>BAG</v>
          </cell>
          <cell r="I35">
            <v>50</v>
          </cell>
          <cell r="J35" t="str">
            <v>RCG</v>
          </cell>
          <cell r="K35">
            <v>10</v>
          </cell>
          <cell r="L35" t="str">
            <v>PCS</v>
          </cell>
          <cell r="M35">
            <v>1</v>
          </cell>
          <cell r="N35">
            <v>5</v>
          </cell>
          <cell r="O35">
            <v>25</v>
          </cell>
          <cell r="P35">
            <v>250</v>
          </cell>
          <cell r="Q35">
            <v>221051</v>
          </cell>
          <cell r="R35">
            <v>241894</v>
          </cell>
          <cell r="S35">
            <v>284513</v>
          </cell>
          <cell r="T35">
            <v>241894</v>
          </cell>
          <cell r="V35">
            <v>884.20399999999995</v>
          </cell>
          <cell r="W35">
            <v>967.57600000000002</v>
          </cell>
          <cell r="X35">
            <v>1138.0519999999999</v>
          </cell>
        </row>
        <row r="36">
          <cell r="A36" t="str">
            <v>F1A.ABPIADL.01</v>
          </cell>
          <cell r="B36" t="str">
            <v>POP ICE REG PINEAPPLE MILK RENCENG</v>
          </cell>
          <cell r="C36" t="str">
            <v>F Loc P.Mlk PI-RE Pineapple Milk Rcg</v>
          </cell>
          <cell r="D36" t="str">
            <v>POP ICE REGULAR</v>
          </cell>
          <cell r="E36" t="str">
            <v>BEVERAGE 1</v>
          </cell>
          <cell r="F36" t="str">
            <v>CB</v>
          </cell>
          <cell r="G36">
            <v>250</v>
          </cell>
          <cell r="H36" t="str">
            <v>BAG</v>
          </cell>
          <cell r="I36">
            <v>50</v>
          </cell>
          <cell r="J36" t="str">
            <v>RCG</v>
          </cell>
          <cell r="K36">
            <v>10</v>
          </cell>
          <cell r="L36" t="str">
            <v>PCS</v>
          </cell>
          <cell r="M36">
            <v>1</v>
          </cell>
          <cell r="N36">
            <v>5</v>
          </cell>
          <cell r="O36">
            <v>25</v>
          </cell>
          <cell r="P36">
            <v>250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 t="str">
            <v>F1A.ABPIAFB.01</v>
          </cell>
          <cell r="B37" t="str">
            <v>POP ICE REG DOGER RENCENG</v>
          </cell>
          <cell r="C37" t="str">
            <v>F Loc P.Mlk PI-RE Doger Rcg</v>
          </cell>
          <cell r="D37" t="str">
            <v>POP ICE REGULAR</v>
          </cell>
          <cell r="E37" t="str">
            <v>BEVERAGE 1</v>
          </cell>
          <cell r="F37" t="str">
            <v>CB</v>
          </cell>
          <cell r="G37">
            <v>250</v>
          </cell>
          <cell r="H37" t="str">
            <v>BAG</v>
          </cell>
          <cell r="I37">
            <v>50</v>
          </cell>
          <cell r="J37" t="str">
            <v>RCG</v>
          </cell>
          <cell r="K37">
            <v>10</v>
          </cell>
          <cell r="L37" t="str">
            <v>PCS</v>
          </cell>
          <cell r="M37">
            <v>1</v>
          </cell>
          <cell r="N37">
            <v>5</v>
          </cell>
          <cell r="O37">
            <v>25</v>
          </cell>
          <cell r="P37">
            <v>250</v>
          </cell>
          <cell r="Q37">
            <v>221051</v>
          </cell>
          <cell r="R37">
            <v>241894</v>
          </cell>
          <cell r="S37">
            <v>284513</v>
          </cell>
          <cell r="T37">
            <v>241894</v>
          </cell>
          <cell r="V37">
            <v>884.20399999999995</v>
          </cell>
          <cell r="W37">
            <v>967.57600000000002</v>
          </cell>
          <cell r="X37">
            <v>1138.0519999999999</v>
          </cell>
        </row>
        <row r="38">
          <cell r="A38" t="str">
            <v>F1A.ABPIAFC.01</v>
          </cell>
          <cell r="B38" t="str">
            <v>POP ICE REG BUBBLE GUM RENCENG</v>
          </cell>
          <cell r="C38" t="str">
            <v>F Loc P.Mlk PI-RE Gummy Rcg</v>
          </cell>
          <cell r="D38" t="str">
            <v>POP ICE REGULAR</v>
          </cell>
          <cell r="E38" t="str">
            <v>BEVERAGE 1</v>
          </cell>
          <cell r="F38" t="str">
            <v>CB</v>
          </cell>
          <cell r="G38">
            <v>250</v>
          </cell>
          <cell r="H38" t="str">
            <v>BAG</v>
          </cell>
          <cell r="I38">
            <v>50</v>
          </cell>
          <cell r="J38" t="str">
            <v>RCG</v>
          </cell>
          <cell r="K38">
            <v>10</v>
          </cell>
          <cell r="L38" t="str">
            <v>PCS</v>
          </cell>
          <cell r="M38">
            <v>1</v>
          </cell>
          <cell r="N38">
            <v>5</v>
          </cell>
          <cell r="O38">
            <v>25</v>
          </cell>
          <cell r="P38">
            <v>250</v>
          </cell>
          <cell r="Q38">
            <v>221051</v>
          </cell>
          <cell r="R38">
            <v>241894</v>
          </cell>
          <cell r="S38">
            <v>284513</v>
          </cell>
          <cell r="T38">
            <v>241894</v>
          </cell>
          <cell r="V38">
            <v>884.20399999999995</v>
          </cell>
          <cell r="W38">
            <v>967.57600000000002</v>
          </cell>
          <cell r="X38">
            <v>1138.0519999999999</v>
          </cell>
        </row>
        <row r="39">
          <cell r="A39" t="str">
            <v>F1A.ABPIAFE.01</v>
          </cell>
          <cell r="B39" t="str">
            <v>POP ICE REG ES TELER RENCENG</v>
          </cell>
          <cell r="C39" t="str">
            <v>F Loc P.Mlk PI-RE Es Teler Rcg</v>
          </cell>
          <cell r="D39" t="str">
            <v>POP ICE REGULAR</v>
          </cell>
          <cell r="E39" t="str">
            <v>BEVERAGE 1</v>
          </cell>
          <cell r="F39" t="str">
            <v>CB</v>
          </cell>
          <cell r="G39">
            <v>250</v>
          </cell>
          <cell r="H39" t="str">
            <v>BAG</v>
          </cell>
          <cell r="I39">
            <v>50</v>
          </cell>
          <cell r="J39" t="str">
            <v>RCG</v>
          </cell>
          <cell r="K39">
            <v>10</v>
          </cell>
          <cell r="L39" t="str">
            <v>PCS</v>
          </cell>
          <cell r="M39">
            <v>1</v>
          </cell>
          <cell r="N39">
            <v>5</v>
          </cell>
          <cell r="O39">
            <v>25</v>
          </cell>
          <cell r="P39">
            <v>250</v>
          </cell>
          <cell r="Q39">
            <v>221051</v>
          </cell>
          <cell r="R39">
            <v>241894</v>
          </cell>
          <cell r="S39">
            <v>284513</v>
          </cell>
          <cell r="T39">
            <v>241894</v>
          </cell>
          <cell r="V39">
            <v>884.20399999999995</v>
          </cell>
          <cell r="W39">
            <v>967.57600000000002</v>
          </cell>
          <cell r="X39">
            <v>1138.0519999999999</v>
          </cell>
        </row>
        <row r="40">
          <cell r="A40" t="str">
            <v>F1A.ABPIAFG.01</v>
          </cell>
          <cell r="B40" t="str">
            <v>POP ICE REG TUTTI FRUTTI B GUM RENCENG</v>
          </cell>
          <cell r="C40" t="str">
            <v>F Loc P.Mlk PI-RE Tutti B Gum Rcg</v>
          </cell>
          <cell r="D40" t="str">
            <v>POP ICE REGULAR</v>
          </cell>
          <cell r="E40" t="str">
            <v>BEVERAGE 1</v>
          </cell>
          <cell r="F40" t="str">
            <v>CB</v>
          </cell>
          <cell r="G40">
            <v>250</v>
          </cell>
          <cell r="H40" t="str">
            <v>BAG</v>
          </cell>
          <cell r="I40">
            <v>50</v>
          </cell>
          <cell r="J40" t="str">
            <v>RCG</v>
          </cell>
          <cell r="K40">
            <v>10</v>
          </cell>
          <cell r="L40" t="str">
            <v>PCS</v>
          </cell>
          <cell r="M40">
            <v>1</v>
          </cell>
          <cell r="N40">
            <v>5</v>
          </cell>
          <cell r="O40">
            <v>25</v>
          </cell>
          <cell r="P40">
            <v>250</v>
          </cell>
          <cell r="Q40">
            <v>221051</v>
          </cell>
          <cell r="R40">
            <v>241894</v>
          </cell>
          <cell r="S40">
            <v>284513</v>
          </cell>
          <cell r="T40">
            <v>241894</v>
          </cell>
          <cell r="V40">
            <v>884.20399999999995</v>
          </cell>
          <cell r="W40">
            <v>967.57600000000002</v>
          </cell>
          <cell r="X40">
            <v>1138.0519999999999</v>
          </cell>
        </row>
        <row r="41">
          <cell r="A41" t="str">
            <v>F1A.ABPIAFH.01</v>
          </cell>
          <cell r="B41" t="str">
            <v>POP ICE REG COTTON CANDY RENCENG</v>
          </cell>
          <cell r="C41" t="str">
            <v>F Loc P.Mlk PI-RE Cotton Candy Rcg</v>
          </cell>
          <cell r="D41" t="str">
            <v>POP ICE REGULAR</v>
          </cell>
          <cell r="E41" t="str">
            <v>BEVERAGE 1</v>
          </cell>
          <cell r="F41" t="str">
            <v>CB</v>
          </cell>
          <cell r="G41">
            <v>250</v>
          </cell>
          <cell r="H41" t="str">
            <v>BAG</v>
          </cell>
          <cell r="I41">
            <v>50</v>
          </cell>
          <cell r="J41" t="str">
            <v>RCG</v>
          </cell>
          <cell r="K41">
            <v>10</v>
          </cell>
          <cell r="L41" t="str">
            <v>PCS</v>
          </cell>
          <cell r="M41">
            <v>1</v>
          </cell>
          <cell r="N41">
            <v>5</v>
          </cell>
          <cell r="O41">
            <v>25</v>
          </cell>
          <cell r="P41">
            <v>250</v>
          </cell>
          <cell r="Q41">
            <v>221051</v>
          </cell>
          <cell r="R41">
            <v>241894</v>
          </cell>
          <cell r="S41">
            <v>284513</v>
          </cell>
          <cell r="T41">
            <v>241894</v>
          </cell>
          <cell r="V41">
            <v>884.20399999999995</v>
          </cell>
          <cell r="W41">
            <v>967.57600000000002</v>
          </cell>
          <cell r="X41">
            <v>1138.0519999999999</v>
          </cell>
        </row>
        <row r="42">
          <cell r="A42" t="str">
            <v>F1A.ABPIAHD.01</v>
          </cell>
          <cell r="B42" t="str">
            <v>POP ICE REG KACANG HIJAU RENCENG</v>
          </cell>
          <cell r="C42" t="str">
            <v>F Loc P.Mlk PI-RE Mung Bean Rcg</v>
          </cell>
          <cell r="D42" t="str">
            <v>POP ICE REGULAR</v>
          </cell>
          <cell r="E42" t="str">
            <v>BEVERAGE 1</v>
          </cell>
          <cell r="F42" t="str">
            <v>CB</v>
          </cell>
          <cell r="G42">
            <v>250</v>
          </cell>
          <cell r="H42" t="str">
            <v>BAG</v>
          </cell>
          <cell r="I42">
            <v>50</v>
          </cell>
          <cell r="J42" t="str">
            <v>RCG</v>
          </cell>
          <cell r="K42">
            <v>10</v>
          </cell>
          <cell r="L42" t="str">
            <v>PCS</v>
          </cell>
          <cell r="M42">
            <v>1</v>
          </cell>
          <cell r="N42">
            <v>5</v>
          </cell>
          <cell r="O42">
            <v>25</v>
          </cell>
          <cell r="P42">
            <v>250</v>
          </cell>
          <cell r="Q42">
            <v>221051</v>
          </cell>
          <cell r="R42">
            <v>241894</v>
          </cell>
          <cell r="S42">
            <v>284513</v>
          </cell>
          <cell r="T42">
            <v>241894</v>
          </cell>
          <cell r="V42">
            <v>884.20399999999995</v>
          </cell>
          <cell r="W42">
            <v>967.57600000000002</v>
          </cell>
          <cell r="X42">
            <v>1138.0519999999999</v>
          </cell>
        </row>
        <row r="43">
          <cell r="A43" t="str">
            <v>F1A.ABPIANB.01</v>
          </cell>
          <cell r="B43" t="str">
            <v>POP ICE REG ALPUKAT RENCENG</v>
          </cell>
          <cell r="C43" t="str">
            <v>F Loc P.Mlk PI-RE Avocado Rcg</v>
          </cell>
          <cell r="D43" t="str">
            <v>POP ICE REGULAR</v>
          </cell>
          <cell r="E43" t="str">
            <v>BEVERAGE 1</v>
          </cell>
          <cell r="F43" t="str">
            <v>CB</v>
          </cell>
          <cell r="G43">
            <v>250</v>
          </cell>
          <cell r="H43" t="str">
            <v>BAG</v>
          </cell>
          <cell r="I43">
            <v>50</v>
          </cell>
          <cell r="J43" t="str">
            <v>RCG</v>
          </cell>
          <cell r="K43">
            <v>10</v>
          </cell>
          <cell r="L43" t="str">
            <v>PCS</v>
          </cell>
          <cell r="M43">
            <v>1</v>
          </cell>
          <cell r="N43">
            <v>5</v>
          </cell>
          <cell r="O43">
            <v>25</v>
          </cell>
          <cell r="P43">
            <v>250</v>
          </cell>
          <cell r="Q43">
            <v>221051</v>
          </cell>
          <cell r="R43">
            <v>241894</v>
          </cell>
          <cell r="S43">
            <v>284513</v>
          </cell>
          <cell r="T43">
            <v>241894</v>
          </cell>
          <cell r="V43">
            <v>884.20399999999995</v>
          </cell>
          <cell r="W43">
            <v>967.57600000000002</v>
          </cell>
          <cell r="X43">
            <v>1138.0519999999999</v>
          </cell>
        </row>
        <row r="44">
          <cell r="A44" t="str">
            <v>F1A.ABPIANF.01</v>
          </cell>
          <cell r="B44" t="str">
            <v>POP ICE REG BLUEBERRY RENCENG</v>
          </cell>
          <cell r="C44" t="str">
            <v>F Loc P.Mlk PI-RE Blueberry Rcg</v>
          </cell>
          <cell r="D44" t="str">
            <v>POP ICE REGULAR</v>
          </cell>
          <cell r="E44" t="str">
            <v>BEVERAGE 1</v>
          </cell>
          <cell r="F44" t="str">
            <v>CB</v>
          </cell>
          <cell r="G44">
            <v>250</v>
          </cell>
          <cell r="H44" t="str">
            <v>BAG</v>
          </cell>
          <cell r="I44">
            <v>50</v>
          </cell>
          <cell r="J44" t="str">
            <v>RCG</v>
          </cell>
          <cell r="K44">
            <v>10</v>
          </cell>
          <cell r="L44" t="str">
            <v>PCS</v>
          </cell>
          <cell r="M44">
            <v>1</v>
          </cell>
          <cell r="N44">
            <v>5</v>
          </cell>
          <cell r="O44">
            <v>25</v>
          </cell>
          <cell r="P44">
            <v>250</v>
          </cell>
          <cell r="Q44">
            <v>221051</v>
          </cell>
          <cell r="R44">
            <v>241894</v>
          </cell>
          <cell r="S44">
            <v>284513</v>
          </cell>
          <cell r="T44">
            <v>241894</v>
          </cell>
          <cell r="V44">
            <v>884.20399999999995</v>
          </cell>
          <cell r="W44">
            <v>967.57600000000002</v>
          </cell>
          <cell r="X44">
            <v>1138.0519999999999</v>
          </cell>
        </row>
        <row r="45">
          <cell r="A45" t="str">
            <v>F1A.ABPIANG.01</v>
          </cell>
          <cell r="B45" t="str">
            <v>POP ICE REG DURIAN RENCENG</v>
          </cell>
          <cell r="C45" t="str">
            <v>F Loc P.Mlk PI-RE Durian Rcg</v>
          </cell>
          <cell r="D45" t="str">
            <v>POP ICE REGULAR</v>
          </cell>
          <cell r="E45" t="str">
            <v>BEVERAGE 1</v>
          </cell>
          <cell r="F45" t="str">
            <v>CB</v>
          </cell>
          <cell r="G45">
            <v>250</v>
          </cell>
          <cell r="H45" t="str">
            <v>BAG</v>
          </cell>
          <cell r="I45">
            <v>50</v>
          </cell>
          <cell r="J45" t="str">
            <v>RCG</v>
          </cell>
          <cell r="K45">
            <v>10</v>
          </cell>
          <cell r="L45" t="str">
            <v>PCS</v>
          </cell>
          <cell r="M45">
            <v>1</v>
          </cell>
          <cell r="N45">
            <v>5</v>
          </cell>
          <cell r="O45">
            <v>25</v>
          </cell>
          <cell r="P45">
            <v>250</v>
          </cell>
          <cell r="Q45">
            <v>221051</v>
          </cell>
          <cell r="R45">
            <v>241894</v>
          </cell>
          <cell r="S45">
            <v>284513</v>
          </cell>
          <cell r="T45">
            <v>241894</v>
          </cell>
          <cell r="V45">
            <v>884.20399999999995</v>
          </cell>
          <cell r="W45">
            <v>967.57600000000002</v>
          </cell>
          <cell r="X45">
            <v>1138.0519999999999</v>
          </cell>
        </row>
        <row r="46">
          <cell r="A46" t="str">
            <v>F1A.ABPIANI.01</v>
          </cell>
          <cell r="B46" t="str">
            <v>POP ICE REG ANGGUR RENCENG</v>
          </cell>
          <cell r="C46" t="str">
            <v>F Loc P.Mlk PI-RE Grape Rcg</v>
          </cell>
          <cell r="D46" t="str">
            <v>POP ICE REGULAR</v>
          </cell>
          <cell r="E46" t="str">
            <v>BEVERAGE 1</v>
          </cell>
          <cell r="F46" t="str">
            <v>CB</v>
          </cell>
          <cell r="G46">
            <v>250</v>
          </cell>
          <cell r="H46" t="str">
            <v>BAG</v>
          </cell>
          <cell r="I46">
            <v>50</v>
          </cell>
          <cell r="J46" t="str">
            <v>RCG</v>
          </cell>
          <cell r="K46">
            <v>10</v>
          </cell>
          <cell r="L46" t="str">
            <v>PCS</v>
          </cell>
          <cell r="M46">
            <v>1</v>
          </cell>
          <cell r="N46">
            <v>5</v>
          </cell>
          <cell r="O46">
            <v>25</v>
          </cell>
          <cell r="P46">
            <v>250</v>
          </cell>
          <cell r="Q46">
            <v>221051</v>
          </cell>
          <cell r="R46">
            <v>241894</v>
          </cell>
          <cell r="S46">
            <v>284513</v>
          </cell>
          <cell r="T46">
            <v>241894</v>
          </cell>
          <cell r="V46">
            <v>884.20399999999995</v>
          </cell>
          <cell r="W46">
            <v>967.57600000000002</v>
          </cell>
          <cell r="X46">
            <v>1138.0519999999999</v>
          </cell>
        </row>
        <row r="47">
          <cell r="A47" t="str">
            <v>F1A.ABPIANK.01</v>
          </cell>
          <cell r="B47" t="str">
            <v>POP ICE REG JAMBU BIJI RENCENG</v>
          </cell>
          <cell r="C47" t="str">
            <v>F Loc P.Mlk PI-RE Guava Rcg</v>
          </cell>
          <cell r="D47" t="str">
            <v>POP ICE REGULAR</v>
          </cell>
          <cell r="E47" t="str">
            <v>BEVERAGE 1</v>
          </cell>
          <cell r="F47" t="str">
            <v>CB</v>
          </cell>
          <cell r="G47">
            <v>250</v>
          </cell>
          <cell r="H47" t="str">
            <v>BAG</v>
          </cell>
          <cell r="I47">
            <v>50</v>
          </cell>
          <cell r="J47" t="str">
            <v>RCG</v>
          </cell>
          <cell r="K47">
            <v>10</v>
          </cell>
          <cell r="L47" t="str">
            <v>PCS</v>
          </cell>
          <cell r="M47">
            <v>1</v>
          </cell>
          <cell r="N47">
            <v>5</v>
          </cell>
          <cell r="O47">
            <v>25</v>
          </cell>
          <cell r="P47">
            <v>250</v>
          </cell>
          <cell r="Q47">
            <v>221051</v>
          </cell>
          <cell r="R47">
            <v>241894</v>
          </cell>
          <cell r="S47">
            <v>284513</v>
          </cell>
          <cell r="T47">
            <v>241894</v>
          </cell>
          <cell r="V47">
            <v>884.20399999999995</v>
          </cell>
          <cell r="W47">
            <v>967.57600000000002</v>
          </cell>
          <cell r="X47">
            <v>1138.0519999999999</v>
          </cell>
        </row>
        <row r="48">
          <cell r="A48" t="str">
            <v>F1A.ABPIANL.01</v>
          </cell>
          <cell r="B48" t="str">
            <v>POP ICE REG MELON RENCENG</v>
          </cell>
          <cell r="C48" t="str">
            <v>F Loc P.Mlk PI-RE Honey Dew Rcg</v>
          </cell>
          <cell r="D48" t="str">
            <v>POP ICE REGULAR</v>
          </cell>
          <cell r="E48" t="str">
            <v>BEVERAGE 1</v>
          </cell>
          <cell r="F48" t="str">
            <v>CB</v>
          </cell>
          <cell r="G48">
            <v>250</v>
          </cell>
          <cell r="H48" t="str">
            <v>BAG</v>
          </cell>
          <cell r="I48">
            <v>50</v>
          </cell>
          <cell r="J48" t="str">
            <v>RCG</v>
          </cell>
          <cell r="K48">
            <v>10</v>
          </cell>
          <cell r="L48" t="str">
            <v>PCS</v>
          </cell>
          <cell r="M48">
            <v>1</v>
          </cell>
          <cell r="N48">
            <v>5</v>
          </cell>
          <cell r="O48">
            <v>25</v>
          </cell>
          <cell r="P48">
            <v>250</v>
          </cell>
          <cell r="Q48">
            <v>221051</v>
          </cell>
          <cell r="R48">
            <v>241894</v>
          </cell>
          <cell r="S48">
            <v>284513</v>
          </cell>
          <cell r="T48">
            <v>241894</v>
          </cell>
          <cell r="V48">
            <v>884.20399999999995</v>
          </cell>
          <cell r="W48">
            <v>967.57600000000002</v>
          </cell>
          <cell r="X48">
            <v>1138.0519999999999</v>
          </cell>
        </row>
        <row r="49">
          <cell r="A49" t="str">
            <v>F1A.ABPIANQ.01</v>
          </cell>
          <cell r="B49" t="str">
            <v>POP ICE REG LECI RENCENG</v>
          </cell>
          <cell r="C49" t="str">
            <v>F Loc P.Mlk PI-RE Lychee Rcg</v>
          </cell>
          <cell r="D49" t="str">
            <v>POP ICE REGULAR</v>
          </cell>
          <cell r="E49" t="str">
            <v>BEVERAGE 1</v>
          </cell>
          <cell r="F49" t="str">
            <v>CB</v>
          </cell>
          <cell r="G49">
            <v>250</v>
          </cell>
          <cell r="H49" t="str">
            <v>BAG</v>
          </cell>
          <cell r="I49">
            <v>50</v>
          </cell>
          <cell r="J49" t="str">
            <v>RCG</v>
          </cell>
          <cell r="K49">
            <v>10</v>
          </cell>
          <cell r="L49" t="str">
            <v>PCS</v>
          </cell>
          <cell r="M49">
            <v>1</v>
          </cell>
          <cell r="N49">
            <v>5</v>
          </cell>
          <cell r="O49">
            <v>25</v>
          </cell>
          <cell r="P49">
            <v>250</v>
          </cell>
          <cell r="Q49">
            <v>221051</v>
          </cell>
          <cell r="R49">
            <v>241894</v>
          </cell>
          <cell r="S49">
            <v>284513</v>
          </cell>
          <cell r="T49">
            <v>241894</v>
          </cell>
          <cell r="V49">
            <v>884.20399999999995</v>
          </cell>
          <cell r="W49">
            <v>967.57600000000002</v>
          </cell>
          <cell r="X49">
            <v>1138.0519999999999</v>
          </cell>
        </row>
        <row r="50">
          <cell r="A50" t="str">
            <v>F1A.ABPIANR.01</v>
          </cell>
          <cell r="B50" t="str">
            <v>POP ICE REG MANGGA RENCENG</v>
          </cell>
          <cell r="C50" t="str">
            <v>F Loc P.Mlk PI-RE Mango Rcg</v>
          </cell>
          <cell r="D50" t="str">
            <v>POP ICE REGULAR</v>
          </cell>
          <cell r="E50" t="str">
            <v>BEVERAGE 1</v>
          </cell>
          <cell r="F50" t="str">
            <v>CB</v>
          </cell>
          <cell r="G50">
            <v>250</v>
          </cell>
          <cell r="H50" t="str">
            <v>BAG</v>
          </cell>
          <cell r="I50">
            <v>50</v>
          </cell>
          <cell r="J50" t="str">
            <v>RCG</v>
          </cell>
          <cell r="K50">
            <v>10</v>
          </cell>
          <cell r="L50" t="str">
            <v>PCS</v>
          </cell>
          <cell r="M50">
            <v>1</v>
          </cell>
          <cell r="N50">
            <v>5</v>
          </cell>
          <cell r="O50">
            <v>25</v>
          </cell>
          <cell r="P50">
            <v>250</v>
          </cell>
          <cell r="Q50">
            <v>221051</v>
          </cell>
          <cell r="R50">
            <v>241894</v>
          </cell>
          <cell r="S50">
            <v>284513</v>
          </cell>
          <cell r="T50">
            <v>241894</v>
          </cell>
          <cell r="V50">
            <v>884.20399999999995</v>
          </cell>
          <cell r="W50">
            <v>967.57600000000002</v>
          </cell>
          <cell r="X50">
            <v>1138.0519999999999</v>
          </cell>
        </row>
        <row r="51">
          <cell r="A51" t="str">
            <v>F1A.ABPIANR.05</v>
          </cell>
          <cell r="B51" t="str">
            <v>POP ICE REG MANGGA OUTERPACK</v>
          </cell>
          <cell r="C51" t="str">
            <v>F Loc P.Mlk PI-RE Mango OP</v>
          </cell>
          <cell r="D51" t="str">
            <v>POP ICE REGULAR</v>
          </cell>
          <cell r="E51" t="str">
            <v>BEVERAGE 1</v>
          </cell>
          <cell r="F51" t="str">
            <v>CB</v>
          </cell>
          <cell r="G51">
            <v>240</v>
          </cell>
          <cell r="H51" t="str">
            <v>BAG</v>
          </cell>
          <cell r="I51">
            <v>5</v>
          </cell>
          <cell r="L51" t="str">
            <v>PCS</v>
          </cell>
          <cell r="M51">
            <v>1</v>
          </cell>
          <cell r="N51">
            <v>48</v>
          </cell>
          <cell r="O51">
            <v>0</v>
          </cell>
          <cell r="P51">
            <v>240</v>
          </cell>
          <cell r="Q51">
            <v>207638</v>
          </cell>
          <cell r="R51">
            <v>227029</v>
          </cell>
          <cell r="S51">
            <v>273116</v>
          </cell>
          <cell r="T51">
            <v>227029</v>
          </cell>
          <cell r="V51">
            <v>865.1583333333333</v>
          </cell>
          <cell r="W51">
            <v>945.95416666666665</v>
          </cell>
          <cell r="X51">
            <v>1137.9833333333333</v>
          </cell>
        </row>
        <row r="52">
          <cell r="A52" t="str">
            <v>F1A.ABPIAOA.01</v>
          </cell>
          <cell r="B52" t="str">
            <v>POP ICE REG SIRSAK RENCENG</v>
          </cell>
          <cell r="C52" t="str">
            <v>F Loc P.Mlk PI-RE Soursoup Rcg</v>
          </cell>
          <cell r="D52" t="str">
            <v>POP ICE REGULAR</v>
          </cell>
          <cell r="E52" t="str">
            <v>BEVERAGE 1</v>
          </cell>
          <cell r="F52" t="str">
            <v>CB</v>
          </cell>
          <cell r="G52">
            <v>250</v>
          </cell>
          <cell r="H52" t="str">
            <v>BAG</v>
          </cell>
          <cell r="I52">
            <v>50</v>
          </cell>
          <cell r="J52" t="str">
            <v>RCG</v>
          </cell>
          <cell r="K52">
            <v>10</v>
          </cell>
          <cell r="L52" t="str">
            <v>PCS</v>
          </cell>
          <cell r="M52">
            <v>1</v>
          </cell>
          <cell r="N52">
            <v>5</v>
          </cell>
          <cell r="O52">
            <v>25</v>
          </cell>
          <cell r="P52">
            <v>250</v>
          </cell>
          <cell r="Q52">
            <v>221051</v>
          </cell>
          <cell r="R52">
            <v>241894</v>
          </cell>
          <cell r="S52">
            <v>284513</v>
          </cell>
          <cell r="T52">
            <v>241894</v>
          </cell>
          <cell r="V52">
            <v>884.20399999999995</v>
          </cell>
          <cell r="W52">
            <v>967.57600000000002</v>
          </cell>
          <cell r="X52">
            <v>1138.0519999999999</v>
          </cell>
        </row>
        <row r="53">
          <cell r="A53" t="str">
            <v>F1A.ABPIAOB.01</v>
          </cell>
          <cell r="B53" t="str">
            <v>POP ICE REG STRAWBERRY RENCENG</v>
          </cell>
          <cell r="C53" t="str">
            <v>F Loc P.Mlk PI-RE Strawberry Rcg</v>
          </cell>
          <cell r="D53" t="str">
            <v>POP ICE REGULAR</v>
          </cell>
          <cell r="E53" t="str">
            <v>BEVERAGE 1</v>
          </cell>
          <cell r="F53" t="str">
            <v>CB</v>
          </cell>
          <cell r="G53">
            <v>250</v>
          </cell>
          <cell r="H53" t="str">
            <v>BAG</v>
          </cell>
          <cell r="I53">
            <v>50</v>
          </cell>
          <cell r="J53" t="str">
            <v>RCG</v>
          </cell>
          <cell r="K53">
            <v>10</v>
          </cell>
          <cell r="L53" t="str">
            <v>PCS</v>
          </cell>
          <cell r="M53">
            <v>1</v>
          </cell>
          <cell r="N53">
            <v>5</v>
          </cell>
          <cell r="O53">
            <v>25</v>
          </cell>
          <cell r="P53">
            <v>250</v>
          </cell>
          <cell r="Q53">
            <v>221051</v>
          </cell>
          <cell r="R53">
            <v>241894</v>
          </cell>
          <cell r="S53">
            <v>284513</v>
          </cell>
          <cell r="T53">
            <v>241894</v>
          </cell>
          <cell r="V53">
            <v>884.20399999999995</v>
          </cell>
          <cell r="W53">
            <v>967.57600000000002</v>
          </cell>
          <cell r="X53">
            <v>1138.0519999999999</v>
          </cell>
        </row>
        <row r="54">
          <cell r="A54" t="str">
            <v>F1A.ABPIAOC.01</v>
          </cell>
          <cell r="B54" t="str">
            <v>POP ICE REG STRAWBERRY YOGHURT RENCENG</v>
          </cell>
          <cell r="C54" t="str">
            <v>F Loc P.Mlk PI-RE Straw Yoghurt Rcg</v>
          </cell>
          <cell r="D54" t="str">
            <v>POP ICE REGULAR</v>
          </cell>
          <cell r="E54" t="str">
            <v>BEVERAGE 1</v>
          </cell>
          <cell r="F54" t="str">
            <v>CB</v>
          </cell>
          <cell r="G54">
            <v>250</v>
          </cell>
          <cell r="H54" t="str">
            <v>BAG</v>
          </cell>
          <cell r="I54">
            <v>50</v>
          </cell>
          <cell r="J54" t="str">
            <v>RCG</v>
          </cell>
          <cell r="K54">
            <v>10</v>
          </cell>
          <cell r="L54" t="str">
            <v>PCS</v>
          </cell>
          <cell r="M54">
            <v>1</v>
          </cell>
          <cell r="N54">
            <v>5</v>
          </cell>
          <cell r="O54">
            <v>25</v>
          </cell>
          <cell r="P54">
            <v>250</v>
          </cell>
          <cell r="Q54">
            <v>221051</v>
          </cell>
          <cell r="R54">
            <v>241894</v>
          </cell>
          <cell r="S54">
            <v>284513</v>
          </cell>
          <cell r="T54">
            <v>241894</v>
          </cell>
          <cell r="V54">
            <v>884.20399999999995</v>
          </cell>
          <cell r="W54">
            <v>967.57600000000002</v>
          </cell>
          <cell r="X54">
            <v>1138.0519999999999</v>
          </cell>
        </row>
        <row r="55">
          <cell r="A55" t="str">
            <v>F1A.ABPIAOU.01</v>
          </cell>
          <cell r="B55" t="str">
            <v>POP ICE REG GRAPE MUSCAT CANDY RENCENG</v>
          </cell>
          <cell r="C55" t="str">
            <v>F Loc P.Mlk PI-RE Grape M Candy Rcg</v>
          </cell>
          <cell r="D55" t="str">
            <v>POP ICE REGULAR</v>
          </cell>
          <cell r="E55" t="str">
            <v>BEVERAGE 1</v>
          </cell>
          <cell r="F55" t="str">
            <v>CB</v>
          </cell>
          <cell r="G55">
            <v>250</v>
          </cell>
          <cell r="H55" t="str">
            <v>BAG</v>
          </cell>
          <cell r="I55">
            <v>50</v>
          </cell>
          <cell r="J55" t="str">
            <v>RCG</v>
          </cell>
          <cell r="K55">
            <v>10</v>
          </cell>
          <cell r="L55" t="str">
            <v>PCS</v>
          </cell>
          <cell r="M55">
            <v>1</v>
          </cell>
          <cell r="N55">
            <v>5</v>
          </cell>
          <cell r="O55">
            <v>25</v>
          </cell>
          <cell r="P55">
            <v>250</v>
          </cell>
          <cell r="Q55">
            <v>221051</v>
          </cell>
          <cell r="R55">
            <v>241894</v>
          </cell>
          <cell r="S55">
            <v>284513</v>
          </cell>
          <cell r="T55">
            <v>241894</v>
          </cell>
          <cell r="V55">
            <v>884.20399999999995</v>
          </cell>
          <cell r="W55">
            <v>967.57600000000002</v>
          </cell>
          <cell r="X55">
            <v>1138.0519999999999</v>
          </cell>
        </row>
        <row r="56">
          <cell r="A56" t="str">
            <v>F1A.ABPICBF.01</v>
          </cell>
          <cell r="B56" t="str">
            <v>POP ICE SULTAN CORN CARAMEL RENCENG</v>
          </cell>
          <cell r="C56" t="str">
            <v>F Loc P.Mlk PI-SU P.Corn Caramel Rcg</v>
          </cell>
          <cell r="D56" t="str">
            <v>POP ICE SULTAN</v>
          </cell>
          <cell r="E56" t="str">
            <v>BEVERAGE 1</v>
          </cell>
          <cell r="F56" t="str">
            <v>CB</v>
          </cell>
          <cell r="G56">
            <v>250</v>
          </cell>
          <cell r="H56" t="str">
            <v>BAG</v>
          </cell>
          <cell r="I56">
            <v>50</v>
          </cell>
          <cell r="J56" t="str">
            <v>RCG</v>
          </cell>
          <cell r="K56">
            <v>10</v>
          </cell>
          <cell r="L56" t="str">
            <v>PCS</v>
          </cell>
          <cell r="M56">
            <v>1</v>
          </cell>
          <cell r="N56">
            <v>5</v>
          </cell>
          <cell r="O56">
            <v>25</v>
          </cell>
          <cell r="P56">
            <v>250</v>
          </cell>
          <cell r="Q56">
            <v>221051</v>
          </cell>
          <cell r="R56">
            <v>241894</v>
          </cell>
          <cell r="S56">
            <v>284513</v>
          </cell>
          <cell r="T56">
            <v>241894</v>
          </cell>
          <cell r="V56">
            <v>884.20399999999995</v>
          </cell>
          <cell r="W56">
            <v>967.57600000000002</v>
          </cell>
          <cell r="X56">
            <v>1138.0519999999999</v>
          </cell>
        </row>
        <row r="57">
          <cell r="A57" t="str">
            <v>F1A.ABPICBG.01</v>
          </cell>
          <cell r="B57" t="str">
            <v>POP ICE SULTAN COOKIES CREAM RENCENG</v>
          </cell>
          <cell r="C57" t="str">
            <v>F Loc P.Mlk PI-SU Cookies Cream Rcg</v>
          </cell>
          <cell r="D57" t="str">
            <v>POP ICE SULTAN</v>
          </cell>
          <cell r="E57" t="str">
            <v>BEVERAGE 1</v>
          </cell>
          <cell r="F57" t="str">
            <v>CB</v>
          </cell>
          <cell r="G57">
            <v>250</v>
          </cell>
          <cell r="H57" t="str">
            <v>BAG</v>
          </cell>
          <cell r="I57">
            <v>50</v>
          </cell>
          <cell r="J57" t="str">
            <v>RCG</v>
          </cell>
          <cell r="K57">
            <v>10</v>
          </cell>
          <cell r="L57" t="str">
            <v>PCS</v>
          </cell>
          <cell r="M57">
            <v>1</v>
          </cell>
          <cell r="N57">
            <v>5</v>
          </cell>
          <cell r="O57">
            <v>25</v>
          </cell>
          <cell r="P57">
            <v>250</v>
          </cell>
          <cell r="Q57">
            <v>221051</v>
          </cell>
          <cell r="R57">
            <v>241894</v>
          </cell>
          <cell r="S57">
            <v>284513</v>
          </cell>
          <cell r="T57">
            <v>241894</v>
          </cell>
          <cell r="V57">
            <v>884.20399999999995</v>
          </cell>
          <cell r="W57">
            <v>967.57600000000002</v>
          </cell>
          <cell r="X57">
            <v>1138.0519999999999</v>
          </cell>
        </row>
        <row r="58">
          <cell r="A58" t="str">
            <v>F1A.ABPICBI.01</v>
          </cell>
          <cell r="B58" t="str">
            <v>POP ICE SULTAN BROWN SUGAR RENCENG</v>
          </cell>
          <cell r="C58" t="str">
            <v>F Loc P.Mlk PI-SU Brown Sugar Rcg</v>
          </cell>
          <cell r="D58" t="str">
            <v>POP ICE SULTAN</v>
          </cell>
          <cell r="E58" t="str">
            <v>BEVERAGE 1</v>
          </cell>
          <cell r="F58" t="str">
            <v>CB</v>
          </cell>
          <cell r="G58">
            <v>250</v>
          </cell>
          <cell r="H58" t="str">
            <v>BAG</v>
          </cell>
          <cell r="I58">
            <v>50</v>
          </cell>
          <cell r="J58" t="str">
            <v>RCG</v>
          </cell>
          <cell r="K58">
            <v>10</v>
          </cell>
          <cell r="L58" t="str">
            <v>PCS</v>
          </cell>
          <cell r="M58">
            <v>1</v>
          </cell>
          <cell r="N58">
            <v>5</v>
          </cell>
          <cell r="O58">
            <v>25</v>
          </cell>
          <cell r="P58">
            <v>250</v>
          </cell>
          <cell r="Q58">
            <v>221051</v>
          </cell>
          <cell r="R58">
            <v>241894</v>
          </cell>
          <cell r="S58">
            <v>284513</v>
          </cell>
          <cell r="T58">
            <v>241894</v>
          </cell>
          <cell r="V58">
            <v>884.20399999999995</v>
          </cell>
          <cell r="W58">
            <v>967.57600000000002</v>
          </cell>
          <cell r="X58">
            <v>1138.0519999999999</v>
          </cell>
        </row>
        <row r="59">
          <cell r="A59" t="str">
            <v>F1A.ABPICBJ.01</v>
          </cell>
          <cell r="B59" t="str">
            <v>POP ICE SULTAN MARIE BISCUIT RENCENG</v>
          </cell>
          <cell r="C59" t="str">
            <v>F Loc P.Mlk PI-SU Marie Biscuit Rcg</v>
          </cell>
          <cell r="D59" t="str">
            <v>POP ICE SULTAN</v>
          </cell>
          <cell r="E59" t="str">
            <v>BEVERAGE 1</v>
          </cell>
          <cell r="F59" t="str">
            <v>CB</v>
          </cell>
          <cell r="G59">
            <v>250</v>
          </cell>
          <cell r="H59" t="str">
            <v>BAG</v>
          </cell>
          <cell r="I59">
            <v>50</v>
          </cell>
          <cell r="J59" t="str">
            <v>RCG</v>
          </cell>
          <cell r="K59">
            <v>10</v>
          </cell>
          <cell r="L59" t="str">
            <v>PCS</v>
          </cell>
          <cell r="M59">
            <v>1</v>
          </cell>
          <cell r="N59">
            <v>5</v>
          </cell>
          <cell r="O59">
            <v>25</v>
          </cell>
          <cell r="P59">
            <v>250</v>
          </cell>
          <cell r="Q59">
            <v>221051</v>
          </cell>
          <cell r="R59">
            <v>241894</v>
          </cell>
          <cell r="S59">
            <v>284513</v>
          </cell>
          <cell r="T59">
            <v>241894</v>
          </cell>
          <cell r="V59">
            <v>884.20399999999995</v>
          </cell>
          <cell r="W59">
            <v>967.57600000000002</v>
          </cell>
          <cell r="X59">
            <v>1138.0519999999999</v>
          </cell>
        </row>
        <row r="60">
          <cell r="A60" t="str">
            <v>F1A.ABPICDP.01</v>
          </cell>
          <cell r="B60" t="str">
            <v>POP ICE SULTAN CHEESU RED VELVET RENCENG</v>
          </cell>
          <cell r="C60" t="str">
            <v>F Loc P.Mlk PI-SU Cheesu Red Vet Rcg</v>
          </cell>
          <cell r="D60" t="str">
            <v>POP ICE SULTAN</v>
          </cell>
          <cell r="E60" t="str">
            <v>BEVERAGE 1</v>
          </cell>
          <cell r="F60" t="str">
            <v>CB</v>
          </cell>
          <cell r="G60">
            <v>250</v>
          </cell>
          <cell r="H60" t="str">
            <v>BAG</v>
          </cell>
          <cell r="I60">
            <v>50</v>
          </cell>
          <cell r="J60" t="str">
            <v>RCG</v>
          </cell>
          <cell r="K60">
            <v>10</v>
          </cell>
          <cell r="L60" t="str">
            <v>PCS</v>
          </cell>
          <cell r="M60">
            <v>1</v>
          </cell>
          <cell r="N60">
            <v>5</v>
          </cell>
          <cell r="O60">
            <v>25</v>
          </cell>
          <cell r="P60">
            <v>250</v>
          </cell>
          <cell r="Q60">
            <v>221051</v>
          </cell>
          <cell r="R60">
            <v>241894</v>
          </cell>
          <cell r="S60">
            <v>284513</v>
          </cell>
          <cell r="T60">
            <v>241894</v>
          </cell>
          <cell r="V60">
            <v>884.20399999999995</v>
          </cell>
          <cell r="W60">
            <v>967.57600000000002</v>
          </cell>
          <cell r="X60">
            <v>1138.0519999999999</v>
          </cell>
        </row>
        <row r="61">
          <cell r="A61" t="str">
            <v>F1A.ABPICEF.01</v>
          </cell>
          <cell r="B61" t="str">
            <v>POP ICE SULTAN ITALIAN CIATO RENCENG</v>
          </cell>
          <cell r="C61" t="str">
            <v>F Loc P.Mlk PI-SU Italian Ciato Rcg</v>
          </cell>
          <cell r="D61" t="str">
            <v>POP ICE SULTAN</v>
          </cell>
          <cell r="E61" t="str">
            <v>BEVERAGE 1</v>
          </cell>
          <cell r="F61" t="str">
            <v>CB</v>
          </cell>
          <cell r="G61">
            <v>250</v>
          </cell>
          <cell r="H61" t="str">
            <v>BAG</v>
          </cell>
          <cell r="I61">
            <v>50</v>
          </cell>
          <cell r="J61" t="str">
            <v>RCG</v>
          </cell>
          <cell r="K61">
            <v>10</v>
          </cell>
          <cell r="L61" t="str">
            <v>PCS</v>
          </cell>
          <cell r="M61">
            <v>1</v>
          </cell>
          <cell r="N61">
            <v>5</v>
          </cell>
          <cell r="O61">
            <v>25</v>
          </cell>
          <cell r="P61">
            <v>250</v>
          </cell>
          <cell r="Q61">
            <v>221051</v>
          </cell>
          <cell r="R61">
            <v>241894</v>
          </cell>
          <cell r="S61">
            <v>284513</v>
          </cell>
          <cell r="T61">
            <v>241894</v>
          </cell>
          <cell r="V61">
            <v>884.20399999999995</v>
          </cell>
          <cell r="W61">
            <v>967.57600000000002</v>
          </cell>
          <cell r="X61">
            <v>1138.0519999999999</v>
          </cell>
        </row>
        <row r="62">
          <cell r="A62" t="str">
            <v>F1A.ABPICTM.01</v>
          </cell>
          <cell r="B62" t="str">
            <v>POP ICE SULTAN MATCHA CARAMEL RENCENG</v>
          </cell>
          <cell r="C62" t="str">
            <v>F Loc P.Mlk PI-SU Matcha Crml L Rcg</v>
          </cell>
          <cell r="D62" t="str">
            <v>POP ICE SULTAN</v>
          </cell>
          <cell r="E62" t="str">
            <v>BEVERAGE 1</v>
          </cell>
          <cell r="F62" t="str">
            <v>CB</v>
          </cell>
          <cell r="G62">
            <v>250</v>
          </cell>
          <cell r="H62" t="str">
            <v>BAG</v>
          </cell>
          <cell r="I62">
            <v>50</v>
          </cell>
          <cell r="J62" t="str">
            <v>RCG</v>
          </cell>
          <cell r="K62">
            <v>10</v>
          </cell>
          <cell r="L62" t="str">
            <v>PCS</v>
          </cell>
          <cell r="M62">
            <v>1</v>
          </cell>
          <cell r="N62">
            <v>5</v>
          </cell>
          <cell r="O62">
            <v>25</v>
          </cell>
          <cell r="P62">
            <v>250</v>
          </cell>
          <cell r="Q62">
            <v>221051</v>
          </cell>
          <cell r="R62">
            <v>241894</v>
          </cell>
          <cell r="S62">
            <v>284513</v>
          </cell>
          <cell r="T62">
            <v>241894</v>
          </cell>
          <cell r="V62">
            <v>884.20399999999995</v>
          </cell>
          <cell r="W62">
            <v>967.57600000000002</v>
          </cell>
          <cell r="X62">
            <v>1138.0519999999999</v>
          </cell>
        </row>
        <row r="63">
          <cell r="A63" t="str">
            <v>F1A.ABPICTN.01</v>
          </cell>
          <cell r="B63" t="str">
            <v>POP ICE SULTAN MATCHA COFFEE RENCENG</v>
          </cell>
          <cell r="C63" t="str">
            <v>F Loc P.Mlk PI-SU Matcha Coff L Rcg</v>
          </cell>
          <cell r="D63" t="str">
            <v>POP ICE SULTAN</v>
          </cell>
          <cell r="E63" t="str">
            <v>BEVERAGE 1</v>
          </cell>
          <cell r="F63" t="str">
            <v>CB</v>
          </cell>
          <cell r="G63">
            <v>250</v>
          </cell>
          <cell r="H63" t="str">
            <v>BAG</v>
          </cell>
          <cell r="I63">
            <v>50</v>
          </cell>
          <cell r="J63" t="str">
            <v>RCG</v>
          </cell>
          <cell r="K63">
            <v>10</v>
          </cell>
          <cell r="L63" t="str">
            <v>PCS</v>
          </cell>
          <cell r="M63">
            <v>1</v>
          </cell>
          <cell r="N63">
            <v>5</v>
          </cell>
          <cell r="O63">
            <v>25</v>
          </cell>
          <cell r="P63">
            <v>250</v>
          </cell>
          <cell r="Q63">
            <v>221051</v>
          </cell>
          <cell r="R63">
            <v>241894</v>
          </cell>
          <cell r="S63">
            <v>284513</v>
          </cell>
          <cell r="T63">
            <v>241894</v>
          </cell>
          <cell r="V63">
            <v>884.20399999999995</v>
          </cell>
          <cell r="W63">
            <v>967.57600000000002</v>
          </cell>
          <cell r="X63">
            <v>1138.0519999999999</v>
          </cell>
        </row>
        <row r="64">
          <cell r="A64" t="str">
            <v>F1A.ABPICTO.01</v>
          </cell>
          <cell r="B64" t="str">
            <v>POP ICE SULTAN MATCHA COOKIES RENCENG</v>
          </cell>
          <cell r="C64" t="str">
            <v>F Loc P.Mlk PI-SU Matcha Ckies L Rcg</v>
          </cell>
          <cell r="D64" t="str">
            <v>POP ICE SULTAN</v>
          </cell>
          <cell r="E64" t="str">
            <v>BEVERAGE 1</v>
          </cell>
          <cell r="F64" t="str">
            <v>CB</v>
          </cell>
          <cell r="G64">
            <v>250</v>
          </cell>
          <cell r="H64" t="str">
            <v>BAG</v>
          </cell>
          <cell r="I64">
            <v>50</v>
          </cell>
          <cell r="J64" t="str">
            <v>RCG</v>
          </cell>
          <cell r="K64">
            <v>10</v>
          </cell>
          <cell r="L64" t="str">
            <v>PCS</v>
          </cell>
          <cell r="M64">
            <v>1</v>
          </cell>
          <cell r="N64">
            <v>5</v>
          </cell>
          <cell r="O64">
            <v>25</v>
          </cell>
          <cell r="P64">
            <v>250</v>
          </cell>
          <cell r="Q64">
            <v>221051</v>
          </cell>
          <cell r="R64">
            <v>241894</v>
          </cell>
          <cell r="S64">
            <v>284513</v>
          </cell>
          <cell r="T64">
            <v>241894</v>
          </cell>
          <cell r="V64">
            <v>884.20399999999995</v>
          </cell>
          <cell r="W64">
            <v>967.57600000000002</v>
          </cell>
          <cell r="X64">
            <v>1138.0519999999999</v>
          </cell>
        </row>
        <row r="65">
          <cell r="A65" t="str">
            <v>F1A.ABPIDCS.04</v>
          </cell>
          <cell r="B65" t="str">
            <v>POP ICE UYU CHOCO MALT GRATIS 10 SCH</v>
          </cell>
          <cell r="C65" t="str">
            <v>F Loc P.Mlk PI-UY Choco Malt P.10s</v>
          </cell>
          <cell r="D65" t="str">
            <v>POP ICE UYU</v>
          </cell>
          <cell r="E65" t="str">
            <v>BEVERAGE 1</v>
          </cell>
          <cell r="F65" t="str">
            <v>CB</v>
          </cell>
          <cell r="G65">
            <v>240</v>
          </cell>
          <cell r="H65" t="str">
            <v>BAG</v>
          </cell>
          <cell r="I65">
            <v>40</v>
          </cell>
          <cell r="J65" t="str">
            <v>RCG</v>
          </cell>
          <cell r="K65">
            <v>20</v>
          </cell>
          <cell r="L65" t="str">
            <v>PCS</v>
          </cell>
          <cell r="M65">
            <v>1</v>
          </cell>
          <cell r="N65">
            <v>6</v>
          </cell>
          <cell r="O65">
            <v>12</v>
          </cell>
          <cell r="P65">
            <v>240</v>
          </cell>
          <cell r="Q65">
            <v>106105</v>
          </cell>
          <cell r="R65">
            <v>116014</v>
          </cell>
          <cell r="S65">
            <v>138086</v>
          </cell>
          <cell r="T65">
            <v>116014</v>
          </cell>
          <cell r="V65">
            <v>442.10416666666669</v>
          </cell>
          <cell r="W65">
            <v>483.39166666666665</v>
          </cell>
          <cell r="X65">
            <v>575.35833333333335</v>
          </cell>
        </row>
        <row r="66">
          <cell r="A66" t="str">
            <v>F1A.ABPIDCY.01</v>
          </cell>
          <cell r="B66" t="str">
            <v>POP ICE UYU CHOCO HAZELNUT RENCENG</v>
          </cell>
          <cell r="C66" t="str">
            <v>F Loc P.Mlk PI-UY Choco Hazelnut Rcg</v>
          </cell>
          <cell r="D66" t="str">
            <v>POP ICE UYU</v>
          </cell>
          <cell r="E66" t="str">
            <v>BEVERAGE 1</v>
          </cell>
          <cell r="F66" t="str">
            <v>CB</v>
          </cell>
          <cell r="G66">
            <v>250</v>
          </cell>
          <cell r="H66" t="str">
            <v>BAG</v>
          </cell>
          <cell r="I66">
            <v>50</v>
          </cell>
          <cell r="J66" t="str">
            <v>RCG</v>
          </cell>
          <cell r="K66">
            <v>10</v>
          </cell>
          <cell r="L66" t="str">
            <v>PCS</v>
          </cell>
          <cell r="M66">
            <v>1</v>
          </cell>
          <cell r="N66">
            <v>5</v>
          </cell>
          <cell r="O66">
            <v>25</v>
          </cell>
          <cell r="P66">
            <v>250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A67" t="str">
            <v>F1A.ABPIDCY.02</v>
          </cell>
          <cell r="B67" t="str">
            <v>POP ICE UYU CHOCO HAZELNUT KODE UNIK</v>
          </cell>
          <cell r="C67" t="str">
            <v>F Loc P.Mlk PI-UY Choco Hazelnut K.U</v>
          </cell>
          <cell r="D67" t="str">
            <v>POP ICE UYU</v>
          </cell>
          <cell r="E67" t="str">
            <v>BEVERAGE 1</v>
          </cell>
          <cell r="F67" t="str">
            <v>CB</v>
          </cell>
          <cell r="G67">
            <v>250</v>
          </cell>
          <cell r="H67" t="str">
            <v>BAG</v>
          </cell>
          <cell r="I67">
            <v>50</v>
          </cell>
          <cell r="J67" t="str">
            <v>RCG</v>
          </cell>
          <cell r="K67">
            <v>10</v>
          </cell>
          <cell r="L67" t="str">
            <v>PCS</v>
          </cell>
          <cell r="M67">
            <v>1</v>
          </cell>
          <cell r="N67">
            <v>5</v>
          </cell>
          <cell r="O67">
            <v>25</v>
          </cell>
          <cell r="P67">
            <v>250</v>
          </cell>
          <cell r="Q67">
            <v>221051</v>
          </cell>
          <cell r="R67">
            <v>241894</v>
          </cell>
          <cell r="S67">
            <v>284513</v>
          </cell>
          <cell r="T67">
            <v>241894</v>
          </cell>
          <cell r="V67">
            <v>884.20399999999995</v>
          </cell>
          <cell r="W67">
            <v>967.57600000000002</v>
          </cell>
          <cell r="X67">
            <v>1138.0519999999999</v>
          </cell>
        </row>
        <row r="68">
          <cell r="A68" t="str">
            <v>F1A.ABPIDCZ.01</v>
          </cell>
          <cell r="B68" t="str">
            <v>POP ICE UYU DARK CHOCO RENCENG</v>
          </cell>
          <cell r="C68" t="str">
            <v>F Loc P.Mlk PI-UY Dark Choco Rcg</v>
          </cell>
          <cell r="D68" t="str">
            <v>POP ICE UYU</v>
          </cell>
          <cell r="E68" t="str">
            <v>BEVERAGE 1</v>
          </cell>
          <cell r="F68" t="str">
            <v>CB</v>
          </cell>
          <cell r="G68">
            <v>250</v>
          </cell>
          <cell r="H68" t="str">
            <v>BAG</v>
          </cell>
          <cell r="I68">
            <v>50</v>
          </cell>
          <cell r="J68" t="str">
            <v>RCG</v>
          </cell>
          <cell r="K68">
            <v>10</v>
          </cell>
          <cell r="L68" t="str">
            <v>PCS</v>
          </cell>
          <cell r="M68">
            <v>1</v>
          </cell>
          <cell r="N68">
            <v>5</v>
          </cell>
          <cell r="O68">
            <v>25</v>
          </cell>
          <cell r="P68">
            <v>250</v>
          </cell>
          <cell r="Q68">
            <v>221051</v>
          </cell>
          <cell r="R68">
            <v>241894</v>
          </cell>
          <cell r="S68">
            <v>284513</v>
          </cell>
          <cell r="T68">
            <v>0</v>
          </cell>
          <cell r="V68">
            <v>884.20399999999995</v>
          </cell>
          <cell r="W68">
            <v>967.57600000000002</v>
          </cell>
          <cell r="X68">
            <v>1138.0519999999999</v>
          </cell>
        </row>
        <row r="69">
          <cell r="A69" t="str">
            <v>F1A.ABPIDCZ.02</v>
          </cell>
          <cell r="B69" t="str">
            <v>POP ICE UYU DARK CHOCO KODE UNIK</v>
          </cell>
          <cell r="C69" t="str">
            <v>F Loc P.Mlk PI-UY Dark Choco K.U</v>
          </cell>
          <cell r="D69" t="str">
            <v>POP ICE UYU</v>
          </cell>
          <cell r="E69" t="str">
            <v>BEVERAGE 1</v>
          </cell>
          <cell r="F69" t="str">
            <v>CB</v>
          </cell>
          <cell r="G69">
            <v>250</v>
          </cell>
          <cell r="H69" t="str">
            <v>BAG</v>
          </cell>
          <cell r="I69">
            <v>50</v>
          </cell>
          <cell r="J69" t="str">
            <v>RCG</v>
          </cell>
          <cell r="K69">
            <v>10</v>
          </cell>
          <cell r="L69" t="str">
            <v>PCS</v>
          </cell>
          <cell r="M69">
            <v>1</v>
          </cell>
          <cell r="N69">
            <v>5</v>
          </cell>
          <cell r="O69">
            <v>25</v>
          </cell>
          <cell r="P69">
            <v>250</v>
          </cell>
          <cell r="Q69">
            <v>221051</v>
          </cell>
          <cell r="R69">
            <v>241894</v>
          </cell>
          <cell r="S69">
            <v>284513</v>
          </cell>
          <cell r="T69">
            <v>241894</v>
          </cell>
          <cell r="V69">
            <v>884.20399999999995</v>
          </cell>
          <cell r="W69">
            <v>967.57600000000002</v>
          </cell>
          <cell r="X69">
            <v>1138.0519999999999</v>
          </cell>
        </row>
        <row r="70">
          <cell r="A70" t="str">
            <v>F1A.ABPIDDD.01</v>
          </cell>
          <cell r="B70" t="str">
            <v>POP ICE UYU TARO RENCENG</v>
          </cell>
          <cell r="C70" t="str">
            <v>F Loc P.Mlk PI-UY Taro Rcg</v>
          </cell>
          <cell r="D70" t="str">
            <v>POP ICE UYU</v>
          </cell>
          <cell r="E70" t="str">
            <v>BEVERAGE 1</v>
          </cell>
          <cell r="F70" t="str">
            <v>CB</v>
          </cell>
          <cell r="G70">
            <v>250</v>
          </cell>
          <cell r="H70" t="str">
            <v>BAG</v>
          </cell>
          <cell r="I70">
            <v>50</v>
          </cell>
          <cell r="J70" t="str">
            <v>RCG</v>
          </cell>
          <cell r="K70">
            <v>10</v>
          </cell>
          <cell r="L70" t="str">
            <v>PCS</v>
          </cell>
          <cell r="M70">
            <v>1</v>
          </cell>
          <cell r="N70">
            <v>5</v>
          </cell>
          <cell r="O70">
            <v>25</v>
          </cell>
          <cell r="P70">
            <v>250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A71" t="str">
            <v>F1A.ABPIDDY.01</v>
          </cell>
          <cell r="B71" t="str">
            <v>POP ICE UYU ICE CREAM VANILLA RENCENG</v>
          </cell>
          <cell r="C71" t="str">
            <v>F Loc P.Mlk PI-UY Ice Cream Van Rcg</v>
          </cell>
          <cell r="D71" t="str">
            <v>POP ICE UYU</v>
          </cell>
          <cell r="E71" t="str">
            <v>BEVERAGE 1</v>
          </cell>
          <cell r="F71" t="str">
            <v>CB</v>
          </cell>
          <cell r="G71">
            <v>250</v>
          </cell>
          <cell r="H71" t="str">
            <v>BAG</v>
          </cell>
          <cell r="I71">
            <v>50</v>
          </cell>
          <cell r="J71" t="str">
            <v>RCG</v>
          </cell>
          <cell r="K71">
            <v>10</v>
          </cell>
          <cell r="L71" t="str">
            <v>PCS</v>
          </cell>
          <cell r="M71">
            <v>1</v>
          </cell>
          <cell r="N71">
            <v>5</v>
          </cell>
          <cell r="O71">
            <v>25</v>
          </cell>
          <cell r="P71">
            <v>250</v>
          </cell>
          <cell r="Q71">
            <v>221051</v>
          </cell>
          <cell r="R71">
            <v>241894</v>
          </cell>
          <cell r="S71">
            <v>284513</v>
          </cell>
          <cell r="T71">
            <v>0</v>
          </cell>
          <cell r="V71">
            <v>884.20399999999995</v>
          </cell>
          <cell r="W71">
            <v>967.57600000000002</v>
          </cell>
          <cell r="X71">
            <v>1138.0519999999999</v>
          </cell>
        </row>
        <row r="72">
          <cell r="A72" t="str">
            <v>F1A.ABPIDDY.02</v>
          </cell>
          <cell r="B72" t="str">
            <v>POP ICE UYU ICE CREAM KODE UNIK</v>
          </cell>
          <cell r="C72" t="str">
            <v>F Loc P.Mlk PI-UY Ice Cream Van K.U</v>
          </cell>
          <cell r="D72" t="str">
            <v>POP ICE UYU</v>
          </cell>
          <cell r="E72" t="str">
            <v>BEVERAGE 1</v>
          </cell>
          <cell r="F72" t="str">
            <v>CB</v>
          </cell>
          <cell r="G72">
            <v>250</v>
          </cell>
          <cell r="H72" t="str">
            <v>BAG</v>
          </cell>
          <cell r="I72">
            <v>50</v>
          </cell>
          <cell r="J72" t="str">
            <v>RCG</v>
          </cell>
          <cell r="K72">
            <v>10</v>
          </cell>
          <cell r="L72" t="str">
            <v>PCS</v>
          </cell>
          <cell r="M72">
            <v>1</v>
          </cell>
          <cell r="N72">
            <v>5</v>
          </cell>
          <cell r="O72">
            <v>25</v>
          </cell>
          <cell r="P72">
            <v>250</v>
          </cell>
          <cell r="Q72">
            <v>221051</v>
          </cell>
          <cell r="R72">
            <v>241894</v>
          </cell>
          <cell r="S72">
            <v>284513</v>
          </cell>
          <cell r="T72">
            <v>241894</v>
          </cell>
          <cell r="V72">
            <v>884.20399999999995</v>
          </cell>
          <cell r="W72">
            <v>967.57600000000002</v>
          </cell>
          <cell r="X72">
            <v>1138.0519999999999</v>
          </cell>
        </row>
        <row r="73">
          <cell r="A73" t="str">
            <v>F1A.ABPIDEA.01</v>
          </cell>
          <cell r="B73" t="str">
            <v>POP ICE UYU CHOCO RENCENG</v>
          </cell>
          <cell r="C73" t="str">
            <v>F Loc P.Mlk PI-UY Choco Rcg</v>
          </cell>
          <cell r="D73" t="str">
            <v>POP ICE UYU</v>
          </cell>
          <cell r="E73" t="str">
            <v>BEVERAGE 1</v>
          </cell>
          <cell r="F73" t="str">
            <v>CB</v>
          </cell>
          <cell r="G73">
            <v>250</v>
          </cell>
          <cell r="H73" t="str">
            <v>BAG</v>
          </cell>
          <cell r="I73">
            <v>50</v>
          </cell>
          <cell r="J73" t="str">
            <v>RCG</v>
          </cell>
          <cell r="K73">
            <v>10</v>
          </cell>
          <cell r="L73" t="str">
            <v>PCS</v>
          </cell>
          <cell r="M73">
            <v>1</v>
          </cell>
          <cell r="N73">
            <v>5</v>
          </cell>
          <cell r="O73">
            <v>25</v>
          </cell>
          <cell r="P73">
            <v>250</v>
          </cell>
          <cell r="Q73">
            <v>221051</v>
          </cell>
          <cell r="R73">
            <v>241894</v>
          </cell>
          <cell r="S73">
            <v>284513</v>
          </cell>
          <cell r="T73">
            <v>0</v>
          </cell>
          <cell r="V73">
            <v>884.20399999999995</v>
          </cell>
          <cell r="W73">
            <v>967.57600000000002</v>
          </cell>
          <cell r="X73">
            <v>1138.0519999999999</v>
          </cell>
        </row>
        <row r="74">
          <cell r="A74" t="str">
            <v>F1A.ABPIDOB.01</v>
          </cell>
          <cell r="B74" t="str">
            <v>POP ICE UYU STRAWBERRY RENCENG</v>
          </cell>
          <cell r="C74" t="str">
            <v>F Loc P.Mlk PI-UY Strawberry Rcg</v>
          </cell>
          <cell r="D74" t="str">
            <v>POP ICE UYU</v>
          </cell>
          <cell r="E74" t="str">
            <v>BEVERAGE 1</v>
          </cell>
          <cell r="F74" t="str">
            <v>CB</v>
          </cell>
          <cell r="G74">
            <v>250</v>
          </cell>
          <cell r="H74" t="str">
            <v>BAG</v>
          </cell>
          <cell r="I74">
            <v>50</v>
          </cell>
          <cell r="J74" t="str">
            <v>RCG</v>
          </cell>
          <cell r="K74">
            <v>10</v>
          </cell>
          <cell r="L74" t="str">
            <v>PCS</v>
          </cell>
          <cell r="M74">
            <v>1</v>
          </cell>
          <cell r="N74">
            <v>5</v>
          </cell>
          <cell r="O74">
            <v>25</v>
          </cell>
          <cell r="P74">
            <v>250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A75" t="str">
            <v>F1A.ABPIDOE.01</v>
          </cell>
          <cell r="B75" t="str">
            <v>POP ICE UYU PISANG RENCENG</v>
          </cell>
          <cell r="C75" t="str">
            <v>F Loc P.Mlk PI-UY Banana Rcg</v>
          </cell>
          <cell r="D75" t="str">
            <v>POP ICE UYU</v>
          </cell>
          <cell r="E75" t="str">
            <v>BEVERAGE 1</v>
          </cell>
          <cell r="F75" t="str">
            <v>CB</v>
          </cell>
          <cell r="G75">
            <v>250</v>
          </cell>
          <cell r="H75" t="str">
            <v>BAG</v>
          </cell>
          <cell r="I75">
            <v>50</v>
          </cell>
          <cell r="J75" t="str">
            <v>RCG</v>
          </cell>
          <cell r="K75">
            <v>10</v>
          </cell>
          <cell r="L75" t="str">
            <v>PCS</v>
          </cell>
          <cell r="M75">
            <v>1</v>
          </cell>
          <cell r="N75">
            <v>5</v>
          </cell>
          <cell r="O75">
            <v>25</v>
          </cell>
          <cell r="P75">
            <v>250</v>
          </cell>
          <cell r="Q75">
            <v>221051</v>
          </cell>
          <cell r="R75">
            <v>241894</v>
          </cell>
          <cell r="S75">
            <v>284513</v>
          </cell>
          <cell r="T75">
            <v>241894</v>
          </cell>
          <cell r="V75">
            <v>884.20399999999995</v>
          </cell>
          <cell r="W75">
            <v>967.57600000000002</v>
          </cell>
          <cell r="X75">
            <v>1138.0519999999999</v>
          </cell>
        </row>
        <row r="76">
          <cell r="A76" t="str">
            <v>F1A.ABPIDOL.01</v>
          </cell>
          <cell r="B76" t="str">
            <v>POP ICE UYU CHEESU ORANGE RENCENG</v>
          </cell>
          <cell r="C76" t="str">
            <v>F Loc P.Mlk PI-UY Cheesu Orange Rcg</v>
          </cell>
          <cell r="D76" t="str">
            <v>POP ICE UYU</v>
          </cell>
          <cell r="E76" t="str">
            <v>BEVERAGE 1</v>
          </cell>
          <cell r="F76" t="str">
            <v>CB</v>
          </cell>
          <cell r="G76">
            <v>250</v>
          </cell>
          <cell r="H76" t="str">
            <v>BAG</v>
          </cell>
          <cell r="I76">
            <v>50</v>
          </cell>
          <cell r="J76" t="str">
            <v>RCG</v>
          </cell>
          <cell r="K76">
            <v>10</v>
          </cell>
          <cell r="L76" t="str">
            <v>PCS</v>
          </cell>
          <cell r="M76">
            <v>1</v>
          </cell>
          <cell r="N76">
            <v>5</v>
          </cell>
          <cell r="O76">
            <v>25</v>
          </cell>
          <cell r="P76">
            <v>250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A77" t="str">
            <v>F1A.ABPIDTL.01</v>
          </cell>
          <cell r="B77" t="str">
            <v>POP ICE UYU MATCHA RENCENG</v>
          </cell>
          <cell r="C77" t="str">
            <v>F Loc P.Mlk PI-UY Matcha Rcg</v>
          </cell>
          <cell r="D77" t="str">
            <v>POP ICE UYU</v>
          </cell>
          <cell r="E77" t="str">
            <v>BEVERAGE 1</v>
          </cell>
          <cell r="F77" t="str">
            <v>CB</v>
          </cell>
          <cell r="G77">
            <v>250</v>
          </cell>
          <cell r="H77" t="str">
            <v>BAG</v>
          </cell>
          <cell r="I77">
            <v>50</v>
          </cell>
          <cell r="J77" t="str">
            <v>RCG</v>
          </cell>
          <cell r="K77">
            <v>10</v>
          </cell>
          <cell r="L77" t="str">
            <v>PCS</v>
          </cell>
          <cell r="M77">
            <v>1</v>
          </cell>
          <cell r="N77">
            <v>5</v>
          </cell>
          <cell r="O77">
            <v>25</v>
          </cell>
          <cell r="P77">
            <v>250</v>
          </cell>
          <cell r="Q77">
            <v>221051</v>
          </cell>
          <cell r="R77">
            <v>241894</v>
          </cell>
          <cell r="S77">
            <v>284513</v>
          </cell>
          <cell r="T77">
            <v>0</v>
          </cell>
          <cell r="V77">
            <v>884.20399999999995</v>
          </cell>
          <cell r="W77">
            <v>967.57600000000002</v>
          </cell>
          <cell r="X77">
            <v>1138.0519999999999</v>
          </cell>
        </row>
        <row r="78">
          <cell r="A78" t="str">
            <v>F1A.AEFTANI.01</v>
          </cell>
          <cell r="B78" t="str">
            <v>FINTO ANGGUR RENCENG</v>
          </cell>
          <cell r="C78" t="str">
            <v>F Loc P.Cpd FT-RE Grape Rcg</v>
          </cell>
          <cell r="D78" t="str">
            <v>FINTO REGULAR</v>
          </cell>
          <cell r="E78" t="str">
            <v>BEVERAGE 2</v>
          </cell>
          <cell r="F78" t="str">
            <v>CB</v>
          </cell>
          <cell r="G78">
            <v>720</v>
          </cell>
          <cell r="H78" t="str">
            <v>BAG</v>
          </cell>
          <cell r="I78">
            <v>120</v>
          </cell>
          <cell r="J78" t="str">
            <v>RCG</v>
          </cell>
          <cell r="K78">
            <v>10</v>
          </cell>
          <cell r="L78" t="str">
            <v>PCS</v>
          </cell>
          <cell r="M78">
            <v>1</v>
          </cell>
          <cell r="N78">
            <v>6</v>
          </cell>
          <cell r="O78">
            <v>72</v>
          </cell>
          <cell r="P78">
            <v>720</v>
          </cell>
          <cell r="Q78">
            <v>187865</v>
          </cell>
          <cell r="R78">
            <v>205336</v>
          </cell>
          <cell r="S78">
            <v>241094</v>
          </cell>
          <cell r="T78">
            <v>205336</v>
          </cell>
          <cell r="U78" t="str">
            <v>AKTIF</v>
          </cell>
          <cell r="V78">
            <v>260.92361111111109</v>
          </cell>
          <cell r="W78">
            <v>285.18888888888887</v>
          </cell>
          <cell r="X78">
            <v>334.85277777777776</v>
          </cell>
        </row>
        <row r="79">
          <cell r="A79" t="str">
            <v>F1A.AEFTANL.01</v>
          </cell>
          <cell r="B79" t="str">
            <v>FINTO MELON RENCENG</v>
          </cell>
          <cell r="C79" t="str">
            <v>F Loc P.Cpd FT-RE Honey Dew Rcg</v>
          </cell>
          <cell r="D79" t="str">
            <v>FINTO REGULAR</v>
          </cell>
          <cell r="E79" t="str">
            <v>BEVERAGE 2</v>
          </cell>
          <cell r="F79" t="str">
            <v>CB</v>
          </cell>
          <cell r="G79">
            <v>720</v>
          </cell>
          <cell r="H79" t="str">
            <v>BAG</v>
          </cell>
          <cell r="I79">
            <v>120</v>
          </cell>
          <cell r="J79" t="str">
            <v>RCG</v>
          </cell>
          <cell r="K79">
            <v>10</v>
          </cell>
          <cell r="L79" t="str">
            <v>PCS</v>
          </cell>
          <cell r="M79">
            <v>1</v>
          </cell>
          <cell r="N79">
            <v>6</v>
          </cell>
          <cell r="O79">
            <v>72</v>
          </cell>
          <cell r="P79">
            <v>720</v>
          </cell>
          <cell r="Q79">
            <v>187865</v>
          </cell>
          <cell r="R79">
            <v>205336</v>
          </cell>
          <cell r="S79">
            <v>241094</v>
          </cell>
          <cell r="T79">
            <v>205336</v>
          </cell>
          <cell r="U79" t="str">
            <v>AKTIF</v>
          </cell>
          <cell r="V79">
            <v>260.92361111111109</v>
          </cell>
          <cell r="W79">
            <v>285.18888888888887</v>
          </cell>
          <cell r="X79">
            <v>334.85277777777776</v>
          </cell>
        </row>
        <row r="80">
          <cell r="A80" t="str">
            <v>F1A.AEFTANU.01</v>
          </cell>
          <cell r="B80" t="str">
            <v>FINTO JERUK RENCENG</v>
          </cell>
          <cell r="C80" t="str">
            <v>F Loc P.Cpd FT-RE Orange Rcg</v>
          </cell>
          <cell r="D80" t="str">
            <v>FINTO REGULAR</v>
          </cell>
          <cell r="E80" t="str">
            <v>BEVERAGE 2</v>
          </cell>
          <cell r="F80" t="str">
            <v>CB</v>
          </cell>
          <cell r="G80">
            <v>720</v>
          </cell>
          <cell r="H80" t="str">
            <v>BAG</v>
          </cell>
          <cell r="I80">
            <v>120</v>
          </cell>
          <cell r="J80" t="str">
            <v>RCG</v>
          </cell>
          <cell r="K80">
            <v>10</v>
          </cell>
          <cell r="L80" t="str">
            <v>PCS</v>
          </cell>
          <cell r="M80">
            <v>1</v>
          </cell>
          <cell r="N80">
            <v>6</v>
          </cell>
          <cell r="O80">
            <v>72</v>
          </cell>
          <cell r="P80">
            <v>720</v>
          </cell>
          <cell r="Q80">
            <v>187865</v>
          </cell>
          <cell r="R80">
            <v>205336</v>
          </cell>
          <cell r="S80">
            <v>241094</v>
          </cell>
          <cell r="T80">
            <v>205336</v>
          </cell>
          <cell r="U80" t="str">
            <v>AKTIF</v>
          </cell>
          <cell r="V80">
            <v>260.92361111111109</v>
          </cell>
          <cell r="W80">
            <v>285.18888888888887</v>
          </cell>
          <cell r="X80">
            <v>334.85277777777776</v>
          </cell>
        </row>
        <row r="81">
          <cell r="A81" t="str">
            <v>F1A.AEFTAOB.01</v>
          </cell>
          <cell r="B81" t="str">
            <v>FINTO STRAWBERRY RENCENG</v>
          </cell>
          <cell r="C81" t="str">
            <v>F Loc P.Cpd FT-RE Strawberry Rcg</v>
          </cell>
          <cell r="D81" t="str">
            <v>FINTO REGULAR</v>
          </cell>
          <cell r="E81" t="str">
            <v>BEVERAGE 2</v>
          </cell>
          <cell r="F81" t="str">
            <v>CB</v>
          </cell>
          <cell r="G81">
            <v>720</v>
          </cell>
          <cell r="H81" t="str">
            <v>BAG</v>
          </cell>
          <cell r="I81">
            <v>120</v>
          </cell>
          <cell r="J81" t="str">
            <v>RCG</v>
          </cell>
          <cell r="K81">
            <v>10</v>
          </cell>
          <cell r="L81" t="str">
            <v>PCS</v>
          </cell>
          <cell r="M81">
            <v>1</v>
          </cell>
          <cell r="N81">
            <v>6</v>
          </cell>
          <cell r="O81">
            <v>72</v>
          </cell>
          <cell r="P81">
            <v>720</v>
          </cell>
          <cell r="Q81">
            <v>187865</v>
          </cell>
          <cell r="R81">
            <v>205336</v>
          </cell>
          <cell r="S81">
            <v>241094</v>
          </cell>
          <cell r="T81">
            <v>205336</v>
          </cell>
          <cell r="U81" t="str">
            <v>AKTIF</v>
          </cell>
          <cell r="V81">
            <v>260.92361111111109</v>
          </cell>
          <cell r="W81">
            <v>285.18888888888887</v>
          </cell>
          <cell r="X81">
            <v>334.85277777777776</v>
          </cell>
        </row>
        <row r="82">
          <cell r="A82" t="str">
            <v>F1A.AEKLAFD.01</v>
          </cell>
          <cell r="B82" t="str">
            <v>KOLA-KOLA COLA RENCENG</v>
          </cell>
          <cell r="C82" t="str">
            <v>F Loc P.Cpd KL-RE Cola Rcg</v>
          </cell>
          <cell r="D82" t="str">
            <v>KOLA-KOLA REGULAR</v>
          </cell>
          <cell r="E82" t="str">
            <v>BEVERAGE 2</v>
          </cell>
          <cell r="F82" t="str">
            <v>CB</v>
          </cell>
          <cell r="G82">
            <v>720</v>
          </cell>
          <cell r="H82" t="str">
            <v>BAG</v>
          </cell>
          <cell r="I82">
            <v>120</v>
          </cell>
          <cell r="J82" t="str">
            <v>RCG</v>
          </cell>
          <cell r="K82">
            <v>10</v>
          </cell>
          <cell r="L82" t="str">
            <v>PCS</v>
          </cell>
          <cell r="M82">
            <v>1</v>
          </cell>
          <cell r="N82">
            <v>6</v>
          </cell>
          <cell r="O82">
            <v>72</v>
          </cell>
          <cell r="P82">
            <v>720</v>
          </cell>
          <cell r="Q82">
            <v>187865</v>
          </cell>
          <cell r="R82">
            <v>205336</v>
          </cell>
          <cell r="S82">
            <v>241094</v>
          </cell>
          <cell r="T82">
            <v>205336</v>
          </cell>
          <cell r="U82" t="str">
            <v>AKTIF</v>
          </cell>
          <cell r="V82">
            <v>260.92361111111109</v>
          </cell>
          <cell r="W82">
            <v>285.18888888888887</v>
          </cell>
          <cell r="X82">
            <v>334.85277777777776</v>
          </cell>
        </row>
        <row r="83">
          <cell r="A83" t="str">
            <v>F1A.AEKLANE.01</v>
          </cell>
          <cell r="B83" t="str">
            <v>KOLA-KOLA BLACKCURRANT RENCENG</v>
          </cell>
          <cell r="C83" t="str">
            <v>F Loc P.Cpd KL-RE Blackcurrant Rcg</v>
          </cell>
          <cell r="D83" t="str">
            <v>KOLA-KOLA REGULAR</v>
          </cell>
          <cell r="E83" t="str">
            <v>BEVERAGE 2</v>
          </cell>
          <cell r="F83" t="str">
            <v>CB</v>
          </cell>
          <cell r="G83">
            <v>720</v>
          </cell>
          <cell r="H83" t="str">
            <v>BAG</v>
          </cell>
          <cell r="I83">
            <v>120</v>
          </cell>
          <cell r="J83" t="str">
            <v>RCG</v>
          </cell>
          <cell r="K83">
            <v>10</v>
          </cell>
          <cell r="L83" t="str">
            <v>PCS</v>
          </cell>
          <cell r="M83">
            <v>1</v>
          </cell>
          <cell r="N83">
            <v>6</v>
          </cell>
          <cell r="O83">
            <v>72</v>
          </cell>
          <cell r="P83">
            <v>720</v>
          </cell>
          <cell r="Q83">
            <v>187865</v>
          </cell>
          <cell r="R83">
            <v>205336</v>
          </cell>
          <cell r="S83">
            <v>241094</v>
          </cell>
          <cell r="T83">
            <v>205336</v>
          </cell>
          <cell r="U83" t="str">
            <v>AKTIF</v>
          </cell>
          <cell r="V83">
            <v>260.92361111111109</v>
          </cell>
          <cell r="W83">
            <v>285.18888888888887</v>
          </cell>
          <cell r="X83">
            <v>334.85277777777776</v>
          </cell>
        </row>
        <row r="84">
          <cell r="A84" t="str">
            <v>F1A.AANTMHB.01</v>
          </cell>
          <cell r="B84" t="str">
            <v>NUTRIMAS CINCAU PROMO 1 GRATIS 1</v>
          </cell>
          <cell r="C84" t="str">
            <v>F Loc P.Frt NT-MA Grass Jelly P.1 F.1</v>
          </cell>
          <cell r="D84" t="str">
            <v>NUTRIMAS</v>
          </cell>
          <cell r="E84" t="str">
            <v>BEVERAGE 2</v>
          </cell>
          <cell r="F84" t="str">
            <v>CB</v>
          </cell>
          <cell r="G84">
            <v>720</v>
          </cell>
          <cell r="H84" t="str">
            <v>BAG</v>
          </cell>
          <cell r="I84">
            <v>120</v>
          </cell>
          <cell r="J84" t="str">
            <v>RCG</v>
          </cell>
          <cell r="K84">
            <v>20</v>
          </cell>
          <cell r="L84" t="str">
            <v>PCS</v>
          </cell>
          <cell r="M84">
            <v>1</v>
          </cell>
          <cell r="N84">
            <v>6</v>
          </cell>
          <cell r="O84">
            <v>36</v>
          </cell>
          <cell r="P84">
            <v>720</v>
          </cell>
          <cell r="Q84">
            <v>89859</v>
          </cell>
          <cell r="R84">
            <v>97947</v>
          </cell>
          <cell r="S84">
            <v>0</v>
          </cell>
          <cell r="T84">
            <v>97947</v>
          </cell>
          <cell r="U84" t="str">
            <v>AKTIF</v>
          </cell>
          <cell r="V84">
            <v>124.80416666666666</v>
          </cell>
          <cell r="W84">
            <v>136.03749999999999</v>
          </cell>
          <cell r="X84">
            <v>0</v>
          </cell>
        </row>
        <row r="85">
          <cell r="A85" t="str">
            <v>F1A.AANTMHE.01</v>
          </cell>
          <cell r="B85" t="str">
            <v>NUTRIMAS COCOPANDAN PROMO 1 GRATIS 1</v>
          </cell>
          <cell r="C85" t="str">
            <v>F Loc P.Frt NT-MA Cocopandan P.1 F.1</v>
          </cell>
          <cell r="D85" t="str">
            <v>NUTRIMAS</v>
          </cell>
          <cell r="E85" t="str">
            <v>BEVERAGE 2</v>
          </cell>
          <cell r="F85" t="str">
            <v>CB</v>
          </cell>
          <cell r="G85">
            <v>720</v>
          </cell>
          <cell r="H85" t="str">
            <v>BAG</v>
          </cell>
          <cell r="I85">
            <v>120</v>
          </cell>
          <cell r="J85" t="str">
            <v>RCG</v>
          </cell>
          <cell r="K85">
            <v>20</v>
          </cell>
          <cell r="L85" t="str">
            <v>PCS</v>
          </cell>
          <cell r="M85">
            <v>1</v>
          </cell>
          <cell r="N85">
            <v>6</v>
          </cell>
          <cell r="O85">
            <v>36</v>
          </cell>
          <cell r="P85">
            <v>720</v>
          </cell>
          <cell r="Q85">
            <v>89859</v>
          </cell>
          <cell r="R85">
            <v>97947</v>
          </cell>
          <cell r="S85">
            <v>0</v>
          </cell>
          <cell r="T85">
            <v>97947</v>
          </cell>
          <cell r="U85" t="str">
            <v>AKTIF</v>
          </cell>
          <cell r="V85">
            <v>124.80416666666666</v>
          </cell>
          <cell r="W85">
            <v>136.03749999999999</v>
          </cell>
          <cell r="X85">
            <v>0</v>
          </cell>
        </row>
        <row r="86">
          <cell r="A86" t="str">
            <v>F1A.AANTMNI.01</v>
          </cell>
          <cell r="B86" t="str">
            <v>NUTRIMAS ANGGUR PROMO 1 GRATIS 1</v>
          </cell>
          <cell r="C86" t="str">
            <v>F Loc P.Frt NT-MA Grape P.1 F.1</v>
          </cell>
          <cell r="D86" t="str">
            <v>NUTRIMAS</v>
          </cell>
          <cell r="E86" t="str">
            <v>BEVERAGE 2</v>
          </cell>
          <cell r="F86" t="str">
            <v>CB</v>
          </cell>
          <cell r="G86">
            <v>720</v>
          </cell>
          <cell r="H86" t="str">
            <v>BAG</v>
          </cell>
          <cell r="I86">
            <v>120</v>
          </cell>
          <cell r="J86" t="str">
            <v>RCG</v>
          </cell>
          <cell r="K86">
            <v>20</v>
          </cell>
          <cell r="L86" t="str">
            <v>PCS</v>
          </cell>
          <cell r="M86">
            <v>1</v>
          </cell>
          <cell r="N86">
            <v>6</v>
          </cell>
          <cell r="O86">
            <v>36</v>
          </cell>
          <cell r="P86">
            <v>720</v>
          </cell>
          <cell r="Q86">
            <v>89859</v>
          </cell>
          <cell r="R86">
            <v>97947</v>
          </cell>
          <cell r="S86">
            <v>0</v>
          </cell>
          <cell r="T86">
            <v>97947</v>
          </cell>
          <cell r="U86" t="str">
            <v>AKTIF</v>
          </cell>
          <cell r="V86">
            <v>124.80416666666666</v>
          </cell>
          <cell r="W86">
            <v>136.03749999999999</v>
          </cell>
          <cell r="X86">
            <v>0</v>
          </cell>
        </row>
        <row r="87">
          <cell r="A87" t="str">
            <v>F1A.AANTMNR.01</v>
          </cell>
          <cell r="B87" t="str">
            <v>NUTRIMAS MANGGA PROMO 1 GRATIS 1</v>
          </cell>
          <cell r="C87" t="str">
            <v>F Loc P.Frt NT-MA Mango P.1 F.1</v>
          </cell>
          <cell r="D87" t="str">
            <v>NUTRIMAS</v>
          </cell>
          <cell r="E87" t="str">
            <v>BEVERAGE 2</v>
          </cell>
          <cell r="F87" t="str">
            <v>CB</v>
          </cell>
          <cell r="G87">
            <v>720</v>
          </cell>
          <cell r="H87" t="str">
            <v>BAG</v>
          </cell>
          <cell r="I87">
            <v>120</v>
          </cell>
          <cell r="J87" t="str">
            <v>RCG</v>
          </cell>
          <cell r="K87">
            <v>20</v>
          </cell>
          <cell r="L87" t="str">
            <v>PCS</v>
          </cell>
          <cell r="M87">
            <v>1</v>
          </cell>
          <cell r="N87">
            <v>6</v>
          </cell>
          <cell r="O87">
            <v>36</v>
          </cell>
          <cell r="P87">
            <v>720</v>
          </cell>
          <cell r="Q87">
            <v>89859</v>
          </cell>
          <cell r="R87">
            <v>97947</v>
          </cell>
          <cell r="S87">
            <v>0</v>
          </cell>
          <cell r="T87">
            <v>97947</v>
          </cell>
          <cell r="U87" t="str">
            <v>AKTIF</v>
          </cell>
          <cell r="V87">
            <v>124.80416666666666</v>
          </cell>
          <cell r="W87">
            <v>136.03749999999999</v>
          </cell>
          <cell r="X87">
            <v>0</v>
          </cell>
        </row>
        <row r="88">
          <cell r="A88" t="str">
            <v>F1A.AANTMOM.01</v>
          </cell>
          <cell r="B88" t="str">
            <v>NUTRIMAS JERUK PROMO 1 GRATIS 1</v>
          </cell>
          <cell r="C88" t="str">
            <v>F Loc P.Frt NT-MA Jeruk Peras P.1 F.1</v>
          </cell>
          <cell r="D88" t="str">
            <v>NUTRIMAS</v>
          </cell>
          <cell r="E88" t="str">
            <v>BEVERAGE 2</v>
          </cell>
          <cell r="F88" t="str">
            <v>CB</v>
          </cell>
          <cell r="G88">
            <v>720</v>
          </cell>
          <cell r="H88" t="str">
            <v>BAG</v>
          </cell>
          <cell r="I88">
            <v>120</v>
          </cell>
          <cell r="J88" t="str">
            <v>RCG</v>
          </cell>
          <cell r="K88">
            <v>20</v>
          </cell>
          <cell r="L88" t="str">
            <v>PCS</v>
          </cell>
          <cell r="M88">
            <v>1</v>
          </cell>
          <cell r="N88">
            <v>6</v>
          </cell>
          <cell r="O88">
            <v>36</v>
          </cell>
          <cell r="P88">
            <v>720</v>
          </cell>
          <cell r="Q88">
            <v>89859</v>
          </cell>
          <cell r="R88">
            <v>97947</v>
          </cell>
          <cell r="S88">
            <v>0</v>
          </cell>
          <cell r="T88">
            <v>97947</v>
          </cell>
          <cell r="U88" t="str">
            <v>AKTIF</v>
          </cell>
          <cell r="V88">
            <v>124.80416666666666</v>
          </cell>
          <cell r="W88">
            <v>136.03749999999999</v>
          </cell>
          <cell r="X88">
            <v>0</v>
          </cell>
        </row>
        <row r="89">
          <cell r="A89" t="str">
            <v>F1A.ACTSAHA.01</v>
          </cell>
          <cell r="B89" t="str">
            <v>TEH SISRI MELATI RENCENG</v>
          </cell>
          <cell r="C89" t="str">
            <v>F Loc P.Tea TS-RE Jasmine Rcg</v>
          </cell>
          <cell r="D89" t="str">
            <v>TEH SISRI REGULAR</v>
          </cell>
          <cell r="E89" t="str">
            <v>BEVERAGE 2</v>
          </cell>
          <cell r="F89" t="str">
            <v>CB</v>
          </cell>
          <cell r="G89">
            <v>720</v>
          </cell>
          <cell r="H89" t="str">
            <v>BAG</v>
          </cell>
          <cell r="I89">
            <v>120</v>
          </cell>
          <cell r="J89" t="str">
            <v>RCG</v>
          </cell>
          <cell r="K89">
            <v>10</v>
          </cell>
          <cell r="L89" t="str">
            <v>PCS</v>
          </cell>
          <cell r="M89">
            <v>1</v>
          </cell>
          <cell r="N89">
            <v>6</v>
          </cell>
          <cell r="O89">
            <v>72</v>
          </cell>
          <cell r="P89">
            <v>720</v>
          </cell>
          <cell r="Q89">
            <v>182160</v>
          </cell>
          <cell r="R89">
            <v>198720</v>
          </cell>
          <cell r="S89">
            <v>237600</v>
          </cell>
          <cell r="T89">
            <v>198720</v>
          </cell>
          <cell r="U89" t="str">
            <v>AKTIF</v>
          </cell>
          <cell r="V89">
            <v>253</v>
          </cell>
          <cell r="W89">
            <v>276</v>
          </cell>
          <cell r="X89">
            <v>330</v>
          </cell>
        </row>
        <row r="90">
          <cell r="A90" t="str">
            <v>F1A.ACTSAHB.01</v>
          </cell>
          <cell r="B90" t="str">
            <v>TEH SISRI CINCAU RENCENG</v>
          </cell>
          <cell r="C90" t="str">
            <v>F Loc P.Tea TS-RE Grass Jelly Rcg</v>
          </cell>
          <cell r="D90" t="str">
            <v>TEH SISRI REGULAR</v>
          </cell>
          <cell r="E90" t="str">
            <v>BEVERAGE 2</v>
          </cell>
          <cell r="F90" t="str">
            <v>CB</v>
          </cell>
          <cell r="G90">
            <v>720</v>
          </cell>
          <cell r="H90" t="str">
            <v>BAG</v>
          </cell>
          <cell r="I90">
            <v>120</v>
          </cell>
          <cell r="J90" t="str">
            <v>RCG</v>
          </cell>
          <cell r="K90">
            <v>10</v>
          </cell>
          <cell r="L90" t="str">
            <v>PCS</v>
          </cell>
          <cell r="M90">
            <v>1</v>
          </cell>
          <cell r="N90">
            <v>6</v>
          </cell>
          <cell r="O90">
            <v>72</v>
          </cell>
          <cell r="P90">
            <v>720</v>
          </cell>
          <cell r="Q90">
            <v>182160</v>
          </cell>
          <cell r="R90">
            <v>198720</v>
          </cell>
          <cell r="S90">
            <v>237600</v>
          </cell>
          <cell r="T90">
            <v>198720</v>
          </cell>
          <cell r="U90" t="str">
            <v>AKTIF</v>
          </cell>
          <cell r="V90">
            <v>253</v>
          </cell>
          <cell r="W90">
            <v>276</v>
          </cell>
          <cell r="X90">
            <v>330</v>
          </cell>
        </row>
        <row r="91">
          <cell r="A91" t="str">
            <v>F1A.ACTSANA.01</v>
          </cell>
          <cell r="B91" t="str">
            <v>TEH SISRI APEL RENCENG</v>
          </cell>
          <cell r="C91" t="str">
            <v>F Loc P.Tea TS-RE Apple Rcg</v>
          </cell>
          <cell r="D91" t="str">
            <v>TEH SISRI REGULAR</v>
          </cell>
          <cell r="E91" t="str">
            <v>BEVERAGE 2</v>
          </cell>
          <cell r="F91" t="str">
            <v>CB</v>
          </cell>
          <cell r="G91">
            <v>720</v>
          </cell>
          <cell r="H91" t="str">
            <v>BAG</v>
          </cell>
          <cell r="I91">
            <v>120</v>
          </cell>
          <cell r="J91" t="str">
            <v>RCG</v>
          </cell>
          <cell r="K91">
            <v>10</v>
          </cell>
          <cell r="L91" t="str">
            <v>PCS</v>
          </cell>
          <cell r="M91">
            <v>1</v>
          </cell>
          <cell r="N91">
            <v>6</v>
          </cell>
          <cell r="O91">
            <v>72</v>
          </cell>
          <cell r="P91">
            <v>720</v>
          </cell>
          <cell r="Q91">
            <v>182160</v>
          </cell>
          <cell r="R91">
            <v>198720</v>
          </cell>
          <cell r="S91">
            <v>237600</v>
          </cell>
          <cell r="T91">
            <v>198720</v>
          </cell>
          <cell r="U91" t="str">
            <v>AKTIF</v>
          </cell>
          <cell r="V91">
            <v>253</v>
          </cell>
          <cell r="W91">
            <v>276</v>
          </cell>
          <cell r="X91">
            <v>330</v>
          </cell>
        </row>
        <row r="92">
          <cell r="A92" t="str">
            <v>F1A.ACTSANE.01</v>
          </cell>
          <cell r="B92" t="str">
            <v>TEH SISRI BLACKCURRANT RENCENG</v>
          </cell>
          <cell r="C92" t="str">
            <v>F Loc P.Tea TS-RE Blackcurrant Rcg</v>
          </cell>
          <cell r="D92" t="str">
            <v>TEH SISRI REGULAR</v>
          </cell>
          <cell r="E92" t="str">
            <v>BEVERAGE 2</v>
          </cell>
          <cell r="F92" t="str">
            <v>CB</v>
          </cell>
          <cell r="G92">
            <v>720</v>
          </cell>
          <cell r="H92" t="str">
            <v>BAG</v>
          </cell>
          <cell r="I92">
            <v>120</v>
          </cell>
          <cell r="J92" t="str">
            <v>RCG</v>
          </cell>
          <cell r="K92">
            <v>10</v>
          </cell>
          <cell r="L92" t="str">
            <v>PCS</v>
          </cell>
          <cell r="M92">
            <v>1</v>
          </cell>
          <cell r="N92">
            <v>6</v>
          </cell>
          <cell r="O92">
            <v>72</v>
          </cell>
          <cell r="P92">
            <v>720</v>
          </cell>
          <cell r="Q92">
            <v>182160</v>
          </cell>
          <cell r="R92">
            <v>198720</v>
          </cell>
          <cell r="S92">
            <v>237600</v>
          </cell>
          <cell r="T92">
            <v>198720</v>
          </cell>
          <cell r="U92" t="str">
            <v>AKTIF</v>
          </cell>
          <cell r="V92">
            <v>253</v>
          </cell>
          <cell r="W92">
            <v>276</v>
          </cell>
          <cell r="X92">
            <v>330</v>
          </cell>
        </row>
        <row r="93">
          <cell r="A93" t="str">
            <v>F1A.ACTSANM.01</v>
          </cell>
          <cell r="B93" t="str">
            <v>TEH SISRI LEMON RENCENG</v>
          </cell>
          <cell r="C93" t="str">
            <v>F Loc P.Tea TS-RE Lemon Rcg</v>
          </cell>
          <cell r="D93" t="str">
            <v>TEH SISRI REGULAR</v>
          </cell>
          <cell r="E93" t="str">
            <v>BEVERAGE 2</v>
          </cell>
          <cell r="F93" t="str">
            <v>CB</v>
          </cell>
          <cell r="G93">
            <v>720</v>
          </cell>
          <cell r="H93" t="str">
            <v>BAG</v>
          </cell>
          <cell r="I93">
            <v>120</v>
          </cell>
          <cell r="J93" t="str">
            <v>RCG</v>
          </cell>
          <cell r="K93">
            <v>10</v>
          </cell>
          <cell r="L93" t="str">
            <v>PCS</v>
          </cell>
          <cell r="M93">
            <v>1</v>
          </cell>
          <cell r="N93">
            <v>6</v>
          </cell>
          <cell r="O93">
            <v>72</v>
          </cell>
          <cell r="P93">
            <v>720</v>
          </cell>
          <cell r="Q93">
            <v>182160</v>
          </cell>
          <cell r="R93">
            <v>198720</v>
          </cell>
          <cell r="S93">
            <v>237600</v>
          </cell>
          <cell r="T93">
            <v>198720</v>
          </cell>
          <cell r="U93" t="str">
            <v>AKTIF</v>
          </cell>
          <cell r="V93">
            <v>253</v>
          </cell>
          <cell r="W93">
            <v>276</v>
          </cell>
          <cell r="X93">
            <v>330</v>
          </cell>
        </row>
        <row r="94">
          <cell r="A94" t="str">
            <v>F1A.ACTSANR.01</v>
          </cell>
          <cell r="B94" t="str">
            <v>TEH SISRI MANGGA RENCENG</v>
          </cell>
          <cell r="C94" t="str">
            <v>F Loc P.Tea TS-RE Mango Rcg</v>
          </cell>
          <cell r="D94" t="str">
            <v>TEH SISRI REGULAR</v>
          </cell>
          <cell r="E94" t="str">
            <v>BEVERAGE 2</v>
          </cell>
          <cell r="F94" t="str">
            <v>CB</v>
          </cell>
          <cell r="G94">
            <v>720</v>
          </cell>
          <cell r="H94" t="str">
            <v>BAG</v>
          </cell>
          <cell r="I94">
            <v>120</v>
          </cell>
          <cell r="J94" t="str">
            <v>RCG</v>
          </cell>
          <cell r="K94">
            <v>10</v>
          </cell>
          <cell r="L94" t="str">
            <v>PCS</v>
          </cell>
          <cell r="M94">
            <v>1</v>
          </cell>
          <cell r="N94">
            <v>6</v>
          </cell>
          <cell r="O94">
            <v>72</v>
          </cell>
          <cell r="P94">
            <v>720</v>
          </cell>
          <cell r="Q94">
            <v>182160</v>
          </cell>
          <cell r="R94">
            <v>198720</v>
          </cell>
          <cell r="S94">
            <v>237600</v>
          </cell>
          <cell r="T94">
            <v>198720</v>
          </cell>
          <cell r="U94" t="str">
            <v>AKTIF</v>
          </cell>
          <cell r="V94">
            <v>253</v>
          </cell>
          <cell r="W94">
            <v>276</v>
          </cell>
          <cell r="X94">
            <v>330</v>
          </cell>
        </row>
        <row r="95">
          <cell r="A95" t="str">
            <v>F1A.ACTSAOB.01</v>
          </cell>
          <cell r="B95" t="str">
            <v>THE SISRI FRUTEAZ STRAWBERRY</v>
          </cell>
          <cell r="C95" t="str">
            <v>F Loc P.Tea TS-RE Strawberry Rcg</v>
          </cell>
          <cell r="D95" t="str">
            <v>TEH SISRI REGULAR</v>
          </cell>
          <cell r="E95" t="str">
            <v>BEVERAGE 2</v>
          </cell>
          <cell r="F95" t="str">
            <v>CB</v>
          </cell>
          <cell r="G95">
            <v>720</v>
          </cell>
          <cell r="H95" t="str">
            <v>BAG</v>
          </cell>
          <cell r="I95">
            <v>120</v>
          </cell>
          <cell r="J95" t="str">
            <v>RCG</v>
          </cell>
          <cell r="K95">
            <v>10</v>
          </cell>
          <cell r="L95" t="str">
            <v>PCS</v>
          </cell>
          <cell r="M95">
            <v>1</v>
          </cell>
          <cell r="N95">
            <v>6</v>
          </cell>
          <cell r="O95">
            <v>72</v>
          </cell>
          <cell r="P95">
            <v>720</v>
          </cell>
          <cell r="Q95">
            <v>182160</v>
          </cell>
          <cell r="R95">
            <v>198720</v>
          </cell>
          <cell r="S95">
            <v>237600</v>
          </cell>
          <cell r="T95">
            <v>198720</v>
          </cell>
          <cell r="U95" t="str">
            <v>AKTIF</v>
          </cell>
          <cell r="V95">
            <v>253</v>
          </cell>
          <cell r="W95">
            <v>276</v>
          </cell>
          <cell r="X95">
            <v>330</v>
          </cell>
        </row>
        <row r="96">
          <cell r="A96" t="str">
            <v>F1A.ACTSAOT.01</v>
          </cell>
          <cell r="B96" t="str">
            <v>TEH SISRI FRUTEAZ GUMMY BERRY</v>
          </cell>
          <cell r="C96" t="str">
            <v>F Loc P.Tea TS-RE Gummy Berry Rcg</v>
          </cell>
          <cell r="D96" t="str">
            <v>TEH SISRI REGULAR</v>
          </cell>
          <cell r="E96" t="str">
            <v>BEVERAGE 2</v>
          </cell>
          <cell r="F96" t="str">
            <v>CB</v>
          </cell>
          <cell r="G96">
            <v>720</v>
          </cell>
          <cell r="H96" t="str">
            <v>BAG</v>
          </cell>
          <cell r="I96">
            <v>120</v>
          </cell>
          <cell r="J96" t="str">
            <v>RCG</v>
          </cell>
          <cell r="K96">
            <v>10</v>
          </cell>
          <cell r="L96" t="str">
            <v>PCS</v>
          </cell>
          <cell r="M96">
            <v>1</v>
          </cell>
          <cell r="N96">
            <v>6</v>
          </cell>
          <cell r="O96">
            <v>72</v>
          </cell>
          <cell r="P96">
            <v>720</v>
          </cell>
          <cell r="Q96">
            <v>182160</v>
          </cell>
          <cell r="R96">
            <v>198720</v>
          </cell>
          <cell r="S96">
            <v>237600</v>
          </cell>
          <cell r="T96">
            <v>198720</v>
          </cell>
          <cell r="U96" t="str">
            <v>AKTIF</v>
          </cell>
          <cell r="V96">
            <v>253</v>
          </cell>
          <cell r="W96">
            <v>276</v>
          </cell>
          <cell r="X96">
            <v>330</v>
          </cell>
        </row>
        <row r="97">
          <cell r="A97" t="str">
            <v>F1A.ACTSAXB.01</v>
          </cell>
          <cell r="B97" t="str">
            <v>TEH SISRI GULA BATU RENCENG</v>
          </cell>
          <cell r="C97" t="str">
            <v>F Loc P.Tea TS-RE Gula Batu Rcg</v>
          </cell>
          <cell r="D97" t="str">
            <v>TEH SISRI REGULAR</v>
          </cell>
          <cell r="E97" t="str">
            <v>BEVERAGE 2</v>
          </cell>
          <cell r="F97" t="str">
            <v>CB</v>
          </cell>
          <cell r="G97">
            <v>720</v>
          </cell>
          <cell r="H97" t="str">
            <v>BAG</v>
          </cell>
          <cell r="I97">
            <v>120</v>
          </cell>
          <cell r="J97" t="str">
            <v>RCG</v>
          </cell>
          <cell r="K97">
            <v>10</v>
          </cell>
          <cell r="L97" t="str">
            <v>PCS</v>
          </cell>
          <cell r="M97">
            <v>1</v>
          </cell>
          <cell r="N97">
            <v>6</v>
          </cell>
          <cell r="O97">
            <v>72</v>
          </cell>
          <cell r="P97">
            <v>720</v>
          </cell>
          <cell r="Q97">
            <v>182160</v>
          </cell>
          <cell r="R97">
            <v>198720</v>
          </cell>
          <cell r="S97">
            <v>237600</v>
          </cell>
          <cell r="T97">
            <v>198720</v>
          </cell>
          <cell r="U97" t="str">
            <v>AKTIF</v>
          </cell>
          <cell r="V97">
            <v>253</v>
          </cell>
          <cell r="W97">
            <v>276</v>
          </cell>
          <cell r="X97">
            <v>330</v>
          </cell>
        </row>
        <row r="98">
          <cell r="A98" t="str">
            <v>F1A.ACTSAXD.01</v>
          </cell>
          <cell r="B98" t="str">
            <v>TEH SISRI ORIGINAL RENCENG</v>
          </cell>
          <cell r="C98" t="str">
            <v>F Loc P.Tea TS-RE Original Rcg</v>
          </cell>
          <cell r="D98" t="str">
            <v>TEH SISRI REGULAR</v>
          </cell>
          <cell r="E98" t="str">
            <v>BEVERAGE 2</v>
          </cell>
          <cell r="F98" t="str">
            <v>CB</v>
          </cell>
          <cell r="G98">
            <v>720</v>
          </cell>
          <cell r="H98" t="str">
            <v>BAG</v>
          </cell>
          <cell r="I98">
            <v>120</v>
          </cell>
          <cell r="J98" t="str">
            <v>RCG</v>
          </cell>
          <cell r="K98">
            <v>10</v>
          </cell>
          <cell r="L98" t="str">
            <v>PCS</v>
          </cell>
          <cell r="M98">
            <v>1</v>
          </cell>
          <cell r="N98">
            <v>6</v>
          </cell>
          <cell r="O98">
            <v>72</v>
          </cell>
          <cell r="P98">
            <v>720</v>
          </cell>
          <cell r="Q98">
            <v>182160</v>
          </cell>
          <cell r="R98">
            <v>198720</v>
          </cell>
          <cell r="S98">
            <v>237600</v>
          </cell>
          <cell r="T98">
            <v>198720</v>
          </cell>
          <cell r="U98" t="str">
            <v>AKTIF</v>
          </cell>
          <cell r="V98">
            <v>253</v>
          </cell>
          <cell r="W98">
            <v>276</v>
          </cell>
          <cell r="X98">
            <v>330</v>
          </cell>
        </row>
        <row r="99">
          <cell r="A99" t="str">
            <v>F1A.ACTJSTA.02</v>
          </cell>
          <cell r="B99" t="str">
            <v>TEH TJAP SOLO GREEN TEA 35GR RENCENG</v>
          </cell>
          <cell r="C99" t="str">
            <v>F Loc P.Tea TJ-SO Green Tea B.35</v>
          </cell>
          <cell r="D99" t="str">
            <v>TEH TJAP SOLO</v>
          </cell>
          <cell r="E99" t="str">
            <v>BEVERAGE 2</v>
          </cell>
          <cell r="F99" t="str">
            <v>CB</v>
          </cell>
          <cell r="G99">
            <v>150</v>
          </cell>
          <cell r="H99" t="str">
            <v>BAG</v>
          </cell>
          <cell r="I99">
            <v>30</v>
          </cell>
          <cell r="J99" t="str">
            <v>RCG</v>
          </cell>
          <cell r="K99">
            <v>10</v>
          </cell>
          <cell r="L99" t="str">
            <v>PCS</v>
          </cell>
          <cell r="M99">
            <v>1</v>
          </cell>
          <cell r="N99">
            <v>5</v>
          </cell>
          <cell r="O99">
            <v>15</v>
          </cell>
          <cell r="P99">
            <v>150</v>
          </cell>
          <cell r="Q99">
            <v>136010</v>
          </cell>
          <cell r="R99">
            <v>148250</v>
          </cell>
          <cell r="S99">
            <v>178220</v>
          </cell>
          <cell r="T99">
            <v>148250</v>
          </cell>
          <cell r="U99" t="str">
            <v>AKTIF</v>
          </cell>
          <cell r="V99">
            <v>906.73333333333335</v>
          </cell>
          <cell r="W99">
            <v>988.33333333333337</v>
          </cell>
          <cell r="X99">
            <v>1188.1333333333334</v>
          </cell>
        </row>
        <row r="100">
          <cell r="A100" t="str">
            <v>F1A.ABTIACA.01</v>
          </cell>
          <cell r="B100" t="str">
            <v>TOP ICE CHOCOLATE RENCENG</v>
          </cell>
          <cell r="C100" t="str">
            <v>F Loc P.Mlk TI-RE Chocolate Rcg</v>
          </cell>
          <cell r="D100" t="str">
            <v>TOP ICE REGULAR</v>
          </cell>
          <cell r="E100" t="str">
            <v>BEVERAGE 2</v>
          </cell>
          <cell r="F100" t="str">
            <v>CB</v>
          </cell>
          <cell r="G100">
            <v>720</v>
          </cell>
          <cell r="H100" t="str">
            <v>BAG</v>
          </cell>
          <cell r="I100">
            <v>120</v>
          </cell>
          <cell r="J100" t="str">
            <v>RCG</v>
          </cell>
          <cell r="K100">
            <v>10</v>
          </cell>
          <cell r="L100" t="str">
            <v>PCS</v>
          </cell>
          <cell r="M100">
            <v>1</v>
          </cell>
          <cell r="N100">
            <v>6</v>
          </cell>
          <cell r="O100">
            <v>72</v>
          </cell>
          <cell r="P100">
            <v>720</v>
          </cell>
          <cell r="Q100">
            <v>180453</v>
          </cell>
          <cell r="R100">
            <v>197235</v>
          </cell>
          <cell r="S100">
            <v>231750</v>
          </cell>
          <cell r="T100">
            <v>197235</v>
          </cell>
          <cell r="U100" t="str">
            <v>AKTIF</v>
          </cell>
          <cell r="V100">
            <v>250.62916666666666</v>
          </cell>
          <cell r="W100">
            <v>273.9375</v>
          </cell>
          <cell r="X100">
            <v>321.875</v>
          </cell>
        </row>
        <row r="101">
          <cell r="A101" t="str">
            <v>F1A.ABTIACB.01</v>
          </cell>
          <cell r="B101" t="str">
            <v>TOP ICE CHOCO BISCUIT RENCENG</v>
          </cell>
          <cell r="C101" t="str">
            <v>F Loc P.Mlk TI-RE Choco Biscuit Rcg</v>
          </cell>
          <cell r="D101" t="str">
            <v>TOP ICE REGULAR</v>
          </cell>
          <cell r="E101" t="str">
            <v>BEVERAGE 2</v>
          </cell>
          <cell r="F101" t="str">
            <v>CB</v>
          </cell>
          <cell r="G101">
            <v>720</v>
          </cell>
          <cell r="H101" t="str">
            <v>BAG</v>
          </cell>
          <cell r="I101">
            <v>120</v>
          </cell>
          <cell r="J101" t="str">
            <v>RCG</v>
          </cell>
          <cell r="K101">
            <v>10</v>
          </cell>
          <cell r="L101" t="str">
            <v>PCS</v>
          </cell>
          <cell r="M101">
            <v>1</v>
          </cell>
          <cell r="N101">
            <v>6</v>
          </cell>
          <cell r="O101">
            <v>72</v>
          </cell>
          <cell r="P101">
            <v>720</v>
          </cell>
          <cell r="Q101">
            <v>180453</v>
          </cell>
          <cell r="R101">
            <v>197235</v>
          </cell>
          <cell r="S101">
            <v>231750</v>
          </cell>
          <cell r="T101">
            <v>197235</v>
          </cell>
          <cell r="U101" t="str">
            <v>AKTIF</v>
          </cell>
          <cell r="V101">
            <v>250.62916666666666</v>
          </cell>
          <cell r="W101">
            <v>273.9375</v>
          </cell>
          <cell r="X101">
            <v>321.875</v>
          </cell>
        </row>
        <row r="102">
          <cell r="A102" t="str">
            <v>F1A.ABTIACF.01</v>
          </cell>
          <cell r="B102" t="str">
            <v>TOP ICE CAPPUCINO RENCENG</v>
          </cell>
          <cell r="C102" t="str">
            <v>F Loc P.Mlk TI-RE Cappucino Rcg</v>
          </cell>
          <cell r="D102" t="str">
            <v>TOP ICE REGULAR</v>
          </cell>
          <cell r="E102" t="str">
            <v>BEVERAGE 2</v>
          </cell>
          <cell r="F102" t="str">
            <v>CB</v>
          </cell>
          <cell r="G102">
            <v>720</v>
          </cell>
          <cell r="H102" t="str">
            <v>BAG</v>
          </cell>
          <cell r="I102">
            <v>120</v>
          </cell>
          <cell r="J102" t="str">
            <v>RCG</v>
          </cell>
          <cell r="K102">
            <v>10</v>
          </cell>
          <cell r="L102" t="str">
            <v>PCS</v>
          </cell>
          <cell r="M102">
            <v>1</v>
          </cell>
          <cell r="N102">
            <v>6</v>
          </cell>
          <cell r="O102">
            <v>72</v>
          </cell>
          <cell r="P102">
            <v>720</v>
          </cell>
          <cell r="Q102">
            <v>180453</v>
          </cell>
          <cell r="R102">
            <v>197235</v>
          </cell>
          <cell r="S102">
            <v>231750</v>
          </cell>
          <cell r="T102">
            <v>197235</v>
          </cell>
          <cell r="U102" t="str">
            <v>AKTIF</v>
          </cell>
          <cell r="V102">
            <v>250.62916666666666</v>
          </cell>
          <cell r="W102">
            <v>273.9375</v>
          </cell>
          <cell r="X102">
            <v>321.875</v>
          </cell>
        </row>
        <row r="103">
          <cell r="A103" t="str">
            <v>F1A.ABTIACO.01</v>
          </cell>
          <cell r="B103" t="str">
            <v>TOP ICE CHOCO ICE RENCENG</v>
          </cell>
          <cell r="C103" t="str">
            <v>F Loc P.Mlk TI-RE Choco Ice Rcg</v>
          </cell>
          <cell r="D103" t="str">
            <v>TOP ICE REGULAR</v>
          </cell>
          <cell r="E103" t="str">
            <v>BEVERAGE 2</v>
          </cell>
          <cell r="F103" t="str">
            <v>CB</v>
          </cell>
          <cell r="G103">
            <v>720</v>
          </cell>
          <cell r="H103" t="str">
            <v>BAG</v>
          </cell>
          <cell r="I103">
            <v>120</v>
          </cell>
          <cell r="J103" t="str">
            <v>RCG</v>
          </cell>
          <cell r="K103">
            <v>10</v>
          </cell>
          <cell r="L103" t="str">
            <v>PCS</v>
          </cell>
          <cell r="M103">
            <v>1</v>
          </cell>
          <cell r="N103">
            <v>6</v>
          </cell>
          <cell r="O103">
            <v>72</v>
          </cell>
          <cell r="P103">
            <v>720</v>
          </cell>
          <cell r="Q103">
            <v>180453</v>
          </cell>
          <cell r="R103">
            <v>197235</v>
          </cell>
          <cell r="S103">
            <v>231750</v>
          </cell>
          <cell r="T103">
            <v>197235</v>
          </cell>
          <cell r="U103" t="str">
            <v>AKTIF</v>
          </cell>
          <cell r="V103">
            <v>250.62916666666666</v>
          </cell>
          <cell r="W103">
            <v>273.9375</v>
          </cell>
          <cell r="X103">
            <v>321.875</v>
          </cell>
        </row>
        <row r="104">
          <cell r="A104" t="str">
            <v>F1A.ABTIACQ.01</v>
          </cell>
          <cell r="B104" t="str">
            <v>TOP ICE CHOCO CHEESE RENCENG</v>
          </cell>
          <cell r="C104" t="str">
            <v>F Loc P.Mlk TI-RE Choco Cheese Rcg</v>
          </cell>
          <cell r="D104" t="str">
            <v>TOP ICE REGULAR</v>
          </cell>
          <cell r="E104" t="str">
            <v>BEVERAGE 2</v>
          </cell>
          <cell r="F104" t="str">
            <v>CB</v>
          </cell>
          <cell r="G104">
            <v>720</v>
          </cell>
          <cell r="H104" t="str">
            <v>BAG</v>
          </cell>
          <cell r="I104">
            <v>120</v>
          </cell>
          <cell r="J104" t="str">
            <v>RCG</v>
          </cell>
          <cell r="K104">
            <v>10</v>
          </cell>
          <cell r="L104" t="str">
            <v>PCS</v>
          </cell>
          <cell r="M104">
            <v>1</v>
          </cell>
          <cell r="N104">
            <v>6</v>
          </cell>
          <cell r="O104">
            <v>72</v>
          </cell>
          <cell r="P104">
            <v>720</v>
          </cell>
          <cell r="Q104">
            <v>180453</v>
          </cell>
          <cell r="R104">
            <v>197235</v>
          </cell>
          <cell r="S104">
            <v>231750</v>
          </cell>
          <cell r="T104">
            <v>197235</v>
          </cell>
          <cell r="U104" t="str">
            <v>AKTIF</v>
          </cell>
          <cell r="V104">
            <v>250.62916666666666</v>
          </cell>
          <cell r="W104">
            <v>273.9375</v>
          </cell>
          <cell r="X104">
            <v>321.875</v>
          </cell>
        </row>
        <row r="105">
          <cell r="A105" t="str">
            <v>F1A.ABTIACT.01</v>
          </cell>
          <cell r="B105" t="str">
            <v>TOP ICE CHOCO CARAMEL RENCENG</v>
          </cell>
          <cell r="C105" t="str">
            <v>F Loc P.Mlk TI-RE Choco Caramel Rcg</v>
          </cell>
          <cell r="D105" t="str">
            <v>TOP ICE REGULAR</v>
          </cell>
          <cell r="E105" t="str">
            <v>BEVERAGE 2</v>
          </cell>
          <cell r="F105" t="str">
            <v>CB</v>
          </cell>
          <cell r="G105">
            <v>720</v>
          </cell>
          <cell r="H105" t="str">
            <v>BAG</v>
          </cell>
          <cell r="I105">
            <v>120</v>
          </cell>
          <cell r="J105" t="str">
            <v>RCG</v>
          </cell>
          <cell r="K105">
            <v>10</v>
          </cell>
          <cell r="L105" t="str">
            <v>PCS</v>
          </cell>
          <cell r="M105">
            <v>1</v>
          </cell>
          <cell r="N105">
            <v>6</v>
          </cell>
          <cell r="O105">
            <v>72</v>
          </cell>
          <cell r="P105">
            <v>720</v>
          </cell>
          <cell r="Q105">
            <v>180453</v>
          </cell>
          <cell r="R105">
            <v>197235</v>
          </cell>
          <cell r="S105">
            <v>231750</v>
          </cell>
          <cell r="T105">
            <v>197235</v>
          </cell>
          <cell r="U105" t="str">
            <v>AKTIF</v>
          </cell>
          <cell r="V105">
            <v>250.62916666666666</v>
          </cell>
          <cell r="W105">
            <v>273.9375</v>
          </cell>
          <cell r="X105">
            <v>321.875</v>
          </cell>
        </row>
        <row r="106">
          <cell r="A106" t="str">
            <v>F1A.ABTIACU.01</v>
          </cell>
          <cell r="B106" t="str">
            <v>TOP ICE CHOCO WAFER RENCENG</v>
          </cell>
          <cell r="C106" t="str">
            <v>F Loc P.Mlk TI-RE Choco Wafer Rcg</v>
          </cell>
          <cell r="D106" t="str">
            <v>TOP ICE REGULAR</v>
          </cell>
          <cell r="E106" t="str">
            <v>BEVERAGE 2</v>
          </cell>
          <cell r="F106" t="str">
            <v>CB</v>
          </cell>
          <cell r="G106">
            <v>720</v>
          </cell>
          <cell r="H106" t="str">
            <v>BAG</v>
          </cell>
          <cell r="I106">
            <v>120</v>
          </cell>
          <cell r="J106" t="str">
            <v>RCG</v>
          </cell>
          <cell r="K106">
            <v>10</v>
          </cell>
          <cell r="L106" t="str">
            <v>PCS</v>
          </cell>
          <cell r="M106">
            <v>1</v>
          </cell>
          <cell r="N106">
            <v>6</v>
          </cell>
          <cell r="O106">
            <v>72</v>
          </cell>
          <cell r="P106">
            <v>720</v>
          </cell>
          <cell r="Q106">
            <v>180453</v>
          </cell>
          <cell r="R106">
            <v>197235</v>
          </cell>
          <cell r="S106">
            <v>231750</v>
          </cell>
          <cell r="T106">
            <v>197235</v>
          </cell>
          <cell r="U106" t="str">
            <v>AKTIF</v>
          </cell>
          <cell r="V106">
            <v>250.62916666666666</v>
          </cell>
          <cell r="W106">
            <v>273.9375</v>
          </cell>
          <cell r="X106">
            <v>321.875</v>
          </cell>
        </row>
        <row r="107">
          <cell r="A107" t="str">
            <v>F1A.ABTIACX.01</v>
          </cell>
          <cell r="B107" t="str">
            <v>TOP ICE MOMORIO RENCENG</v>
          </cell>
          <cell r="C107" t="str">
            <v>F Loc P.Mlk TI-RE Momorio Choco Rcg</v>
          </cell>
          <cell r="D107" t="str">
            <v>TOP ICE REGULAR</v>
          </cell>
          <cell r="E107" t="str">
            <v>BEVERAGE 2</v>
          </cell>
          <cell r="F107" t="str">
            <v>CB</v>
          </cell>
          <cell r="G107">
            <v>720</v>
          </cell>
          <cell r="H107" t="str">
            <v>BAG</v>
          </cell>
          <cell r="I107">
            <v>120</v>
          </cell>
          <cell r="J107" t="str">
            <v>RCG</v>
          </cell>
          <cell r="K107">
            <v>10</v>
          </cell>
          <cell r="L107" t="str">
            <v>PCS</v>
          </cell>
          <cell r="M107">
            <v>1</v>
          </cell>
          <cell r="N107">
            <v>6</v>
          </cell>
          <cell r="O107">
            <v>72</v>
          </cell>
          <cell r="P107">
            <v>720</v>
          </cell>
          <cell r="Q107">
            <v>180453</v>
          </cell>
          <cell r="R107">
            <v>197235</v>
          </cell>
          <cell r="S107">
            <v>231750</v>
          </cell>
          <cell r="T107">
            <v>197235</v>
          </cell>
          <cell r="U107" t="str">
            <v>AKTIF</v>
          </cell>
          <cell r="V107">
            <v>250.62916666666666</v>
          </cell>
          <cell r="W107">
            <v>273.9375</v>
          </cell>
          <cell r="X107">
            <v>321.875</v>
          </cell>
        </row>
        <row r="108">
          <cell r="A108" t="str">
            <v>F1A.ABTIADD.01</v>
          </cell>
          <cell r="B108" t="str">
            <v>TOP ICE TARO RENCENG</v>
          </cell>
          <cell r="C108" t="str">
            <v>F Loc P.Mlk TI-RE Taro Rcg</v>
          </cell>
          <cell r="D108" t="str">
            <v>TOP ICE REGULAR</v>
          </cell>
          <cell r="E108" t="str">
            <v>BEVERAGE 2</v>
          </cell>
          <cell r="F108" t="str">
            <v>CB</v>
          </cell>
          <cell r="G108">
            <v>720</v>
          </cell>
          <cell r="H108" t="str">
            <v>BAG</v>
          </cell>
          <cell r="I108">
            <v>120</v>
          </cell>
          <cell r="J108" t="str">
            <v>RCG</v>
          </cell>
          <cell r="K108">
            <v>10</v>
          </cell>
          <cell r="L108" t="str">
            <v>PCS</v>
          </cell>
          <cell r="M108">
            <v>1</v>
          </cell>
          <cell r="N108">
            <v>6</v>
          </cell>
          <cell r="O108">
            <v>72</v>
          </cell>
          <cell r="P108">
            <v>720</v>
          </cell>
          <cell r="Q108">
            <v>180453</v>
          </cell>
          <cell r="R108">
            <v>197235</v>
          </cell>
          <cell r="S108">
            <v>231750</v>
          </cell>
          <cell r="T108">
            <v>197235</v>
          </cell>
          <cell r="U108" t="str">
            <v>AKTIF</v>
          </cell>
          <cell r="V108">
            <v>250.62916666666666</v>
          </cell>
          <cell r="W108">
            <v>273.9375</v>
          </cell>
          <cell r="X108">
            <v>321.875</v>
          </cell>
        </row>
        <row r="109">
          <cell r="A109" t="str">
            <v>F1A.ABTIADE.01</v>
          </cell>
          <cell r="B109" t="str">
            <v>TOP ICE VANILLA RENCENG</v>
          </cell>
          <cell r="C109" t="str">
            <v>F Loc P.Mlk TI-RE Vanilla Rcg</v>
          </cell>
          <cell r="D109" t="str">
            <v>TOP ICE REGULAR</v>
          </cell>
          <cell r="E109" t="str">
            <v>BEVERAGE 2</v>
          </cell>
          <cell r="F109" t="str">
            <v>CB</v>
          </cell>
          <cell r="G109">
            <v>720</v>
          </cell>
          <cell r="H109" t="str">
            <v>BAG</v>
          </cell>
          <cell r="I109">
            <v>120</v>
          </cell>
          <cell r="J109" t="str">
            <v>RCG</v>
          </cell>
          <cell r="K109">
            <v>10</v>
          </cell>
          <cell r="L109" t="str">
            <v>PCS</v>
          </cell>
          <cell r="M109">
            <v>1</v>
          </cell>
          <cell r="N109">
            <v>6</v>
          </cell>
          <cell r="O109">
            <v>72</v>
          </cell>
          <cell r="P109">
            <v>720</v>
          </cell>
          <cell r="Q109">
            <v>180453</v>
          </cell>
          <cell r="R109">
            <v>197235</v>
          </cell>
          <cell r="S109">
            <v>231750</v>
          </cell>
          <cell r="T109">
            <v>197235</v>
          </cell>
          <cell r="U109" t="str">
            <v>AKTIF</v>
          </cell>
          <cell r="V109">
            <v>250.62916666666666</v>
          </cell>
          <cell r="W109">
            <v>273.9375</v>
          </cell>
          <cell r="X109">
            <v>321.875</v>
          </cell>
        </row>
        <row r="110">
          <cell r="A110" t="str">
            <v>F1A.ABTIADF.01</v>
          </cell>
          <cell r="B110" t="str">
            <v>TOP ICE VANILLA LATTE RENCENG</v>
          </cell>
          <cell r="C110" t="str">
            <v>F Loc P.Mlk TI-RE Van Latte Rcg</v>
          </cell>
          <cell r="D110" t="str">
            <v>TOP ICE REGULAR</v>
          </cell>
          <cell r="E110" t="str">
            <v>BEVERAGE 2</v>
          </cell>
          <cell r="F110" t="str">
            <v>CB</v>
          </cell>
          <cell r="G110">
            <v>720</v>
          </cell>
          <cell r="H110" t="str">
            <v>BAG</v>
          </cell>
          <cell r="I110">
            <v>120</v>
          </cell>
          <cell r="J110" t="str">
            <v>RCG</v>
          </cell>
          <cell r="K110">
            <v>10</v>
          </cell>
          <cell r="L110" t="str">
            <v>PCS</v>
          </cell>
          <cell r="M110">
            <v>1</v>
          </cell>
          <cell r="N110">
            <v>6</v>
          </cell>
          <cell r="O110">
            <v>72</v>
          </cell>
          <cell r="P110">
            <v>720</v>
          </cell>
          <cell r="Q110">
            <v>180453</v>
          </cell>
          <cell r="R110">
            <v>197235</v>
          </cell>
          <cell r="S110">
            <v>231750</v>
          </cell>
          <cell r="T110">
            <v>197235</v>
          </cell>
          <cell r="U110" t="str">
            <v>AKTIF</v>
          </cell>
          <cell r="V110">
            <v>250.62916666666666</v>
          </cell>
          <cell r="W110">
            <v>273.9375</v>
          </cell>
          <cell r="X110">
            <v>321.875</v>
          </cell>
        </row>
        <row r="111">
          <cell r="A111" t="str">
            <v>F1A.ABTIADH.01</v>
          </cell>
          <cell r="B111" t="str">
            <v>TOP ICE VANILLA BLUE RENCENG</v>
          </cell>
          <cell r="C111" t="str">
            <v>F Loc P.Mlk TI-RE Van Blue Rcg</v>
          </cell>
          <cell r="D111" t="str">
            <v>TOP ICE REGULAR</v>
          </cell>
          <cell r="E111" t="str">
            <v>BEVERAGE 2</v>
          </cell>
          <cell r="F111" t="str">
            <v>CB</v>
          </cell>
          <cell r="G111">
            <v>720</v>
          </cell>
          <cell r="H111" t="str">
            <v>BAG</v>
          </cell>
          <cell r="I111">
            <v>120</v>
          </cell>
          <cell r="J111" t="str">
            <v>RCG</v>
          </cell>
          <cell r="K111">
            <v>10</v>
          </cell>
          <cell r="L111" t="str">
            <v>PCS</v>
          </cell>
          <cell r="M111">
            <v>1</v>
          </cell>
          <cell r="N111">
            <v>6</v>
          </cell>
          <cell r="O111">
            <v>72</v>
          </cell>
          <cell r="P111">
            <v>720</v>
          </cell>
          <cell r="Q111">
            <v>180453</v>
          </cell>
          <cell r="R111">
            <v>197235</v>
          </cell>
          <cell r="S111">
            <v>231750</v>
          </cell>
          <cell r="T111">
            <v>197235</v>
          </cell>
          <cell r="U111" t="str">
            <v>AKTIF</v>
          </cell>
          <cell r="V111">
            <v>250.62916666666666</v>
          </cell>
          <cell r="W111">
            <v>273.9375</v>
          </cell>
          <cell r="X111">
            <v>321.875</v>
          </cell>
        </row>
        <row r="112">
          <cell r="A112" t="str">
            <v>F1A.ABTIADM.01</v>
          </cell>
          <cell r="B112" t="str">
            <v>TOP ICE WAFER KEJU RENCENG</v>
          </cell>
          <cell r="C112" t="str">
            <v>F Loc P.Mlk TI-RE Wafer Keju Rcg</v>
          </cell>
          <cell r="D112" t="str">
            <v>TOP ICE REGULAR</v>
          </cell>
          <cell r="E112" t="str">
            <v>BEVERAGE 2</v>
          </cell>
          <cell r="F112" t="str">
            <v>CB</v>
          </cell>
          <cell r="G112">
            <v>720</v>
          </cell>
          <cell r="H112" t="str">
            <v>BAG</v>
          </cell>
          <cell r="I112">
            <v>120</v>
          </cell>
          <cell r="J112" t="str">
            <v>RCG</v>
          </cell>
          <cell r="K112">
            <v>10</v>
          </cell>
          <cell r="L112" t="str">
            <v>PCS</v>
          </cell>
          <cell r="M112">
            <v>1</v>
          </cell>
          <cell r="N112">
            <v>6</v>
          </cell>
          <cell r="O112">
            <v>72</v>
          </cell>
          <cell r="P112">
            <v>720</v>
          </cell>
          <cell r="Q112">
            <v>180453</v>
          </cell>
          <cell r="R112">
            <v>197235</v>
          </cell>
          <cell r="S112">
            <v>231750</v>
          </cell>
          <cell r="T112">
            <v>197235</v>
          </cell>
          <cell r="U112" t="str">
            <v>AKTIF</v>
          </cell>
          <cell r="V112">
            <v>250.62916666666666</v>
          </cell>
          <cell r="W112">
            <v>273.9375</v>
          </cell>
          <cell r="X112">
            <v>321.875</v>
          </cell>
        </row>
        <row r="113">
          <cell r="A113" t="str">
            <v>F1A.ABTIADN.01</v>
          </cell>
          <cell r="B113" t="str">
            <v>TOP ICE MALKIST KEJU RENCENG</v>
          </cell>
          <cell r="C113" t="str">
            <v>F Loc P.Mlk TI-RE Malkist Keju Rcg</v>
          </cell>
          <cell r="D113" t="str">
            <v>TOP ICE REGULAR</v>
          </cell>
          <cell r="E113" t="str">
            <v>BEVERAGE 2</v>
          </cell>
          <cell r="F113" t="str">
            <v>CB</v>
          </cell>
          <cell r="G113">
            <v>720</v>
          </cell>
          <cell r="H113" t="str">
            <v>BAG</v>
          </cell>
          <cell r="I113">
            <v>120</v>
          </cell>
          <cell r="J113" t="str">
            <v>RCG</v>
          </cell>
          <cell r="K113">
            <v>10</v>
          </cell>
          <cell r="L113" t="str">
            <v>PCS</v>
          </cell>
          <cell r="M113">
            <v>1</v>
          </cell>
          <cell r="N113">
            <v>6</v>
          </cell>
          <cell r="O113">
            <v>72</v>
          </cell>
          <cell r="P113">
            <v>720</v>
          </cell>
          <cell r="Q113">
            <v>180453</v>
          </cell>
          <cell r="R113">
            <v>197235</v>
          </cell>
          <cell r="S113">
            <v>231750</v>
          </cell>
          <cell r="T113">
            <v>197235</v>
          </cell>
          <cell r="U113" t="str">
            <v>AKTIF</v>
          </cell>
          <cell r="V113">
            <v>250.62916666666666</v>
          </cell>
          <cell r="W113">
            <v>273.9375</v>
          </cell>
          <cell r="X113">
            <v>321.875</v>
          </cell>
        </row>
        <row r="114">
          <cell r="A114" t="str">
            <v>F1A.ABTIAFC.01</v>
          </cell>
          <cell r="B114" t="str">
            <v>TOP ICE BUBBLE GUM RENCENG</v>
          </cell>
          <cell r="C114" t="str">
            <v>F Loc P.Mlk TI-RE Gummy Rcg</v>
          </cell>
          <cell r="D114" t="str">
            <v>TOP ICE REGULAR</v>
          </cell>
          <cell r="E114" t="str">
            <v>BEVERAGE 2</v>
          </cell>
          <cell r="F114" t="str">
            <v>CB</v>
          </cell>
          <cell r="G114">
            <v>720</v>
          </cell>
          <cell r="H114" t="str">
            <v>BAG</v>
          </cell>
          <cell r="I114">
            <v>120</v>
          </cell>
          <cell r="J114" t="str">
            <v>RCG</v>
          </cell>
          <cell r="K114">
            <v>10</v>
          </cell>
          <cell r="L114" t="str">
            <v>PCS</v>
          </cell>
          <cell r="M114">
            <v>1</v>
          </cell>
          <cell r="N114">
            <v>6</v>
          </cell>
          <cell r="O114">
            <v>72</v>
          </cell>
          <cell r="P114">
            <v>720</v>
          </cell>
          <cell r="Q114">
            <v>180453</v>
          </cell>
          <cell r="R114">
            <v>197235</v>
          </cell>
          <cell r="S114">
            <v>231750</v>
          </cell>
          <cell r="T114">
            <v>197235</v>
          </cell>
          <cell r="U114" t="str">
            <v>AKTIF</v>
          </cell>
          <cell r="V114">
            <v>250.62916666666666</v>
          </cell>
          <cell r="W114">
            <v>273.9375</v>
          </cell>
          <cell r="X114">
            <v>321.875</v>
          </cell>
        </row>
        <row r="115">
          <cell r="A115" t="str">
            <v>F1A.ABTIAHD.01</v>
          </cell>
          <cell r="B115" t="str">
            <v>TOP ICE KACANG HIJAU RENCENG</v>
          </cell>
          <cell r="C115" t="str">
            <v>F Loc P.Mlk TI-RE Mung Bean Rcg</v>
          </cell>
          <cell r="D115" t="str">
            <v>TOP ICE REGULAR</v>
          </cell>
          <cell r="E115" t="str">
            <v>BEVERAGE 2</v>
          </cell>
          <cell r="F115" t="str">
            <v>CB</v>
          </cell>
          <cell r="G115">
            <v>720</v>
          </cell>
          <cell r="H115" t="str">
            <v>BAG</v>
          </cell>
          <cell r="I115">
            <v>120</v>
          </cell>
          <cell r="J115" t="str">
            <v>RCG</v>
          </cell>
          <cell r="K115">
            <v>10</v>
          </cell>
          <cell r="L115" t="str">
            <v>PCS</v>
          </cell>
          <cell r="M115">
            <v>1</v>
          </cell>
          <cell r="N115">
            <v>6</v>
          </cell>
          <cell r="O115">
            <v>72</v>
          </cell>
          <cell r="P115">
            <v>720</v>
          </cell>
          <cell r="Q115">
            <v>180453</v>
          </cell>
          <cell r="R115">
            <v>197235</v>
          </cell>
          <cell r="S115">
            <v>231750</v>
          </cell>
          <cell r="T115">
            <v>197235</v>
          </cell>
          <cell r="U115" t="str">
            <v>AKTIF</v>
          </cell>
          <cell r="V115">
            <v>250.62916666666666</v>
          </cell>
          <cell r="W115">
            <v>273.9375</v>
          </cell>
          <cell r="X115">
            <v>321.875</v>
          </cell>
        </row>
        <row r="116">
          <cell r="A116" t="str">
            <v>F1A.ABTIAKC.01</v>
          </cell>
          <cell r="B116" t="str">
            <v>TOP ICE KOPI MOCCA RENCENG</v>
          </cell>
          <cell r="C116" t="str">
            <v>F Loc P.Mlk TI-RE Coff Mocca Rcg</v>
          </cell>
          <cell r="D116" t="str">
            <v>TOP ICE REGULAR</v>
          </cell>
          <cell r="E116" t="str">
            <v>BEVERAGE 2</v>
          </cell>
          <cell r="F116" t="str">
            <v>CB</v>
          </cell>
          <cell r="G116">
            <v>720</v>
          </cell>
          <cell r="H116" t="str">
            <v>BAG</v>
          </cell>
          <cell r="I116">
            <v>120</v>
          </cell>
          <cell r="J116" t="str">
            <v>RCG</v>
          </cell>
          <cell r="K116">
            <v>10</v>
          </cell>
          <cell r="L116" t="str">
            <v>PCS</v>
          </cell>
          <cell r="M116">
            <v>1</v>
          </cell>
          <cell r="N116">
            <v>6</v>
          </cell>
          <cell r="O116">
            <v>72</v>
          </cell>
          <cell r="P116">
            <v>720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str">
            <v>AKTIF</v>
          </cell>
          <cell r="V116">
            <v>0</v>
          </cell>
          <cell r="W116">
            <v>0</v>
          </cell>
          <cell r="X116">
            <v>0</v>
          </cell>
        </row>
        <row r="117">
          <cell r="A117" t="str">
            <v>F1A.ABTIAKK.01</v>
          </cell>
          <cell r="B117" t="str">
            <v>TOP ICE KOPI GULA AREN RENCENG</v>
          </cell>
          <cell r="C117" t="str">
            <v>F Loc P.Mlk TI-RE Kopi Gula Aren Rcg</v>
          </cell>
          <cell r="D117" t="str">
            <v>TOP ICE REGULAR</v>
          </cell>
          <cell r="E117" t="str">
            <v>BEVERAGE 2</v>
          </cell>
          <cell r="F117" t="str">
            <v>CB</v>
          </cell>
          <cell r="G117">
            <v>720</v>
          </cell>
          <cell r="H117" t="str">
            <v>BAG</v>
          </cell>
          <cell r="I117">
            <v>120</v>
          </cell>
          <cell r="J117" t="str">
            <v>RCG</v>
          </cell>
          <cell r="K117">
            <v>10</v>
          </cell>
          <cell r="L117" t="str">
            <v>PCS</v>
          </cell>
          <cell r="M117">
            <v>1</v>
          </cell>
          <cell r="N117">
            <v>6</v>
          </cell>
          <cell r="O117">
            <v>72</v>
          </cell>
          <cell r="P117">
            <v>720</v>
          </cell>
          <cell r="Q117">
            <v>180453</v>
          </cell>
          <cell r="R117">
            <v>197235</v>
          </cell>
          <cell r="S117">
            <v>231750</v>
          </cell>
          <cell r="T117">
            <v>197235</v>
          </cell>
          <cell r="U117" t="str">
            <v>AKTIF</v>
          </cell>
          <cell r="V117">
            <v>250.62916666666666</v>
          </cell>
          <cell r="W117">
            <v>273.9375</v>
          </cell>
          <cell r="X117">
            <v>321.875</v>
          </cell>
        </row>
        <row r="118">
          <cell r="A118" t="str">
            <v>F1A.ABTIAKL.01</v>
          </cell>
          <cell r="B118" t="str">
            <v>TOP ICE MOCCA FREEZE RENCENG</v>
          </cell>
          <cell r="C118" t="str">
            <v>F Loc P.Mlk TI-RE Mocca Freeze Rcg</v>
          </cell>
          <cell r="D118" t="str">
            <v>TOP ICE REGULAR</v>
          </cell>
          <cell r="E118" t="str">
            <v>BEVERAGE 2</v>
          </cell>
          <cell r="F118" t="str">
            <v>CB</v>
          </cell>
          <cell r="G118">
            <v>720</v>
          </cell>
          <cell r="H118" t="str">
            <v>BAG</v>
          </cell>
          <cell r="I118">
            <v>120</v>
          </cell>
          <cell r="J118" t="str">
            <v>RCG</v>
          </cell>
          <cell r="K118">
            <v>10</v>
          </cell>
          <cell r="L118" t="str">
            <v>PCS</v>
          </cell>
          <cell r="M118">
            <v>1</v>
          </cell>
          <cell r="N118">
            <v>6</v>
          </cell>
          <cell r="O118">
            <v>72</v>
          </cell>
          <cell r="P118">
            <v>720</v>
          </cell>
          <cell r="Q118">
            <v>180453</v>
          </cell>
          <cell r="R118">
            <v>197235</v>
          </cell>
          <cell r="S118">
            <v>231750</v>
          </cell>
          <cell r="T118">
            <v>197235</v>
          </cell>
          <cell r="U118" t="str">
            <v>AKTIF</v>
          </cell>
          <cell r="V118">
            <v>250.62916666666666</v>
          </cell>
          <cell r="W118">
            <v>273.9375</v>
          </cell>
          <cell r="X118">
            <v>321.875</v>
          </cell>
        </row>
        <row r="119">
          <cell r="A119" t="str">
            <v>F1A.ABTIANF.01</v>
          </cell>
          <cell r="B119" t="str">
            <v>TOP ICE BLUEBERRY RENCENG</v>
          </cell>
          <cell r="C119" t="str">
            <v>F Loc P.Mlk TI-RE Blueberry Rcg</v>
          </cell>
          <cell r="D119" t="str">
            <v>TOP ICE REGULAR</v>
          </cell>
          <cell r="E119" t="str">
            <v>BEVERAGE 2</v>
          </cell>
          <cell r="F119" t="str">
            <v>CB</v>
          </cell>
          <cell r="G119">
            <v>720</v>
          </cell>
          <cell r="H119" t="str">
            <v>BAG</v>
          </cell>
          <cell r="I119">
            <v>120</v>
          </cell>
          <cell r="J119" t="str">
            <v>RCG</v>
          </cell>
          <cell r="K119">
            <v>10</v>
          </cell>
          <cell r="L119" t="str">
            <v>PCS</v>
          </cell>
          <cell r="M119">
            <v>1</v>
          </cell>
          <cell r="N119">
            <v>6</v>
          </cell>
          <cell r="O119">
            <v>72</v>
          </cell>
          <cell r="P119">
            <v>720</v>
          </cell>
          <cell r="Q119">
            <v>180453</v>
          </cell>
          <cell r="R119">
            <v>197235</v>
          </cell>
          <cell r="S119">
            <v>231750</v>
          </cell>
          <cell r="T119">
            <v>197235</v>
          </cell>
          <cell r="U119" t="str">
            <v>AKTIF</v>
          </cell>
          <cell r="V119">
            <v>250.62916666666666</v>
          </cell>
          <cell r="W119">
            <v>273.9375</v>
          </cell>
          <cell r="X119">
            <v>321.875</v>
          </cell>
        </row>
        <row r="120">
          <cell r="A120" t="str">
            <v>F1A.ABTIANG.01</v>
          </cell>
          <cell r="B120" t="str">
            <v>TOP ICE DURIAN RENCENG</v>
          </cell>
          <cell r="C120" t="str">
            <v>F Loc P.Mlk TI-RE Durian Rcg</v>
          </cell>
          <cell r="D120" t="str">
            <v>TOP ICE REGULAR</v>
          </cell>
          <cell r="E120" t="str">
            <v>BEVERAGE 2</v>
          </cell>
          <cell r="F120" t="str">
            <v>CB</v>
          </cell>
          <cell r="G120">
            <v>720</v>
          </cell>
          <cell r="H120" t="str">
            <v>BAG</v>
          </cell>
          <cell r="I120">
            <v>120</v>
          </cell>
          <cell r="J120" t="str">
            <v>RCG</v>
          </cell>
          <cell r="K120">
            <v>10</v>
          </cell>
          <cell r="L120" t="str">
            <v>PCS</v>
          </cell>
          <cell r="M120">
            <v>1</v>
          </cell>
          <cell r="N120">
            <v>6</v>
          </cell>
          <cell r="O120">
            <v>72</v>
          </cell>
          <cell r="P120">
            <v>720</v>
          </cell>
          <cell r="Q120">
            <v>180453</v>
          </cell>
          <cell r="R120">
            <v>197235</v>
          </cell>
          <cell r="S120">
            <v>231750</v>
          </cell>
          <cell r="T120">
            <v>197235</v>
          </cell>
          <cell r="U120" t="str">
            <v>AKTIF</v>
          </cell>
          <cell r="V120">
            <v>250.62916666666666</v>
          </cell>
          <cell r="W120">
            <v>273.9375</v>
          </cell>
          <cell r="X120">
            <v>321.875</v>
          </cell>
        </row>
        <row r="121">
          <cell r="A121" t="str">
            <v>F1A.ABTIANI.01</v>
          </cell>
          <cell r="B121" t="str">
            <v>TOP ICE ANGGUR RENCENG</v>
          </cell>
          <cell r="C121" t="str">
            <v>F Loc P.Mlk TI-RE Grape Rcg</v>
          </cell>
          <cell r="D121" t="str">
            <v>TOP ICE REGULAR</v>
          </cell>
          <cell r="E121" t="str">
            <v>BEVERAGE 2</v>
          </cell>
          <cell r="F121" t="str">
            <v>CB</v>
          </cell>
          <cell r="G121">
            <v>720</v>
          </cell>
          <cell r="H121" t="str">
            <v>BAG</v>
          </cell>
          <cell r="I121">
            <v>120</v>
          </cell>
          <cell r="J121" t="str">
            <v>RCG</v>
          </cell>
          <cell r="K121">
            <v>10</v>
          </cell>
          <cell r="L121" t="str">
            <v>PCS</v>
          </cell>
          <cell r="M121">
            <v>1</v>
          </cell>
          <cell r="N121">
            <v>6</v>
          </cell>
          <cell r="O121">
            <v>72</v>
          </cell>
          <cell r="P121">
            <v>720</v>
          </cell>
          <cell r="Q121">
            <v>180453</v>
          </cell>
          <cell r="R121">
            <v>197235</v>
          </cell>
          <cell r="S121">
            <v>231750</v>
          </cell>
          <cell r="T121">
            <v>197235</v>
          </cell>
          <cell r="U121" t="str">
            <v>AKTIF</v>
          </cell>
          <cell r="V121">
            <v>250.62916666666666</v>
          </cell>
          <cell r="W121">
            <v>273.9375</v>
          </cell>
          <cell r="X121">
            <v>321.875</v>
          </cell>
        </row>
        <row r="122">
          <cell r="A122" t="str">
            <v>F1A.ABTIANL.01</v>
          </cell>
          <cell r="B122" t="str">
            <v>TOP ICE MELON RENCENG</v>
          </cell>
          <cell r="C122" t="str">
            <v>F Loc P.Mlk TI-RE Honey Dew Rcg</v>
          </cell>
          <cell r="D122" t="str">
            <v>TOP ICE REGULAR</v>
          </cell>
          <cell r="E122" t="str">
            <v>BEVERAGE 2</v>
          </cell>
          <cell r="F122" t="str">
            <v>CB</v>
          </cell>
          <cell r="G122">
            <v>720</v>
          </cell>
          <cell r="H122" t="str">
            <v>BAG</v>
          </cell>
          <cell r="I122">
            <v>120</v>
          </cell>
          <cell r="J122" t="str">
            <v>RCG</v>
          </cell>
          <cell r="K122">
            <v>10</v>
          </cell>
          <cell r="L122" t="str">
            <v>PCS</v>
          </cell>
          <cell r="M122">
            <v>1</v>
          </cell>
          <cell r="N122">
            <v>6</v>
          </cell>
          <cell r="O122">
            <v>72</v>
          </cell>
          <cell r="P122">
            <v>720</v>
          </cell>
          <cell r="Q122">
            <v>180453</v>
          </cell>
          <cell r="R122">
            <v>197235</v>
          </cell>
          <cell r="S122">
            <v>231750</v>
          </cell>
          <cell r="T122">
            <v>197235</v>
          </cell>
          <cell r="U122" t="str">
            <v>AKTIF</v>
          </cell>
          <cell r="V122">
            <v>250.62916666666666</v>
          </cell>
          <cell r="W122">
            <v>273.9375</v>
          </cell>
          <cell r="X122">
            <v>321.875</v>
          </cell>
        </row>
        <row r="123">
          <cell r="A123" t="str">
            <v>F1A.ABTIANR.01</v>
          </cell>
          <cell r="B123" t="str">
            <v>TOP ICE MANGGA RENCENG</v>
          </cell>
          <cell r="C123" t="str">
            <v>F Loc P.Mlk TI-RE Mango Rcg</v>
          </cell>
          <cell r="D123" t="str">
            <v>TOP ICE REGULAR</v>
          </cell>
          <cell r="E123" t="str">
            <v>BEVERAGE 2</v>
          </cell>
          <cell r="F123" t="str">
            <v>CB</v>
          </cell>
          <cell r="G123">
            <v>720</v>
          </cell>
          <cell r="H123" t="str">
            <v>BAG</v>
          </cell>
          <cell r="I123">
            <v>120</v>
          </cell>
          <cell r="J123" t="str">
            <v>RCG</v>
          </cell>
          <cell r="K123">
            <v>10</v>
          </cell>
          <cell r="L123" t="str">
            <v>PCS</v>
          </cell>
          <cell r="M123">
            <v>1</v>
          </cell>
          <cell r="N123">
            <v>6</v>
          </cell>
          <cell r="O123">
            <v>72</v>
          </cell>
          <cell r="P123">
            <v>720</v>
          </cell>
          <cell r="Q123">
            <v>180453</v>
          </cell>
          <cell r="R123">
            <v>197235</v>
          </cell>
          <cell r="S123">
            <v>231750</v>
          </cell>
          <cell r="T123">
            <v>197235</v>
          </cell>
          <cell r="U123" t="str">
            <v>AKTIF</v>
          </cell>
          <cell r="V123">
            <v>250.62916666666666</v>
          </cell>
          <cell r="W123">
            <v>273.9375</v>
          </cell>
          <cell r="X123">
            <v>321.875</v>
          </cell>
        </row>
        <row r="124">
          <cell r="A124" t="str">
            <v>F1A.ABTIAOB.01</v>
          </cell>
          <cell r="B124" t="str">
            <v>TOP ICE STRAWBERRY RENCENG</v>
          </cell>
          <cell r="C124" t="str">
            <v>F Loc P.Mlk TI-RE Strawberry Rcg</v>
          </cell>
          <cell r="D124" t="str">
            <v>TOP ICE REGULAR</v>
          </cell>
          <cell r="E124" t="str">
            <v>BEVERAGE 2</v>
          </cell>
          <cell r="F124" t="str">
            <v>CB</v>
          </cell>
          <cell r="G124">
            <v>720</v>
          </cell>
          <cell r="H124" t="str">
            <v>BAG</v>
          </cell>
          <cell r="I124">
            <v>120</v>
          </cell>
          <cell r="J124" t="str">
            <v>RCG</v>
          </cell>
          <cell r="K124">
            <v>10</v>
          </cell>
          <cell r="L124" t="str">
            <v>PCS</v>
          </cell>
          <cell r="M124">
            <v>1</v>
          </cell>
          <cell r="N124">
            <v>6</v>
          </cell>
          <cell r="O124">
            <v>72</v>
          </cell>
          <cell r="P124">
            <v>720</v>
          </cell>
          <cell r="Q124">
            <v>180453</v>
          </cell>
          <cell r="R124">
            <v>197235</v>
          </cell>
          <cell r="S124">
            <v>231750</v>
          </cell>
          <cell r="T124">
            <v>197235</v>
          </cell>
          <cell r="U124" t="str">
            <v>AKTIF</v>
          </cell>
          <cell r="V124">
            <v>250.62916666666666</v>
          </cell>
          <cell r="W124">
            <v>273.9375</v>
          </cell>
          <cell r="X124">
            <v>321.875</v>
          </cell>
        </row>
        <row r="125">
          <cell r="A125" t="str">
            <v>F1A.AETRANI.01</v>
          </cell>
          <cell r="B125" t="str">
            <v>TROBOSS ANGGUR RENCENG</v>
          </cell>
          <cell r="C125" t="str">
            <v>F Loc P.Cpd TR-RE Grape Rcg</v>
          </cell>
          <cell r="D125" t="str">
            <v>TROBOSS REGULAR</v>
          </cell>
          <cell r="E125" t="str">
            <v>BEVERAGE 2</v>
          </cell>
          <cell r="F125" t="str">
            <v>CB</v>
          </cell>
          <cell r="G125">
            <v>720</v>
          </cell>
          <cell r="H125" t="str">
            <v>BAG</v>
          </cell>
          <cell r="I125">
            <v>120</v>
          </cell>
          <cell r="J125" t="str">
            <v>RCG</v>
          </cell>
          <cell r="K125">
            <v>10</v>
          </cell>
          <cell r="L125" t="str">
            <v>PCS</v>
          </cell>
          <cell r="M125">
            <v>1</v>
          </cell>
          <cell r="N125">
            <v>6</v>
          </cell>
          <cell r="O125">
            <v>72</v>
          </cell>
          <cell r="P125">
            <v>720</v>
          </cell>
          <cell r="Q125">
            <v>187865</v>
          </cell>
          <cell r="R125">
            <v>205336</v>
          </cell>
          <cell r="S125">
            <v>241094</v>
          </cell>
          <cell r="T125">
            <v>205336</v>
          </cell>
          <cell r="U125" t="str">
            <v>AKTIF</v>
          </cell>
          <cell r="V125">
            <v>260.92361111111109</v>
          </cell>
          <cell r="W125">
            <v>285.18888888888887</v>
          </cell>
          <cell r="X125">
            <v>334.85277777777776</v>
          </cell>
        </row>
        <row r="126">
          <cell r="A126" t="str">
            <v>F1A.AETRAXD.01</v>
          </cell>
          <cell r="B126" t="str">
            <v>TROBOSS ORIGINAL RENCENG</v>
          </cell>
          <cell r="C126" t="str">
            <v>F Loc P.Cpd TR-RE Original Rcg</v>
          </cell>
          <cell r="D126" t="str">
            <v>TROBOSS REGULAR</v>
          </cell>
          <cell r="E126" t="str">
            <v>BEVERAGE 2</v>
          </cell>
          <cell r="F126" t="str">
            <v>CB</v>
          </cell>
          <cell r="G126">
            <v>720</v>
          </cell>
          <cell r="H126" t="str">
            <v>BAG</v>
          </cell>
          <cell r="I126">
            <v>120</v>
          </cell>
          <cell r="J126" t="str">
            <v>RCG</v>
          </cell>
          <cell r="K126">
            <v>10</v>
          </cell>
          <cell r="L126" t="str">
            <v>PCS</v>
          </cell>
          <cell r="M126">
            <v>1</v>
          </cell>
          <cell r="N126">
            <v>6</v>
          </cell>
          <cell r="O126">
            <v>72</v>
          </cell>
          <cell r="P126">
            <v>720</v>
          </cell>
          <cell r="Q126">
            <v>187865</v>
          </cell>
          <cell r="R126">
            <v>205336</v>
          </cell>
          <cell r="S126">
            <v>241094</v>
          </cell>
          <cell r="T126">
            <v>205336</v>
          </cell>
          <cell r="U126" t="str">
            <v>AKTIF</v>
          </cell>
          <cell r="V126">
            <v>260.92361111111109</v>
          </cell>
          <cell r="W126">
            <v>285.18888888888887</v>
          </cell>
          <cell r="X126">
            <v>334.85277777777776</v>
          </cell>
        </row>
        <row r="127">
          <cell r="A127" t="str">
            <v>F1A.ABPJACA.01</v>
          </cell>
          <cell r="B127" t="str">
            <v>POPJUSS CHOCOLATE RENCENG</v>
          </cell>
          <cell r="C127" t="str">
            <v>F Loc P.Mlk PJ-RE Chocolate Rcg</v>
          </cell>
          <cell r="D127" t="str">
            <v>POPJUSS</v>
          </cell>
          <cell r="E127" t="str">
            <v>BEVERAGE 3</v>
          </cell>
          <cell r="F127" t="str">
            <v>CB</v>
          </cell>
          <cell r="G127">
            <v>120</v>
          </cell>
          <cell r="H127" t="str">
            <v>BAG</v>
          </cell>
          <cell r="I127">
            <v>30</v>
          </cell>
          <cell r="J127" t="str">
            <v>RCG</v>
          </cell>
          <cell r="K127">
            <v>10</v>
          </cell>
          <cell r="L127" t="str">
            <v>PCS</v>
          </cell>
          <cell r="M127">
            <v>1</v>
          </cell>
          <cell r="N127">
            <v>4</v>
          </cell>
          <cell r="O127">
            <v>12</v>
          </cell>
          <cell r="P127">
            <v>120</v>
          </cell>
          <cell r="Q127">
            <v>75391</v>
          </cell>
          <cell r="R127">
            <v>82179</v>
          </cell>
          <cell r="S127">
            <v>0</v>
          </cell>
          <cell r="T127">
            <v>82179</v>
          </cell>
          <cell r="U127" t="str">
            <v>AKTIF</v>
          </cell>
          <cell r="V127">
            <v>628.25833333333333</v>
          </cell>
          <cell r="W127">
            <v>684.82500000000005</v>
          </cell>
          <cell r="X127">
            <v>0</v>
          </cell>
        </row>
        <row r="128">
          <cell r="A128" t="str">
            <v>F1A.ABPJACF.01</v>
          </cell>
          <cell r="B128" t="str">
            <v>POPJUSS CAPPUCINO RENCENG</v>
          </cell>
          <cell r="C128" t="str">
            <v>F Loc P.Mlk PJ-RE Cappucino Rcg</v>
          </cell>
          <cell r="D128" t="str">
            <v>POPJUSS</v>
          </cell>
          <cell r="E128" t="str">
            <v>BEVERAGE 3</v>
          </cell>
          <cell r="F128" t="str">
            <v>CB</v>
          </cell>
          <cell r="G128">
            <v>120</v>
          </cell>
          <cell r="H128" t="str">
            <v>BAG</v>
          </cell>
          <cell r="I128">
            <v>30</v>
          </cell>
          <cell r="J128" t="str">
            <v>RCG</v>
          </cell>
          <cell r="K128">
            <v>10</v>
          </cell>
          <cell r="L128" t="str">
            <v>PCS</v>
          </cell>
          <cell r="M128">
            <v>1</v>
          </cell>
          <cell r="N128">
            <v>4</v>
          </cell>
          <cell r="O128">
            <v>12</v>
          </cell>
          <cell r="P128">
            <v>120</v>
          </cell>
          <cell r="Q128">
            <v>75391</v>
          </cell>
          <cell r="R128">
            <v>82179</v>
          </cell>
          <cell r="S128">
            <v>0</v>
          </cell>
          <cell r="T128">
            <v>82179</v>
          </cell>
          <cell r="U128" t="str">
            <v>AKTIF</v>
          </cell>
          <cell r="V128">
            <v>628.25833333333333</v>
          </cell>
          <cell r="W128">
            <v>684.82500000000005</v>
          </cell>
          <cell r="X128">
            <v>0</v>
          </cell>
        </row>
        <row r="129">
          <cell r="A129" t="str">
            <v>F1A.ABPJADD.01</v>
          </cell>
          <cell r="B129" t="str">
            <v>POPJUSS TARO RENCENG</v>
          </cell>
          <cell r="C129" t="str">
            <v>F Loc P.Mlk PJ-RE Taro Rcg</v>
          </cell>
          <cell r="D129" t="str">
            <v>POPJUSS</v>
          </cell>
          <cell r="E129" t="str">
            <v>BEVERAGE 3</v>
          </cell>
          <cell r="F129" t="str">
            <v>CB</v>
          </cell>
          <cell r="G129">
            <v>120</v>
          </cell>
          <cell r="H129" t="str">
            <v>BAG</v>
          </cell>
          <cell r="I129">
            <v>30</v>
          </cell>
          <cell r="J129" t="str">
            <v>RCG</v>
          </cell>
          <cell r="K129">
            <v>10</v>
          </cell>
          <cell r="L129" t="str">
            <v>PCS</v>
          </cell>
          <cell r="M129">
            <v>1</v>
          </cell>
          <cell r="N129">
            <v>4</v>
          </cell>
          <cell r="O129">
            <v>12</v>
          </cell>
          <cell r="P129">
            <v>120</v>
          </cell>
          <cell r="Q129">
            <v>75391</v>
          </cell>
          <cell r="R129">
            <v>82179</v>
          </cell>
          <cell r="S129">
            <v>0</v>
          </cell>
          <cell r="T129">
            <v>82179</v>
          </cell>
          <cell r="U129" t="str">
            <v>AKTIF</v>
          </cell>
          <cell r="V129">
            <v>628.25833333333333</v>
          </cell>
          <cell r="W129">
            <v>684.82500000000005</v>
          </cell>
          <cell r="X129">
            <v>0</v>
          </cell>
        </row>
        <row r="130">
          <cell r="A130" t="str">
            <v>F1A.ABPJANI.01</v>
          </cell>
          <cell r="B130" t="str">
            <v>POPJUSS ANGGUR RENCENG</v>
          </cell>
          <cell r="C130" t="str">
            <v>F Loc P.Mlk PJ-RE Grape Rcg</v>
          </cell>
          <cell r="D130" t="str">
            <v>POPJUSS</v>
          </cell>
          <cell r="E130" t="str">
            <v>BEVERAGE 3</v>
          </cell>
          <cell r="F130" t="str">
            <v>CB</v>
          </cell>
          <cell r="G130">
            <v>120</v>
          </cell>
          <cell r="H130" t="str">
            <v>BAG</v>
          </cell>
          <cell r="I130">
            <v>30</v>
          </cell>
          <cell r="J130" t="str">
            <v>RCG</v>
          </cell>
          <cell r="K130">
            <v>10</v>
          </cell>
          <cell r="L130" t="str">
            <v>PCS</v>
          </cell>
          <cell r="M130">
            <v>1</v>
          </cell>
          <cell r="N130">
            <v>4</v>
          </cell>
          <cell r="O130">
            <v>12</v>
          </cell>
          <cell r="P130">
            <v>120</v>
          </cell>
          <cell r="Q130">
            <v>75391</v>
          </cell>
          <cell r="R130">
            <v>82179</v>
          </cell>
          <cell r="S130">
            <v>0</v>
          </cell>
          <cell r="T130">
            <v>82179</v>
          </cell>
          <cell r="U130" t="str">
            <v>AKTIF</v>
          </cell>
          <cell r="V130">
            <v>628.25833333333333</v>
          </cell>
          <cell r="W130">
            <v>684.82500000000005</v>
          </cell>
          <cell r="X130">
            <v>0</v>
          </cell>
        </row>
        <row r="131">
          <cell r="A131" t="str">
            <v>F1A.ABPJANL.01</v>
          </cell>
          <cell r="B131" t="str">
            <v>POPJUSS MELON RENCENG</v>
          </cell>
          <cell r="C131" t="str">
            <v>F Loc P.Mlk PJ-RE Honey Dew Rcg</v>
          </cell>
          <cell r="D131" t="str">
            <v>POPJUSS</v>
          </cell>
          <cell r="E131" t="str">
            <v>BEVERAGE 3</v>
          </cell>
          <cell r="F131" t="str">
            <v>CB</v>
          </cell>
          <cell r="G131">
            <v>120</v>
          </cell>
          <cell r="H131" t="str">
            <v>BAG</v>
          </cell>
          <cell r="I131">
            <v>30</v>
          </cell>
          <cell r="J131" t="str">
            <v>RCG</v>
          </cell>
          <cell r="K131">
            <v>10</v>
          </cell>
          <cell r="L131" t="str">
            <v>PCS</v>
          </cell>
          <cell r="M131">
            <v>1</v>
          </cell>
          <cell r="N131">
            <v>4</v>
          </cell>
          <cell r="O131">
            <v>12</v>
          </cell>
          <cell r="P131">
            <v>120</v>
          </cell>
          <cell r="Q131">
            <v>75391</v>
          </cell>
          <cell r="R131">
            <v>82179</v>
          </cell>
          <cell r="S131">
            <v>0</v>
          </cell>
          <cell r="T131">
            <v>82179</v>
          </cell>
          <cell r="U131" t="str">
            <v>AKTIF</v>
          </cell>
          <cell r="V131">
            <v>628.25833333333333</v>
          </cell>
          <cell r="W131">
            <v>684.82500000000005</v>
          </cell>
          <cell r="X131">
            <v>0</v>
          </cell>
        </row>
        <row r="132">
          <cell r="A132" t="str">
            <v>F1A.ABPJANR.01</v>
          </cell>
          <cell r="B132" t="str">
            <v>POPJUSS MANGGA RENCENG</v>
          </cell>
          <cell r="C132" t="str">
            <v>F Loc P.Mlk PJ-RE Mango Rcg</v>
          </cell>
          <cell r="D132" t="str">
            <v>POPJUSS</v>
          </cell>
          <cell r="E132" t="str">
            <v>BEVERAGE 3</v>
          </cell>
          <cell r="F132" t="str">
            <v>CB</v>
          </cell>
          <cell r="G132">
            <v>120</v>
          </cell>
          <cell r="H132" t="str">
            <v>BAG</v>
          </cell>
          <cell r="I132">
            <v>30</v>
          </cell>
          <cell r="J132" t="str">
            <v>RCG</v>
          </cell>
          <cell r="K132">
            <v>10</v>
          </cell>
          <cell r="L132" t="str">
            <v>PCS</v>
          </cell>
          <cell r="M132">
            <v>1</v>
          </cell>
          <cell r="N132">
            <v>4</v>
          </cell>
          <cell r="O132">
            <v>12</v>
          </cell>
          <cell r="P132">
            <v>120</v>
          </cell>
          <cell r="Q132">
            <v>75391</v>
          </cell>
          <cell r="R132">
            <v>82179</v>
          </cell>
          <cell r="S132">
            <v>0</v>
          </cell>
          <cell r="T132">
            <v>82179</v>
          </cell>
          <cell r="U132" t="str">
            <v>AKTIF</v>
          </cell>
          <cell r="V132">
            <v>628.25833333333333</v>
          </cell>
          <cell r="W132">
            <v>684.82500000000005</v>
          </cell>
          <cell r="X132">
            <v>0</v>
          </cell>
        </row>
        <row r="133">
          <cell r="A133" t="str">
            <v>F1A.ABPJAOB.01</v>
          </cell>
          <cell r="B133" t="str">
            <v>POPJUSS STRAWBERRY RENCENG</v>
          </cell>
          <cell r="C133" t="str">
            <v>F Loc P.Mlk PJ-RE Strawberry Rcg</v>
          </cell>
          <cell r="D133" t="str">
            <v>POPJUSS</v>
          </cell>
          <cell r="E133" t="str">
            <v>BEVERAGE 3</v>
          </cell>
          <cell r="F133" t="str">
            <v>CB</v>
          </cell>
          <cell r="G133">
            <v>120</v>
          </cell>
          <cell r="H133" t="str">
            <v>BAG</v>
          </cell>
          <cell r="I133">
            <v>30</v>
          </cell>
          <cell r="J133" t="str">
            <v>RCG</v>
          </cell>
          <cell r="K133">
            <v>10</v>
          </cell>
          <cell r="L133" t="str">
            <v>PCS</v>
          </cell>
          <cell r="M133">
            <v>1</v>
          </cell>
          <cell r="N133">
            <v>4</v>
          </cell>
          <cell r="O133">
            <v>12</v>
          </cell>
          <cell r="P133">
            <v>120</v>
          </cell>
          <cell r="Q133">
            <v>75391</v>
          </cell>
          <cell r="R133">
            <v>82179</v>
          </cell>
          <cell r="S133">
            <v>0</v>
          </cell>
          <cell r="T133">
            <v>82179</v>
          </cell>
          <cell r="U133" t="str">
            <v>AKTIF</v>
          </cell>
          <cell r="V133">
            <v>628.25833333333333</v>
          </cell>
          <cell r="W133">
            <v>684.82500000000005</v>
          </cell>
          <cell r="X133">
            <v>0</v>
          </cell>
        </row>
        <row r="134">
          <cell r="A134" t="str">
            <v>F2A.ABBPACA.01</v>
          </cell>
          <cell r="B134" t="str">
            <v>BUBBLE POP CHOCOLATE 1000GR</v>
          </cell>
          <cell r="C134" t="str">
            <v>F Ins P.Mlk BP-RE Chocolate B.1000</v>
          </cell>
          <cell r="D134" t="str">
            <v>BUBBLE POP REGULAR</v>
          </cell>
          <cell r="E134" t="str">
            <v>BUSINESS DEVELOPMENT</v>
          </cell>
          <cell r="F134" t="str">
            <v>CB</v>
          </cell>
          <cell r="G134">
            <v>10</v>
          </cell>
          <cell r="L134" t="str">
            <v>BAG</v>
          </cell>
          <cell r="M134">
            <v>1</v>
          </cell>
          <cell r="N134">
            <v>0</v>
          </cell>
          <cell r="O134">
            <v>0</v>
          </cell>
          <cell r="P134">
            <v>10</v>
          </cell>
          <cell r="Q134">
            <v>462160</v>
          </cell>
          <cell r="R134">
            <v>513511</v>
          </cell>
          <cell r="S134">
            <v>513511</v>
          </cell>
          <cell r="T134">
            <v>513511</v>
          </cell>
          <cell r="V134">
            <v>46216</v>
          </cell>
          <cell r="W134">
            <v>51351.1</v>
          </cell>
          <cell r="X134">
            <v>51351.1</v>
          </cell>
        </row>
        <row r="135">
          <cell r="A135" t="str">
            <v>F2A.ABBPACA.02</v>
          </cell>
          <cell r="B135" t="str">
            <v>BUBBLE POP CHOCOLATE 500GR</v>
          </cell>
          <cell r="C135" t="str">
            <v>F Ins P.Mlk BP-RE Chocolate B.500</v>
          </cell>
          <cell r="D135" t="str">
            <v>BUBBLE POP REGULAR</v>
          </cell>
          <cell r="E135" t="str">
            <v>BUSINESS DEVELOPMENT</v>
          </cell>
          <cell r="F135" t="str">
            <v>CB</v>
          </cell>
          <cell r="G135">
            <v>20</v>
          </cell>
          <cell r="L135" t="str">
            <v>BAG</v>
          </cell>
          <cell r="M135">
            <v>1</v>
          </cell>
          <cell r="N135">
            <v>0</v>
          </cell>
          <cell r="O135">
            <v>0</v>
          </cell>
          <cell r="P135">
            <v>20</v>
          </cell>
          <cell r="Q135">
            <v>413520</v>
          </cell>
          <cell r="R135">
            <v>459467</v>
          </cell>
          <cell r="S135">
            <v>459467</v>
          </cell>
          <cell r="T135">
            <v>459467</v>
          </cell>
          <cell r="V135">
            <v>20676</v>
          </cell>
          <cell r="W135">
            <v>22973.35</v>
          </cell>
          <cell r="X135">
            <v>22973.35</v>
          </cell>
        </row>
        <row r="136">
          <cell r="A136" t="str">
            <v>F2A.ABBPACC.01</v>
          </cell>
          <cell r="B136" t="str">
            <v>BUBBLE POP CHOCO CREAM 1000GR</v>
          </cell>
          <cell r="C136" t="str">
            <v>F Ins P.Mlk BP-RE Choco Cream B.1000</v>
          </cell>
          <cell r="D136" t="str">
            <v>BUBBLE POP REGULAR</v>
          </cell>
          <cell r="E136" t="str">
            <v>BUSINESS DEVELOPMENT</v>
          </cell>
          <cell r="F136" t="str">
            <v>CB</v>
          </cell>
          <cell r="G136">
            <v>10</v>
          </cell>
          <cell r="L136" t="str">
            <v>BAG</v>
          </cell>
          <cell r="M136">
            <v>1</v>
          </cell>
          <cell r="N136">
            <v>0</v>
          </cell>
          <cell r="O136">
            <v>0</v>
          </cell>
          <cell r="P136">
            <v>10</v>
          </cell>
          <cell r="Q136">
            <v>462160</v>
          </cell>
          <cell r="R136">
            <v>513511</v>
          </cell>
          <cell r="S136">
            <v>513511</v>
          </cell>
          <cell r="T136">
            <v>513511</v>
          </cell>
          <cell r="V136">
            <v>46216</v>
          </cell>
          <cell r="W136">
            <v>51351.1</v>
          </cell>
          <cell r="X136">
            <v>51351.1</v>
          </cell>
        </row>
        <row r="137">
          <cell r="A137" t="str">
            <v>F2A.ABBPACF.01</v>
          </cell>
          <cell r="B137" t="str">
            <v>BUBBLE POP CAPPUCINO 1000GR</v>
          </cell>
          <cell r="C137" t="str">
            <v>F Ins P.Mlk BP-RE Cappucino B.1000</v>
          </cell>
          <cell r="D137" t="str">
            <v>BUBBLE POP REGULAR</v>
          </cell>
          <cell r="E137" t="str">
            <v>BUSINESS DEVELOPMENT</v>
          </cell>
          <cell r="F137" t="str">
            <v>CB</v>
          </cell>
          <cell r="G137">
            <v>10</v>
          </cell>
          <cell r="L137" t="str">
            <v>BAG</v>
          </cell>
          <cell r="M137">
            <v>1</v>
          </cell>
          <cell r="N137">
            <v>0</v>
          </cell>
          <cell r="O137">
            <v>0</v>
          </cell>
          <cell r="P137">
            <v>10</v>
          </cell>
          <cell r="Q137">
            <v>462160</v>
          </cell>
          <cell r="R137">
            <v>513511</v>
          </cell>
          <cell r="S137">
            <v>513511</v>
          </cell>
          <cell r="T137">
            <v>513511</v>
          </cell>
          <cell r="V137">
            <v>46216</v>
          </cell>
          <cell r="W137">
            <v>51351.1</v>
          </cell>
          <cell r="X137">
            <v>51351.1</v>
          </cell>
        </row>
        <row r="138">
          <cell r="A138" t="str">
            <v>F2A.ABBPADD.01</v>
          </cell>
          <cell r="B138" t="str">
            <v>BUBBLE POP TARO 1000GR</v>
          </cell>
          <cell r="C138" t="str">
            <v>F Ins P.Mlk BP-RE Taro B.1000</v>
          </cell>
          <cell r="D138" t="str">
            <v>BUBBLE POP REGULAR</v>
          </cell>
          <cell r="E138" t="str">
            <v>BUSINESS DEVELOPMENT</v>
          </cell>
          <cell r="F138" t="str">
            <v>CB</v>
          </cell>
          <cell r="G138">
            <v>10</v>
          </cell>
          <cell r="L138" t="str">
            <v>BAG</v>
          </cell>
          <cell r="M138">
            <v>1</v>
          </cell>
          <cell r="N138">
            <v>0</v>
          </cell>
          <cell r="O138">
            <v>0</v>
          </cell>
          <cell r="P138">
            <v>10</v>
          </cell>
          <cell r="Q138">
            <v>372070</v>
          </cell>
          <cell r="R138">
            <v>413411</v>
          </cell>
          <cell r="S138">
            <v>413411</v>
          </cell>
          <cell r="T138">
            <v>413411</v>
          </cell>
          <cell r="V138">
            <v>37207</v>
          </cell>
          <cell r="W138">
            <v>41341.1</v>
          </cell>
          <cell r="X138">
            <v>41341.1</v>
          </cell>
        </row>
        <row r="139">
          <cell r="A139" t="str">
            <v>F2A.ABBPADD.02</v>
          </cell>
          <cell r="B139" t="str">
            <v>BUBBLE POP TARO 500GR</v>
          </cell>
          <cell r="C139" t="str">
            <v>F Ins P.Mlk BP-RE Taro B.500</v>
          </cell>
          <cell r="D139" t="str">
            <v>BUBBLE POP REGULAR</v>
          </cell>
          <cell r="E139" t="str">
            <v>BUSINESS DEVELOPMENT</v>
          </cell>
          <cell r="F139" t="str">
            <v>CB</v>
          </cell>
          <cell r="G139">
            <v>20</v>
          </cell>
          <cell r="L139" t="str">
            <v>BAG</v>
          </cell>
          <cell r="M139">
            <v>1</v>
          </cell>
          <cell r="N139">
            <v>0</v>
          </cell>
          <cell r="O139">
            <v>0</v>
          </cell>
          <cell r="P139">
            <v>20</v>
          </cell>
          <cell r="Q139">
            <v>413520</v>
          </cell>
          <cell r="R139">
            <v>459467</v>
          </cell>
          <cell r="S139">
            <v>459467</v>
          </cell>
          <cell r="T139">
            <v>459467</v>
          </cell>
          <cell r="V139">
            <v>20676</v>
          </cell>
          <cell r="W139">
            <v>22973.35</v>
          </cell>
          <cell r="X139">
            <v>22973.35</v>
          </cell>
        </row>
        <row r="140">
          <cell r="A140" t="str">
            <v>F2A.ABBPADE.01</v>
          </cell>
          <cell r="B140" t="str">
            <v>BUBBLE POP VANILLA 1000GR</v>
          </cell>
          <cell r="C140" t="str">
            <v>F Ins P.Mlk BP-RE Vanilla B.1000</v>
          </cell>
          <cell r="D140" t="str">
            <v>BUBBLE POP REGULAR</v>
          </cell>
          <cell r="E140" t="str">
            <v>BUSINESS DEVELOPMENT</v>
          </cell>
          <cell r="F140" t="str">
            <v>CB</v>
          </cell>
          <cell r="G140">
            <v>10</v>
          </cell>
          <cell r="L140" t="str">
            <v>BAG</v>
          </cell>
          <cell r="M140">
            <v>1</v>
          </cell>
          <cell r="N140">
            <v>0</v>
          </cell>
          <cell r="O140">
            <v>0</v>
          </cell>
          <cell r="P140">
            <v>10</v>
          </cell>
          <cell r="Q140">
            <v>372070</v>
          </cell>
          <cell r="R140">
            <v>413411</v>
          </cell>
          <cell r="S140">
            <v>413411</v>
          </cell>
          <cell r="T140">
            <v>413411</v>
          </cell>
          <cell r="V140">
            <v>37207</v>
          </cell>
          <cell r="W140">
            <v>41341.1</v>
          </cell>
          <cell r="X140">
            <v>41341.1</v>
          </cell>
        </row>
        <row r="141">
          <cell r="A141" t="str">
            <v>F2A.ABBPADE.02</v>
          </cell>
          <cell r="B141" t="str">
            <v>BUBBLE POP VANILLA 500GR</v>
          </cell>
          <cell r="C141" t="str">
            <v>F Ins P.Mlk BP-RE Vanilla B.500</v>
          </cell>
          <cell r="D141" t="str">
            <v>BUBBLE POP REGULAR</v>
          </cell>
          <cell r="E141" t="str">
            <v>BUSINESS DEVELOPMENT</v>
          </cell>
          <cell r="F141" t="str">
            <v>CB</v>
          </cell>
          <cell r="G141">
            <v>20</v>
          </cell>
          <cell r="L141" t="str">
            <v>BAG</v>
          </cell>
          <cell r="M141">
            <v>1</v>
          </cell>
          <cell r="N141">
            <v>0</v>
          </cell>
          <cell r="O141">
            <v>0</v>
          </cell>
          <cell r="P141">
            <v>20</v>
          </cell>
          <cell r="Q141">
            <v>413520</v>
          </cell>
          <cell r="R141">
            <v>459467</v>
          </cell>
          <cell r="S141">
            <v>459467</v>
          </cell>
          <cell r="T141">
            <v>459467</v>
          </cell>
          <cell r="V141">
            <v>20676</v>
          </cell>
          <cell r="W141">
            <v>22973.35</v>
          </cell>
          <cell r="X141">
            <v>22973.35</v>
          </cell>
        </row>
        <row r="142">
          <cell r="A142" t="str">
            <v>F2A.ABBPAFC.01</v>
          </cell>
          <cell r="B142" t="str">
            <v>BUBBLE POP BUBBLE GUM 1000GR</v>
          </cell>
          <cell r="C142" t="str">
            <v>F Ins P.Mlk BP-RE Gummy B.1000</v>
          </cell>
          <cell r="D142" t="str">
            <v>BUBBLE POP REGULAR</v>
          </cell>
          <cell r="E142" t="str">
            <v>BUSINESS DEVELOPMENT</v>
          </cell>
          <cell r="F142" t="str">
            <v>CB</v>
          </cell>
          <cell r="G142">
            <v>10</v>
          </cell>
          <cell r="L142" t="str">
            <v>BAG</v>
          </cell>
          <cell r="M142">
            <v>1</v>
          </cell>
          <cell r="N142">
            <v>0</v>
          </cell>
          <cell r="O142">
            <v>0</v>
          </cell>
          <cell r="P142">
            <v>10</v>
          </cell>
          <cell r="Q142">
            <v>372070</v>
          </cell>
          <cell r="R142">
            <v>413411</v>
          </cell>
          <cell r="S142">
            <v>413411</v>
          </cell>
          <cell r="T142">
            <v>413411</v>
          </cell>
          <cell r="V142">
            <v>37207</v>
          </cell>
          <cell r="W142">
            <v>41341.1</v>
          </cell>
          <cell r="X142">
            <v>41341.1</v>
          </cell>
        </row>
        <row r="143">
          <cell r="A143" t="str">
            <v>F2A.ABBPAFC.02</v>
          </cell>
          <cell r="B143" t="str">
            <v>BUBBLE POP BUBBLE GUM 500GR</v>
          </cell>
          <cell r="C143" t="str">
            <v>F Ins P.Mlk BP-RE Gummy B.500</v>
          </cell>
          <cell r="D143" t="str">
            <v>BUBBLE POP REGULAR</v>
          </cell>
          <cell r="E143" t="str">
            <v>BUSINESS DEVELOPMENT</v>
          </cell>
          <cell r="F143" t="str">
            <v>CB</v>
          </cell>
          <cell r="G143">
            <v>20</v>
          </cell>
          <cell r="L143" t="str">
            <v>BAG</v>
          </cell>
          <cell r="M143">
            <v>1</v>
          </cell>
          <cell r="N143">
            <v>0</v>
          </cell>
          <cell r="O143">
            <v>0</v>
          </cell>
          <cell r="P143">
            <v>20</v>
          </cell>
          <cell r="Q143">
            <v>413520</v>
          </cell>
          <cell r="R143">
            <v>459467</v>
          </cell>
          <cell r="S143">
            <v>459467</v>
          </cell>
          <cell r="T143">
            <v>459467</v>
          </cell>
          <cell r="V143">
            <v>20676</v>
          </cell>
          <cell r="W143">
            <v>22973.35</v>
          </cell>
          <cell r="X143">
            <v>22973.35</v>
          </cell>
        </row>
        <row r="144">
          <cell r="A144" t="str">
            <v>F2A.ABBPAKD.01</v>
          </cell>
          <cell r="B144" t="str">
            <v>BUBBLE POP COFFEE CARAMEL 1000GR</v>
          </cell>
          <cell r="C144" t="str">
            <v>F Ins P.Mlk BP-RE Coff Caramel B.1000</v>
          </cell>
          <cell r="D144" t="str">
            <v>BUBBLE POP REGULAR</v>
          </cell>
          <cell r="E144" t="str">
            <v>BUSINESS DEVELOPMENT</v>
          </cell>
          <cell r="F144" t="str">
            <v>CB</v>
          </cell>
          <cell r="G144">
            <v>10</v>
          </cell>
          <cell r="L144" t="str">
            <v>BAG</v>
          </cell>
          <cell r="M144">
            <v>1</v>
          </cell>
          <cell r="N144">
            <v>0</v>
          </cell>
          <cell r="O144">
            <v>0</v>
          </cell>
          <cell r="P144">
            <v>10</v>
          </cell>
          <cell r="Q144">
            <v>462160</v>
          </cell>
          <cell r="R144">
            <v>513511</v>
          </cell>
          <cell r="S144">
            <v>513511</v>
          </cell>
          <cell r="T144">
            <v>513511</v>
          </cell>
          <cell r="V144">
            <v>46216</v>
          </cell>
          <cell r="W144">
            <v>51351.1</v>
          </cell>
          <cell r="X144">
            <v>51351.1</v>
          </cell>
        </row>
        <row r="145">
          <cell r="A145" t="str">
            <v>F2A.ABBPANB.01</v>
          </cell>
          <cell r="B145" t="str">
            <v>BUBBLE POP ALPUKAT 1000GR</v>
          </cell>
          <cell r="C145" t="str">
            <v>F Ins P.Mlk BP-RE Avocado B.1000</v>
          </cell>
          <cell r="D145" t="str">
            <v>BUBBLE POP REGULAR</v>
          </cell>
          <cell r="E145" t="str">
            <v>BUSINESS DEVELOPMENT</v>
          </cell>
          <cell r="F145" t="str">
            <v>CB</v>
          </cell>
          <cell r="G145">
            <v>10</v>
          </cell>
          <cell r="L145" t="str">
            <v>BAG</v>
          </cell>
          <cell r="M145">
            <v>1</v>
          </cell>
          <cell r="N145">
            <v>0</v>
          </cell>
          <cell r="O145">
            <v>0</v>
          </cell>
          <cell r="P145">
            <v>10</v>
          </cell>
          <cell r="Q145">
            <v>462160</v>
          </cell>
          <cell r="R145">
            <v>513511</v>
          </cell>
          <cell r="S145">
            <v>513511</v>
          </cell>
          <cell r="T145">
            <v>513511</v>
          </cell>
          <cell r="V145">
            <v>46216</v>
          </cell>
          <cell r="W145">
            <v>51351.1</v>
          </cell>
          <cell r="X145">
            <v>51351.1</v>
          </cell>
        </row>
        <row r="146">
          <cell r="A146" t="str">
            <v>F2A.AAFZANQ.01</v>
          </cell>
          <cell r="B146" t="str">
            <v>FROZZY POP LECI RENCENG</v>
          </cell>
          <cell r="C146" t="str">
            <v>F Ins P.Frt FZ-LC Lychee Rcg</v>
          </cell>
          <cell r="D146" t="str">
            <v>FROZZY POP LOC</v>
          </cell>
          <cell r="E146" t="str">
            <v>BUSINESS DEVELOPMENT</v>
          </cell>
          <cell r="F146" t="str">
            <v>CB</v>
          </cell>
          <cell r="G146">
            <v>200</v>
          </cell>
          <cell r="L146" t="str">
            <v>PCS</v>
          </cell>
          <cell r="M146">
            <v>1</v>
          </cell>
          <cell r="N146">
            <v>0</v>
          </cell>
          <cell r="O146">
            <v>0</v>
          </cell>
          <cell r="P146">
            <v>200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A147" t="str">
            <v>F2A.AAFZANR.02</v>
          </cell>
          <cell r="B147" t="str">
            <v>FROZZY POP MANGGA 1000GR</v>
          </cell>
          <cell r="C147" t="str">
            <v>F Ins P.Frt FZ-LC Mango B.1000</v>
          </cell>
          <cell r="D147" t="str">
            <v>FROZZY POP LOC</v>
          </cell>
          <cell r="E147" t="str">
            <v>BUSINESS DEVELOPMENT</v>
          </cell>
          <cell r="F147" t="str">
            <v>CB</v>
          </cell>
          <cell r="G147">
            <v>10</v>
          </cell>
          <cell r="L147" t="str">
            <v>BAG</v>
          </cell>
          <cell r="M147">
            <v>1</v>
          </cell>
          <cell r="N147">
            <v>0</v>
          </cell>
          <cell r="O147">
            <v>0</v>
          </cell>
          <cell r="P147">
            <v>10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</row>
        <row r="148">
          <cell r="A148" t="str">
            <v>F2A.AAFZANR.05</v>
          </cell>
          <cell r="B148" t="str">
            <v>FROZZY POP MANGGA 500GR</v>
          </cell>
          <cell r="C148" t="str">
            <v>F Ins P.Frt FZ-LC Mango B.500</v>
          </cell>
          <cell r="D148" t="str">
            <v>FROZZY POP LOC</v>
          </cell>
          <cell r="E148" t="str">
            <v>BUSINESS DEVELOPMENT</v>
          </cell>
          <cell r="F148" t="str">
            <v>CB</v>
          </cell>
          <cell r="G148">
            <v>20</v>
          </cell>
          <cell r="L148" t="str">
            <v>BAG</v>
          </cell>
          <cell r="M148">
            <v>1</v>
          </cell>
          <cell r="N148">
            <v>0</v>
          </cell>
          <cell r="O148">
            <v>0</v>
          </cell>
          <cell r="P148">
            <v>20</v>
          </cell>
          <cell r="Q148">
            <v>360000</v>
          </cell>
          <cell r="R148">
            <v>396396</v>
          </cell>
          <cell r="S148">
            <v>396396</v>
          </cell>
          <cell r="T148">
            <v>396396</v>
          </cell>
          <cell r="V148">
            <v>18000</v>
          </cell>
          <cell r="W148">
            <v>19819.8</v>
          </cell>
          <cell r="X148">
            <v>19819.8</v>
          </cell>
        </row>
        <row r="149">
          <cell r="A149" t="str">
            <v>F2A.AAFZAOG.05</v>
          </cell>
          <cell r="B149" t="str">
            <v>FROZZY POP AMERICAN SWEET ORANGE 500GR</v>
          </cell>
          <cell r="C149" t="str">
            <v>F Ins P.Frt FZ-LC A.Sweet Orange B.500</v>
          </cell>
          <cell r="D149" t="str">
            <v>FROZZY POP LOC</v>
          </cell>
          <cell r="E149" t="str">
            <v>BUSINESS DEVELOPMENT</v>
          </cell>
          <cell r="F149" t="str">
            <v>CB</v>
          </cell>
          <cell r="G149">
            <v>20</v>
          </cell>
          <cell r="L149" t="str">
            <v>BAG</v>
          </cell>
          <cell r="M149">
            <v>1</v>
          </cell>
          <cell r="N149">
            <v>0</v>
          </cell>
          <cell r="O149">
            <v>0</v>
          </cell>
          <cell r="P149">
            <v>20</v>
          </cell>
          <cell r="Q149">
            <v>360000</v>
          </cell>
          <cell r="R149">
            <v>396396</v>
          </cell>
          <cell r="S149">
            <v>396396</v>
          </cell>
          <cell r="T149">
            <v>396396</v>
          </cell>
          <cell r="V149">
            <v>18000</v>
          </cell>
          <cell r="W149">
            <v>19819.8</v>
          </cell>
          <cell r="X149">
            <v>19819.8</v>
          </cell>
        </row>
        <row r="150">
          <cell r="A150" t="str">
            <v>F2A.AAFZAOH.05</v>
          </cell>
          <cell r="B150" t="str">
            <v>FROZZY POP JERUK MANIS 500GR</v>
          </cell>
          <cell r="C150" t="str">
            <v>F Ins P.Frt FZ-LC Jeruk Manis B.500</v>
          </cell>
          <cell r="D150" t="str">
            <v>FROZZY POP LOC</v>
          </cell>
          <cell r="E150" t="str">
            <v>BUSINESS DEVELOPMENT</v>
          </cell>
          <cell r="F150" t="str">
            <v>CB</v>
          </cell>
          <cell r="G150">
            <v>20</v>
          </cell>
          <cell r="L150" t="str">
            <v>BAG</v>
          </cell>
          <cell r="M150">
            <v>1</v>
          </cell>
          <cell r="N150">
            <v>0</v>
          </cell>
          <cell r="O150">
            <v>0</v>
          </cell>
          <cell r="P150">
            <v>20</v>
          </cell>
          <cell r="Q150">
            <v>360000</v>
          </cell>
          <cell r="R150">
            <v>396396</v>
          </cell>
          <cell r="S150">
            <v>396396</v>
          </cell>
          <cell r="T150">
            <v>396396</v>
          </cell>
          <cell r="V150">
            <v>18000</v>
          </cell>
          <cell r="W150">
            <v>19819.8</v>
          </cell>
          <cell r="X150">
            <v>19819.8</v>
          </cell>
        </row>
        <row r="151">
          <cell r="A151" t="str">
            <v>F2A.ABFZACA.02</v>
          </cell>
          <cell r="B151" t="str">
            <v>FROZZY POP CHOCOLATE 1000GR</v>
          </cell>
          <cell r="C151" t="str">
            <v>F Ins P.Mlk FZ-LC Chocolate B.1000</v>
          </cell>
          <cell r="D151" t="str">
            <v>FROZZY POP LOC</v>
          </cell>
          <cell r="E151" t="str">
            <v>BUSINESS DEVELOPMENT</v>
          </cell>
          <cell r="F151" t="str">
            <v>CB</v>
          </cell>
          <cell r="G151">
            <v>10</v>
          </cell>
          <cell r="L151" t="str">
            <v>BAG</v>
          </cell>
          <cell r="M151">
            <v>1</v>
          </cell>
          <cell r="N151">
            <v>0</v>
          </cell>
          <cell r="O151">
            <v>0</v>
          </cell>
          <cell r="P151">
            <v>10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A152" t="str">
            <v>F2A.ABFZACA.05</v>
          </cell>
          <cell r="B152" t="str">
            <v>FROZZY POP CHOCOLATE 500GR</v>
          </cell>
          <cell r="C152" t="str">
            <v>F Ins P.Mlk FZ-LC Chocolate B.500</v>
          </cell>
          <cell r="D152" t="str">
            <v>FROZZY POP LOC</v>
          </cell>
          <cell r="E152" t="str">
            <v>BUSINESS DEVELOPMENT</v>
          </cell>
          <cell r="F152" t="str">
            <v>CB</v>
          </cell>
          <cell r="G152">
            <v>20</v>
          </cell>
          <cell r="L152" t="str">
            <v>BAG</v>
          </cell>
          <cell r="M152">
            <v>1</v>
          </cell>
          <cell r="N152">
            <v>0</v>
          </cell>
          <cell r="O152">
            <v>0</v>
          </cell>
          <cell r="P152">
            <v>20</v>
          </cell>
          <cell r="Q152">
            <v>360000</v>
          </cell>
          <cell r="R152">
            <v>396396</v>
          </cell>
          <cell r="S152">
            <v>396396</v>
          </cell>
          <cell r="T152">
            <v>396396</v>
          </cell>
          <cell r="V152">
            <v>18000</v>
          </cell>
          <cell r="W152">
            <v>19819.8</v>
          </cell>
          <cell r="X152">
            <v>19819.8</v>
          </cell>
        </row>
        <row r="153">
          <cell r="A153" t="str">
            <v>F2A.ABFZACF.02</v>
          </cell>
          <cell r="B153" t="str">
            <v>FROZZY POP CAPPUCINO 1000GR</v>
          </cell>
          <cell r="C153" t="str">
            <v>F Ins P.Mlk FZ-LC Cappucino B.1000</v>
          </cell>
          <cell r="D153" t="str">
            <v>FROZZY POP LOC</v>
          </cell>
          <cell r="E153" t="str">
            <v>BUSINESS DEVELOPMENT</v>
          </cell>
          <cell r="F153" t="str">
            <v>CB</v>
          </cell>
          <cell r="G153">
            <v>10</v>
          </cell>
          <cell r="L153" t="str">
            <v>BAG</v>
          </cell>
          <cell r="M153">
            <v>1</v>
          </cell>
          <cell r="N153">
            <v>0</v>
          </cell>
          <cell r="O153">
            <v>0</v>
          </cell>
          <cell r="P153">
            <v>10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A154" t="str">
            <v>F2A.ABFZACF.05</v>
          </cell>
          <cell r="B154" t="str">
            <v>FROZZY POP CAPPUCINO 500GR</v>
          </cell>
          <cell r="C154" t="str">
            <v>F Ins P.Mlk FZ-LC Cappucino B.500</v>
          </cell>
          <cell r="D154" t="str">
            <v>FROZZY POP LOC</v>
          </cell>
          <cell r="E154" t="str">
            <v>BUSINESS DEVELOPMENT</v>
          </cell>
          <cell r="F154" t="str">
            <v>CB</v>
          </cell>
          <cell r="G154">
            <v>20</v>
          </cell>
          <cell r="L154" t="str">
            <v>BAG</v>
          </cell>
          <cell r="M154">
            <v>1</v>
          </cell>
          <cell r="N154">
            <v>0</v>
          </cell>
          <cell r="O154">
            <v>0</v>
          </cell>
          <cell r="P154">
            <v>20</v>
          </cell>
          <cell r="Q154">
            <v>360000</v>
          </cell>
          <cell r="R154">
            <v>396396</v>
          </cell>
          <cell r="S154">
            <v>396396</v>
          </cell>
          <cell r="T154">
            <v>396396</v>
          </cell>
          <cell r="V154">
            <v>18000</v>
          </cell>
          <cell r="W154">
            <v>19819.8</v>
          </cell>
          <cell r="X154">
            <v>19819.8</v>
          </cell>
        </row>
        <row r="155">
          <cell r="A155" t="str">
            <v>F2A.ABFZACG.05</v>
          </cell>
          <cell r="B155" t="str">
            <v>FROZZY POP MOCCACINO 500GR</v>
          </cell>
          <cell r="C155" t="str">
            <v>F Ins P.Mlk FZ-LC Moccacino B.500</v>
          </cell>
          <cell r="D155" t="str">
            <v>FROZZY POP LOC</v>
          </cell>
          <cell r="E155" t="str">
            <v>BUSINESS DEVELOPMENT</v>
          </cell>
          <cell r="F155" t="str">
            <v>CB</v>
          </cell>
          <cell r="G155">
            <v>20</v>
          </cell>
          <cell r="L155" t="str">
            <v>BAG</v>
          </cell>
          <cell r="M155">
            <v>1</v>
          </cell>
          <cell r="N155">
            <v>0</v>
          </cell>
          <cell r="O155">
            <v>0</v>
          </cell>
          <cell r="P155">
            <v>20</v>
          </cell>
          <cell r="Q155">
            <v>360000</v>
          </cell>
          <cell r="R155">
            <v>396396</v>
          </cell>
          <cell r="S155">
            <v>396396</v>
          </cell>
          <cell r="T155">
            <v>396396</v>
          </cell>
          <cell r="V155">
            <v>18000</v>
          </cell>
          <cell r="W155">
            <v>19819.8</v>
          </cell>
          <cell r="X155">
            <v>19819.8</v>
          </cell>
        </row>
        <row r="156">
          <cell r="A156" t="str">
            <v>F2A.ABFZACV.05</v>
          </cell>
          <cell r="B156" t="str">
            <v>FROZZY POP CHOCOOREO 500GR</v>
          </cell>
          <cell r="C156" t="str">
            <v>F Ins P.Mlk FZ-LC Chocooreo B.500</v>
          </cell>
          <cell r="D156" t="str">
            <v>FROZZY POP LOC</v>
          </cell>
          <cell r="E156" t="str">
            <v>BUSINESS DEVELOPMENT</v>
          </cell>
          <cell r="F156" t="str">
            <v>CB</v>
          </cell>
          <cell r="G156">
            <v>20</v>
          </cell>
          <cell r="L156" t="str">
            <v>BAG</v>
          </cell>
          <cell r="M156">
            <v>1</v>
          </cell>
          <cell r="N156">
            <v>0</v>
          </cell>
          <cell r="O156">
            <v>0</v>
          </cell>
          <cell r="P156">
            <v>20</v>
          </cell>
          <cell r="Q156">
            <v>360000</v>
          </cell>
          <cell r="R156">
            <v>396396</v>
          </cell>
          <cell r="S156">
            <v>396396</v>
          </cell>
          <cell r="T156">
            <v>396396</v>
          </cell>
          <cell r="V156">
            <v>18000</v>
          </cell>
          <cell r="W156">
            <v>19819.8</v>
          </cell>
          <cell r="X156">
            <v>19819.8</v>
          </cell>
        </row>
        <row r="157">
          <cell r="A157" t="str">
            <v>F2A.ABFZADD.05</v>
          </cell>
          <cell r="B157" t="str">
            <v>FROZZY POP TARO 500GR</v>
          </cell>
          <cell r="C157" t="str">
            <v>F Ins P.Mlk FZ-LC Taro B.500</v>
          </cell>
          <cell r="D157" t="str">
            <v>FROZZY POP LOC</v>
          </cell>
          <cell r="E157" t="str">
            <v>BUSINESS DEVELOPMENT</v>
          </cell>
          <cell r="F157" t="str">
            <v>CB</v>
          </cell>
          <cell r="G157">
            <v>20</v>
          </cell>
          <cell r="L157" t="str">
            <v>BAG</v>
          </cell>
          <cell r="M157">
            <v>1</v>
          </cell>
          <cell r="N157">
            <v>0</v>
          </cell>
          <cell r="O157">
            <v>0</v>
          </cell>
          <cell r="P157">
            <v>20</v>
          </cell>
          <cell r="Q157">
            <v>360000</v>
          </cell>
          <cell r="R157">
            <v>396396</v>
          </cell>
          <cell r="S157">
            <v>396396</v>
          </cell>
          <cell r="T157">
            <v>396396</v>
          </cell>
          <cell r="V157">
            <v>18000</v>
          </cell>
          <cell r="W157">
            <v>19819.8</v>
          </cell>
          <cell r="X157">
            <v>19819.8</v>
          </cell>
        </row>
        <row r="158">
          <cell r="A158" t="str">
            <v>F2A.ABFZANB.02</v>
          </cell>
          <cell r="B158" t="str">
            <v>FROZZY POP ALPUKAT 1000GR</v>
          </cell>
          <cell r="C158" t="str">
            <v>F Ins P.Mlk FZ-LC Avocado B.1000</v>
          </cell>
          <cell r="D158" t="str">
            <v>FROZZY POP LOC</v>
          </cell>
          <cell r="E158" t="str">
            <v>BUSINESS DEVELOPMENT</v>
          </cell>
          <cell r="F158" t="str">
            <v>CB</v>
          </cell>
          <cell r="G158">
            <v>10</v>
          </cell>
          <cell r="L158" t="str">
            <v>BAG</v>
          </cell>
          <cell r="M158">
            <v>1</v>
          </cell>
          <cell r="N158">
            <v>0</v>
          </cell>
          <cell r="O158">
            <v>0</v>
          </cell>
          <cell r="P158">
            <v>10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</v>
          </cell>
          <cell r="X158">
            <v>0</v>
          </cell>
        </row>
        <row r="159">
          <cell r="A159" t="str">
            <v>F2A.ABFZANB.05</v>
          </cell>
          <cell r="B159" t="str">
            <v>FROZZY POP ALPUKAT 500GR</v>
          </cell>
          <cell r="C159" t="str">
            <v>F Ins P.Mlk FZ-LC Avocado B.500</v>
          </cell>
          <cell r="D159" t="str">
            <v>FROZZY POP LOC</v>
          </cell>
          <cell r="E159" t="str">
            <v>BUSINESS DEVELOPMENT</v>
          </cell>
          <cell r="F159" t="str">
            <v>CB</v>
          </cell>
          <cell r="G159">
            <v>20</v>
          </cell>
          <cell r="L159" t="str">
            <v>BAG</v>
          </cell>
          <cell r="M159">
            <v>1</v>
          </cell>
          <cell r="N159">
            <v>0</v>
          </cell>
          <cell r="O159">
            <v>0</v>
          </cell>
          <cell r="P159">
            <v>20</v>
          </cell>
          <cell r="Q159">
            <v>360000</v>
          </cell>
          <cell r="R159">
            <v>396396</v>
          </cell>
          <cell r="S159">
            <v>396396</v>
          </cell>
          <cell r="T159">
            <v>396396</v>
          </cell>
          <cell r="V159">
            <v>18000</v>
          </cell>
          <cell r="W159">
            <v>19819.8</v>
          </cell>
          <cell r="X159">
            <v>19819.8</v>
          </cell>
        </row>
        <row r="160">
          <cell r="A160" t="str">
            <v>F2A.ACFZATD.05</v>
          </cell>
          <cell r="B160" t="str">
            <v>FROZZY POP THAI TEA 500GR</v>
          </cell>
          <cell r="C160" t="str">
            <v>F Ins P.Tea FZ-LC Thai Tea B.500</v>
          </cell>
          <cell r="D160" t="str">
            <v>FROZZY POP LOC</v>
          </cell>
          <cell r="E160" t="str">
            <v>BUSINESS DEVELOPMENT</v>
          </cell>
          <cell r="F160" t="str">
            <v>CB</v>
          </cell>
          <cell r="G160">
            <v>20</v>
          </cell>
          <cell r="L160" t="str">
            <v>BAG</v>
          </cell>
          <cell r="M160">
            <v>1</v>
          </cell>
          <cell r="N160">
            <v>0</v>
          </cell>
          <cell r="O160">
            <v>0</v>
          </cell>
          <cell r="P160">
            <v>20</v>
          </cell>
          <cell r="Q160">
            <v>360000</v>
          </cell>
          <cell r="R160">
            <v>396396</v>
          </cell>
          <cell r="S160">
            <v>396396</v>
          </cell>
          <cell r="T160">
            <v>396396</v>
          </cell>
          <cell r="V160">
            <v>18000</v>
          </cell>
          <cell r="W160">
            <v>19819.8</v>
          </cell>
          <cell r="X160">
            <v>19819.8</v>
          </cell>
        </row>
        <row r="161">
          <cell r="A161" t="str">
            <v>F1A.FASRAXD.02</v>
          </cell>
          <cell r="B161" t="str">
            <v>GOLDEN SARI TEPUNG 450GR</v>
          </cell>
          <cell r="C161" t="str">
            <v>F Loc F.Crm SR-RE Original B.450.N</v>
          </cell>
          <cell r="D161" t="str">
            <v>GOLDEN SARI TEPUNG</v>
          </cell>
          <cell r="E161" t="str">
            <v>BUSINESS DEVELOPMENT</v>
          </cell>
          <cell r="F161" t="str">
            <v>SAK</v>
          </cell>
          <cell r="G161">
            <v>20</v>
          </cell>
          <cell r="L161" t="str">
            <v>BAG</v>
          </cell>
          <cell r="M161">
            <v>1</v>
          </cell>
          <cell r="N161">
            <v>0</v>
          </cell>
          <cell r="O161">
            <v>0</v>
          </cell>
          <cell r="P161">
            <v>20</v>
          </cell>
          <cell r="Q161">
            <v>131172</v>
          </cell>
          <cell r="R161">
            <v>144144</v>
          </cell>
          <cell r="S161">
            <v>0</v>
          </cell>
          <cell r="T161">
            <v>144144</v>
          </cell>
          <cell r="U161" t="str">
            <v>AKTIF</v>
          </cell>
          <cell r="V161">
            <v>6558.6</v>
          </cell>
          <cell r="W161">
            <v>7207.2</v>
          </cell>
          <cell r="X161">
            <v>0</v>
          </cell>
        </row>
        <row r="162">
          <cell r="A162" t="str">
            <v>F1A.ALISAMI.02</v>
          </cell>
          <cell r="B162" t="str">
            <v>INTI SEDAP BALADO PEDAS RENCENG</v>
          </cell>
          <cell r="C162" t="str">
            <v>F Loc P.Sav IS-RE Bld Pedas Rcg</v>
          </cell>
          <cell r="D162" t="str">
            <v>INTI SEDAP</v>
          </cell>
          <cell r="E162" t="str">
            <v>BUSINESS DEVELOPMENT</v>
          </cell>
          <cell r="F162" t="str">
            <v>CB</v>
          </cell>
          <cell r="G162">
            <v>100</v>
          </cell>
          <cell r="H162" t="str">
            <v>RCG</v>
          </cell>
          <cell r="I162">
            <v>10</v>
          </cell>
          <cell r="L162" t="str">
            <v>PCS</v>
          </cell>
          <cell r="M162">
            <v>1</v>
          </cell>
          <cell r="N162">
            <v>10</v>
          </cell>
          <cell r="O162">
            <v>0</v>
          </cell>
          <cell r="P162">
            <v>100</v>
          </cell>
          <cell r="Q162">
            <v>286300</v>
          </cell>
          <cell r="R162">
            <v>315315</v>
          </cell>
          <cell r="S162">
            <v>315315</v>
          </cell>
          <cell r="T162">
            <v>315315</v>
          </cell>
          <cell r="U162" t="str">
            <v>AKTIF</v>
          </cell>
          <cell r="V162">
            <v>2863</v>
          </cell>
          <cell r="W162">
            <v>3153.15</v>
          </cell>
          <cell r="X162">
            <v>3153.15</v>
          </cell>
        </row>
        <row r="163">
          <cell r="A163" t="str">
            <v>F1A.ALISAMJ.02</v>
          </cell>
          <cell r="B163" t="str">
            <v>INTI SEDAP BALADO PEDAS MANIS RENCENG</v>
          </cell>
          <cell r="C163" t="str">
            <v>F Loc P.Sav IS-RE Bld Pedas Mns Rcg</v>
          </cell>
          <cell r="D163" t="str">
            <v>INTI SEDAP</v>
          </cell>
          <cell r="E163" t="str">
            <v>BUSINESS DEVELOPMENT</v>
          </cell>
          <cell r="F163" t="str">
            <v>CB</v>
          </cell>
          <cell r="G163">
            <v>100</v>
          </cell>
          <cell r="H163" t="str">
            <v>RCG</v>
          </cell>
          <cell r="I163">
            <v>10</v>
          </cell>
          <cell r="L163" t="str">
            <v>PCS</v>
          </cell>
          <cell r="M163">
            <v>1</v>
          </cell>
          <cell r="N163">
            <v>10</v>
          </cell>
          <cell r="O163">
            <v>0</v>
          </cell>
          <cell r="P163">
            <v>100</v>
          </cell>
          <cell r="Q163">
            <v>286300</v>
          </cell>
          <cell r="R163">
            <v>315315</v>
          </cell>
          <cell r="S163">
            <v>315315</v>
          </cell>
          <cell r="T163">
            <v>315315</v>
          </cell>
          <cell r="U163" t="str">
            <v>AKTIF</v>
          </cell>
          <cell r="V163">
            <v>2863</v>
          </cell>
          <cell r="W163">
            <v>3153.15</v>
          </cell>
          <cell r="X163">
            <v>3153.15</v>
          </cell>
        </row>
        <row r="164">
          <cell r="A164" t="str">
            <v>F2A.ALISAME.02</v>
          </cell>
          <cell r="B164" t="str">
            <v>INTI SEDAP ASIN GURIH RENCENG</v>
          </cell>
          <cell r="C164" t="str">
            <v>F Ins P.Sav IS-RE Savory Salty Rcg</v>
          </cell>
          <cell r="D164" t="str">
            <v>INTI SEDAP</v>
          </cell>
          <cell r="E164" t="str">
            <v>BUSINESS DEVELOPMENT</v>
          </cell>
          <cell r="F164" t="str">
            <v>CB</v>
          </cell>
          <cell r="G164">
            <v>100</v>
          </cell>
          <cell r="H164" t="str">
            <v>RCG</v>
          </cell>
          <cell r="I164">
            <v>10</v>
          </cell>
          <cell r="L164" t="str">
            <v>PCS</v>
          </cell>
          <cell r="M164">
            <v>1</v>
          </cell>
          <cell r="N164">
            <v>10</v>
          </cell>
          <cell r="O164">
            <v>0</v>
          </cell>
          <cell r="P164">
            <v>100</v>
          </cell>
          <cell r="Q164">
            <v>286300</v>
          </cell>
          <cell r="R164">
            <v>315315</v>
          </cell>
          <cell r="S164">
            <v>315315</v>
          </cell>
          <cell r="T164">
            <v>315315</v>
          </cell>
          <cell r="U164" t="str">
            <v>AKTIF</v>
          </cell>
          <cell r="V164">
            <v>2863</v>
          </cell>
          <cell r="W164">
            <v>3153.15</v>
          </cell>
          <cell r="X164">
            <v>3153.15</v>
          </cell>
        </row>
        <row r="165">
          <cell r="A165" t="str">
            <v>F2A.ALISAMF.02</v>
          </cell>
          <cell r="B165" t="str">
            <v>INTI SEDAP AYAM BAWANG RENCENG</v>
          </cell>
          <cell r="C165" t="str">
            <v>F Ins P.Sav IS-RE Garlic Chick Rcg</v>
          </cell>
          <cell r="D165" t="str">
            <v>INTI SEDAP</v>
          </cell>
          <cell r="E165" t="str">
            <v>BUSINESS DEVELOPMENT</v>
          </cell>
          <cell r="F165" t="str">
            <v>CB</v>
          </cell>
          <cell r="G165">
            <v>100</v>
          </cell>
          <cell r="H165" t="str">
            <v>RCG</v>
          </cell>
          <cell r="I165">
            <v>10</v>
          </cell>
          <cell r="L165" t="str">
            <v>PCS</v>
          </cell>
          <cell r="M165">
            <v>1</v>
          </cell>
          <cell r="N165">
            <v>10</v>
          </cell>
          <cell r="O165">
            <v>0</v>
          </cell>
          <cell r="P165">
            <v>100</v>
          </cell>
          <cell r="Q165">
            <v>286300</v>
          </cell>
          <cell r="R165">
            <v>315315</v>
          </cell>
          <cell r="S165">
            <v>315315</v>
          </cell>
          <cell r="T165">
            <v>315315</v>
          </cell>
          <cell r="U165" t="str">
            <v>AKTIF</v>
          </cell>
          <cell r="V165">
            <v>2863</v>
          </cell>
          <cell r="W165">
            <v>3153.15</v>
          </cell>
          <cell r="X165">
            <v>3153.15</v>
          </cell>
        </row>
        <row r="166">
          <cell r="A166" t="str">
            <v>F1A.AFARACA.01</v>
          </cell>
          <cell r="B166" t="str">
            <v>AGARASA REG CHOCOLATE INN</v>
          </cell>
          <cell r="C166" t="str">
            <v>F Loc P.Agr AR-RE Chocolate Inn-B</v>
          </cell>
          <cell r="D166" t="str">
            <v>Agarasa Regular</v>
          </cell>
          <cell r="E166" t="str">
            <v>DESSERT 1</v>
          </cell>
          <cell r="F166" t="str">
            <v>CB</v>
          </cell>
          <cell r="G166">
            <v>72</v>
          </cell>
          <cell r="H166" t="str">
            <v>INN</v>
          </cell>
          <cell r="I166">
            <v>6</v>
          </cell>
          <cell r="L166" t="str">
            <v>PCS</v>
          </cell>
          <cell r="M166">
            <v>1</v>
          </cell>
          <cell r="N166">
            <v>12</v>
          </cell>
          <cell r="O166">
            <v>0</v>
          </cell>
          <cell r="P166">
            <v>72</v>
          </cell>
          <cell r="Q166">
            <v>247647</v>
          </cell>
          <cell r="R166">
            <v>272163</v>
          </cell>
          <cell r="S166">
            <v>330114</v>
          </cell>
          <cell r="T166">
            <v>272163</v>
          </cell>
          <cell r="U166" t="str">
            <v>AKTIF</v>
          </cell>
          <cell r="V166">
            <v>3439.5416666666665</v>
          </cell>
          <cell r="W166">
            <v>3780.0416666666665</v>
          </cell>
          <cell r="X166">
            <v>4584.916666666667</v>
          </cell>
        </row>
        <row r="167">
          <cell r="A167" t="str">
            <v>F1A.AFARADE.01</v>
          </cell>
          <cell r="B167" t="str">
            <v>AGARASA REG VANILLA INN</v>
          </cell>
          <cell r="C167" t="str">
            <v>F Loc P.Agr AR-RE Vanilla Inn-B</v>
          </cell>
          <cell r="D167" t="str">
            <v>Agarasa Regular</v>
          </cell>
          <cell r="E167" t="str">
            <v>DESSERT 1</v>
          </cell>
          <cell r="F167" t="str">
            <v>CB</v>
          </cell>
          <cell r="G167">
            <v>72</v>
          </cell>
          <cell r="H167" t="str">
            <v>INN</v>
          </cell>
          <cell r="I167">
            <v>6</v>
          </cell>
          <cell r="L167" t="str">
            <v>PCS</v>
          </cell>
          <cell r="M167">
            <v>1</v>
          </cell>
          <cell r="N167">
            <v>12</v>
          </cell>
          <cell r="O167">
            <v>0</v>
          </cell>
          <cell r="P167">
            <v>72</v>
          </cell>
          <cell r="Q167">
            <v>210395</v>
          </cell>
          <cell r="R167">
            <v>231222</v>
          </cell>
          <cell r="S167">
            <v>280454</v>
          </cell>
          <cell r="T167">
            <v>231222</v>
          </cell>
          <cell r="U167" t="str">
            <v>AKTIF</v>
          </cell>
          <cell r="V167">
            <v>2922.1527777777778</v>
          </cell>
          <cell r="W167">
            <v>3211.4166666666665</v>
          </cell>
          <cell r="X167">
            <v>3895.1944444444443</v>
          </cell>
        </row>
        <row r="168">
          <cell r="A168" t="str">
            <v>F1A.AFARANL.01</v>
          </cell>
          <cell r="B168" t="str">
            <v>AGARASA REG MELON INN</v>
          </cell>
          <cell r="C168" t="str">
            <v>F Loc P.Agr AR-RE Honey Dew Inn-B</v>
          </cell>
          <cell r="D168" t="str">
            <v>Agarasa Regular</v>
          </cell>
          <cell r="E168" t="str">
            <v>DESSERT 1</v>
          </cell>
          <cell r="F168" t="str">
            <v>CB</v>
          </cell>
          <cell r="G168">
            <v>72</v>
          </cell>
          <cell r="H168" t="str">
            <v>INN</v>
          </cell>
          <cell r="I168">
            <v>6</v>
          </cell>
          <cell r="L168" t="str">
            <v>PCS</v>
          </cell>
          <cell r="M168">
            <v>1</v>
          </cell>
          <cell r="N168">
            <v>12</v>
          </cell>
          <cell r="O168">
            <v>0</v>
          </cell>
          <cell r="P168">
            <v>72</v>
          </cell>
          <cell r="Q168">
            <v>210395</v>
          </cell>
          <cell r="R168">
            <v>231222</v>
          </cell>
          <cell r="S168">
            <v>280454</v>
          </cell>
          <cell r="T168">
            <v>231222</v>
          </cell>
          <cell r="U168" t="str">
            <v>AKTIF</v>
          </cell>
          <cell r="V168">
            <v>2922.1527777777778</v>
          </cell>
          <cell r="W168">
            <v>3211.4166666666665</v>
          </cell>
          <cell r="X168">
            <v>3895.1944444444443</v>
          </cell>
        </row>
        <row r="169">
          <cell r="A169" t="str">
            <v>F1A.AFARAOB.01</v>
          </cell>
          <cell r="B169" t="str">
            <v>AGARASA REG STRAWBERRY INN</v>
          </cell>
          <cell r="C169" t="str">
            <v>F Loc P.Agr AR-RE Strawberry Inn-B</v>
          </cell>
          <cell r="D169" t="str">
            <v>Agarasa Regular</v>
          </cell>
          <cell r="E169" t="str">
            <v>DESSERT 1</v>
          </cell>
          <cell r="F169" t="str">
            <v>CB</v>
          </cell>
          <cell r="G169">
            <v>72</v>
          </cell>
          <cell r="H169" t="str">
            <v>INN</v>
          </cell>
          <cell r="I169">
            <v>6</v>
          </cell>
          <cell r="L169" t="str">
            <v>PCS</v>
          </cell>
          <cell r="M169">
            <v>1</v>
          </cell>
          <cell r="N169">
            <v>12</v>
          </cell>
          <cell r="O169">
            <v>0</v>
          </cell>
          <cell r="P169">
            <v>72</v>
          </cell>
          <cell r="Q169">
            <v>210395</v>
          </cell>
          <cell r="R169">
            <v>231222</v>
          </cell>
          <cell r="S169">
            <v>280454</v>
          </cell>
          <cell r="T169">
            <v>231222</v>
          </cell>
          <cell r="U169" t="str">
            <v>AKTIF</v>
          </cell>
          <cell r="V169">
            <v>2922.1527777777778</v>
          </cell>
          <cell r="W169">
            <v>3211.4166666666665</v>
          </cell>
          <cell r="X169">
            <v>3895.1944444444443</v>
          </cell>
        </row>
        <row r="170">
          <cell r="A170" t="str">
            <v>F1A.AFARCXD.01</v>
          </cell>
          <cell r="B170" t="str">
            <v>AGARASA SUSU ORI INN</v>
          </cell>
          <cell r="C170" t="str">
            <v>F Loc P.Agr AR-SU Original Inn-B</v>
          </cell>
          <cell r="D170" t="str">
            <v>Agarasa Susu</v>
          </cell>
          <cell r="E170" t="str">
            <v>DESSERT 1</v>
          </cell>
          <cell r="F170" t="str">
            <v>CB</v>
          </cell>
          <cell r="G170">
            <v>72</v>
          </cell>
          <cell r="H170" t="str">
            <v>INN</v>
          </cell>
          <cell r="I170">
            <v>6</v>
          </cell>
          <cell r="L170" t="str">
            <v>PCS</v>
          </cell>
          <cell r="M170">
            <v>1</v>
          </cell>
          <cell r="N170">
            <v>12</v>
          </cell>
          <cell r="O170">
            <v>0</v>
          </cell>
          <cell r="P170">
            <v>72</v>
          </cell>
          <cell r="Q170">
            <v>320742</v>
          </cell>
          <cell r="R170">
            <v>0</v>
          </cell>
          <cell r="S170">
            <v>0</v>
          </cell>
          <cell r="T170">
            <v>0</v>
          </cell>
          <cell r="U170" t="str">
            <v>AKTIF</v>
          </cell>
          <cell r="V170">
            <v>4454.75</v>
          </cell>
          <cell r="W170">
            <v>0</v>
          </cell>
          <cell r="X170">
            <v>0</v>
          </cell>
        </row>
        <row r="171">
          <cell r="A171" t="str">
            <v>F1A.AFAGAYG.03</v>
          </cell>
          <cell r="B171" t="str">
            <v>AGARIA HIJAU INN</v>
          </cell>
          <cell r="C171" t="str">
            <v>F Loc P.Agr AG-EK Hijau Inn-B</v>
          </cell>
          <cell r="D171" t="str">
            <v>Agaria Ekonomis</v>
          </cell>
          <cell r="E171" t="str">
            <v>DESSERT 1</v>
          </cell>
          <cell r="F171" t="str">
            <v>CB</v>
          </cell>
          <cell r="G171">
            <v>288</v>
          </cell>
          <cell r="H171" t="str">
            <v>INN</v>
          </cell>
          <cell r="I171">
            <v>12</v>
          </cell>
          <cell r="L171" t="str">
            <v>PCS</v>
          </cell>
          <cell r="M171">
            <v>1</v>
          </cell>
          <cell r="N171">
            <v>24</v>
          </cell>
          <cell r="O171">
            <v>0</v>
          </cell>
          <cell r="P171">
            <v>288</v>
          </cell>
          <cell r="Q171">
            <v>838008</v>
          </cell>
          <cell r="R171">
            <v>920822</v>
          </cell>
          <cell r="S171">
            <v>1114550</v>
          </cell>
          <cell r="T171">
            <v>920822</v>
          </cell>
          <cell r="U171" t="str">
            <v>AKTIF</v>
          </cell>
          <cell r="V171">
            <v>2909.75</v>
          </cell>
          <cell r="W171">
            <v>3197.2986111111113</v>
          </cell>
          <cell r="X171">
            <v>3869.9652777777778</v>
          </cell>
        </row>
        <row r="172">
          <cell r="A172" t="str">
            <v>F1A.AFAGAYH.03</v>
          </cell>
          <cell r="B172" t="str">
            <v>AGARIA PUTIH INN</v>
          </cell>
          <cell r="C172" t="str">
            <v>F Loc P.Agr AG-EK Putih Inn-B</v>
          </cell>
          <cell r="D172" t="str">
            <v>Agaria Ekonomis</v>
          </cell>
          <cell r="E172" t="str">
            <v>DESSERT 1</v>
          </cell>
          <cell r="F172" t="str">
            <v>CB</v>
          </cell>
          <cell r="G172">
            <v>288</v>
          </cell>
          <cell r="H172" t="str">
            <v>INN</v>
          </cell>
          <cell r="I172">
            <v>12</v>
          </cell>
          <cell r="L172" t="str">
            <v>PCS</v>
          </cell>
          <cell r="M172">
            <v>1</v>
          </cell>
          <cell r="N172">
            <v>24</v>
          </cell>
          <cell r="O172">
            <v>0</v>
          </cell>
          <cell r="P172">
            <v>288</v>
          </cell>
          <cell r="Q172">
            <v>838008</v>
          </cell>
          <cell r="R172">
            <v>920822</v>
          </cell>
          <cell r="S172">
            <v>1114550</v>
          </cell>
          <cell r="T172">
            <v>920822</v>
          </cell>
          <cell r="U172" t="str">
            <v>AKTIF</v>
          </cell>
          <cell r="V172">
            <v>2909.75</v>
          </cell>
          <cell r="W172">
            <v>3197.2986111111113</v>
          </cell>
          <cell r="X172">
            <v>3869.9652777777778</v>
          </cell>
        </row>
        <row r="173">
          <cell r="A173" t="str">
            <v>F1A.AFAGAYI.03</v>
          </cell>
          <cell r="B173" t="str">
            <v>AGARIA MERAH INN</v>
          </cell>
          <cell r="C173" t="str">
            <v>F Loc P.Agr AG-EK Merah Inn-B</v>
          </cell>
          <cell r="D173" t="str">
            <v>Agaria Ekonomis</v>
          </cell>
          <cell r="E173" t="str">
            <v>DESSERT 1</v>
          </cell>
          <cell r="F173" t="str">
            <v>CB</v>
          </cell>
          <cell r="G173">
            <v>288</v>
          </cell>
          <cell r="H173" t="str">
            <v>INN</v>
          </cell>
          <cell r="I173">
            <v>12</v>
          </cell>
          <cell r="L173" t="str">
            <v>PCS</v>
          </cell>
          <cell r="M173">
            <v>1</v>
          </cell>
          <cell r="N173">
            <v>24</v>
          </cell>
          <cell r="O173">
            <v>0</v>
          </cell>
          <cell r="P173">
            <v>288</v>
          </cell>
          <cell r="Q173">
            <v>838008</v>
          </cell>
          <cell r="R173">
            <v>920822</v>
          </cell>
          <cell r="S173">
            <v>1114550</v>
          </cell>
          <cell r="T173">
            <v>920822</v>
          </cell>
          <cell r="U173" t="str">
            <v>AKTIF</v>
          </cell>
          <cell r="V173">
            <v>2909.75</v>
          </cell>
          <cell r="W173">
            <v>3197.2986111111113</v>
          </cell>
          <cell r="X173">
            <v>3869.9652777777778</v>
          </cell>
        </row>
        <row r="174">
          <cell r="A174" t="str">
            <v>F1A.AFAGAYJ.03</v>
          </cell>
          <cell r="B174" t="str">
            <v>AGARIA CHOCOLATE INN</v>
          </cell>
          <cell r="C174" t="str">
            <v>F Loc P.Agr AG-EK Coklat Inn-B</v>
          </cell>
          <cell r="D174" t="str">
            <v>Agaria Ekonomis</v>
          </cell>
          <cell r="E174" t="str">
            <v>DESSERT 1</v>
          </cell>
          <cell r="F174" t="str">
            <v>CB</v>
          </cell>
          <cell r="G174">
            <v>288</v>
          </cell>
          <cell r="H174" t="str">
            <v>INN</v>
          </cell>
          <cell r="I174">
            <v>12</v>
          </cell>
          <cell r="L174" t="str">
            <v>PCS</v>
          </cell>
          <cell r="M174">
            <v>1</v>
          </cell>
          <cell r="N174">
            <v>24</v>
          </cell>
          <cell r="O174">
            <v>0</v>
          </cell>
          <cell r="P174">
            <v>288</v>
          </cell>
          <cell r="Q174">
            <v>838008</v>
          </cell>
          <cell r="R174">
            <v>920822</v>
          </cell>
          <cell r="S174">
            <v>1114550</v>
          </cell>
          <cell r="T174">
            <v>920822</v>
          </cell>
          <cell r="U174" t="str">
            <v>AKTIF</v>
          </cell>
          <cell r="V174">
            <v>2909.75</v>
          </cell>
          <cell r="W174">
            <v>3197.2986111111113</v>
          </cell>
          <cell r="X174">
            <v>3869.9652777777778</v>
          </cell>
        </row>
        <row r="175">
          <cell r="A175" t="str">
            <v>F1A.AJNCACA.01</v>
          </cell>
          <cell r="B175" t="str">
            <v>NUTRICAKE CHOCOLATE POUCH</v>
          </cell>
          <cell r="C175" t="str">
            <v>F Loc P.Cke NC-BR Chocolate Pch</v>
          </cell>
          <cell r="D175" t="str">
            <v>NUTRICAKE BROWNIES</v>
          </cell>
          <cell r="E175" t="str">
            <v>DESSERT 1</v>
          </cell>
          <cell r="F175" t="str">
            <v>CB</v>
          </cell>
          <cell r="G175">
            <v>36</v>
          </cell>
          <cell r="L175" t="str">
            <v>PCS</v>
          </cell>
          <cell r="M175">
            <v>1</v>
          </cell>
          <cell r="N175">
            <v>0</v>
          </cell>
          <cell r="O175">
            <v>0</v>
          </cell>
          <cell r="P175">
            <v>36</v>
          </cell>
          <cell r="Q175">
            <v>351256</v>
          </cell>
          <cell r="R175">
            <v>382868</v>
          </cell>
          <cell r="S175">
            <v>443244</v>
          </cell>
          <cell r="T175">
            <v>382868</v>
          </cell>
          <cell r="U175" t="str">
            <v>AKTIF</v>
          </cell>
          <cell r="V175">
            <v>9757.1111111111113</v>
          </cell>
          <cell r="W175">
            <v>10635.222222222223</v>
          </cell>
          <cell r="X175">
            <v>12312.333333333334</v>
          </cell>
        </row>
        <row r="176">
          <cell r="A176" t="str">
            <v>F1A.AGNJCNF.01</v>
          </cell>
          <cell r="B176" t="str">
            <v>NUTRIJELL BALANCED COLOUR BLUEBERRY INN</v>
          </cell>
          <cell r="C176" t="str">
            <v>F Loc P.Jly NJ-BC Blueberry Inn-B</v>
          </cell>
          <cell r="D176" t="str">
            <v>Nutrijell Balanced Colour</v>
          </cell>
          <cell r="E176" t="str">
            <v>DESSERT 1</v>
          </cell>
          <cell r="F176" t="str">
            <v>CB</v>
          </cell>
          <cell r="G176">
            <v>144</v>
          </cell>
          <cell r="H176" t="str">
            <v>INN</v>
          </cell>
          <cell r="I176">
            <v>12</v>
          </cell>
          <cell r="L176" t="str">
            <v>PCS</v>
          </cell>
          <cell r="M176">
            <v>1</v>
          </cell>
          <cell r="N176">
            <v>12</v>
          </cell>
          <cell r="O176">
            <v>0</v>
          </cell>
          <cell r="P176">
            <v>144</v>
          </cell>
          <cell r="Q176">
            <v>468587</v>
          </cell>
          <cell r="R176">
            <v>521065</v>
          </cell>
          <cell r="S176">
            <v>605640</v>
          </cell>
          <cell r="T176">
            <v>521065</v>
          </cell>
          <cell r="U176" t="str">
            <v>AKTIF</v>
          </cell>
          <cell r="V176">
            <v>3254.0763888888887</v>
          </cell>
          <cell r="W176">
            <v>3618.5069444444443</v>
          </cell>
          <cell r="X176">
            <v>4205.833333333333</v>
          </cell>
        </row>
        <row r="177">
          <cell r="A177" t="str">
            <v>F1A.AGNJCNY.01</v>
          </cell>
          <cell r="B177" t="str">
            <v>NUTRIJELL BALANCED COLOUR DELIMA INN</v>
          </cell>
          <cell r="C177" t="str">
            <v>F Loc P.Jly NJ-BC Pome Inn-B</v>
          </cell>
          <cell r="D177" t="str">
            <v>Nutrijell Balanced Colour</v>
          </cell>
          <cell r="E177" t="str">
            <v>DESSERT 1</v>
          </cell>
          <cell r="F177" t="str">
            <v>CB</v>
          </cell>
          <cell r="G177">
            <v>144</v>
          </cell>
          <cell r="H177" t="str">
            <v>INN</v>
          </cell>
          <cell r="I177">
            <v>12</v>
          </cell>
          <cell r="L177" t="str">
            <v>PCS</v>
          </cell>
          <cell r="M177">
            <v>1</v>
          </cell>
          <cell r="N177">
            <v>12</v>
          </cell>
          <cell r="O177">
            <v>0</v>
          </cell>
          <cell r="P177">
            <v>144</v>
          </cell>
          <cell r="Q177">
            <v>468587</v>
          </cell>
          <cell r="R177">
            <v>521065</v>
          </cell>
          <cell r="S177">
            <v>605640</v>
          </cell>
          <cell r="T177">
            <v>521065</v>
          </cell>
          <cell r="U177" t="str">
            <v>AKTIF</v>
          </cell>
          <cell r="V177">
            <v>3254.0763888888887</v>
          </cell>
          <cell r="W177">
            <v>3618.5069444444443</v>
          </cell>
          <cell r="X177">
            <v>4205.833333333333</v>
          </cell>
        </row>
        <row r="178">
          <cell r="A178" t="str">
            <v>F1A.AGNJCOA.01</v>
          </cell>
          <cell r="B178" t="str">
            <v>NUTRIJELL BALANCED COLOUR SIRSAK INN</v>
          </cell>
          <cell r="C178" t="str">
            <v>F Loc P.Jly NJ-BC Soursoup Inn-B</v>
          </cell>
          <cell r="D178" t="str">
            <v>Nutrijell Balanced Colour</v>
          </cell>
          <cell r="E178" t="str">
            <v>DESSERT 1</v>
          </cell>
          <cell r="F178" t="str">
            <v>CB</v>
          </cell>
          <cell r="G178">
            <v>144</v>
          </cell>
          <cell r="H178" t="str">
            <v>INN</v>
          </cell>
          <cell r="I178">
            <v>12</v>
          </cell>
          <cell r="L178" t="str">
            <v>PCS</v>
          </cell>
          <cell r="M178">
            <v>1</v>
          </cell>
          <cell r="N178">
            <v>12</v>
          </cell>
          <cell r="O178">
            <v>0</v>
          </cell>
          <cell r="P178">
            <v>144</v>
          </cell>
          <cell r="Q178">
            <v>468587</v>
          </cell>
          <cell r="R178">
            <v>521065</v>
          </cell>
          <cell r="S178">
            <v>605640</v>
          </cell>
          <cell r="T178">
            <v>521065</v>
          </cell>
          <cell r="U178" t="str">
            <v>AKTIF</v>
          </cell>
          <cell r="V178">
            <v>3254.0763888888887</v>
          </cell>
          <cell r="W178">
            <v>3618.5069444444443</v>
          </cell>
          <cell r="X178">
            <v>4205.833333333333</v>
          </cell>
        </row>
        <row r="179">
          <cell r="A179" t="str">
            <v>F1A.AGNJBCA.01</v>
          </cell>
          <cell r="B179" t="str">
            <v>NUTRIJELL EKO CHOCOLATE INN</v>
          </cell>
          <cell r="C179" t="str">
            <v>F Loc P.Jly NJ-EK Chocolate Inn-B</v>
          </cell>
          <cell r="D179" t="str">
            <v>Nutrijell Ekonomi</v>
          </cell>
          <cell r="E179" t="str">
            <v>DESSERT 1</v>
          </cell>
          <cell r="F179" t="str">
            <v>CB</v>
          </cell>
          <cell r="G179">
            <v>144</v>
          </cell>
          <cell r="H179" t="str">
            <v>INN</v>
          </cell>
          <cell r="I179">
            <v>12</v>
          </cell>
          <cell r="L179" t="str">
            <v>PCS</v>
          </cell>
          <cell r="M179">
            <v>1</v>
          </cell>
          <cell r="N179">
            <v>12</v>
          </cell>
          <cell r="O179">
            <v>0</v>
          </cell>
          <cell r="P179">
            <v>144</v>
          </cell>
          <cell r="Q179">
            <v>295586</v>
          </cell>
          <cell r="R179">
            <v>324876</v>
          </cell>
          <cell r="S179">
            <v>393129</v>
          </cell>
          <cell r="T179">
            <v>324876</v>
          </cell>
          <cell r="U179" t="str">
            <v>AKTIF</v>
          </cell>
          <cell r="V179">
            <v>2052.6805555555557</v>
          </cell>
          <cell r="W179">
            <v>2256.0833333333335</v>
          </cell>
          <cell r="X179">
            <v>2730.0625</v>
          </cell>
        </row>
        <row r="180">
          <cell r="A180" t="str">
            <v>F1A.AGNJBCZ.01</v>
          </cell>
          <cell r="B180" t="str">
            <v>NUTRIJELL EKO DARK CHOCO INN</v>
          </cell>
          <cell r="C180" t="str">
            <v>F Loc P.Jly NJ-EK Dark Choco Inn-B</v>
          </cell>
          <cell r="D180" t="str">
            <v>Nutrijell Ekonomi</v>
          </cell>
          <cell r="E180" t="str">
            <v>DESSERT 1</v>
          </cell>
          <cell r="F180" t="str">
            <v>CB</v>
          </cell>
          <cell r="G180">
            <v>144</v>
          </cell>
          <cell r="H180" t="str">
            <v>INN</v>
          </cell>
          <cell r="I180">
            <v>12</v>
          </cell>
          <cell r="L180" t="str">
            <v>PCS</v>
          </cell>
          <cell r="M180">
            <v>1</v>
          </cell>
          <cell r="N180">
            <v>12</v>
          </cell>
          <cell r="O180">
            <v>0</v>
          </cell>
          <cell r="P180">
            <v>144</v>
          </cell>
          <cell r="Q180">
            <v>295586</v>
          </cell>
          <cell r="R180">
            <v>324876</v>
          </cell>
          <cell r="S180">
            <v>393129</v>
          </cell>
          <cell r="T180">
            <v>324876</v>
          </cell>
          <cell r="U180" t="str">
            <v>AKTIF</v>
          </cell>
          <cell r="V180">
            <v>2052.6805555555557</v>
          </cell>
          <cell r="W180">
            <v>2256.0833333333335</v>
          </cell>
          <cell r="X180">
            <v>2730.0625</v>
          </cell>
        </row>
        <row r="181">
          <cell r="A181" t="str">
            <v>F1A.AGNJBDC.01</v>
          </cell>
          <cell r="B181" t="str">
            <v>NUTRIJELL EKO KELAPA INN</v>
          </cell>
          <cell r="C181" t="str">
            <v>F Loc P.Jly NJ-EK Coconut Inn-B</v>
          </cell>
          <cell r="D181" t="str">
            <v>Nutrijell Ekonomi</v>
          </cell>
          <cell r="E181" t="str">
            <v>DESSERT 1</v>
          </cell>
          <cell r="F181" t="str">
            <v>CB</v>
          </cell>
          <cell r="G181">
            <v>144</v>
          </cell>
          <cell r="H181" t="str">
            <v>INN</v>
          </cell>
          <cell r="I181">
            <v>12</v>
          </cell>
          <cell r="L181" t="str">
            <v>PCS</v>
          </cell>
          <cell r="M181">
            <v>1</v>
          </cell>
          <cell r="N181">
            <v>12</v>
          </cell>
          <cell r="O181">
            <v>0</v>
          </cell>
          <cell r="P181">
            <v>144</v>
          </cell>
          <cell r="Q181">
            <v>202782</v>
          </cell>
          <cell r="R181">
            <v>222986</v>
          </cell>
          <cell r="S181">
            <v>269700</v>
          </cell>
          <cell r="T181">
            <v>222986</v>
          </cell>
          <cell r="U181" t="str">
            <v>AKTIF</v>
          </cell>
          <cell r="V181">
            <v>1408.2083333333333</v>
          </cell>
          <cell r="W181">
            <v>1548.5138888888889</v>
          </cell>
          <cell r="X181">
            <v>1872.9166666666667</v>
          </cell>
        </row>
        <row r="182">
          <cell r="A182" t="str">
            <v>F1A.AGNJBHF.01</v>
          </cell>
          <cell r="B182" t="str">
            <v>NUTRIJELL EKO CINCAU HITAM INN</v>
          </cell>
          <cell r="C182" t="str">
            <v>F Loc P.Jly NJ-EK Black Grs Jly Inn-B</v>
          </cell>
          <cell r="D182" t="str">
            <v>Nutrijell Ekonomi</v>
          </cell>
          <cell r="E182" t="str">
            <v>DESSERT 1</v>
          </cell>
          <cell r="F182" t="str">
            <v>CB</v>
          </cell>
          <cell r="G182">
            <v>144</v>
          </cell>
          <cell r="H182" t="str">
            <v>INN</v>
          </cell>
          <cell r="I182">
            <v>12</v>
          </cell>
          <cell r="L182" t="str">
            <v>PCS</v>
          </cell>
          <cell r="M182">
            <v>1</v>
          </cell>
          <cell r="N182">
            <v>12</v>
          </cell>
          <cell r="O182">
            <v>0</v>
          </cell>
          <cell r="P182">
            <v>144</v>
          </cell>
          <cell r="Q182">
            <v>202782</v>
          </cell>
          <cell r="R182">
            <v>222986</v>
          </cell>
          <cell r="S182">
            <v>269700</v>
          </cell>
          <cell r="T182">
            <v>222986</v>
          </cell>
          <cell r="U182" t="str">
            <v>AKTIF</v>
          </cell>
          <cell r="V182">
            <v>1408.2083333333333</v>
          </cell>
          <cell r="W182">
            <v>1548.5138888888889</v>
          </cell>
          <cell r="X182">
            <v>1872.9166666666667</v>
          </cell>
        </row>
        <row r="183">
          <cell r="A183" t="str">
            <v>F1A.AGNJBNF.01</v>
          </cell>
          <cell r="B183" t="str">
            <v>NUTRIJELL EKO BLUEBERRY INN</v>
          </cell>
          <cell r="C183" t="str">
            <v>F Loc P.Jly NJ-EK Blueberry Inn-B</v>
          </cell>
          <cell r="D183" t="str">
            <v>Nutrijell Ekonomi</v>
          </cell>
          <cell r="E183" t="str">
            <v>DESSERT 1</v>
          </cell>
          <cell r="F183" t="str">
            <v>CB</v>
          </cell>
          <cell r="G183">
            <v>144</v>
          </cell>
          <cell r="H183" t="str">
            <v>INN</v>
          </cell>
          <cell r="I183">
            <v>12</v>
          </cell>
          <cell r="L183" t="str">
            <v>PCS</v>
          </cell>
          <cell r="M183">
            <v>1</v>
          </cell>
          <cell r="N183">
            <v>12</v>
          </cell>
          <cell r="O183">
            <v>0</v>
          </cell>
          <cell r="P183">
            <v>144</v>
          </cell>
          <cell r="Q183">
            <v>202782</v>
          </cell>
          <cell r="R183">
            <v>222986</v>
          </cell>
          <cell r="S183">
            <v>269700</v>
          </cell>
          <cell r="T183">
            <v>222986</v>
          </cell>
          <cell r="U183" t="str">
            <v>AKTIF</v>
          </cell>
          <cell r="V183">
            <v>1408.2083333333333</v>
          </cell>
          <cell r="W183">
            <v>1548.5138888888889</v>
          </cell>
          <cell r="X183">
            <v>1872.9166666666667</v>
          </cell>
        </row>
        <row r="184">
          <cell r="A184" t="str">
            <v>F1A.AGNJBNI.01</v>
          </cell>
          <cell r="B184" t="str">
            <v>NUTRIJELL EKO ANGGUR INN</v>
          </cell>
          <cell r="C184" t="str">
            <v>F Loc P.Jly NJ-EK Grape Inn-B</v>
          </cell>
          <cell r="D184" t="str">
            <v>Nutrijell Ekonomi</v>
          </cell>
          <cell r="E184" t="str">
            <v>DESSERT 1</v>
          </cell>
          <cell r="F184" t="str">
            <v>CB</v>
          </cell>
          <cell r="G184">
            <v>144</v>
          </cell>
          <cell r="H184" t="str">
            <v>INN</v>
          </cell>
          <cell r="I184">
            <v>12</v>
          </cell>
          <cell r="L184" t="str">
            <v>PCS</v>
          </cell>
          <cell r="M184">
            <v>1</v>
          </cell>
          <cell r="N184">
            <v>12</v>
          </cell>
          <cell r="O184">
            <v>0</v>
          </cell>
          <cell r="P184">
            <v>144</v>
          </cell>
          <cell r="Q184">
            <v>202782</v>
          </cell>
          <cell r="R184">
            <v>222986</v>
          </cell>
          <cell r="S184">
            <v>269700</v>
          </cell>
          <cell r="T184">
            <v>222986</v>
          </cell>
          <cell r="U184" t="str">
            <v>AKTIF</v>
          </cell>
          <cell r="V184">
            <v>1408.2083333333333</v>
          </cell>
          <cell r="W184">
            <v>1548.5138888888889</v>
          </cell>
          <cell r="X184">
            <v>1872.9166666666667</v>
          </cell>
        </row>
        <row r="185">
          <cell r="A185" t="str">
            <v>F1A.AGNJBNK.01</v>
          </cell>
          <cell r="B185" t="str">
            <v>NUTRIJELL EKO JAMBU BIJI INN</v>
          </cell>
          <cell r="C185" t="str">
            <v>F Loc P.Jly NJ-EK Guava Inn-B</v>
          </cell>
          <cell r="D185" t="str">
            <v>Nutrijell Ekonomi</v>
          </cell>
          <cell r="E185" t="str">
            <v>DESSERT 1</v>
          </cell>
          <cell r="F185" t="str">
            <v>CB</v>
          </cell>
          <cell r="G185">
            <v>144</v>
          </cell>
          <cell r="H185" t="str">
            <v>INN</v>
          </cell>
          <cell r="I185">
            <v>12</v>
          </cell>
          <cell r="L185" t="str">
            <v>PCS</v>
          </cell>
          <cell r="M185">
            <v>1</v>
          </cell>
          <cell r="N185">
            <v>12</v>
          </cell>
          <cell r="O185">
            <v>0</v>
          </cell>
          <cell r="P185">
            <v>144</v>
          </cell>
          <cell r="Q185">
            <v>202782</v>
          </cell>
          <cell r="R185">
            <v>222986</v>
          </cell>
          <cell r="S185">
            <v>269700</v>
          </cell>
          <cell r="T185">
            <v>222986</v>
          </cell>
          <cell r="U185" t="str">
            <v>AKTIF</v>
          </cell>
          <cell r="V185">
            <v>1408.2083333333333</v>
          </cell>
          <cell r="W185">
            <v>1548.5138888888889</v>
          </cell>
          <cell r="X185">
            <v>1872.9166666666667</v>
          </cell>
        </row>
        <row r="186">
          <cell r="A186" t="str">
            <v>F1A.AGNJBNL.01</v>
          </cell>
          <cell r="B186" t="str">
            <v>NUTRIJELL EKO MELON INN</v>
          </cell>
          <cell r="C186" t="str">
            <v>F Loc P.Jly NJ-EK Honey Dew Inn-B</v>
          </cell>
          <cell r="D186" t="str">
            <v>Nutrijell Ekonomi</v>
          </cell>
          <cell r="E186" t="str">
            <v>DESSERT 1</v>
          </cell>
          <cell r="F186" t="str">
            <v>CB</v>
          </cell>
          <cell r="G186">
            <v>144</v>
          </cell>
          <cell r="H186" t="str">
            <v>INN</v>
          </cell>
          <cell r="I186">
            <v>12</v>
          </cell>
          <cell r="L186" t="str">
            <v>PCS</v>
          </cell>
          <cell r="M186">
            <v>1</v>
          </cell>
          <cell r="N186">
            <v>12</v>
          </cell>
          <cell r="O186">
            <v>0</v>
          </cell>
          <cell r="P186">
            <v>144</v>
          </cell>
          <cell r="Q186">
            <v>202782</v>
          </cell>
          <cell r="R186">
            <v>222986</v>
          </cell>
          <cell r="S186">
            <v>269700</v>
          </cell>
          <cell r="T186">
            <v>222986</v>
          </cell>
          <cell r="U186" t="str">
            <v>AKTIF</v>
          </cell>
          <cell r="V186">
            <v>1408.2083333333333</v>
          </cell>
          <cell r="W186">
            <v>1548.5138888888889</v>
          </cell>
          <cell r="X186">
            <v>1872.9166666666667</v>
          </cell>
        </row>
        <row r="187">
          <cell r="A187" t="str">
            <v>F1A.AGNJBNQ.01</v>
          </cell>
          <cell r="B187" t="str">
            <v>NUTRIJELL EKO LECI INN</v>
          </cell>
          <cell r="C187" t="str">
            <v>F Loc P.Jly NJ-EK Lychee Inn-B</v>
          </cell>
          <cell r="D187" t="str">
            <v>Nutrijell Ekonomi</v>
          </cell>
          <cell r="E187" t="str">
            <v>DESSERT 1</v>
          </cell>
          <cell r="F187" t="str">
            <v>CB</v>
          </cell>
          <cell r="G187">
            <v>144</v>
          </cell>
          <cell r="H187" t="str">
            <v>INN</v>
          </cell>
          <cell r="I187">
            <v>12</v>
          </cell>
          <cell r="L187" t="str">
            <v>PCS</v>
          </cell>
          <cell r="M187">
            <v>1</v>
          </cell>
          <cell r="N187">
            <v>12</v>
          </cell>
          <cell r="O187">
            <v>0</v>
          </cell>
          <cell r="P187">
            <v>144</v>
          </cell>
          <cell r="Q187">
            <v>202782</v>
          </cell>
          <cell r="R187">
            <v>222986</v>
          </cell>
          <cell r="S187">
            <v>269700</v>
          </cell>
          <cell r="T187">
            <v>222986</v>
          </cell>
          <cell r="U187" t="str">
            <v>AKTIF</v>
          </cell>
          <cell r="V187">
            <v>1408.2083333333333</v>
          </cell>
          <cell r="W187">
            <v>1548.5138888888889</v>
          </cell>
          <cell r="X187">
            <v>1872.9166666666667</v>
          </cell>
        </row>
        <row r="188">
          <cell r="A188" t="str">
            <v>F1A.AGNJBNR.01</v>
          </cell>
          <cell r="B188" t="str">
            <v>NUTRIJELL EKO MANGGA INN</v>
          </cell>
          <cell r="C188" t="str">
            <v>F Loc P.Jly NJ-EK Mango Inn-B</v>
          </cell>
          <cell r="D188" t="str">
            <v>Nutrijell Ekonomi</v>
          </cell>
          <cell r="E188" t="str">
            <v>DESSERT 1</v>
          </cell>
          <cell r="F188" t="str">
            <v>CB</v>
          </cell>
          <cell r="G188">
            <v>144</v>
          </cell>
          <cell r="H188" t="str">
            <v>INN</v>
          </cell>
          <cell r="I188">
            <v>12</v>
          </cell>
          <cell r="L188" t="str">
            <v>PCS</v>
          </cell>
          <cell r="M188">
            <v>1</v>
          </cell>
          <cell r="N188">
            <v>12</v>
          </cell>
          <cell r="O188">
            <v>0</v>
          </cell>
          <cell r="P188">
            <v>144</v>
          </cell>
          <cell r="Q188">
            <v>202782</v>
          </cell>
          <cell r="R188">
            <v>222986</v>
          </cell>
          <cell r="S188">
            <v>269700</v>
          </cell>
          <cell r="T188">
            <v>222986</v>
          </cell>
          <cell r="U188" t="str">
            <v>AKTIF</v>
          </cell>
          <cell r="V188">
            <v>1408.2083333333333</v>
          </cell>
          <cell r="W188">
            <v>1548.5138888888889</v>
          </cell>
          <cell r="X188">
            <v>1872.9166666666667</v>
          </cell>
        </row>
        <row r="189">
          <cell r="A189" t="str">
            <v>F1A.AGNJBNU.01</v>
          </cell>
          <cell r="B189" t="str">
            <v>NUTRIJELL EKO JERUK INN</v>
          </cell>
          <cell r="C189" t="str">
            <v>F Loc P.Jly NJ-EK Orange Inn-B</v>
          </cell>
          <cell r="D189" t="str">
            <v>Nutrijell Ekonomi</v>
          </cell>
          <cell r="E189" t="str">
            <v>DESSERT 1</v>
          </cell>
          <cell r="F189" t="str">
            <v>CB</v>
          </cell>
          <cell r="G189">
            <v>144</v>
          </cell>
          <cell r="H189" t="str">
            <v>INN</v>
          </cell>
          <cell r="I189">
            <v>12</v>
          </cell>
          <cell r="L189" t="str">
            <v>PCS</v>
          </cell>
          <cell r="M189">
            <v>1</v>
          </cell>
          <cell r="N189">
            <v>12</v>
          </cell>
          <cell r="O189">
            <v>0</v>
          </cell>
          <cell r="P189">
            <v>144</v>
          </cell>
          <cell r="Q189">
            <v>202782</v>
          </cell>
          <cell r="R189">
            <v>222986</v>
          </cell>
          <cell r="S189">
            <v>269700</v>
          </cell>
          <cell r="T189">
            <v>222986</v>
          </cell>
          <cell r="U189" t="str">
            <v>AKTIF</v>
          </cell>
          <cell r="V189">
            <v>1408.2083333333333</v>
          </cell>
          <cell r="W189">
            <v>1548.5138888888889</v>
          </cell>
          <cell r="X189">
            <v>1872.9166666666667</v>
          </cell>
        </row>
        <row r="190">
          <cell r="A190" t="str">
            <v>F1A.AGNJBOB.01</v>
          </cell>
          <cell r="B190" t="str">
            <v>NUTRIJELL EKO STRAWBERRY INN</v>
          </cell>
          <cell r="C190" t="str">
            <v>F Loc P.Jly NJ-EK Strawberry Inn-B</v>
          </cell>
          <cell r="D190" t="str">
            <v>Nutrijell Ekonomi</v>
          </cell>
          <cell r="E190" t="str">
            <v>DESSERT 1</v>
          </cell>
          <cell r="F190" t="str">
            <v>CB</v>
          </cell>
          <cell r="G190">
            <v>144</v>
          </cell>
          <cell r="H190" t="str">
            <v>INN</v>
          </cell>
          <cell r="I190">
            <v>12</v>
          </cell>
          <cell r="L190" t="str">
            <v>PCS</v>
          </cell>
          <cell r="M190">
            <v>1</v>
          </cell>
          <cell r="N190">
            <v>12</v>
          </cell>
          <cell r="O190">
            <v>0</v>
          </cell>
          <cell r="P190">
            <v>144</v>
          </cell>
          <cell r="Q190">
            <v>202782</v>
          </cell>
          <cell r="R190">
            <v>222986</v>
          </cell>
          <cell r="S190">
            <v>269700</v>
          </cell>
          <cell r="T190">
            <v>222986</v>
          </cell>
          <cell r="U190" t="str">
            <v>AKTIF</v>
          </cell>
          <cell r="V190">
            <v>1408.2083333333333</v>
          </cell>
          <cell r="W190">
            <v>1548.5138888888889</v>
          </cell>
          <cell r="X190">
            <v>1872.9166666666667</v>
          </cell>
        </row>
        <row r="191">
          <cell r="A191" t="str">
            <v>F1A.AGNJBOJ.01</v>
          </cell>
          <cell r="B191" t="str">
            <v>NUTRIJELL EKO KURMA INN</v>
          </cell>
          <cell r="C191" t="str">
            <v>F Loc P.Jly NJ-EK Kurma Inn-B</v>
          </cell>
          <cell r="D191" t="str">
            <v>Nutrijell Ekonomi</v>
          </cell>
          <cell r="E191" t="str">
            <v>DESSERT 1</v>
          </cell>
          <cell r="F191" t="str">
            <v>CB</v>
          </cell>
          <cell r="G191">
            <v>144</v>
          </cell>
          <cell r="H191" t="str">
            <v>INN</v>
          </cell>
          <cell r="I191">
            <v>12</v>
          </cell>
          <cell r="L191" t="str">
            <v>PCS</v>
          </cell>
          <cell r="M191">
            <v>1</v>
          </cell>
          <cell r="N191">
            <v>12</v>
          </cell>
          <cell r="O191">
            <v>0</v>
          </cell>
          <cell r="P191">
            <v>144</v>
          </cell>
          <cell r="Q191">
            <v>202782</v>
          </cell>
          <cell r="R191">
            <v>222986</v>
          </cell>
          <cell r="S191">
            <v>269700</v>
          </cell>
          <cell r="T191">
            <v>222986</v>
          </cell>
          <cell r="U191" t="str">
            <v>AKTIF</v>
          </cell>
          <cell r="V191">
            <v>1408.2083333333333</v>
          </cell>
          <cell r="W191">
            <v>1548.5138888888889</v>
          </cell>
          <cell r="X191">
            <v>1872.9166666666667</v>
          </cell>
        </row>
        <row r="192">
          <cell r="A192" t="str">
            <v>F1A.AGNJBXA.01</v>
          </cell>
          <cell r="B192" t="str">
            <v>NUTRIJELL EKO PLAIN INN</v>
          </cell>
          <cell r="C192" t="str">
            <v>F Loc P.Jly NJ-EK Plain Inn-B</v>
          </cell>
          <cell r="D192" t="str">
            <v>Nutrijell Ekonomi</v>
          </cell>
          <cell r="E192" t="str">
            <v>DESSERT 1</v>
          </cell>
          <cell r="F192" t="str">
            <v>CB</v>
          </cell>
          <cell r="G192">
            <v>144</v>
          </cell>
          <cell r="H192" t="str">
            <v>INN</v>
          </cell>
          <cell r="I192">
            <v>12</v>
          </cell>
          <cell r="L192" t="str">
            <v>PCS</v>
          </cell>
          <cell r="M192">
            <v>1</v>
          </cell>
          <cell r="N192">
            <v>12</v>
          </cell>
          <cell r="O192">
            <v>0</v>
          </cell>
          <cell r="P192">
            <v>144</v>
          </cell>
          <cell r="Q192">
            <v>202782</v>
          </cell>
          <cell r="R192">
            <v>222986</v>
          </cell>
          <cell r="S192">
            <v>269700</v>
          </cell>
          <cell r="T192">
            <v>222986</v>
          </cell>
          <cell r="U192" t="str">
            <v>AKTIF</v>
          </cell>
          <cell r="V192">
            <v>1408.2083333333333</v>
          </cell>
          <cell r="W192">
            <v>1548.5138888888889</v>
          </cell>
          <cell r="X192">
            <v>1872.9166666666667</v>
          </cell>
        </row>
        <row r="193">
          <cell r="A193" t="str">
            <v>F1A.AGNJACA.01</v>
          </cell>
          <cell r="B193" t="str">
            <v>NUTRIJELL REG CHOCOLATE INN</v>
          </cell>
          <cell r="C193" t="str">
            <v>F Loc P.Jly NJ-RE Chocolate Inn-B</v>
          </cell>
          <cell r="D193" t="str">
            <v>Nutrijell Regular</v>
          </cell>
          <cell r="E193" t="str">
            <v>DESSERT 1</v>
          </cell>
          <cell r="F193" t="str">
            <v>CB</v>
          </cell>
          <cell r="G193">
            <v>144</v>
          </cell>
          <cell r="H193" t="str">
            <v>INN</v>
          </cell>
          <cell r="I193">
            <v>12</v>
          </cell>
          <cell r="L193" t="str">
            <v>PCS</v>
          </cell>
          <cell r="M193">
            <v>1</v>
          </cell>
          <cell r="N193">
            <v>12</v>
          </cell>
          <cell r="O193">
            <v>0</v>
          </cell>
          <cell r="P193">
            <v>144</v>
          </cell>
          <cell r="Q193">
            <v>617640.53</v>
          </cell>
          <cell r="R193">
            <v>678723</v>
          </cell>
          <cell r="S193">
            <v>821460.02</v>
          </cell>
          <cell r="T193">
            <v>678723</v>
          </cell>
          <cell r="U193" t="str">
            <v>AKTIF</v>
          </cell>
          <cell r="V193">
            <v>4289.1703472222225</v>
          </cell>
          <cell r="W193">
            <v>4713.354166666667</v>
          </cell>
          <cell r="X193">
            <v>5704.5834722222226</v>
          </cell>
        </row>
        <row r="194">
          <cell r="A194" t="str">
            <v>F1A.AGNJACZ.01</v>
          </cell>
          <cell r="B194" t="str">
            <v>NUTRIJELL REG DARK CHOCO INN</v>
          </cell>
          <cell r="C194" t="str">
            <v>F Loc P.Jly NJ-RE Dark Choco Inn-B</v>
          </cell>
          <cell r="D194" t="str">
            <v>Nutrijell Regular</v>
          </cell>
          <cell r="E194" t="str">
            <v>DESSERT 1</v>
          </cell>
          <cell r="F194" t="str">
            <v>CB</v>
          </cell>
          <cell r="G194">
            <v>144</v>
          </cell>
          <cell r="H194" t="str">
            <v>INN</v>
          </cell>
          <cell r="I194">
            <v>12</v>
          </cell>
          <cell r="L194" t="str">
            <v>PCS</v>
          </cell>
          <cell r="M194">
            <v>1</v>
          </cell>
          <cell r="N194">
            <v>12</v>
          </cell>
          <cell r="O194">
            <v>0</v>
          </cell>
          <cell r="P194">
            <v>144</v>
          </cell>
          <cell r="Q194">
            <v>617640.53</v>
          </cell>
          <cell r="R194">
            <v>678723</v>
          </cell>
          <cell r="S194">
            <v>821460.02</v>
          </cell>
          <cell r="T194">
            <v>678723</v>
          </cell>
          <cell r="U194" t="str">
            <v>AKTIF</v>
          </cell>
          <cell r="V194">
            <v>4289.1703472222225</v>
          </cell>
          <cell r="W194">
            <v>4713.354166666667</v>
          </cell>
          <cell r="X194">
            <v>5704.5834722222226</v>
          </cell>
        </row>
        <row r="195">
          <cell r="A195" t="str">
            <v>F1A.AGNJADC.01</v>
          </cell>
          <cell r="B195" t="str">
            <v>NUTRIJELL REG KELAPA INN</v>
          </cell>
          <cell r="C195" t="str">
            <v>F Loc P.Jly NJ-RE Coconut Inn-B</v>
          </cell>
          <cell r="D195" t="str">
            <v>Nutrijell Regular</v>
          </cell>
          <cell r="E195" t="str">
            <v>DESSERT 1</v>
          </cell>
          <cell r="F195" t="str">
            <v>CB</v>
          </cell>
          <cell r="G195">
            <v>144</v>
          </cell>
          <cell r="H195" t="str">
            <v>INN</v>
          </cell>
          <cell r="I195">
            <v>12</v>
          </cell>
          <cell r="L195" t="str">
            <v>PCS</v>
          </cell>
          <cell r="M195">
            <v>1</v>
          </cell>
          <cell r="N195">
            <v>12</v>
          </cell>
          <cell r="O195">
            <v>0</v>
          </cell>
          <cell r="P195">
            <v>144</v>
          </cell>
          <cell r="Q195">
            <v>507003.08</v>
          </cell>
          <cell r="R195">
            <v>557144</v>
          </cell>
          <cell r="S195">
            <v>674313</v>
          </cell>
          <cell r="T195">
            <v>557144</v>
          </cell>
          <cell r="U195" t="str">
            <v>AKTIF</v>
          </cell>
          <cell r="V195">
            <v>3520.8547222222223</v>
          </cell>
          <cell r="W195">
            <v>3869.0555555555557</v>
          </cell>
          <cell r="X195">
            <v>4682.729166666667</v>
          </cell>
        </row>
        <row r="196">
          <cell r="A196" t="str">
            <v>F1A.AGNJAHF.01</v>
          </cell>
          <cell r="B196" t="str">
            <v>NUTRIJELL REG CINCAU HITAM INN</v>
          </cell>
          <cell r="C196" t="str">
            <v>F Loc P.Jly NJ-RE Black Grs Jly Inn-B</v>
          </cell>
          <cell r="D196" t="str">
            <v>Nutrijell Regular</v>
          </cell>
          <cell r="E196" t="str">
            <v>DESSERT 1</v>
          </cell>
          <cell r="F196" t="str">
            <v>CB</v>
          </cell>
          <cell r="G196">
            <v>144</v>
          </cell>
          <cell r="H196" t="str">
            <v>INN</v>
          </cell>
          <cell r="I196">
            <v>12</v>
          </cell>
          <cell r="L196" t="str">
            <v>PCS</v>
          </cell>
          <cell r="M196">
            <v>1</v>
          </cell>
          <cell r="N196">
            <v>12</v>
          </cell>
          <cell r="O196">
            <v>0</v>
          </cell>
          <cell r="P196">
            <v>144</v>
          </cell>
          <cell r="Q196">
            <v>507003.08</v>
          </cell>
          <cell r="R196">
            <v>557144</v>
          </cell>
          <cell r="S196">
            <v>674313</v>
          </cell>
          <cell r="T196">
            <v>557144</v>
          </cell>
          <cell r="U196" t="str">
            <v>AKTIF</v>
          </cell>
          <cell r="V196">
            <v>3520.8547222222223</v>
          </cell>
          <cell r="W196">
            <v>3869.0555555555557</v>
          </cell>
          <cell r="X196">
            <v>4682.729166666667</v>
          </cell>
        </row>
        <row r="197">
          <cell r="A197" t="str">
            <v>F1A.AGNJAKA.01</v>
          </cell>
          <cell r="B197" t="str">
            <v>NUTRIJELL REG KOPI INN</v>
          </cell>
          <cell r="C197" t="str">
            <v>F Loc P.Jly NJ-RE Coffee Inn-B</v>
          </cell>
          <cell r="D197" t="str">
            <v>Nutrijell Regular</v>
          </cell>
          <cell r="E197" t="str">
            <v>DESSERT 1</v>
          </cell>
          <cell r="F197" t="str">
            <v>CB</v>
          </cell>
          <cell r="G197">
            <v>144</v>
          </cell>
          <cell r="H197" t="str">
            <v>INN</v>
          </cell>
          <cell r="I197">
            <v>12</v>
          </cell>
          <cell r="L197" t="str">
            <v>PCS</v>
          </cell>
          <cell r="M197">
            <v>1</v>
          </cell>
          <cell r="N197">
            <v>12</v>
          </cell>
          <cell r="O197">
            <v>0</v>
          </cell>
          <cell r="P197">
            <v>144</v>
          </cell>
          <cell r="Q197">
            <v>617640.53</v>
          </cell>
          <cell r="R197">
            <v>678723</v>
          </cell>
          <cell r="S197">
            <v>821460.02</v>
          </cell>
          <cell r="T197">
            <v>678723</v>
          </cell>
          <cell r="U197" t="str">
            <v>AKTIF</v>
          </cell>
          <cell r="V197">
            <v>4289.1703472222225</v>
          </cell>
          <cell r="W197">
            <v>4713.354166666667</v>
          </cell>
          <cell r="X197">
            <v>5704.5834722222226</v>
          </cell>
        </row>
        <row r="198">
          <cell r="A198" t="str">
            <v>F1A.AGNJANB.01</v>
          </cell>
          <cell r="B198" t="str">
            <v>NUTRIJELL REG ALPUKAT INN</v>
          </cell>
          <cell r="C198" t="str">
            <v>F Loc P.Jly NJ-RE Avocado Inn-B</v>
          </cell>
          <cell r="D198" t="str">
            <v>Nutrijell Regular</v>
          </cell>
          <cell r="E198" t="str">
            <v>DESSERT 1</v>
          </cell>
          <cell r="F198" t="str">
            <v>CB</v>
          </cell>
          <cell r="G198">
            <v>144</v>
          </cell>
          <cell r="H198" t="str">
            <v>INN</v>
          </cell>
          <cell r="I198">
            <v>12</v>
          </cell>
          <cell r="L198" t="str">
            <v>PCS</v>
          </cell>
          <cell r="M198">
            <v>1</v>
          </cell>
          <cell r="N198">
            <v>12</v>
          </cell>
          <cell r="O198">
            <v>0</v>
          </cell>
          <cell r="P198">
            <v>144</v>
          </cell>
          <cell r="Q198">
            <v>507003.08</v>
          </cell>
          <cell r="R198">
            <v>557144</v>
          </cell>
          <cell r="S198">
            <v>674313</v>
          </cell>
          <cell r="T198">
            <v>557144</v>
          </cell>
          <cell r="U198" t="str">
            <v>AKTIF</v>
          </cell>
          <cell r="V198">
            <v>3520.8547222222223</v>
          </cell>
          <cell r="W198">
            <v>3869.0555555555557</v>
          </cell>
          <cell r="X198">
            <v>4682.729166666667</v>
          </cell>
        </row>
        <row r="199">
          <cell r="A199" t="str">
            <v>F1A.AGNJANI.01</v>
          </cell>
          <cell r="B199" t="str">
            <v>NUTRIJELL REG ANGGUR INN</v>
          </cell>
          <cell r="C199" t="str">
            <v>F Loc P.Jly NJ-RE Grape Inn-B</v>
          </cell>
          <cell r="D199" t="str">
            <v>Nutrijell Regular</v>
          </cell>
          <cell r="E199" t="str">
            <v>DESSERT 1</v>
          </cell>
          <cell r="F199" t="str">
            <v>CB</v>
          </cell>
          <cell r="G199">
            <v>144</v>
          </cell>
          <cell r="H199" t="str">
            <v>INN</v>
          </cell>
          <cell r="I199">
            <v>12</v>
          </cell>
          <cell r="L199" t="str">
            <v>PCS</v>
          </cell>
          <cell r="M199">
            <v>1</v>
          </cell>
          <cell r="N199">
            <v>12</v>
          </cell>
          <cell r="O199">
            <v>0</v>
          </cell>
          <cell r="P199">
            <v>144</v>
          </cell>
          <cell r="Q199">
            <v>507003.08</v>
          </cell>
          <cell r="R199">
            <v>557144</v>
          </cell>
          <cell r="S199">
            <v>674313</v>
          </cell>
          <cell r="T199">
            <v>557144</v>
          </cell>
          <cell r="U199" t="str">
            <v>AKTIF</v>
          </cell>
          <cell r="V199">
            <v>3520.8547222222223</v>
          </cell>
          <cell r="W199">
            <v>3869.0555555555557</v>
          </cell>
          <cell r="X199">
            <v>4682.729166666667</v>
          </cell>
        </row>
        <row r="200">
          <cell r="A200" t="str">
            <v>F1A.AGNJANK.01</v>
          </cell>
          <cell r="B200" t="str">
            <v>NUTRIJELL REG JAMBU BIJI INN</v>
          </cell>
          <cell r="C200" t="str">
            <v>F Loc P.Jly NJ-RE Guava Inn-B</v>
          </cell>
          <cell r="D200" t="str">
            <v>Nutrijell Regular</v>
          </cell>
          <cell r="E200" t="str">
            <v>DESSERT 1</v>
          </cell>
          <cell r="F200" t="str">
            <v>CB</v>
          </cell>
          <cell r="G200">
            <v>144</v>
          </cell>
          <cell r="H200" t="str">
            <v>INN</v>
          </cell>
          <cell r="I200">
            <v>12</v>
          </cell>
          <cell r="L200" t="str">
            <v>PCS</v>
          </cell>
          <cell r="M200">
            <v>1</v>
          </cell>
          <cell r="N200">
            <v>12</v>
          </cell>
          <cell r="O200">
            <v>0</v>
          </cell>
          <cell r="P200">
            <v>144</v>
          </cell>
          <cell r="Q200">
            <v>507003.08</v>
          </cell>
          <cell r="R200">
            <v>557144</v>
          </cell>
          <cell r="S200">
            <v>674313</v>
          </cell>
          <cell r="T200">
            <v>557144</v>
          </cell>
          <cell r="U200" t="str">
            <v>AKTIF</v>
          </cell>
          <cell r="V200">
            <v>3520.8547222222223</v>
          </cell>
          <cell r="W200">
            <v>3869.0555555555557</v>
          </cell>
          <cell r="X200">
            <v>4682.729166666667</v>
          </cell>
        </row>
        <row r="201">
          <cell r="A201" t="str">
            <v>F1A.AGNJANL.01</v>
          </cell>
          <cell r="B201" t="str">
            <v>NUTRIJELL REG MELON INN</v>
          </cell>
          <cell r="C201" t="str">
            <v>F Loc P.Jly NJ-RE Honey Dew Inn-B</v>
          </cell>
          <cell r="D201" t="str">
            <v>Nutrijell Regular</v>
          </cell>
          <cell r="E201" t="str">
            <v>DESSERT 1</v>
          </cell>
          <cell r="F201" t="str">
            <v>CB</v>
          </cell>
          <cell r="G201">
            <v>144</v>
          </cell>
          <cell r="H201" t="str">
            <v>INN</v>
          </cell>
          <cell r="I201">
            <v>12</v>
          </cell>
          <cell r="L201" t="str">
            <v>PCS</v>
          </cell>
          <cell r="M201">
            <v>1</v>
          </cell>
          <cell r="N201">
            <v>12</v>
          </cell>
          <cell r="O201">
            <v>0</v>
          </cell>
          <cell r="P201">
            <v>144</v>
          </cell>
          <cell r="Q201">
            <v>507003.08</v>
          </cell>
          <cell r="R201">
            <v>557144</v>
          </cell>
          <cell r="S201">
            <v>674313</v>
          </cell>
          <cell r="T201">
            <v>557144</v>
          </cell>
          <cell r="U201" t="str">
            <v>AKTIF</v>
          </cell>
          <cell r="V201">
            <v>3520.8547222222223</v>
          </cell>
          <cell r="W201">
            <v>3869.0555555555557</v>
          </cell>
          <cell r="X201">
            <v>4682.729166666667</v>
          </cell>
        </row>
        <row r="202">
          <cell r="A202" t="str">
            <v>F1A.AGNJANQ.01</v>
          </cell>
          <cell r="B202" t="str">
            <v>NUTRIJELL REG LECI INN</v>
          </cell>
          <cell r="C202" t="str">
            <v>F Loc P.Jly NJ-RE Lychee Inn-B</v>
          </cell>
          <cell r="D202" t="str">
            <v>Nutrijell Regular</v>
          </cell>
          <cell r="E202" t="str">
            <v>DESSERT 1</v>
          </cell>
          <cell r="F202" t="str">
            <v>CB</v>
          </cell>
          <cell r="G202">
            <v>144</v>
          </cell>
          <cell r="H202" t="str">
            <v>INN</v>
          </cell>
          <cell r="I202">
            <v>12</v>
          </cell>
          <cell r="L202" t="str">
            <v>PCS</v>
          </cell>
          <cell r="M202">
            <v>1</v>
          </cell>
          <cell r="N202">
            <v>12</v>
          </cell>
          <cell r="O202">
            <v>0</v>
          </cell>
          <cell r="P202">
            <v>144</v>
          </cell>
          <cell r="Q202">
            <v>507003.08</v>
          </cell>
          <cell r="R202">
            <v>557144</v>
          </cell>
          <cell r="S202">
            <v>674313</v>
          </cell>
          <cell r="T202">
            <v>557144</v>
          </cell>
          <cell r="U202" t="str">
            <v>AKTIF</v>
          </cell>
          <cell r="V202">
            <v>3520.8547222222223</v>
          </cell>
          <cell r="W202">
            <v>3869.0555555555557</v>
          </cell>
          <cell r="X202">
            <v>4682.729166666667</v>
          </cell>
        </row>
        <row r="203">
          <cell r="A203" t="str">
            <v>F1A.AGNJANR.01</v>
          </cell>
          <cell r="B203" t="str">
            <v>NUTRIJELL REG MANGGA INN</v>
          </cell>
          <cell r="C203" t="str">
            <v>F Loc P.Jly NJ-RE Mango Inn-B</v>
          </cell>
          <cell r="D203" t="str">
            <v>Nutrijell Regular</v>
          </cell>
          <cell r="E203" t="str">
            <v>DESSERT 1</v>
          </cell>
          <cell r="F203" t="str">
            <v>CB</v>
          </cell>
          <cell r="G203">
            <v>144</v>
          </cell>
          <cell r="H203" t="str">
            <v>INN</v>
          </cell>
          <cell r="I203">
            <v>12</v>
          </cell>
          <cell r="L203" t="str">
            <v>PCS</v>
          </cell>
          <cell r="M203">
            <v>1</v>
          </cell>
          <cell r="N203">
            <v>12</v>
          </cell>
          <cell r="O203">
            <v>0</v>
          </cell>
          <cell r="P203">
            <v>144</v>
          </cell>
          <cell r="Q203">
            <v>507003.08</v>
          </cell>
          <cell r="R203">
            <v>557144</v>
          </cell>
          <cell r="S203">
            <v>674313</v>
          </cell>
          <cell r="T203">
            <v>557144</v>
          </cell>
          <cell r="U203" t="str">
            <v>AKTIF</v>
          </cell>
          <cell r="V203">
            <v>3520.8547222222223</v>
          </cell>
          <cell r="W203">
            <v>3869.0555555555557</v>
          </cell>
          <cell r="X203">
            <v>4682.729166666667</v>
          </cell>
        </row>
        <row r="204">
          <cell r="A204" t="str">
            <v>F1A.AGNJANU.01</v>
          </cell>
          <cell r="B204" t="str">
            <v>NUTRIJELL REG JERUK INN</v>
          </cell>
          <cell r="C204" t="str">
            <v>F Loc P.Jly NJ-RE Orange Inn-B</v>
          </cell>
          <cell r="D204" t="str">
            <v>Nutrijell Regular</v>
          </cell>
          <cell r="E204" t="str">
            <v>DESSERT 1</v>
          </cell>
          <cell r="F204" t="str">
            <v>CB</v>
          </cell>
          <cell r="G204">
            <v>144</v>
          </cell>
          <cell r="H204" t="str">
            <v>INN</v>
          </cell>
          <cell r="I204">
            <v>12</v>
          </cell>
          <cell r="L204" t="str">
            <v>PCS</v>
          </cell>
          <cell r="M204">
            <v>1</v>
          </cell>
          <cell r="N204">
            <v>12</v>
          </cell>
          <cell r="O204">
            <v>0</v>
          </cell>
          <cell r="P204">
            <v>144</v>
          </cell>
          <cell r="Q204">
            <v>507003.08</v>
          </cell>
          <cell r="R204">
            <v>557144</v>
          </cell>
          <cell r="S204">
            <v>674313</v>
          </cell>
          <cell r="T204">
            <v>557144</v>
          </cell>
          <cell r="U204" t="str">
            <v>AKTIF</v>
          </cell>
          <cell r="V204">
            <v>3520.8547222222223</v>
          </cell>
          <cell r="W204">
            <v>3869.0555555555557</v>
          </cell>
          <cell r="X204">
            <v>4682.729166666667</v>
          </cell>
        </row>
        <row r="205">
          <cell r="A205" t="str">
            <v>F1A.AGNJAOB.01</v>
          </cell>
          <cell r="B205" t="str">
            <v>NUTRIJELL REG STRAWBERRY INN</v>
          </cell>
          <cell r="C205" t="str">
            <v>F Loc P.Jly NJ-RE Strawberry Inn-B</v>
          </cell>
          <cell r="D205" t="str">
            <v>Nutrijell Regular</v>
          </cell>
          <cell r="E205" t="str">
            <v>DESSERT 1</v>
          </cell>
          <cell r="F205" t="str">
            <v>CB</v>
          </cell>
          <cell r="G205">
            <v>144</v>
          </cell>
          <cell r="H205" t="str">
            <v>INN</v>
          </cell>
          <cell r="I205">
            <v>12</v>
          </cell>
          <cell r="L205" t="str">
            <v>PCS</v>
          </cell>
          <cell r="M205">
            <v>1</v>
          </cell>
          <cell r="N205">
            <v>12</v>
          </cell>
          <cell r="O205">
            <v>0</v>
          </cell>
          <cell r="P205">
            <v>144</v>
          </cell>
          <cell r="Q205">
            <v>507003.08</v>
          </cell>
          <cell r="R205">
            <v>557144</v>
          </cell>
          <cell r="S205">
            <v>674313</v>
          </cell>
          <cell r="T205">
            <v>557144</v>
          </cell>
          <cell r="U205" t="str">
            <v>AKTIF</v>
          </cell>
          <cell r="V205">
            <v>3520.8547222222223</v>
          </cell>
          <cell r="W205">
            <v>3869.0555555555557</v>
          </cell>
          <cell r="X205">
            <v>4682.729166666667</v>
          </cell>
        </row>
        <row r="206">
          <cell r="A206" t="str">
            <v>F1A.AGNJAOE.01</v>
          </cell>
          <cell r="B206" t="str">
            <v>NUTRIJELL REG PISANG INN</v>
          </cell>
          <cell r="C206" t="str">
            <v>F Loc P.Jly NJ-RE Banana Inn-B</v>
          </cell>
          <cell r="D206" t="str">
            <v>Nutrijell Regular</v>
          </cell>
          <cell r="E206" t="str">
            <v>DESSERT 1</v>
          </cell>
          <cell r="F206" t="str">
            <v>CB</v>
          </cell>
          <cell r="G206">
            <v>144</v>
          </cell>
          <cell r="H206" t="str">
            <v>INN</v>
          </cell>
          <cell r="I206">
            <v>12</v>
          </cell>
          <cell r="L206" t="str">
            <v>PCS</v>
          </cell>
          <cell r="M206">
            <v>1</v>
          </cell>
          <cell r="N206">
            <v>12</v>
          </cell>
          <cell r="O206">
            <v>0</v>
          </cell>
          <cell r="P206">
            <v>144</v>
          </cell>
          <cell r="Q206">
            <v>507003.08</v>
          </cell>
          <cell r="R206">
            <v>557144</v>
          </cell>
          <cell r="S206">
            <v>674313</v>
          </cell>
          <cell r="T206">
            <v>557144</v>
          </cell>
          <cell r="U206" t="str">
            <v>AKTIF</v>
          </cell>
          <cell r="V206">
            <v>3520.8547222222223</v>
          </cell>
          <cell r="W206">
            <v>3869.0555555555557</v>
          </cell>
          <cell r="X206">
            <v>4682.729166666667</v>
          </cell>
        </row>
        <row r="207">
          <cell r="A207" t="str">
            <v>F1A.AGNJAOJ.01</v>
          </cell>
          <cell r="B207" t="str">
            <v>NUTRIJELL REG KURMA INN</v>
          </cell>
          <cell r="C207" t="str">
            <v>F Loc P.Jly NJ-RE Kurma Inn-B</v>
          </cell>
          <cell r="D207" t="str">
            <v>Nutrijell Regular</v>
          </cell>
          <cell r="E207" t="str">
            <v>DESSERT 1</v>
          </cell>
          <cell r="F207" t="str">
            <v>CB</v>
          </cell>
          <cell r="G207">
            <v>144</v>
          </cell>
          <cell r="H207" t="str">
            <v>INN</v>
          </cell>
          <cell r="I207">
            <v>12</v>
          </cell>
          <cell r="L207" t="str">
            <v>PCS</v>
          </cell>
          <cell r="M207">
            <v>1</v>
          </cell>
          <cell r="N207">
            <v>12</v>
          </cell>
          <cell r="O207">
            <v>0</v>
          </cell>
          <cell r="P207">
            <v>144</v>
          </cell>
          <cell r="Q207">
            <v>507003.08</v>
          </cell>
          <cell r="R207">
            <v>557144</v>
          </cell>
          <cell r="S207">
            <v>674313</v>
          </cell>
          <cell r="T207">
            <v>557144</v>
          </cell>
          <cell r="U207" t="str">
            <v>AKTIF</v>
          </cell>
          <cell r="V207">
            <v>3520.8547222222223</v>
          </cell>
          <cell r="W207">
            <v>3869.0555555555557</v>
          </cell>
          <cell r="X207">
            <v>4682.729166666667</v>
          </cell>
        </row>
        <row r="208">
          <cell r="A208" t="str">
            <v>F1A.AGNJAON.01</v>
          </cell>
          <cell r="B208" t="str">
            <v>NUTRIJELL REG MANGGA GEDONG INN</v>
          </cell>
          <cell r="C208" t="str">
            <v>F Loc P.Jly NJ-RE Gedong Mango Inn-B</v>
          </cell>
          <cell r="D208" t="str">
            <v>Nutrijell Regular</v>
          </cell>
          <cell r="E208" t="str">
            <v>DESSERT 1</v>
          </cell>
          <cell r="F208" t="str">
            <v>CB</v>
          </cell>
          <cell r="G208">
            <v>144</v>
          </cell>
          <cell r="H208" t="str">
            <v>INN</v>
          </cell>
          <cell r="I208">
            <v>12</v>
          </cell>
          <cell r="L208" t="str">
            <v>PCS</v>
          </cell>
          <cell r="M208">
            <v>1</v>
          </cell>
          <cell r="N208">
            <v>12</v>
          </cell>
          <cell r="O208">
            <v>0</v>
          </cell>
          <cell r="P208">
            <v>144</v>
          </cell>
          <cell r="Q208">
            <v>507003.08</v>
          </cell>
          <cell r="R208">
            <v>557144</v>
          </cell>
          <cell r="S208">
            <v>674313</v>
          </cell>
          <cell r="T208">
            <v>557144</v>
          </cell>
          <cell r="U208" t="str">
            <v>AKTIF</v>
          </cell>
          <cell r="V208">
            <v>3520.8547222222223</v>
          </cell>
          <cell r="W208">
            <v>3869.0555555555557</v>
          </cell>
          <cell r="X208">
            <v>4682.729166666667</v>
          </cell>
        </row>
        <row r="209">
          <cell r="A209" t="str">
            <v>F1A.AGNJAXA.01</v>
          </cell>
          <cell r="B209" t="str">
            <v>NUTRIJELL REG PLAIN INN</v>
          </cell>
          <cell r="C209" t="str">
            <v>F Loc P.Jly NJ-RE Plain Inn-B</v>
          </cell>
          <cell r="D209" t="str">
            <v>Nutrijell Regular</v>
          </cell>
          <cell r="E209" t="str">
            <v>DESSERT 1</v>
          </cell>
          <cell r="F209" t="str">
            <v>CB</v>
          </cell>
          <cell r="G209">
            <v>144</v>
          </cell>
          <cell r="H209" t="str">
            <v>INN</v>
          </cell>
          <cell r="I209">
            <v>12</v>
          </cell>
          <cell r="L209" t="str">
            <v>PCS</v>
          </cell>
          <cell r="M209">
            <v>1</v>
          </cell>
          <cell r="N209">
            <v>12</v>
          </cell>
          <cell r="O209">
            <v>0</v>
          </cell>
          <cell r="P209">
            <v>144</v>
          </cell>
          <cell r="Q209">
            <v>507003.08</v>
          </cell>
          <cell r="R209">
            <v>557144</v>
          </cell>
          <cell r="S209">
            <v>674313</v>
          </cell>
          <cell r="T209">
            <v>557144</v>
          </cell>
          <cell r="U209" t="str">
            <v>AKTIF</v>
          </cell>
          <cell r="V209">
            <v>3520.8547222222223</v>
          </cell>
          <cell r="W209">
            <v>3869.0555555555557</v>
          </cell>
          <cell r="X209">
            <v>4682.729166666667</v>
          </cell>
        </row>
        <row r="210">
          <cell r="A210" t="str">
            <v>F1A.AGNJDNE.01</v>
          </cell>
          <cell r="B210" t="str">
            <v>NUTRIJELL YOGHURT BLACKCURRANT INN</v>
          </cell>
          <cell r="C210" t="str">
            <v>F Loc P.Jly NJ-YG Blackcurrant Inn-B</v>
          </cell>
          <cell r="D210" t="str">
            <v>Nutrijell Yoghurt</v>
          </cell>
          <cell r="E210" t="str">
            <v>DESSERT 1</v>
          </cell>
          <cell r="F210" t="str">
            <v>CB</v>
          </cell>
          <cell r="G210">
            <v>144</v>
          </cell>
          <cell r="H210" t="str">
            <v>INN</v>
          </cell>
          <cell r="I210">
            <v>12</v>
          </cell>
          <cell r="L210" t="str">
            <v>PCS</v>
          </cell>
          <cell r="M210">
            <v>1</v>
          </cell>
          <cell r="N210">
            <v>12</v>
          </cell>
          <cell r="O210">
            <v>0</v>
          </cell>
          <cell r="P210">
            <v>144</v>
          </cell>
          <cell r="Q210">
            <v>610951.71</v>
          </cell>
          <cell r="R210">
            <v>680477</v>
          </cell>
          <cell r="S210">
            <v>791658</v>
          </cell>
          <cell r="T210">
            <v>680477</v>
          </cell>
          <cell r="U210" t="str">
            <v>AKTIF</v>
          </cell>
          <cell r="V210">
            <v>4242.7202083333332</v>
          </cell>
          <cell r="W210">
            <v>4725.5347222222226</v>
          </cell>
          <cell r="X210">
            <v>5497.625</v>
          </cell>
        </row>
        <row r="211">
          <cell r="A211" t="str">
            <v>F1A.AGNJDOB.01</v>
          </cell>
          <cell r="B211" t="str">
            <v>NUTRIJELL YOGHURT STRAWBERRY INN</v>
          </cell>
          <cell r="C211" t="str">
            <v>F Loc P.Jly NJ-YG Strawberry Inn-B</v>
          </cell>
          <cell r="D211" t="str">
            <v>Nutrijell Yoghurt</v>
          </cell>
          <cell r="E211" t="str">
            <v>DESSERT 1</v>
          </cell>
          <cell r="F211" t="str">
            <v>CB</v>
          </cell>
          <cell r="G211">
            <v>144</v>
          </cell>
          <cell r="H211" t="str">
            <v>INN</v>
          </cell>
          <cell r="I211">
            <v>12</v>
          </cell>
          <cell r="L211" t="str">
            <v>PCS</v>
          </cell>
          <cell r="M211">
            <v>1</v>
          </cell>
          <cell r="N211">
            <v>12</v>
          </cell>
          <cell r="O211">
            <v>0</v>
          </cell>
          <cell r="P211">
            <v>144</v>
          </cell>
          <cell r="Q211">
            <v>610951.71</v>
          </cell>
          <cell r="R211">
            <v>680477</v>
          </cell>
          <cell r="S211">
            <v>791658</v>
          </cell>
          <cell r="T211">
            <v>680477</v>
          </cell>
          <cell r="U211" t="str">
            <v>AKTIF</v>
          </cell>
          <cell r="V211">
            <v>4242.7202083333332</v>
          </cell>
          <cell r="W211">
            <v>4725.5347222222226</v>
          </cell>
          <cell r="X211">
            <v>5497.625</v>
          </cell>
        </row>
        <row r="212">
          <cell r="A212" t="str">
            <v>F1A.ALNDBMK.02</v>
          </cell>
          <cell r="B212" t="str">
            <v>NUTRISEDAP BUMBU SAUS TIRAM GRATIS 2 SCH</v>
          </cell>
          <cell r="C212" t="str">
            <v>F Loc P.Sav ND-BU Oyster P.2's</v>
          </cell>
          <cell r="D212" t="str">
            <v>NUTRISEDAP TEPUNG</v>
          </cell>
          <cell r="E212" t="str">
            <v>DESSERT 1</v>
          </cell>
          <cell r="F212" t="str">
            <v>CB</v>
          </cell>
          <cell r="G212">
            <v>144</v>
          </cell>
          <cell r="H212" t="str">
            <v>RCG</v>
          </cell>
          <cell r="I212">
            <v>12</v>
          </cell>
          <cell r="L212" t="str">
            <v>PCS</v>
          </cell>
          <cell r="M212">
            <v>1</v>
          </cell>
          <cell r="N212">
            <v>12</v>
          </cell>
          <cell r="O212">
            <v>0</v>
          </cell>
          <cell r="P212">
            <v>144</v>
          </cell>
          <cell r="Q212">
            <v>111240</v>
          </cell>
          <cell r="R212">
            <v>122241</v>
          </cell>
          <cell r="S212">
            <v>147949</v>
          </cell>
          <cell r="T212">
            <v>122241</v>
          </cell>
          <cell r="U212" t="str">
            <v>AKTIF</v>
          </cell>
          <cell r="V212">
            <v>772.5</v>
          </cell>
          <cell r="W212">
            <v>848.89583333333337</v>
          </cell>
          <cell r="X212">
            <v>1027.4236111111111</v>
          </cell>
        </row>
        <row r="213">
          <cell r="A213" t="str">
            <v>F1A.ALNDBNP.01</v>
          </cell>
          <cell r="B213" t="str">
            <v>NUTRISEDAP BUMBU TOLAK AMIS RENCENG</v>
          </cell>
          <cell r="C213" t="str">
            <v>F Loc P.Sav ND-BU Lime Rc</v>
          </cell>
          <cell r="D213" t="str">
            <v>NUTRISEDAP TEPUNG</v>
          </cell>
          <cell r="E213" t="str">
            <v>DESSERT 1</v>
          </cell>
          <cell r="F213" t="str">
            <v>CB</v>
          </cell>
          <cell r="G213">
            <v>200</v>
          </cell>
          <cell r="H213" t="str">
            <v>RCG</v>
          </cell>
          <cell r="I213">
            <v>10</v>
          </cell>
          <cell r="L213" t="str">
            <v>PCS</v>
          </cell>
          <cell r="M213">
            <v>1</v>
          </cell>
          <cell r="N213">
            <v>20</v>
          </cell>
          <cell r="O213">
            <v>0</v>
          </cell>
          <cell r="P213">
            <v>200</v>
          </cell>
          <cell r="Q213">
            <v>123600</v>
          </cell>
          <cell r="R213">
            <v>135824</v>
          </cell>
          <cell r="S213">
            <v>164388</v>
          </cell>
          <cell r="T213">
            <v>135824</v>
          </cell>
          <cell r="U213" t="str">
            <v>AKTIF</v>
          </cell>
          <cell r="V213">
            <v>618</v>
          </cell>
          <cell r="W213">
            <v>679.12</v>
          </cell>
          <cell r="X213">
            <v>821.94</v>
          </cell>
        </row>
        <row r="214">
          <cell r="A214" t="str">
            <v>F1A.FCNDAYK.01</v>
          </cell>
          <cell r="B214" t="str">
            <v>NUTRISEDAP TEPUNG MAIZENA RENCENG</v>
          </cell>
          <cell r="C214" t="str">
            <v>F Loc F.Ori ND-TE Maizena Rcg</v>
          </cell>
          <cell r="D214" t="str">
            <v>NUTRISEDAP TEPUNG</v>
          </cell>
          <cell r="E214" t="str">
            <v>DESSERT 1</v>
          </cell>
          <cell r="F214" t="str">
            <v>CB</v>
          </cell>
          <cell r="G214">
            <v>144</v>
          </cell>
          <cell r="H214" t="str">
            <v>BAG</v>
          </cell>
          <cell r="I214">
            <v>24</v>
          </cell>
          <cell r="J214" t="str">
            <v>RCG</v>
          </cell>
          <cell r="K214">
            <v>12</v>
          </cell>
          <cell r="L214" t="str">
            <v>PCS</v>
          </cell>
          <cell r="M214">
            <v>1</v>
          </cell>
          <cell r="N214">
            <v>6</v>
          </cell>
          <cell r="O214">
            <v>12</v>
          </cell>
          <cell r="P214">
            <v>144</v>
          </cell>
          <cell r="Q214">
            <v>88992</v>
          </cell>
          <cell r="R214">
            <v>97794</v>
          </cell>
          <cell r="S214">
            <v>118359</v>
          </cell>
          <cell r="T214">
            <v>97794</v>
          </cell>
          <cell r="U214" t="str">
            <v>AKTIF</v>
          </cell>
          <cell r="V214">
            <v>618</v>
          </cell>
          <cell r="W214">
            <v>679.125</v>
          </cell>
          <cell r="X214">
            <v>821.9375</v>
          </cell>
        </row>
        <row r="215">
          <cell r="A215" t="str">
            <v>F1A.FCNDAYK.02</v>
          </cell>
          <cell r="B215" t="str">
            <v>NUTRISEDAP TEPUNG MAIZENA INN</v>
          </cell>
          <cell r="C215" t="str">
            <v>F Loc F.Ori ND-TE Maizena Inn-B</v>
          </cell>
          <cell r="D215" t="str">
            <v>NUTRISEDAP TEPUNG</v>
          </cell>
          <cell r="E215" t="str">
            <v>DESSERT 1</v>
          </cell>
          <cell r="F215" t="str">
            <v>CB</v>
          </cell>
          <cell r="G215">
            <v>144</v>
          </cell>
          <cell r="H215" t="str">
            <v>INN</v>
          </cell>
          <cell r="I215">
            <v>12</v>
          </cell>
          <cell r="L215" t="str">
            <v>PCS</v>
          </cell>
          <cell r="M215">
            <v>1</v>
          </cell>
          <cell r="N215">
            <v>12</v>
          </cell>
          <cell r="O215">
            <v>0</v>
          </cell>
          <cell r="P215">
            <v>144</v>
          </cell>
          <cell r="Q215">
            <v>88992</v>
          </cell>
          <cell r="R215">
            <v>97794</v>
          </cell>
          <cell r="S215">
            <v>118359</v>
          </cell>
          <cell r="T215">
            <v>97794</v>
          </cell>
          <cell r="U215" t="str">
            <v>AKTIF</v>
          </cell>
          <cell r="V215">
            <v>618</v>
          </cell>
          <cell r="W215">
            <v>679.125</v>
          </cell>
          <cell r="X215">
            <v>821.9375</v>
          </cell>
        </row>
        <row r="216">
          <cell r="A216" t="str">
            <v>F1A.EBNJEDC.04</v>
          </cell>
          <cell r="B216" t="str">
            <v>JELLY SHAKE REG KELAPA</v>
          </cell>
          <cell r="C216" t="str">
            <v>F Loc D.Jly JS-BT Coconut V340.01</v>
          </cell>
          <cell r="D216" t="str">
            <v>JELLY SHAKE REGULAR</v>
          </cell>
          <cell r="E216" t="str">
            <v>DESSERT 2</v>
          </cell>
          <cell r="F216" t="str">
            <v>CB</v>
          </cell>
          <cell r="G216">
            <v>12</v>
          </cell>
          <cell r="L216" t="str">
            <v>PCS</v>
          </cell>
          <cell r="M216">
            <v>1</v>
          </cell>
          <cell r="N216">
            <v>0</v>
          </cell>
          <cell r="O216">
            <v>0</v>
          </cell>
          <cell r="P216">
            <v>12</v>
          </cell>
          <cell r="Q216">
            <v>52000</v>
          </cell>
          <cell r="R216">
            <v>57100</v>
          </cell>
          <cell r="S216">
            <v>67000</v>
          </cell>
          <cell r="T216">
            <v>57100</v>
          </cell>
          <cell r="U216" t="str">
            <v>AKTIF</v>
          </cell>
          <cell r="V216">
            <v>4333.333333333333</v>
          </cell>
          <cell r="W216">
            <v>4758.333333333333</v>
          </cell>
          <cell r="X216">
            <v>5583.333333333333</v>
          </cell>
        </row>
        <row r="217">
          <cell r="A217" t="str">
            <v>F1A.EBNJENK.04</v>
          </cell>
          <cell r="B217" t="str">
            <v>JELLY SHAKE REG JAMBU BIJI</v>
          </cell>
          <cell r="C217" t="str">
            <v>F Loc D.Jly JS-BT Guava V340.01</v>
          </cell>
          <cell r="D217" t="str">
            <v>JELLY SHAKE REGULAR</v>
          </cell>
          <cell r="E217" t="str">
            <v>DESSERT 2</v>
          </cell>
          <cell r="F217" t="str">
            <v>CB</v>
          </cell>
          <cell r="G217">
            <v>12</v>
          </cell>
          <cell r="L217" t="str">
            <v>PCS</v>
          </cell>
          <cell r="M217">
            <v>1</v>
          </cell>
          <cell r="N217">
            <v>0</v>
          </cell>
          <cell r="O217">
            <v>0</v>
          </cell>
          <cell r="P217">
            <v>12</v>
          </cell>
          <cell r="Q217">
            <v>52000</v>
          </cell>
          <cell r="R217">
            <v>57100</v>
          </cell>
          <cell r="S217">
            <v>67000</v>
          </cell>
          <cell r="T217">
            <v>57100</v>
          </cell>
          <cell r="U217" t="str">
            <v>AKTIF</v>
          </cell>
          <cell r="V217">
            <v>4333.333333333333</v>
          </cell>
          <cell r="W217">
            <v>4758.333333333333</v>
          </cell>
          <cell r="X217">
            <v>5583.333333333333</v>
          </cell>
        </row>
        <row r="218">
          <cell r="A218" t="str">
            <v>F1A.EBNJENQ.04</v>
          </cell>
          <cell r="B218" t="str">
            <v>JELLY SHAKE REG LECI</v>
          </cell>
          <cell r="C218" t="str">
            <v>F Loc D.Jly JS-BT Lychee V340.01</v>
          </cell>
          <cell r="D218" t="str">
            <v>JELLY SHAKE REGULAR</v>
          </cell>
          <cell r="E218" t="str">
            <v>DESSERT 2</v>
          </cell>
          <cell r="F218" t="str">
            <v>CB</v>
          </cell>
          <cell r="G218">
            <v>12</v>
          </cell>
          <cell r="L218" t="str">
            <v>PCS</v>
          </cell>
          <cell r="M218">
            <v>1</v>
          </cell>
          <cell r="N218">
            <v>0</v>
          </cell>
          <cell r="O218">
            <v>0</v>
          </cell>
          <cell r="P218">
            <v>12</v>
          </cell>
          <cell r="Q218">
            <v>52000</v>
          </cell>
          <cell r="R218">
            <v>57100</v>
          </cell>
          <cell r="S218">
            <v>67000</v>
          </cell>
          <cell r="T218">
            <v>57100</v>
          </cell>
          <cell r="U218" t="str">
            <v>AKTIF</v>
          </cell>
          <cell r="V218">
            <v>4333.333333333333</v>
          </cell>
          <cell r="W218">
            <v>4758.333333333333</v>
          </cell>
          <cell r="X218">
            <v>5583.333333333333</v>
          </cell>
        </row>
        <row r="219">
          <cell r="A219" t="str">
            <v>F1A.EBNJENU.04</v>
          </cell>
          <cell r="B219" t="str">
            <v>JELLY SHAKE REG JERUK</v>
          </cell>
          <cell r="C219" t="str">
            <v>F Loc D.Jly JS-BT Orange V340.01</v>
          </cell>
          <cell r="D219" t="str">
            <v>JELLY SHAKE REGULAR</v>
          </cell>
          <cell r="E219" t="str">
            <v>DESSERT 2</v>
          </cell>
          <cell r="F219" t="str">
            <v>CB</v>
          </cell>
          <cell r="G219">
            <v>12</v>
          </cell>
          <cell r="L219" t="str">
            <v>PCS</v>
          </cell>
          <cell r="M219">
            <v>1</v>
          </cell>
          <cell r="N219">
            <v>0</v>
          </cell>
          <cell r="O219">
            <v>0</v>
          </cell>
          <cell r="P219">
            <v>12</v>
          </cell>
          <cell r="Q219">
            <v>52000</v>
          </cell>
          <cell r="R219">
            <v>57100</v>
          </cell>
          <cell r="S219">
            <v>67000</v>
          </cell>
          <cell r="T219">
            <v>57100</v>
          </cell>
          <cell r="U219" t="str">
            <v>AKTIF</v>
          </cell>
          <cell r="V219">
            <v>4333.333333333333</v>
          </cell>
          <cell r="W219">
            <v>4758.333333333333</v>
          </cell>
          <cell r="X219">
            <v>5583.333333333333</v>
          </cell>
        </row>
        <row r="220">
          <cell r="A220" t="str">
            <v>F1A.AIMVACA.01</v>
          </cell>
          <cell r="B220" t="str">
            <v>MY VLA CHOCOLATE INN</v>
          </cell>
          <cell r="C220" t="str">
            <v>F Loc P.Vla MV-RE Chocolate Inn-B</v>
          </cell>
          <cell r="D220" t="str">
            <v>MY VLA PUDING</v>
          </cell>
          <cell r="E220" t="str">
            <v>DESSERT 2</v>
          </cell>
          <cell r="F220" t="str">
            <v>CB</v>
          </cell>
          <cell r="G220">
            <v>72</v>
          </cell>
          <cell r="H220" t="str">
            <v>INN</v>
          </cell>
          <cell r="I220">
            <v>6</v>
          </cell>
          <cell r="L220" t="str">
            <v>PCS</v>
          </cell>
          <cell r="M220">
            <v>1</v>
          </cell>
          <cell r="N220">
            <v>12</v>
          </cell>
          <cell r="O220">
            <v>0</v>
          </cell>
          <cell r="P220">
            <v>72</v>
          </cell>
          <cell r="Q220">
            <v>267900</v>
          </cell>
          <cell r="R220">
            <v>294400</v>
          </cell>
          <cell r="S220">
            <v>357500</v>
          </cell>
          <cell r="T220">
            <v>294400</v>
          </cell>
          <cell r="U220" t="str">
            <v>AKTIF</v>
          </cell>
          <cell r="V220">
            <v>3720.8333333333335</v>
          </cell>
          <cell r="W220">
            <v>4088.8888888888887</v>
          </cell>
          <cell r="X220">
            <v>4965.2777777777774</v>
          </cell>
        </row>
        <row r="221">
          <cell r="A221" t="str">
            <v>F1A.AIMVADE.01</v>
          </cell>
          <cell r="B221" t="str">
            <v>MY VLA VANILLA INN</v>
          </cell>
          <cell r="C221" t="str">
            <v>F Loc P.Vla MV-RE Vanilla Inn-B</v>
          </cell>
          <cell r="D221" t="str">
            <v>MY VLA PUDING</v>
          </cell>
          <cell r="E221" t="str">
            <v>DESSERT 2</v>
          </cell>
          <cell r="F221" t="str">
            <v>CB</v>
          </cell>
          <cell r="G221">
            <v>72</v>
          </cell>
          <cell r="H221" t="str">
            <v>INN</v>
          </cell>
          <cell r="I221">
            <v>6</v>
          </cell>
          <cell r="L221" t="str">
            <v>PCS</v>
          </cell>
          <cell r="M221">
            <v>1</v>
          </cell>
          <cell r="N221">
            <v>12</v>
          </cell>
          <cell r="O221">
            <v>0</v>
          </cell>
          <cell r="P221">
            <v>72</v>
          </cell>
          <cell r="Q221">
            <v>267900</v>
          </cell>
          <cell r="R221">
            <v>294400</v>
          </cell>
          <cell r="S221">
            <v>357500</v>
          </cell>
          <cell r="T221">
            <v>294400</v>
          </cell>
          <cell r="U221" t="str">
            <v>AKTIF</v>
          </cell>
          <cell r="V221">
            <v>3720.8333333333335</v>
          </cell>
          <cell r="W221">
            <v>4088.8888888888887</v>
          </cell>
          <cell r="X221">
            <v>4965.2777777777774</v>
          </cell>
        </row>
        <row r="222">
          <cell r="A222" t="str">
            <v>F1A.GAOSBNI.01</v>
          </cell>
          <cell r="B222" t="str">
            <v>OSHIHIRO HIGH JUICE ANGGUR</v>
          </cell>
          <cell r="C222" t="str">
            <v>F Loc E.Jly OS-HJ Grape Sch</v>
          </cell>
          <cell r="D222" t="str">
            <v>OSHIHIRO HIGH JUICE</v>
          </cell>
          <cell r="E222" t="str">
            <v>DESSERT 2</v>
          </cell>
          <cell r="F222" t="str">
            <v>CB</v>
          </cell>
          <cell r="G222">
            <v>144</v>
          </cell>
          <cell r="H222" t="str">
            <v>BAG</v>
          </cell>
          <cell r="I222">
            <v>6</v>
          </cell>
          <cell r="L222" t="str">
            <v>PCS</v>
          </cell>
          <cell r="M222">
            <v>1</v>
          </cell>
          <cell r="N222">
            <v>24</v>
          </cell>
          <cell r="O222">
            <v>0</v>
          </cell>
          <cell r="P222">
            <v>144</v>
          </cell>
          <cell r="Q222">
            <v>165000</v>
          </cell>
          <cell r="R222">
            <v>181500</v>
          </cell>
          <cell r="S222">
            <v>220000</v>
          </cell>
          <cell r="T222">
            <v>181500</v>
          </cell>
          <cell r="U222" t="str">
            <v>AKTIF</v>
          </cell>
          <cell r="V222">
            <v>1145.8333333333333</v>
          </cell>
          <cell r="W222">
            <v>1260.4166666666667</v>
          </cell>
          <cell r="X222">
            <v>1527.7777777777778</v>
          </cell>
        </row>
        <row r="223">
          <cell r="A223" t="str">
            <v>F1A.GAOSAOF.01</v>
          </cell>
          <cell r="B223" t="str">
            <v xml:space="preserve">OSHIHIRO ZERO CALORIES PEACH </v>
          </cell>
          <cell r="C223" t="str">
            <v>F Loc E.Jly OS-ZC Peach Sch</v>
          </cell>
          <cell r="D223" t="str">
            <v>OSHIHIRO ZERO CALORIES</v>
          </cell>
          <cell r="E223" t="str">
            <v>DESSERT 2</v>
          </cell>
          <cell r="F223" t="str">
            <v>CB</v>
          </cell>
          <cell r="G223">
            <v>144</v>
          </cell>
          <cell r="H223" t="str">
            <v>BAG</v>
          </cell>
          <cell r="I223">
            <v>6</v>
          </cell>
          <cell r="L223" t="str">
            <v>PCS</v>
          </cell>
          <cell r="M223">
            <v>1</v>
          </cell>
          <cell r="N223">
            <v>24</v>
          </cell>
          <cell r="O223">
            <v>0</v>
          </cell>
          <cell r="P223">
            <v>144</v>
          </cell>
          <cell r="Q223">
            <v>165000</v>
          </cell>
          <cell r="R223">
            <v>181500</v>
          </cell>
          <cell r="S223">
            <v>220000</v>
          </cell>
          <cell r="T223">
            <v>181500</v>
          </cell>
          <cell r="U223" t="str">
            <v>AKTIF</v>
          </cell>
          <cell r="V223">
            <v>1145.8333333333333</v>
          </cell>
          <cell r="W223">
            <v>1260.4166666666667</v>
          </cell>
          <cell r="X223">
            <v>1527.7777777777778</v>
          </cell>
        </row>
        <row r="224">
          <cell r="A224" t="str">
            <v>F1A.AHPUCBC.01</v>
          </cell>
          <cell r="B224" t="str">
            <v>PUDDING LAPIS GULA JAWA POUCH</v>
          </cell>
          <cell r="C224" t="str">
            <v>F Loc P.Pud PU-LA Palm Sugar Pch</v>
          </cell>
          <cell r="D224" t="str">
            <v>PUDDING LAPIS</v>
          </cell>
          <cell r="E224" t="str">
            <v>DESSERT 2</v>
          </cell>
          <cell r="F224" t="str">
            <v>CB</v>
          </cell>
          <cell r="G224">
            <v>36</v>
          </cell>
          <cell r="L224" t="str">
            <v>PCS</v>
          </cell>
          <cell r="M224">
            <v>1</v>
          </cell>
          <cell r="N224">
            <v>0</v>
          </cell>
          <cell r="O224">
            <v>0</v>
          </cell>
          <cell r="P224">
            <v>36</v>
          </cell>
          <cell r="Q224">
            <v>250300</v>
          </cell>
          <cell r="R224">
            <v>275100</v>
          </cell>
          <cell r="S224">
            <v>332800</v>
          </cell>
          <cell r="T224">
            <v>275100</v>
          </cell>
          <cell r="U224" t="str">
            <v>AKTIF</v>
          </cell>
          <cell r="V224">
            <v>6952.7777777777774</v>
          </cell>
          <cell r="W224">
            <v>7641.666666666667</v>
          </cell>
          <cell r="X224">
            <v>9244.4444444444453</v>
          </cell>
        </row>
        <row r="225">
          <cell r="A225" t="str">
            <v>F1A.AHPUCHE.01</v>
          </cell>
          <cell r="B225" t="str">
            <v>PUDDING LAPIS COCOPDN POUCH</v>
          </cell>
          <cell r="C225" t="str">
            <v>F Loc P.Pud PU-LA Cocopandan Pch</v>
          </cell>
          <cell r="D225" t="str">
            <v>PUDDING LAPIS</v>
          </cell>
          <cell r="E225" t="str">
            <v>DESSERT 2</v>
          </cell>
          <cell r="F225" t="str">
            <v>CB</v>
          </cell>
          <cell r="G225">
            <v>36</v>
          </cell>
          <cell r="L225" t="str">
            <v>PCS</v>
          </cell>
          <cell r="M225">
            <v>1</v>
          </cell>
          <cell r="N225">
            <v>0</v>
          </cell>
          <cell r="O225">
            <v>0</v>
          </cell>
          <cell r="P225">
            <v>36</v>
          </cell>
          <cell r="Q225">
            <v>250300</v>
          </cell>
          <cell r="R225">
            <v>275100</v>
          </cell>
          <cell r="S225">
            <v>332800</v>
          </cell>
          <cell r="T225">
            <v>275100</v>
          </cell>
          <cell r="U225" t="str">
            <v>AKTIF</v>
          </cell>
          <cell r="V225">
            <v>6952.7777777777774</v>
          </cell>
          <cell r="W225">
            <v>7641.666666666667</v>
          </cell>
          <cell r="X225">
            <v>9244.4444444444453</v>
          </cell>
        </row>
        <row r="226">
          <cell r="A226" t="str">
            <v>F1A.AHPUBHC.01</v>
          </cell>
          <cell r="B226" t="str">
            <v>PUDDING SANTAN PANDAN POUCH</v>
          </cell>
          <cell r="C226" t="str">
            <v>F Loc P.Pud PU-SA Pandan Pch</v>
          </cell>
          <cell r="D226" t="str">
            <v>PUDDING SANTAN</v>
          </cell>
          <cell r="E226" t="str">
            <v>DESSERT 2</v>
          </cell>
          <cell r="F226" t="str">
            <v>CB</v>
          </cell>
          <cell r="G226">
            <v>36</v>
          </cell>
          <cell r="L226" t="str">
            <v>PCS</v>
          </cell>
          <cell r="M226">
            <v>1</v>
          </cell>
          <cell r="N226">
            <v>0</v>
          </cell>
          <cell r="O226">
            <v>0</v>
          </cell>
          <cell r="P226">
            <v>36</v>
          </cell>
          <cell r="Q226">
            <v>250300</v>
          </cell>
          <cell r="R226">
            <v>275100</v>
          </cell>
          <cell r="S226">
            <v>332800</v>
          </cell>
          <cell r="T226">
            <v>275100</v>
          </cell>
          <cell r="U226" t="str">
            <v>AKTIF</v>
          </cell>
          <cell r="V226">
            <v>6952.7777777777774</v>
          </cell>
          <cell r="W226">
            <v>7641.666666666667</v>
          </cell>
          <cell r="X226">
            <v>9244.4444444444453</v>
          </cell>
        </row>
        <row r="227">
          <cell r="A227" t="str">
            <v>F1A.AHPUABA.01</v>
          </cell>
          <cell r="B227" t="str">
            <v>PUDDING SUSU CARAMEL POUCH</v>
          </cell>
          <cell r="C227" t="str">
            <v>F Loc P.Pud PU-SU Caramel Pch</v>
          </cell>
          <cell r="D227" t="str">
            <v>PUDDING SUSU</v>
          </cell>
          <cell r="E227" t="str">
            <v>DESSERT 2</v>
          </cell>
          <cell r="F227" t="str">
            <v>CB</v>
          </cell>
          <cell r="G227">
            <v>36</v>
          </cell>
          <cell r="L227" t="str">
            <v>PCS</v>
          </cell>
          <cell r="M227">
            <v>1</v>
          </cell>
          <cell r="N227">
            <v>0</v>
          </cell>
          <cell r="O227">
            <v>0</v>
          </cell>
          <cell r="P227">
            <v>36</v>
          </cell>
          <cell r="Q227">
            <v>250300</v>
          </cell>
          <cell r="R227">
            <v>275100</v>
          </cell>
          <cell r="S227">
            <v>332800</v>
          </cell>
          <cell r="T227">
            <v>275100</v>
          </cell>
          <cell r="U227" t="str">
            <v>AKTIF</v>
          </cell>
          <cell r="V227">
            <v>6952.7777777777774</v>
          </cell>
          <cell r="W227">
            <v>7641.666666666667</v>
          </cell>
          <cell r="X227">
            <v>9244.4444444444453</v>
          </cell>
        </row>
        <row r="228">
          <cell r="A228" t="str">
            <v>F1A.AHPUACA.01</v>
          </cell>
          <cell r="B228" t="str">
            <v>PUDDING SUSU CHOCOLATE POUCH</v>
          </cell>
          <cell r="C228" t="str">
            <v>F Loc P.Pud PU-SU Chocolate Pch</v>
          </cell>
          <cell r="D228" t="str">
            <v>PUDDING SUSU</v>
          </cell>
          <cell r="E228" t="str">
            <v>DESSERT 2</v>
          </cell>
          <cell r="F228" t="str">
            <v>CB</v>
          </cell>
          <cell r="G228">
            <v>36</v>
          </cell>
          <cell r="L228" t="str">
            <v>PCS</v>
          </cell>
          <cell r="M228">
            <v>1</v>
          </cell>
          <cell r="N228">
            <v>0</v>
          </cell>
          <cell r="O228">
            <v>0</v>
          </cell>
          <cell r="P228">
            <v>36</v>
          </cell>
          <cell r="Q228">
            <v>257800</v>
          </cell>
          <cell r="R228">
            <v>283400</v>
          </cell>
          <cell r="S228">
            <v>342800</v>
          </cell>
          <cell r="T228">
            <v>283400</v>
          </cell>
          <cell r="U228" t="str">
            <v>AKTIF</v>
          </cell>
          <cell r="V228">
            <v>7161.1111111111113</v>
          </cell>
          <cell r="W228">
            <v>7872.2222222222226</v>
          </cell>
          <cell r="X228">
            <v>9522.2222222222226</v>
          </cell>
        </row>
        <row r="229">
          <cell r="A229" t="str">
            <v>F1A.AHPUACF.01</v>
          </cell>
          <cell r="B229" t="str">
            <v>PUDDING SUSU CAPPUCNO POUCH</v>
          </cell>
          <cell r="C229" t="str">
            <v>F Loc P.Pud PU-SU Cappucino Pch</v>
          </cell>
          <cell r="D229" t="str">
            <v>PUDDING SUSU</v>
          </cell>
          <cell r="E229" t="str">
            <v>DESSERT 2</v>
          </cell>
          <cell r="F229" t="str">
            <v>CB</v>
          </cell>
          <cell r="G229">
            <v>36</v>
          </cell>
          <cell r="L229" t="str">
            <v>PCS</v>
          </cell>
          <cell r="M229">
            <v>1</v>
          </cell>
          <cell r="N229">
            <v>0</v>
          </cell>
          <cell r="O229">
            <v>0</v>
          </cell>
          <cell r="P229">
            <v>36</v>
          </cell>
          <cell r="Q229">
            <v>250300</v>
          </cell>
          <cell r="R229">
            <v>275100</v>
          </cell>
          <cell r="S229">
            <v>332800</v>
          </cell>
          <cell r="T229">
            <v>275100</v>
          </cell>
          <cell r="U229" t="str">
            <v>AKTIF</v>
          </cell>
          <cell r="V229">
            <v>6952.7777777777774</v>
          </cell>
          <cell r="W229">
            <v>7641.666666666667</v>
          </cell>
          <cell r="X229">
            <v>9244.4444444444453</v>
          </cell>
        </row>
        <row r="230">
          <cell r="A230" t="str">
            <v>F1A.AHPUACM.01</v>
          </cell>
          <cell r="B230" t="str">
            <v>PUDDING SUSU BELGIAN CHOCOLATE POUCH</v>
          </cell>
          <cell r="C230" t="str">
            <v>F Loc P.Pud PU-SU Belgian Choco Pch</v>
          </cell>
          <cell r="D230" t="str">
            <v>PUDDING SUSU</v>
          </cell>
          <cell r="E230" t="str">
            <v>DESSERT 2</v>
          </cell>
          <cell r="F230" t="str">
            <v>CB</v>
          </cell>
          <cell r="G230">
            <v>36</v>
          </cell>
          <cell r="L230" t="str">
            <v>PCS</v>
          </cell>
          <cell r="M230">
            <v>1</v>
          </cell>
          <cell r="N230">
            <v>0</v>
          </cell>
          <cell r="O230">
            <v>0</v>
          </cell>
          <cell r="P230">
            <v>36</v>
          </cell>
          <cell r="Q230">
            <v>257800</v>
          </cell>
          <cell r="R230">
            <v>283400</v>
          </cell>
          <cell r="S230">
            <v>342800</v>
          </cell>
          <cell r="T230">
            <v>283400</v>
          </cell>
          <cell r="U230" t="str">
            <v>AKTIF</v>
          </cell>
          <cell r="V230">
            <v>7161.1111111111113</v>
          </cell>
          <cell r="W230">
            <v>7872.2222222222226</v>
          </cell>
          <cell r="X230">
            <v>9522.2222222222226</v>
          </cell>
        </row>
        <row r="231">
          <cell r="A231" t="str">
            <v>F1A.AHPUACN.01</v>
          </cell>
          <cell r="B231" t="str">
            <v>PUDDING SUSU RED VELVET POUCH</v>
          </cell>
          <cell r="C231" t="str">
            <v>F Loc P.Pud PU-SU Red Velvet Pch</v>
          </cell>
          <cell r="D231" t="str">
            <v>PUDDING SUSU</v>
          </cell>
          <cell r="E231" t="str">
            <v>DESSERT 2</v>
          </cell>
          <cell r="F231" t="str">
            <v>CB</v>
          </cell>
          <cell r="G231">
            <v>36</v>
          </cell>
          <cell r="L231" t="str">
            <v>PCS</v>
          </cell>
          <cell r="M231">
            <v>1</v>
          </cell>
          <cell r="N231">
            <v>0</v>
          </cell>
          <cell r="O231">
            <v>0</v>
          </cell>
          <cell r="P231">
            <v>36</v>
          </cell>
          <cell r="Q231">
            <v>250300</v>
          </cell>
          <cell r="R231">
            <v>275100</v>
          </cell>
          <cell r="S231">
            <v>332800</v>
          </cell>
          <cell r="T231">
            <v>275100</v>
          </cell>
          <cell r="U231" t="str">
            <v>AKTIF</v>
          </cell>
          <cell r="V231">
            <v>6952.7777777777774</v>
          </cell>
          <cell r="W231">
            <v>7641.666666666667</v>
          </cell>
          <cell r="X231">
            <v>9244.4444444444453</v>
          </cell>
        </row>
        <row r="232">
          <cell r="A232" t="str">
            <v>F1A.AHPUADE.01</v>
          </cell>
          <cell r="B232" t="str">
            <v>PUDDING SUSU VANILLA POUCH</v>
          </cell>
          <cell r="C232" t="str">
            <v>F Loc P.Pud PU-SU Vanilla Pch</v>
          </cell>
          <cell r="D232" t="str">
            <v>PUDDING SUSU</v>
          </cell>
          <cell r="E232" t="str">
            <v>DESSERT 2</v>
          </cell>
          <cell r="F232" t="str">
            <v>CB</v>
          </cell>
          <cell r="G232">
            <v>36</v>
          </cell>
          <cell r="L232" t="str">
            <v>PCS</v>
          </cell>
          <cell r="M232">
            <v>1</v>
          </cell>
          <cell r="N232">
            <v>0</v>
          </cell>
          <cell r="O232">
            <v>0</v>
          </cell>
          <cell r="P232">
            <v>36</v>
          </cell>
          <cell r="Q232">
            <v>250300</v>
          </cell>
          <cell r="R232">
            <v>275100</v>
          </cell>
          <cell r="S232">
            <v>332800</v>
          </cell>
          <cell r="T232">
            <v>275100</v>
          </cell>
          <cell r="U232" t="str">
            <v>AKTIF</v>
          </cell>
          <cell r="V232">
            <v>6952.7777777777774</v>
          </cell>
          <cell r="W232">
            <v>7641.666666666667</v>
          </cell>
          <cell r="X232">
            <v>9244.4444444444453</v>
          </cell>
        </row>
        <row r="233">
          <cell r="A233" t="str">
            <v>F1A.AHPUANL.01</v>
          </cell>
          <cell r="B233" t="str">
            <v>PUDDING SUSU MELON POUCH</v>
          </cell>
          <cell r="C233" t="str">
            <v>F Loc P.Pud PU-SU Honey Dew Pch</v>
          </cell>
          <cell r="D233" t="str">
            <v>PUDDING SUSU</v>
          </cell>
          <cell r="E233" t="str">
            <v>DESSERT 2</v>
          </cell>
          <cell r="F233" t="str">
            <v>CB</v>
          </cell>
          <cell r="G233">
            <v>36</v>
          </cell>
          <cell r="L233" t="str">
            <v>PCS</v>
          </cell>
          <cell r="M233">
            <v>1</v>
          </cell>
          <cell r="N233">
            <v>0</v>
          </cell>
          <cell r="O233">
            <v>0</v>
          </cell>
          <cell r="P233">
            <v>36</v>
          </cell>
          <cell r="Q233">
            <v>250300</v>
          </cell>
          <cell r="R233">
            <v>275100</v>
          </cell>
          <cell r="S233">
            <v>332800</v>
          </cell>
          <cell r="T233">
            <v>275100</v>
          </cell>
          <cell r="U233" t="str">
            <v>AKTIF</v>
          </cell>
          <cell r="V233">
            <v>6952.7777777777774</v>
          </cell>
          <cell r="W233">
            <v>7641.666666666667</v>
          </cell>
          <cell r="X233">
            <v>9244.4444444444453</v>
          </cell>
        </row>
        <row r="234">
          <cell r="A234" t="str">
            <v>F1A.AHPUANR.01</v>
          </cell>
          <cell r="B234" t="str">
            <v>PUDDING SUSU MANGGA POUCH</v>
          </cell>
          <cell r="C234" t="str">
            <v>F Loc P.Pud PU-SU Mango Pch</v>
          </cell>
          <cell r="D234" t="str">
            <v>PUDDING SUSU</v>
          </cell>
          <cell r="E234" t="str">
            <v>DESSERT 2</v>
          </cell>
          <cell r="F234" t="str">
            <v>CB</v>
          </cell>
          <cell r="G234">
            <v>36</v>
          </cell>
          <cell r="L234" t="str">
            <v>PCS</v>
          </cell>
          <cell r="M234">
            <v>1</v>
          </cell>
          <cell r="N234">
            <v>0</v>
          </cell>
          <cell r="O234">
            <v>0</v>
          </cell>
          <cell r="P234">
            <v>36</v>
          </cell>
          <cell r="Q234">
            <v>250300</v>
          </cell>
          <cell r="R234">
            <v>275100</v>
          </cell>
          <cell r="S234">
            <v>332800</v>
          </cell>
          <cell r="T234">
            <v>275100</v>
          </cell>
          <cell r="U234" t="str">
            <v>AKTIF</v>
          </cell>
          <cell r="V234">
            <v>6952.7777777777774</v>
          </cell>
          <cell r="W234">
            <v>7641.666666666667</v>
          </cell>
          <cell r="X234">
            <v>9244.4444444444453</v>
          </cell>
        </row>
        <row r="235">
          <cell r="A235" t="str">
            <v>F1A.AHPUAOB.01</v>
          </cell>
          <cell r="B235" t="str">
            <v>PUDDING SUSU STRAWBERRY POUCH</v>
          </cell>
          <cell r="C235" t="str">
            <v>F Loc P.Pud PU-SU Strawberry Pch</v>
          </cell>
          <cell r="D235" t="str">
            <v>PUDDING SUSU</v>
          </cell>
          <cell r="E235" t="str">
            <v>DESSERT 2</v>
          </cell>
          <cell r="F235" t="str">
            <v>CB</v>
          </cell>
          <cell r="G235">
            <v>36</v>
          </cell>
          <cell r="L235" t="str">
            <v>PCS</v>
          </cell>
          <cell r="M235">
            <v>1</v>
          </cell>
          <cell r="N235">
            <v>0</v>
          </cell>
          <cell r="O235">
            <v>0</v>
          </cell>
          <cell r="P235">
            <v>36</v>
          </cell>
          <cell r="Q235">
            <v>250300</v>
          </cell>
          <cell r="R235">
            <v>275100</v>
          </cell>
          <cell r="S235">
            <v>332800</v>
          </cell>
          <cell r="T235">
            <v>275100</v>
          </cell>
          <cell r="U235" t="str">
            <v>AKTIF</v>
          </cell>
          <cell r="V235">
            <v>6952.7777777777774</v>
          </cell>
          <cell r="W235">
            <v>7641.666666666667</v>
          </cell>
          <cell r="X235">
            <v>9244.4444444444453</v>
          </cell>
        </row>
        <row r="236">
          <cell r="A236" t="str">
            <v>F1A.AHPUAOK.01</v>
          </cell>
          <cell r="B236" t="str">
            <v>PUDDING SUSU KOREAN STRAWBERRY POUCH</v>
          </cell>
          <cell r="C236" t="str">
            <v>F Loc P.Pud PU-SU Korean Straw Pch</v>
          </cell>
          <cell r="D236" t="str">
            <v>PUDDING SUSU</v>
          </cell>
          <cell r="E236" t="str">
            <v>DESSERT 2</v>
          </cell>
          <cell r="F236" t="str">
            <v>CB</v>
          </cell>
          <cell r="G236">
            <v>36</v>
          </cell>
          <cell r="L236" t="str">
            <v>PCS</v>
          </cell>
          <cell r="M236">
            <v>1</v>
          </cell>
          <cell r="N236">
            <v>0</v>
          </cell>
          <cell r="O236">
            <v>0</v>
          </cell>
          <cell r="P236">
            <v>36</v>
          </cell>
          <cell r="Q236">
            <v>250300</v>
          </cell>
          <cell r="R236">
            <v>275100</v>
          </cell>
          <cell r="S236">
            <v>332800</v>
          </cell>
          <cell r="T236">
            <v>275100</v>
          </cell>
          <cell r="U236" t="str">
            <v>AKTIF</v>
          </cell>
          <cell r="V236">
            <v>6952.7777777777774</v>
          </cell>
          <cell r="W236">
            <v>7641.666666666667</v>
          </cell>
          <cell r="X236">
            <v>9244.4444444444453</v>
          </cell>
        </row>
        <row r="237">
          <cell r="A237" t="str">
            <v>F1A.AHPUDBE.01</v>
          </cell>
          <cell r="B237" t="str">
            <v>SILKY PUDDING BISCUIT INN</v>
          </cell>
          <cell r="C237" t="str">
            <v>F Loc P.Pud PU-SI Biscuit Inn-B</v>
          </cell>
          <cell r="D237" t="str">
            <v>SILKY PUDDING</v>
          </cell>
          <cell r="E237" t="str">
            <v>DESSERT 2</v>
          </cell>
          <cell r="F237" t="str">
            <v>CB</v>
          </cell>
          <cell r="G237">
            <v>12</v>
          </cell>
          <cell r="L237" t="str">
            <v>INN</v>
          </cell>
          <cell r="M237">
            <v>1</v>
          </cell>
          <cell r="N237">
            <v>0</v>
          </cell>
          <cell r="O237">
            <v>0</v>
          </cell>
          <cell r="P237">
            <v>12</v>
          </cell>
          <cell r="Q237">
            <v>118062</v>
          </cell>
          <cell r="R237">
            <v>128686</v>
          </cell>
          <cell r="S237">
            <v>149544</v>
          </cell>
          <cell r="T237">
            <v>128686</v>
          </cell>
          <cell r="U237" t="str">
            <v>AKTIF</v>
          </cell>
          <cell r="V237">
            <v>9838.5</v>
          </cell>
          <cell r="W237">
            <v>10723.833333333334</v>
          </cell>
          <cell r="X237">
            <v>12462</v>
          </cell>
        </row>
        <row r="238">
          <cell r="A238" t="str">
            <v>F1A.AHPUDBE.04</v>
          </cell>
          <cell r="B238" t="str">
            <v>SILKY PUDDING BISCUIT POUCH</v>
          </cell>
          <cell r="C238" t="str">
            <v>F Loc P.Pud PU-SI Biscuit Pch</v>
          </cell>
          <cell r="D238" t="str">
            <v>SILKY PUDDING</v>
          </cell>
          <cell r="E238" t="str">
            <v>DESSERT 2</v>
          </cell>
          <cell r="F238" t="str">
            <v>CB</v>
          </cell>
          <cell r="G238">
            <v>24</v>
          </cell>
          <cell r="L238" t="str">
            <v>PCS</v>
          </cell>
          <cell r="M238">
            <v>1</v>
          </cell>
          <cell r="N238">
            <v>0</v>
          </cell>
          <cell r="O238">
            <v>0</v>
          </cell>
          <cell r="P238">
            <v>24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 t="str">
            <v>AKTIF</v>
          </cell>
          <cell r="V238">
            <v>0</v>
          </cell>
          <cell r="W238">
            <v>0</v>
          </cell>
          <cell r="X238">
            <v>0</v>
          </cell>
        </row>
        <row r="239">
          <cell r="A239" t="str">
            <v>F1A.AHPUDCA.01</v>
          </cell>
          <cell r="B239" t="str">
            <v>SILKY PUDDING CHOCOLATE INN</v>
          </cell>
          <cell r="C239" t="str">
            <v>F Loc P.Pud PU-SI Chocolate Inn-B</v>
          </cell>
          <cell r="D239" t="str">
            <v>SILKY PUDDING</v>
          </cell>
          <cell r="E239" t="str">
            <v>DESSERT 2</v>
          </cell>
          <cell r="F239" t="str">
            <v>CB</v>
          </cell>
          <cell r="G239">
            <v>12</v>
          </cell>
          <cell r="L239" t="str">
            <v>INN</v>
          </cell>
          <cell r="M239">
            <v>1</v>
          </cell>
          <cell r="N239">
            <v>0</v>
          </cell>
          <cell r="O239">
            <v>0</v>
          </cell>
          <cell r="P239">
            <v>12</v>
          </cell>
          <cell r="Q239">
            <v>118062</v>
          </cell>
          <cell r="R239">
            <v>128686</v>
          </cell>
          <cell r="S239">
            <v>149544</v>
          </cell>
          <cell r="T239">
            <v>128686</v>
          </cell>
          <cell r="U239" t="str">
            <v>AKTIF</v>
          </cell>
          <cell r="V239">
            <v>9838.5</v>
          </cell>
          <cell r="W239">
            <v>10723.833333333334</v>
          </cell>
          <cell r="X239">
            <v>12462</v>
          </cell>
        </row>
        <row r="240">
          <cell r="A240" t="str">
            <v>F1A.AHPUDCA.04</v>
          </cell>
          <cell r="B240" t="str">
            <v>SILKY PUDDING CHOCOLATE POUCH</v>
          </cell>
          <cell r="C240" t="str">
            <v>F Loc P.Pud PU-SI Chocolate Pch</v>
          </cell>
          <cell r="D240" t="str">
            <v>SILKY PUDDING</v>
          </cell>
          <cell r="E240" t="str">
            <v>DESSERT 2</v>
          </cell>
          <cell r="F240" t="str">
            <v>CB</v>
          </cell>
          <cell r="G240">
            <v>24</v>
          </cell>
          <cell r="L240" t="str">
            <v>PCS</v>
          </cell>
          <cell r="M240">
            <v>1</v>
          </cell>
          <cell r="N240">
            <v>0</v>
          </cell>
          <cell r="O240">
            <v>0</v>
          </cell>
          <cell r="P240">
            <v>24</v>
          </cell>
          <cell r="Q240">
            <v>163000</v>
          </cell>
          <cell r="R240">
            <v>179000</v>
          </cell>
          <cell r="S240">
            <v>232000</v>
          </cell>
          <cell r="T240">
            <v>179000</v>
          </cell>
          <cell r="U240" t="str">
            <v>AKTIF</v>
          </cell>
          <cell r="V240">
            <v>6791.666666666667</v>
          </cell>
          <cell r="W240">
            <v>7458.333333333333</v>
          </cell>
          <cell r="X240">
            <v>9666.6666666666661</v>
          </cell>
        </row>
        <row r="241">
          <cell r="A241" t="str">
            <v>F1A.AHPUDDD.01</v>
          </cell>
          <cell r="B241" t="str">
            <v>SILKY PUDDING TARO INN</v>
          </cell>
          <cell r="C241" t="str">
            <v>F Loc P.Pud PU-SI Taro Inn-B</v>
          </cell>
          <cell r="D241" t="str">
            <v>SILKY PUDDING</v>
          </cell>
          <cell r="E241" t="str">
            <v>DESSERT 2</v>
          </cell>
          <cell r="F241" t="str">
            <v>CB</v>
          </cell>
          <cell r="G241">
            <v>12</v>
          </cell>
          <cell r="L241" t="str">
            <v>INN</v>
          </cell>
          <cell r="M241">
            <v>1</v>
          </cell>
          <cell r="N241">
            <v>0</v>
          </cell>
          <cell r="O241">
            <v>0</v>
          </cell>
          <cell r="P241">
            <v>12</v>
          </cell>
          <cell r="Q241">
            <v>118062</v>
          </cell>
          <cell r="R241">
            <v>128686</v>
          </cell>
          <cell r="S241">
            <v>149544</v>
          </cell>
          <cell r="T241">
            <v>128686</v>
          </cell>
          <cell r="U241" t="str">
            <v>AKTIF</v>
          </cell>
          <cell r="V241">
            <v>9838.5</v>
          </cell>
          <cell r="W241">
            <v>10723.833333333334</v>
          </cell>
          <cell r="X241">
            <v>12462</v>
          </cell>
        </row>
        <row r="242">
          <cell r="A242" t="str">
            <v>F1A.AHPUDDD.04</v>
          </cell>
          <cell r="B242" t="str">
            <v>SILKY PUDDING TARO POUCH</v>
          </cell>
          <cell r="C242" t="str">
            <v>F Loc P.Pud PU-SI Taro Pch</v>
          </cell>
          <cell r="D242" t="str">
            <v>SILKY PUDDING</v>
          </cell>
          <cell r="E242" t="str">
            <v>DESSERT 2</v>
          </cell>
          <cell r="F242" t="str">
            <v>CB</v>
          </cell>
          <cell r="G242">
            <v>24</v>
          </cell>
          <cell r="L242" t="str">
            <v>PCS</v>
          </cell>
          <cell r="M242">
            <v>1</v>
          </cell>
          <cell r="N242">
            <v>0</v>
          </cell>
          <cell r="O242">
            <v>0</v>
          </cell>
          <cell r="P242">
            <v>24</v>
          </cell>
          <cell r="Q242">
            <v>163000</v>
          </cell>
          <cell r="R242">
            <v>179000</v>
          </cell>
          <cell r="S242">
            <v>232000</v>
          </cell>
          <cell r="T242">
            <v>179000</v>
          </cell>
          <cell r="U242" t="str">
            <v>AKTIF</v>
          </cell>
          <cell r="V242">
            <v>6791.666666666667</v>
          </cell>
          <cell r="W242">
            <v>7458.333333333333</v>
          </cell>
          <cell r="X242">
            <v>9666.6666666666661</v>
          </cell>
        </row>
        <row r="243">
          <cell r="A243" t="str">
            <v>F1A.AHPUDFC.01</v>
          </cell>
          <cell r="B243" t="str">
            <v>SILKY PUDDING BUBBLE GUM INN</v>
          </cell>
          <cell r="C243" t="str">
            <v>F Loc P.Pud PU-SI Gummy Inn-B</v>
          </cell>
          <cell r="D243" t="str">
            <v>SILKY PUDDING</v>
          </cell>
          <cell r="E243" t="str">
            <v>DESSERT 2</v>
          </cell>
          <cell r="F243" t="str">
            <v>CB</v>
          </cell>
          <cell r="G243">
            <v>12</v>
          </cell>
          <cell r="L243" t="str">
            <v>INN</v>
          </cell>
          <cell r="M243">
            <v>1</v>
          </cell>
          <cell r="N243">
            <v>0</v>
          </cell>
          <cell r="O243">
            <v>0</v>
          </cell>
          <cell r="P243">
            <v>12</v>
          </cell>
          <cell r="Q243">
            <v>118062</v>
          </cell>
          <cell r="R243">
            <v>128686</v>
          </cell>
          <cell r="S243">
            <v>149544</v>
          </cell>
          <cell r="T243">
            <v>128686</v>
          </cell>
          <cell r="U243" t="str">
            <v>AKTIF</v>
          </cell>
          <cell r="V243">
            <v>9838.5</v>
          </cell>
          <cell r="W243">
            <v>10723.833333333334</v>
          </cell>
          <cell r="X243">
            <v>12462</v>
          </cell>
        </row>
        <row r="244">
          <cell r="A244" t="str">
            <v>F1A.AHPUDFC.04</v>
          </cell>
          <cell r="B244" t="str">
            <v>SILKY PUDDING BUBBLE GUM POUCH</v>
          </cell>
          <cell r="C244" t="str">
            <v>F Loc P.Pud PU-SI Gummy Pch</v>
          </cell>
          <cell r="D244" t="str">
            <v>SILKY PUDDING</v>
          </cell>
          <cell r="E244" t="str">
            <v>DESSERT 2</v>
          </cell>
          <cell r="F244" t="str">
            <v>CB</v>
          </cell>
          <cell r="G244">
            <v>24</v>
          </cell>
          <cell r="L244" t="str">
            <v>PCS</v>
          </cell>
          <cell r="M244">
            <v>1</v>
          </cell>
          <cell r="N244">
            <v>0</v>
          </cell>
          <cell r="O244">
            <v>0</v>
          </cell>
          <cell r="P244">
            <v>24</v>
          </cell>
          <cell r="Q244">
            <v>163000</v>
          </cell>
          <cell r="R244">
            <v>179000</v>
          </cell>
          <cell r="S244">
            <v>232000</v>
          </cell>
          <cell r="T244">
            <v>179000</v>
          </cell>
          <cell r="U244" t="str">
            <v>AKTIF</v>
          </cell>
          <cell r="V244">
            <v>6791.666666666667</v>
          </cell>
          <cell r="W244">
            <v>7458.333333333333</v>
          </cell>
          <cell r="X244">
            <v>9666.6666666666661</v>
          </cell>
        </row>
        <row r="245">
          <cell r="A245" t="str">
            <v>F1A.AHPUDNB.01</v>
          </cell>
          <cell r="B245" t="str">
            <v>SILKY PUDDING ALPUKAT INN</v>
          </cell>
          <cell r="C245" t="str">
            <v>F Loc P.Pud PU-SI Avocado Inn-B</v>
          </cell>
          <cell r="D245" t="str">
            <v>SILKY PUDDING</v>
          </cell>
          <cell r="E245" t="str">
            <v>DESSERT 2</v>
          </cell>
          <cell r="F245" t="str">
            <v>CB</v>
          </cell>
          <cell r="G245">
            <v>12</v>
          </cell>
          <cell r="L245" t="str">
            <v>INN</v>
          </cell>
          <cell r="M245">
            <v>1</v>
          </cell>
          <cell r="N245">
            <v>0</v>
          </cell>
          <cell r="O245">
            <v>0</v>
          </cell>
          <cell r="P245">
            <v>12</v>
          </cell>
          <cell r="Q245">
            <v>118062</v>
          </cell>
          <cell r="R245">
            <v>128686</v>
          </cell>
          <cell r="S245">
            <v>149544</v>
          </cell>
          <cell r="T245">
            <v>128686</v>
          </cell>
          <cell r="U245" t="str">
            <v>AKTIF</v>
          </cell>
          <cell r="V245">
            <v>9838.5</v>
          </cell>
          <cell r="W245">
            <v>10723.833333333334</v>
          </cell>
          <cell r="X245">
            <v>12462</v>
          </cell>
        </row>
        <row r="246">
          <cell r="A246" t="str">
            <v>F1A.AHPUDNB.04</v>
          </cell>
          <cell r="B246" t="str">
            <v>SILKY PUDDING ALPUKAT POUCH</v>
          </cell>
          <cell r="C246" t="str">
            <v>F Loc P.Pud PU-SI Avocado Pch</v>
          </cell>
          <cell r="D246" t="str">
            <v>SILKY PUDDING</v>
          </cell>
          <cell r="E246" t="str">
            <v>DESSERT 2</v>
          </cell>
          <cell r="F246" t="str">
            <v>CB</v>
          </cell>
          <cell r="G246">
            <v>24</v>
          </cell>
          <cell r="L246" t="str">
            <v>PCS</v>
          </cell>
          <cell r="M246">
            <v>1</v>
          </cell>
          <cell r="N246">
            <v>0</v>
          </cell>
          <cell r="O246">
            <v>0</v>
          </cell>
          <cell r="P246">
            <v>24</v>
          </cell>
          <cell r="Q246">
            <v>163000</v>
          </cell>
          <cell r="R246">
            <v>179000</v>
          </cell>
          <cell r="S246">
            <v>232000</v>
          </cell>
          <cell r="T246">
            <v>179000</v>
          </cell>
          <cell r="U246" t="str">
            <v>AKTIF</v>
          </cell>
          <cell r="V246">
            <v>6791.666666666667</v>
          </cell>
          <cell r="W246">
            <v>7458.333333333333</v>
          </cell>
          <cell r="X246">
            <v>9666.6666666666661</v>
          </cell>
        </row>
        <row r="247">
          <cell r="A247" t="str">
            <v>F1A.AHPUDNQ.01</v>
          </cell>
          <cell r="B247" t="str">
            <v>SILKY PUDDING LECI INN</v>
          </cell>
          <cell r="C247" t="str">
            <v>F Loc P.Pud PU-SI Lychee Inn-B</v>
          </cell>
          <cell r="D247" t="str">
            <v>SILKY PUDDING</v>
          </cell>
          <cell r="E247" t="str">
            <v>DESSERT 2</v>
          </cell>
          <cell r="F247" t="str">
            <v>CB</v>
          </cell>
          <cell r="G247">
            <v>12</v>
          </cell>
          <cell r="L247" t="str">
            <v>INN</v>
          </cell>
          <cell r="M247">
            <v>1</v>
          </cell>
          <cell r="N247">
            <v>0</v>
          </cell>
          <cell r="O247">
            <v>0</v>
          </cell>
          <cell r="P247">
            <v>12</v>
          </cell>
          <cell r="Q247">
            <v>118062</v>
          </cell>
          <cell r="R247">
            <v>128686</v>
          </cell>
          <cell r="S247">
            <v>149544</v>
          </cell>
          <cell r="T247">
            <v>128686</v>
          </cell>
          <cell r="U247" t="str">
            <v>AKTIF</v>
          </cell>
          <cell r="V247">
            <v>9838.5</v>
          </cell>
          <cell r="W247">
            <v>10723.833333333334</v>
          </cell>
          <cell r="X247">
            <v>12462</v>
          </cell>
        </row>
        <row r="248">
          <cell r="A248" t="str">
            <v>F1A.AHPUDNQ.04</v>
          </cell>
          <cell r="B248" t="str">
            <v>SILKY PUDDING LECI POUCH</v>
          </cell>
          <cell r="C248" t="str">
            <v>F Loc P.Pud PU-SI Lychee Pch</v>
          </cell>
          <cell r="D248" t="str">
            <v>SILKY PUDDING</v>
          </cell>
          <cell r="E248" t="str">
            <v>DESSERT 2</v>
          </cell>
          <cell r="F248" t="str">
            <v>CB</v>
          </cell>
          <cell r="G248">
            <v>24</v>
          </cell>
          <cell r="L248" t="str">
            <v>PCS</v>
          </cell>
          <cell r="M248">
            <v>1</v>
          </cell>
          <cell r="N248">
            <v>0</v>
          </cell>
          <cell r="O248">
            <v>0</v>
          </cell>
          <cell r="P248">
            <v>24</v>
          </cell>
          <cell r="Q248">
            <v>163000</v>
          </cell>
          <cell r="R248">
            <v>179000</v>
          </cell>
          <cell r="S248">
            <v>232000</v>
          </cell>
          <cell r="T248">
            <v>179000</v>
          </cell>
          <cell r="U248" t="str">
            <v>AKTIF</v>
          </cell>
          <cell r="V248">
            <v>6791.666666666667</v>
          </cell>
          <cell r="W248">
            <v>7458.333333333333</v>
          </cell>
          <cell r="X248">
            <v>9666.6666666666661</v>
          </cell>
        </row>
        <row r="249">
          <cell r="A249" t="str">
            <v>F1A.AHPUDOF.01</v>
          </cell>
          <cell r="B249" t="str">
            <v>SILKY PUDDING PEACH INN</v>
          </cell>
          <cell r="C249" t="str">
            <v>F Loc P.Pud PU-SI Peach Inn-B</v>
          </cell>
          <cell r="D249" t="str">
            <v>SILKY PUDDING</v>
          </cell>
          <cell r="E249" t="str">
            <v>DESSERT 2</v>
          </cell>
          <cell r="F249" t="str">
            <v>CB</v>
          </cell>
          <cell r="G249">
            <v>12</v>
          </cell>
          <cell r="L249" t="str">
            <v>INN</v>
          </cell>
          <cell r="M249">
            <v>1</v>
          </cell>
          <cell r="N249">
            <v>0</v>
          </cell>
          <cell r="O249">
            <v>0</v>
          </cell>
          <cell r="P249">
            <v>12</v>
          </cell>
          <cell r="Q249">
            <v>118062</v>
          </cell>
          <cell r="R249">
            <v>128686</v>
          </cell>
          <cell r="S249">
            <v>149544</v>
          </cell>
          <cell r="T249">
            <v>128686</v>
          </cell>
          <cell r="U249" t="str">
            <v>AKTIF</v>
          </cell>
          <cell r="V249">
            <v>9838.5</v>
          </cell>
          <cell r="W249">
            <v>10723.833333333334</v>
          </cell>
          <cell r="X249">
            <v>12462</v>
          </cell>
        </row>
        <row r="250">
          <cell r="A250" t="str">
            <v>F1A.AHPUDOF.04</v>
          </cell>
          <cell r="B250" t="str">
            <v>SILKY PUDDING PEACH POUCH</v>
          </cell>
          <cell r="C250" t="str">
            <v>F Loc P.Pud PU-SI Peach Pch</v>
          </cell>
          <cell r="D250" t="str">
            <v>SILKY PUDDING</v>
          </cell>
          <cell r="E250" t="str">
            <v>DESSERT 2</v>
          </cell>
          <cell r="F250" t="str">
            <v>CB</v>
          </cell>
          <cell r="G250">
            <v>24</v>
          </cell>
          <cell r="L250" t="str">
            <v>PCS</v>
          </cell>
          <cell r="M250">
            <v>1</v>
          </cell>
          <cell r="N250">
            <v>0</v>
          </cell>
          <cell r="O250">
            <v>0</v>
          </cell>
          <cell r="P250">
            <v>24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 t="str">
            <v>AKTIF</v>
          </cell>
          <cell r="V250">
            <v>0</v>
          </cell>
          <cell r="W250">
            <v>0</v>
          </cell>
          <cell r="X250">
            <v>0</v>
          </cell>
        </row>
        <row r="251">
          <cell r="A251" t="str">
            <v>F1A.AHPUDOK.01</v>
          </cell>
          <cell r="B251" t="str">
            <v>SILKY PUDDING KOREAN STRAWBERRY INN</v>
          </cell>
          <cell r="C251" t="str">
            <v>F Loc P.Pud PU-SI Korean Straw Inn-B</v>
          </cell>
          <cell r="D251" t="str">
            <v>SILKY PUDDING</v>
          </cell>
          <cell r="E251" t="str">
            <v>DESSERT 2</v>
          </cell>
          <cell r="F251" t="str">
            <v>CB</v>
          </cell>
          <cell r="G251">
            <v>12</v>
          </cell>
          <cell r="L251" t="str">
            <v>INN</v>
          </cell>
          <cell r="M251">
            <v>1</v>
          </cell>
          <cell r="N251">
            <v>0</v>
          </cell>
          <cell r="O251">
            <v>0</v>
          </cell>
          <cell r="P251">
            <v>12</v>
          </cell>
          <cell r="Q251">
            <v>118062</v>
          </cell>
          <cell r="R251">
            <v>128686</v>
          </cell>
          <cell r="S251">
            <v>149544</v>
          </cell>
          <cell r="T251">
            <v>128686</v>
          </cell>
          <cell r="U251" t="str">
            <v>AKTIF</v>
          </cell>
          <cell r="V251">
            <v>9838.5</v>
          </cell>
          <cell r="W251">
            <v>10723.833333333334</v>
          </cell>
          <cell r="X251">
            <v>12462</v>
          </cell>
        </row>
        <row r="252">
          <cell r="A252" t="str">
            <v>F1A.AHPUDOK.04</v>
          </cell>
          <cell r="B252" t="str">
            <v>SILKY PUDDING KOREAN STRAWBERRY POUCH</v>
          </cell>
          <cell r="C252" t="str">
            <v>F Loc P.Pud PU-SI Korean Straw Pch</v>
          </cell>
          <cell r="D252" t="str">
            <v>SILKY PUDDING</v>
          </cell>
          <cell r="E252" t="str">
            <v>DESSERT 2</v>
          </cell>
          <cell r="F252" t="str">
            <v>CB</v>
          </cell>
          <cell r="G252">
            <v>24</v>
          </cell>
          <cell r="L252" t="str">
            <v>PCS</v>
          </cell>
          <cell r="M252">
            <v>1</v>
          </cell>
          <cell r="N252">
            <v>0</v>
          </cell>
          <cell r="O252">
            <v>0</v>
          </cell>
          <cell r="P252">
            <v>24</v>
          </cell>
          <cell r="Q252">
            <v>163000</v>
          </cell>
          <cell r="R252">
            <v>179000</v>
          </cell>
          <cell r="S252">
            <v>232000</v>
          </cell>
          <cell r="T252">
            <v>179000</v>
          </cell>
          <cell r="U252" t="str">
            <v>AKTIF</v>
          </cell>
          <cell r="V252">
            <v>6791.666666666667</v>
          </cell>
          <cell r="W252">
            <v>7458.333333333333</v>
          </cell>
          <cell r="X252">
            <v>9666.6666666666661</v>
          </cell>
        </row>
        <row r="253">
          <cell r="A253" t="str">
            <v>F1A.AHPUDTL.04</v>
          </cell>
          <cell r="B253" t="str">
            <v>SILKY PUDDING MATCHA POUCH</v>
          </cell>
          <cell r="C253" t="str">
            <v>F Loc P.Pud PU-SI Matcha Pch</v>
          </cell>
          <cell r="D253" t="str">
            <v>SILKY PUDDING</v>
          </cell>
          <cell r="E253" t="str">
            <v>DESSERT 2</v>
          </cell>
          <cell r="F253" t="str">
            <v>CB</v>
          </cell>
          <cell r="G253">
            <v>24</v>
          </cell>
          <cell r="L253" t="str">
            <v>PCS</v>
          </cell>
          <cell r="M253">
            <v>1</v>
          </cell>
          <cell r="N253">
            <v>0</v>
          </cell>
          <cell r="O253">
            <v>0</v>
          </cell>
          <cell r="P253">
            <v>24</v>
          </cell>
          <cell r="Q253">
            <v>163000</v>
          </cell>
          <cell r="R253">
            <v>179000</v>
          </cell>
          <cell r="S253">
            <v>232000</v>
          </cell>
          <cell r="T253">
            <v>179000</v>
          </cell>
          <cell r="U253" t="str">
            <v>AKTIF</v>
          </cell>
          <cell r="V253">
            <v>6791.666666666667</v>
          </cell>
          <cell r="W253">
            <v>7458.333333333333</v>
          </cell>
          <cell r="X253">
            <v>9666.6666666666661</v>
          </cell>
        </row>
        <row r="254">
          <cell r="A254" t="str">
            <v>F1A.AGDJACA.05</v>
          </cell>
          <cell r="B254" t="str">
            <v>D'JELLY CHOCOLATE INN</v>
          </cell>
          <cell r="C254" t="str">
            <v>F Loc P.Jly DJ-NE Chocolate NP</v>
          </cell>
          <cell r="D254" t="str">
            <v>D'Jelly Ekonomi</v>
          </cell>
          <cell r="E254" t="str">
            <v>DESSERT 3</v>
          </cell>
          <cell r="F254" t="str">
            <v>CB</v>
          </cell>
          <cell r="G254">
            <v>144</v>
          </cell>
          <cell r="H254" t="str">
            <v>INN</v>
          </cell>
          <cell r="I254">
            <v>12</v>
          </cell>
          <cell r="L254" t="str">
            <v>PCS</v>
          </cell>
          <cell r="M254">
            <v>1</v>
          </cell>
          <cell r="N254">
            <v>12</v>
          </cell>
          <cell r="O254">
            <v>0</v>
          </cell>
          <cell r="P254">
            <v>144</v>
          </cell>
          <cell r="Q254">
            <v>269201</v>
          </cell>
          <cell r="R254">
            <v>295825</v>
          </cell>
          <cell r="S254">
            <v>0</v>
          </cell>
          <cell r="T254">
            <v>295825</v>
          </cell>
          <cell r="U254" t="str">
            <v>AKTIF</v>
          </cell>
          <cell r="V254">
            <v>1869.4513888888889</v>
          </cell>
          <cell r="W254">
            <v>2054.3402777777778</v>
          </cell>
          <cell r="X254">
            <v>0</v>
          </cell>
        </row>
        <row r="255">
          <cell r="A255" t="str">
            <v>F1A.AGDJADC.05</v>
          </cell>
          <cell r="B255" t="str">
            <v>D'JELLY KELAPA INN</v>
          </cell>
          <cell r="C255" t="str">
            <v>F Loc P.Jly DJ-NE Coconut NP</v>
          </cell>
          <cell r="D255" t="str">
            <v>D'Jelly Ekonomi</v>
          </cell>
          <cell r="E255" t="str">
            <v>DESSERT 3</v>
          </cell>
          <cell r="F255" t="str">
            <v>CB</v>
          </cell>
          <cell r="G255">
            <v>144</v>
          </cell>
          <cell r="H255" t="str">
            <v>INN</v>
          </cell>
          <cell r="I255">
            <v>12</v>
          </cell>
          <cell r="L255" t="str">
            <v>PCS</v>
          </cell>
          <cell r="M255">
            <v>1</v>
          </cell>
          <cell r="N255">
            <v>12</v>
          </cell>
          <cell r="O255">
            <v>0</v>
          </cell>
          <cell r="P255">
            <v>144</v>
          </cell>
          <cell r="Q255">
            <v>196850</v>
          </cell>
          <cell r="R255">
            <v>216319</v>
          </cell>
          <cell r="S255">
            <v>0</v>
          </cell>
          <cell r="T255">
            <v>216319</v>
          </cell>
          <cell r="U255" t="str">
            <v>AKTIF</v>
          </cell>
          <cell r="V255">
            <v>1367.0138888888889</v>
          </cell>
          <cell r="W255">
            <v>1502.2152777777778</v>
          </cell>
          <cell r="X255">
            <v>0</v>
          </cell>
        </row>
        <row r="256">
          <cell r="A256" t="str">
            <v>F1A.AGDJAHF.05</v>
          </cell>
          <cell r="B256" t="str">
            <v>D'JELLY CINCAU HITAM INN</v>
          </cell>
          <cell r="C256" t="str">
            <v>F Loc P.Jly DJ-NE Black Grs Jly NP</v>
          </cell>
          <cell r="D256" t="str">
            <v>D'Jelly Ekonomi</v>
          </cell>
          <cell r="E256" t="str">
            <v>DESSERT 3</v>
          </cell>
          <cell r="F256" t="str">
            <v>CB</v>
          </cell>
          <cell r="G256">
            <v>144</v>
          </cell>
          <cell r="H256" t="str">
            <v>INN</v>
          </cell>
          <cell r="I256">
            <v>12</v>
          </cell>
          <cell r="L256" t="str">
            <v>PCS</v>
          </cell>
          <cell r="M256">
            <v>1</v>
          </cell>
          <cell r="N256">
            <v>12</v>
          </cell>
          <cell r="O256">
            <v>0</v>
          </cell>
          <cell r="P256">
            <v>144</v>
          </cell>
          <cell r="Q256">
            <v>196850</v>
          </cell>
          <cell r="R256">
            <v>216319</v>
          </cell>
          <cell r="S256">
            <v>0</v>
          </cell>
          <cell r="T256">
            <v>216319</v>
          </cell>
          <cell r="U256" t="str">
            <v>AKTIF</v>
          </cell>
          <cell r="V256">
            <v>1367.0138888888889</v>
          </cell>
          <cell r="W256">
            <v>1502.2152777777778</v>
          </cell>
          <cell r="X256">
            <v>0</v>
          </cell>
        </row>
        <row r="257">
          <cell r="A257" t="str">
            <v>F1A.AGDJANI.05</v>
          </cell>
          <cell r="B257" t="str">
            <v>D'JELLY ANGGUR INN</v>
          </cell>
          <cell r="C257" t="str">
            <v>F Loc P.Jly DJ-NE Grape NP</v>
          </cell>
          <cell r="D257" t="str">
            <v>D'Jelly Ekonomi</v>
          </cell>
          <cell r="E257" t="str">
            <v>DESSERT 3</v>
          </cell>
          <cell r="F257" t="str">
            <v>CB</v>
          </cell>
          <cell r="G257">
            <v>144</v>
          </cell>
          <cell r="H257" t="str">
            <v>INN</v>
          </cell>
          <cell r="I257">
            <v>12</v>
          </cell>
          <cell r="L257" t="str">
            <v>PCS</v>
          </cell>
          <cell r="M257">
            <v>1</v>
          </cell>
          <cell r="N257">
            <v>12</v>
          </cell>
          <cell r="O257">
            <v>0</v>
          </cell>
          <cell r="P257">
            <v>144</v>
          </cell>
          <cell r="Q257">
            <v>196850</v>
          </cell>
          <cell r="R257">
            <v>216319</v>
          </cell>
          <cell r="S257">
            <v>0</v>
          </cell>
          <cell r="T257">
            <v>216319</v>
          </cell>
          <cell r="U257" t="str">
            <v>AKTIF</v>
          </cell>
          <cell r="V257">
            <v>1367.0138888888889</v>
          </cell>
          <cell r="W257">
            <v>1502.2152777777778</v>
          </cell>
          <cell r="X257">
            <v>0</v>
          </cell>
        </row>
        <row r="258">
          <cell r="A258" t="str">
            <v>F1A.AGDJANL.05</v>
          </cell>
          <cell r="B258" t="str">
            <v>D'JELLY MELON INN</v>
          </cell>
          <cell r="C258" t="str">
            <v>F Loc P.Jly DJ-NE Honey Dew NP</v>
          </cell>
          <cell r="D258" t="str">
            <v>D'Jelly Ekonomi</v>
          </cell>
          <cell r="E258" t="str">
            <v>DESSERT 3</v>
          </cell>
          <cell r="F258" t="str">
            <v>CB</v>
          </cell>
          <cell r="G258">
            <v>144</v>
          </cell>
          <cell r="H258" t="str">
            <v>INN</v>
          </cell>
          <cell r="I258">
            <v>12</v>
          </cell>
          <cell r="L258" t="str">
            <v>PCS</v>
          </cell>
          <cell r="M258">
            <v>1</v>
          </cell>
          <cell r="N258">
            <v>12</v>
          </cell>
          <cell r="O258">
            <v>0</v>
          </cell>
          <cell r="P258">
            <v>144</v>
          </cell>
          <cell r="Q258">
            <v>196850</v>
          </cell>
          <cell r="R258">
            <v>216319</v>
          </cell>
          <cell r="S258">
            <v>0</v>
          </cell>
          <cell r="T258">
            <v>216319</v>
          </cell>
          <cell r="U258" t="str">
            <v>AKTIF</v>
          </cell>
          <cell r="V258">
            <v>1367.0138888888889</v>
          </cell>
          <cell r="W258">
            <v>1502.2152777777778</v>
          </cell>
          <cell r="X258">
            <v>0</v>
          </cell>
        </row>
        <row r="259">
          <cell r="A259" t="str">
            <v>F1A.AGDJAOB.05</v>
          </cell>
          <cell r="B259" t="str">
            <v>D'JELLY STRAWBERRY INN</v>
          </cell>
          <cell r="C259" t="str">
            <v>F Loc P.Jly DJ-NE Strawberry NP</v>
          </cell>
          <cell r="D259" t="str">
            <v>D'Jelly Ekonomi</v>
          </cell>
          <cell r="E259" t="str">
            <v>DESSERT 3</v>
          </cell>
          <cell r="F259" t="str">
            <v>CB</v>
          </cell>
          <cell r="G259">
            <v>144</v>
          </cell>
          <cell r="H259" t="str">
            <v>INN</v>
          </cell>
          <cell r="I259">
            <v>12</v>
          </cell>
          <cell r="L259" t="str">
            <v>PCS</v>
          </cell>
          <cell r="M259">
            <v>1</v>
          </cell>
          <cell r="N259">
            <v>12</v>
          </cell>
          <cell r="O259">
            <v>0</v>
          </cell>
          <cell r="P259">
            <v>144</v>
          </cell>
          <cell r="Q259">
            <v>196850</v>
          </cell>
          <cell r="R259">
            <v>216319</v>
          </cell>
          <cell r="S259">
            <v>0</v>
          </cell>
          <cell r="T259">
            <v>216319</v>
          </cell>
          <cell r="U259" t="str">
            <v>AKTIF</v>
          </cell>
          <cell r="V259">
            <v>1367.0138888888889</v>
          </cell>
          <cell r="W259">
            <v>1502.2152777777778</v>
          </cell>
          <cell r="X259">
            <v>0</v>
          </cell>
        </row>
        <row r="260">
          <cell r="A260" t="str">
            <v>F1A.AHPUFCA.01</v>
          </cell>
          <cell r="B260" t="str">
            <v>HAPPY PUDDING CHOCOLATE INN</v>
          </cell>
          <cell r="C260" t="str">
            <v>F Loc P.Pud PU-HP Chocolate Inn-B</v>
          </cell>
          <cell r="D260" t="str">
            <v>HAPPY PUDDING</v>
          </cell>
          <cell r="E260" t="str">
            <v>DESSERT 3</v>
          </cell>
          <cell r="F260" t="str">
            <v>CB</v>
          </cell>
          <cell r="G260">
            <v>100</v>
          </cell>
          <cell r="H260" t="str">
            <v>INN</v>
          </cell>
          <cell r="I260">
            <v>10</v>
          </cell>
          <cell r="L260" t="str">
            <v>PCS</v>
          </cell>
          <cell r="M260">
            <v>1</v>
          </cell>
          <cell r="N260">
            <v>10</v>
          </cell>
          <cell r="O260">
            <v>0</v>
          </cell>
          <cell r="P260">
            <v>100</v>
          </cell>
          <cell r="Q260">
            <v>345000</v>
          </cell>
          <cell r="R260">
            <v>379000</v>
          </cell>
          <cell r="S260">
            <v>458000</v>
          </cell>
          <cell r="T260">
            <v>379000</v>
          </cell>
          <cell r="U260" t="str">
            <v>AKTIF</v>
          </cell>
          <cell r="V260">
            <v>3450</v>
          </cell>
          <cell r="W260">
            <v>3790</v>
          </cell>
          <cell r="X260">
            <v>4580</v>
          </cell>
        </row>
        <row r="261">
          <cell r="A261" t="str">
            <v>F1A.AHPUFDD.01</v>
          </cell>
          <cell r="B261" t="str">
            <v>HAPPY PUDDING TARO INN</v>
          </cell>
          <cell r="C261" t="str">
            <v>F Loc P.Pud PU-HP Taro Inn-B</v>
          </cell>
          <cell r="D261" t="str">
            <v>HAPPY PUDDING</v>
          </cell>
          <cell r="E261" t="str">
            <v>DESSERT 3</v>
          </cell>
          <cell r="F261" t="str">
            <v>CB</v>
          </cell>
          <cell r="G261">
            <v>100</v>
          </cell>
          <cell r="H261" t="str">
            <v>INN</v>
          </cell>
          <cell r="I261">
            <v>10</v>
          </cell>
          <cell r="L261" t="str">
            <v>PCS</v>
          </cell>
          <cell r="M261">
            <v>1</v>
          </cell>
          <cell r="N261">
            <v>10</v>
          </cell>
          <cell r="O261">
            <v>0</v>
          </cell>
          <cell r="P261">
            <v>100</v>
          </cell>
          <cell r="Q261">
            <v>345000</v>
          </cell>
          <cell r="R261">
            <v>379000</v>
          </cell>
          <cell r="S261">
            <v>458000</v>
          </cell>
          <cell r="T261">
            <v>379000</v>
          </cell>
          <cell r="U261" t="str">
            <v>AKTIF</v>
          </cell>
          <cell r="V261">
            <v>3450</v>
          </cell>
          <cell r="W261">
            <v>3790</v>
          </cell>
          <cell r="X261">
            <v>4580</v>
          </cell>
        </row>
        <row r="262">
          <cell r="A262" t="str">
            <v>F1A.AHPUFDE.01</v>
          </cell>
          <cell r="B262" t="str">
            <v>HAPPY PUDDING VANILLA INN</v>
          </cell>
          <cell r="C262" t="str">
            <v>F Loc P.Pud PU-HP Vanilla Inn-B</v>
          </cell>
          <cell r="D262" t="str">
            <v>HAPPY PUDDING</v>
          </cell>
          <cell r="E262" t="str">
            <v>DESSERT 3</v>
          </cell>
          <cell r="F262" t="str">
            <v>CB</v>
          </cell>
          <cell r="G262">
            <v>100</v>
          </cell>
          <cell r="H262" t="str">
            <v>INN</v>
          </cell>
          <cell r="I262">
            <v>10</v>
          </cell>
          <cell r="L262" t="str">
            <v>PCS</v>
          </cell>
          <cell r="M262">
            <v>1</v>
          </cell>
          <cell r="N262">
            <v>10</v>
          </cell>
          <cell r="O262">
            <v>0</v>
          </cell>
          <cell r="P262">
            <v>100</v>
          </cell>
          <cell r="Q262">
            <v>345000</v>
          </cell>
          <cell r="R262">
            <v>379000</v>
          </cell>
          <cell r="S262">
            <v>458000</v>
          </cell>
          <cell r="T262">
            <v>379000</v>
          </cell>
          <cell r="U262" t="str">
            <v>AKTIF</v>
          </cell>
          <cell r="V262">
            <v>3450</v>
          </cell>
          <cell r="W262">
            <v>3790</v>
          </cell>
          <cell r="X262">
            <v>4580</v>
          </cell>
        </row>
        <row r="263">
          <cell r="A263" t="str">
            <v>F1A.AHPUFNR.01</v>
          </cell>
          <cell r="B263" t="str">
            <v>HAPPY PUDDING MANGGA INN</v>
          </cell>
          <cell r="C263" t="str">
            <v>F Loc P.Pud PU-HP Mango Inn-B</v>
          </cell>
          <cell r="D263" t="str">
            <v>HAPPY PUDDING</v>
          </cell>
          <cell r="E263" t="str">
            <v>DESSERT 3</v>
          </cell>
          <cell r="F263" t="str">
            <v>CB</v>
          </cell>
          <cell r="G263">
            <v>100</v>
          </cell>
          <cell r="H263" t="str">
            <v>INN</v>
          </cell>
          <cell r="I263">
            <v>10</v>
          </cell>
          <cell r="L263" t="str">
            <v>PCS</v>
          </cell>
          <cell r="M263">
            <v>1</v>
          </cell>
          <cell r="N263">
            <v>10</v>
          </cell>
          <cell r="O263">
            <v>0</v>
          </cell>
          <cell r="P263">
            <v>100</v>
          </cell>
          <cell r="Q263">
            <v>345000</v>
          </cell>
          <cell r="R263">
            <v>379000</v>
          </cell>
          <cell r="S263">
            <v>458000</v>
          </cell>
          <cell r="T263">
            <v>379000</v>
          </cell>
          <cell r="U263" t="str">
            <v>AKTIF</v>
          </cell>
          <cell r="V263">
            <v>3450</v>
          </cell>
          <cell r="W263">
            <v>3790</v>
          </cell>
          <cell r="X263">
            <v>4580</v>
          </cell>
        </row>
        <row r="264">
          <cell r="A264" t="str">
            <v>F1A.AHPUFOB.01</v>
          </cell>
          <cell r="B264" t="str">
            <v>HAPPY PUDDING STRAWBERRY INN</v>
          </cell>
          <cell r="C264" t="str">
            <v>F Loc P.Pud PU-HP Strawberry Inn-B</v>
          </cell>
          <cell r="D264" t="str">
            <v>HAPPY PUDDING</v>
          </cell>
          <cell r="E264" t="str">
            <v>DESSERT 3</v>
          </cell>
          <cell r="F264" t="str">
            <v>CB</v>
          </cell>
          <cell r="G264">
            <v>100</v>
          </cell>
          <cell r="H264" t="str">
            <v>INN</v>
          </cell>
          <cell r="I264">
            <v>10</v>
          </cell>
          <cell r="L264" t="str">
            <v>PCS</v>
          </cell>
          <cell r="M264">
            <v>1</v>
          </cell>
          <cell r="N264">
            <v>10</v>
          </cell>
          <cell r="O264">
            <v>0</v>
          </cell>
          <cell r="P264">
            <v>100</v>
          </cell>
          <cell r="Q264">
            <v>345000</v>
          </cell>
          <cell r="R264">
            <v>379000</v>
          </cell>
          <cell r="S264">
            <v>458000</v>
          </cell>
          <cell r="T264">
            <v>379000</v>
          </cell>
          <cell r="U264" t="str">
            <v>AKTIF</v>
          </cell>
          <cell r="V264">
            <v>3450</v>
          </cell>
          <cell r="W264">
            <v>3790</v>
          </cell>
          <cell r="X264">
            <v>4580</v>
          </cell>
        </row>
        <row r="265">
          <cell r="A265" t="str">
            <v>F1A.AGJMACA.01</v>
          </cell>
          <cell r="B265" t="str">
            <v>SI JELLY MANIS CHOLATE INN</v>
          </cell>
          <cell r="C265" t="str">
            <v>F Loc P.Jly JM-EK Chocolate Inn-B</v>
          </cell>
          <cell r="D265" t="str">
            <v>SI JELLY MANIS EKONOMIS</v>
          </cell>
          <cell r="E265" t="str">
            <v>DESSERT 3</v>
          </cell>
          <cell r="F265" t="str">
            <v>CB</v>
          </cell>
          <cell r="G265">
            <v>144</v>
          </cell>
          <cell r="H265" t="str">
            <v>INN</v>
          </cell>
          <cell r="I265">
            <v>12</v>
          </cell>
          <cell r="L265" t="str">
            <v>PCS</v>
          </cell>
          <cell r="M265">
            <v>1</v>
          </cell>
          <cell r="N265">
            <v>12</v>
          </cell>
          <cell r="O265">
            <v>0</v>
          </cell>
          <cell r="P265">
            <v>144</v>
          </cell>
          <cell r="Q265">
            <v>267667</v>
          </cell>
          <cell r="R265">
            <v>294139</v>
          </cell>
          <cell r="S265">
            <v>355996</v>
          </cell>
          <cell r="T265">
            <v>294139</v>
          </cell>
          <cell r="U265" t="str">
            <v>AKTIF</v>
          </cell>
          <cell r="V265">
            <v>1858.7986111111111</v>
          </cell>
          <cell r="W265">
            <v>2042.6319444444443</v>
          </cell>
          <cell r="X265">
            <v>2472.1944444444443</v>
          </cell>
        </row>
        <row r="266">
          <cell r="A266" t="str">
            <v>F1A.AGJMANI.01</v>
          </cell>
          <cell r="B266" t="str">
            <v>SI JELLY MANIS ANGGUR INN</v>
          </cell>
          <cell r="C266" t="str">
            <v>F Loc P.Jly JM-EK Grape Inn-B</v>
          </cell>
          <cell r="D266" t="str">
            <v>SI JELLY MANIS EKONOMIS</v>
          </cell>
          <cell r="E266" t="str">
            <v>DESSERT 3</v>
          </cell>
          <cell r="F266" t="str">
            <v>CB</v>
          </cell>
          <cell r="G266">
            <v>144</v>
          </cell>
          <cell r="H266" t="str">
            <v>INN</v>
          </cell>
          <cell r="I266">
            <v>12</v>
          </cell>
          <cell r="L266" t="str">
            <v>PCS</v>
          </cell>
          <cell r="M266">
            <v>1</v>
          </cell>
          <cell r="N266">
            <v>12</v>
          </cell>
          <cell r="O266">
            <v>0</v>
          </cell>
          <cell r="P266">
            <v>144</v>
          </cell>
          <cell r="Q266">
            <v>193281</v>
          </cell>
          <cell r="R266">
            <v>212397</v>
          </cell>
          <cell r="S266">
            <v>257064</v>
          </cell>
          <cell r="T266">
            <v>212397</v>
          </cell>
          <cell r="U266" t="str">
            <v>AKTIF</v>
          </cell>
          <cell r="V266">
            <v>1342.2291666666667</v>
          </cell>
          <cell r="W266">
            <v>1474.9791666666667</v>
          </cell>
          <cell r="X266">
            <v>1785.1666666666667</v>
          </cell>
        </row>
        <row r="267">
          <cell r="A267" t="str">
            <v>F1A.AGJMANL.01</v>
          </cell>
          <cell r="B267" t="str">
            <v>SI JELLY MANIS MELON INN</v>
          </cell>
          <cell r="C267" t="str">
            <v>F Loc P.Jly JM-EK Honey Dew Inn-B</v>
          </cell>
          <cell r="D267" t="str">
            <v>SI JELLY MANIS EKONOMIS</v>
          </cell>
          <cell r="E267" t="str">
            <v>DESSERT 3</v>
          </cell>
          <cell r="F267" t="str">
            <v>CB</v>
          </cell>
          <cell r="G267">
            <v>144</v>
          </cell>
          <cell r="H267" t="str">
            <v>INN</v>
          </cell>
          <cell r="I267">
            <v>12</v>
          </cell>
          <cell r="L267" t="str">
            <v>PCS</v>
          </cell>
          <cell r="M267">
            <v>1</v>
          </cell>
          <cell r="N267">
            <v>12</v>
          </cell>
          <cell r="O267">
            <v>0</v>
          </cell>
          <cell r="P267">
            <v>144</v>
          </cell>
          <cell r="Q267">
            <v>193281</v>
          </cell>
          <cell r="R267">
            <v>212397</v>
          </cell>
          <cell r="S267">
            <v>257064</v>
          </cell>
          <cell r="T267">
            <v>212397</v>
          </cell>
          <cell r="U267" t="str">
            <v>AKTIF</v>
          </cell>
          <cell r="V267">
            <v>1342.2291666666667</v>
          </cell>
          <cell r="W267">
            <v>1474.9791666666667</v>
          </cell>
          <cell r="X267">
            <v>1785.1666666666667</v>
          </cell>
        </row>
        <row r="268">
          <cell r="A268" t="str">
            <v>F1A.AGJMANR.01</v>
          </cell>
          <cell r="B268" t="str">
            <v>SI JELLY MANIS MANGGA INN</v>
          </cell>
          <cell r="C268" t="str">
            <v>F Loc P.Jly JM-EK Mango Inn-B</v>
          </cell>
          <cell r="D268" t="str">
            <v>SI JELLY MANIS EKONOMIS</v>
          </cell>
          <cell r="E268" t="str">
            <v>DESSERT 3</v>
          </cell>
          <cell r="F268" t="str">
            <v>CB</v>
          </cell>
          <cell r="G268">
            <v>144</v>
          </cell>
          <cell r="H268" t="str">
            <v>INN</v>
          </cell>
          <cell r="I268">
            <v>12</v>
          </cell>
          <cell r="L268" t="str">
            <v>PCS</v>
          </cell>
          <cell r="M268">
            <v>1</v>
          </cell>
          <cell r="N268">
            <v>12</v>
          </cell>
          <cell r="O268">
            <v>0</v>
          </cell>
          <cell r="P268">
            <v>144</v>
          </cell>
          <cell r="Q268">
            <v>193281</v>
          </cell>
          <cell r="R268">
            <v>212397</v>
          </cell>
          <cell r="S268">
            <v>257064</v>
          </cell>
          <cell r="T268">
            <v>212397</v>
          </cell>
          <cell r="U268" t="str">
            <v>AKTIF</v>
          </cell>
          <cell r="V268">
            <v>1342.2291666666667</v>
          </cell>
          <cell r="W268">
            <v>1474.9791666666667</v>
          </cell>
          <cell r="X268">
            <v>1785.1666666666667</v>
          </cell>
        </row>
        <row r="269">
          <cell r="A269" t="str">
            <v>F1A.AGJMAOB.01</v>
          </cell>
          <cell r="B269" t="str">
            <v>SI JELLY MANIS STRAWBERRY INN</v>
          </cell>
          <cell r="C269" t="str">
            <v>F Loc P.Jly JM-EK Strawberry Inn-B</v>
          </cell>
          <cell r="D269" t="str">
            <v>SI JELLY MANIS EKONOMIS</v>
          </cell>
          <cell r="E269" t="str">
            <v>DESSERT 3</v>
          </cell>
          <cell r="F269" t="str">
            <v>CB</v>
          </cell>
          <cell r="G269">
            <v>144</v>
          </cell>
          <cell r="H269" t="str">
            <v>INN</v>
          </cell>
          <cell r="I269">
            <v>12</v>
          </cell>
          <cell r="L269" t="str">
            <v>PCS</v>
          </cell>
          <cell r="M269">
            <v>1</v>
          </cell>
          <cell r="N269">
            <v>12</v>
          </cell>
          <cell r="O269">
            <v>0</v>
          </cell>
          <cell r="P269">
            <v>144</v>
          </cell>
          <cell r="Q269">
            <v>193281</v>
          </cell>
          <cell r="R269">
            <v>212397</v>
          </cell>
          <cell r="S269">
            <v>257064</v>
          </cell>
          <cell r="T269">
            <v>212397</v>
          </cell>
          <cell r="U269" t="str">
            <v>AKTIF</v>
          </cell>
          <cell r="V269">
            <v>1342.2291666666667</v>
          </cell>
          <cell r="W269">
            <v>1474.9791666666667</v>
          </cell>
          <cell r="X269">
            <v>1785.1666666666667</v>
          </cell>
        </row>
        <row r="270">
          <cell r="A270" t="str">
            <v>F2A.ABFCBNB.01</v>
          </cell>
          <cell r="B270" t="str">
            <v>FORCAFE AVOCADO JCO</v>
          </cell>
          <cell r="C270" t="str">
            <v>F Ins P.Mlk FC-JC Avocado B.800</v>
          </cell>
          <cell r="D270" t="str">
            <v>FORCAFE JCO</v>
          </cell>
          <cell r="E270" t="str">
            <v>INSTITUSI</v>
          </cell>
          <cell r="F270" t="str">
            <v>CB</v>
          </cell>
          <cell r="G270">
            <v>10</v>
          </cell>
          <cell r="L270" t="str">
            <v>BAG</v>
          </cell>
          <cell r="M270">
            <v>1</v>
          </cell>
          <cell r="N270">
            <v>0</v>
          </cell>
          <cell r="O270">
            <v>0</v>
          </cell>
          <cell r="P270">
            <v>10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0</v>
          </cell>
          <cell r="X270">
            <v>0</v>
          </cell>
        </row>
        <row r="271">
          <cell r="A271" t="str">
            <v>F2A.ACFCBTB.02</v>
          </cell>
          <cell r="B271" t="str">
            <v>FORCAFE LEMONADE JCO</v>
          </cell>
          <cell r="C271" t="str">
            <v>F Ins P.Tea FC-JC Lemonade Tea B.625</v>
          </cell>
          <cell r="D271" t="str">
            <v>FORCAFE JCO</v>
          </cell>
          <cell r="E271" t="str">
            <v>INSTITUSI</v>
          </cell>
          <cell r="F271" t="str">
            <v>CB</v>
          </cell>
          <cell r="G271">
            <v>12</v>
          </cell>
          <cell r="L271" t="str">
            <v>BAG</v>
          </cell>
          <cell r="M271">
            <v>1</v>
          </cell>
          <cell r="N271">
            <v>0</v>
          </cell>
          <cell r="O271">
            <v>0</v>
          </cell>
          <cell r="P271">
            <v>12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0</v>
          </cell>
          <cell r="X271">
            <v>0</v>
          </cell>
        </row>
        <row r="272">
          <cell r="A272" t="str">
            <v>F2A.AAFCANE.01</v>
          </cell>
          <cell r="B272" t="str">
            <v>FORCAFE BLACKCURRANT</v>
          </cell>
          <cell r="C272" t="str">
            <v>F Ins P.Frt FC-RE Blackcurrant B.800</v>
          </cell>
          <cell r="D272" t="str">
            <v>FORCAFE REGULAR</v>
          </cell>
          <cell r="E272" t="str">
            <v>INSTITUSI</v>
          </cell>
          <cell r="F272" t="str">
            <v>CB</v>
          </cell>
          <cell r="G272">
            <v>10</v>
          </cell>
          <cell r="L272" t="str">
            <v>BAG</v>
          </cell>
          <cell r="M272">
            <v>1</v>
          </cell>
          <cell r="N272">
            <v>0</v>
          </cell>
          <cell r="O272">
            <v>0</v>
          </cell>
          <cell r="P272">
            <v>10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</row>
        <row r="273">
          <cell r="A273" t="str">
            <v>F2A.ABFCABD.01</v>
          </cell>
          <cell r="B273" t="str">
            <v>FORCAFE SEA SALT</v>
          </cell>
          <cell r="C273" t="str">
            <v>F Ins P.Mlk FC-RE Sea Salt B.800</v>
          </cell>
          <cell r="D273" t="str">
            <v>FORCAFE REGULAR</v>
          </cell>
          <cell r="E273" t="str">
            <v>INSTITUSI</v>
          </cell>
          <cell r="F273" t="str">
            <v>CB</v>
          </cell>
          <cell r="G273">
            <v>10</v>
          </cell>
          <cell r="L273" t="str">
            <v>BAG</v>
          </cell>
          <cell r="M273">
            <v>1</v>
          </cell>
          <cell r="N273">
            <v>0</v>
          </cell>
          <cell r="O273">
            <v>0</v>
          </cell>
          <cell r="P273">
            <v>10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0</v>
          </cell>
          <cell r="X273">
            <v>0</v>
          </cell>
        </row>
        <row r="274">
          <cell r="A274" t="str">
            <v>F2A.ABFCACF.01</v>
          </cell>
          <cell r="B274" t="str">
            <v>FORCAFE CAPPUCINO</v>
          </cell>
          <cell r="C274" t="str">
            <v>F Ins P.Mlk FC-RE Cappucino B.800</v>
          </cell>
          <cell r="D274" t="str">
            <v>FORCAFE REGULAR</v>
          </cell>
          <cell r="E274" t="str">
            <v>INSTITUSI</v>
          </cell>
          <cell r="F274" t="str">
            <v>CB</v>
          </cell>
          <cell r="G274">
            <v>10</v>
          </cell>
          <cell r="L274" t="str">
            <v>PCS</v>
          </cell>
          <cell r="M274">
            <v>1</v>
          </cell>
          <cell r="N274">
            <v>0</v>
          </cell>
          <cell r="O274">
            <v>0</v>
          </cell>
          <cell r="P274">
            <v>10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 t="str">
            <v>F2A.ABFCACI.01</v>
          </cell>
          <cell r="B275" t="str">
            <v>FORCAFE BELG DARK CHOC</v>
          </cell>
          <cell r="C275" t="str">
            <v>F Ins P.Mlk FC-RE Blg Drk Choco B.800</v>
          </cell>
          <cell r="D275" t="str">
            <v>FORCAFE REGULAR</v>
          </cell>
          <cell r="E275" t="str">
            <v>INSTITUSI</v>
          </cell>
          <cell r="F275" t="str">
            <v>CB</v>
          </cell>
          <cell r="G275">
            <v>10</v>
          </cell>
          <cell r="L275" t="str">
            <v>BAG</v>
          </cell>
          <cell r="M275">
            <v>1</v>
          </cell>
          <cell r="N275">
            <v>0</v>
          </cell>
          <cell r="O275">
            <v>0</v>
          </cell>
          <cell r="P275">
            <v>10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0</v>
          </cell>
          <cell r="X275">
            <v>0</v>
          </cell>
        </row>
        <row r="276">
          <cell r="A276" t="str">
            <v>F2A.ABFCADE.01</v>
          </cell>
          <cell r="B276" t="str">
            <v>FORCAFE VANILLA</v>
          </cell>
          <cell r="C276" t="str">
            <v>F Ins P.Mlk FC-RE Vanilla B.800</v>
          </cell>
          <cell r="D276" t="str">
            <v>FORCAFE REGULAR</v>
          </cell>
          <cell r="E276" t="str">
            <v>INSTITUSI</v>
          </cell>
          <cell r="F276" t="str">
            <v>CB</v>
          </cell>
          <cell r="G276">
            <v>10</v>
          </cell>
          <cell r="L276" t="str">
            <v>PCS</v>
          </cell>
          <cell r="M276">
            <v>1</v>
          </cell>
          <cell r="N276">
            <v>0</v>
          </cell>
          <cell r="O276">
            <v>0</v>
          </cell>
          <cell r="P276">
            <v>10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0</v>
          </cell>
          <cell r="X276">
            <v>0</v>
          </cell>
        </row>
        <row r="277">
          <cell r="A277" t="str">
            <v>F2A.ABFCANB.01</v>
          </cell>
          <cell r="B277" t="str">
            <v>FORCAFE AVOCADO RETAIL</v>
          </cell>
          <cell r="C277" t="str">
            <v>F Ins P.Mlk FC-RE Avocado B.800</v>
          </cell>
          <cell r="D277" t="str">
            <v>FORCAFE REGULAR</v>
          </cell>
          <cell r="E277" t="str">
            <v>INSTITUSI</v>
          </cell>
          <cell r="F277" t="str">
            <v>CB</v>
          </cell>
          <cell r="G277">
            <v>10</v>
          </cell>
          <cell r="L277" t="str">
            <v>BAG</v>
          </cell>
          <cell r="M277">
            <v>1</v>
          </cell>
          <cell r="N277">
            <v>0</v>
          </cell>
          <cell r="O277">
            <v>0</v>
          </cell>
          <cell r="P277">
            <v>10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0</v>
          </cell>
          <cell r="X277">
            <v>0</v>
          </cell>
        </row>
        <row r="278">
          <cell r="A278" t="str">
            <v>F2A.ABFCATA.01</v>
          </cell>
          <cell r="B278" t="str">
            <v>FORCAFE GREEN TEA MATCH</v>
          </cell>
          <cell r="C278" t="str">
            <v>F Ins P.Mlk FC-RE Green Tea B.800</v>
          </cell>
          <cell r="D278" t="str">
            <v>FORCAFE REGULAR</v>
          </cell>
          <cell r="E278" t="str">
            <v>INSTITUSI</v>
          </cell>
          <cell r="F278" t="str">
            <v>CB</v>
          </cell>
          <cell r="G278">
            <v>10</v>
          </cell>
          <cell r="L278" t="str">
            <v>BAG</v>
          </cell>
          <cell r="M278">
            <v>1</v>
          </cell>
          <cell r="N278">
            <v>0</v>
          </cell>
          <cell r="O278">
            <v>0</v>
          </cell>
          <cell r="P278">
            <v>10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0</v>
          </cell>
          <cell r="X278">
            <v>0</v>
          </cell>
        </row>
        <row r="279">
          <cell r="A279" t="str">
            <v>F2A.ACFCATB.02</v>
          </cell>
          <cell r="B279" t="str">
            <v>FORCAFE  LEMONADE RTL</v>
          </cell>
          <cell r="C279" t="str">
            <v>F Ins P.Tea FC-RE Lemonade Tea B.625</v>
          </cell>
          <cell r="D279" t="str">
            <v>FORCAFE REGULAR</v>
          </cell>
          <cell r="E279" t="str">
            <v>INSTITUSI</v>
          </cell>
          <cell r="F279" t="str">
            <v>CB</v>
          </cell>
          <cell r="G279">
            <v>12</v>
          </cell>
          <cell r="L279" t="str">
            <v>BAG</v>
          </cell>
          <cell r="M279">
            <v>1</v>
          </cell>
          <cell r="N279">
            <v>0</v>
          </cell>
          <cell r="O279">
            <v>0</v>
          </cell>
          <cell r="P279">
            <v>12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 t="str">
            <v>F2A.AGFCAXA.04</v>
          </cell>
          <cell r="B280" t="str">
            <v>FORCAFE PLAIN JELLY</v>
          </cell>
          <cell r="C280" t="str">
            <v>F Ins P.Jly FC-RE Plain B.500</v>
          </cell>
          <cell r="D280" t="str">
            <v>FORCAFE REGULAR</v>
          </cell>
          <cell r="E280" t="str">
            <v>INSTITUSI</v>
          </cell>
          <cell r="F280" t="str">
            <v>CB</v>
          </cell>
          <cell r="G280">
            <v>16</v>
          </cell>
          <cell r="L280" t="str">
            <v>PCS</v>
          </cell>
          <cell r="M280">
            <v>1</v>
          </cell>
          <cell r="N280">
            <v>0</v>
          </cell>
          <cell r="O280">
            <v>0</v>
          </cell>
          <cell r="P280">
            <v>16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0</v>
          </cell>
          <cell r="X280">
            <v>0</v>
          </cell>
        </row>
        <row r="281">
          <cell r="A281" t="str">
            <v>F2A.AAPLANE.01</v>
          </cell>
          <cell r="B281" t="str">
            <v>PRIMALINE BLACKCURRANT 800GR</v>
          </cell>
          <cell r="C281" t="str">
            <v>F Ins P.Frt PL-RE Blackcurrant B.800</v>
          </cell>
          <cell r="D281" t="str">
            <v>PRIMALINE REGULAR</v>
          </cell>
          <cell r="E281" t="str">
            <v>INSTITUSI</v>
          </cell>
          <cell r="F281" t="str">
            <v>CB</v>
          </cell>
          <cell r="G281">
            <v>10</v>
          </cell>
          <cell r="L281" t="str">
            <v>BAG</v>
          </cell>
          <cell r="M281">
            <v>1</v>
          </cell>
          <cell r="N281">
            <v>0</v>
          </cell>
          <cell r="O281">
            <v>0</v>
          </cell>
          <cell r="P281">
            <v>10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A282" t="str">
            <v>F2A.AAPLANQ.01</v>
          </cell>
          <cell r="B282" t="str">
            <v>PRIMALINE FRUITY LYCHEE 800GR</v>
          </cell>
          <cell r="C282" t="str">
            <v>F Ins P.Frt PL-RE Lychee B.800</v>
          </cell>
          <cell r="D282" t="str">
            <v>PRIMALINE REGULAR</v>
          </cell>
          <cell r="E282" t="str">
            <v>INSTITUSI</v>
          </cell>
          <cell r="F282" t="str">
            <v>CB</v>
          </cell>
          <cell r="G282">
            <v>10</v>
          </cell>
          <cell r="L282" t="str">
            <v>BAG</v>
          </cell>
          <cell r="M282">
            <v>1</v>
          </cell>
          <cell r="N282">
            <v>0</v>
          </cell>
          <cell r="O282">
            <v>0</v>
          </cell>
          <cell r="P282">
            <v>10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0</v>
          </cell>
          <cell r="X282">
            <v>0</v>
          </cell>
        </row>
        <row r="283">
          <cell r="A283" t="str">
            <v>F2A.ABPLACA.01</v>
          </cell>
          <cell r="B283" t="str">
            <v>PRIMALINE COKELAT 800GR</v>
          </cell>
          <cell r="C283" t="str">
            <v>F Ins P.Mlk PL-RE Chocolate B.800</v>
          </cell>
          <cell r="D283" t="str">
            <v>PRIMALINE REGULAR</v>
          </cell>
          <cell r="E283" t="str">
            <v>INSTITUSI</v>
          </cell>
          <cell r="F283" t="str">
            <v>CB</v>
          </cell>
          <cell r="G283">
            <v>10</v>
          </cell>
          <cell r="L283" t="str">
            <v>BAG</v>
          </cell>
          <cell r="M283">
            <v>1</v>
          </cell>
          <cell r="N283">
            <v>0</v>
          </cell>
          <cell r="O283">
            <v>0</v>
          </cell>
          <cell r="P283">
            <v>10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A284" t="str">
            <v>F2A.ABPLACF.01</v>
          </cell>
          <cell r="B284" t="str">
            <v>PRIMALINE CAPPUCINO 800GR</v>
          </cell>
          <cell r="C284" t="str">
            <v>F Ins P.Mlk PL-RE Cappucino B.800</v>
          </cell>
          <cell r="D284" t="str">
            <v>PRIMALINE REGULAR</v>
          </cell>
          <cell r="E284" t="str">
            <v>INSTITUSI</v>
          </cell>
          <cell r="F284" t="str">
            <v>CB</v>
          </cell>
          <cell r="G284">
            <v>10</v>
          </cell>
          <cell r="L284" t="str">
            <v>BAG</v>
          </cell>
          <cell r="M284">
            <v>1</v>
          </cell>
          <cell r="N284">
            <v>0</v>
          </cell>
          <cell r="O284">
            <v>0</v>
          </cell>
          <cell r="P284">
            <v>10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0</v>
          </cell>
          <cell r="X284">
            <v>0</v>
          </cell>
        </row>
        <row r="285">
          <cell r="A285" t="str">
            <v>F2A.ABPLACN.01</v>
          </cell>
          <cell r="B285" t="str">
            <v>PRIMALINE RED VELVET 800GR</v>
          </cell>
          <cell r="C285" t="str">
            <v>F Ins P.Mlk PL-RE Red Velvet B.800</v>
          </cell>
          <cell r="D285" t="str">
            <v>PRIMALINE REGULAR</v>
          </cell>
          <cell r="E285" t="str">
            <v>INSTITUSI</v>
          </cell>
          <cell r="F285" t="str">
            <v>CB</v>
          </cell>
          <cell r="G285">
            <v>10</v>
          </cell>
          <cell r="L285" t="str">
            <v>BAG</v>
          </cell>
          <cell r="M285">
            <v>1</v>
          </cell>
          <cell r="N285">
            <v>0</v>
          </cell>
          <cell r="O285">
            <v>0</v>
          </cell>
          <cell r="P285">
            <v>10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A286" t="str">
            <v>F2A.ABPLADE.01</v>
          </cell>
          <cell r="B286" t="str">
            <v>PRIMALINE VANILLA 800GR</v>
          </cell>
          <cell r="C286" t="str">
            <v>F Ins P.Mlk PL-RE Vanilla B.800</v>
          </cell>
          <cell r="D286" t="str">
            <v>PRIMALINE REGULAR</v>
          </cell>
          <cell r="E286" t="str">
            <v>INSTITUSI</v>
          </cell>
          <cell r="F286" t="str">
            <v>CB</v>
          </cell>
          <cell r="G286">
            <v>10</v>
          </cell>
          <cell r="L286" t="str">
            <v>BAG</v>
          </cell>
          <cell r="M286">
            <v>1</v>
          </cell>
          <cell r="N286">
            <v>0</v>
          </cell>
          <cell r="O286">
            <v>0</v>
          </cell>
          <cell r="P286">
            <v>10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0</v>
          </cell>
          <cell r="X286">
            <v>0</v>
          </cell>
        </row>
        <row r="287">
          <cell r="A287" t="str">
            <v>F2A.ABPLADJ.01</v>
          </cell>
          <cell r="B287" t="str">
            <v>PRIMALINE STRAWBERRY MILK 800GR</v>
          </cell>
          <cell r="C287" t="str">
            <v>F Ins P.Mlk PL-RE Straw Milk B.800</v>
          </cell>
          <cell r="D287" t="str">
            <v>PRIMALINE REGULAR</v>
          </cell>
          <cell r="E287" t="str">
            <v>INSTITUSI</v>
          </cell>
          <cell r="F287" t="str">
            <v>CB</v>
          </cell>
          <cell r="G287">
            <v>10</v>
          </cell>
          <cell r="L287" t="str">
            <v>BAG</v>
          </cell>
          <cell r="M287">
            <v>1</v>
          </cell>
          <cell r="N287">
            <v>0</v>
          </cell>
          <cell r="O287">
            <v>0</v>
          </cell>
          <cell r="P287">
            <v>10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</row>
        <row r="288">
          <cell r="A288" t="str">
            <v>F2A.ABPLANB.01</v>
          </cell>
          <cell r="B288" t="str">
            <v>PRIMALINE AVOCADO 800GR</v>
          </cell>
          <cell r="C288" t="str">
            <v>F Ins P.Mlk PL-RE Avocado B.800</v>
          </cell>
          <cell r="D288" t="str">
            <v>PRIMALINE REGULAR</v>
          </cell>
          <cell r="E288" t="str">
            <v>INSTITUSI</v>
          </cell>
          <cell r="F288" t="str">
            <v>CB</v>
          </cell>
          <cell r="G288">
            <v>10</v>
          </cell>
          <cell r="L288" t="str">
            <v>BAG</v>
          </cell>
          <cell r="M288">
            <v>1</v>
          </cell>
          <cell r="N288">
            <v>0</v>
          </cell>
          <cell r="O288">
            <v>0</v>
          </cell>
          <cell r="P288">
            <v>10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</v>
          </cell>
          <cell r="X288">
            <v>0</v>
          </cell>
        </row>
        <row r="289">
          <cell r="A289" t="str">
            <v>F2A.ABPLANB.04</v>
          </cell>
          <cell r="B289" t="str">
            <v>PRIMALINE AVOCADO BLNK</v>
          </cell>
          <cell r="C289" t="str">
            <v>F Ins P.Mlk PL-RE Avocado Blank</v>
          </cell>
          <cell r="D289" t="str">
            <v>PRIMALINE REGULAR</v>
          </cell>
          <cell r="E289" t="str">
            <v>INSTITUSI</v>
          </cell>
          <cell r="F289" t="str">
            <v>CB</v>
          </cell>
          <cell r="G289">
            <v>10</v>
          </cell>
          <cell r="L289" t="str">
            <v>BAG</v>
          </cell>
          <cell r="M289">
            <v>1</v>
          </cell>
          <cell r="N289">
            <v>0</v>
          </cell>
          <cell r="O289">
            <v>0</v>
          </cell>
          <cell r="P289">
            <v>10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A290" t="str">
            <v>F2A.ABPLANF.01</v>
          </cell>
          <cell r="B290" t="str">
            <v>PRIMALINE BLUEBERRY 800 GR</v>
          </cell>
          <cell r="C290" t="str">
            <v>F Ins P.Mlk PL-RE Blueberry B.800</v>
          </cell>
          <cell r="D290" t="str">
            <v>PRIMALINE REGULAR</v>
          </cell>
          <cell r="E290" t="str">
            <v>INSTITUSI</v>
          </cell>
          <cell r="F290" t="str">
            <v>CB</v>
          </cell>
          <cell r="G290">
            <v>10</v>
          </cell>
          <cell r="L290" t="str">
            <v>BAG</v>
          </cell>
          <cell r="M290">
            <v>1</v>
          </cell>
          <cell r="N290">
            <v>0</v>
          </cell>
          <cell r="O290">
            <v>0</v>
          </cell>
          <cell r="P290">
            <v>10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</v>
          </cell>
          <cell r="X290">
            <v>0</v>
          </cell>
        </row>
        <row r="291">
          <cell r="A291" t="str">
            <v>F2A.ABPLANQ.01</v>
          </cell>
          <cell r="B291" t="str">
            <v>PRIMALINE LYCHEE MILK 800GR</v>
          </cell>
          <cell r="C291" t="str">
            <v>F Ins P.Mlk PL-RE Lychee B.800</v>
          </cell>
          <cell r="D291" t="str">
            <v>PRIMALINE REGULAR</v>
          </cell>
          <cell r="E291" t="str">
            <v>INSTITUSI</v>
          </cell>
          <cell r="F291" t="str">
            <v>CB</v>
          </cell>
          <cell r="G291">
            <v>10</v>
          </cell>
          <cell r="L291" t="str">
            <v>BAG</v>
          </cell>
          <cell r="M291">
            <v>1</v>
          </cell>
          <cell r="N291">
            <v>0</v>
          </cell>
          <cell r="O291">
            <v>0</v>
          </cell>
          <cell r="P291">
            <v>10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0</v>
          </cell>
          <cell r="X291">
            <v>0</v>
          </cell>
        </row>
        <row r="292">
          <cell r="A292" t="str">
            <v>F2A.ABPLANR.01</v>
          </cell>
          <cell r="B292" t="str">
            <v>PRIMALINE MANGO 800GR</v>
          </cell>
          <cell r="C292" t="str">
            <v>F Ins P.Mlk PL-RE Mango B.800</v>
          </cell>
          <cell r="D292" t="str">
            <v>PRIMALINE REGULAR</v>
          </cell>
          <cell r="E292" t="str">
            <v>INSTITUSI</v>
          </cell>
          <cell r="F292" t="str">
            <v>CB</v>
          </cell>
          <cell r="G292">
            <v>10</v>
          </cell>
          <cell r="L292" t="str">
            <v>BAG</v>
          </cell>
          <cell r="M292">
            <v>1</v>
          </cell>
          <cell r="N292">
            <v>0</v>
          </cell>
          <cell r="O292">
            <v>0</v>
          </cell>
          <cell r="P292">
            <v>10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</v>
          </cell>
          <cell r="X292">
            <v>0</v>
          </cell>
        </row>
        <row r="293">
          <cell r="A293" t="str">
            <v>F2A.ABPLATC.01</v>
          </cell>
          <cell r="B293" t="str">
            <v>PRIMALINE MILK TEA 800GR</v>
          </cell>
          <cell r="C293" t="str">
            <v>F Ins P.Mlk PL-RE Milk Tea B.800</v>
          </cell>
          <cell r="D293" t="str">
            <v>PRIMALINE REGULAR</v>
          </cell>
          <cell r="E293" t="str">
            <v>INSTITUSI</v>
          </cell>
          <cell r="F293" t="str">
            <v>CB</v>
          </cell>
          <cell r="G293">
            <v>10</v>
          </cell>
          <cell r="L293" t="str">
            <v>BAG</v>
          </cell>
          <cell r="M293">
            <v>1</v>
          </cell>
          <cell r="N293">
            <v>0</v>
          </cell>
          <cell r="O293">
            <v>0</v>
          </cell>
          <cell r="P293">
            <v>10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0</v>
          </cell>
          <cell r="X293">
            <v>0</v>
          </cell>
        </row>
        <row r="294">
          <cell r="A294" t="str">
            <v>F2A.ABPLATF.01</v>
          </cell>
          <cell r="B294" t="str">
            <v>PRIMALINE GRN TEA MATCA 800GR</v>
          </cell>
          <cell r="C294" t="str">
            <v>F Ins P.Mlk PL-RE Grn Tea Matcha B.800</v>
          </cell>
          <cell r="D294" t="str">
            <v>PRIMALINE REGULAR</v>
          </cell>
          <cell r="E294" t="str">
            <v>INSTITUSI</v>
          </cell>
          <cell r="F294" t="str">
            <v>CB</v>
          </cell>
          <cell r="G294">
            <v>10</v>
          </cell>
          <cell r="L294" t="str">
            <v>BAG</v>
          </cell>
          <cell r="M294">
            <v>1</v>
          </cell>
          <cell r="N294">
            <v>0</v>
          </cell>
          <cell r="O294">
            <v>0</v>
          </cell>
          <cell r="P294">
            <v>10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</v>
          </cell>
          <cell r="X294">
            <v>0</v>
          </cell>
        </row>
        <row r="295">
          <cell r="A295" t="str">
            <v>F2A.ACPLATB.02</v>
          </cell>
          <cell r="B295" t="str">
            <v>PRIMALINE LEMONADE TEA 625GR</v>
          </cell>
          <cell r="C295" t="str">
            <v>F Ins P.Tea PL-RE Lemonade Tea B.625</v>
          </cell>
          <cell r="D295" t="str">
            <v>PRIMALINE REGULAR</v>
          </cell>
          <cell r="E295" t="str">
            <v>INSTITUSI</v>
          </cell>
          <cell r="F295" t="str">
            <v>CB</v>
          </cell>
          <cell r="G295">
            <v>12</v>
          </cell>
          <cell r="L295" t="str">
            <v>BAG</v>
          </cell>
          <cell r="M295">
            <v>1</v>
          </cell>
          <cell r="N295">
            <v>0</v>
          </cell>
          <cell r="O295">
            <v>0</v>
          </cell>
          <cell r="P295">
            <v>12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0</v>
          </cell>
          <cell r="X295">
            <v>0</v>
          </cell>
        </row>
        <row r="296">
          <cell r="A296" t="str">
            <v>F2A.ACPLATB.06</v>
          </cell>
          <cell r="B296" t="str">
            <v>PRIMALINE LEMONADE MARUGAME 705GR</v>
          </cell>
          <cell r="C296" t="str">
            <v>F Ins P.Tea PL-RE Lemonade Tea B.705</v>
          </cell>
          <cell r="D296" t="str">
            <v>PRIMALINE REGULAR</v>
          </cell>
          <cell r="E296" t="str">
            <v>INSTITUSI</v>
          </cell>
          <cell r="F296" t="str">
            <v>CB</v>
          </cell>
          <cell r="G296">
            <v>12</v>
          </cell>
          <cell r="L296" t="str">
            <v>BAG</v>
          </cell>
          <cell r="M296">
            <v>1</v>
          </cell>
          <cell r="N296">
            <v>0</v>
          </cell>
          <cell r="O296">
            <v>0</v>
          </cell>
          <cell r="P296">
            <v>12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</v>
          </cell>
          <cell r="X296">
            <v>0</v>
          </cell>
        </row>
        <row r="297">
          <cell r="A297" t="str">
            <v>F2A.AGPLAHG.03</v>
          </cell>
          <cell r="B297" t="str">
            <v>PRIMALINE G.GRS JELLY 500GR</v>
          </cell>
          <cell r="C297" t="str">
            <v>F Ins P.Jly PL-RE G.Grs Jly DS B.500</v>
          </cell>
          <cell r="D297" t="str">
            <v>PRIMALINE REGULAR</v>
          </cell>
          <cell r="E297" t="str">
            <v>INSTITUSI</v>
          </cell>
          <cell r="F297" t="str">
            <v>CB</v>
          </cell>
          <cell r="G297">
            <v>16</v>
          </cell>
          <cell r="L297" t="str">
            <v>BAG</v>
          </cell>
          <cell r="M297">
            <v>1</v>
          </cell>
          <cell r="N297">
            <v>0</v>
          </cell>
          <cell r="O297">
            <v>0</v>
          </cell>
          <cell r="P297">
            <v>16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0</v>
          </cell>
          <cell r="X297">
            <v>0</v>
          </cell>
        </row>
        <row r="298">
          <cell r="A298" t="str">
            <v>F2A.AGPLAXA.03</v>
          </cell>
          <cell r="B298" t="str">
            <v>PRIMALINE PLAIN JELLY 500GR</v>
          </cell>
          <cell r="C298" t="str">
            <v>F Ins P.Jly PL-RE Plain B.500</v>
          </cell>
          <cell r="D298" t="str">
            <v>PRIMALINE REGULAR</v>
          </cell>
          <cell r="E298" t="str">
            <v>INSTITUSI</v>
          </cell>
          <cell r="F298" t="str">
            <v>CB</v>
          </cell>
          <cell r="G298">
            <v>16</v>
          </cell>
          <cell r="L298" t="str">
            <v>BAG</v>
          </cell>
          <cell r="M298">
            <v>1</v>
          </cell>
          <cell r="N298">
            <v>0</v>
          </cell>
          <cell r="O298">
            <v>0</v>
          </cell>
          <cell r="P298">
            <v>16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A299" t="str">
            <v>F2A.AGPLAXA.05</v>
          </cell>
          <cell r="B299" t="str">
            <v>PRIMALINE PLAIN JLY XXI 180GR</v>
          </cell>
          <cell r="C299" t="str">
            <v>F Ins P.Jly PL-RE Plain B.180</v>
          </cell>
          <cell r="D299" t="str">
            <v>PRIMALINE REGULAR</v>
          </cell>
          <cell r="E299" t="str">
            <v>INSTITUSI</v>
          </cell>
          <cell r="F299" t="str">
            <v>CB</v>
          </cell>
          <cell r="G299">
            <v>40</v>
          </cell>
          <cell r="L299" t="str">
            <v>BAG</v>
          </cell>
          <cell r="M299">
            <v>1</v>
          </cell>
          <cell r="N299">
            <v>0</v>
          </cell>
          <cell r="O299">
            <v>0</v>
          </cell>
          <cell r="P299">
            <v>40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 t="str">
            <v>F1A.ABPIANB.05</v>
          </cell>
          <cell r="B300" t="str">
            <v>POP ICE REG ALPUKAT OUTERPACK</v>
          </cell>
          <cell r="C300" t="str">
            <v>F Loc P.Mlk PI-RE Avocado OP</v>
          </cell>
          <cell r="D300" t="str">
            <v>POP ICE REGULAR</v>
          </cell>
          <cell r="E300" t="str">
            <v>BEVERAGE 1</v>
          </cell>
          <cell r="F300" t="str">
            <v>CB</v>
          </cell>
          <cell r="G300">
            <v>240</v>
          </cell>
          <cell r="H300" t="str">
            <v>BAG</v>
          </cell>
          <cell r="I300">
            <v>5</v>
          </cell>
          <cell r="L300" t="str">
            <v>PCS</v>
          </cell>
          <cell r="M300">
            <v>1</v>
          </cell>
          <cell r="N300">
            <v>48</v>
          </cell>
          <cell r="O300">
            <v>0</v>
          </cell>
          <cell r="P300">
            <v>240</v>
          </cell>
          <cell r="Q300">
            <v>207638</v>
          </cell>
          <cell r="R300">
            <v>227029</v>
          </cell>
          <cell r="S300">
            <v>273116</v>
          </cell>
          <cell r="T300">
            <v>227029</v>
          </cell>
          <cell r="U300" t="str">
            <v>AKTIF</v>
          </cell>
          <cell r="V300">
            <v>865.1583333333333</v>
          </cell>
          <cell r="W300">
            <v>945.95416666666665</v>
          </cell>
          <cell r="X300">
            <v>1137.9833333333333</v>
          </cell>
        </row>
        <row r="301">
          <cell r="A301" t="str">
            <v>F1A.ABPIAOB.05</v>
          </cell>
          <cell r="B301" t="str">
            <v>POP ICE REG STRAWBERRY OUTERPACK</v>
          </cell>
          <cell r="C301" t="str">
            <v>F Loc P.Mlk PI-RE Strawberry OP</v>
          </cell>
          <cell r="D301" t="str">
            <v>POP ICE REGULAR</v>
          </cell>
          <cell r="E301" t="str">
            <v>BEVERAGE 1</v>
          </cell>
          <cell r="F301" t="str">
            <v>CB</v>
          </cell>
          <cell r="G301">
            <v>240</v>
          </cell>
          <cell r="H301" t="str">
            <v>BAG</v>
          </cell>
          <cell r="I301">
            <v>5</v>
          </cell>
          <cell r="L301" t="str">
            <v>PCS</v>
          </cell>
          <cell r="M301">
            <v>1</v>
          </cell>
          <cell r="N301">
            <v>48</v>
          </cell>
          <cell r="O301">
            <v>0</v>
          </cell>
          <cell r="P301">
            <v>240</v>
          </cell>
          <cell r="Q301">
            <v>207638</v>
          </cell>
          <cell r="R301">
            <v>227029</v>
          </cell>
          <cell r="S301">
            <v>273116</v>
          </cell>
          <cell r="T301">
            <v>227029</v>
          </cell>
          <cell r="U301" t="str">
            <v>AKTIF</v>
          </cell>
          <cell r="V301">
            <v>865.1583333333333</v>
          </cell>
          <cell r="W301">
            <v>945.95416666666665</v>
          </cell>
          <cell r="X301">
            <v>1137.9833333333333</v>
          </cell>
        </row>
        <row r="302">
          <cell r="A302" t="str">
            <v>F1A.ABPICEF.02</v>
          </cell>
          <cell r="B302" t="str">
            <v>POP ICE SULTAN ITALIAN CIATO OUTERPACK</v>
          </cell>
          <cell r="C302" t="str">
            <v>F Loc P.Mlk PI-SU Italian Ciato OP</v>
          </cell>
          <cell r="D302" t="str">
            <v>POP ICE SULTAN</v>
          </cell>
          <cell r="E302" t="str">
            <v>BEVERAGE 1</v>
          </cell>
          <cell r="F302" t="str">
            <v>CB</v>
          </cell>
          <cell r="G302">
            <v>240</v>
          </cell>
          <cell r="H302" t="str">
            <v>BAG</v>
          </cell>
          <cell r="I302">
            <v>5</v>
          </cell>
          <cell r="L302" t="str">
            <v>PCS</v>
          </cell>
          <cell r="M302">
            <v>1</v>
          </cell>
          <cell r="N302">
            <v>48</v>
          </cell>
          <cell r="O302">
            <v>0</v>
          </cell>
          <cell r="P302">
            <v>240</v>
          </cell>
          <cell r="Q302">
            <v>207638</v>
          </cell>
          <cell r="R302">
            <v>227029</v>
          </cell>
          <cell r="S302">
            <v>273116</v>
          </cell>
          <cell r="T302">
            <v>227029</v>
          </cell>
          <cell r="U302" t="str">
            <v>AKTIF</v>
          </cell>
          <cell r="V302">
            <v>865.1583333333333</v>
          </cell>
          <cell r="W302">
            <v>945.95416666666665</v>
          </cell>
          <cell r="X302">
            <v>1137.9833333333333</v>
          </cell>
        </row>
        <row r="303">
          <cell r="A303" t="str">
            <v>F1A.AHPUDNR.04</v>
          </cell>
          <cell r="B303" t="str">
            <v>SILKY PUDDING MANGGA POUCH</v>
          </cell>
          <cell r="C303" t="str">
            <v>F Loc P.Pud PU-SI Mango Pch</v>
          </cell>
          <cell r="D303" t="str">
            <v>SILKY PUDDING</v>
          </cell>
          <cell r="E303" t="str">
            <v>DESSERT 2</v>
          </cell>
          <cell r="F303" t="str">
            <v>CB</v>
          </cell>
          <cell r="G303">
            <v>24</v>
          </cell>
          <cell r="L303" t="str">
            <v>PCS</v>
          </cell>
          <cell r="M303">
            <v>1</v>
          </cell>
          <cell r="N303">
            <v>0</v>
          </cell>
          <cell r="O303">
            <v>0</v>
          </cell>
          <cell r="P303">
            <v>24</v>
          </cell>
          <cell r="Q303">
            <v>163000</v>
          </cell>
          <cell r="R303">
            <v>179000</v>
          </cell>
          <cell r="S303">
            <v>232000</v>
          </cell>
          <cell r="T303">
            <v>179000</v>
          </cell>
          <cell r="U303" t="str">
            <v>AKTIF</v>
          </cell>
          <cell r="V303">
            <v>6791.666666666667</v>
          </cell>
          <cell r="W303">
            <v>7458.333333333333</v>
          </cell>
          <cell r="X303">
            <v>9666.6666666666661</v>
          </cell>
        </row>
        <row r="304">
          <cell r="A304" t="str">
            <v>F1A.ANWKAXA.01</v>
          </cell>
          <cell r="B304" t="str">
            <v>WHIPKING PLAIN POUCH</v>
          </cell>
          <cell r="C304" t="str">
            <v>F loc P.Wip WK-RE Plain Pch</v>
          </cell>
          <cell r="D304" t="str">
            <v>WHIPKING</v>
          </cell>
          <cell r="E304" t="str">
            <v>DESSERT 2</v>
          </cell>
          <cell r="F304" t="str">
            <v>CB</v>
          </cell>
          <cell r="G304">
            <v>24</v>
          </cell>
          <cell r="L304" t="str">
            <v>PCS</v>
          </cell>
          <cell r="M304">
            <v>1</v>
          </cell>
          <cell r="N304">
            <v>0</v>
          </cell>
          <cell r="O304">
            <v>0</v>
          </cell>
          <cell r="P304">
            <v>24</v>
          </cell>
          <cell r="Q304">
            <v>421200</v>
          </cell>
          <cell r="R304">
            <v>463200</v>
          </cell>
          <cell r="S304">
            <v>564000</v>
          </cell>
          <cell r="T304">
            <v>463200</v>
          </cell>
          <cell r="U304" t="str">
            <v>AKTIF</v>
          </cell>
          <cell r="V304">
            <v>17550</v>
          </cell>
          <cell r="W304">
            <v>19300</v>
          </cell>
          <cell r="X304">
            <v>23500</v>
          </cell>
        </row>
        <row r="305">
          <cell r="A305" t="str">
            <v>F1A.AANTMOM.02</v>
          </cell>
          <cell r="B305" t="str">
            <v>NUTRIMAS JERUK PERAS GRATIS 5 SCH</v>
          </cell>
          <cell r="C305" t="str">
            <v>F Loc P.Frt NT-MA Jeruk Peras P.5's</v>
          </cell>
          <cell r="D305" t="str">
            <v>NUTRIMAS</v>
          </cell>
          <cell r="E305" t="str">
            <v>BEVERAGE 2</v>
          </cell>
          <cell r="F305" t="str">
            <v>CB</v>
          </cell>
          <cell r="G305">
            <v>720</v>
          </cell>
          <cell r="H305" t="str">
            <v>BAG</v>
          </cell>
          <cell r="I305">
            <v>120</v>
          </cell>
          <cell r="J305" t="str">
            <v>RCG</v>
          </cell>
          <cell r="K305">
            <v>15</v>
          </cell>
          <cell r="L305" t="str">
            <v>PCS</v>
          </cell>
          <cell r="M305">
            <v>1</v>
          </cell>
          <cell r="N305">
            <v>6</v>
          </cell>
          <cell r="O305">
            <v>48</v>
          </cell>
          <cell r="P305">
            <v>720</v>
          </cell>
          <cell r="Q305">
            <v>119812</v>
          </cell>
          <cell r="R305">
            <v>130595</v>
          </cell>
          <cell r="S305">
            <v>0</v>
          </cell>
          <cell r="T305">
            <v>130595</v>
          </cell>
          <cell r="U305" t="str">
            <v>AKTIF</v>
          </cell>
          <cell r="V305">
            <v>166.40555555555557</v>
          </cell>
          <cell r="W305">
            <v>181.38194444444446</v>
          </cell>
          <cell r="X305">
            <v>0</v>
          </cell>
        </row>
        <row r="306">
          <cell r="A306" t="str">
            <v>F1A.AANTMNI.02</v>
          </cell>
          <cell r="B306" t="str">
            <v>NUTRIMAS ANGGUR GRATIS 5 SCH</v>
          </cell>
          <cell r="C306" t="str">
            <v>F Loc P.Frt NT-MA Grape P.5's</v>
          </cell>
          <cell r="D306" t="str">
            <v>NUTRIMAS</v>
          </cell>
          <cell r="E306" t="str">
            <v>BEVERAGE 2</v>
          </cell>
          <cell r="F306" t="str">
            <v>CB</v>
          </cell>
          <cell r="G306">
            <v>720</v>
          </cell>
          <cell r="H306" t="str">
            <v>BAG</v>
          </cell>
          <cell r="I306">
            <v>120</v>
          </cell>
          <cell r="J306" t="str">
            <v>RCG</v>
          </cell>
          <cell r="K306">
            <v>15</v>
          </cell>
          <cell r="L306" t="str">
            <v>PCS</v>
          </cell>
          <cell r="M306">
            <v>1</v>
          </cell>
          <cell r="N306">
            <v>6</v>
          </cell>
          <cell r="O306">
            <v>48</v>
          </cell>
          <cell r="P306">
            <v>720</v>
          </cell>
          <cell r="Q306">
            <v>119812</v>
          </cell>
          <cell r="R306">
            <v>130595</v>
          </cell>
          <cell r="S306">
            <v>0</v>
          </cell>
          <cell r="T306">
            <v>130595</v>
          </cell>
          <cell r="U306" t="str">
            <v>AKTIF</v>
          </cell>
          <cell r="V306">
            <v>166.40555555555557</v>
          </cell>
          <cell r="W306">
            <v>181.38194444444446</v>
          </cell>
          <cell r="X306">
            <v>0</v>
          </cell>
        </row>
        <row r="307">
          <cell r="A307" t="str">
            <v>F1A.AANTMNR.02</v>
          </cell>
          <cell r="B307" t="str">
            <v>NUTRIMAS MANGGA GRATIS 5 SCH</v>
          </cell>
          <cell r="C307" t="str">
            <v>F Loc P.Frt NT-MA Mango P.5's</v>
          </cell>
          <cell r="D307" t="str">
            <v>NUTRIMAS</v>
          </cell>
          <cell r="E307" t="str">
            <v>BEVERAGE 2</v>
          </cell>
          <cell r="F307" t="str">
            <v>CB</v>
          </cell>
          <cell r="G307">
            <v>720</v>
          </cell>
          <cell r="H307" t="str">
            <v>BAG</v>
          </cell>
          <cell r="I307">
            <v>120</v>
          </cell>
          <cell r="J307" t="str">
            <v>RCG</v>
          </cell>
          <cell r="K307">
            <v>15</v>
          </cell>
          <cell r="L307" t="str">
            <v>PCS</v>
          </cell>
          <cell r="M307">
            <v>1</v>
          </cell>
          <cell r="N307">
            <v>6</v>
          </cell>
          <cell r="O307">
            <v>48</v>
          </cell>
          <cell r="P307">
            <v>720</v>
          </cell>
          <cell r="Q307">
            <v>119812</v>
          </cell>
          <cell r="R307">
            <v>130595</v>
          </cell>
          <cell r="S307">
            <v>0</v>
          </cell>
          <cell r="T307">
            <v>130595</v>
          </cell>
          <cell r="U307" t="str">
            <v>AKTIF</v>
          </cell>
          <cell r="V307">
            <v>166.40555555555557</v>
          </cell>
          <cell r="W307">
            <v>181.38194444444446</v>
          </cell>
          <cell r="X307">
            <v>0</v>
          </cell>
        </row>
        <row r="308">
          <cell r="A308" t="str">
            <v>F1A.AANTMHE.02</v>
          </cell>
          <cell r="B308" t="str">
            <v>NUTRIMAS COCOPANDAN GRATIS 5 SCH</v>
          </cell>
          <cell r="C308" t="str">
            <v>F Loc P.Frt NT-MA Cocopandan P.5's</v>
          </cell>
          <cell r="D308" t="str">
            <v>NUTRIMAS</v>
          </cell>
          <cell r="E308" t="str">
            <v>BEVERAGE 2</v>
          </cell>
          <cell r="F308" t="str">
            <v>CB</v>
          </cell>
          <cell r="G308">
            <v>720</v>
          </cell>
          <cell r="H308" t="str">
            <v>BAG</v>
          </cell>
          <cell r="I308">
            <v>120</v>
          </cell>
          <cell r="J308" t="str">
            <v>RCG</v>
          </cell>
          <cell r="K308">
            <v>15</v>
          </cell>
          <cell r="L308" t="str">
            <v>PCS</v>
          </cell>
          <cell r="M308">
            <v>1</v>
          </cell>
          <cell r="N308">
            <v>6</v>
          </cell>
          <cell r="O308">
            <v>48</v>
          </cell>
          <cell r="P308">
            <v>720</v>
          </cell>
          <cell r="Q308">
            <v>119812</v>
          </cell>
          <cell r="R308">
            <v>130595</v>
          </cell>
          <cell r="S308">
            <v>0</v>
          </cell>
          <cell r="T308">
            <v>130595</v>
          </cell>
          <cell r="U308" t="str">
            <v>AKTIF</v>
          </cell>
          <cell r="V308">
            <v>166.40555555555557</v>
          </cell>
          <cell r="W308">
            <v>181.38194444444446</v>
          </cell>
          <cell r="X308">
            <v>0</v>
          </cell>
        </row>
        <row r="309">
          <cell r="A309" t="str">
            <v>F1A.AANTMHB.02</v>
          </cell>
          <cell r="B309" t="str">
            <v>NUTRIMAS CINCAU GRATIS 5 SCH</v>
          </cell>
          <cell r="C309" t="str">
            <v>F Loc P.Frt NT-MA Grass Jelly P.5's</v>
          </cell>
          <cell r="D309" t="str">
            <v>NUTRIMAS</v>
          </cell>
          <cell r="E309" t="str">
            <v>BEVERAGE 2</v>
          </cell>
          <cell r="F309" t="str">
            <v>CB</v>
          </cell>
          <cell r="G309">
            <v>720</v>
          </cell>
          <cell r="H309" t="str">
            <v>BAG</v>
          </cell>
          <cell r="I309">
            <v>120</v>
          </cell>
          <cell r="J309" t="str">
            <v>RCG</v>
          </cell>
          <cell r="K309">
            <v>15</v>
          </cell>
          <cell r="L309" t="str">
            <v>PCS</v>
          </cell>
          <cell r="M309">
            <v>1</v>
          </cell>
          <cell r="N309">
            <v>6</v>
          </cell>
          <cell r="O309">
            <v>48</v>
          </cell>
          <cell r="P309">
            <v>720</v>
          </cell>
          <cell r="Q309">
            <v>119812</v>
          </cell>
          <cell r="R309">
            <v>130595</v>
          </cell>
          <cell r="S309">
            <v>0</v>
          </cell>
          <cell r="T309">
            <v>130595</v>
          </cell>
          <cell r="U309" t="str">
            <v>AKTIF</v>
          </cell>
          <cell r="V309">
            <v>166.40555555555557</v>
          </cell>
          <cell r="W309">
            <v>181.38194444444446</v>
          </cell>
          <cell r="X309">
            <v>0</v>
          </cell>
        </row>
        <row r="310">
          <cell r="A310" t="str">
            <v>F1A.ABKMABB.02</v>
          </cell>
          <cell r="B310" t="str">
            <v>KAROMAH MADU RENCENG SAMPLE</v>
          </cell>
          <cell r="C310" t="str">
            <v>F Loc P.Mlk KM-SK Honey Sp</v>
          </cell>
          <cell r="D310" t="str">
            <v>KAROMAH SUSU KAMBING</v>
          </cell>
          <cell r="E310" t="str">
            <v>BEVERAGE 1</v>
          </cell>
          <cell r="F310" t="str">
            <v>CB</v>
          </cell>
          <cell r="G310">
            <v>120</v>
          </cell>
          <cell r="H310" t="str">
            <v>BAG</v>
          </cell>
          <cell r="I310">
            <v>20</v>
          </cell>
          <cell r="J310" t="str">
            <v>RCG</v>
          </cell>
          <cell r="K310">
            <v>10</v>
          </cell>
          <cell r="L310" t="str">
            <v>PCS</v>
          </cell>
          <cell r="M310">
            <v>1</v>
          </cell>
          <cell r="N310">
            <v>6</v>
          </cell>
          <cell r="O310">
            <v>12</v>
          </cell>
          <cell r="P310">
            <v>120</v>
          </cell>
          <cell r="Q310"/>
          <cell r="R310"/>
          <cell r="S310"/>
          <cell r="T310"/>
          <cell r="U310" t="str">
            <v>AKTIF</v>
          </cell>
          <cell r="V310">
            <v>0</v>
          </cell>
          <cell r="W310">
            <v>0</v>
          </cell>
          <cell r="X310">
            <v>0</v>
          </cell>
        </row>
        <row r="311">
          <cell r="A311" t="str">
            <v>F1A.ABKMAOJ.02</v>
          </cell>
          <cell r="B311" t="str">
            <v>KAROMAH KURMA RENCENG SAMPLE</v>
          </cell>
          <cell r="C311" t="str">
            <v>F Loc P.Mlk KM-SK Kurma Sp</v>
          </cell>
          <cell r="D311" t="str">
            <v>KAROMAH SUSU KAMBING</v>
          </cell>
          <cell r="E311" t="str">
            <v>BEVERAGE 1</v>
          </cell>
          <cell r="F311" t="str">
            <v>CB</v>
          </cell>
          <cell r="G311">
            <v>120</v>
          </cell>
          <cell r="H311" t="str">
            <v>BAG</v>
          </cell>
          <cell r="I311">
            <v>20</v>
          </cell>
          <cell r="J311" t="str">
            <v>RCG</v>
          </cell>
          <cell r="K311">
            <v>10</v>
          </cell>
          <cell r="L311" t="str">
            <v>PCS</v>
          </cell>
          <cell r="M311">
            <v>1</v>
          </cell>
          <cell r="N311">
            <v>6</v>
          </cell>
          <cell r="O311">
            <v>12</v>
          </cell>
          <cell r="P311">
            <v>120</v>
          </cell>
          <cell r="Q311"/>
          <cell r="R311"/>
          <cell r="S311"/>
          <cell r="T311"/>
          <cell r="U311" t="str">
            <v>AKTIF</v>
          </cell>
          <cell r="V311">
            <v>0</v>
          </cell>
          <cell r="W311">
            <v>0</v>
          </cell>
          <cell r="X311">
            <v>0</v>
          </cell>
        </row>
        <row r="312">
          <cell r="A312" t="str">
            <v>F1A.ABKMAXD.02</v>
          </cell>
          <cell r="B312" t="str">
            <v>KAROMAH ORIGINAL RENCENG SAMPLE</v>
          </cell>
          <cell r="C312" t="str">
            <v>F Loc P.Mlk KM-SK Original Sp</v>
          </cell>
          <cell r="D312" t="str">
            <v>KAROMAH SUSU KAMBING</v>
          </cell>
          <cell r="E312" t="str">
            <v>BEVERAGE 1</v>
          </cell>
          <cell r="F312" t="str">
            <v>CB</v>
          </cell>
          <cell r="G312">
            <v>120</v>
          </cell>
          <cell r="H312" t="str">
            <v>BAG</v>
          </cell>
          <cell r="I312">
            <v>20</v>
          </cell>
          <cell r="J312" t="str">
            <v>RCG</v>
          </cell>
          <cell r="K312">
            <v>10</v>
          </cell>
          <cell r="L312" t="str">
            <v>PCS</v>
          </cell>
          <cell r="M312">
            <v>1</v>
          </cell>
          <cell r="N312">
            <v>6</v>
          </cell>
          <cell r="O312">
            <v>12</v>
          </cell>
          <cell r="P312">
            <v>120</v>
          </cell>
          <cell r="Q312"/>
          <cell r="R312"/>
          <cell r="S312"/>
          <cell r="T312"/>
          <cell r="U312" t="str">
            <v>AKTIF</v>
          </cell>
          <cell r="V312">
            <v>0</v>
          </cell>
          <cell r="W312">
            <v>0</v>
          </cell>
          <cell r="X312">
            <v>0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ri Ramadhan" refreshedDate="46225.559993634262" createdVersion="8" refreshedVersion="8" minRefreshableVersion="3" recordCount="655" xr:uid="{14271D16-06CD-49A1-81CD-A428F8521F54}">
  <cacheSource type="worksheet">
    <worksheetSource name="Table43"/>
  </cacheSource>
  <cacheFields count="73">
    <cacheField name="CONCATENATE MAPPING" numFmtId="0">
      <sharedItems/>
    </cacheField>
    <cacheField name="No. Urut_x000a_Item Sama" numFmtId="0">
      <sharedItems containsString="0" containsBlank="1" containsNumber="1" containsInteger="1" minValue="1" maxValue="3"/>
    </cacheField>
    <cacheField name="NO" numFmtId="1">
      <sharedItems containsString="0" containsBlank="1" containsNumber="1" containsInteger="1" minValue="30010010015000" maxValue="3007001010415000"/>
    </cacheField>
    <cacheField name="Kode Pcpl" numFmtId="1">
      <sharedItems containsString="0" containsBlank="1" containsNumber="1" containsInteger="1" minValue="10002" maxValue="191703000" count="1790">
        <m/>
        <n v="40008216"/>
        <n v="40008217"/>
        <n v="40014370"/>
        <n v="40035630"/>
        <n v="40008247"/>
        <n v="40056288"/>
        <n v="40013979"/>
        <n v="40056289"/>
        <n v="40063060"/>
        <n v="40058248"/>
        <n v="40008387"/>
        <n v="40008390"/>
        <n v="40057428"/>
        <n v="40008380"/>
        <n v="40039248"/>
        <n v="40029423"/>
        <n v="40017673"/>
        <n v="40034355"/>
        <n v="40028405"/>
        <n v="40008251"/>
        <n v="40008813"/>
        <n v="40008279"/>
        <n v="40008275"/>
        <n v="40014989"/>
        <n v="40009093"/>
        <n v="40008273"/>
        <n v="40008267"/>
        <n v="40008266"/>
        <n v="40009997"/>
        <n v="40007529"/>
        <n v="40008280"/>
        <n v="40007530"/>
        <n v="40008271"/>
        <n v="40008198"/>
        <n v="40008199"/>
        <n v="40008200"/>
        <n v="40014892"/>
        <n v="40007868"/>
        <n v="40049639"/>
        <n v="40007596"/>
        <n v="40034832"/>
        <n v="40037980"/>
        <n v="40060008"/>
        <n v="40058477"/>
        <n v="40060009"/>
        <n v="40058478"/>
        <n v="40060525"/>
        <n v="40059924"/>
        <n v="40039290"/>
        <n v="40060013"/>
        <n v="40039286"/>
        <n v="40039442"/>
        <n v="40060021"/>
        <n v="40049657"/>
        <n v="40060006"/>
        <n v="40039317"/>
        <n v="40039469"/>
        <n v="40060015"/>
        <n v="40039318"/>
        <n v="40039444"/>
        <n v="40037981"/>
        <n v="40028383"/>
        <n v="40050816"/>
        <n v="40060007"/>
        <n v="40050322"/>
        <n v="40060010"/>
        <n v="40057355"/>
        <n v="40060017"/>
        <n v="40057866"/>
        <n v="40043133"/>
        <n v="40044130"/>
        <n v="40035894"/>
        <n v="40049644"/>
        <n v="40039292"/>
        <n v="40060019"/>
        <n v="40023905"/>
        <n v="40038010"/>
        <n v="40059922"/>
        <n v="40039288"/>
        <n v="40038011"/>
        <n v="40060011"/>
        <n v="40039274"/>
        <n v="40043770"/>
        <n v="40060018"/>
        <n v="40057867"/>
        <n v="40043134"/>
        <n v="40044131"/>
        <n v="40060020"/>
        <n v="40049655"/>
        <n v="40039293"/>
        <n v="40038014"/>
        <n v="40059923"/>
        <n v="40039289"/>
        <n v="40038015"/>
        <n v="40060012"/>
        <n v="40039285"/>
        <n v="40038016"/>
        <n v="40043771"/>
        <n v="40060016"/>
        <n v="40057865"/>
        <n v="40044129"/>
        <n v="40043130"/>
        <n v="40060053"/>
        <n v="40049656"/>
        <n v="40043544"/>
        <n v="40060005"/>
        <n v="40039291"/>
        <n v="40060014"/>
        <n v="40039287"/>
        <n v="40037982"/>
        <n v="40026239"/>
        <n v="40056830"/>
        <n v="40057598"/>
        <n v="40036247"/>
        <n v="40057200"/>
        <n v="40028235"/>
        <n v="40036248"/>
        <n v="40057201"/>
        <n v="40061095"/>
        <n v="40036249"/>
        <n v="40057203"/>
        <n v="40061096"/>
        <n v="40057315"/>
        <n v="40061097"/>
        <n v="40059201"/>
        <n v="40036707"/>
        <n v="40057316"/>
        <n v="40028228"/>
        <n v="40059202"/>
        <n v="40036708"/>
        <n v="40057318"/>
        <n v="40036709"/>
        <n v="40057317"/>
        <n v="40049640"/>
        <n v="40016505"/>
        <n v="40016506"/>
        <n v="40049643"/>
        <n v="40012018"/>
        <n v="40008190"/>
        <n v="40049642"/>
        <n v="40008191"/>
        <n v="40049641"/>
        <n v="40008192"/>
        <n v="40029541"/>
        <n v="40043780"/>
        <n v="40031134"/>
        <n v="40023911"/>
        <n v="40015298"/>
        <n v="40007576"/>
        <n v="40043781"/>
        <n v="40031155"/>
        <n v="40023912"/>
        <n v="40043783"/>
        <n v="40031159"/>
        <n v="40028914"/>
        <n v="40043776"/>
        <n v="40029462"/>
        <n v="40043778"/>
        <n v="40043777"/>
        <n v="40029461"/>
        <n v="40024946"/>
        <n v="40043779"/>
        <n v="40007556"/>
        <n v="40035625"/>
        <n v="40007562"/>
        <n v="40007572"/>
        <n v="40017204"/>
        <n v="40062941"/>
        <n v="40050005"/>
        <n v="40056227"/>
        <n v="40060797"/>
        <n v="40023534"/>
        <n v="40056229"/>
        <n v="40060796"/>
        <n v="40023557"/>
        <n v="40007561"/>
        <n v="40007531"/>
        <n v="40050006"/>
        <n v="40058771"/>
        <n v="40060793"/>
        <n v="40017605"/>
        <n v="40057199"/>
        <n v="40062317"/>
        <n v="40057198"/>
        <n v="40062316"/>
        <n v="40049994"/>
        <n v="40056226"/>
        <n v="40023556"/>
        <n v="40060800"/>
        <n v="40026337"/>
        <n v="40056228"/>
        <n v="40023559"/>
        <n v="40060798"/>
        <n v="40007533"/>
        <n v="40062940"/>
        <n v="40034916"/>
        <n v="40034915"/>
        <n v="40020719"/>
        <n v="40028471"/>
        <n v="40049588"/>
        <n v="40008320"/>
        <n v="40008322"/>
        <n v="40008321"/>
        <n v="40028603"/>
        <n v="40008323"/>
        <n v="40008330"/>
        <n v="40008327"/>
        <n v="40008325"/>
        <n v="40008328"/>
        <n v="40008326"/>
        <n v="40008340"/>
        <n v="40008338"/>
        <n v="40008339"/>
        <n v="40008336"/>
        <n v="40008337"/>
        <n v="40027244"/>
        <n v="40027245"/>
        <n v="40027246"/>
        <n v="40027248"/>
        <n v="40050291"/>
        <n v="40050313"/>
        <n v="40035995"/>
        <n v="40028274"/>
        <n v="40028012"/>
        <n v="40058790"/>
        <n v="40028285"/>
        <n v="40058791"/>
        <n v="40028013"/>
        <n v="40028137"/>
        <n v="40027992"/>
        <n v="40027994"/>
        <n v="40028073"/>
        <n v="40028269"/>
        <n v="40028271"/>
        <n v="40028273"/>
        <n v="40028268"/>
        <n v="40028270"/>
        <n v="40028272"/>
        <n v="40027989"/>
        <n v="40027990"/>
        <n v="40027991"/>
        <n v="40028065"/>
        <n v="40016503"/>
        <n v="40027883"/>
        <n v="40009897"/>
        <n v="40043531"/>
        <n v="40058367"/>
        <n v="40027227"/>
        <n v="40027228"/>
        <n v="40008112"/>
        <n v="40058366"/>
        <n v="40027230"/>
        <n v="40049679"/>
        <n v="40049678"/>
        <n v="40039096"/>
        <n v="40027231"/>
        <n v="40058365"/>
        <n v="40027233"/>
        <n v="40027235"/>
        <n v="40027237"/>
        <n v="40049680"/>
        <n v="40031569"/>
        <n v="40027239"/>
        <n v="40027243"/>
        <n v="40027241"/>
        <n v="40027232"/>
        <n v="40027234"/>
        <n v="40027236"/>
        <n v="40031568"/>
        <n v="40027240"/>
        <n v="40018118"/>
        <n v="40012841"/>
        <n v="40012843"/>
        <n v="40012840"/>
        <n v="40012842"/>
        <n v="40008104"/>
        <n v="40008106"/>
        <n v="40008107"/>
        <n v="40059819"/>
        <n v="40020677"/>
        <n v="40060485"/>
        <n v="40023335"/>
        <n v="40017289"/>
        <n v="40058723"/>
        <n v="40023337"/>
        <n v="40017268"/>
        <n v="40058724"/>
        <n v="40027283"/>
        <n v="40061151"/>
        <n v="40058722"/>
        <n v="40023336"/>
        <n v="40017267"/>
        <n v="40020112"/>
        <n v="40058765"/>
        <n v="40033215"/>
        <n v="40056280"/>
        <n v="40060394"/>
        <n v="40058766"/>
        <n v="40023333"/>
        <n v="40017265"/>
        <n v="40037720"/>
        <n v="40060392"/>
        <n v="40028482"/>
        <n v="40023334"/>
        <n v="40017266"/>
        <n v="40037721"/>
        <n v="40060393"/>
        <n v="40049695"/>
        <n v="40049694"/>
        <n v="40035898"/>
        <n v="40057115"/>
        <n v="40031265"/>
        <n v="40057116"/>
        <n v="40035899"/>
        <n v="40031266"/>
        <n v="40057117"/>
        <n v="40035900"/>
        <n v="40031267"/>
        <n v="40039309"/>
        <n v="40039308"/>
        <n v="40039310"/>
        <n v="40031382"/>
        <n v="40031383"/>
        <n v="40031392"/>
        <n v="40008524"/>
        <n v="40058057"/>
        <n v="40031391"/>
        <n v="40031385"/>
        <n v="40059999"/>
        <n v="40050348"/>
        <n v="40031623"/>
        <n v="40060134"/>
        <n v="40050292"/>
        <n v="40031393"/>
        <n v="40008448"/>
        <n v="40031387"/>
        <n v="40031386"/>
        <n v="40057615"/>
        <n v="40059659"/>
        <n v="40031394"/>
        <n v="40031566"/>
        <n v="40058056"/>
        <n v="40050345"/>
        <n v="40050347"/>
        <n v="40059998"/>
        <n v="40058055"/>
        <n v="40031567"/>
        <n v="40049586"/>
        <n v="40031389"/>
        <n v="40057762"/>
        <n v="40031390"/>
        <n v="40031388"/>
        <n v="40060135"/>
        <n v="40031384"/>
        <n v="40029118"/>
        <n v="40060609"/>
        <n v="40035631"/>
        <n v="40013424"/>
        <n v="40008233"/>
        <n v="40008237"/>
        <n v="40008238"/>
        <n v="40035632"/>
        <n v="40058815"/>
        <n v="40042167"/>
        <n v="40032019"/>
        <n v="40026441"/>
        <n v="40042168"/>
        <n v="40032016"/>
        <n v="40031984"/>
        <n v="40060390"/>
        <n v="40041771"/>
        <n v="40058787"/>
        <n v="40019547"/>
        <n v="40057197"/>
        <n v="40019545"/>
        <n v="40042169"/>
        <n v="40032018"/>
        <n v="40058788"/>
        <n v="40025913"/>
        <n v="40057947"/>
        <n v="40029967"/>
        <n v="40029583"/>
        <n v="40029590"/>
        <n v="40030673"/>
        <n v="40042844"/>
        <n v="40059911"/>
        <n v="40057475"/>
        <n v="40043470"/>
        <n v="40059927"/>
        <n v="40057465"/>
        <n v="40043464"/>
        <n v="40030000"/>
        <n v="40057477"/>
        <n v="40049965"/>
        <n v="40059912"/>
        <n v="40059934"/>
        <n v="40057472"/>
        <n v="40049966"/>
        <n v="40057480"/>
        <n v="40059925"/>
        <n v="40029996"/>
        <n v="40059929"/>
        <n v="40043454"/>
        <n v="40030005"/>
        <n v="40057467"/>
        <n v="40059914"/>
        <n v="40057479"/>
        <n v="40059931"/>
        <n v="40057469"/>
        <n v="40043452"/>
        <n v="40057478"/>
        <n v="40029148"/>
        <n v="40059913"/>
        <n v="40059930"/>
        <n v="40043453"/>
        <n v="40057468"/>
        <n v="40059910"/>
        <n v="40043471"/>
        <n v="40057474"/>
        <n v="40029993"/>
        <n v="40059928"/>
        <n v="40043463"/>
        <n v="40029998"/>
        <n v="40057466"/>
        <n v="40030002"/>
        <n v="40043466"/>
        <n v="40043449"/>
        <n v="40057843"/>
        <n v="40017262"/>
        <n v="40057842"/>
        <n v="40057476"/>
        <n v="40059909"/>
        <n v="40024822"/>
        <n v="40059935"/>
        <n v="40057840"/>
        <n v="40057473"/>
        <n v="40060567"/>
        <n v="40007669"/>
        <n v="40059926"/>
        <n v="40059938"/>
        <n v="40059932"/>
        <n v="40057470"/>
        <n v="40033728"/>
        <n v="40029992"/>
        <n v="40029999"/>
        <n v="40007683"/>
        <n v="40059933"/>
        <n v="40043450"/>
        <n v="40057471"/>
        <n v="40033727"/>
        <n v="40030010"/>
        <n v="40030009"/>
        <n v="40030007"/>
        <n v="40026846"/>
        <n v="40057616"/>
        <n v="40043467"/>
        <n v="40059936"/>
        <n v="40057617"/>
        <n v="40059937"/>
        <n v="40030008"/>
        <n v="40026845"/>
        <n v="40043508"/>
        <n v="40061767"/>
        <n v="40033250"/>
        <n v="40049991"/>
        <n v="40050038"/>
        <n v="40057312"/>
        <n v="40033254"/>
        <n v="40049974"/>
        <n v="40043509"/>
        <n v="40033311"/>
        <n v="40061772"/>
        <n v="40049992"/>
        <n v="40043510"/>
        <n v="40033312"/>
        <n v="40049993"/>
        <n v="40043506"/>
        <n v="40033248"/>
        <n v="40061765"/>
        <n v="40049989"/>
        <n v="40033252"/>
        <n v="40058076"/>
        <n v="40043507"/>
        <n v="40033249"/>
        <n v="40061766"/>
        <n v="40049990"/>
        <n v="40033253"/>
        <n v="40049995"/>
        <n v="40061769"/>
        <n v="40061771"/>
        <n v="40061768"/>
        <n v="40061770"/>
        <n v="40043490"/>
        <n v="40033267"/>
        <n v="40043491"/>
        <n v="40061775"/>
        <n v="40043489"/>
        <n v="40061773"/>
        <n v="40033266"/>
        <n v="40028419"/>
        <n v="40058077"/>
        <n v="40043488"/>
        <n v="40061774"/>
        <n v="40033265"/>
        <n v="40057196"/>
        <n v="40031090"/>
        <n v="40031092"/>
        <n v="40014711"/>
        <n v="40058507"/>
        <n v="40049687"/>
        <n v="40008740"/>
        <n v="40050200"/>
        <n v="40058514"/>
        <n v="40049692"/>
        <n v="40058512"/>
        <n v="40011640"/>
        <n v="40050202"/>
        <n v="40011642"/>
        <n v="40058511"/>
        <n v="40049691"/>
        <n v="40058510"/>
        <n v="40049690"/>
        <n v="40011641"/>
        <n v="40058513"/>
        <n v="40049693"/>
        <n v="40014293"/>
        <n v="40058508"/>
        <n v="40049688"/>
        <n v="40049686"/>
        <n v="40058506"/>
        <n v="40029200"/>
        <n v="40049689"/>
        <n v="40058509"/>
        <n v="40011643"/>
        <n v="40042087"/>
        <n v="40059816"/>
        <n v="40042096"/>
        <n v="40059494"/>
        <n v="40042095"/>
        <n v="40059815"/>
        <n v="40024792"/>
        <n v="40050838"/>
        <n v="40026248"/>
        <n v="40044141"/>
        <n v="40044140"/>
        <n v="40057692"/>
        <n v="40050839"/>
        <n v="40028144"/>
        <n v="40028143"/>
        <n v="40028142"/>
        <n v="40028895"/>
        <n v="40058887"/>
        <n v="40057600"/>
        <n v="40058886"/>
        <n v="40057599"/>
        <n v="40062467"/>
        <n v="40062468"/>
        <n v="40007610"/>
        <n v="40059953"/>
        <n v="40043494"/>
        <n v="40050031"/>
        <n v="40023807"/>
        <n v="40059951"/>
        <n v="40049944"/>
        <n v="40050030"/>
        <n v="40059949"/>
        <n v="40018983"/>
        <n v="40030573"/>
        <n v="40050027"/>
        <n v="40043492"/>
        <n v="40059947"/>
        <n v="40007714"/>
        <n v="40050045"/>
        <n v="40059945"/>
        <n v="40028689"/>
        <n v="40059941"/>
        <n v="40043515"/>
        <n v="40050032"/>
        <n v="40059944"/>
        <n v="40050028"/>
        <n v="40007711"/>
        <n v="40057844"/>
        <n v="40050029"/>
        <n v="40060565"/>
        <n v="40007712"/>
        <n v="40059954"/>
        <n v="40043512"/>
        <n v="40059956"/>
        <n v="40059826"/>
        <n v="40059943"/>
        <n v="40050034"/>
        <n v="40059939"/>
        <n v="40033729"/>
        <n v="40050033"/>
        <n v="40059940"/>
        <n v="40016954"/>
        <n v="40050046"/>
        <n v="40043519"/>
        <n v="40059952"/>
        <n v="40050047"/>
        <n v="40050051"/>
        <n v="40026844"/>
        <n v="40059950"/>
        <n v="40059948"/>
        <n v="40050049"/>
        <n v="40059946"/>
        <n v="40050048"/>
        <n v="40059942"/>
        <n v="40060566"/>
        <n v="40050052"/>
        <n v="40058075"/>
        <n v="40050050"/>
        <n v="40059955"/>
        <n v="40024303"/>
        <n v="40058910"/>
        <n v="40057427"/>
        <n v="40060575"/>
        <n v="40057576"/>
        <n v="40060607"/>
        <n v="40060758"/>
        <n v="40013729"/>
        <n v="40028520"/>
        <n v="40028519"/>
        <n v="40007717"/>
        <n v="40007723"/>
        <n v="40029249"/>
        <n v="40028611"/>
        <n v="40029829"/>
        <n v="40060133"/>
        <n v="40034917"/>
        <n v="40034894"/>
        <n v="40043484"/>
        <n v="40033711"/>
        <n v="40050840"/>
        <n v="40043505"/>
        <n v="40033712"/>
        <n v="40050841"/>
        <n v="40043483"/>
        <n v="40033710"/>
        <n v="40043482"/>
        <n v="40033709"/>
        <n v="40018468"/>
        <n v="40033286"/>
        <n v="40056279"/>
        <n v="40008523"/>
        <n v="40008487"/>
        <n v="40018633"/>
        <n v="40008502"/>
        <n v="40008741" u="1"/>
        <n v="100003468" u="1"/>
        <n v="100110193" u="1"/>
        <n v="100106534" u="1"/>
        <n v="60115" u="1"/>
        <n v="60052" u="1"/>
        <n v="100112697" u="1"/>
        <n v="100108910" u="1"/>
        <n v="100203" u="1"/>
        <n v="100002372" u="1"/>
        <n v="10061" u="1"/>
        <n v="100101774" u="1"/>
        <n v="10484494" u="1"/>
        <n v="100100102" u="1"/>
        <n v="100111473" u="1"/>
        <n v="100105822" u="1"/>
        <n v="100003012" u="1"/>
        <n v="100003204" u="1"/>
        <n v="100003332" u="1"/>
        <n v="100204" u="1"/>
        <n v="100003460" u="1"/>
        <n v="100106334" u="1"/>
        <n v="100112369" u="1"/>
        <n v="60116" u="1"/>
        <n v="60053" u="1"/>
        <n v="100101446" u="1"/>
        <n v="100004356" u="1"/>
        <n v="100205" u="1"/>
        <n v="100111022" u="1"/>
        <n v="100113009" u="1"/>
        <n v="10077" u="1"/>
        <n v="100101894" u="1"/>
        <n v="100003068" u="1"/>
        <n v="100003260" u="1"/>
        <n v="100111662" u="1"/>
        <n v="100003324" u="1"/>
        <n v="100106198" u="1"/>
        <n v="100109990" u="1"/>
        <n v="60117" u="1"/>
        <n v="100103302" u="1"/>
        <n v="60054" u="1"/>
        <n v="100113006" u="1"/>
        <n v="161702000" u="1"/>
        <n v="112601000" u="1"/>
        <n v="100003060" u="1"/>
        <n v="100111462" u="1"/>
        <n v="10030" u="1"/>
        <n v="100003252" u="1"/>
        <n v="100003316" u="1"/>
        <n v="100003380" u="1"/>
        <n v="100109982" u="1"/>
        <n v="100003508" u="1"/>
        <n v="100108374" u="1"/>
        <n v="100101366" u="1"/>
        <n v="100004212" u="1"/>
        <n v="191702001" u="1"/>
        <n v="100000425" u="1"/>
        <n v="100004340" u="1"/>
        <n v="60118" u="1"/>
        <n v="60055" u="1"/>
        <n v="100103614" u="1"/>
        <n v="100109142" u="1"/>
        <n v="100112870" u="1"/>
        <n v="100111326" u="1"/>
        <n v="100105798" u="1"/>
        <n v="10109" u="1"/>
        <n v="100109910" u="1"/>
        <n v="100112286" u="1"/>
        <n v="100110486" u="1"/>
        <n v="100112862" u="1"/>
        <n v="60119" u="1"/>
        <n v="60056" u="1"/>
        <n v="100111254" u="1"/>
        <n v="100100075" u="1"/>
        <n v="100003305" u="1"/>
        <n v="100003369" u="1"/>
        <n v="100111958" u="1"/>
        <n v="100112342" u="1"/>
        <n v="112604000" u="1"/>
        <n v="100101227" u="1"/>
        <n v="100002273" u="1"/>
        <n v="100004329" u="1"/>
        <n v="100101803" u="1"/>
        <n v="60120" u="1"/>
        <n v="100100067" u="1"/>
        <n v="60057" u="1"/>
        <n v="100100131" u="1"/>
        <n v="100100259" u="1"/>
        <n v="100003297" u="1"/>
        <n v="100003361" u="1"/>
        <n v="100106358" u="1"/>
        <n v="100113750" u="1"/>
        <n v="100106550" u="1"/>
        <n v="112602000" u="1"/>
        <n v="100112462" u="1"/>
        <n v="100101347" u="1"/>
        <n v="100004193" u="1"/>
        <n v="100103531" u="1"/>
        <n v="100101795" u="1"/>
        <n v="410066" u="1"/>
        <n v="100109566" u="1"/>
        <n v="60121" u="1"/>
        <n v="100003033" u="1"/>
        <n v="100003161" u="1"/>
        <n v="100100443" u="1"/>
        <n v="410068" u="1"/>
        <n v="100003289" u="1"/>
        <n v="100003417" u="1"/>
        <n v="10374203" u="1"/>
        <n v="10094" u="1"/>
        <n v="10031" u="1"/>
        <n v="150291" u="1"/>
        <n v="100108918" u="1"/>
        <n v="410072" u="1"/>
        <n v="150292" u="1"/>
        <n v="100004377" u="1"/>
        <n v="100103523" u="1"/>
        <n v="100111102" u="1"/>
        <n v="100111166" u="1"/>
        <n v="100101787" u="1"/>
        <n v="410073" u="1"/>
        <n v="100002897" u="1"/>
        <n v="1059929" u="1"/>
        <n v="100100435" u="1"/>
        <n v="1059933" u="1"/>
        <n v="100113670" u="1"/>
        <n v="10374202" u="1"/>
        <n v="150294" u="1"/>
        <n v="10110" u="1"/>
        <n v="100106539" u="1"/>
        <n v="100112318" u="1"/>
        <n v="100101267" u="1"/>
        <n v="150295" u="1"/>
        <n v="12001" u="1"/>
        <n v="100112830" u="1"/>
        <n v="100002441" u="1"/>
        <n v="100103515" u="1"/>
        <n v="100003017" u="1"/>
        <n v="100003209" u="1"/>
        <n v="100003337" u="1"/>
        <n v="60060" u="1"/>
        <n v="100975" u="1"/>
        <n v="100003465" u="1"/>
        <n v="150298" u="1"/>
        <n v="120011" u="1"/>
        <n v="10063" u="1"/>
        <n v="150299" u="1"/>
        <n v="100002369" u="1"/>
        <n v="100103379" u="1"/>
        <n v="100976" u="1"/>
        <n v="100100099" u="1"/>
        <n v="112603000" u="1"/>
        <n v="100220" u="1"/>
        <n v="100003009" u="1"/>
        <n v="100003329" u="1"/>
        <n v="60124" u="1"/>
        <n v="60061" u="1"/>
        <n v="100101059" u="1"/>
        <n v="100221" u="1"/>
        <n v="100108707" u="1"/>
        <n v="100002681" u="1"/>
        <n v="100103627" u="1"/>
        <n v="100111147" u="1"/>
        <n v="100101891" u="1"/>
        <n v="100111467" u="1"/>
        <n v="100222" u="1"/>
        <n v="100003321" u="1"/>
        <n v="100109987" u="1"/>
        <n v="60125" u="1"/>
        <n v="60062" u="1"/>
        <n v="900005" u="1"/>
        <n v="100113003" u="1"/>
        <n v="100100083" u="1"/>
        <n v="100003057" u="1"/>
        <n v="100003313" u="1"/>
        <n v="100003377" u="1"/>
        <n v="100109979" u="1"/>
        <n v="100001582" u="1"/>
        <n v="100111971" u="1"/>
        <n v="60063" u="1"/>
        <n v="100981" u="1"/>
        <n v="100101363" u="1"/>
        <n v="100004209" u="1"/>
        <n v="100004337" u="1"/>
        <n v="100225" u="1"/>
        <n v="100112867" u="1"/>
        <n v="10048" u="1"/>
        <n v="100111323" u="1"/>
        <n v="100105795" u="1"/>
        <n v="100111515" u="1"/>
        <n v="100003054" u="1"/>
        <n v="100109907" u="1"/>
        <n v="100226" u="1"/>
        <n v="100001638" u="1"/>
        <n v="100001766" u="1"/>
        <n v="60001" u="1"/>
        <n v="100103411" u="1"/>
        <n v="100004334" u="1"/>
        <n v="100111251" u="1"/>
        <n v="100109579" u="1"/>
        <n v="12018" u="1"/>
        <n v="100003302" u="1"/>
        <n v="100109963" u="1"/>
        <n v="100003366" u="1"/>
        <n v="100106363" u="1"/>
        <n v="100111955" u="1"/>
        <n v="100001694" u="1"/>
        <n v="100100840" u="1"/>
        <n v="100106555" u="1"/>
        <n v="100228" u="1"/>
        <n v="100101352" u="1"/>
        <n v="60065" u="1"/>
        <n v="60002" u="1"/>
        <n v="100004326" u="1"/>
        <n v="100112851" u="1"/>
        <n v="100101800" u="1"/>
        <n v="100002718" u="1"/>
        <n v="100229" u="1"/>
        <n v="100100064" u="1"/>
        <n v="100003166" u="1"/>
        <n v="150319" u="1"/>
        <n v="100003230" u="1"/>
        <n v="100986" u="1"/>
        <n v="100106547" u="1"/>
        <n v="150320" u="1"/>
        <n v="100112267" u="1"/>
        <n v="100101344" u="1"/>
        <n v="100987" u="1"/>
        <n v="60003" u="1"/>
        <n v="100101792" u="1"/>
        <n v="100111235" u="1"/>
        <n v="100100120" u="1"/>
        <n v="100103848" u="1"/>
        <n v="10096" u="1"/>
        <n v="460054" u="1"/>
        <n v="100100440" u="1"/>
        <n v="100003222" u="1"/>
        <n v="100113675" u="1"/>
        <n v="100003350" u="1"/>
        <n v="460055" u="1"/>
        <n v="460056" u="1"/>
        <n v="100108915" u="1"/>
        <n v="191702000" u="1"/>
        <n v="100004374" u="1"/>
        <n v="100111099" u="1"/>
        <n v="100111163" u="1"/>
        <n v="100101784" u="1"/>
        <n v="60067" u="1"/>
        <n v="60004" u="1"/>
        <n v="460060" u="1"/>
        <n v="100100112" u="1"/>
        <n v="100100240" u="1"/>
        <n v="100003022" u="1"/>
        <n v="460061" u="1"/>
        <n v="100233" u="1"/>
        <n v="100100432" u="1"/>
        <n v="10112" u="1"/>
        <n v="100003214" u="1"/>
        <n v="100003342" u="1"/>
        <n v="100003406" u="1"/>
        <n v="100106536" u="1"/>
        <n v="100112507" u="1"/>
        <n v="100234" u="1"/>
        <n v="100002374" u="1"/>
        <n v="100103512" u="1"/>
        <n v="100101776" u="1"/>
        <n v="150329" u="1"/>
        <n v="60068" u="1"/>
        <n v="100991" u="1"/>
        <n v="100100232" u="1"/>
        <n v="100003014" u="1"/>
        <n v="100003206" u="1"/>
        <n v="100001470" u="1"/>
        <n v="100003334" u="1"/>
        <n v="100111987" u="1"/>
        <n v="100112371" u="1"/>
        <n v="10002" u="1"/>
        <n v="100002366" u="1"/>
        <n v="150332" u="1"/>
        <n v="100236" u="1"/>
        <n v="100004358" u="1"/>
        <n v="100002686" u="1"/>
        <n v="120028" u="1"/>
        <n v="100100096" u="1"/>
        <n v="150333" u="1"/>
        <n v="150081" u="1"/>
        <n v="60006" u="1"/>
        <n v="100003262" u="1"/>
        <n v="1062272" u="1"/>
        <n v="100106200" u="1"/>
        <n v="100003454" u="1"/>
        <n v="100109992" u="1"/>
        <n v="10081" u="1"/>
        <n v="120029" u="1"/>
        <n v="10018" u="1"/>
        <n v="10489794" u="1"/>
        <n v="100111080" u="1"/>
        <n v="100238" u="1"/>
        <n v="120030" u="1"/>
        <n v="100002998" u="1"/>
        <n v="100003062" u="1"/>
        <n v="100111464" u="1"/>
        <n v="100003254" u="1"/>
        <n v="60070" u="1"/>
        <n v="100109984" u="1"/>
        <n v="100100792" u="1"/>
        <n v="100108376" u="1"/>
        <n v="10097" u="1"/>
        <n v="120031" u="1"/>
        <n v="10489793" u="1"/>
        <n v="40026641" u="1"/>
        <n v="100101368" u="1"/>
        <n v="100110880" u="1"/>
        <n v="100109144" u="1"/>
        <n v="100109208" u="1"/>
        <n v="100100272" u="1"/>
        <n v="120032" u="1"/>
        <n v="100100400" u="1"/>
        <n v="150341" u="1"/>
        <n v="60071" u="1"/>
        <n v="100111968" u="1"/>
        <n v="100001771" u="1"/>
        <n v="100112288" u="1"/>
        <n v="100101232" u="1"/>
        <n v="10113" u="1"/>
        <n v="10489792" u="1"/>
        <n v="100101360" u="1"/>
        <n v="120033" u="1"/>
        <n v="100002347" u="1"/>
        <n v="100112864" u="1"/>
        <n v="12004" u="1"/>
        <n v="100111256" u="1"/>
        <n v="100100077" u="1"/>
        <n v="100003051" u="1"/>
        <n v="120034" u="1"/>
        <n v="100003307" u="1"/>
        <n v="100003371" u="1"/>
        <n v="100111960" u="1"/>
        <n v="60072" u="1"/>
        <n v="100001763" u="1"/>
        <n v="60009" u="1"/>
        <n v="100110416" u="1"/>
        <n v="100112344" u="1"/>
        <n v="10489791" u="1"/>
        <n v="100112408" u="1"/>
        <n v="120035" u="1"/>
        <n v="100004203" u="1"/>
        <n v="10066" u="1"/>
        <n v="1062376" u="1"/>
        <n v="100004331" u="1"/>
        <n v="12020" u="1"/>
        <n v="100111248" u="1"/>
        <n v="100003235" u="1"/>
        <n v="100003299" u="1"/>
        <n v="100003363" u="1"/>
        <n v="100106360" u="1"/>
        <n v="100106552" u="1"/>
        <n v="150349" u="1"/>
        <n v="100112272" u="1"/>
        <n v="60010" u="1"/>
        <n v="100112464" u="1"/>
        <n v="100101349" u="1"/>
        <n v="150350" u="1"/>
        <n v="100004195" u="1"/>
        <n v="10082" u="1"/>
        <n v="100003163" u="1"/>
        <n v="100003227" u="1"/>
        <n v="100003483" u="1"/>
        <n v="100112456" u="1"/>
        <n v="100101341" u="1"/>
        <n v="10098" u="1"/>
        <n v="100101789" u="1"/>
        <n v="100100117" u="1"/>
        <n v="100111424" u="1"/>
        <n v="100100437" u="1"/>
        <n v="100003219" u="1"/>
        <n v="100003283" u="1"/>
        <n v="100113672" u="1"/>
        <n v="100003347" u="1"/>
        <n v="100106541" u="1"/>
        <n v="100003987" u="1"/>
        <n v="100108912" u="1"/>
        <n v="60075" u="1"/>
        <n v="100112832" u="1"/>
        <n v="100103517" u="1"/>
        <n v="10114" u="1"/>
        <n v="100103965" u="1"/>
        <n v="100003019" u="1"/>
        <n v="100003211" u="1"/>
        <n v="100003339" u="1"/>
        <n v="100104413" u="1"/>
        <n v="100003467" u="1"/>
        <n v="10492077" u="1"/>
        <n v="100108909" u="1"/>
        <n v="100002371" u="1"/>
        <n v="100004235" u="1"/>
        <n v="100103381" u="1"/>
        <n v="60076" u="1"/>
        <n v="60013" u="1"/>
        <n v="100101773" u="1"/>
        <n v="100105821" u="1"/>
        <n v="100003011" u="1"/>
        <n v="10067" u="1"/>
        <n v="100003203" u="1"/>
        <n v="400129" u="1"/>
        <n v="100003331" u="1"/>
        <n v="100106205" u="1"/>
        <n v="10004" u="1"/>
        <n v="100003459" u="1"/>
        <n v="400130" u="1"/>
        <n v="400131" u="1"/>
        <n v="100108709" u="1"/>
        <n v="400132" u="1"/>
        <n v="101701006" u="1"/>
        <n v="400133" u="1"/>
        <n v="100113008" u="1"/>
        <n v="400134" u="1"/>
        <n v="100105557" u="1"/>
        <n v="60014" u="1"/>
        <n v="100101893" u="1"/>
        <n v="100109477" u="1"/>
        <n v="400135" u="1"/>
        <n v="100003067" u="1"/>
        <n v="400136" u="1"/>
        <n v="100111661" u="1"/>
        <n v="10083" u="1"/>
        <n v="100003323" u="1"/>
        <n v="100100605" u="1"/>
        <n v="100106197" u="1"/>
        <n v="100109989" u="1"/>
        <n v="400137" u="1"/>
        <n v="10476413" u="1"/>
        <n v="400138" u="1"/>
        <n v="10476212" u="1"/>
        <n v="400139" u="1"/>
        <n v="400140" u="1"/>
        <n v="60078" u="1"/>
        <n v="60015" u="1"/>
        <n v="100003059" u="1"/>
        <n v="100104133" u="1"/>
        <n v="100003315" u="1"/>
        <n v="100003379" u="1"/>
        <n v="10099" u="1"/>
        <n v="100109981" u="1"/>
        <n v="100113773" u="1"/>
        <n v="10476412" u="1"/>
        <n v="150119" u="1"/>
        <n v="10476211" u="1"/>
        <n v="100101365" u="1"/>
        <n v="100004211" u="1"/>
        <n v="100004339" u="1"/>
        <n v="100109141" u="1"/>
        <n v="100112869" u="1"/>
        <n v="100109205" u="1"/>
        <n v="10491511" u="1"/>
        <n v="100111325" u="1"/>
        <n v="100105797" u="1"/>
        <n v="60016" u="1"/>
        <n v="100111709" u="1"/>
        <n v="100109909" u="1"/>
        <n v="10115" u="1"/>
        <n v="10476411" u="1"/>
        <n v="100002216" u="1"/>
        <n v="100108877" u="1"/>
        <n v="10493109" u="1"/>
        <n v="100002472" u="1"/>
        <n v="100111253" u="1"/>
        <n v="100113437" u="1"/>
        <n v="60080" u="1"/>
        <n v="60017" u="1"/>
        <n v="460164" u="1"/>
        <n v="10492040" u="1"/>
        <n v="100003304" u="1"/>
        <n v="100003368" u="1"/>
        <n v="100111957" u="1"/>
        <n v="460165" u="1"/>
        <n v="100106557" u="1"/>
        <n v="460166" u="1"/>
        <n v="100108677" u="1"/>
        <n v="100002080" u="1"/>
        <n v="460167" u="1"/>
        <n v="460168" u="1"/>
        <n v="100004328" u="1"/>
        <n v="460169" u="1"/>
        <n v="100101802" u="1"/>
        <n v="100100066" u="1"/>
        <n v="460170" u="1"/>
        <n v="100003040" u="1"/>
        <n v="460171" u="1"/>
        <n v="150129" u="1"/>
        <n v="100003296" u="1"/>
        <n v="100108157" u="1"/>
        <n v="60081" u="1"/>
        <n v="100003360" u="1"/>
        <n v="100113749" u="1"/>
        <n v="460172" u="1"/>
        <n v="100110085" u="1"/>
        <n v="100106549" u="1"/>
        <n v="100112269" u="1"/>
        <n v="460174" u="1"/>
        <n v="100112461" u="1"/>
        <n v="100101346" u="1"/>
        <n v="100002392" u="1"/>
        <n v="100103530" u="1"/>
        <n v="100101794" u="1"/>
        <n v="100111237" u="1"/>
        <n v="100103850" u="1"/>
        <n v="100109565" u="1"/>
        <n v="150132" u="1"/>
        <n v="100111429" u="1"/>
        <n v="100003032" u="1"/>
        <n v="100100314" u="1"/>
        <n v="460178" u="1"/>
        <n v="100003224" u="1"/>
        <n v="100003288" u="1"/>
        <n v="460179" u="1"/>
        <n v="100003416" u="1"/>
        <n v="60082" u="1"/>
        <n v="10100" u="1"/>
        <n v="10493307" u="1"/>
        <n v="460182" u="1"/>
        <n v="100002384" u="1"/>
        <n v="100112837" u="1"/>
        <n v="460183" u="1"/>
        <n v="100004376" u="1"/>
        <n v="100111101" u="1"/>
        <n v="100111165" u="1"/>
        <n v="10493130" u="1"/>
        <n v="100100114" u="1"/>
        <n v="100002896" u="1"/>
        <n v="460185" u="1"/>
        <n v="100109877" u="1"/>
        <n v="100003216" u="1"/>
        <n v="460186" u="1"/>
        <n v="10493909" u="1"/>
        <n v="100003280" u="1"/>
        <n v="100003344" u="1"/>
        <n v="100110197" u="1"/>
        <n v="460187" u="1"/>
        <n v="100106538" u="1"/>
        <n v="60083" u="1"/>
        <n v="100112317" u="1"/>
        <n v="60020" u="1"/>
        <n v="460188" u="1"/>
        <n v="460189" u="1"/>
        <n v="10493306" u="1"/>
        <n v="100002376" u="1"/>
        <n v="100112829" u="1"/>
        <n v="460190" u="1"/>
        <n v="100002440" u="1"/>
        <n v="10493129" u="1"/>
        <n v="100101778" u="1"/>
        <n v="460191" u="1"/>
        <n v="460192" u="1"/>
        <n v="100100234" u="1"/>
        <n v="100111541" u="1"/>
        <n v="10493892" u="1"/>
        <n v="460193" u="1"/>
        <n v="100003208" u="1"/>
        <n v="100003272" u="1"/>
        <n v="100003336" u="1"/>
        <n v="100111989" u="1"/>
        <n v="460194" u="1"/>
        <n v="100003464" u="1"/>
        <n v="460195" u="1"/>
        <n v="10493040" u="1"/>
        <n v="60084" u="1"/>
        <n v="60021" u="1"/>
        <n v="100002368" u="1"/>
        <n v="10132" u="1"/>
        <n v="100141" u="1"/>
        <n v="100109162" u="1"/>
        <n v="10493128" u="1"/>
        <n v="12023" u="1"/>
        <n v="100003008" u="1"/>
        <n v="100003328" u="1"/>
        <n v="100106202" u="1"/>
        <n v="10493039" u="1"/>
        <n v="1056730" u="1"/>
        <n v="60022" u="1"/>
        <n v="1056731" u="1"/>
        <n v="10493127" u="1"/>
        <n v="100002680" u="1"/>
        <n v="100103626" u="1"/>
        <n v="100100090" u="1"/>
        <n v="100003000" u="1"/>
        <n v="612953" u="1"/>
        <n v="100111466" u="1"/>
        <n v="100001264" u="1"/>
        <n v="612954" u="1"/>
        <n v="100111658" u="1"/>
        <n v="612955" u="1"/>
        <n v="100003320" u="1"/>
        <n v="612956" u="1"/>
        <n v="100109986" u="1"/>
        <n v="100003512" u="1"/>
        <n v="612957" u="1"/>
        <n v="150148" u="1"/>
        <n v="612958" u="1"/>
        <n v="60086" u="1"/>
        <n v="60023" u="1"/>
        <n v="10493126" u="1"/>
        <n v="100109146" u="1"/>
        <n v="100113002" u="1"/>
        <n v="100100082" u="1"/>
        <n v="150150" u="1"/>
        <n v="10101" u="1"/>
        <n v="100003056" u="1"/>
        <n v="100003312" u="1"/>
        <n v="100003376" u="1"/>
        <n v="100109978" u="1"/>
        <n v="100003504" u="1"/>
        <n v="100111970" u="1"/>
        <n v="100001773" u="1"/>
        <n v="100101362" u="1"/>
        <n v="100004208" u="1"/>
        <n v="100004336" u="1"/>
        <n v="150153" u="1"/>
        <n v="100112866" u="1"/>
        <n v="100111322" u="1"/>
        <n v="150154" u="1"/>
        <n v="100100207" u="1"/>
        <n v="10117" u="1"/>
        <n v="100003053" u="1"/>
        <n v="100109906" u="1"/>
        <n v="100111962" u="1"/>
        <n v="100001765" u="1"/>
        <n v="100102898" u="1"/>
        <n v="10445624" u="1"/>
        <n v="100004333" u="1"/>
        <n v="100112858" u="1"/>
        <n v="60088" u="1"/>
        <n v="100111250" u="1"/>
        <n v="60025" u="1"/>
        <n v="10133" u="1"/>
        <n v="100003301" u="1"/>
        <n v="100003365" u="1"/>
        <n v="100106362" u="1"/>
        <n v="100110026" u="1"/>
        <n v="100001693" u="1"/>
        <n v="100106554" u="1"/>
        <n v="150159" u="1"/>
        <n v="100108674" u="1"/>
        <n v="100004325" u="1"/>
        <n v="100112850" u="1"/>
        <n v="100101799" u="1"/>
        <n v="100002717" u="1"/>
        <n v="100100063" u="1"/>
        <n v="60089" u="1"/>
        <n v="100003165" u="1"/>
        <n v="150162" u="1"/>
        <n v="100151" u="1"/>
        <n v="100003357" u="1"/>
        <n v="100003421" u="1"/>
        <n v="10086" u="1"/>
        <n v="100106546" u="1"/>
        <n v="150163" u="1"/>
        <n v="100112458" u="1"/>
        <n v="100101343" u="1"/>
        <n v="150164" u="1"/>
        <n v="100100119" u="1"/>
        <n v="100103847" u="1"/>
        <n v="60090" u="1"/>
        <n v="60027" u="1"/>
        <n v="100100439" u="1"/>
        <n v="100113674" u="1"/>
        <n v="100003349" u="1"/>
        <n v="150166" u="1"/>
        <n v="10102" u="1"/>
        <n v="10039" u="1"/>
        <n v="150167" u="1"/>
        <n v="100108914" u="1"/>
        <n v="100103519" u="1"/>
        <n v="100111162" u="1"/>
        <n v="150168" u="1"/>
        <n v="100101783" u="1"/>
        <n v="100003021" u="1"/>
        <n v="100100431" u="1"/>
        <n v="100003213" u="1"/>
        <n v="60091" u="1"/>
        <n v="60028" u="1"/>
        <n v="100003341" u="1"/>
        <n v="100003469" u="1"/>
        <n v="100110194" u="1"/>
        <n v="100106535" u="1"/>
        <n v="100108719" u="1"/>
        <n v="150171" u="1"/>
        <n v="100108911" u="1"/>
        <n v="12009" u="1"/>
        <n v="612042" u="1"/>
        <n v="10446110" u="1"/>
        <n v="612043" u="1"/>
        <n v="100111090" u="1"/>
        <n v="612044" u="1"/>
        <n v="100101775" u="1"/>
        <n v="612045" u="1"/>
        <n v="150172" u="1"/>
        <n v="100100103" u="1"/>
        <n v="100156" u="1"/>
        <n v="612046" u="1"/>
        <n v="100105823" u="1"/>
        <n v="612047" u="1"/>
        <n v="100003013" u="1"/>
        <n v="100113530" u="1"/>
        <n v="100003205" u="1"/>
        <n v="100001469" u="1"/>
        <n v="150173" u="1"/>
        <n v="100003333" u="1"/>
        <n v="100003397" u="1"/>
        <n v="100111986" u="1"/>
        <n v="60092" u="1"/>
        <n v="100003461" u="1"/>
        <n v="60029" u="1"/>
        <n v="10134" u="1"/>
        <n v="150174" u="1"/>
        <n v="150175" u="1"/>
        <n v="100004357" u="1"/>
        <n v="100113010" u="1"/>
        <n v="100100095" u="1"/>
        <n v="100101895" u="1"/>
        <n v="191703000" u="1"/>
        <n v="150176" u="1"/>
        <n v="100003069" u="1"/>
        <n v="100158" u="1"/>
        <n v="100111663" u="1"/>
        <n v="100003325" u="1"/>
        <n v="100106199" u="1"/>
        <n v="100109991" u="1"/>
        <n v="150177" u="1"/>
        <n v="60093" u="1"/>
        <n v="60030" u="1"/>
        <n v="100112367" u="1"/>
        <n v="150178" u="1"/>
        <n v="100103303" u="1"/>
        <n v="100113007" u="1"/>
        <n v="100003061" u="1"/>
        <n v="100111463" u="1"/>
        <n v="150180" u="1"/>
        <n v="100003253" u="1"/>
        <n v="100003317" u="1"/>
        <n v="100109983" u="1"/>
        <n v="10496741" u="1"/>
        <n v="150181" u="1"/>
        <n v="60094" u="1"/>
        <n v="60031" u="1"/>
        <n v="100101367" u="1"/>
        <n v="100161" u="1"/>
        <n v="100004341" u="1"/>
        <n v="612087" u="1"/>
        <n v="100109143" u="1"/>
        <n v="100109207" u="1"/>
        <n v="100111327" u="1"/>
        <n v="100105799" u="1"/>
        <n v="612091" u="1"/>
        <n v="100001194" u="1"/>
        <n v="150184" u="1"/>
        <n v="100162" u="1"/>
        <n v="100106375" u="1"/>
        <n v="100111967" u="1"/>
        <n v="612095" u="1"/>
        <n v="612096" u="1"/>
        <n v="100001770" u="1"/>
        <n v="100112287" u="1"/>
        <n v="612098" u="1"/>
        <n v="60095" u="1"/>
        <n v="10415658" u="1"/>
        <n v="100002218" u="1"/>
        <n v="612100" u="1"/>
        <n v="150186" u="1"/>
        <n v="100112863" u="1"/>
        <n v="100163" u="1"/>
        <n v="600001" u="1"/>
        <n v="100111255" u="1"/>
        <n v="150187" u="1"/>
        <n v="100003050" u="1"/>
        <n v="100001250" u="1"/>
        <n v="100003306" u="1"/>
        <n v="100003370" u="1"/>
        <n v="100111959" u="1"/>
        <n v="150188" u="1"/>
        <n v="100001762" u="1"/>
        <n v="100112343" u="1"/>
        <n v="100108679" u="1"/>
        <n v="10415657" u="1"/>
        <n v="100101228" u="1"/>
        <n v="150189" u="1"/>
        <n v="60096" u="1"/>
        <n v="100004202" u="1"/>
        <n v="10135" u="1"/>
        <n v="150190" u="1"/>
        <n v="100165" u="1"/>
        <n v="100100068" u="1"/>
        <n v="100100260" u="1"/>
        <n v="150191" u="1"/>
        <n v="10496706" u="1"/>
        <n v="100003234" u="1"/>
        <n v="100003298" u="1"/>
        <n v="100003362" u="1"/>
        <n v="100106359" u="1"/>
        <n v="100113751" u="1"/>
        <n v="100106551" u="1"/>
        <n v="150192" u="1"/>
        <n v="100166" u="1"/>
        <n v="100112463" u="1"/>
        <n v="612128" u="1"/>
        <n v="100101348" u="1"/>
        <n v="100108927" u="1"/>
        <n v="10497059" u="1"/>
        <n v="150193" u="1"/>
        <n v="100004194" u="1"/>
        <n v="612130" u="1"/>
        <n v="60097" u="1"/>
        <n v="100103532" u="1"/>
        <n v="100101796" u="1"/>
        <n v="150194" u="1"/>
        <n v="612134" u="1"/>
        <n v="100100316" u="1"/>
        <n v="10496705" u="1"/>
        <n v="100003162" u="1"/>
        <n v="100003226" u="1"/>
        <n v="612137" u="1"/>
        <n v="100108151" u="1"/>
        <n v="100003354" u="1"/>
        <n v="100003418" u="1"/>
        <n v="190031" u="1"/>
        <n v="612141" u="1"/>
        <n v="150196" u="1"/>
        <n v="100168" u="1"/>
        <n v="100112455" u="1"/>
        <n v="100101340" u="1"/>
        <n v="10367046" u="1"/>
        <n v="100111103" u="1"/>
        <n v="100111167" u="1"/>
        <n v="60098" u="1"/>
        <n v="60035" u="1"/>
        <n v="190034" u="1"/>
        <n v="100100436" u="1"/>
        <n v="10496712" u="1"/>
        <n v="100003282" u="1"/>
        <n v="100113671" u="1"/>
        <n v="100003346" u="1"/>
        <n v="10480600" u="1"/>
        <n v="190035" u="1"/>
        <n v="100106540" u="1"/>
        <n v="100112319" u="1"/>
        <n v="10415646" u="1"/>
        <n v="190036" u="1"/>
        <n v="100112831" u="1"/>
        <n v="100002442" u="1"/>
        <n v="100004370" u="1"/>
        <n v="100103516" u="1"/>
        <n v="100101780" u="1"/>
        <n v="60099" u="1"/>
        <n v="100100236" u="1"/>
        <n v="100003018" u="1"/>
        <n v="10481258" u="1"/>
        <n v="150202" u="1"/>
        <n v="100003210" u="1"/>
        <n v="10120" u="1"/>
        <n v="10480599" u="1"/>
        <n v="100003466" u="1"/>
        <n v="190039" u="1"/>
        <n v="150960" u="1"/>
        <n v="100108908" u="1"/>
        <n v="150204" u="1"/>
        <n v="100002370" u="1"/>
        <n v="100004234" u="1"/>
        <n v="100103380" u="1"/>
        <n v="100172" u="1"/>
        <n v="190040" u="1"/>
        <n v="100101772" u="1"/>
        <n v="150961" u="1"/>
        <n v="100100100" u="1"/>
        <n v="100105820" u="1"/>
        <n v="60100" u="1"/>
        <n v="190041" u="1"/>
        <n v="60037" u="1"/>
        <n v="10481257" u="1"/>
        <n v="100109676" u="1"/>
        <n v="100003202" u="1"/>
        <n v="10480598" u="1"/>
        <n v="100003330" u="1"/>
        <n v="100106204" u="1"/>
        <n v="150206" u="1"/>
        <n v="100173" u="1"/>
        <n v="100003458" u="1"/>
        <n v="190043" u="1"/>
        <n v="100174" u="1"/>
        <n v="100103628" u="1"/>
        <n v="100105556" u="1"/>
        <n v="100111148" u="1"/>
        <n v="100101892" u="1"/>
        <n v="100109476" u="1"/>
        <n v="100003066" u="1"/>
        <n v="100111468" u="1"/>
        <n v="150209" u="1"/>
        <n v="60101" u="1"/>
        <n v="60038" u="1"/>
        <n v="100003322" u="1"/>
        <n v="100100604" u="1"/>
        <n v="100109988" u="1"/>
        <n v="100100796" u="1"/>
        <n v="150210" u="1"/>
        <n v="10089" u="1"/>
        <n v="150211" u="1"/>
        <n v="190047" u="1"/>
        <n v="100113004" u="1"/>
        <n v="100101948" u="1"/>
        <n v="100176" u="1"/>
        <n v="100003058" u="1"/>
        <n v="100104132" u="1"/>
        <n v="100003314" u="1"/>
        <n v="100003378" u="1"/>
        <n v="60102" u="1"/>
        <n v="100109980" u="1"/>
        <n v="60039" u="1"/>
        <n v="100113772" u="1"/>
        <n v="100111972" u="1"/>
        <n v="190050" u="1"/>
        <n v="100101364" u="1"/>
        <n v="150971" u="1"/>
        <n v="10042" u="1"/>
        <n v="100004210" u="1"/>
        <n v="100004338" u="1"/>
        <n v="190051" u="1"/>
        <n v="100112868" u="1"/>
        <n v="100109204" u="1"/>
        <n v="100111324" u="1"/>
        <n v="100105796" u="1"/>
        <n v="100003055" u="1"/>
        <n v="100109908" u="1"/>
        <n v="100003311" u="1"/>
        <n v="150217" u="1"/>
        <n v="100003375" u="1"/>
        <n v="60103" u="1"/>
        <n v="100003503" u="1"/>
        <n v="60040" u="1"/>
        <n v="150218" u="1"/>
        <n v="100179" u="1"/>
        <n v="100002215" u="1"/>
        <n v="100108876" u="1"/>
        <n v="150975" u="1"/>
        <n v="100002471" u="1"/>
        <n v="100004335" u="1"/>
        <n v="150219" u="1"/>
        <n v="12012" u="1"/>
        <n v="100111252" u="1"/>
        <n v="150976" u="1"/>
        <n v="100109580" u="1"/>
        <n v="100180" u="1"/>
        <n v="110013" u="1"/>
        <n v="100003303" u="1"/>
        <n v="100003367" u="1"/>
        <n v="100106364" u="1"/>
        <n v="100111956" u="1"/>
        <n v="150221" u="1"/>
        <n v="100100841" u="1"/>
        <n v="100106556" u="1"/>
        <n v="60104" u="1"/>
        <n v="190057" u="1"/>
        <n v="150978" u="1"/>
        <n v="100108676" u="1"/>
        <n v="100101225" u="1"/>
        <n v="100181" u="1"/>
        <n v="110014" u="1"/>
        <n v="10074" u="1"/>
        <n v="100004327" u="1"/>
        <n v="100112852" u="1"/>
        <n v="100101801" u="1"/>
        <n v="100100129" u="1"/>
        <n v="100111500" u="1"/>
        <n v="100003039" u="1"/>
        <n v="100003231" u="1"/>
        <n v="100108156" u="1"/>
        <n v="100003359" u="1"/>
        <n v="100100833" u="1"/>
        <n v="100106548" u="1"/>
        <n v="100112268" u="1"/>
        <n v="60105" u="1"/>
        <n v="60042" u="1"/>
        <n v="100112460" u="1"/>
        <n v="100101345" u="1"/>
        <n v="150226" u="1"/>
        <n v="10090" u="1"/>
        <n v="110016" u="1"/>
        <n v="100101793" u="1"/>
        <n v="100111236" u="1"/>
        <n v="100103849" u="1"/>
        <n v="100109564" u="1"/>
        <n v="100100313" u="1"/>
        <n v="100113420" u="1"/>
        <n v="100001295" u="1"/>
        <n v="100100441" u="1"/>
        <n v="100003223" u="1"/>
        <n v="100003287" u="1"/>
        <n v="100003351" u="1"/>
        <n v="110017" u="1"/>
        <n v="60106" u="1"/>
        <n v="100108916" u="1"/>
        <n v="60043" u="1"/>
        <n v="191702002" u="1"/>
        <n v="100103521" u="1"/>
        <n v="100111100" u="1"/>
        <n v="150230" u="1"/>
        <n v="100111164" u="1"/>
        <n v="100101785" u="1"/>
        <n v="10106" u="1"/>
        <n v="10483781" u="1"/>
        <n v="110018" u="1"/>
        <n v="100002895" u="1"/>
        <n v="100100241" u="1"/>
        <n v="150231" u="1"/>
        <n v="100003215" u="1"/>
        <n v="100003279" u="1"/>
        <n v="100003343" u="1"/>
        <n v="100110196" u="1"/>
        <n v="150232" u="1"/>
        <n v="100186" u="1"/>
        <n v="100106537" u="1"/>
        <n v="150233" u="1"/>
        <n v="60107" u="1"/>
        <n v="100103513" u="1"/>
        <n v="10483780" u="1"/>
        <n v="150234" u="1"/>
        <n v="100187" u="1"/>
        <n v="100003015" u="1"/>
        <n v="100003207" u="1"/>
        <n v="150235" u="1"/>
        <n v="100001471" u="1"/>
        <n v="12013" u="1"/>
        <n v="100111988" u="1"/>
        <n v="100188" u="1"/>
        <n v="100002367" u="1"/>
        <n v="100101449" u="1"/>
        <n v="60108" u="1"/>
        <n v="100003007" u="1"/>
        <n v="100189" u="1"/>
        <n v="10386537" u="1"/>
        <n v="10075" u="1"/>
        <n v="100003263" u="1"/>
        <n v="100003327" u="1"/>
        <n v="100106201" u="1"/>
        <n v="100003455" u="1"/>
        <n v="100109993" u="1"/>
        <n v="150239" u="1"/>
        <n v="10483417" u="1"/>
        <n v="150240" u="1"/>
        <n v="150241" u="1"/>
        <n v="10499440" u="1"/>
        <n v="100103625" u="1"/>
        <n v="60109" u="1"/>
        <n v="100100089" u="1"/>
        <n v="60046" u="1"/>
        <n v="100002999" u="1"/>
        <n v="10499263" u="1"/>
        <n v="100003063" u="1"/>
        <n v="100111465" u="1"/>
        <n v="100191" u="1"/>
        <n v="100003255" u="1"/>
        <n v="100003319" u="1"/>
        <n v="100109985" u="1"/>
        <n v="100100793" u="1"/>
        <n v="100101369" u="1"/>
        <n v="100192" u="1"/>
        <n v="100110881" u="1"/>
        <n v="100109145" u="1"/>
        <n v="100109209" u="1"/>
        <n v="100100081" u="1"/>
        <n v="60110" u="1"/>
        <n v="100100273" u="1"/>
        <n v="60047" u="1"/>
        <n v="10499262" u="1"/>
        <n v="100100337" u="1"/>
        <n v="100193" u="1"/>
        <n v="10107" u="1"/>
        <n v="100111969" u="1"/>
        <n v="100001772" u="1"/>
        <n v="100101361" u="1"/>
        <n v="100194" u="1"/>
        <n v="100112865" u="1"/>
        <n v="60111" u="1"/>
        <n v="100003052" u="1"/>
        <n v="100113441" u="1"/>
        <n v="60048" u="1"/>
        <n v="460917" u="1"/>
        <n v="100003308" u="1"/>
        <n v="100003372" u="1"/>
        <n v="100111961" u="1"/>
        <n v="10123" u="1"/>
        <n v="100195" u="1"/>
        <n v="460918" u="1"/>
        <n v="100001764" u="1"/>
        <n v="100102897" u="1"/>
        <n v="100101230" u="1"/>
        <n v="100004204" u="1"/>
        <n v="460921" u="1"/>
        <n v="100004332" u="1"/>
        <n v="10483783" u="1"/>
        <n v="100111249" u="1"/>
        <n v="60112" u="1"/>
        <n v="60049" u="1"/>
        <n v="100003300" u="1"/>
        <n v="100109961" u="1"/>
        <n v="100003364" u="1"/>
        <n v="100106361" u="1"/>
        <n v="100110025" u="1"/>
        <n v="100106553" u="1"/>
        <n v="100112465" u="1"/>
        <n v="100101350" u="1"/>
        <n v="100004324" u="1"/>
        <n v="100112849" u="1"/>
        <n v="10483782" u="1"/>
        <n v="100100062" u="1"/>
        <n v="100003164" u="1"/>
        <n v="100003228" u="1"/>
        <n v="100108153" u="1"/>
        <n v="60113" u="1"/>
        <n v="60050" u="1"/>
        <n v="10484360" u="1"/>
        <n v="100112457" u="1"/>
        <n v="10092" u="1"/>
        <n v="100101342" u="1"/>
        <n v="10029" u="1"/>
        <n v="100101790" u="1"/>
        <n v="100111169" u="1"/>
        <n v="100100118" u="1"/>
        <n v="100109625" u="1"/>
        <n v="100003284" u="1"/>
        <n v="100113673" u="1"/>
        <n v="100003348" u="1"/>
        <n v="60114" u="1"/>
        <n v="60051" u="1"/>
        <n v="100106542" u="1"/>
        <n v="100108721" u="1"/>
        <n v="100201" u="1"/>
        <n v="10108" u="1"/>
        <n v="100103518" u="1"/>
        <n v="100111161" u="1"/>
        <n v="100101782" u="1"/>
        <n v="100003020" u="1"/>
        <n v="100202" u="1"/>
      </sharedItems>
    </cacheField>
    <cacheField name="Klp Brg Pcpl" numFmtId="0">
      <sharedItems containsBlank="1"/>
    </cacheField>
    <cacheField name="Column4" numFmtId="1">
      <sharedItems containsBlank="1" containsMixedTypes="1" containsNumber="1" containsInteger="1" minValue="0" maxValue="301330500350101"/>
    </cacheField>
    <cacheField name="Column3" numFmtId="1">
      <sharedItems containsString="0" containsBlank="1" containsNumber="1" containsInteger="1" minValue="0" maxValue="30603020225011"/>
    </cacheField>
    <cacheField name="Nama Barang Principle" numFmtId="0">
      <sharedItems containsBlank="1" containsMixedTypes="1" containsNumber="1" containsInteger="1" minValue="0" maxValue="0"/>
    </cacheField>
    <cacheField name="ISI/CTN" numFmtId="0">
      <sharedItems containsString="0" containsBlank="1" containsNumber="1" containsInteger="1" minValue="1" maxValue="1000" count="41">
        <m/>
        <n v="144"/>
        <n v="48"/>
        <n v="12"/>
        <n v="6"/>
        <n v="24"/>
        <n v="72"/>
        <n v="120"/>
        <n v="576"/>
        <n v="36"/>
        <n v="864"/>
        <n v="288"/>
        <n v="80"/>
        <n v="4"/>
        <n v="18"/>
        <n v="432"/>
        <n v="96" u="1"/>
        <n v="100" u="1"/>
        <n v="330" u="1"/>
        <n v="1000" u="1"/>
        <n v="180" u="1"/>
        <n v="40" u="1"/>
        <n v="420" u="1"/>
        <n v="15" u="1"/>
        <n v="2" u="1"/>
        <n v="300" u="1"/>
        <n v="20" u="1"/>
        <n v="160" u="1"/>
        <n v="21" u="1"/>
        <n v="264" u="1"/>
        <n v="60" u="1"/>
        <n v="1" u="1"/>
        <n v="8" u="1"/>
        <n v="270" u="1"/>
        <n v="25" u="1"/>
        <n v="9" u="1"/>
        <n v="360" u="1"/>
        <n v="10" u="1"/>
        <n v="216" u="1"/>
        <n v="30" u="1"/>
        <n v="240" u="1"/>
      </sharedItems>
    </cacheField>
    <cacheField name="Ket. Tambahan / Pembantu" numFmtId="1">
      <sharedItems containsBlank="1" containsMixedTypes="1" containsNumber="1" containsInteger="1" minValue="0" maxValue="8992745000365"/>
    </cacheField>
    <cacheField name="SATUAN Fix Win" numFmtId="0">
      <sharedItems containsMixedTypes="1" containsNumber="1" containsInteger="1" minValue="0" maxValue="0" count="13">
        <n v="0"/>
        <s v="TUBE"/>
        <s v="SCH"/>
        <s v="PCH"/>
        <s v="JRG"/>
        <s v="PCS"/>
        <s v="BTL"/>
        <s v="PUMP"/>
        <s v="KLG"/>
        <s v="SET"/>
        <s v="BOX"/>
        <s v="PACK"/>
        <s v="RCG"/>
      </sharedItems>
    </cacheField>
    <cacheField name="Nama Kelompok Win" numFmtId="0">
      <sharedItems/>
    </cacheField>
    <cacheField name="Kode Kelompok Win" numFmtId="0">
      <sharedItems/>
    </cacheField>
    <cacheField name="Kode BARANG Win2" numFmtId="0">
      <sharedItems count="2219">
        <s v=""/>
        <s v="G1011000001510"/>
        <s v="G1011000005010"/>
        <s v="G1020000002010"/>
        <s v="G1020000040020"/>
        <s v="G1020000040021"/>
        <s v="G1020000070020"/>
        <s v="G1020000070021"/>
        <s v="G1021101050030"/>
        <s v="G1031001001210"/>
        <s v="G1031002000310"/>
        <s v="G1032000005010"/>
        <s v="G1032000010010"/>
        <s v="G1032001006010"/>
        <s v="G1032001007010"/>
        <s v="G1032101006011"/>
        <s v="G1032001075010"/>
        <s v="G1041000017510"/>
        <s v="G1042001011010"/>
        <s v="G1043001020010"/>
        <s v="G1044000020010"/>
        <s v="G1044000040010"/>
        <s v="G1045000010010"/>
        <s v="G1046101040010"/>
        <s v="G1047101040010"/>
        <s v="G1047101080010"/>
        <s v="G1047202002020"/>
        <s v="G1048101018010"/>
        <s v="G1048202018010"/>
        <s v="G1048303018010"/>
        <s v="G1049000025010"/>
        <s v="G1051001003010"/>
        <s v="G1051002003010"/>
        <s v="G1051003003010"/>
        <s v="G1051004001210"/>
        <s v="G1061000022010"/>
        <s v="G1070001000010"/>
        <s v="G1071001020010"/>
        <s v="G1071002060010"/>
        <s v="G1071003040010"/>
        <s v="G1071003060010"/>
        <s v="G1071003075010"/>
        <s v="G1071004040010"/>
        <s v="G1071004060010"/>
        <s v="G1071005018010"/>
        <s v="G1071005040010"/>
        <s v="G1071005060010"/>
        <s v="G1071010060010"/>
        <s v="G1071006040010"/>
        <s v="G1071006060010"/>
        <s v="G1071006075010"/>
        <s v="G1071007015010"/>
        <s v="G1071007018010"/>
        <s v="G1071007040010"/>
        <s v="G1071007060010"/>
        <s v="G1071007075010"/>
        <s v="G1071008015010"/>
        <s v="G1071008018010"/>
        <s v="G1071008040010"/>
        <s v="G1071008060010"/>
        <s v="G1071008075010"/>
        <s v="G1071009015010"/>
        <s v="G1071009018010"/>
        <s v="G1071009040010"/>
        <s v="G1071009060010"/>
        <s v="G1072001002010"/>
        <s v="G1072002015020"/>
        <s v="G1073001000010"/>
        <s v="G1073101004510"/>
        <s v="G1073102004510"/>
        <s v="G1073103004510"/>
        <s v="G1073201004510"/>
        <s v="G1074001025010"/>
        <s v="G1074002003520"/>
        <s v="G1074101003510"/>
        <s v="G1074102003510"/>
        <s v="G1075001017510"/>
        <s v="G1075001036010"/>
        <s v="G1075001070010"/>
        <s v="G1075002036010"/>
        <s v="G1075002070010"/>
        <s v="G1075003070011"/>
        <s v="G1075004036010"/>
        <s v="G1075004070010"/>
        <s v="G1076001000410"/>
        <s v="G1076002000410"/>
        <s v="G1076002001010"/>
        <s v="G1076003000310"/>
        <s v="G1076003000411"/>
        <s v="G1076003001010"/>
        <s v="G1076004001010"/>
        <s v="G1076101000410"/>
        <s v="G1076201000410"/>
        <s v="G1076201001010"/>
        <s v="G1076202000410"/>
        <s v="G1076202001010"/>
        <s v="G1077001000413"/>
        <s v="G1077001001812"/>
        <s v="G1077002001812"/>
        <s v="G1077003000410"/>
        <s v="G1077003000610"/>
        <s v="G1078001001811"/>
        <s v="G1078001004810"/>
        <s v="G1078001022511"/>
        <s v="G1078004003010"/>
        <s v="G1078004006010"/>
        <s v="G1078101001510"/>
        <s v="G1078101001811"/>
        <s v="G1078101004810"/>
        <s v="G1078101022510"/>
        <s v="G1078105000410"/>
        <s v="G1079001001011"/>
        <s v="G1079002001010"/>
        <s v="G1079002001011"/>
        <s v="G1081001003010"/>
        <s v="G1081002003010"/>
        <s v="G1081002004510"/>
        <s v="G1081101003010"/>
        <s v="G1081001002810"/>
        <s v="G1081101004510"/>
        <s v="G1082001004510"/>
        <s v="G1082002003810"/>
        <s v="G1082003003010"/>
        <s v="G1082101003810"/>
        <s v="G1082102003010"/>
        <s v="G1083001010010"/>
        <s v="G1084001010010"/>
        <s v="G1084002012010"/>
        <s v="G1084003005010"/>
        <s v="G1084004008010"/>
        <s v="G1091001005011"/>
        <s v="G1091002005011"/>
        <s v="G1091003005011"/>
        <s v="G1091004005011"/>
        <s v="G1092001000010"/>
        <s v="G1092002000010"/>
        <s v="G1093000000010"/>
        <s v="G1101001005010"/>
        <s v="G1101001010010"/>
        <s v="G1101003005010"/>
        <s v="G1101003010010"/>
        <s v="G1111001010010"/>
        <s v="G1121001020020"/>
        <s v="G1121101040010"/>
        <s v="G1131001009511"/>
        <s v="G1141001005011"/>
        <s v="G1141001010011"/>
        <s v="G1141001020011"/>
        <s v="G1141002005011"/>
        <s v="G1141002010011"/>
        <s v="G1141002020011"/>
        <s v="G1151001020020"/>
        <s v="G1151101020010"/>
        <s v="G1151101040010"/>
        <s v="G1161001020020"/>
        <s v="G1161101040010"/>
        <s v="G1171001004511"/>
        <s v="G1171002000410"/>
        <s v="G1171002001011"/>
        <s v="G1172001000410"/>
        <s v="G1172001002510"/>
        <s v="G1172001002520"/>
        <s v="G1172001003010"/>
        <s v="G1172002000410"/>
        <s v="G1172002001011"/>
        <s v="G1172002002010"/>
        <s v="G1172002002410"/>
        <s v="G1172002002510"/>
        <s v="G1172002004011"/>
        <s v="G1172002006010"/>
        <s v="G1172002006020"/>
        <s v="G1172003001010"/>
        <s v="G1172003002010"/>
        <s v="G1172003002410"/>
        <s v="G1172003004011"/>
        <s v="G1172003006020"/>
        <s v="G1181000025010"/>
        <s v="G1190001009020"/>
        <s v="G1190101009010"/>
        <s v="G1191000001020"/>
        <s v="G1191100009010"/>
        <s v="G1192000001010"/>
        <s v="G1192001001010"/>
        <s v="G1192002001010"/>
        <s v="G1201001000010"/>
        <s v="G1201002000010"/>
        <s v="G1201002000020"/>
        <s v="G1201003000010"/>
        <s v="G1201004000010"/>
        <s v="G1201005000010"/>
        <s v="G1201006000010"/>
        <s v="G1201007000010"/>
        <s v="G1201007000011"/>
        <s v="G1201008000010"/>
        <s v="G1201009000010"/>
        <s v="G1201009000020"/>
        <s v="G1201010000010"/>
        <s v="G1201011000010"/>
        <s v="G1201012000010"/>
        <s v="G1201012000020"/>
        <s v="G1201013000010"/>
        <s v="G1201014000010"/>
        <s v="G1201014000020"/>
        <s v="G1201015000010"/>
        <s v="G1201016000010"/>
        <s v="G1201016000020"/>
        <s v="G1201016002020"/>
        <s v="G1201101006010"/>
        <s v="G1211001000010"/>
        <s v="G1211002000010"/>
        <s v="G1211003000010"/>
        <s v="G1211004000010"/>
        <s v="G1221001010010"/>
        <s v="G1221002008010"/>
        <s v="G1221003012010"/>
        <s v="G1222101000010"/>
        <s v="G1222201000010"/>
        <s v="G1223001000010"/>
        <s v="G1223001000210"/>
        <s v="G1223001001210"/>
        <s v="G1223101000310"/>
        <s v="G1223201001210"/>
        <s v="G1224101000010"/>
        <s v="G1224201000010"/>
        <s v="G1224301000010"/>
        <s v="G1224302000010"/>
        <s v="G1224303000010"/>
        <s v="G1224303000210"/>
        <s v="G1224401000310"/>
        <s v="G1224401000510"/>
        <s v="G1224501000210"/>
        <s v="G1224601000010"/>
        <s v="G1225001000010"/>
        <s v="G1226001000010"/>
        <s v="G1226002000010"/>
        <s v="G1226101000010"/>
        <s v="G1226201000010"/>
        <s v="G1227101000010"/>
        <s v="G1228201100330"/>
        <s v="G1230000002520"/>
        <s v="G1230000020010"/>
        <s v="G1230000050010"/>
        <s v="G1230000100110"/>
        <s v="G1230000100330"/>
        <s v="G1231000002530"/>
        <s v="G1231000012510"/>
        <s v="G1231000018020"/>
        <s v="G1231000040010"/>
        <s v="G1231000040011"/>
        <s v="G1231000040020"/>
        <s v="G1231000080011"/>
        <s v="G1231000080010"/>
        <s v="G1231001040010"/>
        <s v="G1241100020010"/>
        <s v="G1242001020010"/>
        <s v="G1242001023020"/>
        <s v="G1243102005020"/>
        <s v="G1244101004010"/>
        <s v="G1250001000010"/>
        <s v="G1261001017510"/>
        <s v="G1261001035010"/>
        <s v="G1261002017510"/>
        <s v="G1261002035010"/>
        <s v="G1261003017510"/>
        <s v="G1261003035010"/>
        <s v="G1261004017510"/>
        <s v="G1261004035010"/>
        <s v="G1261005017510"/>
        <s v="G1261005035010"/>
        <s v="G1261006017510"/>
        <s v="G1261006035010"/>
        <s v="G1261007040010"/>
        <s v="G1261008000010"/>
        <s v="G1261008014010"/>
        <s v="G1261008017510"/>
        <s v="G1261008035010"/>
        <s v="G1261009017510"/>
        <s v="G1261009035010"/>
        <s v="G1261010035010"/>
        <s v="G1261011020010"/>
        <s v="G1261011040010"/>
        <s v="G1261013040010"/>
        <s v="G1261012035010"/>
        <s v="G1261102030020"/>
        <s v="G1261103030020"/>
        <s v="G1261201024510"/>
        <s v="G1261201040010"/>
        <s v="G1261202035010"/>
        <s v="G1261204024510"/>
        <s v="G1262001004210"/>
        <s v="G1262001004211"/>
        <s v="G1262002004210"/>
        <s v="G1262002004211"/>
        <s v="G1262011004210"/>
        <s v="G1262003004211"/>
        <s v="G1262004004210"/>
        <s v="G1262004004211"/>
        <s v="G1262005004210"/>
        <s v="G1262005004211"/>
        <s v="G1262006004210"/>
        <s v="G1262006004211"/>
        <s v="G1262007004210"/>
        <s v="G1262008004210"/>
        <s v="G1262008004211"/>
        <s v="G1262009004210"/>
        <s v="G1262009004211"/>
        <s v="G1262010004210"/>
        <s v="G1262013004210"/>
        <s v="G1262101004211"/>
        <s v="G1262102004211"/>
        <s v="G1262103004211"/>
        <s v="G1262104004211"/>
        <s v="G1262104004212"/>
        <s v="G1263001010010"/>
        <s v="G1263002010010"/>
        <s v="G1264001000010"/>
        <s v="G1264104000010"/>
        <s v="G1264003000010"/>
        <s v="G1264101000010"/>
        <s v="G1264102000010"/>
        <s v="G1264103000010"/>
        <s v="G1264002000010"/>
        <s v="G1264105000010"/>
        <s v="G1264106000010"/>
        <s v="G1264201000010"/>
        <s v="G1264202000010"/>
        <s v="G1264203000010"/>
        <s v="G1264301000010"/>
        <s v="G1265000002510"/>
        <s v="G1266001002510"/>
        <s v="G1266002002510"/>
        <s v="G1266003002510"/>
        <s v="G1267001000010"/>
        <s v="G1267002000010"/>
        <s v="G1267003000010"/>
        <s v="G1267004000010"/>
        <s v="G1267005000010"/>
        <s v="G1267101000010"/>
        <s v="G1267102000010"/>
        <s v="G1267103000010"/>
        <s v="G1267104000010"/>
        <s v="G1268006000010"/>
        <s v="G1268007000010"/>
        <s v="G1268008000010"/>
        <s v="G1268009000010"/>
        <s v="G1269001007010"/>
        <s v="G1270101016010"/>
        <s v="G1270102016010"/>
        <s v="G1270103016010"/>
        <s v="G1270104022510"/>
        <s v="G1270105016010"/>
        <s v="G1270106016010"/>
        <s v="G1270107016010"/>
        <s v="G1270108016010"/>
        <s v="G1270109016010"/>
        <s v="G1270110016010"/>
        <s v="G1270111016010"/>
        <s v="G1270112016010"/>
        <s v="G1270113016010"/>
        <s v="G1270201016010"/>
        <s v="G1270202016010"/>
        <s v="G1270203016010"/>
        <s v="G1270204016010"/>
        <s v="G1270205016010"/>
        <s v="G1270206016010"/>
        <s v="G1270300000010"/>
        <s v="G1271101004010"/>
        <s v="G1271102004010"/>
        <s v="G1271103004010"/>
        <s v="G1271104004010"/>
        <s v="G1271201000010"/>
        <s v="G1271202000010"/>
        <s v="G1272100000010"/>
        <s v="G1280101000010"/>
        <s v="G1280201000010"/>
        <s v="G1290001000020"/>
        <s v="G1290002000020"/>
        <s v="G1290003000020"/>
        <s v="G1290004000020"/>
        <s v="G1290005000020"/>
        <s v="G1290006000020"/>
        <s v="G1290007000020"/>
        <s v="G1290100000010"/>
        <s v="G1301000000010"/>
        <s v="G1302000000010"/>
        <s v="G1303000004010"/>
        <s v="G1303100000010"/>
        <s v="G1264109000010" u="1"/>
        <s v="G126101203501" u="1"/>
        <s v="G1262003004210" u="1"/>
        <s v="G1262012004210" u="1"/>
        <s v="G1078101000410" u="1"/>
        <s v="C1000000000000" u="1"/>
        <s v="F4072102040010" u="1"/>
        <s v="F2062010360010" u="1"/>
        <s v="A1122004001811" u="1"/>
        <s v="K1253001010010" u="1"/>
        <s v="K1158007010010" u="1"/>
        <s v="M6062004006050" u="1"/>
        <s v="K1302002001510" u="1"/>
        <s v="F4041001020010" u="1"/>
        <s v="K1433002015010" u="1"/>
        <s v="K1505001025020" u="1"/>
        <s v="C1272002020010" u="1"/>
        <s v="M6100013015030" u="1"/>
        <s v="A1070001100110" u="1"/>
        <s v="K1163001010010" u="1"/>
        <s v="A1042004009010" u="1"/>
        <s v="M6041002000910" u="1"/>
        <s v="M6042004001010" u="1"/>
        <s v="K1155010050010" u="1"/>
        <s v="F4072103040010" u="1"/>
        <s v="A1122005001811" u="1"/>
        <s v="K1253002010010" u="1"/>
        <s v="K1158008010010" u="1"/>
        <s v="K1302003001510" u="1"/>
        <s v="F4041002020010" u="1"/>
        <s v="C1270001060020" u="1"/>
        <s v="M6025309000230" u="1"/>
        <s v="M6100004015030" u="1"/>
        <s v="A1070002100110" u="1"/>
        <s v="K1155010020020" u="1"/>
        <s v="M6041003000910" u="1"/>
        <s v="C1250001101520" u="1"/>
        <s v="M6140100060010" u="1"/>
        <s v="M6042005001010" u="1"/>
        <s v="C1001000000410" u="1"/>
        <s v="M6062004006010" u="1"/>
        <s v="K1253003010010" u="1"/>
        <s v="K1302004001510" u="1"/>
        <s v="M6032006001010" u="1"/>
        <s v="F4041003020010" u="1"/>
        <s v="C1281004005010" u="1"/>
        <s v="K1048002005010" u="1"/>
        <s v="M6100015015030" u="1"/>
        <s v="A1070003100110" u="1"/>
        <s v="K1155001020020" u="1"/>
        <s v="K1155011020020" u="1"/>
        <s v="C1250002101520" u="1"/>
        <s v="M6042006001010" u="1"/>
        <s v="K1155002050010" u="1"/>
        <s v="K1253004010010" u="1"/>
        <s v="K1158010012510" u="1"/>
        <s v="M6032017001010" u="1"/>
        <s v="C1330004035030" u="1"/>
        <s v="C1270003040021" u="1"/>
        <s v="C1281005005010" u="1"/>
        <s v="K1048003005010" u="1"/>
        <s v="M6100006015030" u="1"/>
        <s v="C1011001000410" u="1"/>
        <s v="K1155002020020" u="1"/>
        <s v="K1155012020020" u="1"/>
        <s v="A1120007100110" u="1"/>
        <s v="K1253005010010" u="1"/>
        <s v="C1281006001010" u="1"/>
        <s v="K1158001012510" u="1"/>
        <s v="K1048004005010" u="1"/>
        <s v="M6100007015030" u="1"/>
        <s v="C1022001010010" u="1"/>
        <s v="M6100017015030" u="1"/>
        <s v="A1110000100510" u="1"/>
        <s v="K1155003020020" u="1"/>
        <s v="K1155013020020" u="1"/>
        <s v="K1503000008010" u="1"/>
        <s v="M6160102060010" u="1"/>
        <s v="C1390002009510N" u="1"/>
        <s v="K1155004050010" u="1"/>
        <s v="K1253006010010" u="1"/>
        <s v="K1158002012510" u="1"/>
        <s v="K1048005005010" u="1"/>
        <s v="M6100008015030" u="1"/>
        <s v="K1155014020020" u="1"/>
        <s v="M6160103060010" u="1"/>
        <s v="M6153000012010" u="1"/>
        <s v="C1390003007510N" u="1"/>
        <s v="K1210001050010" u="1"/>
        <s v="M6143502001510" u="1"/>
        <s v="K1155005050010" u="1"/>
        <s v="C1417001005010" u="1"/>
        <s v="M6110202050010" u="1"/>
        <s v="K1158005006010" u="1"/>
        <s v="K1113001007010" u="1"/>
        <s v="C1140000045012" u="1"/>
        <s v="K1253007010010" u="1"/>
        <s v="C1120007000040" u="1"/>
        <s v="M6063000010010" u="1"/>
        <s v="K1460003000130" u="1"/>
        <s v="K1158003012510" u="1"/>
        <s v="C1221001003510" u="1"/>
        <s v="P3020001100120" u="1"/>
        <s v="C1140000030021" u="1"/>
        <s v="K1048006005010" u="1"/>
        <s v="M6100009015030" u="1"/>
        <s v="C1221001007510" u="1"/>
        <s v="K1155005020020" u="1"/>
        <s v="A1011000092510" u="1"/>
        <s v="F4021001010010" u="1"/>
        <s v="F2062010180010" u="1"/>
        <s v="F4061111150010" u="1"/>
        <s v="K1113002007010" u="1"/>
        <s v="K1253008010010" u="1"/>
        <s v="K1460004000130" u="1"/>
        <s v="K1158004012510" u="1"/>
        <s v="C1221002003510" u="1"/>
        <s v="K1502000045021" u="1"/>
        <s v="K1048007005010" u="1"/>
        <s v="C1221002007510" u="1"/>
        <s v="K1155006020020" u="1"/>
        <s v="M6101002020030" u="1"/>
        <s v="M6142001001510" u="1"/>
        <s v="C1211003003510" u="1"/>
        <s v="K1153001005010" u="1"/>
        <s v="M6143504001510" u="1"/>
        <s v="C1417003005010" u="1"/>
        <s v="K1158007006010" u="1"/>
        <s v="K1113003007010" u="1"/>
        <s v="K1100009000831" u="1"/>
        <s v="K1113001012510" u="1"/>
        <s v="P2020001100120" u="1"/>
        <s v="C1221003003510" u="1"/>
        <s v="K1044001025010" u="1"/>
        <s v="C1221003007510" u="1"/>
        <s v="K1155007020020" u="1"/>
        <s v="C1131003003510" u="1"/>
        <s v="K1153002005010" u="1"/>
        <s v="K1158008006010" u="1"/>
        <s v="K1113004007010" u="1"/>
        <s v="K1155010010020" u="1"/>
        <s v="M6020207000230" u="1"/>
        <s v="A1120006102410" u="1"/>
        <s v="K1113002012510" u="1"/>
        <s v="K1158006012510" u="1"/>
        <s v="C1281001004510" u="1"/>
        <s v="K1044002025010" u="1"/>
        <s v="K1480001050010" u="1"/>
        <s v="K1070001020020" u="1"/>
        <s v="F4011100007010" u="1"/>
        <s v="A1120006060010" u="1"/>
        <s v="K1153003005010" u="1"/>
        <s v="K1155009050010" u="1"/>
        <s v="C1417001050030" u="1"/>
        <s v="M6063004010010" u="1"/>
        <s v="K1113003012510" u="1"/>
        <s v="C1281002004510" u="1"/>
        <s v="A1120006069010" u="1"/>
        <s v="K1480002050010" u="1"/>
        <s v="K1070002020020" u="1"/>
        <s v="K1155009020020" u="1"/>
        <s v="P3046100101020" u="1"/>
        <s v="C1131005003510" u="1"/>
        <s v="G1077001006012" u="1"/>
        <s v="K1490001025020" u="1"/>
        <s v="K1153004005010" u="1"/>
        <s v="F4066001008010" u="1"/>
        <s v="P3045100050020" u="1"/>
        <s v="A1120006100510" u="1"/>
        <s v="K1155002010020" u="1"/>
        <s v="K1155012010020" u="1"/>
        <s v="K1113004012510" u="1"/>
        <s v="C1281003004510" u="1"/>
        <s v="K1480003050010" u="1"/>
        <s v="K1070003020020" u="1"/>
        <s v="M6123000000010" u="1"/>
        <s v="A1011000030012" u="1"/>
        <s v="F4066002008010" u="1"/>
        <s v="P3021302100120" u="1"/>
        <s v="M6063000005050" u="1"/>
        <s v="K1155003010020" u="1"/>
        <s v="A1122001001810" u="1"/>
        <s v="K1158009012510" u="1"/>
        <s v="C1022001005010" u="1"/>
        <s v="F4041002000920" u="1"/>
        <s v="C1400011072010" u="1"/>
        <s v="K1070004020020" u="1"/>
        <s v="F2041010150010" u="1"/>
        <s v="P2046100101020" u="1"/>
        <s v="F4066003006010" u="1"/>
        <s v="P2045100050020" u="1"/>
        <s v="K1490003025020" u="1"/>
        <s v="F4066003008010" u="1"/>
        <s v="C1400011040020" u="1"/>
        <s v="A1122002001810" u="1"/>
        <s v="K1155014010020" u="1"/>
        <s v="M6033001001010" u="1"/>
        <s v="M6033011001010" u="1"/>
        <s v="F4041003000920" u="1"/>
        <s v="C1400002072010" u="1"/>
        <s v="M6153000006010" u="1"/>
        <s v="C1420001075010" u="1"/>
        <s v="A1050000025020" u="1"/>
        <s v="F4066004006010" u="1"/>
        <s v="K1490004025020" u="1"/>
        <s v="F4066004008010" u="1"/>
        <s v="P2021302100120" u="1"/>
        <s v="C1400002040020" u="1"/>
        <s v="C1400012040020" u="1"/>
        <s v="C1417005050030" u="1"/>
        <s v="K1155005010020" u="1"/>
        <s v="A1122003001810" u="1"/>
        <s v="M6101011010030" u="1"/>
        <s v="C1281006004510" u="1"/>
        <s v="A1011000082510" u="1"/>
        <s v="F2010010580010" u="1"/>
        <s v="C1400013072010" u="1"/>
        <s v="K1506000050010" u="1"/>
        <s v="F2010020580010" u="1"/>
        <s v="F2010030580010" u="1"/>
        <s v="K1505001030010" u="1"/>
        <s v="C1140001075010" u="1"/>
        <s v="A1123001012510" u="1"/>
        <s v="M6101009020030" u="1"/>
        <s v="P3021201100120" u="1"/>
        <s v="K1490005025020" u="1"/>
        <s v="F4066005008010" u="1"/>
        <s v="C1400003040020" u="1"/>
        <s v="C1400013040020" u="1"/>
        <s v="F2020040580010" u="1"/>
        <s v="K1155006010020" u="1"/>
        <s v="A1122004001810" u="1"/>
        <s v="C1250001075010" u="1"/>
        <s v="C1282001002010" u="1"/>
        <s v="M6101012010030" u="1"/>
        <s v="F4067101018010" u="1"/>
        <s v="A1123002012510" u="1"/>
        <s v="M6130600001520" u="1"/>
        <s v="F4066006008010" u="1"/>
        <s v="M6063004005050" u="1"/>
        <s v="A1122005001810" u="1"/>
        <s v="C1282002002010" u="1"/>
        <s v="M6101013010030" u="1"/>
        <s v="M6033004001010" u="1"/>
        <s v="K1154001015010" u="1"/>
        <s v="C1070001040020" u="1"/>
        <s v="M6130503001220" u="1"/>
        <s v="C1170001040020" u="1"/>
        <s v="F4067102018010" u="1"/>
        <s v="A1123003012510" u="1"/>
        <s v="F4061001005010" u="1"/>
        <s v="P2021201100120" u="1"/>
        <s v="K1155010001020" u="1"/>
        <s v="C1400005040020" u="1"/>
        <s v="M6143202001510" u="1"/>
        <s v="P3011204100120" u="1"/>
        <s v="K1154002015010" u="1"/>
        <s v="F4062001021010" u="1"/>
        <s v="C1070002040020" u="1"/>
        <s v="K1049001005010" u="1"/>
        <s v="C1270002040020" u="1"/>
        <s v="F4067103018010" u="1"/>
        <s v="M6141100060010" u="1"/>
        <s v="K1490001025011" u="1"/>
        <s v="K1046001020020" u="1"/>
        <s v="K1155009010020" u="1"/>
        <s v="M6143203001510" u="1"/>
        <s v="K1048008004510" u="1"/>
        <s v="K1154003015010" u="1"/>
        <s v="F4062002021010" u="1"/>
        <s v="F4067010018010" u="1"/>
        <s v="C1350004040020" u="1"/>
        <s v="P3041100100120" u="1"/>
        <s v="F4067104018010" u="1"/>
        <s v="K1046002020020" u="1"/>
        <s v="P2011204100120" u="1"/>
        <s v="P3011104102020" u="1"/>
        <s v="M6101016010030" u="1"/>
        <s v="A1011000060010" u="1"/>
        <s v="F4032001007520" u="1"/>
        <s v="K1154004015010" u="1"/>
        <s v="F4062003021010" u="1"/>
        <s v="M6080300001020" u="1"/>
        <s v="A1011000062010" u="1"/>
        <s v="C1270004040020" u="1"/>
        <s v="C1350005040020" u="1"/>
        <s v="P3021102100120" u="1"/>
        <s v="K1158011000910" u="1"/>
        <s v="K1490003025011" u="1"/>
        <s v="K1046003020020" u="1"/>
        <s v="C1413001010010" u="1"/>
        <s v="K1161001000130" u="1"/>
        <s v="K1504000000010" u="1"/>
        <s v="M6101007010030" u="1"/>
        <s v="F4032002007520" u="1"/>
        <s v="K1154005015010" u="1"/>
        <s v="F4062004021010" u="1"/>
        <s v="A1011001062010" u="1"/>
        <s v="P2041100100120" u="1"/>
        <s v="A1011000102510" u="1"/>
        <s v="A1050000025011" u="1"/>
        <s v="F4067011004820" u="1"/>
        <s v="K1490004025011" u="1"/>
        <s v="P3011010100120" u="1"/>
        <s v="A1020002042010" u="1"/>
        <s v="K1046004020020" u="1"/>
        <s v="C1413002010010" u="1"/>
        <s v="P2011104102020" u="1"/>
        <s v="F2020010600010" u="1"/>
        <s v="F2020020600010" u="1"/>
        <s v="F2020030600010" u="1"/>
        <s v="F4032003007520" u="1"/>
        <s v="P2021102100120" u="1"/>
        <s v="F4067011022510" u="1"/>
        <s v="M6154000010010" u="1"/>
        <s v="F4068002003020" u="1"/>
        <s v="K1490005025011" u="1"/>
        <s v="P3011001100120" u="1"/>
        <s v="C1413003010010" u="1"/>
        <s v="K1502000045020" u="1"/>
        <s v="P3021001100120" u="1"/>
        <s v="A1011000100610" u="1"/>
        <s v="A1011003065010" u="1"/>
        <s v="P2011010100120" u="1"/>
        <s v="P3011002100120" u="1"/>
        <s v="A1100005040010" u="1"/>
        <s v="C1415001025020" u="1"/>
        <s v="C1415002050010" u="1"/>
        <s v="C1413004010010" u="1"/>
        <s v="C1120002000030" u="1"/>
        <s v="M6130400001520" u="1"/>
        <s v="F4067005018010" u="1"/>
        <s v="K1505002025010" u="1"/>
        <s v="K1155010020010" u="1"/>
        <s v="A1011004065010" u="1"/>
        <s v="P2011001100120" u="1"/>
        <s v="P2011011100120" u="1"/>
        <s v="P3011003100120" u="1"/>
        <s v="C1415003050010" u="1"/>
        <s v="K1046007020020" u="1"/>
        <s v="K1114001010510" u="1"/>
        <s v="C1413005010010" u="1"/>
        <s v="P2021001100120" u="1"/>
        <s v="C1330003035020" u="1"/>
        <s v="K1470001015011" u="1"/>
        <s v="P3021003100120" u="1"/>
        <s v="K1155001020010" u="1"/>
        <s v="K1155011020010" u="1"/>
        <s v="K1155008001020" u="1"/>
        <s v="P2011002100120" u="1"/>
        <s v="F4052001018010" u="1"/>
        <s v="F4062001010010" u="1"/>
        <s v="K1070001005020" u="1"/>
        <s v="C1415004050010" u="1"/>
        <s v="K1041002020020" u="1"/>
        <s v="K1046008020020" u="1"/>
        <s v="K1114002010510" u="1"/>
        <s v="M6100112002020" u="1"/>
        <s v="F4061103008510" u="1"/>
        <s v="K1470002015011" u="1"/>
        <s v="P3021004100120" u="1"/>
        <s v="F4067005022510" u="1"/>
        <s v="K1155012020010" u="1"/>
        <s v="K1046001010020" u="1"/>
        <s v="F4071103008510" u="1"/>
        <s v="K1155009001020" u="1"/>
        <s v="P2011003100120" u="1"/>
        <s v="P3011005100120" u="1"/>
        <s v="F4052002018010" u="1"/>
        <s v="F4062002010010" u="1"/>
        <s v="K1070002005020" u="1"/>
        <s v="K1161002020020" u="1"/>
        <s v="K1046009020020" u="1"/>
        <s v="K1114003010510" u="1"/>
        <s v="F4053001003020" u="1"/>
        <s v="K1490002032010" u="1"/>
        <s v="K1460001000120" u="1"/>
        <s v="P2021003100120" u="1"/>
        <s v="K1470003015011" u="1"/>
        <s v="K1161002025020" u="1"/>
        <s v="P3021005100120" u="1"/>
        <s v="F40630030200111" u="1"/>
        <s v="K1506000090030" u="1"/>
        <s v="F4067006022510" u="1"/>
        <s v="K1155003020010" u="1"/>
        <s v="K1155013020010" u="1"/>
        <s v="K1046002010020" u="1"/>
        <s v="F4071104008510" u="1"/>
        <s v="F4073208006020" u="1"/>
        <s v="F4073208007020" u="1"/>
        <s v="P3011006100120" u="1"/>
        <s v="F4052003018010" u="1"/>
        <s v="F4062003010010" u="1"/>
        <s v="K1070003005020" u="1"/>
        <s v="K1155010004520" u="1"/>
        <s v="M6130300001520" u="1"/>
        <s v="K1114004010510" u="1"/>
        <s v="M6022608000230" u="1"/>
        <s v="F4053002003020" u="1"/>
        <s v="C1400010022020" u="1"/>
        <s v="P2021004100120" u="1"/>
        <s v="F4031001048030" u="1"/>
        <s v="P3021006100120" u="1"/>
        <s v="C1020006005030" u="1"/>
        <s v="F40630040200111" u="1"/>
        <s v="K1155014020010" u="1"/>
        <s v="K1046003010020" u="1"/>
        <s v="M6080400000620" u="1"/>
        <s v="F4071105008510" u="1"/>
        <s v="K1153005001810" u="1"/>
        <s v="P2011005100120" u="1"/>
        <s v="P3011007100120" u="1"/>
        <s v="A1121000058010" u="1"/>
        <s v="F4052004018010" u="1"/>
        <s v="F4062004010010" u="1"/>
        <s v="K1070004005020" u="1"/>
        <s v="M6024110000210" u="1"/>
        <s v="A1011001052010" u="1"/>
        <s v="F4053003003020" u="1"/>
        <s v="K1460003000120" u="1"/>
        <s v="C1400001022020" u="1"/>
        <s v="C1400011022020" u="1"/>
        <s v="P2021005100120" u="1"/>
        <s v="F4031002048030" u="1"/>
        <s v="C1140000030011" u="1"/>
        <s v="K1049002004510" u="1"/>
        <s v="F40630050200111" u="1"/>
        <s v="A1100003030010" u="1"/>
        <s v="K1155005020010" u="1"/>
        <s v="K1161004028020" u="1"/>
        <s v="P2011006100120" u="1"/>
        <s v="A1130001022011B" u="1"/>
        <s v="P3011008100120" u="1"/>
        <s v="K1270005005020" u="1"/>
        <s v="A1011002052010" u="1"/>
        <s v="A1100001042510" u="1"/>
        <s v="M6100116002020" u="1"/>
        <s v="F4053004003020" u="1"/>
        <s v="K1460004000120" u="1"/>
        <s v="C1400002022020" u="1"/>
        <s v="C1400012022020" u="1"/>
        <s v="P2021006100120" u="1"/>
        <s v="F4071001048030" u="1"/>
        <s v="C1421001070010" u="1"/>
        <s v="F4073003007020" u="1"/>
        <s v="F40630060200111" u="1"/>
        <s v="F4067009022510" u="1"/>
        <s v="K1330001020010" u="1"/>
        <s v="K1155006020010" u="1"/>
        <s v="M6154000006010" u="1"/>
        <s v="M6120002000020" u="1"/>
        <s v="P2011007100120" u="1"/>
        <s v="A1011000068510" u="1"/>
        <s v="P3011009100120" u="1"/>
        <s v="C1040001020020" u="1"/>
        <s v="A1100002042510" u="1"/>
        <s v="C1330001028020" u="1"/>
        <s v="M6100107002020" u="1"/>
        <s v="C1400013022020" u="1"/>
        <s v="C1141001070010" u="1"/>
        <s v="F4071002048030" u="1"/>
        <s v="F4073004007020" u="1"/>
        <s v="K1330002020010" u="1"/>
        <s v="K1350001020010" u="1"/>
        <s v="K1370000020010" u="1"/>
        <s v="K1155007020010" u="1"/>
        <s v="M6120003000020" u="1"/>
        <s v="A1124001013510" u="1"/>
        <s v="P2011008100120" u="1"/>
        <s v="K1505002012010" u="1"/>
        <s v="F40711020085101" u="1"/>
        <s v="M6024103000210" u="1"/>
        <s v="C1330002028020" u="1"/>
        <s v="M6100108002020" u="1"/>
        <s v="K1155010010010" u="1"/>
        <s v="F4061109008510" u="1"/>
        <s v="F4071003048030" u="1"/>
        <s v="F4073005007020" u="1"/>
        <s v="C1283001005010" u="1"/>
        <s v="K1070001020010" u="1"/>
        <s v="K1330003020010" u="1"/>
        <s v="K1350002020010" u="1"/>
        <s v="K1370001020010" u="1"/>
        <s v="K1300001007520" u="1"/>
        <s v="K1290001000320" u="1"/>
        <s v="M6120004000020" u="1"/>
        <s v="P2011009100120" u="1"/>
        <s v="C1370001025020" u="1"/>
        <s v="K1021002015020" u="1"/>
        <s v="K1045001015010" u="1"/>
        <s v="K1114001006510" u="1"/>
        <s v="C1040003020020" u="1"/>
        <s v="A1100004042510" u="1"/>
        <s v="K1380001020010" u="1"/>
        <s v="M6100119002020" u="1"/>
        <s v="M6100011050040" u="1"/>
        <s v="F4052001007010" u="1"/>
        <s v="F4073006007020" u="1"/>
        <s v="K1070002020010" u="1"/>
        <s v="K1330004020010" u="1"/>
        <s v="K1390001020010" u="1"/>
        <s v="K1155009020010" u="1"/>
        <s v="A1120006013011" u="1"/>
        <s v="K1290002000320" u="1"/>
        <s v="K1190001005011" u="1"/>
        <s v="C1370002025020" u="1"/>
        <s v="K1490001025010" u="1"/>
        <s v="K1045002015010" u="1"/>
        <s v="C1270203040010" u="1"/>
        <s v="K1155006004520" u="1"/>
        <s v="M6024105000210" u="1"/>
        <s v="A1120006038010" u="1"/>
        <s v="K1114002006510" u="1"/>
        <s v="C1040004020020" u="1"/>
        <s v="K1434001006510" u="1"/>
        <s v="K1380002020010" u="1"/>
        <s v="K1155002010010" u="1"/>
        <s v="K1155012010010" u="1"/>
        <s v="M6062001012030" u="1"/>
        <s v="F4052002007010" u="1"/>
        <s v="F4063001020010" u="1"/>
        <s v="K1100003004520" u="1"/>
        <s v="F4073007007020" u="1"/>
        <s v="C1270003020020" u="1"/>
        <s v="K1330005020010" u="1"/>
        <s v="K1300003007520" u="1"/>
        <s v="K1081001012020" u="1"/>
        <s v="K1190002005011" u="1"/>
        <s v="C1370003025020" u="1"/>
        <s v="P3045100025020" u="1"/>
        <s v="K1045003015010" u="1"/>
        <s v="K1114003006510" u="1"/>
        <s v="K1434002006510" u="1"/>
        <s v="C1330005028020" u="1"/>
        <s v="K1380003020010" u="1"/>
        <s v="K1254001007510" u="1"/>
        <s v="K1155003010010" u="1"/>
        <s v="F4052003007010" u="1"/>
        <s v="F4063002020010" u="1"/>
        <s v="F4073008007020" u="1"/>
        <s v="C1270001037520" u="1"/>
        <s v="K1070004020010" u="1"/>
        <s v="K1330006020010" u="1"/>
        <s v="F2010010240010" u="1"/>
        <s v="F2010020240010" u="1"/>
        <s v="A1120008013011" u="1"/>
        <s v="F2010030020021" u="1"/>
        <s v="F2010030240010" u="1"/>
        <s v="F40690010030121" u="1"/>
        <s v="K1081002012020" u="1"/>
        <s v="K1190003005011" u="1"/>
        <s v="K1490003025010" u="1"/>
        <s v="K1045004015010" u="1"/>
        <s v="F2010020025021" u="1"/>
        <s v="A1120008038010" u="1"/>
        <s v="C1400001040010" u="1"/>
        <s v="C1400011040010" u="1"/>
        <s v="K1114004006510" u="1"/>
        <s v="C1040006020020" u="1"/>
        <s v="K1380004020010" u="1"/>
        <s v="K1254002007510" u="1"/>
        <s v="F2020010240010" u="1"/>
        <s v="F2020020240010" u="1"/>
        <s v="K1155014010010" u="1"/>
        <s v="F2020030240010" u="1"/>
        <s v="M6062003012030" u="1"/>
        <s v="F4052004007010" u="1"/>
        <s v="F4063003020010" u="1"/>
        <s v="M6090100000420" u="1"/>
        <s v="A1012000062010" u="1"/>
        <s v="A1050000020010" u="1"/>
        <s v="P3022102100120" u="1"/>
        <s v="M6040007000020" u="1"/>
        <s v="K1081003012020" u="1"/>
        <s v="P2045100025020" u="1"/>
        <s v="P3020001030020" u="1"/>
        <s v="A1050000025010" u="1"/>
        <s v="K1490004025010" u="1"/>
        <s v="K1045005015010" u="1"/>
        <s v="K1155009004520" u="1"/>
        <s v="C1400002040010" u="1"/>
        <s v="K1210001010010" u="1"/>
        <s v="K1254003007510" u="1"/>
        <s v="K1155005010010" u="1"/>
        <s v="K1510001010010" u="1"/>
        <s v="M6100015050040" u="1"/>
        <s v="A1110000033510" u="1"/>
        <s v="C1400009022020" u="1"/>
        <s v="C1140000045010" u="1"/>
        <s v="K1010001015010" u="1"/>
        <s v="F4063004020010" u="1"/>
        <s v="C1270003037520" u="1"/>
        <s v="K1502000050010" u="1"/>
        <s v="C1140000010020" u="1"/>
        <s v="K1220001010010" u="1"/>
        <s v="M6120402000010" u="1"/>
        <s v="A1100001015511" u="1"/>
        <s v="K1502000015012" u="1"/>
        <s v="K1020001015010" u="1"/>
        <s v="K1490005025010" u="1"/>
        <s v="C1400013040010" u="1"/>
        <s v="K1270003007520" u="1"/>
        <s v="K1330001010010" u="1"/>
        <s v="K1155006010010" u="1"/>
        <s v="K1046005001020" u="1"/>
        <s v="A1080000025010" u="1"/>
        <s v="K1100009003420" u="1"/>
        <s v="K1101011003020" u="1"/>
        <s v="K1010002015010" u="1"/>
        <s v="F4063005020010" u="1"/>
        <s v="P2022102100120" u="1"/>
        <s v="K1140001010010" u="1"/>
        <s v="K1340001010010" u="1"/>
        <s v="M6120403000010" u="1"/>
        <s v="P2020001030020" u="1"/>
        <s v="P3047101100520" u="1"/>
        <s v="A1120011033510" u="1"/>
        <s v="M6155000010010" u="1"/>
        <s v="M6024006000210" u="1"/>
        <s v="A1070001025010" u="1"/>
        <s v="M6080200014010" u="1"/>
        <s v="K1020002015010" u="1"/>
        <s v="A1011000027520" u="1"/>
        <s v="M6024505000240" u="1"/>
        <s v="K1330002010010" u="1"/>
        <s v="K1350001010010" u="1"/>
        <s v="K1101012003020" u="1"/>
        <s v="K1010003015010" u="1"/>
        <s v="F4063006020010" u="1"/>
        <s v="P3022001100120" u="1"/>
        <s v="C1070001020011" u="1"/>
        <s v="A1012000100610" u="1"/>
        <s v="K1260001010010" u="1"/>
        <s v="K1340002010010" u="1"/>
        <s v="K1360001010010" u="1"/>
        <s v="K1060001011010" u="1"/>
        <s v="P3047102100520" u="1"/>
        <s v="A1120012033510" u="1"/>
        <s v="M6123400000030" u="1"/>
        <s v="M6024402000240" u="1"/>
        <s v="K1155010001010" u="1"/>
        <s v="A1070002025010" u="1"/>
        <s v="M6130100010010" u="1"/>
        <s v="K1330003010010" u="1"/>
        <s v="K1350002010010" u="1"/>
        <s v="A1011004015020" u="1"/>
        <s v="C1070002020011" u="1"/>
        <s v="C1070002040010" u="1"/>
        <s v="K1470001015010" u="1"/>
        <s v="K1045001006010" u="1"/>
        <s v="P2047101100520" u="1"/>
        <s v="K1280001010010" u="1"/>
        <s v="K1340003010010" u="1"/>
        <s v="P3047103100520" u="1"/>
        <s v="M6100013000520" u="1"/>
        <s v="A1070003025010" u="1"/>
        <s v="A1091001046010" u="1"/>
        <s v="K1156010025010" u="1"/>
        <s v="K1255001005010" u="1"/>
        <s v="K1090001010010" u="1"/>
        <s v="K1046001020010" u="1"/>
        <s v="K1330004010010" u="1"/>
        <s v="K1155009010010" u="1"/>
        <s v="P2022001100120" u="1"/>
        <s v="K1470002015010" u="1"/>
        <s v="A1120006027010" u="1"/>
        <s v="C1270003020011" u="1"/>
        <s v="C1270003040010" u="1"/>
        <s v="K1045002006010" u="1"/>
        <s v="P2047102100520" u="1"/>
        <s v="K1152001020020" u="1"/>
        <s v="K1280002010010" u="1"/>
        <s v="K1340004010010" u="1"/>
        <s v="A1100005015511" u="1"/>
        <s v="A1070004025010" u="1"/>
        <s v="A1091002046010" u="1"/>
        <s v="F4071103080010" u="1"/>
        <s v="K1156001025010" u="1"/>
        <s v="F4063001011010" u="1"/>
        <s v="K1255002005010" u="1"/>
        <s v="K1090002010010" u="1"/>
        <s v="K1046002020010" u="1"/>
        <s v="C1390002010020" u="1"/>
        <s v="K1330005010010" u="1"/>
        <s v="K1435001012510" u="1"/>
        <s v="F4032001007510" u="1"/>
        <s v="M6080100010010" u="1"/>
        <s v="K1470003015010" u="1"/>
        <s v="K1045003006010" u="1"/>
        <s v="P2047103100520" u="1"/>
        <s v="K1152002020020" u="1"/>
        <s v="K1340005010010" u="1"/>
        <s v="M6024405000240" u="1"/>
        <s v="A1070005025010" u="1"/>
        <s v="K1156002025010" u="1"/>
        <s v="A1011000030010" u="1"/>
        <s v="K1470001006511" u="1"/>
        <s v="F4063002011010" u="1"/>
        <s v="K1255003005010" u="1"/>
        <s v="K1046003020010" u="1"/>
        <s v="K1330006010010" u="1"/>
        <s v="K1500000000010" u="1"/>
        <s v="K1435002012510" u="1"/>
        <s v="F4032002007510" u="1"/>
        <s v="A1120008027010" u="1"/>
        <s v="C1150006040010" u="1"/>
        <s v="F4068001002010" u="1"/>
        <s v="K1340006010010" u="1"/>
        <s v="A1120006033510" u="1"/>
        <s v="A1070006025010" u="1"/>
        <s v="K1156003025010" u="1"/>
        <s v="M6010305001010" u="1"/>
        <s v="K1470002006511" u="1"/>
        <s v="F4063003011010" u="1"/>
        <s v="K1255004005010" u="1"/>
        <s v="M6130200006010" u="1"/>
        <s v="K1155010050030" u="1"/>
        <s v="K1046004020010" u="1"/>
        <s v="C1390004010020" u="1"/>
        <s v="K1435003012510" u="1"/>
        <s v="F4032003007510" u="1"/>
        <s v="K1200001005010" u="1"/>
        <s v="K1400001005010" u="1"/>
        <s v="C1140000030010" u="1"/>
        <s v="F2051010115010" u="1"/>
        <s v="F2051020115010" u="1"/>
        <s v="F2051030115010" u="1"/>
        <s v="K1030010000010" u="1"/>
        <s v="K1310001000010" u="1"/>
        <s v="K1030020000010" u="1"/>
        <s v="M6100017000520" u="1"/>
        <s v="F2030010400010" u="1"/>
        <s v="K1410001003010" u="1"/>
        <s v="C1011201040010" u="1"/>
        <s v="K1156004025010" u="1"/>
        <s v="K1210001005010" u="1"/>
        <s v="A1110000027510" u="1"/>
        <s v="K1010001006010" u="1"/>
        <s v="K1470003006511" u="1"/>
        <s v="F4063004011010" u="1"/>
        <s v="K1255005005010" u="1"/>
        <s v="M6130201006010" u="1"/>
        <s v="C1120001000020" u="1"/>
        <s v="K1420001001010" u="1"/>
        <s v="K1320001003010" u="1"/>
        <s v="K1200002005010" u="1"/>
        <s v="K1020001006010" u="1"/>
        <s v="K1220001006010" u="1"/>
        <s v="K1030001000010" u="1"/>
        <s v="K1030011000010" u="1"/>
        <s v="K1230001000010" u="1"/>
        <s v="K1310002000010" u="1"/>
        <s v="M6050001010010" u="1"/>
        <s v="K1030021000010" u="1"/>
        <s v="A1120008033510" u="1"/>
        <s v="C1220002035010" u="1"/>
        <s v="K1410002003010" u="1"/>
        <s v="F4067007048030" u="1"/>
        <s v="K1156005025010" u="1"/>
        <s v="C1415001025010" u="1"/>
        <s v="M6021101000220" u="1"/>
        <s v="K1010002006010" u="1"/>
        <s v="F4063005011010" u="1"/>
        <s v="K1330001006010" u="1"/>
        <s v="M6130202006010" u="1"/>
        <s v="F4031101040020" u="1"/>
        <s v="K1100001000110" u="1"/>
        <s v="F2060010400010" u="1"/>
        <s v="F2060020400010" u="1"/>
        <s v="K1320002003010" u="1"/>
        <s v="C1042001104010" u="1"/>
        <s v="F2060030400010" u="1"/>
        <s v="K1440001003010" u="1"/>
        <s v="K1200003005010" u="1"/>
        <s v="K1020002006010" u="1"/>
        <s v="K1400003005010" u="1"/>
        <s v="M6132500001220" u="1"/>
        <s v="C1411002020020" u="1"/>
        <s v="K1030002000010" u="1"/>
        <s v="M6155000006010" u="1"/>
        <s v="F4073101007010" u="1"/>
        <s v="K1030012000010" u="1"/>
        <s v="K1030022000010" u="1"/>
        <s v="F4073101008010" u="1"/>
        <s v="K1400001012510" u="1"/>
        <s v="F2070020400010" u="1"/>
        <s v="F4067008048030" u="1"/>
        <s v="K1156006025010" u="1"/>
        <s v="K1370000005010" u="1"/>
        <s v="K1010003006010" u="1"/>
        <s v="F4063006011010" u="1"/>
        <s v="K1330002006010" u="1"/>
        <s v="F4031102040020" u="1"/>
        <s v="K1046007020010" u="1"/>
        <s v="C1120003000020" u="1"/>
        <s v="K1100002000110" u="1"/>
        <s v="K1370000009010" u="1"/>
        <s v="M6031002000020" u="1"/>
        <s v="C1414001012510" u="1"/>
        <s v="K1320003003010" u="1"/>
        <s v="K1041001025010" u="1"/>
        <s v="K1440002003010" u="1"/>
        <s v="F4013001007010" u="1"/>
        <s v="M6060004012050" u="1"/>
        <s v="K1400004005010" u="1"/>
        <s v="C1220004010011" u="1"/>
        <s v="C1240002006020" u="1"/>
        <s v="K1041001028010" u="1"/>
        <s v="P3022001102520" u="1"/>
        <s v="C1411003020020" u="1"/>
        <s v="K1030003000010" u="1"/>
        <s v="K1030013000010" u="1"/>
        <s v="K1030023000010" u="1"/>
        <s v="K1270001001010" u="1"/>
        <s v="K1155008001010" u="1"/>
        <s v="M6090201001010" u="1"/>
        <s v="K1450002001010" u="1"/>
        <s v="K1400002012510" u="1"/>
        <s v="K1170001003010" u="1"/>
        <s v="C1220004035010" u="1"/>
        <s v="K1410004003010" u="1"/>
        <s v="K1156007025010" u="1"/>
        <s v="K1370001005010" u="1"/>
        <s v="C1070002010011" u="1"/>
        <s v="C1070002030010" u="1"/>
        <s v="K1330003006010" u="1"/>
        <s v="K1041002020010" u="1"/>
        <s v="F4061702042010" u="1"/>
        <s v="F4031103040020" u="1"/>
        <s v="K1046008020010" u="1"/>
        <s v="C1120004000020" u="1"/>
        <s v="K1432001010020" u="1"/>
        <s v="K1370001009010" u="1"/>
        <s v="C1140000070022" u="1"/>
        <s v="C1414002012510" u="1"/>
        <s v="K1180001003010" u="1"/>
        <s v="F4013002007010" u="1"/>
        <s v="C1100005005020" u="1"/>
        <s v="A1120013027510" u="1"/>
        <s v="K1280001006010" u="1"/>
        <s v="K1380001006010" u="1"/>
        <s v="K1041002028010" u="1"/>
        <s v="P3022002102520" u="1"/>
        <s v="K1161001028010" u="1"/>
        <s v="C1411004020020" u="1"/>
        <s v="K1030004000010" u="1"/>
        <s v="K1046001010010" u="1"/>
        <s v="K1030014000010" u="1"/>
        <s v="C1011501020010" u="1"/>
        <s v="F2020010850010" u="1"/>
        <s v="F2020020850010" u="1"/>
        <s v="K1380001009010" u="1"/>
        <s v="K1155009001010" u="1"/>
        <s v="A1120006013010" u="1"/>
        <s v="F2020030850010" u="1"/>
        <s v="K1400003012510" u="1"/>
        <s v="K1170002003010" u="1"/>
        <s v="K1410005003010" u="1"/>
        <s v="M6061002002020" u="1"/>
        <s v="K1156008025010" u="1"/>
        <s v="K1190001005010" u="1"/>
        <s v="K1390001005010" u="1"/>
        <s v="M6025104000210" u="1"/>
        <s v="C1270003030010" u="1"/>
        <s v="K1330004006010" u="1"/>
        <s v="K1161002020010" u="1"/>
        <s v="K1046009020010" u="1"/>
        <s v="K1381001020010" u="1"/>
        <s v="C1120005000020" u="1"/>
        <s v="K1100004000110" u="1"/>
        <s v="K1460001000110" u="1"/>
        <s v="K1432002010020" u="1"/>
        <s v="K1390001009010" u="1"/>
        <s v="C1414003012510" u="1"/>
        <s v="K1180002003010" u="1"/>
        <s v="K1161002025010" u="1"/>
        <s v="P2022001102520" u="1"/>
        <s v="K1400006005010" u="1"/>
        <s v="M6070100001010" u="1"/>
        <s v="C1240004006020" u="1"/>
        <s v="K1280002006010" u="1"/>
        <s v="K1030005000010" u="1"/>
        <s v="K1046002010010" u="1"/>
        <s v="K1162001010020" u="1"/>
        <s v="K1030015000010" u="1"/>
        <s v="C1011502020010" u="1"/>
        <s v="K1380002009010" u="1"/>
        <s v="K1400004012510" u="1"/>
        <s v="K1170003003010" u="1"/>
        <s v="F2050010685010" u="1"/>
        <s v="F2050020685010" u="1"/>
        <s v="K1156009025010" u="1"/>
        <s v="K1190002005010" u="1"/>
        <s v="K1155010004510" u="1"/>
        <s v="K1330005006010" u="1"/>
        <s v="K1438001050010" u="1"/>
        <s v="C1390002007020" u="1"/>
        <s v="K1381002020010" u="1"/>
        <s v="C1400010020010" u="1"/>
        <s v="K1100005000110" u="1"/>
        <s v="K1460002000110" u="1"/>
        <s v="K1180003003010" u="1"/>
        <s v="K1506000045031" u="1"/>
        <s v="P2022002102520" u="1"/>
        <s v="M6122301000020" u="1"/>
        <s v="K1380003006010" u="1"/>
        <s v="K1161003028010" u="1"/>
        <s v="K1030006000010" u="1"/>
        <s v="K1046003010010" u="1"/>
        <s v="K1030016000010" u="1"/>
        <s v="K1380003009010" u="1"/>
        <s v="A1120008013010" u="1"/>
        <s v="F2010030020020" u="1"/>
        <s v="K1400005012510" u="1"/>
        <s v="K1170004003010" u="1"/>
        <s v="A1011000025010" u="1"/>
        <s v="F4061611042010" u="1"/>
        <s v="P3046100025020" u="1"/>
        <s v="F2010040022020" u="1"/>
        <s v="K1190003005010" u="1"/>
        <s v="K1330006006010" u="1"/>
        <s v="F2010020025020" u="1"/>
        <s v="K1438002050010" u="1"/>
        <s v="C1400001020010" u="1"/>
        <s v="C1400011020010" u="1"/>
        <s v="C1120007000020" u="1"/>
        <s v="K1100006000110" u="1"/>
        <s v="K1460003000110" u="1"/>
        <s v="M6030010001010" u="1"/>
        <s v="K1180004003010" u="1"/>
        <s v="P3011010030020" u="1"/>
        <s v="F4073002006010" u="1"/>
        <s v="M6130000003010" u="1"/>
        <s v="M6090101001010" u="1"/>
        <s v="K1161004028010" u="1"/>
        <s v="K1030007000010" u="1"/>
        <s v="K1030017000010" u="1"/>
        <s v="P3043100100120" u="1"/>
        <s v="K1270005001010" u="1"/>
        <s v="K1380004009010" u="1"/>
        <s v="K1400006012510" u="1"/>
        <s v="F4065001008012" u="1"/>
        <s v="M6064001001040" u="1"/>
        <s v="P3011010100510" u="1"/>
        <s v="K1270005005010" u="1"/>
        <s v="C1220001020010" u="1"/>
        <s v="C1300002020010" u="1"/>
        <s v="K1438003050010" u="1"/>
        <s v="C1400002020010" u="1"/>
        <s v="C1400012020010" u="1"/>
        <s v="C1120008000020" u="1"/>
        <s v="K1100007000110" u="1"/>
        <s v="K1460004000110" u="1"/>
        <s v="C1390002011520" u="1"/>
        <s v="A1110000013510" u="1"/>
        <s v="A1011006013520" u="1"/>
        <s v="C1400106020010" u="1"/>
        <s v="K1180005003010" u="1"/>
        <s v="C1130001020010" u="1"/>
        <s v="C1210002020010" u="1"/>
        <s v="C1230001020010" u="1"/>
        <s v="K1030008000010" u="1"/>
        <s v="K1030018000010" u="1"/>
        <s v="A1120010013510" u="1"/>
        <s v="P2046100025020" u="1"/>
        <s v="A1030100000310" u="1"/>
        <s v="A1100001015510" u="1"/>
        <s v="C1330001025010" u="1"/>
        <s v="P3011001100510" u="1"/>
        <s v="P3031000100510" u="1"/>
        <s v="A1061000020010" u="1"/>
        <s v="F2050010025020" u="1"/>
        <s v="C1220002020010" u="1"/>
        <s v="F2050020025020" u="1"/>
        <s v="K1155009050030" u="1"/>
        <s v="C1300003020010" u="1"/>
        <s v="C1400003020010" u="1"/>
        <s v="K1111001010010" u="1"/>
        <s v="C1400013020010" u="1"/>
        <s v="C1120009000020" u="1"/>
        <s v="K1100008000110" u="1"/>
        <s v="P2011010030020" u="1"/>
        <s v="C1340001003011" u="1"/>
        <s v="M6031018000020" u="1"/>
        <s v="M6030012001010" u="1"/>
        <s v="K1180006003010" u="1"/>
        <s v="C1040001025010" u="1"/>
        <s v="M6130002003010" u="1"/>
        <s v="C1150001020010" u="1"/>
        <s v="C1230002020010" u="1"/>
        <s v="P2043100100120" u="1"/>
        <s v="C1350001020010" u="1"/>
        <s v="K1030009000010" u="1"/>
        <s v="F4061510042010" u="1"/>
        <s v="K1030019000010" u="1"/>
        <s v="K1502000007020" u="1"/>
        <s v="A1120011013510" u="1"/>
        <s v="P2011010100510" u="1"/>
        <s v="A1100002015510" u="1"/>
        <s v="C1330002025010" u="1"/>
        <s v="P3011002100510" u="1"/>
        <s v="K1021001015010" u="1"/>
        <s v="M6025109000210" u="1"/>
        <s v="A1061001020010" u="1"/>
        <s v="C1300004020010" u="1"/>
        <s v="C1400004020010" u="1"/>
        <s v="A1122001018020" u="1"/>
        <s v="K1111002010010" u="1"/>
        <s v="A1020001019510" u="1"/>
        <s v="A1111001032510" u="1"/>
        <s v="K1431001010010" u="1"/>
        <s v="K1131001011010" u="1"/>
        <s v="P2011011030020" u="1"/>
        <s v="K1300001001510" u="1"/>
        <s v="M6122201000020" u="1"/>
        <s v="C1340002003011" u="1"/>
        <s v="M6030003001010" u="1"/>
        <s v="M6030013001010" u="1"/>
        <s v="K1180007003010" u="1"/>
        <s v="C1040002025010" u="1"/>
        <s v="K1420010002510" u="1"/>
        <s v="C1160001025010" u="1"/>
        <s v="F4073005008010" u="1"/>
        <s v="F4061111040011" u="1"/>
        <s v="C1070001020010" u="1"/>
        <s v="C1130003020010" u="1"/>
        <s v="C1150002020010" u="1"/>
        <s v="C1170001020010" u="1"/>
        <s v="C1230003020010" u="1"/>
        <s v="C1270001020010" u="1"/>
        <s v="C1350002020010" u="1"/>
        <s v="K1300001007510" u="1"/>
        <s v="K1361000010010" u="1"/>
        <s v="K1290001000310" u="1"/>
        <s v="K1141001011010" u="1"/>
        <s v="A1020002013510" u="1"/>
        <s v="M6010202001510" u="1"/>
        <s v="P2011001100510" u="1"/>
        <s v="P2031000100510" u="1"/>
        <s v="A1120012013510" u="1"/>
        <s v="P2011011100510" u="1"/>
        <s v="C1330003025010" u="1"/>
        <s v="A1011000006211" u="1"/>
        <s v="P3051001100510" u="1"/>
        <s v="K1241001015010" u="1"/>
        <s v="M6010306001510" u="1"/>
        <s v="A1061002020010" u="1"/>
        <s v="C1220004020010" u="1"/>
        <s v="C1400005020010" u="1"/>
        <s v="K1051001010010" u="1"/>
        <s v="K1111003010010" u="1"/>
        <s v="M6100001050030" u="1"/>
        <s v="A1020002019510" u="1"/>
        <s v="K1351001010010" u="1"/>
        <s v="M6100011050030" u="1"/>
        <s v="K1431002010010" u="1"/>
        <s v="K1131002011010" u="1"/>
        <s v="K1300002001510" u="1"/>
        <s v="M6140201001510" u="1"/>
        <s v="M6010401065020" u="1"/>
        <s v="M6030014001010" u="1"/>
        <s v="C1040003025010" u="1"/>
        <s v="K1420011002510" u="1"/>
        <s v="C1160002025010" u="1"/>
        <s v="M6121300000010" u="1"/>
        <s v="K1251001015010" u="1"/>
        <s v="C1070002020010" u="1"/>
        <s v="C1130004020010" u="1"/>
        <s v="C1150003020010" u="1"/>
        <s v="C1230004020010" u="1"/>
        <s v="C1270002020010" u="1"/>
        <s v="C1350003020010" u="1"/>
        <s v="K1290002000310" u="1"/>
        <s v="K1141002011010" u="1"/>
        <s v="P2011002100510" u="1"/>
        <s v="A1120013013510" u="1"/>
        <s v="K1450010002510" u="1"/>
        <s v="A1100004015510" u="1"/>
        <s v="C1330004025010" u="1"/>
        <s v="P3051002100510" u="1"/>
        <s v="K1155006004510" u="1"/>
        <s v="K1241002015010" u="1"/>
        <s v="K1051002010010" u="1"/>
        <s v="K1111004010010" u="1"/>
        <s v="A1020003019510" u="1"/>
        <s v="K1351002010010" u="1"/>
        <s v="K1431003010010" u="1"/>
        <s v="K1131003011010" u="1"/>
        <s v="K1300003001510" u="1"/>
        <s v="M6030005001010" u="1"/>
        <s v="M6030015001010" u="1"/>
        <s v="P3011005030020" u="1"/>
        <s v="K1420002002510" u="1"/>
        <s v="C1040004025010" u="1"/>
        <s v="K1420012002510" u="1"/>
        <s v="K1502000090021" u="1"/>
        <s v="F4073101007010N" u="1"/>
        <s v="K1251002015010" u="1"/>
        <s v="C1270003020010" u="1"/>
        <s v="C1350004020010" u="1"/>
        <s v="K1300003007510" u="1"/>
        <s v="K1141003011010" u="1"/>
        <s v="A1092001045010" u="1"/>
        <s v="P2051001100510" u="1"/>
        <s v="K1450001002510" u="1"/>
        <s v="K1450011002510" u="1"/>
        <s v="A1100005015510" u="1"/>
        <s v="C1330005025010" u="1"/>
        <s v="P3011005100510" u="1"/>
        <s v="P3051003100510" u="1"/>
        <s v="K1241003015010" u="1"/>
        <s v="C1417002025020" u="1"/>
        <s v="F4071103040011" u="1"/>
        <s v="K1256001005010" u="1"/>
        <s v="M6040005005010" u="1"/>
        <s v="C1400007020010" u="1"/>
        <s v="K1051003010010" u="1"/>
        <s v="F4061111072510" u="1"/>
        <s v="K1111005010010" u="1"/>
        <s v="A1020004019510" u="1"/>
        <s v="K1131004011010" u="1"/>
        <s v="K1300004001510" u="1"/>
        <s v="M6010403065020" u="1"/>
        <s v="C1240002006020N" u="1"/>
        <s v="M6030016001010" u="1"/>
        <s v="P3011006030020" u="1"/>
        <s v="K1420003002510" u="1"/>
        <s v="C1040005025010" u="1"/>
        <s v="K1420013002510" u="1"/>
        <s v="K1251003015010" u="1"/>
        <s v="F4061104040011" u="1"/>
        <s v="C1270004020010" u="1"/>
        <s v="C1350005020010" u="1"/>
        <s v="C1240002007520" u="1"/>
        <s v="C1400010010010" u="1"/>
        <s v="A1092002045010" u="1"/>
        <s v="P2051002100510" u="1"/>
        <s v="K1450012002510" u="1"/>
        <s v="P3011006100510" u="1"/>
        <s v="K1241004015010" u="1"/>
        <s v="F4071104040011" u="1"/>
        <s v="M6122101000020" u="1"/>
        <s v="K1256002005010" u="1"/>
        <s v="M6040006005010" u="1"/>
        <s v="K1470001006510" u="1"/>
        <s v="C1400008020010" u="1"/>
        <s v="K1051004010010" u="1"/>
        <s v="K1111006010010" u="1"/>
        <s v="M6100004050030" u="1"/>
        <s v="F4064001013010" u="1"/>
        <s v="P2011005030020" u="1"/>
        <s v="K1436001010510" u="1"/>
        <s v="A1011000013010" u="1"/>
        <s v="M6030007001010" u="1"/>
        <s v="M6030017001010" u="1"/>
        <s v="P3011007030020" u="1"/>
        <s v="K1420004002510" u="1"/>
        <s v="K1420014002510" u="1"/>
        <s v="C1284001004510" u="1"/>
        <s v="F2020010025011" u="1"/>
        <s v="K1251004015010" u="1"/>
        <s v="M6010102001510" u="1"/>
        <s v="C1150006020010" u="1"/>
        <s v="K1270002001510" u="1"/>
        <s v="M6010206001510" u="1"/>
        <s v="A1120006013510" u="1"/>
        <s v="A1092003045010" u="1"/>
        <s v="P2011005100510" u="1"/>
        <s v="P2051003100510" u="1"/>
        <s v="K1450003002510" u="1"/>
        <s v="P3011007100510" u="1"/>
        <s v="K1155009004510" u="1"/>
        <s v="K1241005015010" u="1"/>
        <s v="F4071105040011" u="1"/>
        <s v="C1413005050020" u="1"/>
        <s v="K1470002006510" u="1"/>
        <s v="F4061103072510" u="1"/>
        <s v="C1210001010010" u="1"/>
        <s v="C1400009020010" u="1"/>
        <s v="K1051005010010" u="1"/>
        <s v="C1300001018010" u="1"/>
        <s v="K1111007010010" u="1"/>
        <s v="F4064002013010" u="1"/>
        <s v="M6100015050030" u="1"/>
        <s v="P2011006030020" u="1"/>
        <s v="K1436002010510" u="1"/>
        <s v="P3031000050010" u="1"/>
        <s v="M6140100070020" u="1"/>
        <s v="M6140300060020" u="1"/>
        <s v="M6030008001010" u="1"/>
        <s v="C1240004006020N" u="1"/>
        <s v="P3011008030020" u="1"/>
        <s v="K1420005002510" u="1"/>
        <s v="K1420015002510" u="1"/>
        <s v="K1501000003010" u="1"/>
        <s v="C1284002004510" u="1"/>
        <s v="K1251005015010" u="1"/>
        <s v="C1220001010010" u="1"/>
        <s v="C1240004007520" u="1"/>
        <s v="C1300002010010" u="1"/>
        <s v="F4065001002020" u="1"/>
        <s v="K1501000007010" u="1"/>
        <s v="C1400012010010" u="1"/>
        <s v="F4069001003010" u="1"/>
        <s v="K1270003001510" u="1"/>
        <s v="A1092004045010" u="1"/>
        <s v="P2011006100510" u="1"/>
        <s v="K1450004002510" u="1"/>
        <s v="K1155010001040" u="1"/>
        <s v="C1390002007020N" u="1"/>
        <s v="P3011008100510" u="1"/>
        <s v="K1241006015010" u="1"/>
        <s v="C1270003005520" u="1"/>
        <s v="C1417005025020" u="1"/>
        <s v="F4071106040011" u="1"/>
        <s v="M6140102001510" u="1"/>
        <s v="K1470003006510" u="1"/>
        <s v="C1130001010010" u="1"/>
        <s v="M6131200006010" u="1"/>
        <s v="F4061104072510" u="1"/>
        <s v="C1210002010010" u="1"/>
        <s v="C1230001010010" u="1"/>
        <s v="K1051006010010" u="1"/>
        <s v="C1300002018010" u="1"/>
        <s v="K1480001040030" u="1"/>
        <s v="C1390002007520" u="1"/>
        <s v="K1111008010010" u="1"/>
        <s v="M6100006050030" u="1"/>
        <s v="F4064003013010" u="1"/>
        <s v="P2011007030020" u="1"/>
        <s v="K1436003010510" u="1"/>
        <s v="K1046005001010" u="1"/>
        <s v="M6030009001010" u="1"/>
        <s v="C1011601005010" u="1"/>
        <s v="C1270003060022" u="1"/>
        <s v="P3011009030020" u="1"/>
        <s v="K1420006002510" u="1"/>
        <s v="M6023209001230" u="1"/>
        <s v="K1420016002510" u="1"/>
        <s v="F4061403042010" u="1"/>
        <s v="C1284003004510" u="1"/>
        <s v="K1251006015010" u="1"/>
        <s v="M6010104001510" u="1"/>
        <s v="A1120010007510" u="1"/>
        <s v="C1100003010010" u="1"/>
        <s v="C1220002010010" u="1"/>
        <s v="C1260000010010" u="1"/>
        <s v="C1360010010010" u="1"/>
        <s v="K1270004001510" u="1"/>
        <s v="A1120008013510" u="1"/>
        <s v="A1092005045010" u="1"/>
        <s v="P2011007100510" u="1"/>
        <s v="K1450005002510" u="1"/>
        <s v="C1221001035010" u="1"/>
        <s v="P3011009100510" u="1"/>
        <s v="K1241007015010" u="1"/>
        <s v="K1111001005010" u="1"/>
        <s v="A1122001018011" u="1"/>
        <s v="C1130002010010" u="1"/>
        <s v="C1150001010010" u="1"/>
        <s v="C1210003010010" u="1"/>
        <s v="C1230002010010" u="1"/>
        <s v="P2031000050010" u="1"/>
        <s v="K1051007010010" u="1"/>
        <s v="K1480002040030" u="1"/>
        <s v="K1111009010010" u="1"/>
        <s v="M6100007050030" u="1"/>
        <s v="K1102006000120" u="1"/>
        <s v="P2011008030020" u="1"/>
        <s v="K1436004010510" u="1"/>
        <s v="M6040009008010" u="1"/>
        <s v="K1220001001810" u="1"/>
        <s v="K1046006001010" u="1"/>
        <s v="K1420007002510" u="1"/>
        <s v="K1420017002510" u="1"/>
        <s v="C1284004004510" u="1"/>
        <s v="K1251007015010" u="1"/>
        <s v="C1300004010010" u="1"/>
        <s v="C1360001010010" u="1"/>
        <s v="F2040010350010" u="1"/>
        <s v="C1360011010010" u="1"/>
        <s v="F2040020350010" u="1"/>
        <s v="M6020007000210" u="1"/>
        <s v="A1092006045010" u="1"/>
        <s v="P2011008100510" u="1"/>
        <s v="K1450006002510" u="1"/>
        <s v="C1221002035010" u="1"/>
        <s v="F4067011048020" u="1"/>
        <s v="C1416001025010" u="1"/>
        <s v="K1111002005010" u="1"/>
        <s v="C1070001010010" u="1"/>
        <s v="C1130003010010" u="1"/>
        <s v="C1170001010010" u="1"/>
        <s v="M6131202006010" u="1"/>
        <s v="C1230003010010" u="1"/>
        <s v="K1051008010010" u="1"/>
        <s v="K1480003040030" u="1"/>
        <s v="C1390004007520" u="1"/>
        <s v="M6100008050030" u="1"/>
        <s v="F4061301042010" u="1"/>
        <s v="K1101011000110" u="1"/>
        <s v="K1102007000120" u="1"/>
        <s v="P2011009030020" u="1"/>
        <s v="K1046007001010" u="1"/>
        <s v="K1420008002510" u="1"/>
        <s v="M6152000002020" u="1"/>
        <s v="K1251008015010" u="1"/>
        <s v="M6010106001510" u="1"/>
        <s v="M6152000004020" u="1"/>
        <s v="C1261000006020" u="1"/>
        <s v="C1080001010010" u="1"/>
        <s v="C1180001010010" u="1"/>
        <s v="C1220004010010" u="1"/>
        <s v="C1360002010010" u="1"/>
        <s v="K1210001100420" u="1"/>
        <s v="P2011009100510" u="1"/>
        <s v="K1450007002510" u="1"/>
        <s v="C1221003035010" u="1"/>
        <s v="K1111003005010" u="1"/>
        <s v="K1151001005010" u="1"/>
        <s v="M6121100000010" u="1"/>
        <s v="C1417008025020" u="1"/>
        <s v="C1071001010011" u="1"/>
        <s v="C1090001010010" u="1"/>
        <s v="C1130004010010" u="1"/>
        <s v="C1150003010010" u="1"/>
        <s v="C1190001010010" u="1"/>
        <s v="C1230004010010" u="1"/>
        <s v="C1290001010010" u="1"/>
        <s v="C1300005018010" u="1"/>
        <s v="C1390005007520" u="1"/>
        <s v="K1101012000110" u="1"/>
        <s v="K1102008000120" u="1"/>
        <s v="K1220001100420" u="1"/>
        <s v="K1420009002510" u="1"/>
        <s v="C1080002010010" u="1"/>
        <s v="C1100006010010" u="1"/>
        <s v="K1152001020010" u="1"/>
        <s v="C1360003010010" u="1"/>
        <s v="K1121001012510" u="1"/>
        <s v="C1011101020010" u="1"/>
        <s v="M6100014000510" u="1"/>
        <s v="K1450008002510" u="1"/>
        <s v="K1111004005010" u="1"/>
        <s v="M6140001070020" u="1"/>
        <s v="C1090002010010" u="1"/>
        <s v="C1150004010010" u="1"/>
        <s v="C1190002010010" u="1"/>
        <s v="C1270003010010" u="1"/>
        <s v="C1290002010010" u="1"/>
        <s v="C1350004010010" u="1"/>
        <s v="C1390002010010" u="1"/>
        <s v="P3041100014020" u="1"/>
        <s v="K1381001006010" u="1"/>
        <s v="C1080003010010" u="1"/>
        <s v="K1152002020010" u="1"/>
        <s v="F4067011022530" u="1"/>
        <s v="C1370001022510" u="1"/>
        <s v="K1121002012510" u="1"/>
        <s v="K1381001009010" u="1"/>
        <s v="K1450009002510" u="1"/>
        <s v="K1111005005010" u="1"/>
        <s v="C1271003010011" u="1"/>
        <s v="C1150005010010" u="1"/>
        <s v="C1000000000010" u="1"/>
        <s v="C1270004010010" u="1"/>
        <s v="C1290003010010" u="1"/>
        <s v="C1350005010010" u="1"/>
        <s v="C1390003010010" u="1"/>
        <s v="K1161001000110" u="1"/>
        <s v="F4012001048020" u="1"/>
        <s v="K1506000045030" u="1"/>
        <s v="K1381002006010" u="1"/>
        <s v="C1080004010010" u="1"/>
        <s v="A1110000000810" u="1"/>
        <s v="C1360005010010" u="1"/>
        <s v="F4051001036011" u="1"/>
        <s v="C1370002022510" u="1"/>
        <s v="K1437002018010" u="1"/>
        <s v="K1121003012510" u="1"/>
        <s v="K1381002009010" u="1"/>
        <s v="F4067005048020" u="1"/>
        <s v="K1111006005010" u="1"/>
        <s v="A1011005027510" u="1"/>
        <s v="M6101010002150" u="1"/>
        <s v="K1155010050020" u="1"/>
        <s v="C1150006010010" u="1"/>
        <s v="A1011000008010" u="1"/>
        <s v="C1390004010010" u="1"/>
        <s v="A1120006001510" u="1"/>
        <s v="K1100001000140" u="1"/>
        <s v="K1480001100420" u="1"/>
        <s v="P2041100014020" u="1"/>
        <s v="C1200101000210" u="1"/>
        <s v="F4012002048020" u="1"/>
        <s v="C1100001005010" u="1"/>
        <s v="A1120006007510" u="1"/>
        <s v="C1080005010010" u="1"/>
        <s v="C1360006010010" u="1"/>
        <s v="C1310001000010" u="1"/>
        <s v="C1300001009010" u="1"/>
        <s v="C1370003022510" u="1"/>
        <s v="K1437003018010" u="1"/>
        <s v="K1121004012510" u="1"/>
        <s v="F4067006048020" u="1"/>
        <s v="F4065001008011" u="1"/>
        <s v="C1210001005010" u="1"/>
        <s v="K1111007005010" u="1"/>
        <s v="C1415003050030" u="1"/>
        <s v="K1100002000140" u="1"/>
        <s v="K1480002100420" u="1"/>
        <s v="C1200102000210" u="1"/>
        <s v="C1020001005010" u="1"/>
        <s v="C1100002005010" u="1"/>
        <s v="M6131000003010" u="1"/>
        <s v="C1220001005010" u="1"/>
        <s v="F2020010170010" u="1"/>
        <s v="K1048002005020" u="1"/>
        <s v="F2020020170010" u="1"/>
        <s v="C1080006010010" u="1"/>
        <s v="C1310002000010" u="1"/>
        <s v="P3024101100120" u="1"/>
        <s v="C1300002009010" u="1"/>
        <s v="K1121005012510" u="1"/>
        <s v="M6100018000510" u="1"/>
        <s v="K1155008001040" u="1"/>
        <s v="C1011401005010" u="1"/>
        <s v="C1030001005010" u="1"/>
        <s v="C1130001005010" u="1"/>
        <s v="F4065002008011" u="1"/>
        <s v="C1210002005010" u="1"/>
        <s v="K1111008005010" u="1"/>
        <s v="K1502000015010" u="1"/>
        <s v="K1155002050020" u="1"/>
        <s v="F4031101040010" u="1"/>
        <s v="C1221001020010" u="1"/>
        <s v="A1120008001510" u="1"/>
        <s v="K1480003100420" u="1"/>
        <s v="A1011000013510" u="1"/>
        <s v="F2060010200010" u="1"/>
        <s v="F2060020200010" u="1"/>
        <s v="M6030017001510" u="1"/>
        <s v="F2060030200010" u="1"/>
        <s v="C1200103000210" u="1"/>
        <s v="F4072001048020" u="1"/>
        <s v="C1020002005010" u="1"/>
        <s v="C1100003005010" u="1"/>
        <s v="C1220002005010" u="1"/>
        <s v="C1240001006010" u="1"/>
        <s v="C1260000006010" u="1"/>
        <s v="K1048003005020" u="1"/>
        <s v="A1120008007510" u="1"/>
        <s v="M6151000005010" u="1"/>
        <s v="C1080007010010" u="1"/>
        <s v="C1231001020010" u="1"/>
        <s v="C1360008010010" u="1"/>
        <s v="F4067005022530" u="1"/>
        <s v="A1041001009010" u="1"/>
        <s v="F2070010200010" u="1"/>
        <s v="F2070020200010" u="1"/>
        <s v="K1155009001040" u="1"/>
        <s v="F2040010175010" u="1"/>
        <s v="F2040020175010" u="1"/>
        <s v="C1050001005010" u="1"/>
        <s v="F4061204042010" u="1"/>
        <s v="C1210003005010" u="1"/>
        <s v="K1111009005010" u="1"/>
        <s v="M6101003002150" u="1"/>
        <s v="C1041001020010" u="1"/>
        <s v="C1221002020010" u="1"/>
        <s v="C1060001000010" u="1"/>
        <s v="K1112001010010" u="1"/>
        <s v="A1111001012510" u="1"/>
        <s v="K1100004000140" u="1"/>
        <s v="C1161000025010" u="1"/>
        <s v="F4072002048020" u="1"/>
        <s v="C1020003005010" u="1"/>
        <s v="C1100004005010" u="1"/>
        <s v="M6131002003010" u="1"/>
        <s v="C1160001006010" u="1"/>
        <s v="C1240002006010" u="1"/>
        <s v="K1048004005020" u="1"/>
        <s v="P2024101100120" u="1"/>
        <s v="C1360009010010" u="1"/>
        <s v="K1122001010010" u="1"/>
        <s v="F4067006022530" u="1"/>
        <s v="A1041002009010" u="1"/>
        <s v="P3023001050020" u="1"/>
        <s v="F4067009048020" u="1"/>
        <s v="C1050002005010" u="1"/>
        <s v="C1130003005010" u="1"/>
        <s v="A1011000006210" u="1"/>
        <s v="C1041002020010" u="1"/>
        <s v="K1155004050020" u="1"/>
        <s v="F4071101040010" u="1"/>
        <s v="C1221003020010" u="1"/>
        <s v="K1112002010010" u="1"/>
        <s v="K1506000120010" u="1"/>
        <s v="K1301001001510" u="1"/>
        <s v="K1460002000140" u="1"/>
        <s v="F4072003048020" u="1"/>
        <s v="C1380001004010" u="1"/>
        <s v="C1020004005010" u="1"/>
        <s v="C1180001005010" u="1"/>
        <s v="C1220004005010" u="1"/>
        <s v="C1280001005010" u="1"/>
        <s v="C1160002006010" u="1"/>
        <s v="K1048005005020" u="1"/>
        <s v="P3042001102510" u="1"/>
        <s v="K1042001010010" u="1"/>
        <s v="K1122002010010" u="1"/>
        <s v="F4067007022530" u="1"/>
        <s v="K1242001010010" u="1"/>
        <s v="A1041003009010" u="1"/>
        <s v="C1300005009010" u="1"/>
        <s v="F2080010175010" u="1"/>
        <s v="F2080020175010" u="1"/>
        <s v="C1090001005010" u="1"/>
        <s v="C1130004005010" u="1"/>
        <s v="C1041003020010" u="1"/>
        <s v="K1155005050020" u="1"/>
        <s v="F4071102040010" u="1"/>
        <s v="C1280002001010" u="1"/>
        <s v="K1301002001510" u="1"/>
        <s v="A1011003013510" u="1"/>
        <s v="K1460003000140" u="1"/>
        <s v="K1506000100420" u="1"/>
        <s v="C1380002004010" u="1"/>
        <s v="C1080002005010" u="1"/>
        <s v="C1100006005010" u="1"/>
        <s v="K1502000090020" u="1"/>
        <s v="C1280002005010" u="1"/>
        <s v="P3024001100120" u="1"/>
        <s v="C1240004006010" u="1"/>
        <s v="K1048006005020" u="1"/>
        <s v="P3042002102510" u="1"/>
        <s v="K1162001010010" u="1"/>
        <s v="F4067008022530" u="1"/>
        <s v="K1242002010010" u="1"/>
        <s v="P2023001050020" u="1"/>
        <s v="A1041004009010" u="1"/>
        <s v="C1160001012510" u="1"/>
        <s v="A1011100001510" u="1"/>
        <s v="C1090002005010" u="1"/>
        <s v="C1270003005010" u="1"/>
        <s v="A1011100002510" u="1"/>
        <s v="K1434001050010" u="1"/>
        <s v="C1390002007010" u="1"/>
        <s v="A1120006000810" u="1"/>
        <s v="C1120006000010" u="1"/>
        <s v="C1280003001010" u="1"/>
        <s v="K1100007000140" u="1"/>
        <s v="C1380003004010" u="1"/>
        <s v="C1020006005010" u="1"/>
        <s v="P2042001102510" u="1"/>
        <s v="P3024002100120" u="1"/>
        <s v="K1048007005020" u="1"/>
        <s v="P3042003102510" u="1"/>
        <s v="K1047001006010" u="1"/>
        <s v="K1241001007510" u="1"/>
        <s v="F4067009022530" u="1"/>
        <s v="K1242003010010" u="1"/>
        <s v="K1047009010010" u="1"/>
        <s v="A1041005009010" u="1"/>
        <s v="C1160002012510" u="1"/>
        <s v="C1270004005010" u="1"/>
        <s v="M6021501000240" u="1"/>
        <s v="K1434002050010" u="1"/>
        <s v="K1157001006010" u="1"/>
        <s v="C1280004001010" u="1"/>
        <s v="K1100008000140" u="1"/>
        <s v="A1011005013510" u="1"/>
        <s v="P2024001100120" u="1"/>
        <s v="C1380004004010" u="1"/>
        <s v="C1020007005010" u="1"/>
        <s v="C1080004005010" u="1"/>
        <s v="P2042002102510" u="1"/>
        <s v="C1280004005010" u="1"/>
        <s v="P3024003100120" u="1"/>
        <s v="K1506000002040" u="1"/>
        <s v="F2020010025010" u="1"/>
        <s v="F2020020025010" u="1"/>
        <s v="K1047002006010" u="1"/>
        <s v="K1241002007510" u="1"/>
        <s v="K1242004010010" u="1"/>
        <s v="K1047010012510" u="1"/>
        <s v="M6124500000020" u="1"/>
        <s v="K1434003050010" u="1"/>
        <s v="F4071105040010" u="1"/>
        <s v="K1157002006010" u="1"/>
        <s v="A1120008000810" u="1"/>
        <s v="M6142603001510" u="1"/>
        <s v="F4031003048010" u="1"/>
        <s v="P2024002100120" u="1"/>
        <s v="C1380005004010" u="1"/>
        <s v="P2042003102510" u="1"/>
        <s v="K1044002025020" u="1"/>
        <s v="K1047003006010" u="1"/>
        <s v="K1241003007510" u="1"/>
        <s v="K1242005010010" u="1"/>
        <s v="K1047001012510" u="1"/>
        <s v="K1047011012510" u="1"/>
        <s v="K1155009050020" u="1"/>
        <s v="K1157003006010" u="1"/>
        <s v="C1211001010010" u="1"/>
        <s v="C1411001010010" u="1"/>
        <s v="F2020040160010" u="1"/>
        <s v="M6141300060020" u="1"/>
        <s v="K1157001012510" u="1"/>
        <s v="P2024003100120" u="1"/>
        <s v="C1380006004010" u="1"/>
        <s v="C1080006005010" u="1"/>
        <s v="M6062000012050" u="1"/>
        <s v="C1280006005010" u="1"/>
        <s v="K1047004006010" u="1"/>
        <s v="C1221001010010" u="1"/>
        <s v="K1241004007510" u="1"/>
        <s v="K1047002012510" u="1"/>
        <s v="K1047012012510" u="1"/>
        <s v="K1157004006010" u="1"/>
        <s v="A1122001018010" u="1"/>
        <s v="C1131001010010" u="1"/>
        <s v="C1231001010010" u="1"/>
        <s v="C1280007001010" u="1"/>
        <s v="A1012000013110" u="1"/>
        <s v="K1157002012510" u="1"/>
        <s v="C1380007004010" u="1"/>
        <s v="C1080007005010" u="1"/>
        <s v="M6062001012050" u="1"/>
        <s v="C1280007005010" u="1"/>
        <s v="C1221002010010" u="1"/>
        <s v="K1241005007510" u="1"/>
        <s v="F4061110038010" u="1"/>
        <s v="M6021401000240" u="1"/>
        <s v="K1047003012510" u="1"/>
        <s v="K1047013012510" u="1"/>
        <s v="A1011100001541" u="1"/>
        <s v="C1261000015010" u="1"/>
        <s v="K1153005005020" u="1"/>
        <s v="M6100010025030" u="1"/>
        <s v="K1157005006010" u="1"/>
        <s v="C1131002010010" u="1"/>
        <s v="C1211003010010" u="1"/>
        <s v="C1231002010010" u="1"/>
        <s v="K1157003012510" u="1"/>
        <s v="M6062000012010" u="1"/>
        <s v="C1020001104020" u="1"/>
        <s v="C1320001004510" u="1"/>
        <s v="C1380008004010" u="1"/>
        <s v="F4041002000930" u="1"/>
        <s v="F4061101038010" u="1"/>
        <s v="C1221003010010" u="1"/>
        <s v="A1120009095010" u="1"/>
        <s v="K1241006007510" u="1"/>
        <s v="F4061111038010" u="1"/>
        <s v="M6040008000910" u="1"/>
        <s v="K1047004012510" u="1"/>
        <s v="K1047014012510" u="1"/>
        <s v="F4066003006020" u="1"/>
        <s v="M6100001025030" u="1"/>
        <s v="M6100011025030" u="1"/>
        <s v="C1071001010010" u="1"/>
        <s v="K1157006006010" u="1"/>
        <s v="C1131003010010" u="1"/>
        <s v="C1171001010010" u="1"/>
        <s v="C1231003010010" u="1"/>
        <s v="C1271001010010" u="1"/>
        <s v="C1411004010010" u="1"/>
        <s v="K1157004012510" u="1"/>
        <s v="M6062001012010" u="1"/>
        <s v="C1140000070020" u="1"/>
        <s v="C1320002004510" u="1"/>
        <s v="C1420001070020" u="1"/>
        <s v="K1242001005010" u="1"/>
        <s v="F4041003000930" u="1"/>
        <s v="C1240001007510" u="1"/>
        <s v="F4061102038010" u="1"/>
        <s v="C1221004010010" u="1"/>
        <s v="K1241007007510" u="1"/>
        <s v="C1360004010710" u="1"/>
        <s v="K1047015012510" u="1"/>
        <s v="F4066004006020" u="1"/>
        <s v="C1417002025010" u="1"/>
        <s v="C1413003050010" u="1"/>
        <s v="K1157007006010" u="1"/>
        <s v="C1131004010010" u="1"/>
        <s v="C1231004010010" u="1"/>
        <s v="K1502000045022" u="1"/>
        <s v="K1157005012510" u="1"/>
        <s v="C1140001070020" u="1"/>
        <s v="C1320003004510" u="1"/>
        <s v="K1242002005010" u="1"/>
        <s v="C1240002007510" u="1"/>
        <s v="P3048000102510" u="1"/>
        <s v="F4061103038010" u="1"/>
        <s v="C1240002008510" u="1"/>
        <s v="C1250001070020" u="1"/>
        <s v="M6100003025030" u="1"/>
        <s v="M6160201040020" u="1"/>
        <s v="A1121000000710" u="1"/>
        <s v="K1081001001810" u="1"/>
        <s v="C1170001060012" u="1"/>
        <s v="K1082001002010" u="1"/>
        <s v="K1157006012510" u="1"/>
        <s v="C1320004004510" u="1"/>
        <s v="K1242003005010" u="1"/>
        <s v="C1240003007510" u="1"/>
        <s v="F4061104038010" u="1"/>
        <s v="M6110101070010" u="1"/>
        <s v="C1250002070020" u="1"/>
        <s v="C1417004025010" u="1"/>
        <s v="A1011100002741" u="1"/>
        <s v="M6100004025030" u="1"/>
        <s v="M6100014025030" u="1"/>
        <s v="C1390001007510" u="1"/>
        <s v="K1081002001810" u="1"/>
        <s v="K1082002002010" u="1"/>
        <s v="K1157007012510" u="1"/>
        <s v="M6062004012010" u="1"/>
        <s v="C1320005004510" u="1"/>
        <s v="P2048000102510" u="1"/>
        <s v="K1242004005010" u="1"/>
        <s v="C1240004007510" u="1"/>
        <s v="K1252001017510" u="1"/>
        <s v="C1111000000010" u="1"/>
        <s v="C1360007010710" u="1"/>
        <s v="C1240004008510" u="1"/>
        <s v="C1011301007510" u="1"/>
        <s v="M6142403001510" u="1"/>
        <s v="P3045100101020" u="1"/>
        <s v="P3043100102510" u="1"/>
        <s v="K1155010001030" u="1"/>
        <s v="C1390002007010N" u="1"/>
        <s v="C1250003070020" u="1"/>
        <s v="C1417005025010" u="1"/>
        <s v="P3044100050020" u="1"/>
        <s v="M6100005025030" u="1"/>
        <s v="A1011006007510" u="1"/>
        <s v="M6100015025030" u="1"/>
        <s v="C1390002007510" u="1"/>
        <s v="P3031000025010" u="1"/>
        <s v="C1200001001810" u="1"/>
        <s v="K1081003001810" u="1"/>
        <s v="C1390002009510" u="1"/>
        <s v="K1082003002010" u="1"/>
        <s v="C1320006004510" u="1"/>
        <s v="C1101001005010" u="1"/>
        <s v="K1242005005010" u="1"/>
        <s v="K1252002017510" u="1"/>
        <s v="C1211001005010" u="1"/>
        <s v="C1417006025010" u="1"/>
        <s v="M6100006025030" u="1"/>
        <s v="F4012101040010" u="1"/>
        <s v="C1390003007510" u="1"/>
        <s v="F2030010150010" u="1"/>
        <s v="K1102006000110" u="1"/>
        <s v="C1390003009510" u="1"/>
        <s v="M6062000006050" u="1"/>
        <s v="K1082004002010" u="1"/>
        <s v="C1021001005010" u="1"/>
        <s v="C1221001005010" u="1"/>
        <s v="A1122001007010" u="1"/>
        <s v="C1412001020010" u="1"/>
        <s v="F4065003002010" u="1"/>
        <s v="P2045100101020" u="1"/>
        <s v="P2043100102510" u="1"/>
        <s v="P2044100050020" u="1"/>
        <s v="C1131001005010" u="1"/>
        <s v="C1231001005010" u="1"/>
        <s v="C1417007025010" u="1"/>
        <s v="C1400010040021" u="1"/>
        <s v="P2031000025010" u="1"/>
        <s v="M6100007025030" u="1"/>
        <s v="F4012102040010" u="1"/>
        <s v="C1390004007510" u="1"/>
        <s v="A1122001001811" u="1"/>
        <s v="K1102007000110" u="1"/>
        <s v="K1082001001210" u="1"/>
        <s v="M6062001006050" u="1"/>
        <s v="F2061010200010" u="1"/>
        <s v="C1020100000000" u="1"/>
        <s v="C1261000003010" u="1"/>
        <s v="C1280005004510" u="1"/>
        <s v="A1011000060020" u="1"/>
        <s v="C1221002005010" u="1"/>
        <s v="C1261000006010" u="1"/>
        <s v="C1412002020010" u="1"/>
        <s v="A1110001100110" u="1"/>
        <s v="A1042001009010" u="1"/>
        <s v="C1261000009010" u="1"/>
        <s v="F2050010320010" u="1"/>
        <s v="F2050020320010" u="1"/>
        <s v="C1051001005010" u="1"/>
        <s v="C1131002005010" u="1"/>
        <s v="C1211003005010" u="1"/>
        <s v="C1231002005010" u="1"/>
        <s v="C1417008025010" u="1"/>
        <s v="C1400011040021" u="1"/>
        <s v="M6100008025030" u="1"/>
        <s v="M6062000006010" u="1"/>
        <s v="A1122002001811" u="1"/>
        <s v="C1400011022022" u="1"/>
        <s v="K1102008000110" u="1"/>
        <s v="K1158005010010" u="1"/>
        <s v="C1042001025010" u="1"/>
        <s v="C1221003005010" u="1"/>
        <s v="M6100001015030" u="1"/>
        <s v="M6100011015030" u="1"/>
        <s v="C1412003020010" u="1"/>
        <s v="M6042002001010" u="1"/>
        <s v="C1131003005010" u="1"/>
        <s v="C1400002040021" u="1"/>
        <s v="C1400012040021" u="1"/>
        <s v="F4072101040010" u="1"/>
        <s v="M6062001006010" u="1"/>
        <s v="A1122003001811" u="1"/>
        <s v="C1120000000040" u="1"/>
        <s v="C1281001001010" u="1"/>
        <s v="K1302001001510" u="1"/>
        <s v="C1042002025010" u="1"/>
        <s v="K1433001015010" u="1"/>
        <s v="M6100002015030" u="1"/>
        <s v="C1272001020010" u="1"/>
        <s v="C1412004020010" u="1"/>
        <s v="K1043001010010" u="1"/>
        <s v="C1161000012510" u="1"/>
        <s v="M6041001000910" u="1"/>
        <s v="A1011000068512" u="1"/>
        <s v="M6042003001010" u="1"/>
        <s v="F2030010800010" u="1"/>
        <s v="C1131004005010" u="1"/>
        <s v="C1400013040021" u="1"/>
      </sharedItems>
    </cacheField>
    <cacheField name="LEN 15" numFmtId="0">
      <sharedItems containsSemiMixedTypes="0" containsString="0" containsNumber="1" containsInteger="1" minValue="0" maxValue="14"/>
    </cacheField>
    <cacheField name="Nama Win" numFmtId="0">
      <sharedItems/>
    </cacheField>
    <cacheField name="LEN 50" numFmtId="0">
      <sharedItems containsSemiMixedTypes="0" containsString="0" containsNumber="1" containsInteger="1" minValue="1" maxValue="67"/>
    </cacheField>
    <cacheField name="Nama Pcpl                   " numFmtId="0">
      <sharedItems containsNonDate="0" containsString="0" containsBlank="1"/>
    </cacheField>
    <cacheField name="kode  2 Digit                (hrf+No)" numFmtId="0">
      <sharedItems containsBlank="1"/>
    </cacheField>
    <cacheField name="Nama            KLP" numFmtId="0">
      <sharedItems containsBlank="1"/>
    </cacheField>
    <cacheField name="kode  2 Digit                (Nomor)" numFmtId="49">
      <sharedItems containsBlank="1"/>
    </cacheField>
    <cacheField name="Nama            Sub KLP" numFmtId="0">
      <sharedItems containsBlank="1"/>
    </cacheField>
    <cacheField name="kode  1 Digit                (Nomor)" numFmtId="0">
      <sharedItems containsString="0" containsBlank="1" containsNumber="1" containsInteger="1" minValue="0" maxValue="9"/>
    </cacheField>
    <cacheField name="Nama            Sub KLP2" numFmtId="0">
      <sharedItems containsBlank="1"/>
    </cacheField>
    <cacheField name="kode  1 Digit                (Nomor)5" numFmtId="49">
      <sharedItems containsBlank="1"/>
    </cacheField>
    <cacheField name="Nama            Aroma/             Rasa" numFmtId="0">
      <sharedItems containsBlank="1"/>
    </cacheField>
    <cacheField name="kode  2 Digit                (Nomor)2" numFmtId="49">
      <sharedItems containsBlank="1"/>
    </cacheField>
    <cacheField name="Nama            Gramasi atau Jumlah Pack per CTN" numFmtId="0">
      <sharedItems containsBlank="1"/>
    </cacheField>
    <cacheField name="kode  4 Digit                (Nomor)" numFmtId="49">
      <sharedItems containsBlank="1"/>
    </cacheField>
    <cacheField name="NamaJenisKemasan" numFmtId="0">
      <sharedItems containsBlank="1"/>
    </cacheField>
    <cacheField name="kode  1 Digit                (Nomor)3" numFmtId="0">
      <sharedItems containsString="0" containsBlank="1" containsNumber="1" containsInteger="1" minValue="1" maxValue="3"/>
    </cacheField>
    <cacheField name="Nama            Promo" numFmtId="0">
      <sharedItems containsBlank="1"/>
    </cacheField>
    <cacheField name="kode  1 Digit                (Nomor)4" numFmtId="0">
      <sharedItems containsString="0" containsBlank="1" containsNumber="1" containsInteger="1" minValue="0" maxValue="3"/>
    </cacheField>
    <cacheField name="Gunakan ini apabila item tersebut sachet" numFmtId="0">
      <sharedItems containsNonDate="0" containsString="0" containsBlank="1"/>
    </cacheField>
    <cacheField name="kode  1 Digit                (Nomor)32" numFmtId="0">
      <sharedItems containsNonDate="0" containsString="0" containsBlank="1"/>
    </cacheField>
    <cacheField name="KET TAMBAHAN2" numFmtId="0">
      <sharedItems containsNonDate="0" containsString="0" containsBlank="1"/>
    </cacheField>
    <cacheField name="KET. GOLONGAN" numFmtId="1">
      <sharedItems containsMixedTypes="1" containsNumber="1" containsInteger="1" minValue="0" maxValue="301330500350101"/>
    </cacheField>
    <cacheField name="kode  1 Digit_x000a_(Nomor)" numFmtId="0">
      <sharedItems containsNonDate="0" containsString="0" containsBlank="1"/>
    </cacheField>
    <cacheField name="Tanda Kode Revisi" numFmtId="0">
      <sharedItems containsNonDate="0" containsString="0" containsBlank="1"/>
    </cacheField>
    <cacheField name="Column6" numFmtId="0">
      <sharedItems containsSemiMixedTypes="0" containsString="0" containsNumber="1" containsInteger="1" minValue="0" maxValue="864"/>
    </cacheField>
    <cacheField name="Harga Beli Pcs_x000a_(-PPN)" numFmtId="43">
      <sharedItems containsSemiMixedTypes="0" containsString="0" containsNumber="1" minValue="0" maxValue="207317.55"/>
    </cacheField>
    <cacheField name="Harga Beli Krt_x000a_(- PPN)" numFmtId="43">
      <sharedItems containsSemiMixedTypes="0" containsString="0" containsNumber="1" minValue="0" maxValue="2971774.08"/>
    </cacheField>
    <cacheField name="Harga Beli Pcs_x000a_(+PPN)" numFmtId="43">
      <sharedItems containsSemiMixedTypes="0" containsString="0" containsNumber="1" minValue="0" maxValue="230122.48050000001"/>
    </cacheField>
    <cacheField name="Harga Beli Krt_x000a_(+PPN)" numFmtId="43">
      <sharedItems containsSemiMixedTypes="0" containsString="0" containsNumber="1" minValue="0" maxValue="3298669.2288000002"/>
    </cacheField>
    <cacheField name="Harga Jual Pcs GT_x000a_(-PPN)" numFmtId="43">
      <sharedItems containsString="0" containsBlank="1" containsNumber="1" minValue="340" maxValue="221730"/>
    </cacheField>
    <cacheField name="Harga Jual Krt GT_x000a_(- PPN)" numFmtId="43">
      <sharedItems containsSemiMixedTypes="0" containsString="0" containsNumber="1" minValue="0" maxValue="3178368"/>
    </cacheField>
    <cacheField name="Harga Jual Pcs GT_x000a_(+PPN" numFmtId="43">
      <sharedItems containsSemiMixedTypes="0" containsString="0" containsNumber="1" minValue="0" maxValue="246120.30000000002"/>
    </cacheField>
    <cacheField name="Harga Jual Krt GT_x000a_(+PPN)" numFmtId="43">
      <sharedItems containsSemiMixedTypes="0" containsString="0" containsNumber="1" minValue="0" maxValue="3527988.4800000004"/>
    </cacheField>
    <cacheField name="Harga Jual Pcs MT_x000a_(-PPN)" numFmtId="43">
      <sharedItems containsSemiMixedTypes="0" containsString="0" containsNumber="1" containsInteger="1" minValue="0" maxValue="0"/>
    </cacheField>
    <cacheField name="Harga Jual Krt MT_x000a_(- PPN)" numFmtId="43">
      <sharedItems containsSemiMixedTypes="0" containsString="0" containsNumber="1" containsInteger="1" minValue="0" maxValue="0"/>
    </cacheField>
    <cacheField name="Harga Jual Pcs MT_x000a_(+PPN)" numFmtId="43">
      <sharedItems containsSemiMixedTypes="0" containsString="0" containsNumber="1" containsInteger="1" minValue="0" maxValue="0"/>
    </cacheField>
    <cacheField name="Harga Jual Krt MT_x000a_(+PPN)" numFmtId="43">
      <sharedItems containsSemiMixedTypes="0" containsString="0" containsNumber="1" containsInteger="1" minValue="0" maxValue="0"/>
    </cacheField>
    <cacheField name="MARGIN" numFmtId="10">
      <sharedItems containsMixedTypes="1" containsNumber="1" minValue="6.4999999999999919E-2" maxValue="6.5000000000000085E-2"/>
    </cacheField>
    <cacheField name="Column1" numFmtId="43">
      <sharedItems containsSemiMixedTypes="0" containsString="0" containsNumber="1" minValue="-207317.55" maxValue="0"/>
    </cacheField>
    <cacheField name="Column2" numFmtId="9">
      <sharedItems/>
    </cacheField>
    <cacheField name="Efektif_x000a_Pembuatan" numFmtId="14">
      <sharedItems containsNonDate="0" containsString="0" containsBlank="1"/>
    </cacheField>
    <cacheField name="Efektif Naik Harga" numFmtId="0">
      <sharedItems containsNonDate="0" containsString="0" containsBlank="1"/>
    </cacheField>
    <cacheField name="Status_x000a_Pembuatan" numFmtId="0">
      <sharedItems/>
    </cacheField>
    <cacheField name="Status_x000a_Harga" numFmtId="0">
      <sharedItems/>
    </cacheField>
    <cacheField name="Status Barang" numFmtId="0">
      <sharedItems containsNonDate="0" containsString="0" containsBlank="1"/>
    </cacheField>
    <cacheField name="Mata Uang" numFmtId="0">
      <sharedItems/>
    </cacheField>
    <cacheField name="Kode_x000a_Golongan" numFmtId="0">
      <sharedItems/>
    </cacheField>
    <cacheField name="Nama Golongan" numFmtId="0">
      <sharedItems containsMixedTypes="1" containsNumber="1" containsInteger="1" minValue="0" maxValue="0"/>
    </cacheField>
    <cacheField name="Kode PCPL To Win" numFmtId="0">
      <sharedItems containsNonDate="0" containsString="0" containsBlank="1"/>
    </cacheField>
    <cacheField name="Kode Jenis Produk" numFmtId="0">
      <sharedItems containsNonDate="0" containsString="0" containsBlank="1"/>
    </cacheField>
    <cacheField name="SAT BSR" numFmtId="0">
      <sharedItems/>
    </cacheField>
    <cacheField name="GD" numFmtId="0">
      <sharedItems/>
    </cacheField>
    <cacheField name="Kode PRK" numFmtId="0">
      <sharedItems containsSemiMixedTypes="0" containsString="0" containsNumber="1" containsInteger="1" minValue="11611" maxValue="11611"/>
    </cacheField>
    <cacheField name="Kode PRK SJ" numFmtId="0">
      <sharedItems containsSemiMixedTypes="0" containsString="0" containsNumber="1" containsInteger="1" minValue="11612" maxValue="11612"/>
    </cacheField>
    <cacheField name="Kode Job" numFmtId="0">
      <sharedItems containsNonDate="0" containsString="0" containsBlank="1"/>
    </cacheField>
    <cacheField name="Approval" numFmtId="0">
      <sharedItems containsSemiMixedTypes="0" containsString="0" containsNumber="1" containsInteger="1" minValue="1" maxValue="1"/>
    </cacheField>
    <cacheField name="Nama Principle" numFmtId="0">
      <sharedItems containsNonDate="0" containsString="0" containsBlank="1"/>
    </cacheField>
    <cacheField name="Column5" numFmtId="0">
      <sharedItems containsSemiMixedTypes="0" containsString="0" containsNumber="1" containsInteger="1" minValue="0" maxValue="8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">
  <r>
    <s v=""/>
    <m/>
    <m/>
    <x v="0"/>
    <m/>
    <m/>
    <m/>
    <m/>
    <x v="0"/>
    <m/>
    <x v="0"/>
    <s v=""/>
    <s v=""/>
    <x v="0"/>
    <n v="0"/>
    <s v="X"/>
    <n v="1"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"/>
    <s v=""/>
    <n v="0"/>
    <m/>
    <m/>
    <s v="KRT"/>
    <s v="GD01"/>
    <n v="11611"/>
    <n v="11612"/>
    <m/>
    <n v="1"/>
    <m/>
    <n v="0"/>
  </r>
  <r>
    <s v=""/>
    <m/>
    <m/>
    <x v="0"/>
    <m/>
    <m/>
    <m/>
    <m/>
    <x v="0"/>
    <m/>
    <x v="0"/>
    <s v=""/>
    <s v=""/>
    <x v="0"/>
    <n v="0"/>
    <s v="X"/>
    <n v="1"/>
    <m/>
    <m/>
    <m/>
    <m/>
    <m/>
    <m/>
    <m/>
    <m/>
    <m/>
    <m/>
    <m/>
    <m/>
    <m/>
    <m/>
    <m/>
    <m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"/>
    <s v=""/>
    <n v="0"/>
    <m/>
    <m/>
    <s v="KRT"/>
    <s v="GD01"/>
    <n v="11611"/>
    <n v="11612"/>
    <m/>
    <n v="1"/>
    <m/>
    <n v="0"/>
  </r>
  <r>
    <s v="G1011000001510"/>
    <m/>
    <n v="30010010015000"/>
    <x v="1"/>
    <s v="AUTOSOL METAL POLISH 144 TUBE X 15GR 8216 AS01"/>
    <n v="30010010015000"/>
    <n v="0"/>
    <s v="AUTOSOL Metal Polish  15 gr"/>
    <x v="1"/>
    <s v="8992745730101"/>
    <x v="1"/>
    <s v="AUTOSOL METAL POLISH"/>
    <s v="G1011"/>
    <x v="1"/>
    <n v="14"/>
    <s v="AUTOSOL METAL POLISH 15GR X 144 TUBE"/>
    <n v="36"/>
    <m/>
    <s v="G1"/>
    <s v="AUTOSOL"/>
    <s v="01"/>
    <s v="METAL POLISH"/>
    <n v="1"/>
    <m/>
    <s v="0"/>
    <m/>
    <s v="00"/>
    <s v="15GR"/>
    <s v="0015"/>
    <s v="TUBE"/>
    <n v="1"/>
    <m/>
    <n v="0"/>
    <m/>
    <m/>
    <m/>
    <n v="30010010015000"/>
    <m/>
    <m/>
    <n v="144"/>
    <n v="9452.85"/>
    <n v="1361210.4000000001"/>
    <n v="10492.663500000001"/>
    <n v="1510943.5440000002"/>
    <n v="10110"/>
    <n v="1455840"/>
    <n v="11222.1"/>
    <n v="1615982.4000000001"/>
    <n v="0"/>
    <n v="0"/>
    <n v="0"/>
    <n v="0"/>
    <n v="6.4999999999999961E-2"/>
    <n v="-9452.85"/>
    <e v="#DIV/0!"/>
    <m/>
    <m/>
    <s v="Lama"/>
    <s v="Sama"/>
    <m/>
    <s v="IDR"/>
    <s v="0015"/>
    <s v="15GR"/>
    <m/>
    <m/>
    <s v="KRT"/>
    <s v="GD01"/>
    <n v="11611"/>
    <n v="11612"/>
    <m/>
    <n v="1"/>
    <m/>
    <n v="144"/>
  </r>
  <r>
    <s v="G1011000005010"/>
    <m/>
    <n v="30010010050000"/>
    <x v="2"/>
    <s v="AUTOSOL METAL POLISH 48 TUBE X 50GR 8217 AS02"/>
    <n v="30010010050000"/>
    <n v="0"/>
    <s v="AUTOSOL Metal Polish 50 gr"/>
    <x v="2"/>
    <s v="8992745730200"/>
    <x v="1"/>
    <s v="AUTOSOL METAL POLISH"/>
    <s v="G1011"/>
    <x v="2"/>
    <n v="14"/>
    <s v="AUTOSOL METAL POLISH 50GR X 48 TUBE"/>
    <n v="35"/>
    <m/>
    <s v="G1"/>
    <s v="AUTOSOL"/>
    <s v="01"/>
    <s v="METAL POLISH"/>
    <n v="1"/>
    <m/>
    <s v="0"/>
    <m/>
    <s v="00"/>
    <s v="50GR"/>
    <s v="0050"/>
    <s v="TUBE"/>
    <n v="1"/>
    <m/>
    <n v="0"/>
    <m/>
    <m/>
    <m/>
    <n v="30010010050000"/>
    <m/>
    <m/>
    <n v="48"/>
    <n v="18391.45"/>
    <n v="882789.60000000009"/>
    <n v="20414.509500000004"/>
    <n v="979896.45600000024"/>
    <n v="19670"/>
    <n v="944160"/>
    <n v="21833.7"/>
    <n v="1048017.6000000001"/>
    <n v="0"/>
    <n v="0"/>
    <n v="0"/>
    <n v="0"/>
    <n v="6.4999999999999961E-2"/>
    <n v="-18391.45"/>
    <e v="#DIV/0!"/>
    <m/>
    <m/>
    <s v="Lama"/>
    <s v="Sama"/>
    <m/>
    <s v="IDR"/>
    <s v="0050"/>
    <s v="50GR"/>
    <m/>
    <m/>
    <s v="KRT"/>
    <s v="GD01"/>
    <n v="11611"/>
    <n v="11612"/>
    <m/>
    <n v="1"/>
    <m/>
    <n v="48"/>
  </r>
  <r>
    <s v="G1020000002010"/>
    <m/>
    <n v="30020000700000"/>
    <x v="3"/>
    <s v="BIOSOL 144 SCH X 20ML 14370 35630 BS01"/>
    <n v="30020000020000"/>
    <n v="0"/>
    <s v="BIOSOL SACHET 20 ML+5 ML"/>
    <x v="1"/>
    <s v="8992745540892"/>
    <x v="2"/>
    <s v="BIOSOL"/>
    <s v="G1020"/>
    <x v="3"/>
    <n v="14"/>
    <s v="BIOSOL 20ML X 144 SCH"/>
    <n v="21"/>
    <m/>
    <s v="G1"/>
    <s v="BIOSOL"/>
    <s v="02"/>
    <m/>
    <n v="0"/>
    <m/>
    <s v="0"/>
    <m/>
    <s v="00"/>
    <s v="20ML"/>
    <s v="0020"/>
    <s v="SCH"/>
    <n v="1"/>
    <m/>
    <n v="0"/>
    <m/>
    <m/>
    <m/>
    <n v="30020000020000"/>
    <m/>
    <m/>
    <n v="144"/>
    <n v="317.89999999999998"/>
    <n v="45777.599999999999"/>
    <n v="352.86900000000003"/>
    <n v="50813.136000000006"/>
    <n v="340"/>
    <n v="48960"/>
    <n v="377.40000000000003"/>
    <n v="54345.600000000006"/>
    <n v="0"/>
    <n v="0"/>
    <n v="0"/>
    <n v="0"/>
    <n v="6.5000000000000072E-2"/>
    <n v="-317.89999999999998"/>
    <e v="#DIV/0!"/>
    <m/>
    <m/>
    <s v="Lama"/>
    <s v="Sama"/>
    <m/>
    <s v="IDR"/>
    <s v="0020"/>
    <s v="20ML"/>
    <m/>
    <m/>
    <s v="KRT"/>
    <s v="GD01"/>
    <n v="11611"/>
    <n v="11612"/>
    <m/>
    <n v="1"/>
    <m/>
    <n v="144"/>
  </r>
  <r>
    <s v="G1020000002010"/>
    <m/>
    <n v="30020000700001"/>
    <x v="4"/>
    <s v="BIOSOL 144 SCH X 20ML 14370 35630 BS01"/>
    <n v="30020000020000"/>
    <n v="0"/>
    <s v="BIOSOL SACHET 20 ML+5 ML PROMO 12+1"/>
    <x v="1"/>
    <s v="8992745540892"/>
    <x v="2"/>
    <s v="BIOSOL"/>
    <s v="G1020"/>
    <x v="3"/>
    <n v="14"/>
    <s v="BIOSOL 20ML X 144 SCH"/>
    <n v="21"/>
    <m/>
    <s v="G1"/>
    <s v="BIOSOL"/>
    <s v="02"/>
    <m/>
    <n v="0"/>
    <m/>
    <s v="0"/>
    <m/>
    <s v="00"/>
    <s v="20ML"/>
    <s v="0020"/>
    <s v="SCH"/>
    <n v="1"/>
    <m/>
    <n v="0"/>
    <m/>
    <m/>
    <m/>
    <n v="30020000020000"/>
    <m/>
    <m/>
    <n v="144"/>
    <n v="317.89999999999998"/>
    <n v="45777.599999999999"/>
    <n v="352.86900000000003"/>
    <n v="50813.136000000006"/>
    <n v="340"/>
    <n v="48960"/>
    <n v="377.40000000000003"/>
    <n v="54345.600000000006"/>
    <n v="0"/>
    <n v="0"/>
    <n v="0"/>
    <n v="0"/>
    <n v="6.5000000000000072E-2"/>
    <n v="-317.89999999999998"/>
    <e v="#DIV/0!"/>
    <m/>
    <m/>
    <s v="Lama"/>
    <s v="Sama"/>
    <m/>
    <s v="IDR"/>
    <s v="0020"/>
    <s v="20ML"/>
    <m/>
    <m/>
    <s v="KRT"/>
    <s v="GD01"/>
    <n v="11611"/>
    <n v="11612"/>
    <m/>
    <n v="1"/>
    <m/>
    <n v="144"/>
  </r>
  <r>
    <s v="G1020000040020"/>
    <m/>
    <n v="30020000020000"/>
    <x v="5"/>
    <s v="BIOSOL 12 POUCH X 400ML 8247 BS02"/>
    <n v="30020000400000"/>
    <n v="0"/>
    <s v="BIOSOL POUCH 400 ML"/>
    <x v="3"/>
    <s v="8992745730118"/>
    <x v="3"/>
    <s v="BIOSOL"/>
    <s v="G1020"/>
    <x v="4"/>
    <n v="14"/>
    <s v="BIOSOL 400ML X 12 PCH"/>
    <n v="21"/>
    <m/>
    <s v="G1"/>
    <s v="BIOSOL"/>
    <s v="02"/>
    <m/>
    <n v="0"/>
    <m/>
    <s v="0"/>
    <m/>
    <s v="00"/>
    <s v="400ML"/>
    <s v="0400"/>
    <s v="PCH"/>
    <n v="2"/>
    <m/>
    <n v="0"/>
    <m/>
    <m/>
    <m/>
    <n v="30020000400000"/>
    <m/>
    <m/>
    <n v="12"/>
    <n v="8078.4"/>
    <n v="96940.799999999988"/>
    <n v="8967.0240000000013"/>
    <n v="107604.288"/>
    <n v="8640"/>
    <n v="103680"/>
    <n v="9590.4000000000015"/>
    <n v="115084.8"/>
    <n v="0"/>
    <n v="0"/>
    <n v="0"/>
    <n v="0"/>
    <n v="6.5000000000000044E-2"/>
    <n v="-8078.4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20000040021"/>
    <m/>
    <n v="30020000020000"/>
    <x v="6"/>
    <s v="BIOSOL 6 POUCH X 400ML BANDED 56288 BS04"/>
    <n v="30020000400001"/>
    <n v="0"/>
    <s v="BIOSOL POUCH 400 ML BUY 1 GET 1"/>
    <x v="4"/>
    <s v="8992745730118"/>
    <x v="3"/>
    <s v="BIOSOL"/>
    <s v="G1020"/>
    <x v="5"/>
    <n v="14"/>
    <s v="BIOSOL 400ML X 6 PCH BOGOF"/>
    <n v="26"/>
    <m/>
    <s v="G1"/>
    <s v="BIOSOL"/>
    <s v="02"/>
    <m/>
    <n v="0"/>
    <m/>
    <s v="0"/>
    <m/>
    <s v="00"/>
    <s v="400ML"/>
    <s v="0400"/>
    <s v="PCH"/>
    <n v="2"/>
    <s v="BOGOF"/>
    <n v="1"/>
    <m/>
    <m/>
    <m/>
    <n v="30020000400001"/>
    <m/>
    <m/>
    <n v="6"/>
    <n v="9069.5"/>
    <n v="54417"/>
    <n v="10067.145"/>
    <n v="60402.87"/>
    <n v="9700"/>
    <n v="58200"/>
    <n v="10767.000000000002"/>
    <n v="64602.000000000007"/>
    <n v="0"/>
    <n v="0"/>
    <n v="0"/>
    <n v="0"/>
    <n v="6.5000000000000002E-2"/>
    <n v="-9069.5"/>
    <e v="#DIV/0!"/>
    <m/>
    <m/>
    <s v="Lama"/>
    <s v="Sama"/>
    <m/>
    <s v="IDR"/>
    <s v="0400"/>
    <s v="400ML"/>
    <m/>
    <m/>
    <s v="KRT"/>
    <s v="GD01"/>
    <n v="11611"/>
    <n v="11612"/>
    <m/>
    <n v="1"/>
    <m/>
    <n v="6"/>
  </r>
  <r>
    <s v="G1020000070020"/>
    <m/>
    <n v="30020000400001"/>
    <x v="7"/>
    <s v="BIOSOL 12 POUCH X 700ML 13979 BS03"/>
    <n v="30020000700000"/>
    <n v="0"/>
    <s v="BIOSOL POUCH REGULAR 700ML"/>
    <x v="3"/>
    <s v="8992745730217"/>
    <x v="3"/>
    <s v="BIOSOL"/>
    <s v="G1020"/>
    <x v="6"/>
    <n v="14"/>
    <s v="BIOSOL 700ML X 12 PCH"/>
    <n v="21"/>
    <m/>
    <s v="G1"/>
    <s v="BIOSOL"/>
    <s v="02"/>
    <m/>
    <n v="0"/>
    <m/>
    <s v="0"/>
    <m/>
    <s v="00"/>
    <s v="700ML"/>
    <s v="0700"/>
    <s v="PCH"/>
    <n v="2"/>
    <m/>
    <n v="0"/>
    <m/>
    <m/>
    <m/>
    <n v="30020000700000"/>
    <m/>
    <m/>
    <n v="12"/>
    <n v="13430.34"/>
    <n v="161164.08000000002"/>
    <n v="14907.677400000002"/>
    <n v="178892.12880000003"/>
    <n v="14364"/>
    <n v="172368"/>
    <n v="15944.04"/>
    <n v="191328.48"/>
    <n v="0"/>
    <n v="0"/>
    <n v="0"/>
    <n v="0"/>
    <n v="6.4999999999999988E-2"/>
    <n v="-13430.34"/>
    <e v="#DIV/0!"/>
    <m/>
    <m/>
    <s v="Lama"/>
    <s v="Sama"/>
    <m/>
    <s v="IDR"/>
    <s v="0700"/>
    <s v="700ML"/>
    <m/>
    <m/>
    <s v="KRT"/>
    <s v="GD01"/>
    <n v="11611"/>
    <n v="11612"/>
    <m/>
    <n v="1"/>
    <m/>
    <n v="12"/>
  </r>
  <r>
    <s v="G1020000070021"/>
    <m/>
    <n v="30020000400000"/>
    <x v="8"/>
    <s v="BIOSOL 6 PCH X 700ML BANDED 56289 BS05"/>
    <n v="30020000700001"/>
    <n v="0"/>
    <s v="BIOSOL POUCH 700 ML BUY 1 GET 1"/>
    <x v="4"/>
    <s v="8992745730217"/>
    <x v="3"/>
    <s v="BIOSOL"/>
    <s v="G1020"/>
    <x v="7"/>
    <n v="14"/>
    <s v="BIOSOL 700ML X 6 PCH BOGOF"/>
    <n v="26"/>
    <m/>
    <s v="G1"/>
    <s v="BIOSOL"/>
    <s v="02"/>
    <m/>
    <n v="0"/>
    <m/>
    <s v="0"/>
    <m/>
    <s v="00"/>
    <s v="700ML"/>
    <s v="0700"/>
    <s v="PCH"/>
    <n v="2"/>
    <s v="BOGOF"/>
    <n v="1"/>
    <m/>
    <m/>
    <m/>
    <n v="30020000700001"/>
    <m/>
    <m/>
    <n v="6"/>
    <n v="15081.55"/>
    <n v="90489.299999999988"/>
    <n v="16740.520500000002"/>
    <n v="100443.12299999999"/>
    <n v="16130"/>
    <n v="96780"/>
    <n v="17904.300000000003"/>
    <n v="107425.8"/>
    <n v="0"/>
    <n v="0"/>
    <n v="0"/>
    <n v="0"/>
    <n v="6.5000000000000044E-2"/>
    <n v="-15081.55"/>
    <e v="#DIV/0!"/>
    <m/>
    <m/>
    <s v="Lama"/>
    <s v="Sama"/>
    <m/>
    <s v="IDR"/>
    <s v="0700"/>
    <s v="700ML"/>
    <m/>
    <m/>
    <s v="KRT"/>
    <s v="GD01"/>
    <n v="11611"/>
    <n v="11612"/>
    <m/>
    <n v="1"/>
    <m/>
    <n v="6"/>
  </r>
  <r>
    <s v="G1020000070021"/>
    <m/>
    <m/>
    <x v="9"/>
    <s v="BIOSOL POUCH 700 ML BUY 1 GET 1 ND NEW"/>
    <m/>
    <n v="0"/>
    <s v="BIOSOL POUCH 700 ML BUY 1 GET 1"/>
    <x v="4"/>
    <m/>
    <x v="3"/>
    <s v="BIOSOL"/>
    <s v="G1020"/>
    <x v="7"/>
    <n v="14"/>
    <s v="BIOSOL 700ML X 6 PCH BOGOF"/>
    <n v="26"/>
    <m/>
    <s v="G1"/>
    <s v="BIOSOL"/>
    <s v="02"/>
    <m/>
    <n v="0"/>
    <m/>
    <s v="0"/>
    <m/>
    <s v="00"/>
    <s v="700ML"/>
    <s v="0700"/>
    <s v="PCH"/>
    <n v="2"/>
    <s v="BOGOF"/>
    <n v="1"/>
    <m/>
    <m/>
    <m/>
    <n v="0"/>
    <m/>
    <m/>
    <n v="6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700"/>
    <s v="700ML"/>
    <m/>
    <m/>
    <s v="KRT"/>
    <s v="GD01"/>
    <n v="11611"/>
    <n v="11612"/>
    <m/>
    <n v="1"/>
    <m/>
    <n v="6"/>
  </r>
  <r>
    <s v="G1021101050030"/>
    <m/>
    <m/>
    <x v="10"/>
    <s v="BIOSOL HIT POWER L2L 500ML B2B PRO"/>
    <m/>
    <n v="0"/>
    <s v="BIOSOL HIT POWER L2L 500ML B2B PRO"/>
    <x v="5"/>
    <m/>
    <x v="4"/>
    <s v="BIOSOL HIT POWER"/>
    <s v="G1021"/>
    <x v="8"/>
    <n v="14"/>
    <s v="BIOSOL HIT POWER L2L B2B PRO 500ML X 24 JRG"/>
    <n v="43"/>
    <m/>
    <s v="G1"/>
    <s v="BIOSOL"/>
    <s v="02"/>
    <s v="HIT POWER"/>
    <n v="1"/>
    <s v="L2L"/>
    <s v="1"/>
    <s v="B2B PRO"/>
    <s v="01"/>
    <s v="500ML"/>
    <s v="0500"/>
    <s v="JRG"/>
    <n v="3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500"/>
    <s v="500ML"/>
    <m/>
    <m/>
    <s v="KRT"/>
    <s v="GD01"/>
    <n v="11611"/>
    <n v="11612"/>
    <m/>
    <n v="1"/>
    <m/>
    <n v="24"/>
  </r>
  <r>
    <s v="G1031001001210"/>
    <m/>
    <n v="30202050120000"/>
    <x v="11"/>
    <s v="C.GAJAH LEM LALAT STICK 72 PCS X 12S 8387 CGL02"/>
    <n v="30031020012000"/>
    <n v="0"/>
    <s v="LEM Lalat CapGajah Stick 12s New"/>
    <x v="6"/>
    <s v="8992748195402"/>
    <x v="5"/>
    <s v="CAP GAJAH LEM LALAT"/>
    <s v="G1031"/>
    <x v="9"/>
    <n v="14"/>
    <s v="CAP GAJAH LEM LALAT STICK 12S X 72 PCS"/>
    <n v="38"/>
    <m/>
    <s v="G1"/>
    <s v="CAP GAJAH"/>
    <s v="03"/>
    <s v="LEM LALAT"/>
    <n v="1"/>
    <m/>
    <s v="0"/>
    <s v="STICK"/>
    <s v="01"/>
    <s v="12S"/>
    <s v="0012"/>
    <s v="PCS"/>
    <n v="1"/>
    <m/>
    <n v="0"/>
    <m/>
    <m/>
    <m/>
    <n v="30031020012000"/>
    <m/>
    <m/>
    <n v="72"/>
    <n v="7395.85"/>
    <n v="532501.20000000007"/>
    <n v="8209.3935000000019"/>
    <n v="591076.33200000017"/>
    <n v="7910"/>
    <n v="569520"/>
    <n v="8780.1"/>
    <n v="632167.20000000007"/>
    <n v="0"/>
    <n v="0"/>
    <n v="0"/>
    <n v="0"/>
    <n v="6.4999999999999961E-2"/>
    <n v="-7395.85"/>
    <e v="#DIV/0!"/>
    <m/>
    <m/>
    <s v="Lama"/>
    <s v="Sama"/>
    <m/>
    <s v="IDR"/>
    <s v="0012"/>
    <s v="12S"/>
    <m/>
    <m/>
    <s v="KRT"/>
    <s v="GD01"/>
    <n v="11611"/>
    <n v="11612"/>
    <m/>
    <n v="1"/>
    <m/>
    <n v="72"/>
  </r>
  <r>
    <s v="G1031002000310"/>
    <m/>
    <n v="30220001001000"/>
    <x v="12"/>
    <s v="C.GAJAH LEM LALAT KERTAS 120 PCS X 3S 8390 CGL01"/>
    <n v="30031010003000"/>
    <n v="0"/>
    <s v="LEM Lalat Kertas CapGajah 3s"/>
    <x v="7"/>
    <s v="8992745195214"/>
    <x v="5"/>
    <s v="CAP GAJAH LEM LALAT"/>
    <s v="G1031"/>
    <x v="10"/>
    <n v="14"/>
    <s v="CAP GAJAH LEM LALAT KERTAS 3S X 120 PCS"/>
    <n v="39"/>
    <m/>
    <s v="G1"/>
    <s v="CAP GAJAH"/>
    <s v="03"/>
    <s v="LEM LALAT"/>
    <n v="1"/>
    <m/>
    <s v="0"/>
    <s v="KERTAS"/>
    <s v="02"/>
    <s v="3S"/>
    <s v="0003"/>
    <s v="PCS"/>
    <n v="1"/>
    <m/>
    <n v="0"/>
    <m/>
    <m/>
    <m/>
    <n v="30031010003000"/>
    <m/>
    <m/>
    <n v="120"/>
    <n v="4600.2"/>
    <n v="552024"/>
    <n v="5106.2220000000007"/>
    <n v="612746.64"/>
    <n v="4920"/>
    <n v="590400"/>
    <n v="5461.2000000000007"/>
    <n v="655344"/>
    <n v="0"/>
    <n v="0"/>
    <n v="0"/>
    <n v="0"/>
    <n v="6.5000000000000044E-2"/>
    <n v="-4600.2"/>
    <e v="#DIV/0!"/>
    <m/>
    <m/>
    <s v="Lama"/>
    <s v="Sama"/>
    <m/>
    <s v="IDR"/>
    <s v="0003"/>
    <s v="3S"/>
    <m/>
    <m/>
    <s v="KRT"/>
    <s v="GD01"/>
    <n v="11611"/>
    <n v="11612"/>
    <m/>
    <n v="1"/>
    <m/>
    <n v="120"/>
  </r>
  <r>
    <s v="G1032000005010"/>
    <m/>
    <n v="30230010100000"/>
    <x v="13"/>
    <s v="C.GAJAH LEM TIKUS 144 TUBE X 50ML 57428 CGT05"/>
    <n v="30032000050010"/>
    <n v="0"/>
    <s v="LEM TUBE CAP GAJAH 50ML."/>
    <x v="1"/>
    <s v="8992745000457"/>
    <x v="1"/>
    <s v="CAP GAJAH LEM TIKUS"/>
    <s v="G1032"/>
    <x v="11"/>
    <n v="14"/>
    <s v="CAP GAJAH LEM TIKUS 50ML X 144 TUBE"/>
    <n v="35"/>
    <m/>
    <s v="G1"/>
    <s v="CAP GAJAH"/>
    <s v="03"/>
    <s v="LEM TIKUS"/>
    <n v="2"/>
    <m/>
    <s v="0"/>
    <m/>
    <s v="00"/>
    <s v="50ML"/>
    <s v="0050"/>
    <s v="TUBE"/>
    <n v="1"/>
    <m/>
    <n v="0"/>
    <m/>
    <m/>
    <m/>
    <n v="30032000050010"/>
    <m/>
    <m/>
    <n v="144"/>
    <n v="7489.35"/>
    <n v="1078466.4000000001"/>
    <n v="8313.1785000000018"/>
    <n v="1197097.7040000004"/>
    <n v="8010"/>
    <n v="1153440"/>
    <n v="8891.1"/>
    <n v="1280318.4000000001"/>
    <n v="0"/>
    <n v="0"/>
    <n v="0"/>
    <n v="0"/>
    <n v="6.4999999999999961E-2"/>
    <n v="-7489.35"/>
    <e v="#DIV/0!"/>
    <m/>
    <m/>
    <s v="Lama"/>
    <s v="Sama"/>
    <m/>
    <s v="IDR"/>
    <s v="0050"/>
    <s v="50ML"/>
    <m/>
    <m/>
    <s v="KRT"/>
    <s v="GD01"/>
    <n v="11611"/>
    <n v="11612"/>
    <m/>
    <n v="1"/>
    <m/>
    <n v="144"/>
  </r>
  <r>
    <s v="G1032000010010"/>
    <m/>
    <n v="30230010100000"/>
    <x v="14"/>
    <s v="C.GAJAH LEM TIKUS 144 TUBE X 100ML 8380 CGT01"/>
    <n v="30032000100010"/>
    <n v="0"/>
    <s v="LEM Tube CapGajah 100ml"/>
    <x v="1"/>
    <s v="8992748195204"/>
    <x v="1"/>
    <s v="CAP GAJAH LEM TIKUS"/>
    <s v="G1032"/>
    <x v="12"/>
    <n v="14"/>
    <s v="CAP GAJAH LEM TIKUS 100ML X 144 TUBE"/>
    <n v="36"/>
    <m/>
    <s v="G1"/>
    <s v="CAP GAJAH"/>
    <s v="03"/>
    <s v="LEM TIKUS"/>
    <n v="2"/>
    <m/>
    <s v="0"/>
    <m/>
    <s v="00"/>
    <s v="100ML"/>
    <s v="0100"/>
    <s v="TUBE"/>
    <n v="1"/>
    <m/>
    <n v="0"/>
    <m/>
    <m/>
    <m/>
    <n v="30032000100010"/>
    <m/>
    <m/>
    <n v="144"/>
    <n v="13520.1"/>
    <n v="1946894.4000000001"/>
    <n v="15007.311000000002"/>
    <n v="2161052.7840000005"/>
    <n v="14460"/>
    <n v="2082240"/>
    <n v="16050.600000000002"/>
    <n v="2311286.4000000004"/>
    <n v="0"/>
    <n v="0"/>
    <n v="0"/>
    <n v="0"/>
    <n v="6.4999999999999974E-2"/>
    <n v="-13520.1"/>
    <e v="#DIV/0!"/>
    <m/>
    <m/>
    <s v="Lama"/>
    <s v="Sama"/>
    <m/>
    <s v="IDR"/>
    <s v="0100"/>
    <s v="100ML"/>
    <m/>
    <m/>
    <s v="KRT"/>
    <s v="GD01"/>
    <n v="11611"/>
    <n v="11612"/>
    <m/>
    <n v="1"/>
    <m/>
    <n v="144"/>
  </r>
  <r>
    <s v="G1032001006010"/>
    <m/>
    <n v="30230010050000"/>
    <x v="15"/>
    <s v="C.GJH LEM TKS TRAP 72 PCS X 60GR 29423 39248 CGT02"/>
    <n v="30032030060000"/>
    <n v="30032030070000"/>
    <s v="LEM TIKUS TRAP CAP GAJAH"/>
    <x v="6"/>
    <s v="8992748195303"/>
    <x v="5"/>
    <s v="CAP GAJAH LEM TIKUS"/>
    <s v="G1032"/>
    <x v="13"/>
    <n v="14"/>
    <s v="CAP GAJAH LEM TIKUS TRAP 60GR X 72 PCS"/>
    <n v="38"/>
    <m/>
    <s v="G1"/>
    <s v="CAP GAJAH"/>
    <s v="03"/>
    <s v="LEM TIKUS"/>
    <n v="2"/>
    <m/>
    <s v="0"/>
    <s v="TRAP"/>
    <s v="01"/>
    <s v="60GR"/>
    <s v="0060"/>
    <s v="PCS"/>
    <n v="1"/>
    <m/>
    <n v="0"/>
    <m/>
    <m/>
    <m/>
    <n v="30032030060000"/>
    <m/>
    <m/>
    <n v="72"/>
    <n v="11033"/>
    <n v="794376"/>
    <n v="12246.630000000001"/>
    <n v="881757.3600000001"/>
    <n v="11800"/>
    <n v="849600"/>
    <n v="13098.000000000002"/>
    <n v="943056.00000000012"/>
    <n v="0"/>
    <n v="0"/>
    <n v="0"/>
    <n v="0"/>
    <n v="6.5000000000000002E-2"/>
    <n v="-11033"/>
    <e v="#DIV/0!"/>
    <m/>
    <m/>
    <s v="Lama"/>
    <s v="Sama"/>
    <m/>
    <s v="IDR"/>
    <s v="0060"/>
    <s v="60GR"/>
    <m/>
    <m/>
    <s v="KRT"/>
    <s v="GD01"/>
    <n v="11611"/>
    <n v="11612"/>
    <m/>
    <n v="1"/>
    <m/>
    <n v="72"/>
  </r>
  <r>
    <s v="G1032001006010"/>
    <m/>
    <m/>
    <x v="16"/>
    <m/>
    <m/>
    <m/>
    <m/>
    <x v="6"/>
    <s v="8992748195303"/>
    <x v="5"/>
    <s v="CAP GAJAH LEM TIKUS"/>
    <s v="G1032"/>
    <x v="13"/>
    <n v="14"/>
    <s v="CAP GAJAH LEM TIKUS TRAP 60GR X 72 PCS"/>
    <n v="38"/>
    <m/>
    <s v="G1"/>
    <s v="CAP GAJAH"/>
    <s v="03"/>
    <s v="LEM TIKUS"/>
    <n v="2"/>
    <m/>
    <s v="0"/>
    <s v="TRAP"/>
    <s v="01"/>
    <s v="60GR"/>
    <s v="006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60"/>
    <s v="60GR"/>
    <m/>
    <m/>
    <s v="KRT"/>
    <s v="GD01"/>
    <n v="11611"/>
    <n v="11612"/>
    <m/>
    <n v="1"/>
    <m/>
    <n v="72"/>
  </r>
  <r>
    <s v="G1032001007010"/>
    <m/>
    <n v="30032030070000"/>
    <x v="17"/>
    <s v="C.GAJAH LEM TIKUS TRAP 72 PCS X 70GR &quot;17673&quot;CGT04"/>
    <n v="30032030070000"/>
    <n v="0"/>
    <n v="0"/>
    <x v="6"/>
    <n v="0"/>
    <x v="5"/>
    <s v="CAP GAJAH LEM TIKUS"/>
    <s v="G1032"/>
    <x v="14"/>
    <n v="14"/>
    <s v="CAP GAJAH LEM TIKUS TRAP 70GR X 72 PCS"/>
    <n v="38"/>
    <m/>
    <s v="G1"/>
    <s v="CAP GAJAH"/>
    <s v="03"/>
    <s v="LEM TIKUS"/>
    <n v="2"/>
    <m/>
    <s v="0"/>
    <s v="TRAP"/>
    <s v="01"/>
    <s v="70GR"/>
    <s v="0070"/>
    <s v="PCS"/>
    <n v="1"/>
    <m/>
    <n v="0"/>
    <m/>
    <m/>
    <m/>
    <n v="30032030070000"/>
    <m/>
    <m/>
    <n v="72"/>
    <n v="11033"/>
    <n v="794376"/>
    <n v="12246.630000000001"/>
    <n v="881757.3600000001"/>
    <n v="11800"/>
    <n v="849600"/>
    <n v="13098.000000000002"/>
    <n v="943056.00000000012"/>
    <n v="0"/>
    <n v="0"/>
    <n v="0"/>
    <n v="0"/>
    <n v="6.5000000000000002E-2"/>
    <n v="-11033"/>
    <e v="#DIV/0!"/>
    <m/>
    <m/>
    <s v="Lama"/>
    <s v="Sama"/>
    <m/>
    <s v="IDR"/>
    <s v="0070"/>
    <s v="70GR"/>
    <m/>
    <m/>
    <s v="KRT"/>
    <s v="GD01"/>
    <n v="11611"/>
    <n v="11612"/>
    <m/>
    <n v="1"/>
    <m/>
    <n v="72"/>
  </r>
  <r>
    <s v="G1032101006011"/>
    <m/>
    <n v="30032030060001"/>
    <x v="18"/>
    <s v="C.GJH LEM TKS TRP 12 PCSX60GR MTP 5+1&quot;34355&quot;CGT03"/>
    <n v="30032030060001"/>
    <n v="0"/>
    <n v="0"/>
    <x v="3"/>
    <n v="0"/>
    <x v="5"/>
    <s v="CAP GAJAH LEM TIKUS"/>
    <s v="G1032"/>
    <x v="15"/>
    <n v="14"/>
    <s v="CAP GAJAH LEM TIKUS MULTI PACK TRAP 60GR X 12 PCS 5+1"/>
    <n v="53"/>
    <m/>
    <s v="G1"/>
    <s v="CAP GAJAH"/>
    <s v="03"/>
    <s v="LEM TIKUS"/>
    <n v="2"/>
    <s v="MULTI PACK"/>
    <s v="1"/>
    <s v="TRAP"/>
    <s v="01"/>
    <s v="60GR"/>
    <s v="0060"/>
    <s v="PCS"/>
    <n v="1"/>
    <s v="5+1"/>
    <n v="1"/>
    <m/>
    <m/>
    <m/>
    <n v="30032030060001"/>
    <m/>
    <m/>
    <n v="12"/>
    <n v="64159.7"/>
    <n v="769916.39999999991"/>
    <n v="71217.267000000007"/>
    <n v="854607.20400000003"/>
    <n v="68620"/>
    <n v="823440"/>
    <n v="76168.200000000012"/>
    <n v="914018.4"/>
    <n v="0"/>
    <n v="0"/>
    <n v="0"/>
    <n v="0"/>
    <n v="6.5000000000000044E-2"/>
    <n v="-64159.7"/>
    <e v="#DIV/0!"/>
    <m/>
    <m/>
    <s v="Lama"/>
    <s v="Sama"/>
    <m/>
    <s v="IDR"/>
    <s v="0060"/>
    <s v="60GR"/>
    <m/>
    <m/>
    <s v="KRT"/>
    <s v="GD01"/>
    <n v="11611"/>
    <n v="11612"/>
    <m/>
    <n v="1"/>
    <m/>
    <n v="12"/>
  </r>
  <r>
    <s v="G1032001075010"/>
    <m/>
    <m/>
    <x v="19"/>
    <s v="PERANGKAP MEKANIS CAP GAJAH"/>
    <s v="30033000750000"/>
    <m/>
    <m/>
    <x v="3"/>
    <m/>
    <x v="5"/>
    <s v="CAP GAJAH LEM TIKUS"/>
    <s v="G1032"/>
    <x v="16"/>
    <n v="14"/>
    <s v="CAP GAJAH LEM TIKUS TRAP 750GR X 12 PCS"/>
    <n v="39"/>
    <m/>
    <s v="G1"/>
    <s v="CAP GAJAH"/>
    <s v="03"/>
    <s v="LEM TIKUS"/>
    <n v="2"/>
    <m/>
    <s v="0"/>
    <s v="TRAP"/>
    <s v="01"/>
    <s v="750GR"/>
    <s v="0750"/>
    <s v="PCS"/>
    <n v="1"/>
    <m/>
    <n v="0"/>
    <m/>
    <m/>
    <m/>
    <s v="3003300075000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750"/>
    <s v="750GR"/>
    <m/>
    <m/>
    <s v="KRT"/>
    <s v="GD01"/>
    <n v="11611"/>
    <n v="11612"/>
    <m/>
    <n v="1"/>
    <m/>
    <n v="12"/>
  </r>
  <r>
    <s v="G1041000017510"/>
    <m/>
    <n v="30031010003000"/>
    <x v="20"/>
    <s v="CARRERA D.CLEANER 12 BTL X 175ML 8251 CR01"/>
    <n v="30040010175000"/>
    <n v="0"/>
    <s v="Carrera Dashb.Cleaner Btl.175m"/>
    <x v="3"/>
    <s v="8992746700806"/>
    <x v="6"/>
    <s v="CARRERA DASHBOARD CLEANER"/>
    <s v="G1041"/>
    <x v="17"/>
    <n v="14"/>
    <s v="CARRERA DASHBOARD CLEANER 175ML X 12 BTL"/>
    <n v="40"/>
    <m/>
    <s v="G1"/>
    <s v="CARRERA"/>
    <s v="04"/>
    <s v="DASHBOARD CLEANER"/>
    <n v="1"/>
    <m/>
    <s v="0"/>
    <m/>
    <s v="00"/>
    <s v="175ML"/>
    <s v="0175"/>
    <s v="BTL"/>
    <n v="1"/>
    <m/>
    <n v="0"/>
    <m/>
    <m/>
    <m/>
    <n v="30040010175000"/>
    <m/>
    <m/>
    <n v="12"/>
    <n v="18297.95"/>
    <n v="219575.40000000002"/>
    <n v="20310.724500000004"/>
    <n v="243728.69400000005"/>
    <n v="19570"/>
    <n v="234840"/>
    <n v="21722.7"/>
    <n v="260672.40000000002"/>
    <n v="0"/>
    <n v="0"/>
    <n v="0"/>
    <n v="0"/>
    <n v="6.4999999999999961E-2"/>
    <n v="-18297.9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042001011010"/>
    <m/>
    <n v="30031020012000"/>
    <x v="21"/>
    <s v="CARRERA LUBE MOTOR CHAIN 12 BTL X 110ML 8813 CR08"/>
    <n v="30042030110000"/>
    <n v="0"/>
    <s v="Carrera Motor Chain Lube 110 ml"/>
    <x v="3"/>
    <s v="8992745380665"/>
    <x v="6"/>
    <s v="CARRERA MOTOR CHAIN"/>
    <s v="G1042"/>
    <x v="18"/>
    <n v="14"/>
    <s v="CARRERA MOTOR CHAIN LUBE 110ML X 12 BTL"/>
    <n v="39"/>
    <m/>
    <s v="G1"/>
    <s v="CARRERA"/>
    <s v="04"/>
    <s v="MOTOR CHAIN"/>
    <n v="2"/>
    <m/>
    <s v="0"/>
    <s v="LUBE"/>
    <s v="01"/>
    <s v="110ML"/>
    <s v="0110"/>
    <s v="BTL"/>
    <n v="1"/>
    <m/>
    <n v="0"/>
    <m/>
    <m/>
    <m/>
    <n v="30042030110000"/>
    <m/>
    <m/>
    <n v="12"/>
    <n v="18167.05"/>
    <n v="218004.59999999998"/>
    <n v="20165.425500000001"/>
    <n v="241985.106"/>
    <n v="19430"/>
    <n v="233160"/>
    <n v="21567.300000000003"/>
    <n v="258807.60000000003"/>
    <n v="0"/>
    <n v="0"/>
    <n v="0"/>
    <n v="0"/>
    <n v="6.5000000000000044E-2"/>
    <n v="-18167.05"/>
    <e v="#DIV/0!"/>
    <m/>
    <m/>
    <s v="Lama"/>
    <s v="Sama"/>
    <m/>
    <s v="IDR"/>
    <s v="0110"/>
    <s v="110ML"/>
    <m/>
    <m/>
    <s v="KRT"/>
    <s v="GD01"/>
    <n v="11611"/>
    <n v="11612"/>
    <m/>
    <n v="1"/>
    <m/>
    <n v="12"/>
  </r>
  <r>
    <s v="G1043001020010"/>
    <m/>
    <n v="30045050800020"/>
    <x v="22"/>
    <s v="CARRERA PELUMAS XP-1000 12 BTL X 200ML 8279 CR18"/>
    <n v="30047110200000"/>
    <n v="0"/>
    <s v="Carrera XP-1000 Pelumas 200ml"/>
    <x v="3"/>
    <s v="8992746700738"/>
    <x v="6"/>
    <s v="CARRERA PELUMAS"/>
    <s v="G1043"/>
    <x v="19"/>
    <n v="14"/>
    <s v="CARRERA PELUMAS XP-1000 200ML X 12 BTL"/>
    <n v="38"/>
    <m/>
    <s v="G1"/>
    <s v="CARRERA"/>
    <s v="04"/>
    <s v="PELUMAS"/>
    <n v="3"/>
    <m/>
    <s v="0"/>
    <s v="XP-1000"/>
    <s v="01"/>
    <s v="200ML"/>
    <s v="0200"/>
    <s v="BTL"/>
    <n v="1"/>
    <m/>
    <n v="0"/>
    <m/>
    <m/>
    <m/>
    <n v="30047110200000"/>
    <m/>
    <m/>
    <n v="12"/>
    <n v="27806.9"/>
    <n v="333682.80000000005"/>
    <n v="30865.659000000003"/>
    <n v="370387.90800000011"/>
    <n v="29740"/>
    <n v="356880"/>
    <n v="33011.4"/>
    <n v="396136.80000000005"/>
    <n v="0"/>
    <n v="0"/>
    <n v="0"/>
    <n v="0"/>
    <n v="6.4999999999999947E-2"/>
    <n v="-27806.9"/>
    <e v="#DIV/0!"/>
    <m/>
    <m/>
    <s v="Lama"/>
    <s v="Sama"/>
    <m/>
    <s v="IDR"/>
    <s v="0200"/>
    <s v="200ML"/>
    <m/>
    <m/>
    <s v="KRT"/>
    <s v="GD01"/>
    <n v="11611"/>
    <n v="11612"/>
    <m/>
    <n v="1"/>
    <m/>
    <n v="12"/>
  </r>
  <r>
    <s v="G1044000020010"/>
    <m/>
    <n v="30032000100010"/>
    <x v="23"/>
    <s v="CARRERA PENGKILAP BAN 48 PCH X 200ML 8275 CR03"/>
    <n v="30040040200020"/>
    <n v="0"/>
    <s v="Carrera Pengkilap Ban 200 ml"/>
    <x v="2"/>
    <s v="8992746700417"/>
    <x v="3"/>
    <s v="CARRERA PENGKILAP BAN"/>
    <s v="G1044"/>
    <x v="20"/>
    <n v="14"/>
    <s v="CARRERA PENGKILAP BAN 200ML X 48 PCH"/>
    <n v="36"/>
    <m/>
    <s v="G1"/>
    <s v="CARRERA"/>
    <s v="04"/>
    <s v="PENGKILAP BAN"/>
    <n v="4"/>
    <m/>
    <s v="0"/>
    <m/>
    <s v="00"/>
    <s v="200ML"/>
    <s v="0200"/>
    <s v="PCH"/>
    <n v="1"/>
    <m/>
    <n v="0"/>
    <m/>
    <m/>
    <m/>
    <n v="30040040200020"/>
    <m/>
    <m/>
    <n v="48"/>
    <n v="11930.6"/>
    <n v="572668.80000000005"/>
    <n v="13242.966000000002"/>
    <n v="635662.36800000013"/>
    <n v="12760"/>
    <n v="612480"/>
    <n v="14163.6"/>
    <n v="679852.8"/>
    <n v="0"/>
    <n v="0"/>
    <n v="0"/>
    <n v="0"/>
    <n v="6.4999999999999974E-2"/>
    <n v="-11930.6"/>
    <e v="#DIV/0!"/>
    <m/>
    <m/>
    <s v="Lama"/>
    <s v="Sama"/>
    <m/>
    <s v="IDR"/>
    <s v="0200"/>
    <s v="200ML"/>
    <m/>
    <m/>
    <s v="KRT"/>
    <s v="GD01"/>
    <n v="11611"/>
    <n v="11612"/>
    <m/>
    <n v="1"/>
    <m/>
    <n v="48"/>
  </r>
  <r>
    <s v="G1044000040010"/>
    <m/>
    <n v="30032000050010"/>
    <x v="24"/>
    <s v="CARRERA PENGKILAP BAN 12 BTL X 400ML 14989 CR09"/>
    <n v="30043040400000"/>
    <n v="0"/>
    <s v="CARRERA P`KILAP BAN FOAM  400ML"/>
    <x v="3"/>
    <s v="8992745705314"/>
    <x v="6"/>
    <s v="CARRERA PENGKILAP BAN"/>
    <s v="G1044"/>
    <x v="21"/>
    <n v="14"/>
    <s v="CARRERA PENGKILAP BAN 400ML X 12 BTL"/>
    <n v="36"/>
    <m/>
    <s v="G1"/>
    <s v="CARRERA"/>
    <s v="04"/>
    <s v="PENGKILAP BAN"/>
    <n v="4"/>
    <m/>
    <s v="0"/>
    <m/>
    <s v="00"/>
    <s v="400ML"/>
    <s v="0400"/>
    <s v="BTL"/>
    <n v="1"/>
    <m/>
    <n v="0"/>
    <m/>
    <m/>
    <m/>
    <n v="30043040400000"/>
    <m/>
    <m/>
    <n v="12"/>
    <n v="34379.949999999997"/>
    <n v="412559.39999999997"/>
    <n v="38161.744500000001"/>
    <n v="457940.93400000001"/>
    <n v="36770"/>
    <n v="441240"/>
    <n v="40814.700000000004"/>
    <n v="489776.4"/>
    <n v="0"/>
    <n v="0"/>
    <n v="0"/>
    <n v="0"/>
    <n v="6.5000000000000085E-2"/>
    <n v="-34379.949999999997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45000010010"/>
    <m/>
    <n v="30032030060000"/>
    <x v="25"/>
    <s v="CARRERA POLES MOTOR 24 PUMP X 100ML 9093 CR12"/>
    <n v="30044060100040"/>
    <n v="0"/>
    <s v="Carrera PolesMtr SG PUMP 100ml"/>
    <x v="5"/>
    <s v="8992745705284"/>
    <x v="7"/>
    <s v="CARRERA POLES MOTOR"/>
    <s v="G1045"/>
    <x v="22"/>
    <n v="14"/>
    <s v="CARRERA POLES MOTOR 100ML X 24 PUMP"/>
    <n v="35"/>
    <m/>
    <s v="G1"/>
    <s v="CARRERA"/>
    <s v="04"/>
    <s v="POLES MOTOR"/>
    <n v="5"/>
    <m/>
    <s v="0"/>
    <m/>
    <s v="00"/>
    <s v="100ML"/>
    <s v="0100"/>
    <s v="PUMP"/>
    <n v="1"/>
    <m/>
    <n v="0"/>
    <m/>
    <m/>
    <m/>
    <n v="30044060100040"/>
    <m/>
    <m/>
    <n v="24"/>
    <n v="10415.9"/>
    <n v="249981.59999999998"/>
    <n v="11561.649000000001"/>
    <n v="277479.576"/>
    <n v="11140"/>
    <n v="267360"/>
    <n v="12365.400000000001"/>
    <n v="296769.60000000003"/>
    <n v="0"/>
    <n v="0"/>
    <n v="0"/>
    <n v="0"/>
    <n v="6.500000000000003E-2"/>
    <n v="-10415.9"/>
    <e v="#DIV/0!"/>
    <m/>
    <m/>
    <s v="Lama"/>
    <s v="Sama"/>
    <m/>
    <s v="IDR"/>
    <s v="0100"/>
    <s v="100ML"/>
    <m/>
    <m/>
    <s v="KRT"/>
    <s v="GD01"/>
    <n v="11611"/>
    <n v="11612"/>
    <m/>
    <n v="1"/>
    <m/>
    <n v="24"/>
  </r>
  <r>
    <s v="G1046101040010"/>
    <m/>
    <n v="30045050400020"/>
    <x v="26"/>
    <s v="CARRERA REF WASH&amp;WAX 12 PCH X 400ML 8273 CR07"/>
    <n v="30041100180020"/>
    <n v="0"/>
    <s v="Carrera Wash&amp; Wax Refill 400ml"/>
    <x v="3"/>
    <s v="8992745700401"/>
    <x v="3"/>
    <s v="CARRERA WASH&amp;WAX"/>
    <s v="G1046"/>
    <x v="23"/>
    <n v="14"/>
    <s v="CARRERA WASH&amp;WAX REFILL 400ML X 12 PCH"/>
    <n v="38"/>
    <m/>
    <s v="G1"/>
    <s v="CARRERA"/>
    <s v="04"/>
    <s v="WASH&amp;WAX"/>
    <n v="6"/>
    <s v="REFILL"/>
    <s v="1"/>
    <m/>
    <s v="01"/>
    <s v="400ML"/>
    <s v="0400"/>
    <s v="PCH"/>
    <n v="1"/>
    <m/>
    <n v="0"/>
    <m/>
    <m/>
    <m/>
    <n v="30041100180020"/>
    <m/>
    <m/>
    <n v="12"/>
    <n v="15118.95"/>
    <n v="181427.40000000002"/>
    <n v="16782.034500000002"/>
    <n v="201384.41400000005"/>
    <n v="16170"/>
    <n v="194040"/>
    <n v="17948.7"/>
    <n v="215384.40000000002"/>
    <n v="0"/>
    <n v="0"/>
    <n v="0"/>
    <n v="0"/>
    <n v="6.4999999999999961E-2"/>
    <n v="-15118.9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47101040010"/>
    <m/>
    <n v="30040010175000"/>
    <x v="27"/>
    <s v="CARRERA SHP MOBIL 12 PCH X 400ML 8267 CR13"/>
    <n v="30045050400020"/>
    <n v="0"/>
    <s v="Carrera Shampoo Mobil 400 ml"/>
    <x v="3"/>
    <s v="8992746700844"/>
    <x v="3"/>
    <s v="CARRERA SHAMPOO"/>
    <s v="G1047"/>
    <x v="24"/>
    <n v="14"/>
    <s v="CARRERA SHAMPOO MOBIL 400ML X 12 PCH"/>
    <n v="36"/>
    <m/>
    <s v="G1"/>
    <s v="CARRERA"/>
    <s v="04"/>
    <s v="SHAMPOO"/>
    <n v="7"/>
    <s v="MOBIL"/>
    <s v="1"/>
    <m/>
    <s v="01"/>
    <s v="400ML"/>
    <s v="0400"/>
    <s v="PCH"/>
    <n v="1"/>
    <m/>
    <n v="0"/>
    <m/>
    <m/>
    <m/>
    <n v="30045050400020"/>
    <m/>
    <m/>
    <n v="12"/>
    <n v="6068.15"/>
    <n v="72817.799999999988"/>
    <n v="6735.6464999999998"/>
    <n v="80827.757999999987"/>
    <n v="6490"/>
    <n v="77880"/>
    <n v="7203.9000000000005"/>
    <n v="86446.8"/>
    <n v="0"/>
    <n v="0"/>
    <n v="0"/>
    <n v="0"/>
    <n v="6.5000000000000058E-2"/>
    <n v="-6068.1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47101080010"/>
    <m/>
    <n v="30040040200020"/>
    <x v="28"/>
    <s v="CARRERA SHP MOBIL 12 PCH X 800ML 8266 CR14"/>
    <n v="30045050800020"/>
    <n v="0"/>
    <s v="Carrera Shampoo Mobil 800 ml"/>
    <x v="3"/>
    <s v="8992746700875"/>
    <x v="3"/>
    <s v="CARRERA SHAMPOO"/>
    <s v="G1047"/>
    <x v="25"/>
    <n v="14"/>
    <s v="CARRERA SHAMPOO MOBIL 800ML X 12 PCH"/>
    <n v="36"/>
    <m/>
    <s v="G1"/>
    <s v="CARRERA"/>
    <s v="04"/>
    <s v="SHAMPOO"/>
    <n v="7"/>
    <s v="MOBIL"/>
    <s v="1"/>
    <m/>
    <s v="01"/>
    <s v="800ML"/>
    <s v="0800"/>
    <s v="PCH"/>
    <n v="1"/>
    <m/>
    <n v="0"/>
    <m/>
    <m/>
    <m/>
    <n v="30045050800020"/>
    <m/>
    <m/>
    <n v="12"/>
    <n v="9901.65"/>
    <n v="118819.79999999999"/>
    <n v="10990.8315"/>
    <n v="131889.978"/>
    <n v="10590"/>
    <n v="127080"/>
    <n v="11754.900000000001"/>
    <n v="141058.80000000002"/>
    <n v="0"/>
    <n v="0"/>
    <n v="0"/>
    <n v="0"/>
    <n v="6.500000000000003E-2"/>
    <n v="-9901.65"/>
    <e v="#DIV/0!"/>
    <m/>
    <m/>
    <s v="Lama"/>
    <s v="Sama"/>
    <m/>
    <s v="IDR"/>
    <s v="0800"/>
    <s v="800ML"/>
    <m/>
    <m/>
    <s v="KRT"/>
    <s v="GD01"/>
    <n v="11611"/>
    <n v="11612"/>
    <m/>
    <n v="1"/>
    <m/>
    <n v="12"/>
  </r>
  <r>
    <s v="G1047202002020"/>
    <m/>
    <n v="30041100180020"/>
    <x v="29"/>
    <s v="CARRERA SHP MOTOR 144 PCS X 20ML 24'S 09997 CR21"/>
    <n v="30045060020010"/>
    <n v="0"/>
    <s v="Carrera SHAMPOOMotor 24`S 20ml"/>
    <x v="1"/>
    <s v="8992746700769"/>
    <x v="5"/>
    <s v="CARRERA SHAMPOO"/>
    <s v="G1047"/>
    <x v="26"/>
    <n v="14"/>
    <s v="CARRERA SHAMPOO MOTOR 20ML X 144 PCS"/>
    <n v="36"/>
    <m/>
    <s v="G1"/>
    <s v="CARRERA"/>
    <s v="04"/>
    <s v="SHAMPOO"/>
    <n v="7"/>
    <s v="MOTOR"/>
    <s v="2"/>
    <m/>
    <s v="02"/>
    <s v="20ML"/>
    <s v="0020"/>
    <s v="PCS"/>
    <n v="2"/>
    <m/>
    <n v="0"/>
    <m/>
    <m/>
    <m/>
    <n v="30045060020010"/>
    <m/>
    <m/>
    <n v="144"/>
    <n v="336.6"/>
    <n v="48470.400000000001"/>
    <n v="373.62600000000003"/>
    <n v="53802.144000000008"/>
    <n v="360"/>
    <n v="51840"/>
    <n v="399.6"/>
    <n v="57542.400000000001"/>
    <n v="0"/>
    <n v="0"/>
    <n v="0"/>
    <n v="0"/>
    <n v="6.4999999999999933E-2"/>
    <n v="-336.6"/>
    <e v="#DIV/0!"/>
    <m/>
    <m/>
    <s v="Lama"/>
    <s v="Sama"/>
    <m/>
    <s v="IDR"/>
    <s v="0020"/>
    <s v="20ML"/>
    <m/>
    <m/>
    <s v="KRT"/>
    <s v="GD01"/>
    <n v="11611"/>
    <n v="11612"/>
    <m/>
    <n v="1"/>
    <m/>
    <n v="144"/>
  </r>
  <r>
    <s v="G1048101018010"/>
    <m/>
    <n v="30043040400000"/>
    <x v="30"/>
    <s v="CARRERA SPON MOBIL 24 PCS X 180GR 7529 CR15"/>
    <n v="30046050180010"/>
    <n v="0"/>
    <s v="CARRERA SPON SABUT MOBIL"/>
    <x v="5"/>
    <s v="8992745700913"/>
    <x v="5"/>
    <s v="CARRERA SPON"/>
    <s v="G1048"/>
    <x v="27"/>
    <n v="14"/>
    <s v="CARRERA SPON MOBIL 180GR X 24 PCS"/>
    <n v="33"/>
    <m/>
    <s v="G1"/>
    <s v="CARRERA"/>
    <s v="04"/>
    <s v="SPON"/>
    <n v="8"/>
    <s v="MOBIL"/>
    <s v="1"/>
    <m/>
    <s v="01"/>
    <s v="180GR"/>
    <s v="0180"/>
    <s v="PCS"/>
    <n v="1"/>
    <m/>
    <n v="0"/>
    <m/>
    <m/>
    <m/>
    <n v="30046050180010"/>
    <m/>
    <m/>
    <n v="24"/>
    <n v="11537.9"/>
    <n v="276909.59999999998"/>
    <n v="12807.069000000001"/>
    <n v="307369.65600000002"/>
    <n v="12340"/>
    <n v="296160"/>
    <n v="13697.400000000001"/>
    <n v="328737.60000000003"/>
    <n v="0"/>
    <n v="0"/>
    <n v="0"/>
    <n v="0"/>
    <n v="6.500000000000003E-2"/>
    <n v="-11537.9"/>
    <e v="#DIV/0!"/>
    <m/>
    <m/>
    <s v="Lama"/>
    <s v="Sama"/>
    <m/>
    <s v="IDR"/>
    <s v="0180"/>
    <s v="180GR"/>
    <m/>
    <m/>
    <s v="KRT"/>
    <s v="GD01"/>
    <n v="11611"/>
    <n v="11612"/>
    <m/>
    <n v="1"/>
    <m/>
    <n v="24"/>
  </r>
  <r>
    <s v="G1048202018010"/>
    <m/>
    <n v="30042030110000"/>
    <x v="31"/>
    <s v="CARRERA SPON MOTOR 144 PCS X 180GR 8280 CR16"/>
    <n v="30046060180010"/>
    <n v="0"/>
    <s v="CARRERA SPON MOTOR"/>
    <x v="1"/>
    <s v="8992745705031"/>
    <x v="5"/>
    <s v="CARRERA SPON"/>
    <s v="G1048"/>
    <x v="28"/>
    <n v="14"/>
    <s v="CARRERA SPON MOTOR 180GR X 144 PCS"/>
    <n v="34"/>
    <m/>
    <s v="G1"/>
    <s v="CARRERA"/>
    <s v="04"/>
    <s v="SPON"/>
    <n v="8"/>
    <s v="MOTOR"/>
    <s v="2"/>
    <m/>
    <s v="02"/>
    <s v="180GR"/>
    <s v="0180"/>
    <s v="PCS"/>
    <n v="1"/>
    <m/>
    <n v="0"/>
    <m/>
    <m/>
    <m/>
    <n v="30046060180010"/>
    <m/>
    <m/>
    <n v="144"/>
    <n v="2215.9499999999998"/>
    <n v="319096.8"/>
    <n v="2459.7044999999998"/>
    <n v="354197.44800000003"/>
    <n v="2370"/>
    <n v="341280"/>
    <n v="2630.7000000000003"/>
    <n v="378820.80000000005"/>
    <n v="0"/>
    <n v="0"/>
    <n v="0"/>
    <n v="0"/>
    <n v="6.5000000000000072E-2"/>
    <n v="-2215.9499999999998"/>
    <e v="#DIV/0!"/>
    <m/>
    <m/>
    <s v="Lama"/>
    <s v="Sama"/>
    <m/>
    <s v="IDR"/>
    <s v="0180"/>
    <s v="180GR"/>
    <m/>
    <m/>
    <s v="KRT"/>
    <s v="GD01"/>
    <n v="11611"/>
    <n v="11612"/>
    <m/>
    <n v="1"/>
    <m/>
    <n v="144"/>
  </r>
  <r>
    <s v="G1048303018010"/>
    <m/>
    <n v="30044060100040"/>
    <x v="32"/>
    <s v="CARRERA SPON SERBA GUNA 24 PCS X 180GR 7530 CR17"/>
    <n v="30046090180010"/>
    <n v="0"/>
    <s v="Carrera Spon Serba Guna"/>
    <x v="5"/>
    <s v="8992745700951"/>
    <x v="5"/>
    <s v="CARRERA SPON"/>
    <s v="G1048"/>
    <x v="29"/>
    <n v="14"/>
    <s v="CARRERA SPON SERBA GUNA 180GR X 24 PCS"/>
    <n v="38"/>
    <m/>
    <s v="G1"/>
    <s v="CARRERA"/>
    <s v="04"/>
    <s v="SPON"/>
    <n v="8"/>
    <s v="SERBA GUNA"/>
    <s v="3"/>
    <m/>
    <s v="03"/>
    <s v="180GR"/>
    <s v="0180"/>
    <s v="PCS"/>
    <n v="1"/>
    <m/>
    <n v="0"/>
    <m/>
    <m/>
    <m/>
    <n v="30046090180010"/>
    <m/>
    <m/>
    <n v="24"/>
    <n v="7077.95"/>
    <n v="169870.8"/>
    <n v="7856.5245000000004"/>
    <n v="188556.58800000002"/>
    <n v="7570"/>
    <n v="181680"/>
    <n v="8402.7000000000007"/>
    <n v="201664.80000000002"/>
    <n v="0"/>
    <n v="0"/>
    <n v="0"/>
    <n v="0"/>
    <n v="6.500000000000003E-2"/>
    <n v="-7077.95"/>
    <e v="#DIV/0!"/>
    <m/>
    <m/>
    <s v="Lama"/>
    <s v="Sama"/>
    <m/>
    <s v="IDR"/>
    <s v="0180"/>
    <s v="180GR"/>
    <m/>
    <m/>
    <s v="KRT"/>
    <s v="GD01"/>
    <n v="11611"/>
    <n v="11612"/>
    <m/>
    <n v="1"/>
    <m/>
    <n v="24"/>
  </r>
  <r>
    <s v="G1049000025010"/>
    <m/>
    <n v="30040070250000"/>
    <x v="33"/>
    <s v="CARRERA WIPER&amp;WASH 12 BTL X 250ML &quot;8271&quot;CR04"/>
    <n v="30040070250000"/>
    <n v="0"/>
    <n v="0"/>
    <x v="3"/>
    <n v="0"/>
    <x v="6"/>
    <s v="CARRERA WIPER&amp;WASH"/>
    <s v="G1049"/>
    <x v="30"/>
    <n v="14"/>
    <s v="CARRERA WIPER&amp;WASH 250ML X 12 BTL"/>
    <n v="33"/>
    <m/>
    <s v="G1"/>
    <s v="CARRERA"/>
    <s v="04"/>
    <s v="WIPER&amp;WASH"/>
    <n v="9"/>
    <m/>
    <s v="0"/>
    <m/>
    <s v="00"/>
    <s v="250ML"/>
    <s v="0250"/>
    <s v="BTL"/>
    <n v="1"/>
    <m/>
    <n v="0"/>
    <m/>
    <m/>
    <m/>
    <n v="30040070250000"/>
    <m/>
    <m/>
    <n v="12"/>
    <n v="4338.3999999999996"/>
    <n v="52060.799999999996"/>
    <n v="4815.6239999999998"/>
    <n v="57787.487999999998"/>
    <n v="4640"/>
    <n v="55680"/>
    <n v="5150.4000000000005"/>
    <n v="61804.800000000003"/>
    <n v="0"/>
    <n v="0"/>
    <n v="0"/>
    <n v="0"/>
    <n v="6.5000000000000072E-2"/>
    <n v="-4338.3999999999996"/>
    <e v="#DIV/0!"/>
    <m/>
    <m/>
    <s v="Lama"/>
    <s v="Sama"/>
    <m/>
    <s v="IDR"/>
    <s v="0250"/>
    <s v="250ML"/>
    <m/>
    <m/>
    <s v="KRT"/>
    <s v="GD01"/>
    <n v="11611"/>
    <n v="11612"/>
    <m/>
    <n v="1"/>
    <m/>
    <n v="12"/>
  </r>
  <r>
    <s v="G1051001003010"/>
    <m/>
    <n v="30050020030000"/>
    <x v="34"/>
    <s v="FOGO PENG. LEMARI BREEZE 72 PCS X 30GR&quot;8198&quot;FPL02"/>
    <n v="30050020030000"/>
    <n v="0"/>
    <n v="0"/>
    <x v="6"/>
    <n v="0"/>
    <x v="5"/>
    <s v="FOGO PENGHARUM LEMARI"/>
    <s v="G1051"/>
    <x v="31"/>
    <n v="14"/>
    <s v="FOGO PENGHARUM LEMARI BREEZE 30GR X 72 PCS"/>
    <n v="42"/>
    <m/>
    <s v="G1"/>
    <s v="FOGO"/>
    <s v="05"/>
    <s v="PENGHARUM LEMARI"/>
    <n v="1"/>
    <m/>
    <s v="0"/>
    <s v="BREEZE"/>
    <s v="01"/>
    <s v="30GR"/>
    <s v="0030"/>
    <s v="PCS"/>
    <n v="1"/>
    <m/>
    <n v="0"/>
    <m/>
    <m/>
    <m/>
    <n v="30050020030000"/>
    <m/>
    <m/>
    <n v="72"/>
    <n v="5792.3249999999998"/>
    <n v="417047.39999999997"/>
    <n v="6429.4807500000006"/>
    <n v="462922.614"/>
    <n v="6195"/>
    <n v="446040"/>
    <n v="6876.4500000000007"/>
    <n v="495104.4"/>
    <n v="0"/>
    <n v="0"/>
    <n v="0"/>
    <n v="0"/>
    <n v="6.500000000000003E-2"/>
    <n v="-5792.3249999999998"/>
    <e v="#DIV/0!"/>
    <m/>
    <m/>
    <s v="Lama"/>
    <s v="Sama"/>
    <m/>
    <s v="IDR"/>
    <s v="0030"/>
    <s v="30GR"/>
    <m/>
    <m/>
    <s v="KRT"/>
    <s v="GD01"/>
    <n v="11611"/>
    <n v="11612"/>
    <m/>
    <n v="1"/>
    <m/>
    <n v="72"/>
  </r>
  <r>
    <s v="G1051002003010"/>
    <m/>
    <n v="30045060020010"/>
    <x v="35"/>
    <s v="FOGO PENG. LEMARI FLORAL 72 PCS X 30GR 8199 FPL03"/>
    <n v="30050030030000"/>
    <n v="0"/>
    <s v="Fogo Lemari Floral 30 gr"/>
    <x v="6"/>
    <s v="8992745330110"/>
    <x v="5"/>
    <s v="FOGO PENGHARUM LEMARI"/>
    <s v="G1051"/>
    <x v="32"/>
    <n v="14"/>
    <s v="FOGO PENGHARUM LEMARI FLORAL 30GR X 72 PCS"/>
    <n v="42"/>
    <m/>
    <s v="G1"/>
    <s v="FOGO"/>
    <s v="05"/>
    <s v="PENGHARUM LEMARI"/>
    <n v="1"/>
    <m/>
    <s v="0"/>
    <s v="FLORAL"/>
    <s v="02"/>
    <s v="30GR"/>
    <s v="0030"/>
    <s v="PCS"/>
    <n v="1"/>
    <m/>
    <n v="0"/>
    <m/>
    <m/>
    <m/>
    <n v="30050030030000"/>
    <m/>
    <m/>
    <n v="72"/>
    <n v="6390.7250000000004"/>
    <n v="460132.2"/>
    <n v="7093.7047500000008"/>
    <n v="510746.74200000009"/>
    <n v="6835"/>
    <n v="492120"/>
    <n v="7586.85"/>
    <n v="546253.20000000007"/>
    <n v="0"/>
    <n v="0"/>
    <n v="0"/>
    <n v="0"/>
    <n v="6.4999999999999947E-2"/>
    <n v="-6390.7250000000004"/>
    <e v="#DIV/0!"/>
    <m/>
    <m/>
    <s v="Lama"/>
    <s v="Sama"/>
    <m/>
    <s v="IDR"/>
    <s v="0030"/>
    <s v="30GR"/>
    <m/>
    <m/>
    <s v="KRT"/>
    <s v="GD01"/>
    <n v="11611"/>
    <n v="11612"/>
    <m/>
    <n v="1"/>
    <m/>
    <n v="72"/>
  </r>
  <r>
    <s v="G1051003003010"/>
    <m/>
    <n v="30046050180010"/>
    <x v="36"/>
    <s v="FOGO PENG. LEMARI FRESH 72 PCS X 30GR 8200 FPL04"/>
    <n v="30050040030000"/>
    <n v="0"/>
    <s v="Fogo Lemari Fresh 30 gr"/>
    <x v="6"/>
    <s v="8992745330127"/>
    <x v="5"/>
    <s v="FOGO PENGHARUM LEMARI"/>
    <s v="G1051"/>
    <x v="33"/>
    <n v="14"/>
    <s v="FOGO PENGHARUM LEMARI FRESH 30GR X 72 PCS"/>
    <n v="41"/>
    <m/>
    <s v="G1"/>
    <s v="FOGO"/>
    <s v="05"/>
    <s v="PENGHARUM LEMARI"/>
    <n v="1"/>
    <m/>
    <s v="0"/>
    <s v="FRESH"/>
    <s v="03"/>
    <s v="30GR"/>
    <s v="0030"/>
    <s v="PCS"/>
    <n v="1"/>
    <m/>
    <n v="0"/>
    <m/>
    <m/>
    <m/>
    <n v="30050040030000"/>
    <m/>
    <m/>
    <n v="72"/>
    <n v="6390.7250000000004"/>
    <n v="460132.2"/>
    <n v="7093.7047500000008"/>
    <n v="510746.74200000009"/>
    <n v="6835"/>
    <n v="492120"/>
    <n v="7586.85"/>
    <n v="546253.20000000007"/>
    <n v="0"/>
    <n v="0"/>
    <n v="0"/>
    <n v="0"/>
    <n v="6.4999999999999947E-2"/>
    <n v="-6390.7250000000004"/>
    <e v="#DIV/0!"/>
    <m/>
    <m/>
    <s v="Lama"/>
    <s v="Sama"/>
    <m/>
    <s v="IDR"/>
    <s v="0030"/>
    <s v="30GR"/>
    <m/>
    <m/>
    <s v="KRT"/>
    <s v="GD01"/>
    <n v="11611"/>
    <n v="11612"/>
    <m/>
    <n v="1"/>
    <m/>
    <n v="72"/>
  </r>
  <r>
    <s v="G1051004001210"/>
    <m/>
    <n v="30046060180010"/>
    <x v="37"/>
    <s v="FOGO PENG. LEMARI PRINCES 72 PCSX12GR 14892 FPL01"/>
    <n v="30050010012000"/>
    <n v="0"/>
    <s v="FOGO LEMARI PAPER PRINCESS 12G"/>
    <x v="6"/>
    <s v="8992745330134"/>
    <x v="5"/>
    <s v="FOGO PENGHARUM LEMARI"/>
    <s v="G1051"/>
    <x v="34"/>
    <n v="14"/>
    <s v="FOGO PENGHARUM LEMARI PRINCESS 12GR X 72 PCS"/>
    <n v="44"/>
    <m/>
    <s v="G1"/>
    <s v="FOGO"/>
    <s v="05"/>
    <s v="PENGHARUM LEMARI"/>
    <n v="1"/>
    <m/>
    <s v="0"/>
    <s v="PRINCESS"/>
    <s v="04"/>
    <s v="12GR"/>
    <s v="0012"/>
    <s v="PCS"/>
    <n v="1"/>
    <m/>
    <n v="0"/>
    <m/>
    <m/>
    <m/>
    <n v="30050010012000"/>
    <m/>
    <m/>
    <n v="72"/>
    <n v="6390.7250000000004"/>
    <n v="460132.2"/>
    <n v="7093.7047500000008"/>
    <n v="510746.74200000009"/>
    <n v="6835"/>
    <n v="492120"/>
    <n v="7586.85"/>
    <n v="546253.20000000007"/>
    <n v="0"/>
    <n v="0"/>
    <n v="0"/>
    <n v="0"/>
    <n v="6.4999999999999947E-2"/>
    <n v="-6390.7250000000004"/>
    <e v="#DIV/0!"/>
    <m/>
    <m/>
    <s v="Lama"/>
    <s v="Sama"/>
    <m/>
    <s v="IDR"/>
    <s v="0012"/>
    <s v="12GR"/>
    <m/>
    <m/>
    <s v="KRT"/>
    <s v="GD01"/>
    <n v="11611"/>
    <n v="11612"/>
    <m/>
    <n v="1"/>
    <m/>
    <n v="72"/>
  </r>
  <r>
    <s v="G1061000022010"/>
    <m/>
    <n v="30046090180010"/>
    <x v="38"/>
    <s v="GAS WONDERFUEL 12 KLG X 220GR 7868 GAS01"/>
    <n v="30700010220000"/>
    <n v="0"/>
    <s v="GAS WONDERFUEL 220gr"/>
    <x v="3"/>
    <s v="8992745600350"/>
    <x v="8"/>
    <s v="GAS WONDERFUEL"/>
    <s v="G1061"/>
    <x v="35"/>
    <n v="14"/>
    <s v="GAS WONDERFUEL 220GR X 12 KLG"/>
    <n v="29"/>
    <m/>
    <s v="G1"/>
    <s v="GAS"/>
    <s v="06"/>
    <s v="WONDERFUEL"/>
    <n v="1"/>
    <m/>
    <s v="0"/>
    <m/>
    <s v="00"/>
    <s v="220GR"/>
    <s v="0220"/>
    <s v="KLG"/>
    <n v="1"/>
    <m/>
    <n v="0"/>
    <m/>
    <m/>
    <m/>
    <n v="30700010220000"/>
    <m/>
    <m/>
    <n v="12"/>
    <n v="19167.5"/>
    <n v="230010"/>
    <n v="21275.925000000003"/>
    <n v="255311.10000000003"/>
    <n v="20500"/>
    <n v="246000"/>
    <n v="22755.000000000004"/>
    <n v="273060"/>
    <n v="0"/>
    <n v="0"/>
    <n v="0"/>
    <n v="0"/>
    <n v="6.5000000000000002E-2"/>
    <n v="-19167.5"/>
    <e v="#DIV/0!"/>
    <m/>
    <m/>
    <s v="Lama"/>
    <s v="Sama"/>
    <m/>
    <s v="IDR"/>
    <s v="0220"/>
    <s v="220GR"/>
    <m/>
    <m/>
    <s v="KRT"/>
    <s v="GD01"/>
    <n v="11611"/>
    <n v="11612"/>
    <m/>
    <n v="1"/>
    <m/>
    <n v="12"/>
  </r>
  <r>
    <s v="G1070001000010"/>
    <m/>
    <n v="30132060045010"/>
    <x v="39"/>
    <s v="HIT POMPA PLASTIK 120 PCS X 300GR 7596 49639 HP01"/>
    <n v="30150010300000"/>
    <n v="0"/>
    <s v="HIT POMPA PLASTIK ND"/>
    <x v="7"/>
    <s v="8992745120324"/>
    <x v="5"/>
    <s v="HIT"/>
    <s v="G1070"/>
    <x v="36"/>
    <n v="14"/>
    <s v="HIT POMPA PLASTIK X 120 PCS"/>
    <n v="27"/>
    <m/>
    <s v="G1"/>
    <s v="HIT"/>
    <s v="07"/>
    <m/>
    <n v="0"/>
    <m/>
    <s v="0"/>
    <s v="POMPA PLASTIK"/>
    <s v="01"/>
    <m/>
    <s v="0000"/>
    <s v="PCS"/>
    <n v="1"/>
    <m/>
    <n v="0"/>
    <m/>
    <m/>
    <m/>
    <n v="30150010300000"/>
    <m/>
    <m/>
    <n v="120"/>
    <n v="15708"/>
    <n v="1884960"/>
    <n v="17435.88"/>
    <n v="2092305.6"/>
    <n v="16800"/>
    <n v="2016000"/>
    <n v="18648"/>
    <n v="2237760"/>
    <n v="0"/>
    <n v="0"/>
    <n v="0"/>
    <n v="0"/>
    <n v="6.5000000000000002E-2"/>
    <n v="-15708"/>
    <e v="#DIV/0!"/>
    <m/>
    <m/>
    <s v="Lama"/>
    <s v="Sama"/>
    <m/>
    <s v="IDR"/>
    <s v="0000"/>
    <n v="0"/>
    <m/>
    <m/>
    <s v="KRT"/>
    <s v="GD01"/>
    <n v="11611"/>
    <n v="11612"/>
    <m/>
    <n v="1"/>
    <m/>
    <n v="120"/>
  </r>
  <r>
    <s v="G1070001000010"/>
    <m/>
    <m/>
    <x v="40"/>
    <m/>
    <m/>
    <m/>
    <m/>
    <x v="7"/>
    <s v="8992745120324"/>
    <x v="5"/>
    <s v="HIT"/>
    <s v="G1070"/>
    <x v="36"/>
    <n v="14"/>
    <s v="HIT POMPA PLASTIK X 120 PCS"/>
    <n v="27"/>
    <m/>
    <s v="G1"/>
    <s v="HIT"/>
    <s v="07"/>
    <m/>
    <n v="0"/>
    <m/>
    <s v="0"/>
    <s v="POMPA PLASTIK"/>
    <s v="01"/>
    <m/>
    <s v="0000"/>
    <s v="PCS"/>
    <n v="1"/>
    <m/>
    <n v="0"/>
    <m/>
    <m/>
    <m/>
    <n v="0"/>
    <m/>
    <m/>
    <n v="12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120"/>
  </r>
  <r>
    <s v="G1071001020010"/>
    <m/>
    <n v="30071030200000"/>
    <x v="41"/>
    <s v="HIT AE EXPT BLOOM.TEA 12 KLG X 200ML &quot;34832&quot;HAE01"/>
    <n v="30071030200000"/>
    <n v="0"/>
    <n v="0"/>
    <x v="3"/>
    <n v="0"/>
    <x v="8"/>
    <s v="HIT AEROSOL"/>
    <s v="G1071"/>
    <x v="37"/>
    <n v="14"/>
    <s v="HIT AEROSOL BLOOMING TEA 200ML X 12 KLG"/>
    <n v="39"/>
    <m/>
    <s v="G1"/>
    <s v="HIT"/>
    <s v="07"/>
    <s v="AEROSOL"/>
    <n v="1"/>
    <m/>
    <s v="0"/>
    <s v="BLOOMING TEA"/>
    <s v="01"/>
    <s v="200ML"/>
    <s v="0200"/>
    <s v="KLG"/>
    <n v="1"/>
    <m/>
    <n v="0"/>
    <m/>
    <m/>
    <m/>
    <n v="30071030200000"/>
    <m/>
    <m/>
    <n v="12"/>
    <n v="12435.5"/>
    <n v="149226"/>
    <n v="13803.405000000001"/>
    <n v="165640.86000000002"/>
    <n v="13300"/>
    <n v="159600"/>
    <n v="14763.000000000002"/>
    <n v="177156.00000000003"/>
    <n v="0"/>
    <n v="0"/>
    <n v="0"/>
    <n v="0"/>
    <n v="6.5000000000000002E-2"/>
    <n v="-12435.5"/>
    <e v="#DIV/0!"/>
    <m/>
    <m/>
    <s v="Lama"/>
    <s v="Sama"/>
    <m/>
    <s v="IDR"/>
    <s v="0200"/>
    <s v="200ML"/>
    <m/>
    <m/>
    <s v="KRT"/>
    <s v="GD01"/>
    <n v="11611"/>
    <n v="11612"/>
    <m/>
    <n v="1"/>
    <m/>
    <n v="12"/>
  </r>
  <r>
    <s v="G1071002060010"/>
    <m/>
    <n v="30071050600000"/>
    <x v="42"/>
    <s v="HIT AE EXPT CITRUS 12 KLGX600ML &quot;34859&quot;37980&quot;HAE08"/>
    <n v="30071050600000"/>
    <n v="0"/>
    <n v="0"/>
    <x v="3"/>
    <n v="0"/>
    <x v="8"/>
    <s v="HIT AEROSOL"/>
    <s v="G1071"/>
    <x v="38"/>
    <n v="14"/>
    <s v="HIT AEROSOL CITRUS 600ML X 12 KLG"/>
    <n v="33"/>
    <m/>
    <s v="G1"/>
    <s v="HIT"/>
    <s v="07"/>
    <s v="AEROSOL"/>
    <n v="1"/>
    <m/>
    <s v="0"/>
    <s v="CITRUS"/>
    <s v="02"/>
    <s v="600ML"/>
    <s v="0600"/>
    <s v="KLG"/>
    <n v="1"/>
    <m/>
    <n v="0"/>
    <m/>
    <m/>
    <m/>
    <n v="30071050600000"/>
    <m/>
    <m/>
    <n v="12"/>
    <n v="28564.25"/>
    <n v="342771"/>
    <n v="31706.317500000001"/>
    <n v="380475.81000000006"/>
    <n v="30550"/>
    <n v="366600"/>
    <n v="33910.5"/>
    <n v="406926.00000000006"/>
    <n v="0"/>
    <n v="0"/>
    <n v="0"/>
    <n v="0"/>
    <n v="6.5000000000000002E-2"/>
    <n v="-28564.2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3040010"/>
    <m/>
    <n v="30047110200000"/>
    <x v="43"/>
    <s v="HIT AE COTTON POWDER 12 KLGX400ML 58477 60008 HA36"/>
    <n v="30070030400000"/>
    <n v="0"/>
    <s v="HIT AER COTTON POWDER 400+40ML EXTRA"/>
    <x v="3"/>
    <s v="8992745000631"/>
    <x v="8"/>
    <s v="HIT AEROSOL"/>
    <s v="G1071"/>
    <x v="39"/>
    <n v="14"/>
    <s v="HIT AEROSOL COTTON POWDER 400ML X 12 KLG"/>
    <n v="40"/>
    <m/>
    <s v="G1"/>
    <s v="HIT"/>
    <s v="07"/>
    <s v="AEROSOL"/>
    <n v="1"/>
    <m/>
    <s v="0"/>
    <s v="COTTON POWDER"/>
    <s v="03"/>
    <s v="400ML"/>
    <s v="0400"/>
    <s v="KLG"/>
    <n v="1"/>
    <m/>
    <n v="0"/>
    <m/>
    <m/>
    <m/>
    <n v="3007003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3040010"/>
    <m/>
    <n v="30050010012000"/>
    <x v="44"/>
    <s v="HIT AE COTTON POWDER 12 KLGX400ML 58477 60008 HA36"/>
    <n v="30070030400000"/>
    <n v="0"/>
    <s v="HIT AER COTTON POWDER 400ML."/>
    <x v="3"/>
    <s v="8992745000631"/>
    <x v="8"/>
    <s v="HIT AEROSOL"/>
    <s v="G1071"/>
    <x v="39"/>
    <n v="14"/>
    <s v="HIT AEROSOL COTTON POWDER 400ML X 12 KLG"/>
    <n v="40"/>
    <m/>
    <s v="G1"/>
    <s v="HIT"/>
    <s v="07"/>
    <s v="AEROSOL"/>
    <n v="1"/>
    <m/>
    <s v="0"/>
    <s v="COTTON POWDER"/>
    <s v="03"/>
    <s v="400ML"/>
    <s v="0400"/>
    <s v="KLG"/>
    <n v="1"/>
    <m/>
    <n v="0"/>
    <m/>
    <m/>
    <m/>
    <n v="3007003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3060010"/>
    <m/>
    <n v="30050030030000"/>
    <x v="45"/>
    <s v="HIT AE COTTON POWDER 12 KLG X 600ML 60009 HA37"/>
    <n v="30070030600000"/>
    <n v="0"/>
    <s v="HIT AER COTTON POWDER 600+50ML EXTRA"/>
    <x v="3"/>
    <s v="8992745000648"/>
    <x v="8"/>
    <s v="HIT AEROSOL"/>
    <s v="G1071"/>
    <x v="40"/>
    <n v="14"/>
    <s v="HIT AEROSOL COTTON POWDER 600ML X 12 KLG"/>
    <n v="40"/>
    <m/>
    <s v="G1"/>
    <s v="HIT"/>
    <s v="07"/>
    <s v="AEROSOL"/>
    <n v="1"/>
    <m/>
    <s v="0"/>
    <s v="COTTON POWDER"/>
    <s v="03"/>
    <s v="600ML"/>
    <s v="0600"/>
    <s v="KLG"/>
    <n v="1"/>
    <m/>
    <n v="0"/>
    <m/>
    <m/>
    <m/>
    <n v="3007003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3060010"/>
    <m/>
    <n v="30050040030000"/>
    <x v="46"/>
    <s v="HIT AE COTTON POWDER 12 KLG X 600ML 60009 HA37"/>
    <n v="30070030600000"/>
    <n v="0"/>
    <s v="HIT AER COTTON POWDER 600ML."/>
    <x v="3"/>
    <s v="8992745000648"/>
    <x v="8"/>
    <s v="HIT AEROSOL"/>
    <s v="G1071"/>
    <x v="40"/>
    <n v="14"/>
    <s v="HIT AEROSOL COTTON POWDER 600ML X 12 KLG"/>
    <n v="40"/>
    <m/>
    <s v="G1"/>
    <s v="HIT"/>
    <s v="07"/>
    <s v="AEROSOL"/>
    <n v="1"/>
    <m/>
    <s v="0"/>
    <s v="COTTON POWDER"/>
    <s v="03"/>
    <s v="600ML"/>
    <s v="0600"/>
    <s v="KLG"/>
    <n v="1"/>
    <m/>
    <n v="0"/>
    <m/>
    <m/>
    <m/>
    <n v="3007003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3075010"/>
    <m/>
    <n v="30070090600000"/>
    <x v="47"/>
    <s v="HIT AE COTTON POWDER 12 KLG X 750ML 60525 HA45"/>
    <n v="30070030750000"/>
    <n v="0"/>
    <s v="HIT AEROSOL COTTON POWDER 750ML"/>
    <x v="3"/>
    <s v="8992745001232"/>
    <x v="8"/>
    <s v="HIT AEROSOL"/>
    <s v="G1071"/>
    <x v="41"/>
    <n v="14"/>
    <s v="HIT AEROSOL COTTON POWDER 750ML X 12 KLG"/>
    <n v="40"/>
    <m/>
    <s v="G1"/>
    <s v="HIT"/>
    <s v="07"/>
    <s v="AEROSOL"/>
    <n v="1"/>
    <m/>
    <s v="0"/>
    <s v="COTTON POWDER"/>
    <s v="03"/>
    <s v="750ML"/>
    <s v="0750"/>
    <s v="KLG"/>
    <n v="1"/>
    <m/>
    <n v="0"/>
    <m/>
    <m/>
    <m/>
    <n v="30070030750000"/>
    <m/>
    <m/>
    <n v="12"/>
    <n v="35191.53"/>
    <n v="422298.36"/>
    <n v="39062.598300000005"/>
    <n v="468751.17960000003"/>
    <n v="37638"/>
    <n v="451656"/>
    <n v="41778.18"/>
    <n v="501338.16000000003"/>
    <n v="0"/>
    <n v="0"/>
    <n v="0"/>
    <n v="0"/>
    <n v="6.500000000000003E-2"/>
    <n v="-35191.53"/>
    <e v="#DIV/0!"/>
    <m/>
    <m/>
    <s v="Lama"/>
    <s v="Sama"/>
    <m/>
    <s v="IDR"/>
    <s v="0750"/>
    <s v="750ML"/>
    <m/>
    <m/>
    <s v="KRT"/>
    <s v="GD01"/>
    <n v="11611"/>
    <n v="11612"/>
    <m/>
    <n v="1"/>
    <m/>
    <n v="12"/>
  </r>
  <r>
    <s v="G1071004040010"/>
    <m/>
    <n v="30070010150000"/>
    <x v="48"/>
    <s v="HIT AE EXP CITRS 12KLGX415/400ML 39467 59924 HAE07"/>
    <n v="30071050415000"/>
    <n v="0"/>
    <s v="HIT AER FRESH CITRUS 400+40ML EXTRA"/>
    <x v="3"/>
    <s v="8992745120957"/>
    <x v="8"/>
    <s v="HIT AEROSOL"/>
    <s v="G1071"/>
    <x v="42"/>
    <n v="14"/>
    <s v="HIT AEROSOL FRESH CITRUS 415/400ML X 12 KLG"/>
    <n v="43"/>
    <m/>
    <s v="G1"/>
    <s v="HIT"/>
    <s v="07"/>
    <s v="AEROSOL"/>
    <n v="1"/>
    <m/>
    <s v="0"/>
    <s v="FRESH CITRUS"/>
    <s v="04"/>
    <s v="415/400ML"/>
    <s v="0400"/>
    <s v="KLG"/>
    <n v="1"/>
    <m/>
    <n v="0"/>
    <m/>
    <m/>
    <m/>
    <n v="30071050415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4040010"/>
    <m/>
    <n v="30070010150000"/>
    <x v="49"/>
    <s v="HIT AE EXP CITRS 12KLGX415/400ML 39467 59924 HAE07"/>
    <n v="30071050415000"/>
    <n v="0"/>
    <s v="HIT AER FRESH CITRUS 400ML"/>
    <x v="3"/>
    <s v="8992745120957"/>
    <x v="8"/>
    <s v="HIT AEROSOL"/>
    <s v="G1071"/>
    <x v="42"/>
    <n v="14"/>
    <s v="HIT AEROSOL FRESH CITRUS 415/400ML X 12 KLG"/>
    <n v="43"/>
    <m/>
    <s v="G1"/>
    <s v="HIT"/>
    <s v="07"/>
    <s v="AEROSOL"/>
    <n v="1"/>
    <m/>
    <s v="0"/>
    <s v="FRESH CITRUS"/>
    <s v="04"/>
    <s v="415/400ML"/>
    <s v="0400"/>
    <s v="KLG"/>
    <n v="1"/>
    <m/>
    <n v="0"/>
    <m/>
    <m/>
    <m/>
    <n v="30071050415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4060010"/>
    <m/>
    <n v="30070010200000"/>
    <x v="50"/>
    <s v="HIT AE CITRUS 12 KLG X 600ML 60013 39442 HA25"/>
    <n v="30070050600000"/>
    <n v="0"/>
    <s v="HIT AER FRESH CITRUS 600+50ML EXTRA"/>
    <x v="3"/>
    <s v="8992745130406"/>
    <x v="8"/>
    <s v="HIT AEROSOL"/>
    <s v="G1071"/>
    <x v="43"/>
    <n v="14"/>
    <s v="HIT AEROSOL FRESH CITRUS 600ML X 12 KLG"/>
    <n v="39"/>
    <m/>
    <s v="G1"/>
    <s v="HIT"/>
    <s v="07"/>
    <s v="AEROSOL"/>
    <n v="1"/>
    <m/>
    <s v="0"/>
    <s v="FRESH CITRUS"/>
    <s v="04"/>
    <s v="600ML"/>
    <s v="0600"/>
    <s v="KLG"/>
    <n v="1"/>
    <m/>
    <n v="0"/>
    <m/>
    <m/>
    <m/>
    <n v="3007005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4060010"/>
    <m/>
    <n v="30070010200000"/>
    <x v="51"/>
    <s v="HIT AE CITRUS 12 KLG X 600ML 60013 39442 HA25"/>
    <n v="30070050600000"/>
    <n v="30070050600000"/>
    <s v="HIT AER FRESH CITRUS 600ML"/>
    <x v="3"/>
    <s v="8992745130406"/>
    <x v="8"/>
    <s v="HIT AEROSOL"/>
    <s v="G1071"/>
    <x v="43"/>
    <n v="14"/>
    <s v="HIT AEROSOL FRESH CITRUS 600ML X 12 KLG"/>
    <n v="39"/>
    <m/>
    <s v="G1"/>
    <s v="HIT"/>
    <s v="07"/>
    <s v="AEROSOL"/>
    <n v="1"/>
    <m/>
    <s v="0"/>
    <s v="FRESH CITRUS"/>
    <s v="04"/>
    <s v="600ML"/>
    <s v="0600"/>
    <s v="KLG"/>
    <n v="1"/>
    <m/>
    <n v="0"/>
    <m/>
    <m/>
    <m/>
    <n v="3007005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4060010"/>
    <m/>
    <n v="30070010200000"/>
    <x v="52"/>
    <m/>
    <n v="30070050600000"/>
    <m/>
    <m/>
    <x v="3"/>
    <m/>
    <x v="8"/>
    <s v="HIT AEROSOL"/>
    <s v="G1071"/>
    <x v="43"/>
    <n v="14"/>
    <s v="HIT AEROSOL FRESH CITRUS 600ML X 12 KLG"/>
    <n v="39"/>
    <m/>
    <s v="G1"/>
    <s v="HIT"/>
    <s v="07"/>
    <s v="AEROSOL"/>
    <n v="1"/>
    <m/>
    <s v="0"/>
    <s v="FRESH CITRUS"/>
    <s v="04"/>
    <s v="600ML"/>
    <s v="0600"/>
    <s v="KLG"/>
    <n v="1"/>
    <m/>
    <n v="0"/>
    <m/>
    <m/>
    <m/>
    <n v="3007005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5018010"/>
    <m/>
    <n v="30070010415000"/>
    <x v="53"/>
    <s v="HIT AE J.SAKURA 12 KLG X 180ML 49657 60021 HA22"/>
    <n v="30070090200000"/>
    <n v="0"/>
    <s v="HIT AER JAPANESE SAKURA 180+30ML EXTRA"/>
    <x v="3"/>
    <s v="8992745480495"/>
    <x v="8"/>
    <s v="HIT AEROSOL"/>
    <s v="G1071"/>
    <x v="44"/>
    <n v="14"/>
    <s v="HIT AEROSOL JAPANESE SAKURA 180ML X 12 KLG"/>
    <n v="42"/>
    <m/>
    <s v="G1"/>
    <s v="HIT"/>
    <s v="07"/>
    <s v="AEROSOL"/>
    <n v="1"/>
    <m/>
    <s v="0"/>
    <s v="JAPANESE SAKURA"/>
    <s v="05"/>
    <s v="180ML"/>
    <s v="0180"/>
    <s v="KLG"/>
    <n v="1"/>
    <m/>
    <n v="0"/>
    <m/>
    <m/>
    <m/>
    <n v="3007009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5018010"/>
    <m/>
    <n v="30070010600000"/>
    <x v="54"/>
    <s v="HIT AE J.SAKURA 12 KLG X 180ML 49657 60021 HA22"/>
    <n v="30070090200000"/>
    <n v="0"/>
    <s v="HIT AER JAPANESE SAKURA 180ml DF"/>
    <x v="3"/>
    <s v="8992745480495"/>
    <x v="8"/>
    <s v="HIT AEROSOL"/>
    <s v="G1071"/>
    <x v="44"/>
    <n v="14"/>
    <s v="HIT AEROSOL JAPANESE SAKURA 180ML X 12 KLG"/>
    <n v="42"/>
    <m/>
    <s v="G1"/>
    <s v="HIT"/>
    <s v="07"/>
    <s v="AEROSOL"/>
    <n v="1"/>
    <m/>
    <s v="0"/>
    <s v="JAPANESE SAKURA"/>
    <s v="05"/>
    <s v="180ML"/>
    <s v="0180"/>
    <s v="KLG"/>
    <n v="1"/>
    <m/>
    <n v="0"/>
    <m/>
    <m/>
    <m/>
    <n v="3007009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5040010"/>
    <m/>
    <n v="30070010600000"/>
    <x v="55"/>
    <s v="HIT AE J.SAKURA 12 KLG X 400ML 39469 60006 HA23"/>
    <n v="30070090400000"/>
    <n v="0"/>
    <s v="HIT AER JAPANESE SAKURA 400+40ML EXTRA"/>
    <x v="3"/>
    <s v="8992745480617"/>
    <x v="8"/>
    <s v="HIT AEROSOL"/>
    <s v="G1071"/>
    <x v="45"/>
    <n v="14"/>
    <s v="HIT AEROSOL JAPANESE SAKURA 400ML X 12 KLG"/>
    <n v="42"/>
    <m/>
    <s v="G1"/>
    <s v="HIT"/>
    <s v="07"/>
    <s v="AEROSOL"/>
    <n v="1"/>
    <m/>
    <s v="0"/>
    <s v="JAPANESE SAKURA"/>
    <s v="05"/>
    <s v="400ML"/>
    <s v="0400"/>
    <s v="KLG"/>
    <n v="1"/>
    <m/>
    <n v="0"/>
    <m/>
    <m/>
    <m/>
    <n v="3007009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5040010"/>
    <m/>
    <n v="30070020150000"/>
    <x v="56"/>
    <s v="HIT AE J.SAKURA 12 KLG X 400ML 39469 60006 HA23"/>
    <n v="30070090400000"/>
    <n v="0"/>
    <s v="HIT AER JAPANESE SAKURA 400ML"/>
    <x v="3"/>
    <s v="8992745480617"/>
    <x v="8"/>
    <s v="HIT AEROSOL"/>
    <s v="G1071"/>
    <x v="45"/>
    <n v="14"/>
    <s v="HIT AEROSOL JAPANESE SAKURA 400ML X 12 KLG"/>
    <n v="42"/>
    <m/>
    <s v="G1"/>
    <s v="HIT"/>
    <s v="07"/>
    <s v="AEROSOL"/>
    <n v="1"/>
    <m/>
    <s v="0"/>
    <s v="JAPANESE SAKURA"/>
    <s v="05"/>
    <s v="400ML"/>
    <s v="0400"/>
    <s v="KLG"/>
    <n v="1"/>
    <m/>
    <n v="0"/>
    <m/>
    <m/>
    <m/>
    <n v="3007009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5040010"/>
    <m/>
    <n v="30070020150000"/>
    <x v="57"/>
    <s v="HIT AE J.SAKURA 12 KLG X 400ML 39469 60006 HA23"/>
    <n v="30070090400000"/>
    <n v="0"/>
    <s v="HIT AER JAPANESE SAKURA 400ML SN   "/>
    <x v="3"/>
    <s v="8992745480617"/>
    <x v="8"/>
    <s v="HIT AEROSOL"/>
    <s v="G1071"/>
    <x v="45"/>
    <n v="14"/>
    <s v="HIT AEROSOL JAPANESE SAKURA 400ML X 12 KLG"/>
    <n v="42"/>
    <m/>
    <s v="G1"/>
    <s v="HIT"/>
    <s v="07"/>
    <s v="AEROSOL"/>
    <n v="1"/>
    <m/>
    <s v="0"/>
    <s v="JAPANESE SAKURA"/>
    <s v="05"/>
    <s v="400ML"/>
    <s v="0400"/>
    <s v="KLG"/>
    <n v="1"/>
    <m/>
    <n v="0"/>
    <m/>
    <m/>
    <m/>
    <n v="3007009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5060010"/>
    <m/>
    <n v="30070020200000"/>
    <x v="58"/>
    <s v="HIT AE J.SAKURA 12 KLG X 600ML 60015 39444 HA24"/>
    <n v="30070090600000"/>
    <n v="0"/>
    <s v="HIT AER JAPANESE SAKURA 600+50ML EXTRA"/>
    <x v="3"/>
    <s v="8992745480501"/>
    <x v="8"/>
    <s v="HIT AEROSOL"/>
    <s v="G1071"/>
    <x v="46"/>
    <n v="14"/>
    <s v="HIT AEROSOL JAPANESE SAKURA 600ML X 12 KLG"/>
    <n v="42"/>
    <m/>
    <s v="G1"/>
    <s v="HIT"/>
    <s v="07"/>
    <s v="AEROSOL"/>
    <n v="1"/>
    <m/>
    <s v="0"/>
    <s v="JAPANESE SAKURA"/>
    <s v="05"/>
    <s v="600ML"/>
    <s v="0600"/>
    <s v="KLG"/>
    <n v="1"/>
    <m/>
    <n v="0"/>
    <m/>
    <m/>
    <m/>
    <n v="3007009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5060010"/>
    <m/>
    <n v="30070020200000"/>
    <x v="59"/>
    <s v="HIT AE J.SAKURA 12 KLG X 600ML 60015 39444 HA24"/>
    <n v="30070090600000"/>
    <n v="0"/>
    <s v="HIT AER JAPANESE SAKURA 600ML"/>
    <x v="3"/>
    <s v="8992745480501"/>
    <x v="8"/>
    <s v="HIT AEROSOL"/>
    <s v="G1071"/>
    <x v="46"/>
    <n v="14"/>
    <s v="HIT AEROSOL JAPANESE SAKURA 600ML X 12 KLG"/>
    <n v="42"/>
    <m/>
    <s v="G1"/>
    <s v="HIT"/>
    <s v="07"/>
    <s v="AEROSOL"/>
    <n v="1"/>
    <m/>
    <s v="0"/>
    <s v="JAPANESE SAKURA"/>
    <s v="05"/>
    <s v="600ML"/>
    <s v="0600"/>
    <s v="KLG"/>
    <n v="1"/>
    <m/>
    <n v="0"/>
    <m/>
    <m/>
    <m/>
    <n v="3007009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5060010"/>
    <m/>
    <n v="30070020415000"/>
    <x v="60"/>
    <s v="HIT AE J.SAKURA 12 KLG X 600ML 60015 39444 HA24"/>
    <n v="30070090600000"/>
    <n v="0"/>
    <s v="HIT AER JAPANESE SAKURA 600ML SN"/>
    <x v="3"/>
    <s v="8992745480501"/>
    <x v="8"/>
    <s v="HIT AEROSOL"/>
    <s v="G1071"/>
    <x v="46"/>
    <n v="14"/>
    <s v="HIT AEROSOL JAPANESE SAKURA 600ML X 12 KLG"/>
    <n v="42"/>
    <m/>
    <s v="G1"/>
    <s v="HIT"/>
    <s v="07"/>
    <s v="AEROSOL"/>
    <n v="1"/>
    <m/>
    <s v="0"/>
    <s v="JAPANESE SAKURA"/>
    <s v="05"/>
    <s v="600ML"/>
    <s v="0600"/>
    <s v="KLG"/>
    <n v="1"/>
    <m/>
    <n v="0"/>
    <m/>
    <m/>
    <m/>
    <n v="3007009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10060010"/>
    <m/>
    <n v="30070080600000"/>
    <x v="61"/>
    <s v="HIT AE GREEN FOREST 12 KLGX600ML &quot;28383&quot;37981&quot;HA18"/>
    <m/>
    <n v="0"/>
    <s v="HIT AE GREEN FOREST 12 KLGX600ML"/>
    <x v="3"/>
    <m/>
    <x v="8"/>
    <s v="HIT AEROSOL"/>
    <s v="G1071"/>
    <x v="47"/>
    <n v="14"/>
    <s v="HIT AEROSOL GREEN FOREST 600ML X 12 KLG"/>
    <n v="39"/>
    <m/>
    <s v="G1"/>
    <s v="HIT"/>
    <s v="07"/>
    <s v="AEROSOL"/>
    <n v="1"/>
    <m/>
    <s v="0"/>
    <s v="GREEN FOREST"/>
    <s v="10"/>
    <s v="600ML"/>
    <s v="060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10060010"/>
    <m/>
    <m/>
    <x v="62"/>
    <m/>
    <m/>
    <m/>
    <m/>
    <x v="3"/>
    <m/>
    <x v="8"/>
    <s v="HIT AEROSOL"/>
    <s v="G1071"/>
    <x v="47"/>
    <n v="14"/>
    <s v="HIT AEROSOL GREEN FOREST 600ML X 12 KLG"/>
    <n v="39"/>
    <m/>
    <s v="G1"/>
    <s v="HIT"/>
    <s v="07"/>
    <s v="AEROSOL"/>
    <n v="1"/>
    <m/>
    <s v="0"/>
    <s v="GREEN FOREST"/>
    <s v="10"/>
    <s v="600ML"/>
    <s v="060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6040010"/>
    <m/>
    <n v="30070020415000"/>
    <x v="63"/>
    <s v="HIT AE LAVENDER BREEZE12KLGX400ML 60007 50816 HA34"/>
    <n v="30070100400000"/>
    <n v="0"/>
    <s v="HIT AER LAVENDER BREEZE 400ML"/>
    <x v="3"/>
    <n v="8992745000365"/>
    <x v="8"/>
    <s v="HIT AEROSOL"/>
    <s v="G1071"/>
    <x v="48"/>
    <n v="14"/>
    <s v="HIT AEROSOL LAVENDER BREEZE 400ML X 12 KLG"/>
    <n v="42"/>
    <m/>
    <s v="G1"/>
    <s v="HIT"/>
    <s v="07"/>
    <s v="AEROSOL"/>
    <n v="1"/>
    <m/>
    <s v="0"/>
    <s v="LAVENDER BREEZE"/>
    <s v="06"/>
    <s v="400ML"/>
    <s v="0400"/>
    <s v="KLG"/>
    <n v="1"/>
    <m/>
    <n v="0"/>
    <m/>
    <m/>
    <m/>
    <n v="3007010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6040010"/>
    <m/>
    <n v="30070020600000"/>
    <x v="64"/>
    <s v="HIT AF LAVENDER BREEZE12KLGX400ML 60007 50816 HA34"/>
    <n v="30070100400000"/>
    <n v="0"/>
    <s v="HIT AER LAVENDER BREZEE 400+40ML EXTRA"/>
    <x v="3"/>
    <s v="8992745000365"/>
    <x v="8"/>
    <s v="HIT AEROSOL"/>
    <s v="G1071"/>
    <x v="48"/>
    <n v="14"/>
    <s v="HIT AEROSOL LAVENDER BREEZE 400ML X 12 KLG"/>
    <n v="42"/>
    <m/>
    <s v="G1"/>
    <s v="HIT"/>
    <s v="07"/>
    <s v="AEROSOL"/>
    <n v="1"/>
    <m/>
    <s v="0"/>
    <s v="LAVENDER BREEZE"/>
    <s v="06"/>
    <s v="400ML"/>
    <s v="0400"/>
    <s v="KLG"/>
    <n v="1"/>
    <m/>
    <n v="0"/>
    <m/>
    <m/>
    <m/>
    <n v="3007010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6060010"/>
    <m/>
    <n v="30070020600000"/>
    <x v="65"/>
    <s v="HIT AE LAVENDER BREEZE 12 KLG X 600ML 60010 HA33"/>
    <n v="30070100600000"/>
    <n v="0"/>
    <s v="HIT AER LAVENDER BREEZE 600ML"/>
    <x v="3"/>
    <s v="8992745000273"/>
    <x v="8"/>
    <s v="HIT AEROSOL"/>
    <s v="G1071"/>
    <x v="49"/>
    <n v="14"/>
    <s v="HIT AEROSOL LAVENDER BREEZE 600ML X 12 KLG"/>
    <n v="42"/>
    <m/>
    <s v="G1"/>
    <s v="HIT"/>
    <s v="07"/>
    <s v="AEROSOL"/>
    <n v="1"/>
    <m/>
    <s v="0"/>
    <s v="LAVENDER BREEZE"/>
    <s v="06"/>
    <s v="600ML"/>
    <s v="0600"/>
    <s v="KLG"/>
    <n v="1"/>
    <m/>
    <n v="0"/>
    <m/>
    <m/>
    <m/>
    <n v="3007010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6060010"/>
    <m/>
    <n v="30070020750000"/>
    <x v="66"/>
    <s v="HIT AE LAVENDER BREEZE 12 KLG X 600ML 60010 HA33"/>
    <n v="30070100600000"/>
    <n v="0"/>
    <s v="HIT AER LAVENDER BREZEE 600+50ML EXTRA"/>
    <x v="3"/>
    <s v="8992745000273"/>
    <x v="8"/>
    <s v="HIT AEROSOL"/>
    <s v="G1071"/>
    <x v="49"/>
    <n v="14"/>
    <s v="HIT AEROSOL LAVENDER BREEZE 600ML X 12 KLG"/>
    <n v="42"/>
    <m/>
    <s v="G1"/>
    <s v="HIT"/>
    <s v="07"/>
    <s v="AEROSOL"/>
    <n v="1"/>
    <m/>
    <s v="0"/>
    <s v="LAVENDER BREEZE"/>
    <s v="06"/>
    <s v="600ML"/>
    <s v="0600"/>
    <s v="KLG"/>
    <n v="1"/>
    <m/>
    <n v="0"/>
    <m/>
    <m/>
    <m/>
    <n v="3007010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6075010"/>
    <m/>
    <n v="30070090600000"/>
    <x v="67"/>
    <s v="HIT AE LAVENDER BREEZE 12 KLG X 750ML 57355 HA35"/>
    <n v="30070110750000"/>
    <n v="0"/>
    <s v="HIT AEROSOL LAVENDER BREEZE 750ML."/>
    <x v="3"/>
    <s v="8992745000440"/>
    <x v="8"/>
    <s v="HIT AEROSOL"/>
    <s v="G1071"/>
    <x v="50"/>
    <n v="14"/>
    <s v="HIT AEROSOL LAVENDER BREEZE 750ML X 12 KLG"/>
    <n v="42"/>
    <m/>
    <s v="G1"/>
    <s v="HIT"/>
    <s v="07"/>
    <s v="AEROSOL"/>
    <n v="1"/>
    <m/>
    <s v="0"/>
    <s v="LAVENDER BREEZE"/>
    <s v="06"/>
    <s v="750ML"/>
    <s v="0750"/>
    <s v="KLG"/>
    <n v="1"/>
    <m/>
    <n v="0"/>
    <m/>
    <m/>
    <m/>
    <n v="30070110750000"/>
    <m/>
    <m/>
    <n v="12"/>
    <n v="35191.53"/>
    <n v="422298.36"/>
    <n v="39062.598300000005"/>
    <n v="468751.17960000003"/>
    <n v="37638"/>
    <n v="451656"/>
    <n v="41778.18"/>
    <n v="501338.16000000003"/>
    <n v="0"/>
    <n v="0"/>
    <n v="0"/>
    <n v="0"/>
    <n v="6.500000000000003E-2"/>
    <n v="-35191.53"/>
    <e v="#DIV/0!"/>
    <m/>
    <m/>
    <s v="Lama"/>
    <s v="Sama"/>
    <m/>
    <s v="IDR"/>
    <s v="0750"/>
    <s v="750ML"/>
    <m/>
    <m/>
    <s v="KRT"/>
    <s v="GD01"/>
    <n v="11611"/>
    <n v="11612"/>
    <m/>
    <n v="1"/>
    <m/>
    <n v="12"/>
  </r>
  <r>
    <s v="G1071007015010"/>
    <m/>
    <n v="30070090600000"/>
    <x v="68"/>
    <s v="HIT AE LILY BLOSSOM 24 KLGX150ML 57866 60017 HA30"/>
    <n v="30070010150000"/>
    <n v="0"/>
    <s v="HIT AEROSOL LILY BLOSSOM 150+25ML EXTRA"/>
    <x v="5"/>
    <s v="8992745480426"/>
    <x v="8"/>
    <s v="HIT AEROSOL"/>
    <s v="G1071"/>
    <x v="51"/>
    <n v="14"/>
    <s v="HIT AEROSOL LILY BLOSSOM 150ML X 24 KLG"/>
    <n v="39"/>
    <m/>
    <s v="G1"/>
    <s v="HIT"/>
    <s v="07"/>
    <s v="AEROSOL"/>
    <n v="1"/>
    <m/>
    <s v="0"/>
    <s v="LILY BLOSSOM"/>
    <s v="07"/>
    <s v="150ML"/>
    <s v="0150"/>
    <s v="KLG"/>
    <n v="1"/>
    <m/>
    <n v="0"/>
    <m/>
    <m/>
    <m/>
    <n v="3007001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7015010"/>
    <m/>
    <n v="30070100400000"/>
    <x v="69"/>
    <s v="HIT AE LILY BLOSSOM 24 KLGX150ML 57866 60017 HA30"/>
    <n v="30070010150000"/>
    <n v="0"/>
    <s v="HIT AEROSOL LILY BLOSSOM 150ML 13.000."/>
    <x v="5"/>
    <s v="8992745480426"/>
    <x v="8"/>
    <s v="HIT AEROSOL"/>
    <s v="G1071"/>
    <x v="51"/>
    <n v="14"/>
    <s v="HIT AEROSOL LILY BLOSSOM 150ML X 24 KLG"/>
    <n v="39"/>
    <m/>
    <s v="G1"/>
    <s v="HIT"/>
    <s v="07"/>
    <s v="AEROSOL"/>
    <n v="1"/>
    <m/>
    <s v="0"/>
    <s v="LILY BLOSSOM"/>
    <s v="07"/>
    <s v="150ML"/>
    <s v="0150"/>
    <s v="KLG"/>
    <n v="1"/>
    <m/>
    <n v="0"/>
    <m/>
    <m/>
    <m/>
    <n v="3007001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7015010"/>
    <m/>
    <n v="30070100400000"/>
    <x v="70"/>
    <m/>
    <n v="30070010150000"/>
    <m/>
    <m/>
    <x v="5"/>
    <s v="8992745480426"/>
    <x v="8"/>
    <s v="HIT AEROSOL"/>
    <s v="G1071"/>
    <x v="51"/>
    <n v="14"/>
    <s v="HIT AEROSOL LILY BLOSSOM 150ML X 24 KLG"/>
    <n v="39"/>
    <m/>
    <s v="G1"/>
    <s v="HIT"/>
    <s v="07"/>
    <s v="AEROSOL"/>
    <n v="1"/>
    <m/>
    <s v="0"/>
    <s v="LILY BLOSSOM"/>
    <s v="07"/>
    <s v="150ML"/>
    <s v="0150"/>
    <s v="KLG"/>
    <n v="1"/>
    <m/>
    <n v="0"/>
    <m/>
    <m/>
    <m/>
    <n v="3007001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7015010"/>
    <m/>
    <n v="30070100400000"/>
    <x v="71"/>
    <m/>
    <n v="30070010150000"/>
    <m/>
    <m/>
    <x v="5"/>
    <s v="8992745480426"/>
    <x v="8"/>
    <s v="HIT AEROSOL"/>
    <s v="G1071"/>
    <x v="51"/>
    <n v="14"/>
    <s v="HIT AEROSOL LILY BLOSSOM 150ML X 24 KLG"/>
    <n v="39"/>
    <m/>
    <s v="G1"/>
    <s v="HIT"/>
    <s v="07"/>
    <s v="AEROSOL"/>
    <n v="1"/>
    <m/>
    <s v="0"/>
    <s v="LILY BLOSSOM"/>
    <s v="07"/>
    <s v="150ML"/>
    <s v="0150"/>
    <s v="KLG"/>
    <n v="1"/>
    <m/>
    <n v="0"/>
    <m/>
    <m/>
    <m/>
    <n v="3007001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7015010"/>
    <m/>
    <m/>
    <x v="72"/>
    <m/>
    <m/>
    <m/>
    <m/>
    <x v="5"/>
    <s v="8992745480426"/>
    <x v="8"/>
    <s v="HIT AEROSOL"/>
    <s v="G1071"/>
    <x v="51"/>
    <n v="14"/>
    <s v="HIT AEROSOL LILY BLOSSOM 150ML X 24 KLG"/>
    <n v="39"/>
    <m/>
    <s v="G1"/>
    <s v="HIT"/>
    <s v="07"/>
    <s v="AEROSOL"/>
    <n v="1"/>
    <m/>
    <s v="0"/>
    <s v="LILY BLOSSOM"/>
    <s v="07"/>
    <s v="150ML"/>
    <s v="0150"/>
    <s v="KLG"/>
    <n v="1"/>
    <m/>
    <n v="0"/>
    <m/>
    <m/>
    <m/>
    <n v="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7018010"/>
    <m/>
    <n v="30070030400000"/>
    <x v="73"/>
    <s v="HIT AE LILY B 12 KLGX180ML 60019 39470 49644 HA02"/>
    <n v="30070010200000"/>
    <n v="0"/>
    <s v="HIT AER LILY BLOSSOM 180ml DF"/>
    <x v="3"/>
    <s v="8992745140955"/>
    <x v="8"/>
    <s v="HIT AEROSOL"/>
    <s v="G1071"/>
    <x v="52"/>
    <n v="14"/>
    <s v="HIT AEROSOL LILY BLOSSOM 180ML X 12 KLG"/>
    <n v="39"/>
    <m/>
    <s v="G1"/>
    <s v="HIT"/>
    <s v="07"/>
    <s v="AEROSOL"/>
    <n v="1"/>
    <m/>
    <s v="0"/>
    <s v="LILY BLOSSOM"/>
    <s v="07"/>
    <s v="180ML"/>
    <s v="0180"/>
    <s v="KLG"/>
    <n v="1"/>
    <m/>
    <n v="0"/>
    <m/>
    <m/>
    <m/>
    <n v="3007001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7018010"/>
    <m/>
    <m/>
    <x v="74"/>
    <m/>
    <m/>
    <m/>
    <m/>
    <x v="3"/>
    <s v="8992745140955"/>
    <x v="8"/>
    <s v="HIT AEROSOL"/>
    <s v="G1071"/>
    <x v="52"/>
    <n v="14"/>
    <s v="HIT AEROSOL LILY BLOSSOM 180ML X 12 KLG"/>
    <n v="39"/>
    <m/>
    <s v="G1"/>
    <s v="HIT"/>
    <s v="07"/>
    <s v="AEROSOL"/>
    <n v="1"/>
    <m/>
    <s v="0"/>
    <s v="LILY BLOSSOM"/>
    <s v="07"/>
    <s v="180ML"/>
    <s v="018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7018010"/>
    <m/>
    <n v="30070100400000"/>
    <x v="75"/>
    <s v="HIT AE LILY B 12 KLGX180ML 60019 39470 49644 HA02"/>
    <n v="30070010200000"/>
    <n v="0"/>
    <s v="HIT AEROSOL LILY BLOSSOM 180+30ML EXTRA"/>
    <x v="3"/>
    <s v="8992745140955"/>
    <x v="8"/>
    <s v="HIT AEROSOL"/>
    <s v="G1071"/>
    <x v="52"/>
    <n v="14"/>
    <s v="HIT AEROSOL LILY BLOSSOM 180ML X 12 KLG"/>
    <n v="39"/>
    <m/>
    <s v="G1"/>
    <s v="HIT"/>
    <s v="07"/>
    <s v="AEROSOL"/>
    <n v="1"/>
    <m/>
    <s v="0"/>
    <s v="LILY BLOSSOM"/>
    <s v="07"/>
    <s v="180ML"/>
    <s v="0180"/>
    <s v="KLG"/>
    <n v="1"/>
    <m/>
    <n v="0"/>
    <m/>
    <m/>
    <m/>
    <n v="3007001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7018010"/>
    <m/>
    <m/>
    <x v="76"/>
    <m/>
    <m/>
    <m/>
    <m/>
    <x v="3"/>
    <s v="8992745140955"/>
    <x v="8"/>
    <s v="HIT AEROSOL"/>
    <s v="G1071"/>
    <x v="52"/>
    <n v="14"/>
    <s v="HIT AEROSOL LILY BLOSSOM 180ML X 12 KLG"/>
    <n v="39"/>
    <m/>
    <s v="G1"/>
    <s v="HIT"/>
    <s v="07"/>
    <s v="AEROSOL"/>
    <n v="1"/>
    <m/>
    <s v="0"/>
    <s v="LILY BLOSSOM"/>
    <s v="07"/>
    <s v="180ML"/>
    <s v="018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7018010"/>
    <m/>
    <m/>
    <x v="77"/>
    <m/>
    <m/>
    <m/>
    <m/>
    <x v="3"/>
    <s v="8992745140955"/>
    <x v="8"/>
    <s v="HIT AEROSOL"/>
    <s v="G1071"/>
    <x v="52"/>
    <n v="14"/>
    <s v="HIT AEROSOL LILY BLOSSOM 180ML X 12 KLG"/>
    <n v="39"/>
    <m/>
    <s v="G1"/>
    <s v="HIT"/>
    <s v="07"/>
    <s v="AEROSOL"/>
    <n v="1"/>
    <m/>
    <s v="0"/>
    <s v="LILY BLOSSOM"/>
    <s v="07"/>
    <s v="180ML"/>
    <s v="0180"/>
    <s v="KLG"/>
    <n v="1"/>
    <m/>
    <n v="0"/>
    <m/>
    <m/>
    <m/>
    <n v="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7040010"/>
    <m/>
    <n v="30070030400000"/>
    <x v="78"/>
    <s v="HIT AE LILY B 12 KLGX415/400ML 59922 39465 HA04"/>
    <n v="30070010415000"/>
    <n v="0"/>
    <s v="HIT AER LILY BLOSSOM 400+40ML EXTRA"/>
    <x v="3"/>
    <s v="8992745705420"/>
    <x v="8"/>
    <s v="HIT AEROSOL"/>
    <s v="G1071"/>
    <x v="53"/>
    <n v="14"/>
    <s v="HIT AEROSOL LILY BLOSSOM 415/400ML X 12 KLG"/>
    <n v="43"/>
    <m/>
    <s v="G1"/>
    <s v="HIT"/>
    <s v="07"/>
    <s v="AEROSOL"/>
    <n v="1"/>
    <m/>
    <s v="0"/>
    <s v="LILY BLOSSOM"/>
    <s v="07"/>
    <s v="415/400ML"/>
    <s v="0400"/>
    <s v="KLG"/>
    <n v="1"/>
    <m/>
    <n v="0"/>
    <m/>
    <m/>
    <m/>
    <n v="30070010415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7040010"/>
    <m/>
    <n v="30070030600000"/>
    <x v="79"/>
    <s v="HIT AE LILY B 12 KLGX415/400ML 59922 39465 HA04"/>
    <n v="30070010415000"/>
    <n v="0"/>
    <s v="HIT AER LILY BLOSSOM 400ML"/>
    <x v="3"/>
    <s v="8992745705420"/>
    <x v="8"/>
    <s v="HIT AEROSOL"/>
    <s v="G1071"/>
    <x v="53"/>
    <n v="14"/>
    <s v="HIT AEROSOL LILY BLOSSOM 415/400ML X 12 KLG"/>
    <n v="43"/>
    <m/>
    <s v="G1"/>
    <s v="HIT"/>
    <s v="07"/>
    <s v="AEROSOL"/>
    <n v="1"/>
    <m/>
    <s v="0"/>
    <s v="LILY BLOSSOM"/>
    <s v="07"/>
    <s v="415/400ML"/>
    <s v="0400"/>
    <s v="KLG"/>
    <n v="1"/>
    <m/>
    <n v="0"/>
    <m/>
    <m/>
    <m/>
    <n v="30070010415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7040010"/>
    <m/>
    <m/>
    <x v="80"/>
    <m/>
    <m/>
    <m/>
    <m/>
    <x v="3"/>
    <s v="8992745705420"/>
    <x v="8"/>
    <s v="HIT AEROSOL"/>
    <s v="G1071"/>
    <x v="53"/>
    <n v="14"/>
    <s v="HIT AEROSOL LILY BLOSSOM 415/400ML X 12 KLG"/>
    <n v="43"/>
    <m/>
    <s v="G1"/>
    <s v="HIT"/>
    <s v="07"/>
    <s v="AEROSOL"/>
    <n v="1"/>
    <m/>
    <s v="0"/>
    <s v="LILY BLOSSOM"/>
    <s v="07"/>
    <s v="415/400ML"/>
    <s v="0400"/>
    <s v="KLG"/>
    <n v="1"/>
    <m/>
    <n v="0"/>
    <m/>
    <m/>
    <m/>
    <n v="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7060010"/>
    <m/>
    <n v="30070030600000"/>
    <x v="81"/>
    <s v="HIT AE LILY B 12 KLG X 600ML 60011 39440 HA06"/>
    <n v="30070010600000"/>
    <n v="0"/>
    <s v="HIT AER LILY BLOSSOM 600+50ML EXTRA"/>
    <x v="3"/>
    <s v="8992745140962"/>
    <x v="8"/>
    <s v="HIT AEROSOL"/>
    <s v="G1071"/>
    <x v="54"/>
    <n v="14"/>
    <s v="HIT AEROSOL LILY BLOSSOM 600ML X 12 KLG"/>
    <n v="39"/>
    <m/>
    <s v="G1"/>
    <s v="HIT"/>
    <s v="07"/>
    <s v="AEROSOL"/>
    <n v="1"/>
    <m/>
    <s v="0"/>
    <s v="LILY BLOSSOM"/>
    <s v="07"/>
    <s v="600ML"/>
    <s v="0600"/>
    <s v="KLG"/>
    <n v="1"/>
    <m/>
    <n v="0"/>
    <m/>
    <m/>
    <m/>
    <n v="3007001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7060010"/>
    <m/>
    <n v="30070030750000"/>
    <x v="82"/>
    <s v="HIT AE LILY B 12 KLG X 600ML 60011 39440 HA06"/>
    <n v="30070010600000"/>
    <n v="0"/>
    <s v="HIT AER LILY BLOSSOM 600ML"/>
    <x v="3"/>
    <s v="8992745140962"/>
    <x v="8"/>
    <s v="HIT AEROSOL"/>
    <s v="G1071"/>
    <x v="54"/>
    <n v="14"/>
    <s v="HIT AEROSOL LILY BLOSSOM 600ML X 12 KLG"/>
    <n v="39"/>
    <m/>
    <s v="G1"/>
    <s v="HIT"/>
    <s v="07"/>
    <s v="AEROSOL"/>
    <n v="1"/>
    <m/>
    <s v="0"/>
    <s v="LILY BLOSSOM"/>
    <s v="07"/>
    <s v="600ML"/>
    <s v="0600"/>
    <s v="KLG"/>
    <n v="1"/>
    <m/>
    <n v="0"/>
    <m/>
    <m/>
    <m/>
    <n v="3007001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7075010"/>
    <m/>
    <n v="30070050600000"/>
    <x v="83"/>
    <s v="HIT AE LILY BLOSSOM 12 KLG X 750ML 43770 HA29"/>
    <n v="30070100750000"/>
    <n v="0"/>
    <s v="HIT AER LILY BLOSSOM 750ML."/>
    <x v="3"/>
    <s v="8992745000013"/>
    <x v="8"/>
    <s v="HIT AEROSOL"/>
    <s v="G1071"/>
    <x v="55"/>
    <n v="14"/>
    <s v="HIT AEROSOL LILY BLOSSOM 750ML X 12 KLG"/>
    <n v="39"/>
    <m/>
    <s v="G1"/>
    <s v="HIT"/>
    <s v="07"/>
    <s v="AEROSOL"/>
    <n v="1"/>
    <m/>
    <s v="0"/>
    <s v="LILY BLOSSOM"/>
    <s v="07"/>
    <s v="750ML"/>
    <s v="0750"/>
    <s v="KLG"/>
    <n v="1"/>
    <m/>
    <n v="0"/>
    <m/>
    <m/>
    <m/>
    <n v="30070100750000"/>
    <m/>
    <m/>
    <n v="12"/>
    <n v="35191.53"/>
    <n v="422298.36"/>
    <n v="39062.598300000005"/>
    <n v="468751.17960000003"/>
    <n v="37638"/>
    <n v="451656"/>
    <n v="41778.18"/>
    <n v="501338.16000000003"/>
    <n v="0"/>
    <n v="0"/>
    <n v="0"/>
    <n v="0"/>
    <n v="6.500000000000003E-2"/>
    <n v="-35191.53"/>
    <e v="#DIV/0!"/>
    <m/>
    <m/>
    <s v="Lama"/>
    <s v="Sama"/>
    <m/>
    <s v="IDR"/>
    <s v="0750"/>
    <s v="750ML"/>
    <m/>
    <m/>
    <s v="KRT"/>
    <s v="GD01"/>
    <n v="11611"/>
    <n v="11612"/>
    <m/>
    <n v="1"/>
    <m/>
    <n v="12"/>
  </r>
  <r>
    <s v="G1071008015010"/>
    <m/>
    <n v="30070100600000"/>
    <x v="84"/>
    <s v="HIT AE ORANGE 24 KLG X 150ML 57867 60018 HA31"/>
    <n v="30070020150000"/>
    <n v="0"/>
    <s v="HIT AEROSOL ORANGE 150+25ML EXTRA"/>
    <x v="5"/>
    <s v="8992745480419"/>
    <x v="8"/>
    <s v="HIT AEROSOL"/>
    <s v="G1071"/>
    <x v="56"/>
    <n v="14"/>
    <s v="HIT AEROSOL ORANGE 150ML X 24 KLG"/>
    <n v="33"/>
    <m/>
    <s v="G1"/>
    <s v="HIT"/>
    <s v="07"/>
    <s v="AEROSOL"/>
    <n v="1"/>
    <m/>
    <s v="0"/>
    <s v="ORANGE"/>
    <s v="08"/>
    <s v="150ML"/>
    <s v="0150"/>
    <s v="KLG"/>
    <n v="1"/>
    <m/>
    <n v="0"/>
    <m/>
    <m/>
    <m/>
    <n v="3007002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8015010"/>
    <m/>
    <n v="30070100600000"/>
    <x v="85"/>
    <s v="HIT AE ORANGE 24 KLG X 150ML 57867 60018 HA31"/>
    <n v="30070020150000"/>
    <n v="0"/>
    <s v="HIT AEROSOL ORANGE 150ML 13.000."/>
    <x v="5"/>
    <s v="8992745480419"/>
    <x v="8"/>
    <s v="HIT AEROSOL"/>
    <s v="G1071"/>
    <x v="56"/>
    <n v="14"/>
    <s v="HIT AEROSOL ORANGE 150ML X 24 KLG"/>
    <n v="33"/>
    <m/>
    <s v="G1"/>
    <s v="HIT"/>
    <s v="07"/>
    <s v="AEROSOL"/>
    <n v="1"/>
    <m/>
    <s v="0"/>
    <s v="ORANGE"/>
    <s v="08"/>
    <s v="150ML"/>
    <s v="0150"/>
    <s v="KLG"/>
    <n v="1"/>
    <m/>
    <n v="0"/>
    <m/>
    <m/>
    <m/>
    <n v="3007002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8015010"/>
    <m/>
    <n v="30070100600000"/>
    <x v="86"/>
    <m/>
    <n v="30070020150000"/>
    <m/>
    <m/>
    <x v="5"/>
    <m/>
    <x v="8"/>
    <s v="HIT AEROSOL"/>
    <s v="G1071"/>
    <x v="56"/>
    <n v="14"/>
    <s v="HIT AEROSOL ORANGE 150ML X 24 KLG"/>
    <n v="33"/>
    <m/>
    <s v="G1"/>
    <s v="HIT"/>
    <s v="07"/>
    <s v="AEROSOL"/>
    <n v="1"/>
    <m/>
    <s v="0"/>
    <s v="ORANGE"/>
    <s v="08"/>
    <s v="150ML"/>
    <s v="0150"/>
    <s v="KLG"/>
    <n v="1"/>
    <m/>
    <n v="0"/>
    <m/>
    <m/>
    <m/>
    <n v="3007002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8015010"/>
    <m/>
    <n v="30070100600000"/>
    <x v="87"/>
    <m/>
    <n v="30070020150000"/>
    <m/>
    <m/>
    <x v="5"/>
    <m/>
    <x v="8"/>
    <s v="HIT AEROSOL"/>
    <s v="G1071"/>
    <x v="56"/>
    <n v="14"/>
    <s v="HIT AEROSOL ORANGE 150ML X 24 KLG"/>
    <n v="33"/>
    <m/>
    <s v="G1"/>
    <s v="HIT"/>
    <s v="07"/>
    <s v="AEROSOL"/>
    <n v="1"/>
    <m/>
    <s v="0"/>
    <s v="ORANGE"/>
    <s v="08"/>
    <s v="150ML"/>
    <s v="0150"/>
    <s v="KLG"/>
    <n v="1"/>
    <m/>
    <n v="0"/>
    <m/>
    <m/>
    <m/>
    <n v="30070020150000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8018010"/>
    <m/>
    <n v="30070050600000"/>
    <x v="88"/>
    <s v="HIT AE ORANGE 12 KLGX180ML 39471 49655 60020 HA10"/>
    <n v="30070020200000"/>
    <n v="0"/>
    <s v="HIT AER ORANGE 180+30ML EXTRA"/>
    <x v="3"/>
    <s v="8992745120407"/>
    <x v="8"/>
    <s v="HIT AEROSOL"/>
    <s v="G1071"/>
    <x v="57"/>
    <n v="14"/>
    <s v="HIT AEROSOL ORANGE 180ML X 12 KLG"/>
    <n v="33"/>
    <m/>
    <s v="G1"/>
    <s v="HIT"/>
    <s v="07"/>
    <s v="AEROSOL"/>
    <n v="1"/>
    <m/>
    <s v="0"/>
    <s v="ORANGE"/>
    <s v="08"/>
    <s v="180ML"/>
    <s v="0180"/>
    <s v="KLG"/>
    <n v="1"/>
    <m/>
    <n v="0"/>
    <m/>
    <m/>
    <m/>
    <n v="3007002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8018010"/>
    <m/>
    <n v="30070070150001"/>
    <x v="89"/>
    <s v="HIT AE ORANGE 12 KLGX180ML 39471 49655 60020 HA10"/>
    <n v="30070020200000"/>
    <n v="0"/>
    <s v="HIT AER ORANGE 180ml DF"/>
    <x v="3"/>
    <s v="8992745120407"/>
    <x v="8"/>
    <s v="HIT AEROSOL"/>
    <s v="G1071"/>
    <x v="57"/>
    <n v="14"/>
    <s v="HIT AEROSOL ORANGE 180ML X 12 KLG"/>
    <n v="33"/>
    <m/>
    <s v="G1"/>
    <s v="HIT"/>
    <s v="07"/>
    <s v="AEROSOL"/>
    <n v="1"/>
    <m/>
    <s v="0"/>
    <s v="ORANGE"/>
    <s v="08"/>
    <s v="180ML"/>
    <s v="0180"/>
    <s v="KLG"/>
    <n v="1"/>
    <m/>
    <n v="0"/>
    <m/>
    <m/>
    <m/>
    <n v="3007002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8018010"/>
    <m/>
    <m/>
    <x v="90"/>
    <m/>
    <m/>
    <m/>
    <m/>
    <x v="3"/>
    <s v="8992745120407"/>
    <x v="8"/>
    <s v="HIT AEROSOL"/>
    <s v="G1071"/>
    <x v="57"/>
    <n v="14"/>
    <s v="HIT AEROSOL ORANGE 180ML X 12 KLG"/>
    <n v="33"/>
    <m/>
    <s v="G1"/>
    <s v="HIT"/>
    <s v="07"/>
    <s v="AEROSOL"/>
    <n v="1"/>
    <m/>
    <s v="0"/>
    <s v="ORANGE"/>
    <s v="08"/>
    <s v="180ML"/>
    <s v="018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8018010"/>
    <m/>
    <m/>
    <x v="91"/>
    <m/>
    <m/>
    <m/>
    <m/>
    <x v="3"/>
    <s v="8992745120407"/>
    <x v="8"/>
    <s v="HIT AEROSOL"/>
    <s v="G1071"/>
    <x v="57"/>
    <n v="14"/>
    <s v="HIT AEROSOL ORANGE 180ML X 12 KLG"/>
    <n v="33"/>
    <m/>
    <s v="G1"/>
    <s v="HIT"/>
    <s v="07"/>
    <s v="AEROSOL"/>
    <n v="1"/>
    <m/>
    <s v="0"/>
    <s v="ORANGE"/>
    <s v="08"/>
    <s v="180ML"/>
    <s v="0180"/>
    <s v="KLG"/>
    <n v="1"/>
    <m/>
    <n v="0"/>
    <m/>
    <m/>
    <m/>
    <n v="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8040010"/>
    <m/>
    <n v="30070070150001"/>
    <x v="92"/>
    <s v="HIT AE ORANGE 12 KLG X 415/400ML 39289 59923 HA12"/>
    <n v="30070020415000"/>
    <n v="0"/>
    <s v="HIT AER ORANGE 400+40ML EXTRA"/>
    <x v="3"/>
    <s v="8992745120469"/>
    <x v="8"/>
    <s v="HIT AEROSOL"/>
    <s v="G1071"/>
    <x v="58"/>
    <n v="14"/>
    <s v="HIT AEROSOL ORANGE 415/400ML X 12 KLG"/>
    <n v="37"/>
    <m/>
    <s v="G1"/>
    <s v="HIT"/>
    <s v="07"/>
    <s v="AEROSOL"/>
    <n v="1"/>
    <m/>
    <s v="0"/>
    <s v="ORANGE"/>
    <s v="08"/>
    <s v="415/400ML"/>
    <s v="0400"/>
    <s v="KLG"/>
    <n v="1"/>
    <m/>
    <n v="0"/>
    <m/>
    <m/>
    <m/>
    <n v="30070020415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8040010"/>
    <m/>
    <n v="30070070150001"/>
    <x v="93"/>
    <s v="HIT AE ORANGE 12 KLG X 415/400ML 39289 59923 HA12"/>
    <n v="30070020415000"/>
    <n v="0"/>
    <s v="HIT AER ORANGE 400ML"/>
    <x v="3"/>
    <s v="8992745120469"/>
    <x v="8"/>
    <s v="HIT AEROSOL"/>
    <s v="G1071"/>
    <x v="58"/>
    <n v="14"/>
    <s v="HIT AEROSOL ORANGE 415/400ML X 12 KLG"/>
    <n v="37"/>
    <m/>
    <s v="G1"/>
    <s v="HIT"/>
    <s v="07"/>
    <s v="AEROSOL"/>
    <n v="1"/>
    <m/>
    <s v="0"/>
    <s v="ORANGE"/>
    <s v="08"/>
    <s v="415/400ML"/>
    <s v="0400"/>
    <s v="KLG"/>
    <n v="1"/>
    <m/>
    <n v="0"/>
    <m/>
    <m/>
    <m/>
    <n v="30070020415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8040010"/>
    <m/>
    <m/>
    <x v="94"/>
    <m/>
    <m/>
    <m/>
    <m/>
    <x v="3"/>
    <m/>
    <x v="8"/>
    <s v="HIT AEROSOL"/>
    <s v="G1071"/>
    <x v="58"/>
    <n v="14"/>
    <s v="HIT AEROSOL ORANGE 415/400ML X 12 KLG"/>
    <n v="37"/>
    <m/>
    <s v="G1"/>
    <s v="HIT"/>
    <s v="07"/>
    <s v="AEROSOL"/>
    <n v="1"/>
    <m/>
    <s v="0"/>
    <s v="ORANGE"/>
    <s v="08"/>
    <s v="415/400ML"/>
    <s v="0400"/>
    <s v="KLG"/>
    <n v="1"/>
    <m/>
    <n v="0"/>
    <m/>
    <m/>
    <m/>
    <n v="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15/400ML"/>
    <m/>
    <m/>
    <s v="KRT"/>
    <s v="GD01"/>
    <n v="11611"/>
    <n v="11612"/>
    <m/>
    <n v="1"/>
    <m/>
    <n v="12"/>
  </r>
  <r>
    <s v="G1071008060010"/>
    <m/>
    <n v="30070070200000"/>
    <x v="95"/>
    <s v="HIT AE ORANGE 12 KLGX600ML 60012 39285 39441 HA14"/>
    <n v="30070020600000"/>
    <n v="0"/>
    <s v="HIT AER ORANGE 600+50ML EXTRA"/>
    <x v="3"/>
    <s v="8992745120476"/>
    <x v="8"/>
    <s v="HIT AEROSOL"/>
    <s v="G1071"/>
    <x v="59"/>
    <n v="14"/>
    <s v="HIT AEROSOL ORANGE 600ML X 12 KLG"/>
    <n v="33"/>
    <m/>
    <s v="G1"/>
    <s v="HIT"/>
    <s v="07"/>
    <s v="AEROSOL"/>
    <n v="1"/>
    <m/>
    <s v="0"/>
    <s v="ORANGE"/>
    <s v="08"/>
    <s v="600ML"/>
    <s v="0600"/>
    <s v="KLG"/>
    <n v="1"/>
    <m/>
    <n v="0"/>
    <m/>
    <m/>
    <m/>
    <n v="3007002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8060010"/>
    <m/>
    <n v="30070070200000"/>
    <x v="96"/>
    <s v="HIT AE ORANGE 12 KLGX600ML 60012 39285 39441 HA14"/>
    <n v="30070020600000"/>
    <n v="0"/>
    <s v="HIT AER ORANGE 600ML"/>
    <x v="3"/>
    <s v="8992745120476"/>
    <x v="8"/>
    <s v="HIT AEROSOL"/>
    <s v="G1071"/>
    <x v="59"/>
    <n v="14"/>
    <s v="HIT AEROSOL ORANGE 600ML X 12 KLG"/>
    <n v="33"/>
    <m/>
    <s v="G1"/>
    <s v="HIT"/>
    <s v="07"/>
    <s v="AEROSOL"/>
    <n v="1"/>
    <m/>
    <s v="0"/>
    <s v="ORANGE"/>
    <s v="08"/>
    <s v="600ML"/>
    <s v="0600"/>
    <s v="KLG"/>
    <n v="1"/>
    <m/>
    <n v="0"/>
    <m/>
    <m/>
    <m/>
    <n v="3007002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8060010"/>
    <m/>
    <m/>
    <x v="97"/>
    <m/>
    <m/>
    <m/>
    <m/>
    <x v="3"/>
    <s v="8992745120476"/>
    <x v="8"/>
    <s v="HIT AEROSOL"/>
    <s v="G1071"/>
    <x v="59"/>
    <n v="14"/>
    <s v="HIT AEROSOL ORANGE 600ML X 12 KLG"/>
    <n v="33"/>
    <m/>
    <s v="G1"/>
    <s v="HIT"/>
    <s v="07"/>
    <s v="AEROSOL"/>
    <n v="1"/>
    <m/>
    <s v="0"/>
    <s v="ORANGE"/>
    <s v="08"/>
    <s v="600ML"/>
    <s v="0600"/>
    <s v="KLG"/>
    <n v="1"/>
    <m/>
    <n v="0"/>
    <m/>
    <m/>
    <m/>
    <n v="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8075010"/>
    <m/>
    <n v="30070070200000"/>
    <x v="98"/>
    <s v="HIT AE ORANGE 12 KLG X 750ML 43771 HA28"/>
    <n v="30070020750000"/>
    <n v="0"/>
    <s v="HIT AER ORANGE 750ML."/>
    <x v="3"/>
    <s v="8992745000020"/>
    <x v="8"/>
    <s v="HIT AEROSOL"/>
    <s v="G1071"/>
    <x v="60"/>
    <n v="14"/>
    <s v="HIT AEROSOL ORANGE 750ML X 12 KLG"/>
    <n v="33"/>
    <m/>
    <s v="G1"/>
    <s v="HIT"/>
    <s v="07"/>
    <s v="AEROSOL"/>
    <n v="1"/>
    <m/>
    <s v="0"/>
    <s v="ORANGE"/>
    <s v="08"/>
    <s v="750ML"/>
    <s v="0750"/>
    <s v="KLG"/>
    <n v="1"/>
    <m/>
    <n v="0"/>
    <m/>
    <m/>
    <m/>
    <n v="30070020750000"/>
    <m/>
    <m/>
    <n v="12"/>
    <n v="35191.53"/>
    <n v="422298.36"/>
    <n v="39062.598300000005"/>
    <n v="468751.17960000003"/>
    <n v="37638"/>
    <n v="451656"/>
    <n v="41778.18"/>
    <n v="501338.16000000003"/>
    <n v="0"/>
    <n v="0"/>
    <n v="0"/>
    <n v="0"/>
    <n v="6.500000000000003E-2"/>
    <n v="-35191.53"/>
    <e v="#DIV/0!"/>
    <m/>
    <m/>
    <s v="Lama"/>
    <s v="Sama"/>
    <m/>
    <s v="IDR"/>
    <s v="0750"/>
    <s v="750ML"/>
    <m/>
    <m/>
    <s v="KRT"/>
    <s v="GD01"/>
    <n v="11611"/>
    <n v="11612"/>
    <m/>
    <n v="1"/>
    <m/>
    <n v="12"/>
  </r>
  <r>
    <s v="G1071009015010"/>
    <m/>
    <n v="30070100750000"/>
    <x v="99"/>
    <s v="HIT AE PINK BLOSSOM 24KLGX150ML 44129 60016 HA32"/>
    <n v="30070070150001"/>
    <n v="0"/>
    <s v="HIT AEROSOL PINK BLOSSOM 150+25ML EXTRA"/>
    <x v="5"/>
    <s v="8992745480228"/>
    <x v="8"/>
    <s v="HIT AEROSOL"/>
    <s v="G1071"/>
    <x v="61"/>
    <n v="14"/>
    <s v="HIT AEROSOL PINK BLOSSOM 150ML X 24 KLG"/>
    <n v="39"/>
    <m/>
    <s v="G1"/>
    <s v="HIT"/>
    <s v="07"/>
    <s v="AEROSOL"/>
    <n v="1"/>
    <m/>
    <s v="0"/>
    <s v="PINK BLOSSOM"/>
    <s v="09"/>
    <s v="150ML"/>
    <s v="0150"/>
    <s v="KLG"/>
    <n v="1"/>
    <m/>
    <n v="0"/>
    <m/>
    <m/>
    <m/>
    <n v="30070070150001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9015010"/>
    <m/>
    <n v="30070110750000"/>
    <x v="100"/>
    <s v="HIT AE PINK BLOSSOM 24KLGX150ML 44129 60016 HA32"/>
    <n v="30070070150001"/>
    <n v="0"/>
    <s v="HIT AEROSOL PINK BLOSSOM 150ML 13.000."/>
    <x v="5"/>
    <s v="8992745480228"/>
    <x v="8"/>
    <s v="HIT AEROSOL"/>
    <s v="G1071"/>
    <x v="61"/>
    <n v="14"/>
    <s v="HIT AEROSOL PINK BLOSSOM 150ML X 24 KLG"/>
    <n v="39"/>
    <m/>
    <s v="G1"/>
    <s v="HIT"/>
    <s v="07"/>
    <s v="AEROSOL"/>
    <n v="1"/>
    <m/>
    <s v="0"/>
    <s v="PINK BLOSSOM"/>
    <s v="09"/>
    <s v="150ML"/>
    <s v="0150"/>
    <s v="KLG"/>
    <n v="1"/>
    <m/>
    <n v="0"/>
    <m/>
    <m/>
    <m/>
    <n v="30070070150001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9015010"/>
    <m/>
    <n v="30071050415000"/>
    <x v="101"/>
    <s v="HIT AE PINK BLOSSOM 24KLGX150ML 44129 60016 HA32"/>
    <n v="30070070150001"/>
    <n v="0"/>
    <s v="HIT AEROSOL PINK BLOSSOM 150ML NP"/>
    <x v="5"/>
    <s v="8992745480228"/>
    <x v="8"/>
    <s v="HIT AEROSOL"/>
    <s v="G1071"/>
    <x v="61"/>
    <n v="14"/>
    <s v="HIT AEROSOL PINK BLOSSOM 150ML X 24 KLG"/>
    <n v="39"/>
    <m/>
    <s v="G1"/>
    <s v="HIT"/>
    <s v="07"/>
    <s v="AEROSOL"/>
    <n v="1"/>
    <m/>
    <s v="0"/>
    <s v="PINK BLOSSOM"/>
    <s v="09"/>
    <s v="150ML"/>
    <s v="0150"/>
    <s v="KLG"/>
    <n v="1"/>
    <m/>
    <n v="0"/>
    <m/>
    <m/>
    <m/>
    <n v="30070070150001"/>
    <m/>
    <m/>
    <n v="24"/>
    <n v="9256.5"/>
    <n v="222156"/>
    <n v="10274.715"/>
    <n v="246593.16000000003"/>
    <n v="9900"/>
    <n v="237600"/>
    <n v="10989.000000000002"/>
    <n v="263736"/>
    <n v="0"/>
    <n v="0"/>
    <n v="0"/>
    <n v="0"/>
    <n v="6.5000000000000002E-2"/>
    <n v="-9256.5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9015010"/>
    <m/>
    <m/>
    <x v="102"/>
    <m/>
    <m/>
    <m/>
    <m/>
    <x v="5"/>
    <s v="8992745480228"/>
    <x v="8"/>
    <s v="HIT AEROSOL"/>
    <s v="G1071"/>
    <x v="61"/>
    <n v="14"/>
    <s v="HIT AEROSOL PINK BLOSSOM 150ML X 24 KLG"/>
    <n v="39"/>
    <m/>
    <s v="G1"/>
    <s v="HIT"/>
    <s v="07"/>
    <s v="AEROSOL"/>
    <n v="1"/>
    <m/>
    <s v="0"/>
    <s v="PINK BLOSSOM"/>
    <s v="09"/>
    <s v="150ML"/>
    <s v="0150"/>
    <s v="KLG"/>
    <n v="1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50"/>
    <s v="150ML"/>
    <m/>
    <m/>
    <s v="KRT"/>
    <s v="GD01"/>
    <n v="11611"/>
    <n v="11612"/>
    <m/>
    <n v="1"/>
    <m/>
    <n v="24"/>
  </r>
  <r>
    <s v="G1071009018010"/>
    <m/>
    <n v="30070070400000"/>
    <x v="103"/>
    <s v="HIT AE PINK BLOSSOM 12KLGX180ML 49656 60053 HA27"/>
    <n v="30070070200000"/>
    <n v="0"/>
    <s v="HIT AER PINK BLOSSOM 180+30ML EXTRA"/>
    <x v="3"/>
    <s v="8992745480112"/>
    <x v="8"/>
    <s v="HIT AEROSOL"/>
    <s v="G1071"/>
    <x v="62"/>
    <n v="14"/>
    <s v="HIT AEROSOL PINK BLOSSOM 180ML X 12 KLG"/>
    <n v="39"/>
    <m/>
    <s v="G1"/>
    <s v="HIT"/>
    <s v="07"/>
    <s v="AEROSOL"/>
    <n v="1"/>
    <m/>
    <s v="0"/>
    <s v="PINK BLOSSOM"/>
    <s v="09"/>
    <s v="180ML"/>
    <s v="0180"/>
    <s v="KLG"/>
    <n v="1"/>
    <m/>
    <n v="0"/>
    <m/>
    <m/>
    <m/>
    <n v="3007007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9018010"/>
    <m/>
    <n v="30070070400000"/>
    <x v="104"/>
    <s v="HIT AE PINK BLOSSOM 12KLGX180ML 49656 60053 HA27"/>
    <n v="30070070200000"/>
    <n v="0"/>
    <s v="HIT AER PINK BLOSSOM 180ml DF"/>
    <x v="3"/>
    <s v="8992745480112"/>
    <x v="8"/>
    <s v="HIT AEROSOL"/>
    <s v="G1071"/>
    <x v="62"/>
    <n v="14"/>
    <s v="HIT AEROSOL PINK BLOSSOM 180ML X 12 KLG"/>
    <n v="39"/>
    <m/>
    <s v="G1"/>
    <s v="HIT"/>
    <s v="07"/>
    <s v="AEROSOL"/>
    <n v="1"/>
    <m/>
    <s v="0"/>
    <s v="PINK BLOSSOM"/>
    <s v="09"/>
    <s v="180ML"/>
    <s v="0180"/>
    <s v="KLG"/>
    <n v="1"/>
    <m/>
    <n v="0"/>
    <m/>
    <m/>
    <m/>
    <n v="3007007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9018010"/>
    <m/>
    <n v="30070090200000"/>
    <x v="105"/>
    <s v="HIT AE PINK BLOSSOM 12KLGX180ML 49656 60053 HA27"/>
    <n v="30070070200000"/>
    <n v="0"/>
    <s v="HIT AER PINK BLOSSOM 200ML"/>
    <x v="3"/>
    <s v="8992745480112"/>
    <x v="8"/>
    <s v="HIT AEROSOL"/>
    <s v="G1071"/>
    <x v="62"/>
    <n v="14"/>
    <s v="HIT AEROSOL PINK BLOSSOM 180ML X 12 KLG"/>
    <n v="39"/>
    <m/>
    <s v="G1"/>
    <s v="HIT"/>
    <s v="07"/>
    <s v="AEROSOL"/>
    <n v="1"/>
    <m/>
    <s v="0"/>
    <s v="PINK BLOSSOM"/>
    <s v="09"/>
    <s v="180ML"/>
    <s v="0180"/>
    <s v="KLG"/>
    <n v="1"/>
    <m/>
    <n v="0"/>
    <m/>
    <m/>
    <m/>
    <n v="30070070200000"/>
    <m/>
    <m/>
    <n v="12"/>
    <n v="13161.06"/>
    <n v="157932.72"/>
    <n v="14608.776600000001"/>
    <n v="175305.31920000003"/>
    <n v="14076"/>
    <n v="168912"/>
    <n v="15624.36"/>
    <n v="187492.32"/>
    <n v="0"/>
    <n v="0"/>
    <n v="0"/>
    <n v="0"/>
    <n v="6.500000000000003E-2"/>
    <n v="-13161.06"/>
    <e v="#DIV/0!"/>
    <m/>
    <m/>
    <s v="Lama"/>
    <s v="Sama"/>
    <m/>
    <s v="IDR"/>
    <s v="0180"/>
    <s v="180ML"/>
    <m/>
    <m/>
    <s v="KRT"/>
    <s v="GD01"/>
    <n v="11611"/>
    <n v="11612"/>
    <m/>
    <n v="1"/>
    <m/>
    <n v="12"/>
  </r>
  <r>
    <s v="G1071009040010"/>
    <m/>
    <n v="30070090200000"/>
    <x v="106"/>
    <s v="HIT AE PINK BLOSSOM 12 KLGX400ML 60005 39291 HA21"/>
    <n v="30070070400000"/>
    <n v="0"/>
    <s v="HIT AER PINK BLOSSOM 400+40ML EXTRA"/>
    <x v="3"/>
    <s v="8992745480488"/>
    <x v="8"/>
    <s v="HIT AEROSOL"/>
    <s v="G1071"/>
    <x v="63"/>
    <n v="14"/>
    <s v="HIT AEROSOL PINK BLOSSOM 400ML X 12 KLG"/>
    <n v="39"/>
    <m/>
    <s v="G1"/>
    <s v="HIT"/>
    <s v="07"/>
    <s v="AEROSOL"/>
    <n v="1"/>
    <m/>
    <s v="0"/>
    <s v="PINK BLOSSOM"/>
    <s v="09"/>
    <s v="400ML"/>
    <s v="0400"/>
    <s v="KLG"/>
    <n v="1"/>
    <m/>
    <n v="0"/>
    <m/>
    <m/>
    <m/>
    <n v="3007007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9040010"/>
    <m/>
    <n v="30070090400000"/>
    <x v="107"/>
    <s v="HIT AE PINK BLOSSOM 12 KLGX400ML 60005 39291 HA21"/>
    <n v="30070070400000"/>
    <n v="0"/>
    <s v="HIT AER PINK BLOSSOM 400ML"/>
    <x v="3"/>
    <s v="8992745480488"/>
    <x v="8"/>
    <s v="HIT AEROSOL"/>
    <s v="G1071"/>
    <x v="63"/>
    <n v="14"/>
    <s v="HIT AEROSOL PINK BLOSSOM 400ML X 12 KLG"/>
    <n v="39"/>
    <m/>
    <s v="G1"/>
    <s v="HIT"/>
    <s v="07"/>
    <s v="AEROSOL"/>
    <n v="1"/>
    <m/>
    <s v="0"/>
    <s v="PINK BLOSSOM"/>
    <s v="09"/>
    <s v="400ML"/>
    <s v="0400"/>
    <s v="KLG"/>
    <n v="1"/>
    <m/>
    <n v="0"/>
    <m/>
    <m/>
    <m/>
    <n v="30070070400000"/>
    <m/>
    <m/>
    <n v="12"/>
    <n v="20429.75"/>
    <n v="245157"/>
    <n v="22677.022500000003"/>
    <n v="272124.27"/>
    <n v="21850"/>
    <n v="262200"/>
    <n v="24253.500000000004"/>
    <n v="291042"/>
    <n v="0"/>
    <n v="0"/>
    <n v="0"/>
    <n v="0"/>
    <n v="6.5000000000000002E-2"/>
    <n v="-20429.7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071009060010"/>
    <m/>
    <n v="30070090400000"/>
    <x v="108"/>
    <s v="HIT AE EXPT PINK B 12 KLGX600ML 60014 39443 HAE13"/>
    <n v="30071070600000"/>
    <n v="0"/>
    <s v="HIT AER PINK BLOSSOM 600+50ML EXTRA"/>
    <x v="3"/>
    <s v="8992745610311"/>
    <x v="8"/>
    <s v="HIT AEROSOL"/>
    <s v="G1071"/>
    <x v="64"/>
    <n v="14"/>
    <s v="HIT AEROSOL PINK BLOSSOM 600ML X 12 KLG"/>
    <n v="39"/>
    <m/>
    <s v="G1"/>
    <s v="HIT"/>
    <s v="07"/>
    <s v="AEROSOL"/>
    <n v="1"/>
    <m/>
    <s v="0"/>
    <s v="PINK BLOSSOM"/>
    <s v="09"/>
    <s v="600ML"/>
    <s v="0600"/>
    <s v="KLG"/>
    <n v="1"/>
    <m/>
    <n v="0"/>
    <m/>
    <m/>
    <m/>
    <n v="3007107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9060010"/>
    <m/>
    <n v="30070090400000"/>
    <x v="109"/>
    <s v="HIT AE EXPT PINK B 12 KLGX600ML 60014 39443 HAE13"/>
    <n v="30071070600000"/>
    <n v="0"/>
    <s v="HIT AER PINK BLOSSOM 600ML"/>
    <x v="3"/>
    <s v="8992745610311"/>
    <x v="8"/>
    <s v="HIT AEROSOL"/>
    <s v="G1071"/>
    <x v="64"/>
    <n v="14"/>
    <s v="HIT AEROSOL PINK BLOSSOM 600ML X 12 KLG"/>
    <n v="39"/>
    <m/>
    <s v="G1"/>
    <s v="HIT"/>
    <s v="07"/>
    <s v="AEROSOL"/>
    <n v="1"/>
    <m/>
    <s v="0"/>
    <s v="PINK BLOSSOM"/>
    <s v="09"/>
    <s v="600ML"/>
    <s v="0600"/>
    <s v="KLG"/>
    <n v="1"/>
    <m/>
    <n v="0"/>
    <m/>
    <m/>
    <m/>
    <n v="30071070600000"/>
    <m/>
    <m/>
    <n v="12"/>
    <n v="27115"/>
    <n v="325380"/>
    <n v="30097.65"/>
    <n v="361171.80000000005"/>
    <n v="29000"/>
    <n v="348000"/>
    <n v="32190.000000000004"/>
    <n v="386280.00000000006"/>
    <n v="0"/>
    <n v="0"/>
    <n v="0"/>
    <n v="0"/>
    <n v="6.5000000000000002E-2"/>
    <n v="-27115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1009060010"/>
    <m/>
    <m/>
    <x v="110"/>
    <m/>
    <m/>
    <m/>
    <m/>
    <x v="3"/>
    <s v="8992745610311"/>
    <x v="8"/>
    <s v="HIT AEROSOL"/>
    <s v="G1071"/>
    <x v="64"/>
    <n v="14"/>
    <s v="HIT AEROSOL PINK BLOSSOM 600ML X 12 KLG"/>
    <n v="39"/>
    <m/>
    <s v="G1"/>
    <s v="HIT"/>
    <s v="07"/>
    <s v="AEROSOL"/>
    <n v="1"/>
    <m/>
    <s v="0"/>
    <s v="PINK BLOSSOM"/>
    <s v="09"/>
    <s v="600ML"/>
    <s v="060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600"/>
    <s v="600ML"/>
    <m/>
    <m/>
    <s v="KRT"/>
    <s v="GD01"/>
    <n v="11611"/>
    <n v="11612"/>
    <m/>
    <n v="1"/>
    <m/>
    <n v="12"/>
  </r>
  <r>
    <s v="G1072001002010"/>
    <m/>
    <n v="30071070600000"/>
    <x v="111"/>
    <s v="HIT ANTI KECOA GEL 12 PCS X 20GR 26239 56830 HAC01"/>
    <n v="30080010020000"/>
    <n v="0"/>
    <s v="HIT ANTI KECOA GEL 20 GR"/>
    <x v="3"/>
    <s v="8992745560630"/>
    <x v="5"/>
    <s v="HIT ANTI KECOA"/>
    <s v="G1072"/>
    <x v="65"/>
    <n v="14"/>
    <s v="HIT ANTI KECOA GEL 20GR X 12 PCS"/>
    <n v="32"/>
    <m/>
    <s v="G1"/>
    <s v="HIT"/>
    <s v="07"/>
    <s v="ANTI KECOA"/>
    <n v="2"/>
    <m/>
    <s v="0"/>
    <s v="GEL"/>
    <s v="01"/>
    <s v="20GR"/>
    <s v="0020"/>
    <s v="PCS"/>
    <n v="1"/>
    <m/>
    <n v="0"/>
    <m/>
    <m/>
    <m/>
    <n v="30080010020000"/>
    <m/>
    <m/>
    <n v="12"/>
    <n v="45908.5"/>
    <n v="550902"/>
    <n v="50958.435000000005"/>
    <n v="611501.22000000009"/>
    <n v="49100"/>
    <n v="589200"/>
    <n v="54501.000000000007"/>
    <n v="654012"/>
    <n v="0"/>
    <n v="0"/>
    <n v="0"/>
    <n v="0"/>
    <n v="6.5000000000000002E-2"/>
    <n v="-45908.5"/>
    <e v="#DIV/0!"/>
    <m/>
    <m/>
    <s v="Lama"/>
    <s v="Sama"/>
    <m/>
    <s v="IDR"/>
    <s v="0020"/>
    <s v="20GR"/>
    <m/>
    <m/>
    <s v="KRT"/>
    <s v="GD01"/>
    <n v="11611"/>
    <n v="11612"/>
    <m/>
    <n v="1"/>
    <m/>
    <n v="12"/>
  </r>
  <r>
    <s v="G1072001002010"/>
    <m/>
    <n v="30071070600000"/>
    <x v="112"/>
    <s v="HIT ANTI KECOA GEL 12 PCS X 20GR 26239 56830 HAC01"/>
    <n v="30080010020000"/>
    <n v="0"/>
    <s v="HIT ANTI KECOA GEL 20 GR FB"/>
    <x v="3"/>
    <s v="8992745560630"/>
    <x v="5"/>
    <s v="HIT ANTI KECOA"/>
    <s v="G1072"/>
    <x v="65"/>
    <n v="14"/>
    <s v="HIT ANTI KECOA GEL 20GR X 12 PCS"/>
    <n v="32"/>
    <m/>
    <s v="G1"/>
    <s v="HIT"/>
    <s v="07"/>
    <s v="ANTI KECOA"/>
    <n v="2"/>
    <m/>
    <s v="0"/>
    <s v="GEL"/>
    <s v="01"/>
    <s v="20GR"/>
    <s v="0020"/>
    <s v="PCS"/>
    <n v="1"/>
    <m/>
    <n v="0"/>
    <m/>
    <m/>
    <m/>
    <n v="30080010020000"/>
    <m/>
    <m/>
    <n v="12"/>
    <n v="45908.5"/>
    <n v="550902"/>
    <n v="50958.435000000005"/>
    <n v="611501.22000000009"/>
    <n v="49100"/>
    <n v="589200"/>
    <n v="54501.000000000007"/>
    <n v="654012"/>
    <n v="0"/>
    <n v="0"/>
    <n v="0"/>
    <n v="0"/>
    <n v="6.5000000000000002E-2"/>
    <n v="-45908.5"/>
    <e v="#DIV/0!"/>
    <m/>
    <m/>
    <s v="Lama"/>
    <s v="Sama"/>
    <m/>
    <s v="IDR"/>
    <s v="0020"/>
    <s v="20GR"/>
    <m/>
    <m/>
    <s v="KRT"/>
    <s v="GD01"/>
    <n v="11611"/>
    <n v="11612"/>
    <m/>
    <n v="1"/>
    <m/>
    <n v="12"/>
  </r>
  <r>
    <s v="G1072002015020"/>
    <m/>
    <n v="30071050415000"/>
    <x v="113"/>
    <s v="HIT ANTI KECOA SPRAY 12 KLG X 150ML 57598 HAC02"/>
    <n v="30080020150010"/>
    <n v="0"/>
    <s v="HIT ANTI KECOA AEROSOL 150ML NF."/>
    <x v="3"/>
    <s v="8992745560579"/>
    <x v="8"/>
    <s v="HIT ANTI KECOA"/>
    <s v="G1072"/>
    <x v="66"/>
    <n v="14"/>
    <s v="HIT ANTI KECOA SPRAY 150ML X 12 KLG"/>
    <n v="35"/>
    <m/>
    <s v="G1"/>
    <s v="HIT"/>
    <s v="07"/>
    <s v="ANTI KECOA"/>
    <n v="2"/>
    <m/>
    <s v="0"/>
    <s v="SPRAY"/>
    <s v="02"/>
    <s v="150ML"/>
    <s v="0150"/>
    <s v="KLG"/>
    <n v="2"/>
    <m/>
    <n v="0"/>
    <m/>
    <m/>
    <m/>
    <n v="30080020150010"/>
    <m/>
    <m/>
    <n v="12"/>
    <n v="13940.85"/>
    <n v="167290.20000000001"/>
    <n v="15474.343500000001"/>
    <n v="185692.12200000003"/>
    <n v="14910"/>
    <n v="178920"/>
    <n v="16550.100000000002"/>
    <n v="198601.2"/>
    <n v="0"/>
    <n v="0"/>
    <n v="0"/>
    <n v="0"/>
    <n v="6.4999999999999974E-2"/>
    <n v="-13940.85"/>
    <e v="#DIV/0!"/>
    <m/>
    <m/>
    <s v="Lama"/>
    <s v="Sama"/>
    <m/>
    <s v="IDR"/>
    <s v="0150"/>
    <s v="150ML"/>
    <m/>
    <m/>
    <s v="KRT"/>
    <s v="GD01"/>
    <n v="11611"/>
    <n v="11612"/>
    <m/>
    <n v="1"/>
    <m/>
    <n v="12"/>
  </r>
  <r>
    <s v="G1073001000010"/>
    <m/>
    <n v="30100020360000"/>
    <x v="114"/>
    <s v="HIT GKNIGHT EXPRS APPLE 24 SETX204GR 36247 57200"/>
    <n v="30132020204000"/>
    <n v="0"/>
    <s v="HIT GOODKNIGHT XPRESS SET"/>
    <x v="5"/>
    <s v="8992745120254"/>
    <x v="9"/>
    <s v="HIT GOODKNIGHT EXPRESS"/>
    <s v="G1073"/>
    <x v="67"/>
    <n v="14"/>
    <s v="HIT GOODKNIGHT EXPRESS APPLE X 24 SET"/>
    <n v="37"/>
    <m/>
    <s v="G1"/>
    <s v="HIT"/>
    <s v="07"/>
    <s v="GOODKNIGHT EXPRESS"/>
    <n v="3"/>
    <m/>
    <s v="0"/>
    <s v="APPLE"/>
    <s v="01"/>
    <m/>
    <s v="0000"/>
    <s v="SET"/>
    <n v="1"/>
    <m/>
    <n v="0"/>
    <m/>
    <m/>
    <m/>
    <n v="30132020204000"/>
    <m/>
    <m/>
    <n v="24"/>
    <n v="14492.5"/>
    <n v="347820"/>
    <n v="16086.675000000001"/>
    <n v="386080.2"/>
    <n v="15500"/>
    <n v="372000"/>
    <n v="17205"/>
    <n v="412920.00000000006"/>
    <n v="0"/>
    <n v="0"/>
    <n v="0"/>
    <n v="0"/>
    <n v="6.5000000000000002E-2"/>
    <n v="-14492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073001000010"/>
    <m/>
    <n v="30112040004000"/>
    <x v="115"/>
    <s v="HIT GKNIGHT EXPRS APPLE 24 SETX204GR 36247 57200"/>
    <n v="30132020204000"/>
    <n v="0"/>
    <s v="HIT LV GOODKNIGHT XPRESS SET NF."/>
    <x v="5"/>
    <s v="8992745120254"/>
    <x v="9"/>
    <s v="HIT GOODKNIGHT EXPRESS"/>
    <s v="G1073"/>
    <x v="67"/>
    <n v="14"/>
    <s v="HIT GOODKNIGHT EXPRESS APPLE X 24 SET"/>
    <n v="37"/>
    <m/>
    <s v="G1"/>
    <s v="HIT"/>
    <s v="07"/>
    <s v="GOODKNIGHT EXPRESS"/>
    <n v="3"/>
    <m/>
    <s v="0"/>
    <s v="APPLE"/>
    <s v="01"/>
    <m/>
    <s v="0000"/>
    <s v="SET"/>
    <n v="1"/>
    <m/>
    <n v="0"/>
    <m/>
    <m/>
    <m/>
    <n v="30132020204000"/>
    <m/>
    <m/>
    <n v="24"/>
    <n v="14492.5"/>
    <n v="347820"/>
    <n v="16086.675000000001"/>
    <n v="386080.2"/>
    <n v="15500"/>
    <n v="372000"/>
    <n v="17205"/>
    <n v="412920.00000000006"/>
    <n v="0"/>
    <n v="0"/>
    <n v="0"/>
    <n v="0"/>
    <n v="6.5000000000000002E-2"/>
    <n v="-14492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073001000010"/>
    <m/>
    <m/>
    <x v="116"/>
    <m/>
    <m/>
    <m/>
    <m/>
    <x v="5"/>
    <s v="8992745120254"/>
    <x v="9"/>
    <s v="HIT GOODKNIGHT EXPRESS"/>
    <s v="G1073"/>
    <x v="67"/>
    <n v="14"/>
    <s v="HIT GOODKNIGHT EXPRESS APPLE X 24 SET"/>
    <n v="37"/>
    <m/>
    <s v="G1"/>
    <s v="HIT"/>
    <s v="07"/>
    <s v="GOODKNIGHT EXPRESS"/>
    <n v="3"/>
    <m/>
    <s v="0"/>
    <s v="APPLE"/>
    <s v="01"/>
    <m/>
    <s v="0000"/>
    <s v="SET"/>
    <n v="1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073101004510"/>
    <m/>
    <n v="30100010175000"/>
    <x v="117"/>
    <s v="HIT GKNIGHT EXPRS APPLE 144 BOXX45ML 36248 57201"/>
    <n v="30132060045010"/>
    <n v="0"/>
    <s v="HIT GOODKNIGHT XPRESS REF APPLE"/>
    <x v="1"/>
    <s v="8992745705567"/>
    <x v="10"/>
    <s v="HIT GOODKNIGHT EXPRESS"/>
    <s v="G1073"/>
    <x v="68"/>
    <n v="14"/>
    <s v="HIT GOODKNIGHT EXPRESS REFILL APPLE 45ML X 144 BOX"/>
    <n v="50"/>
    <m/>
    <s v="G1"/>
    <s v="HIT"/>
    <s v="07"/>
    <s v="GOODKNIGHT EXPRESS"/>
    <n v="3"/>
    <s v="REFILL"/>
    <s v="1"/>
    <s v="APPLE"/>
    <s v="01"/>
    <s v="45ML"/>
    <s v="0045"/>
    <s v="BOX"/>
    <n v="1"/>
    <m/>
    <n v="0"/>
    <m/>
    <m/>
    <m/>
    <n v="3013206004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3101004510"/>
    <m/>
    <n v="30112040004000"/>
    <x v="118"/>
    <s v="HIT GKNIGHT EXPRS APPLE 144 BOXX45ML 36248 57201"/>
    <n v="30132060045010"/>
    <n v="0"/>
    <s v="HIT LV GOODKNIGHT XPRESS REFILL APPLE N"/>
    <x v="1"/>
    <s v="8992745705567"/>
    <x v="10"/>
    <s v="HIT GOODKNIGHT EXPRESS"/>
    <s v="G1073"/>
    <x v="68"/>
    <n v="14"/>
    <s v="HIT GOODKNIGHT EXPRESS REFILL APPLE 45ML X 144 BOX"/>
    <n v="50"/>
    <m/>
    <s v="G1"/>
    <s v="HIT"/>
    <s v="07"/>
    <s v="GOODKNIGHT EXPRESS"/>
    <n v="3"/>
    <s v="REFILL"/>
    <s v="1"/>
    <s v="APPLE"/>
    <s v="01"/>
    <s v="45ML"/>
    <s v="0045"/>
    <s v="BOX"/>
    <n v="1"/>
    <m/>
    <n v="0"/>
    <m/>
    <m/>
    <m/>
    <n v="3013206004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3101004510"/>
    <m/>
    <m/>
    <x v="119"/>
    <s v="HIT LV GOODKNIGHT REFILL APPLE"/>
    <m/>
    <m/>
    <s v="HIT LV GOODKNIGHT REFILL APPLE"/>
    <x v="0"/>
    <m/>
    <x v="10"/>
    <s v="HIT GOODKNIGHT EXPRESS"/>
    <s v="G1073"/>
    <x v="68"/>
    <n v="14"/>
    <s v="HIT GOODKNIGHT EXPRESS REFILL APPLE 45ML X BOX"/>
    <n v="46"/>
    <m/>
    <s v="G1"/>
    <s v="HIT"/>
    <s v="07"/>
    <s v="GOODKNIGHT EXPRESS"/>
    <n v="3"/>
    <s v="REFILL"/>
    <s v="1"/>
    <s v="APPLE"/>
    <s v="01"/>
    <s v="45ML"/>
    <s v="0045"/>
    <s v="BOX"/>
    <n v="1"/>
    <m/>
    <n v="0"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5"/>
    <s v="45ML"/>
    <m/>
    <m/>
    <s v="KRT"/>
    <s v="GD01"/>
    <n v="11611"/>
    <n v="11612"/>
    <m/>
    <n v="1"/>
    <m/>
    <n v="0"/>
  </r>
  <r>
    <s v="G1073102004510"/>
    <m/>
    <n v="30100010360000"/>
    <x v="120"/>
    <s v="HIT GKNIGHT EXPRS FRESH 144 BOXX45ML 36249 57203"/>
    <n v="30132050045010"/>
    <n v="30132050045010"/>
    <s v="HIT GOODKNIGHT XPRESS REF FRESH"/>
    <x v="1"/>
    <s v="8992745560586"/>
    <x v="10"/>
    <s v="HIT GOODKNIGHT EXPRESS"/>
    <s v="G1073"/>
    <x v="69"/>
    <n v="14"/>
    <s v="HIT GOODKNIGHT EXPRESS REFILL FRESH 45ML X 144 BOX"/>
    <n v="50"/>
    <m/>
    <s v="G1"/>
    <s v="HIT"/>
    <s v="07"/>
    <s v="GOODKNIGHT EXPRESS"/>
    <n v="3"/>
    <s v="REFILL"/>
    <s v="1"/>
    <s v="FRESH"/>
    <s v="02"/>
    <s v="45ML"/>
    <s v="0045"/>
    <s v="BOX"/>
    <n v="1"/>
    <m/>
    <n v="0"/>
    <m/>
    <m/>
    <m/>
    <n v="3013205004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3102004510"/>
    <m/>
    <n v="30100010360000"/>
    <x v="121"/>
    <s v="HIT LV GOODKNIGHT XPRESS REFILL FRESH N"/>
    <n v="30132050045010"/>
    <m/>
    <s v="HIT LV GOODKNIGHT XPRESS REFILL FRESH N"/>
    <x v="1"/>
    <m/>
    <x v="10"/>
    <s v="HIT GOODKNIGHT EXPRESS"/>
    <s v="G1073"/>
    <x v="69"/>
    <n v="14"/>
    <s v="HIT GOODKNIGHT EXPRESS REFILL FRESH 45ML X 144 BOX"/>
    <n v="50"/>
    <m/>
    <s v="G1"/>
    <s v="HIT"/>
    <s v="07"/>
    <s v="GOODKNIGHT EXPRESS"/>
    <n v="3"/>
    <s v="REFILL"/>
    <s v="1"/>
    <s v="FRESH"/>
    <s v="02"/>
    <s v="45ML"/>
    <s v="0045"/>
    <s v="BOX"/>
    <n v="1"/>
    <m/>
    <n v="0"/>
    <m/>
    <m/>
    <m/>
    <n v="3013205004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3102004510"/>
    <m/>
    <m/>
    <x v="122"/>
    <s v="HIT LV GOODKNIGHT XP REFILL FRESH"/>
    <m/>
    <m/>
    <s v="HIT LV GOODKNIGHT XP REFILL FRESH"/>
    <x v="1"/>
    <m/>
    <x v="10"/>
    <s v="HIT GOODKNIGHT EXPRESS"/>
    <s v="G1073"/>
    <x v="69"/>
    <n v="14"/>
    <s v="HIT GOODKNIGHT EXPRESS REFILL FRESH 45ML X 144 BOX"/>
    <n v="50"/>
    <m/>
    <s v="G1"/>
    <s v="HIT"/>
    <s v="07"/>
    <s v="GOODKNIGHT EXPRESS"/>
    <n v="3"/>
    <s v="REFILL"/>
    <s v="1"/>
    <s v="FRESH"/>
    <s v="02"/>
    <s v="45ML"/>
    <s v="0045"/>
    <s v="BOX"/>
    <n v="1"/>
    <m/>
    <n v="0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3103004510"/>
    <m/>
    <n v="30110070010000"/>
    <x v="123"/>
    <s v="HIT GKNIGHT EXPRS P.BLOSOM 144BOXX45ML 57315 HGE05"/>
    <n v="30132070045010"/>
    <n v="0"/>
    <s v="HIT LV GK XPRESS REFILL PINK BLOSSOM NF."/>
    <x v="1"/>
    <s v="8992745000402"/>
    <x v="10"/>
    <s v="HIT GOODKNIGHT EXPRESS"/>
    <s v="G1073"/>
    <x v="70"/>
    <n v="14"/>
    <s v="HIT GOODKNIGHT EXPRESS REFILL PINK BLOSSOM 45ML X 144 BOX"/>
    <n v="57"/>
    <m/>
    <s v="G1"/>
    <s v="HIT"/>
    <s v="07"/>
    <s v="GOODKNIGHT EXPRESS"/>
    <n v="3"/>
    <s v="REFILL"/>
    <s v="1"/>
    <s v="PINK BLOSSOM"/>
    <s v="03"/>
    <s v="45ML"/>
    <s v="0045"/>
    <s v="BOX"/>
    <n v="1"/>
    <m/>
    <n v="0"/>
    <m/>
    <m/>
    <m/>
    <n v="3013207004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3103004510"/>
    <m/>
    <m/>
    <x v="124"/>
    <s v="HIT LV GK XPRESS REFILL PINK BLOSSOM NF"/>
    <m/>
    <m/>
    <s v="HIT LV GK XPRESS REFILL PINK BLOSSOM NF"/>
    <x v="1"/>
    <m/>
    <x v="10"/>
    <s v="HIT GOODKNIGHT EXPRESS"/>
    <s v="G1073"/>
    <x v="70"/>
    <n v="14"/>
    <s v="HIT GOODKNIGHT EXPRESS REFILL PINK BLOSSOM 45ML X 144 BOX"/>
    <n v="57"/>
    <m/>
    <s v="G1"/>
    <s v="HIT"/>
    <s v="07"/>
    <s v="GOODKNIGHT EXPRESS"/>
    <n v="3"/>
    <s v="REFILL"/>
    <s v="1"/>
    <s v="PINK BLOSSOM"/>
    <s v="03"/>
    <s v="45ML"/>
    <s v="0045"/>
    <s v="BOX"/>
    <n v="1"/>
    <m/>
    <n v="0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3201004510"/>
    <m/>
    <n v="30080010020000"/>
    <x v="125"/>
    <s v="HIT GKNIGHT EXPRS RF APPLE 144 BOXX45ML MTP 59201 "/>
    <n v="301320200450101"/>
    <n v="0"/>
    <s v="HIT GOODKNIGHT LV REF APPLE MTP."/>
    <x v="1"/>
    <s v="8992745000969"/>
    <x v="10"/>
    <s v="HIT GOODKNIGHT EXPRESS"/>
    <s v="G1073"/>
    <x v="71"/>
    <n v="14"/>
    <s v="HIT GOODKNIGHT EXPRESS REFILL MULTI PACK APPLE 45ML X 144 BOX"/>
    <n v="61"/>
    <m/>
    <s v="G1"/>
    <s v="HIT"/>
    <s v="07"/>
    <s v="GOODKNIGHT EXPRESS"/>
    <n v="3"/>
    <s v="REFILL MULTI PACK"/>
    <s v="2"/>
    <s v="APPLE"/>
    <s v="01"/>
    <s v="45ML"/>
    <s v="0045"/>
    <s v="BOX"/>
    <n v="1"/>
    <m/>
    <n v="0"/>
    <m/>
    <m/>
    <m/>
    <n v="301320200450101"/>
    <m/>
    <m/>
    <n v="144"/>
    <n v="20637.32"/>
    <n v="2971774.08"/>
    <n v="22907.425200000001"/>
    <n v="3298669.2288000002"/>
    <n v="22072"/>
    <n v="3178368"/>
    <n v="24499.920000000002"/>
    <n v="3527988.4800000004"/>
    <n v="0"/>
    <n v="0"/>
    <n v="0"/>
    <n v="0"/>
    <n v="6.5000000000000016E-2"/>
    <n v="-20637.32"/>
    <e v="#DIV/0!"/>
    <m/>
    <m/>
    <s v="Lama"/>
    <s v="Sama"/>
    <m/>
    <s v="IDR"/>
    <s v="0045"/>
    <s v="45ML"/>
    <m/>
    <m/>
    <s v="KRT"/>
    <s v="GD01"/>
    <n v="11611"/>
    <n v="11612"/>
    <m/>
    <n v="1"/>
    <m/>
    <n v="144"/>
  </r>
  <r>
    <s v="G1074001025010"/>
    <m/>
    <n v="30090030225003"/>
    <x v="126"/>
    <s v="HIT GKNIGHT NS EKO 24 SETX250GR 36707 57316 HGN01"/>
    <n v="30131010000001"/>
    <n v="0"/>
    <s v="HIT GOODKNIGHT NON-STOP SET + REF FRESH"/>
    <x v="5"/>
    <s v="8992745140689"/>
    <x v="9"/>
    <s v="HIT GOODKNIGHT NON-STOP"/>
    <s v="G1074"/>
    <x v="72"/>
    <n v="14"/>
    <s v="HIT GOODKNIGHT NON-STOP EKONOMIS 250GR X 24 SET"/>
    <n v="47"/>
    <m/>
    <s v="G1"/>
    <s v="HIT"/>
    <s v="07"/>
    <s v="GOODKNIGHT NON-STOP"/>
    <n v="4"/>
    <m/>
    <s v="0"/>
    <s v="EKONOMIS"/>
    <s v="01"/>
    <s v="250GR"/>
    <s v="0250"/>
    <s v="SET"/>
    <n v="1"/>
    <m/>
    <n v="0"/>
    <m/>
    <m/>
    <m/>
    <n v="30131010000001"/>
    <m/>
    <m/>
    <n v="24"/>
    <n v="14866.5"/>
    <n v="356796"/>
    <n v="16501.815000000002"/>
    <n v="396043.56000000006"/>
    <n v="15900"/>
    <n v="381600"/>
    <n v="17649"/>
    <n v="423576.00000000006"/>
    <n v="0"/>
    <n v="0"/>
    <n v="0"/>
    <n v="0"/>
    <n v="6.5000000000000002E-2"/>
    <n v="-14866.5"/>
    <e v="#DIV/0!"/>
    <m/>
    <m/>
    <s v="Lama"/>
    <s v="Sama"/>
    <m/>
    <s v="IDR"/>
    <s v="0250"/>
    <s v="250GR"/>
    <m/>
    <m/>
    <s v="KRT"/>
    <s v="GD01"/>
    <n v="11611"/>
    <n v="11612"/>
    <m/>
    <n v="1"/>
    <m/>
    <n v="24"/>
  </r>
  <r>
    <s v="G1074001025010"/>
    <m/>
    <n v="30111050010000"/>
    <x v="127"/>
    <s v="HIT GKNIGHT NS EKO 24 SETX250GR 36707 57316 HGN01"/>
    <n v="30131010000001"/>
    <n v="0"/>
    <s v="HIT LV GOODKNIGHT NON-STOP SET NF."/>
    <x v="5"/>
    <s v="8992745140689"/>
    <x v="9"/>
    <s v="HIT GOODKNIGHT NON-STOP"/>
    <s v="G1074"/>
    <x v="72"/>
    <n v="14"/>
    <s v="HIT GOODKNIGHT NON-STOP EKONOMIS 250GR X 24 SET"/>
    <n v="47"/>
    <m/>
    <s v="G1"/>
    <s v="HIT"/>
    <s v="07"/>
    <s v="GOODKNIGHT NON-STOP"/>
    <n v="4"/>
    <m/>
    <s v="0"/>
    <s v="EKONOMIS"/>
    <s v="01"/>
    <s v="250GR"/>
    <s v="0250"/>
    <s v="SET"/>
    <n v="1"/>
    <m/>
    <n v="0"/>
    <m/>
    <m/>
    <m/>
    <n v="30131010000001"/>
    <m/>
    <m/>
    <n v="24"/>
    <n v="14866.5"/>
    <n v="356796"/>
    <n v="16501.815000000002"/>
    <n v="396043.56000000006"/>
    <n v="15900"/>
    <n v="381600"/>
    <n v="17649"/>
    <n v="423576.00000000006"/>
    <n v="0"/>
    <n v="0"/>
    <n v="0"/>
    <n v="0"/>
    <n v="6.5000000000000002E-2"/>
    <n v="-14866.5"/>
    <e v="#DIV/0!"/>
    <m/>
    <m/>
    <s v="Lama"/>
    <s v="Sama"/>
    <m/>
    <s v="IDR"/>
    <s v="0250"/>
    <s v="250GR"/>
    <m/>
    <m/>
    <s v="KRT"/>
    <s v="GD01"/>
    <n v="11611"/>
    <n v="11612"/>
    <m/>
    <n v="1"/>
    <m/>
    <n v="24"/>
  </r>
  <r>
    <s v="G1074001025010"/>
    <m/>
    <m/>
    <x v="128"/>
    <m/>
    <m/>
    <m/>
    <m/>
    <x v="5"/>
    <s v="8992745140689"/>
    <x v="9"/>
    <s v="HIT GOODKNIGHT NON-STOP"/>
    <s v="G1074"/>
    <x v="72"/>
    <n v="14"/>
    <s v="HIT GOODKNIGHT NON-STOP EKONOMIS 250GR X 24 SET"/>
    <n v="47"/>
    <m/>
    <s v="G1"/>
    <s v="HIT"/>
    <s v="07"/>
    <s v="GOODKNIGHT NON-STOP"/>
    <n v="4"/>
    <m/>
    <s v="0"/>
    <s v="EKONOMIS"/>
    <s v="01"/>
    <s v="250GR"/>
    <s v="0250"/>
    <s v="SET"/>
    <n v="1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250"/>
    <s v="250GR"/>
    <m/>
    <m/>
    <s v="KRT"/>
    <s v="GD01"/>
    <n v="11611"/>
    <n v="11612"/>
    <m/>
    <n v="1"/>
    <m/>
    <n v="24"/>
  </r>
  <r>
    <s v="G1074002003520"/>
    <m/>
    <n v="30080020150010"/>
    <x v="129"/>
    <s v="HIT GKNIGHT N-S FRESH 144 BOX X 35ML MTP 59202 "/>
    <n v="301330500350101"/>
    <n v="0"/>
    <s v="HIT GOODKNIGHT LV REF FRESH MTP."/>
    <x v="1"/>
    <s v="8992745000976"/>
    <x v="10"/>
    <s v="HIT GOODKNIGHT NON-STOP"/>
    <s v="G1074"/>
    <x v="73"/>
    <n v="14"/>
    <s v="HIT GOODKNIGHT NON-STOP FRESH MULTI PACK 35ML X 144 BOX"/>
    <n v="55"/>
    <m/>
    <s v="G1"/>
    <s v="HIT"/>
    <s v="07"/>
    <s v="GOODKNIGHT NON-STOP"/>
    <n v="4"/>
    <m/>
    <s v="0"/>
    <s v="FRESH MULTI PACK"/>
    <s v="02"/>
    <s v="35ML"/>
    <s v="0035"/>
    <s v="BOX"/>
    <n v="2"/>
    <m/>
    <n v="0"/>
    <m/>
    <m/>
    <m/>
    <n v="301330500350101"/>
    <m/>
    <m/>
    <n v="144"/>
    <n v="20637.32"/>
    <n v="2971774.08"/>
    <n v="22907.425200000001"/>
    <n v="3298669.2288000002"/>
    <n v="22072"/>
    <n v="3178368"/>
    <n v="24499.920000000002"/>
    <n v="3527988.4800000004"/>
    <n v="0"/>
    <n v="0"/>
    <n v="0"/>
    <n v="0"/>
    <n v="6.5000000000000016E-2"/>
    <n v="-20637.32"/>
    <e v="#DIV/0!"/>
    <m/>
    <m/>
    <s v="Lama"/>
    <s v="Sama"/>
    <m/>
    <s v="IDR"/>
    <s v="0035"/>
    <s v="35ML"/>
    <m/>
    <m/>
    <s v="KRT"/>
    <s v="GD01"/>
    <n v="11611"/>
    <n v="11612"/>
    <m/>
    <n v="1"/>
    <m/>
    <n v="144"/>
  </r>
  <r>
    <s v="G1074101003510"/>
    <m/>
    <n v="30090030225003"/>
    <x v="130"/>
    <s v="HIT GKNIGHT NS CLASSIC 144BOX X 35ML 36708 57318 "/>
    <n v="30131030035010"/>
    <n v="0"/>
    <s v="HIT GOODKNIGHT NON-STOP REF CLASSIC"/>
    <x v="1"/>
    <s v="8992745120247"/>
    <x v="10"/>
    <s v="HIT GOODKNIGHT NON-STOP"/>
    <s v="G1074"/>
    <x v="74"/>
    <n v="14"/>
    <s v="HIT GOODKNIGHT NON-STOP REFILL CLASSIC 35ML X 144 BOX"/>
    <n v="53"/>
    <m/>
    <s v="G1"/>
    <s v="HIT"/>
    <s v="07"/>
    <s v="GOODKNIGHT NON-STOP"/>
    <n v="4"/>
    <s v="REFILL"/>
    <s v="1"/>
    <s v="CLASSIC"/>
    <s v="01"/>
    <s v="35ML"/>
    <s v="0035"/>
    <s v="BOX"/>
    <n v="1"/>
    <m/>
    <n v="0"/>
    <m/>
    <m/>
    <m/>
    <n v="3013103003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35"/>
    <s v="35ML"/>
    <m/>
    <m/>
    <s v="KRT"/>
    <s v="GD01"/>
    <n v="11611"/>
    <n v="11612"/>
    <m/>
    <n v="1"/>
    <m/>
    <n v="144"/>
  </r>
  <r>
    <s v="G1074101003510"/>
    <m/>
    <n v="30110080010000"/>
    <x v="131"/>
    <s v="HIT GKNIGHT NS CLASSIC 144BOX X 35ML 36708 57318 "/>
    <n v="30131030035010"/>
    <n v="0"/>
    <s v="HIT LV GOODKNIGHT NONSTOP REF CLASSIC N"/>
    <x v="1"/>
    <s v="8992745120247"/>
    <x v="10"/>
    <s v="HIT GOODKNIGHT NON-STOP"/>
    <s v="G1074"/>
    <x v="74"/>
    <n v="14"/>
    <s v="HIT GOODKNIGHT NON-STOP REFILL CLASSIC 35ML X 144 BOX"/>
    <n v="53"/>
    <m/>
    <s v="G1"/>
    <s v="HIT"/>
    <s v="07"/>
    <s v="GOODKNIGHT NON-STOP"/>
    <n v="4"/>
    <s v="REFILL"/>
    <s v="1"/>
    <s v="CLASSIC"/>
    <s v="01"/>
    <s v="35ML"/>
    <s v="0035"/>
    <s v="BOX"/>
    <n v="1"/>
    <m/>
    <n v="0"/>
    <m/>
    <m/>
    <m/>
    <n v="3013103003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35"/>
    <s v="35ML"/>
    <m/>
    <m/>
    <s v="KRT"/>
    <s v="GD01"/>
    <n v="11611"/>
    <n v="11612"/>
    <m/>
    <n v="1"/>
    <m/>
    <n v="144"/>
  </r>
  <r>
    <s v="G1074102003510"/>
    <m/>
    <n v="30090030225003"/>
    <x v="132"/>
    <s v="HIT GKNIGHT NS EXPRS FRESH 144BOXX35ML 36709 57317"/>
    <n v="30132050035010"/>
    <n v="0"/>
    <s v="HIT GOODKNIGHT NON-STOP REF  FRESH"/>
    <x v="1"/>
    <s v="8992745140559"/>
    <x v="10"/>
    <s v="HIT GOODKNIGHT NON-STOP"/>
    <s v="G1074"/>
    <x v="75"/>
    <n v="14"/>
    <s v="HIT GOODKNIGHT NON-STOP REFILL FRESH 35ML X 144 BOX"/>
    <n v="51"/>
    <m/>
    <s v="G1"/>
    <s v="HIT"/>
    <s v="07"/>
    <s v="GOODKNIGHT NON-STOP"/>
    <n v="4"/>
    <s v="REFILL"/>
    <s v="1"/>
    <s v="FRESH"/>
    <s v="02"/>
    <s v="35ML"/>
    <s v="0035"/>
    <s v="BOX"/>
    <n v="1"/>
    <m/>
    <n v="0"/>
    <m/>
    <m/>
    <m/>
    <n v="3013205003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35"/>
    <s v="35ML"/>
    <m/>
    <m/>
    <s v="KRT"/>
    <s v="GD01"/>
    <n v="11611"/>
    <n v="11612"/>
    <m/>
    <n v="1"/>
    <m/>
    <n v="144"/>
  </r>
  <r>
    <s v="G1074102003510"/>
    <m/>
    <n v="30111040010000"/>
    <x v="133"/>
    <s v="HIT GKNIGHT NS EXPRS FRESH 144BOXX35ML 36709 57317"/>
    <n v="30132050035010"/>
    <n v="0"/>
    <s v="HIT LV GOODKNIGHT NONSTOP REFILLFRESH N"/>
    <x v="1"/>
    <s v="8992745140559"/>
    <x v="10"/>
    <s v="HIT GOODKNIGHT NON-STOP"/>
    <s v="G1074"/>
    <x v="75"/>
    <n v="14"/>
    <s v="HIT GOODKNIGHT NON-STOP REFILL FRESH 35ML X 144 BOX"/>
    <n v="51"/>
    <m/>
    <s v="G1"/>
    <s v="HIT"/>
    <s v="07"/>
    <s v="GOODKNIGHT NON-STOP"/>
    <n v="4"/>
    <s v="REFILL"/>
    <s v="1"/>
    <s v="FRESH"/>
    <s v="02"/>
    <s v="35ML"/>
    <s v="0035"/>
    <s v="BOX"/>
    <n v="1"/>
    <m/>
    <n v="0"/>
    <m/>
    <m/>
    <m/>
    <n v="30132050035010"/>
    <m/>
    <m/>
    <n v="144"/>
    <n v="12248.5"/>
    <n v="1763784"/>
    <n v="13595.835000000001"/>
    <n v="1957800.2400000002"/>
    <n v="13100"/>
    <n v="1886400"/>
    <n v="14541.000000000002"/>
    <n v="2093904.0000000002"/>
    <n v="0"/>
    <n v="0"/>
    <n v="0"/>
    <n v="0"/>
    <n v="6.5000000000000002E-2"/>
    <n v="-12248.5"/>
    <e v="#DIV/0!"/>
    <m/>
    <m/>
    <s v="Lama"/>
    <s v="Sama"/>
    <m/>
    <s v="IDR"/>
    <s v="0035"/>
    <s v="35ML"/>
    <m/>
    <m/>
    <s v="KRT"/>
    <s v="GD01"/>
    <n v="11611"/>
    <n v="11612"/>
    <m/>
    <n v="1"/>
    <m/>
    <n v="144"/>
  </r>
  <r>
    <s v="G1075001017510"/>
    <m/>
    <n v="30110010004001"/>
    <x v="134"/>
    <s v="HIT LIQUID CLS LILY B 24PCHX175ML 16504 49640 HL01"/>
    <n v="30100010175000"/>
    <n v="0"/>
    <s v="HIT LIQUID LILY BLOSSOM 175ML ND"/>
    <x v="5"/>
    <s v="8992745120179"/>
    <x v="3"/>
    <s v="HIT LIQUID"/>
    <s v="G1075"/>
    <x v="76"/>
    <n v="14"/>
    <s v="HIT LIQUID CLASSIC LILY BLOSSOM 175ML X 24 PCH"/>
    <n v="46"/>
    <m/>
    <s v="G1"/>
    <s v="HIT"/>
    <s v="07"/>
    <s v="LIQUID"/>
    <n v="5"/>
    <m/>
    <s v="0"/>
    <s v="CLASSIC LILY BLOSSOM"/>
    <s v="01"/>
    <s v="175ML"/>
    <s v="0175"/>
    <s v="PCH"/>
    <n v="1"/>
    <m/>
    <n v="0"/>
    <m/>
    <m/>
    <m/>
    <n v="30100010175000"/>
    <m/>
    <m/>
    <n v="24"/>
    <n v="8686.15"/>
    <n v="208467.59999999998"/>
    <n v="9641.6265000000003"/>
    <n v="231399.03599999999"/>
    <n v="9290"/>
    <n v="222960"/>
    <n v="10311.900000000001"/>
    <n v="247485.60000000003"/>
    <n v="0"/>
    <n v="0"/>
    <n v="0"/>
    <n v="0"/>
    <n v="6.5000000000000044E-2"/>
    <n v="-8686.15"/>
    <e v="#DIV/0!"/>
    <m/>
    <m/>
    <s v="Lama"/>
    <s v="Sama"/>
    <m/>
    <s v="IDR"/>
    <s v="0175"/>
    <s v="175ML"/>
    <m/>
    <m/>
    <s v="KRT"/>
    <s v="GD01"/>
    <n v="11611"/>
    <n v="11612"/>
    <m/>
    <n v="1"/>
    <m/>
    <n v="24"/>
  </r>
  <r>
    <s v="G1075001036010"/>
    <m/>
    <n v="30100020700000"/>
    <x v="135"/>
    <s v="HIT LIQUID CLS LILY B 12 PCH X 360ML 16505 HL02"/>
    <n v="30100010360000"/>
    <n v="0"/>
    <s v="HIT LIQ POUCH CLS LILY B 360ML"/>
    <x v="3"/>
    <s v="8992745120056"/>
    <x v="3"/>
    <s v="HIT LIQUID"/>
    <s v="G1075"/>
    <x v="77"/>
    <n v="14"/>
    <s v="HIT LIQUID CLASSIC LILY BLOSSOM 360ML X 12 PCH"/>
    <n v="46"/>
    <m/>
    <s v="G1"/>
    <s v="HIT"/>
    <s v="07"/>
    <s v="LIQUID"/>
    <n v="5"/>
    <m/>
    <s v="0"/>
    <s v="CLASSIC LILY BLOSSOM"/>
    <s v="01"/>
    <s v="360ML"/>
    <s v="0360"/>
    <s v="PCH"/>
    <n v="1"/>
    <m/>
    <n v="0"/>
    <m/>
    <m/>
    <m/>
    <n v="30100010360000"/>
    <m/>
    <m/>
    <n v="12"/>
    <n v="17970.7"/>
    <n v="215648.40000000002"/>
    <n v="19947.477000000003"/>
    <n v="239369.72400000005"/>
    <n v="19220"/>
    <n v="230640"/>
    <n v="21334.2"/>
    <n v="256010.40000000002"/>
    <n v="0"/>
    <n v="0"/>
    <n v="0"/>
    <n v="0"/>
    <n v="6.4999999999999961E-2"/>
    <n v="-17970.7"/>
    <e v="#DIV/0!"/>
    <m/>
    <m/>
    <s v="Lama"/>
    <s v="Sama"/>
    <m/>
    <s v="IDR"/>
    <s v="0360"/>
    <s v="360ML"/>
    <m/>
    <m/>
    <s v="KRT"/>
    <s v="GD01"/>
    <n v="11611"/>
    <n v="11612"/>
    <m/>
    <n v="1"/>
    <m/>
    <n v="12"/>
  </r>
  <r>
    <s v="G1075001070010"/>
    <m/>
    <n v="30100010700000"/>
    <x v="136"/>
    <s v="HIT LIQUID CLASIC LILY B 12 PCHX700ML &quot;16506&quot;HL03"/>
    <n v="30100010700000"/>
    <n v="0"/>
    <n v="0"/>
    <x v="3"/>
    <n v="0"/>
    <x v="3"/>
    <s v="HIT LIQUID"/>
    <s v="G1075"/>
    <x v="78"/>
    <n v="14"/>
    <s v="HIT LIQUID CLASSIC LILY BLOSSOM 700ML X 12 PCH"/>
    <n v="46"/>
    <m/>
    <s v="G1"/>
    <s v="HIT"/>
    <s v="07"/>
    <s v="LIQUID"/>
    <n v="5"/>
    <m/>
    <s v="0"/>
    <s v="CLASSIC LILY BLOSSOM"/>
    <s v="01"/>
    <s v="700ML"/>
    <s v="0700"/>
    <s v="PCH"/>
    <n v="1"/>
    <m/>
    <n v="0"/>
    <m/>
    <m/>
    <m/>
    <n v="30100010700000"/>
    <m/>
    <m/>
    <n v="12"/>
    <n v="29452.5"/>
    <n v="353430"/>
    <n v="32692.275000000001"/>
    <n v="392307.30000000005"/>
    <n v="31500"/>
    <n v="378000"/>
    <n v="34965"/>
    <n v="419580.00000000006"/>
    <n v="0"/>
    <n v="0"/>
    <n v="0"/>
    <n v="0"/>
    <n v="6.5000000000000002E-2"/>
    <n v="-29452.5"/>
    <e v="#DIV/0!"/>
    <m/>
    <m/>
    <s v="Lama"/>
    <s v="Sama"/>
    <m/>
    <s v="IDR"/>
    <s v="0700"/>
    <s v="700ML"/>
    <m/>
    <m/>
    <s v="KRT"/>
    <s v="GD01"/>
    <n v="11611"/>
    <n v="11612"/>
    <m/>
    <n v="1"/>
    <m/>
    <n v="12"/>
  </r>
  <r>
    <s v="G1075001070010"/>
    <m/>
    <m/>
    <x v="137"/>
    <m/>
    <m/>
    <m/>
    <m/>
    <x v="0"/>
    <m/>
    <x v="3"/>
    <s v="HIT LIQUID"/>
    <s v="G1075"/>
    <x v="78"/>
    <n v="14"/>
    <s v="HIT LIQUID CLASSIC LILY BLOSSOM 700ML X PCH"/>
    <n v="43"/>
    <m/>
    <s v="G1"/>
    <s v="HIT"/>
    <s v="07"/>
    <s v="LIQUID"/>
    <n v="5"/>
    <m/>
    <s v="0"/>
    <s v="CLASSIC LILY BLOSSOM"/>
    <s v="01"/>
    <s v="700ML"/>
    <s v="0700"/>
    <s v="PCH"/>
    <n v="1"/>
    <m/>
    <n v="0"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700"/>
    <s v="700ML"/>
    <m/>
    <m/>
    <s v="KRT"/>
    <s v="GD01"/>
    <n v="11611"/>
    <n v="11612"/>
    <m/>
    <n v="1"/>
    <m/>
    <n v="0"/>
  </r>
  <r>
    <s v="G1075002036010"/>
    <m/>
    <n v="30100040360000"/>
    <x v="138"/>
    <s v="HIT LIQUID G.TEA 12 PCH X 360ML 12018 HL04"/>
    <n v="30100020360000"/>
    <n v="0"/>
    <s v="HIT Liq Pouch GTea Extra 360ml"/>
    <x v="3"/>
    <s v="8992745120414"/>
    <x v="3"/>
    <s v="HIT LIQUID"/>
    <s v="G1075"/>
    <x v="79"/>
    <n v="14"/>
    <s v="HIT LIQUID GREEN TEA 360ML X 12 PCH"/>
    <n v="35"/>
    <m/>
    <s v="G1"/>
    <s v="HIT"/>
    <s v="07"/>
    <s v="LIQUID"/>
    <n v="5"/>
    <m/>
    <s v="0"/>
    <s v="GREEN TEA"/>
    <s v="02"/>
    <s v="360ML"/>
    <s v="0360"/>
    <s v="PCH"/>
    <n v="1"/>
    <m/>
    <n v="0"/>
    <m/>
    <m/>
    <m/>
    <n v="30100020360000"/>
    <m/>
    <m/>
    <n v="12"/>
    <n v="17970.7"/>
    <n v="215648.40000000002"/>
    <n v="19947.477000000003"/>
    <n v="239369.72400000005"/>
    <n v="19220"/>
    <n v="230640"/>
    <n v="21334.2"/>
    <n v="256010.40000000002"/>
    <n v="0"/>
    <n v="0"/>
    <n v="0"/>
    <n v="0"/>
    <n v="6.4999999999999961E-2"/>
    <n v="-17970.7"/>
    <e v="#DIV/0!"/>
    <m/>
    <m/>
    <s v="Lama"/>
    <s v="Sama"/>
    <m/>
    <s v="IDR"/>
    <s v="0360"/>
    <s v="360ML"/>
    <m/>
    <m/>
    <s v="KRT"/>
    <s v="GD01"/>
    <n v="11611"/>
    <n v="11612"/>
    <m/>
    <n v="1"/>
    <m/>
    <n v="12"/>
  </r>
  <r>
    <s v="G1075002070010"/>
    <m/>
    <n v="30100030700002"/>
    <x v="139"/>
    <s v="HIT LIQUID G.TEA 12 PCH X 700ML 8190 HL05"/>
    <n v="30100020700000"/>
    <n v="0"/>
    <s v="HIT Liq Pouch GTea 700ml"/>
    <x v="3"/>
    <s v="8992745120513"/>
    <x v="3"/>
    <s v="HIT LIQUID"/>
    <s v="G1075"/>
    <x v="80"/>
    <n v="14"/>
    <s v="HIT LIQUID GREEN TEA 700ML X 12 PCH"/>
    <n v="35"/>
    <m/>
    <s v="G1"/>
    <s v="HIT"/>
    <s v="07"/>
    <s v="LIQUID"/>
    <n v="5"/>
    <m/>
    <s v="0"/>
    <s v="GREEN TEA"/>
    <s v="02"/>
    <s v="700ML"/>
    <s v="0700"/>
    <s v="PCH"/>
    <n v="1"/>
    <m/>
    <n v="0"/>
    <m/>
    <m/>
    <m/>
    <n v="30100020700000"/>
    <m/>
    <m/>
    <n v="12"/>
    <n v="30929.8"/>
    <n v="371157.6"/>
    <n v="34332.078000000001"/>
    <n v="411984.93599999999"/>
    <n v="33080"/>
    <n v="396960"/>
    <n v="36718.800000000003"/>
    <n v="440625.60000000003"/>
    <n v="0"/>
    <n v="0"/>
    <n v="0"/>
    <n v="0"/>
    <n v="6.5000000000000016E-2"/>
    <n v="-30929.8"/>
    <e v="#DIV/0!"/>
    <m/>
    <m/>
    <s v="Lama"/>
    <s v="Sama"/>
    <m/>
    <s v="IDR"/>
    <s v="0700"/>
    <s v="700ML"/>
    <m/>
    <m/>
    <s v="KRT"/>
    <s v="GD01"/>
    <n v="11611"/>
    <n v="11612"/>
    <m/>
    <n v="1"/>
    <m/>
    <n v="12"/>
  </r>
  <r>
    <s v="G1075003070011"/>
    <m/>
    <n v="30100040700000"/>
    <x v="140"/>
    <s v="HIT LIQUID LILY B 12 PCHX700MLBDD 28263 49642 HL06"/>
    <n v="30100030700002"/>
    <n v="0"/>
    <s v="HIT LIQUID LB 700ML BND HIT LB 175ML ND"/>
    <x v="3"/>
    <s v="8992745120537"/>
    <x v="3"/>
    <s v="HIT LIQUID"/>
    <s v="G1075"/>
    <x v="81"/>
    <n v="14"/>
    <s v="HIT LIQUID LILY BLOSSOM 700ML X 12 PCH BANDED"/>
    <n v="45"/>
    <m/>
    <s v="G1"/>
    <s v="HIT"/>
    <s v="07"/>
    <s v="LIQUID"/>
    <n v="5"/>
    <m/>
    <s v="0"/>
    <s v="LILY BLOSSOM"/>
    <s v="03"/>
    <s v="700ML"/>
    <s v="0700"/>
    <s v="PCH"/>
    <n v="1"/>
    <s v="BANDED"/>
    <n v="1"/>
    <m/>
    <m/>
    <m/>
    <n v="30100030700002"/>
    <m/>
    <m/>
    <n v="12"/>
    <n v="30929.8"/>
    <n v="371157.6"/>
    <n v="34332.078000000001"/>
    <n v="411984.93599999999"/>
    <n v="33080"/>
    <n v="396960"/>
    <n v="36718.800000000003"/>
    <n v="440625.60000000003"/>
    <n v="0"/>
    <n v="0"/>
    <n v="0"/>
    <n v="0"/>
    <n v="6.5000000000000016E-2"/>
    <n v="-30929.8"/>
    <e v="#DIV/0!"/>
    <m/>
    <m/>
    <s v="Lama"/>
    <s v="Sama"/>
    <m/>
    <s v="IDR"/>
    <s v="0700"/>
    <s v="700ML"/>
    <m/>
    <m/>
    <s v="KRT"/>
    <s v="GD01"/>
    <n v="11611"/>
    <n v="11612"/>
    <m/>
    <n v="1"/>
    <m/>
    <n v="12"/>
  </r>
  <r>
    <s v="G1075003070011"/>
    <m/>
    <m/>
    <x v="137"/>
    <m/>
    <m/>
    <m/>
    <m/>
    <x v="3"/>
    <s v="8992745120537"/>
    <x v="3"/>
    <s v="HIT LIQUID"/>
    <s v="G1075"/>
    <x v="81"/>
    <n v="14"/>
    <s v="HIT LIQUID LILY BLOSSOM 700ML X 12 PCH BANDED"/>
    <n v="45"/>
    <m/>
    <s v="G1"/>
    <s v="HIT"/>
    <s v="07"/>
    <s v="LIQUID"/>
    <n v="5"/>
    <m/>
    <s v="0"/>
    <s v="LILY BLOSSOM"/>
    <s v="03"/>
    <s v="700ML"/>
    <s v="0700"/>
    <s v="PCH"/>
    <n v="1"/>
    <s v="BANDED"/>
    <n v="1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700"/>
    <s v="700ML"/>
    <m/>
    <m/>
    <s v="KRT"/>
    <s v="GD01"/>
    <n v="11611"/>
    <n v="11612"/>
    <m/>
    <n v="1"/>
    <m/>
    <n v="12"/>
  </r>
  <r>
    <s v="G1075004036010"/>
    <m/>
    <n v="30132070045010"/>
    <x v="141"/>
    <s v="HIT LIQUID ORANGE 12 PCH X 360ML 8191 HL07"/>
    <n v="30100040360000"/>
    <n v="0"/>
    <s v="HIT Spray Liq PouchOrange 360m"/>
    <x v="3"/>
    <s v="8992745120131"/>
    <x v="3"/>
    <s v="HIT LIQUID"/>
    <s v="G1075"/>
    <x v="82"/>
    <n v="14"/>
    <s v="HIT LIQUID ORANGE 360ML X 12 PCH"/>
    <n v="32"/>
    <m/>
    <s v="G1"/>
    <s v="HIT"/>
    <s v="07"/>
    <s v="LIQUID"/>
    <n v="5"/>
    <m/>
    <s v="0"/>
    <s v="ORANGE"/>
    <s v="04"/>
    <s v="360ML"/>
    <s v="0360"/>
    <s v="PCH"/>
    <n v="1"/>
    <m/>
    <n v="0"/>
    <m/>
    <m/>
    <m/>
    <n v="30100040360000"/>
    <m/>
    <m/>
    <n v="12"/>
    <n v="17970.7"/>
    <n v="215648.40000000002"/>
    <n v="19947.477000000003"/>
    <n v="239369.72400000005"/>
    <n v="19220"/>
    <n v="230640"/>
    <n v="21334.2"/>
    <n v="256010.40000000002"/>
    <n v="0"/>
    <n v="0"/>
    <n v="0"/>
    <n v="0"/>
    <n v="6.4999999999999961E-2"/>
    <n v="-17970.7"/>
    <e v="#DIV/0!"/>
    <m/>
    <m/>
    <s v="Lama"/>
    <s v="Sama"/>
    <m/>
    <s v="IDR"/>
    <s v="0360"/>
    <s v="360ML"/>
    <m/>
    <m/>
    <s v="KRT"/>
    <s v="GD01"/>
    <n v="11611"/>
    <n v="11612"/>
    <m/>
    <n v="1"/>
    <m/>
    <n v="12"/>
  </r>
  <r>
    <s v="G1075004070010"/>
    <m/>
    <n v="30110020004001"/>
    <x v="142"/>
    <s v="HIT LIQUID ORANGE 12 PCH X 700ML 8192 49641 HL08"/>
    <n v="30100040700000"/>
    <n v="0"/>
    <s v="HIT LIQUID ORANGE 700ML ND"/>
    <x v="3"/>
    <s v="8992745120216"/>
    <x v="3"/>
    <s v="HIT LIQUID"/>
    <s v="G1075"/>
    <x v="83"/>
    <n v="14"/>
    <s v="HIT LIQUID ORANGE 700ML X 12 PCH"/>
    <n v="32"/>
    <m/>
    <s v="G1"/>
    <s v="HIT"/>
    <s v="07"/>
    <s v="LIQUID"/>
    <n v="5"/>
    <m/>
    <s v="0"/>
    <s v="ORANGE"/>
    <s v="04"/>
    <s v="700ML"/>
    <s v="0700"/>
    <s v="PCH"/>
    <n v="1"/>
    <m/>
    <n v="0"/>
    <m/>
    <m/>
    <m/>
    <n v="30100040700000"/>
    <m/>
    <m/>
    <n v="12"/>
    <n v="30929.8"/>
    <n v="371157.6"/>
    <n v="34332.078000000001"/>
    <n v="411984.93599999999"/>
    <n v="33080"/>
    <n v="396960"/>
    <n v="36718.800000000003"/>
    <n v="440625.60000000003"/>
    <n v="0"/>
    <n v="0"/>
    <n v="0"/>
    <n v="0"/>
    <n v="6.5000000000000016E-2"/>
    <n v="-30929.8"/>
    <e v="#DIV/0!"/>
    <m/>
    <m/>
    <s v="Lama"/>
    <s v="Sama"/>
    <m/>
    <s v="IDR"/>
    <s v="0700"/>
    <s v="700ML"/>
    <m/>
    <m/>
    <s v="KRT"/>
    <s v="GD01"/>
    <n v="11611"/>
    <n v="11612"/>
    <m/>
    <n v="1"/>
    <m/>
    <n v="12"/>
  </r>
  <r>
    <s v="G1075004070010"/>
    <m/>
    <m/>
    <x v="143"/>
    <m/>
    <m/>
    <m/>
    <m/>
    <x v="3"/>
    <s v="8992745120216"/>
    <x v="3"/>
    <s v="HIT LIQUID"/>
    <s v="G1075"/>
    <x v="83"/>
    <n v="14"/>
    <s v="HIT LIQUID ORANGE 700ML X 12 PCH"/>
    <n v="32"/>
    <m/>
    <s v="G1"/>
    <s v="HIT"/>
    <s v="07"/>
    <s v="LIQUID"/>
    <n v="5"/>
    <m/>
    <s v="0"/>
    <s v="ORANGE"/>
    <s v="04"/>
    <s v="700ML"/>
    <s v="0700"/>
    <s v="PCH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700"/>
    <s v="700ML"/>
    <m/>
    <m/>
    <s v="KRT"/>
    <s v="GD01"/>
    <n v="11611"/>
    <n v="11612"/>
    <m/>
    <n v="1"/>
    <m/>
    <n v="12"/>
  </r>
  <r>
    <s v="G1076001000410"/>
    <m/>
    <n v="30110030004001"/>
    <x v="144"/>
    <s v="HIT MGC 0.15 LILY B 576 PCS X 4S +2S&quot;29541&quot;HM05"/>
    <n v="30110030004001"/>
    <n v="0"/>
    <n v="0"/>
    <x v="8"/>
    <n v="0"/>
    <x v="5"/>
    <s v="HIT MAGIC"/>
    <s v="G1076"/>
    <x v="84"/>
    <n v="14"/>
    <s v="HIT MAGIC CLASSIC LILY BLOSSOM 4S X 576 PCS"/>
    <n v="43"/>
    <m/>
    <s v="G1"/>
    <s v="HIT"/>
    <s v="07"/>
    <s v="MAGIC"/>
    <n v="6"/>
    <m/>
    <s v="0"/>
    <s v="CLASSIC LILY BLOSSOM"/>
    <s v="01"/>
    <s v="4S"/>
    <s v="0004"/>
    <s v="PCS"/>
    <n v="1"/>
    <m/>
    <n v="0"/>
    <m/>
    <m/>
    <m/>
    <n v="30110030004001"/>
    <m/>
    <m/>
    <n v="576"/>
    <n v="673.2"/>
    <n v="387763.20000000001"/>
    <n v="747.25200000000007"/>
    <n v="430417.15200000006"/>
    <n v="720"/>
    <n v="414720"/>
    <n v="799.2"/>
    <n v="460339.20000000001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002000410"/>
    <m/>
    <n v="30120010004002"/>
    <x v="145"/>
    <s v="HIT MGC FLORAL 576PCSX4S+2S 31134 43780 23911 HM01"/>
    <n v="30110010004001"/>
    <n v="30110010004001"/>
    <s v="HIT MAGIC FLORAL 4+2S."/>
    <x v="8"/>
    <s v="8992745130246"/>
    <x v="5"/>
    <s v="HIT MAGIC"/>
    <s v="G1076"/>
    <x v="85"/>
    <n v="14"/>
    <s v="HIT MAGIC FLORAL 4S X 576 PCS"/>
    <n v="29"/>
    <m/>
    <s v="G1"/>
    <s v="HIT"/>
    <s v="07"/>
    <s v="MAGIC"/>
    <n v="6"/>
    <m/>
    <s v="0"/>
    <s v="FLORAL"/>
    <s v="02"/>
    <s v="4S"/>
    <s v="0004"/>
    <s v="PCS"/>
    <n v="1"/>
    <m/>
    <n v="0"/>
    <m/>
    <m/>
    <m/>
    <n v="30110010004001"/>
    <m/>
    <m/>
    <n v="576"/>
    <n v="673.2"/>
    <n v="387763.20000000001"/>
    <n v="747.25200000000007"/>
    <n v="430417.15200000006"/>
    <n v="720"/>
    <n v="414720"/>
    <n v="799.2"/>
    <n v="460339.20000000001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002000410"/>
    <m/>
    <m/>
    <x v="146"/>
    <m/>
    <m/>
    <m/>
    <m/>
    <x v="8"/>
    <s v="8992745130246"/>
    <x v="5"/>
    <s v="HIT MAGIC"/>
    <s v="G1076"/>
    <x v="85"/>
    <n v="14"/>
    <s v="HIT MAGIC FLORAL 4S X 576 PCS"/>
    <n v="29"/>
    <m/>
    <s v="G1"/>
    <s v="HIT"/>
    <s v="07"/>
    <s v="MAGIC"/>
    <n v="6"/>
    <m/>
    <s v="0"/>
    <s v="FLORAL"/>
    <s v="02"/>
    <s v="4S"/>
    <s v="0004"/>
    <s v="PCS"/>
    <n v="1"/>
    <m/>
    <n v="0"/>
    <m/>
    <m/>
    <m/>
    <n v="0"/>
    <m/>
    <m/>
    <n v="576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002000410"/>
    <m/>
    <n v="30120010004002"/>
    <x v="147"/>
    <m/>
    <n v="30110010004001"/>
    <m/>
    <m/>
    <x v="8"/>
    <m/>
    <x v="5"/>
    <s v="HIT MAGIC"/>
    <s v="G1076"/>
    <x v="85"/>
    <n v="14"/>
    <s v="HIT MAGIC FLORAL 4S X 576 PCS"/>
    <n v="29"/>
    <m/>
    <s v="G1"/>
    <s v="HIT"/>
    <s v="07"/>
    <s v="MAGIC"/>
    <n v="6"/>
    <m/>
    <s v="0"/>
    <s v="FLORAL"/>
    <s v="02"/>
    <s v="4S"/>
    <s v="0004"/>
    <s v="PCS"/>
    <n v="1"/>
    <m/>
    <n v="0"/>
    <m/>
    <m/>
    <m/>
    <n v="30110010004001"/>
    <m/>
    <m/>
    <n v="576"/>
    <n v="673.2"/>
    <n v="387763.20000000001"/>
    <n v="747.25200000000007"/>
    <n v="430417.15200000006"/>
    <n v="720"/>
    <n v="414720"/>
    <n v="799.2"/>
    <n v="460339.20000000001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002001010"/>
    <m/>
    <n v="30110060010000"/>
    <x v="148"/>
    <s v="HIT MGC FLORAL 144 PCS X 10S &quot;15298&quot;HM06"/>
    <n v="30110060010000"/>
    <n v="0"/>
    <n v="0"/>
    <x v="1"/>
    <n v="0"/>
    <x v="5"/>
    <s v="HIT MAGIC"/>
    <s v="G1076"/>
    <x v="86"/>
    <n v="14"/>
    <s v="HIT MAGIC FLORAL 10S X 144 PCS"/>
    <n v="30"/>
    <m/>
    <s v="G1"/>
    <s v="HIT"/>
    <s v="07"/>
    <s v="MAGIC"/>
    <n v="6"/>
    <m/>
    <s v="0"/>
    <s v="FLORAL"/>
    <s v="02"/>
    <s v="10S"/>
    <s v="0010"/>
    <s v="PCS"/>
    <n v="1"/>
    <m/>
    <n v="0"/>
    <m/>
    <m/>
    <m/>
    <n v="30110060010000"/>
    <m/>
    <m/>
    <n v="144"/>
    <n v="1776.5"/>
    <n v="255816"/>
    <n v="1971.9150000000002"/>
    <n v="283955.76"/>
    <n v="1900"/>
    <n v="273600"/>
    <n v="2109"/>
    <n v="303696"/>
    <n v="0"/>
    <n v="0"/>
    <n v="0"/>
    <n v="0"/>
    <n v="6.5000000000000002E-2"/>
    <n v="-1776.5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076003000310"/>
    <m/>
    <n v="30110020003000"/>
    <x v="149"/>
    <s v="HIT MGC 0.15 FRESH 576 PCS X 3S &quot;7576&quot;HM03"/>
    <n v="30110020003000"/>
    <n v="0"/>
    <n v="0"/>
    <x v="8"/>
    <n v="0"/>
    <x v="5"/>
    <s v="HIT MAGIC"/>
    <s v="G1076"/>
    <x v="87"/>
    <n v="14"/>
    <s v="HIT MAGIC FRESH 3S X 576 PCS"/>
    <n v="28"/>
    <m/>
    <s v="G1"/>
    <s v="HIT"/>
    <s v="07"/>
    <s v="MAGIC"/>
    <n v="6"/>
    <m/>
    <s v="0"/>
    <s v="FRESH"/>
    <s v="03"/>
    <s v="3S"/>
    <s v="0003"/>
    <s v="PCS"/>
    <n v="1"/>
    <m/>
    <n v="0"/>
    <m/>
    <m/>
    <m/>
    <n v="30110020003000"/>
    <m/>
    <m/>
    <n v="576"/>
    <n v="317.89999999999998"/>
    <n v="183110.39999999999"/>
    <n v="352.86900000000003"/>
    <n v="203252.54400000002"/>
    <n v="340"/>
    <n v="195840"/>
    <n v="377.40000000000003"/>
    <n v="217382.40000000002"/>
    <n v="0"/>
    <n v="0"/>
    <n v="0"/>
    <n v="0"/>
    <n v="6.5000000000000072E-2"/>
    <n v="-317.89999999999998"/>
    <e v="#DIV/0!"/>
    <m/>
    <m/>
    <s v="Lama"/>
    <s v="Sama"/>
    <m/>
    <s v="IDR"/>
    <s v="0003"/>
    <s v="3S"/>
    <m/>
    <m/>
    <s v="KRT"/>
    <s v="GD01"/>
    <n v="11611"/>
    <n v="11612"/>
    <m/>
    <n v="1"/>
    <m/>
    <n v="576"/>
  </r>
  <r>
    <s v="G1076003000411"/>
    <m/>
    <n v="30120010018003"/>
    <x v="150"/>
    <s v="HIT MAGIC FRESH 4+2 (12 BNS 1) 43781 23912 HM04"/>
    <n v="30110020004001"/>
    <n v="30110020004001"/>
    <s v="HIT MAGIC FRESH 4+2S."/>
    <x v="8"/>
    <s v="8992745130277"/>
    <x v="5"/>
    <s v="HIT MAGIC"/>
    <s v="G1076"/>
    <x v="88"/>
    <n v="14"/>
    <s v="HIT MAGIC FRESH 4S X 576 PCS 12+1"/>
    <n v="33"/>
    <m/>
    <s v="G1"/>
    <s v="HIT"/>
    <s v="07"/>
    <s v="MAGIC"/>
    <n v="6"/>
    <m/>
    <s v="0"/>
    <s v="FRESH"/>
    <s v="03"/>
    <s v="4S"/>
    <s v="0004"/>
    <s v="PCS"/>
    <n v="1"/>
    <s v="12+1"/>
    <n v="1"/>
    <m/>
    <m/>
    <m/>
    <n v="30110020004001"/>
    <m/>
    <m/>
    <n v="576"/>
    <n v="673.2"/>
    <n v="387763.20000000001"/>
    <n v="747.25200000000007"/>
    <n v="430417.15200000006"/>
    <n v="720"/>
    <n v="414720"/>
    <n v="799.2"/>
    <n v="460339.20000000001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003000411"/>
    <m/>
    <m/>
    <x v="151"/>
    <m/>
    <m/>
    <m/>
    <m/>
    <x v="8"/>
    <s v="8992745130277"/>
    <x v="5"/>
    <s v="HIT MAGIC"/>
    <s v="G1076"/>
    <x v="88"/>
    <n v="14"/>
    <s v="HIT MAGIC FRESH 4S X 576 PCS 12+1"/>
    <n v="33"/>
    <m/>
    <s v="G1"/>
    <s v="HIT"/>
    <s v="07"/>
    <s v="MAGIC"/>
    <n v="6"/>
    <m/>
    <s v="0"/>
    <s v="FRESH"/>
    <s v="03"/>
    <s v="4S"/>
    <s v="0004"/>
    <s v="PCS"/>
    <n v="1"/>
    <s v="12+1"/>
    <n v="1"/>
    <m/>
    <m/>
    <m/>
    <n v="0"/>
    <m/>
    <m/>
    <n v="576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003000411"/>
    <m/>
    <n v="30120010018003"/>
    <x v="152"/>
    <m/>
    <n v="30110020004001"/>
    <m/>
    <m/>
    <x v="8"/>
    <s v="8992745130277"/>
    <x v="5"/>
    <s v="HIT MAGIC"/>
    <s v="G1076"/>
    <x v="88"/>
    <n v="14"/>
    <s v="HIT MAGIC FRESH 4S X 576 PCS 12+1"/>
    <n v="33"/>
    <m/>
    <s v="G1"/>
    <s v="HIT"/>
    <s v="07"/>
    <s v="MAGIC"/>
    <n v="6"/>
    <m/>
    <s v="0"/>
    <s v="FRESH"/>
    <s v="03"/>
    <s v="4S"/>
    <s v="0004"/>
    <s v="PCS"/>
    <n v="1"/>
    <s v="12+1"/>
    <n v="1"/>
    <m/>
    <m/>
    <m/>
    <n v="30110020004001"/>
    <m/>
    <m/>
    <n v="576"/>
    <n v="673.2"/>
    <n v="387763.20000000001"/>
    <n v="747.25200000000007"/>
    <n v="430417.15200000006"/>
    <n v="720"/>
    <n v="414720"/>
    <n v="799.2"/>
    <n v="460339.20000000001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003001010"/>
    <m/>
    <n v="30120010004002"/>
    <x v="153"/>
    <s v="HIT MGC FRESH 144 PCS X 10S 43783 HM07"/>
    <n v="30110070010000"/>
    <n v="0"/>
    <s v="HIT MAGIC FRESH 10S."/>
    <x v="1"/>
    <s v="8992745130284"/>
    <x v="5"/>
    <s v="HIT MAGIC"/>
    <s v="G1076"/>
    <x v="89"/>
    <n v="14"/>
    <s v="HIT MAGIC FRESH 10S X 144 PCS"/>
    <n v="29"/>
    <m/>
    <s v="G1"/>
    <s v="HIT"/>
    <s v="07"/>
    <s v="MAGIC"/>
    <n v="6"/>
    <m/>
    <s v="0"/>
    <s v="FRESH"/>
    <s v="03"/>
    <s v="10S"/>
    <s v="0010"/>
    <s v="PCS"/>
    <n v="1"/>
    <m/>
    <n v="0"/>
    <m/>
    <m/>
    <m/>
    <n v="30110070010000"/>
    <m/>
    <m/>
    <n v="144"/>
    <n v="1851.3"/>
    <n v="266587.2"/>
    <n v="2054.9430000000002"/>
    <n v="295911.79200000002"/>
    <n v="1980"/>
    <n v="285120"/>
    <n v="2197.8000000000002"/>
    <n v="316483.20000000001"/>
    <n v="0"/>
    <n v="0"/>
    <n v="0"/>
    <n v="0"/>
    <n v="6.5000000000000016E-2"/>
    <n v="-1851.3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076004001010"/>
    <m/>
    <n v="30120010048001"/>
    <x v="154"/>
    <s v="HIT MGC LILY B 144 PCS X 10S 19319 31159 HM08"/>
    <n v="30110080010000"/>
    <n v="0"/>
    <s v="HIT MAGIC LILY BLOSSOM 10`S 0.15FU TH"/>
    <x v="1"/>
    <s v="8992745999768"/>
    <x v="5"/>
    <s v="HIT MAGIC"/>
    <s v="G1076"/>
    <x v="90"/>
    <n v="14"/>
    <s v="HIT MAGIC LILY BLOSSOM 10S X 144 PCS"/>
    <n v="36"/>
    <m/>
    <s v="G1"/>
    <s v="HIT"/>
    <s v="07"/>
    <s v="MAGIC"/>
    <n v="6"/>
    <m/>
    <s v="0"/>
    <s v="LILY BLOSSOM"/>
    <s v="04"/>
    <s v="10S"/>
    <s v="0010"/>
    <s v="PCS"/>
    <n v="1"/>
    <m/>
    <n v="0"/>
    <m/>
    <m/>
    <m/>
    <n v="30110080010000"/>
    <m/>
    <m/>
    <n v="144"/>
    <n v="1851.3"/>
    <n v="266587.2"/>
    <n v="2054.9430000000002"/>
    <n v="295911.79200000002"/>
    <n v="1980"/>
    <n v="285120"/>
    <n v="2197.8000000000002"/>
    <n v="316483.20000000001"/>
    <n v="0"/>
    <n v="0"/>
    <n v="0"/>
    <n v="0"/>
    <n v="6.5000000000000016E-2"/>
    <n v="-1851.3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076101000410"/>
    <m/>
    <n v="30111040004000"/>
    <x v="155"/>
    <s v="HIT MGC EXP P CLS LILY B 576 PCSX4S &quot;28914&quot;HMEP01"/>
    <n v="30111040004000"/>
    <n v="0"/>
    <n v="0"/>
    <x v="8"/>
    <n v="0"/>
    <x v="5"/>
    <s v="HIT MAGIC"/>
    <s v="G1076"/>
    <x v="91"/>
    <n v="14"/>
    <s v="HIT MAGIC EXPERT CLASSIC LILY BLOSSOM 4S X 576 PCS"/>
    <n v="50"/>
    <m/>
    <s v="G1"/>
    <s v="HIT"/>
    <s v="07"/>
    <s v="MAGIC"/>
    <n v="6"/>
    <s v="EXPERT"/>
    <s v="1"/>
    <s v="CLASSIC LILY BLOSSOM"/>
    <s v="01"/>
    <s v="4S"/>
    <s v="0004"/>
    <s v="PCS"/>
    <n v="1"/>
    <m/>
    <n v="0"/>
    <m/>
    <m/>
    <m/>
    <n v="30111040004000"/>
    <m/>
    <m/>
    <n v="576"/>
    <n v="1393.15"/>
    <n v="802454.4"/>
    <n v="1546.3965000000003"/>
    <n v="890724.38400000008"/>
    <n v="1490"/>
    <n v="858240"/>
    <n v="1653.9"/>
    <n v="952646.40000000014"/>
    <n v="0"/>
    <n v="0"/>
    <n v="0"/>
    <n v="0"/>
    <n v="6.4999999999999933E-2"/>
    <n v="-1393.15"/>
    <e v="#DIV/0!"/>
    <m/>
    <m/>
    <s v="Lama"/>
    <s v="Sama"/>
    <m/>
    <s v="IDR"/>
    <s v="0004"/>
    <s v="4S"/>
    <m/>
    <m/>
    <s v="KRT"/>
    <s v="GD01"/>
    <n v="11611"/>
    <n v="11612"/>
    <m/>
    <n v="1"/>
    <m/>
    <n v="576"/>
  </r>
  <r>
    <s v="G1076201000410"/>
    <m/>
    <n v="30132050035010"/>
    <x v="156"/>
    <s v="HIT PIRAMIDA 10H C.LILY B 120 4S 35627 43776 29462"/>
    <n v="30112040004000"/>
    <n v="0"/>
    <s v="HIT PIRAMIDA CLASSY LILY 4S"/>
    <x v="7"/>
    <s v="8992745705673"/>
    <x v="5"/>
    <s v="HIT MAGIC"/>
    <s v="G1076"/>
    <x v="92"/>
    <n v="14"/>
    <s v="HIT MAGIC EXPERT PIRAMIDA CLASSIC LILY BLOSSOM 4S X 120 PCS"/>
    <n v="59"/>
    <m/>
    <s v="G1"/>
    <s v="HIT"/>
    <s v="07"/>
    <s v="MAGIC"/>
    <n v="6"/>
    <s v="EXPERT PIRAMIDA"/>
    <s v="2"/>
    <s v="CLASSIC LILY BLOSSOM"/>
    <s v="01"/>
    <s v="4S"/>
    <s v="0004"/>
    <s v="PCS"/>
    <n v="1"/>
    <m/>
    <n v="0"/>
    <m/>
    <m/>
    <m/>
    <n v="30112040004000"/>
    <m/>
    <m/>
    <n v="120"/>
    <n v="1589.5"/>
    <n v="190740"/>
    <n v="1764.3450000000003"/>
    <n v="211721.40000000002"/>
    <n v="1700"/>
    <n v="204000"/>
    <n v="1887.0000000000002"/>
    <n v="226440.00000000003"/>
    <n v="0"/>
    <n v="0"/>
    <n v="0"/>
    <n v="0"/>
    <n v="6.5000000000000002E-2"/>
    <n v="-1589.5"/>
    <e v="#DIV/0!"/>
    <m/>
    <m/>
    <s v="Lama"/>
    <s v="Sama"/>
    <m/>
    <s v="IDR"/>
    <s v="0004"/>
    <s v="4S"/>
    <m/>
    <m/>
    <s v="KRT"/>
    <s v="GD01"/>
    <n v="11611"/>
    <n v="11612"/>
    <m/>
    <n v="1"/>
    <m/>
    <n v="120"/>
  </r>
  <r>
    <s v="G1076201000410"/>
    <m/>
    <n v="30112050004000"/>
    <x v="157"/>
    <s v="HIT PIRAMIDA 10H C.LILY B 120 4S 35627 43776 29462"/>
    <n v="30112040004000"/>
    <n v="0"/>
    <s v="HIT M EXPERT 10JAM C.LILY 4S 0.13FU"/>
    <x v="7"/>
    <s v="8992745705673"/>
    <x v="5"/>
    <s v="HIT MAGIC"/>
    <s v="G1076"/>
    <x v="92"/>
    <n v="14"/>
    <s v="HIT MAGIC EXPERT PIRAMIDA CLASSIC LILY BLOSSOM 4S X 120 PCS"/>
    <n v="59"/>
    <m/>
    <s v="G1"/>
    <s v="HIT"/>
    <s v="07"/>
    <s v="MAGIC"/>
    <n v="6"/>
    <s v="EXPERT PIRAMIDA"/>
    <s v="2"/>
    <s v="CLASSIC LILY BLOSSOM"/>
    <s v="01"/>
    <s v="4S"/>
    <s v="0004"/>
    <s v="PCS"/>
    <n v="1"/>
    <m/>
    <n v="0"/>
    <m/>
    <m/>
    <m/>
    <n v="30112040004000"/>
    <m/>
    <m/>
    <n v="120"/>
    <n v="1589.5"/>
    <n v="190740"/>
    <n v="1764.3450000000003"/>
    <n v="211721.40000000002"/>
    <n v="1700"/>
    <n v="204000"/>
    <n v="1887.0000000000002"/>
    <n v="226440.00000000003"/>
    <n v="0"/>
    <n v="0"/>
    <n v="0"/>
    <n v="0"/>
    <n v="6.5000000000000002E-2"/>
    <n v="-1589.5"/>
    <e v="#DIV/0!"/>
    <m/>
    <m/>
    <s v="Lama"/>
    <s v="Sama"/>
    <m/>
    <s v="IDR"/>
    <s v="0004"/>
    <s v="4S"/>
    <m/>
    <m/>
    <s v="KRT"/>
    <s v="GD01"/>
    <n v="11611"/>
    <n v="11612"/>
    <m/>
    <n v="1"/>
    <m/>
    <n v="120"/>
  </r>
  <r>
    <s v="G1076201001010"/>
    <m/>
    <n v="30132050035010"/>
    <x v="158"/>
    <s v="HIT MGC P CLASSY LILY 36PCSX10S 29460 43778 ΗΜΕΡ02"/>
    <n v="30111040010000"/>
    <n v="0"/>
    <s v="HIT PIRAMIDA CLASSY LILY 10S"/>
    <x v="9"/>
    <s v="8992745705635"/>
    <x v="5"/>
    <s v="HIT MAGIC"/>
    <s v="G1076"/>
    <x v="93"/>
    <n v="14"/>
    <s v="HIT MAGIC EXPERT PIRAMIDA CLASSIC LILY BLOSSOM 10S X 36 PCS"/>
    <n v="59"/>
    <m/>
    <s v="G1"/>
    <s v="HIT"/>
    <s v="07"/>
    <s v="MAGIC"/>
    <n v="6"/>
    <s v="EXPERT PIRAMIDA"/>
    <s v="2"/>
    <s v="CLASSIC LILY BLOSSOM"/>
    <s v="01"/>
    <s v="10S"/>
    <s v="0010"/>
    <s v="PCS"/>
    <n v="1"/>
    <m/>
    <n v="0"/>
    <m/>
    <m/>
    <m/>
    <n v="30111040010000"/>
    <m/>
    <m/>
    <n v="36"/>
    <n v="4001.8"/>
    <n v="144064.80000000002"/>
    <n v="4441.9980000000005"/>
    <n v="159911.92800000004"/>
    <n v="4280"/>
    <n v="154080"/>
    <n v="4750.8"/>
    <n v="171028.80000000002"/>
    <n v="0"/>
    <n v="0"/>
    <n v="0"/>
    <n v="0"/>
    <n v="6.4999999999999961E-2"/>
    <n v="-4001.8"/>
    <e v="#DIV/0!"/>
    <m/>
    <m/>
    <s v="Lama"/>
    <s v="Sama"/>
    <m/>
    <s v="IDR"/>
    <s v="0010"/>
    <s v="10S"/>
    <m/>
    <m/>
    <s v="KRT"/>
    <s v="GD01"/>
    <n v="11611"/>
    <n v="11612"/>
    <m/>
    <n v="1"/>
    <m/>
    <n v="36"/>
  </r>
  <r>
    <s v="G1076202000410"/>
    <m/>
    <n v="30132060045010"/>
    <x v="159"/>
    <s v="HIT MGCEXP 10H FLRL B 120 PCSX4S 35628 43777 HME02"/>
    <n v="30112050004000"/>
    <n v="0"/>
    <s v="HIT PIRAMIDA FLORAL BLOSSOM 4S"/>
    <x v="7"/>
    <s v="8992745705680"/>
    <x v="5"/>
    <s v="HIT MAGIC"/>
    <s v="G1076"/>
    <x v="94"/>
    <n v="14"/>
    <s v="HIT MAGIC EXPERT PIRAMIDA FLORAL BLOSSOM 4S X 120 PCS"/>
    <n v="53"/>
    <m/>
    <s v="G1"/>
    <s v="HIT"/>
    <s v="07"/>
    <s v="MAGIC"/>
    <n v="6"/>
    <s v="EXPERT PIRAMIDA"/>
    <s v="2"/>
    <s v="FLORAL BLOSSOM"/>
    <s v="02"/>
    <s v="4S"/>
    <s v="0004"/>
    <s v="PCS"/>
    <n v="1"/>
    <m/>
    <n v="0"/>
    <m/>
    <m/>
    <m/>
    <n v="30112050004000"/>
    <m/>
    <m/>
    <n v="120"/>
    <n v="1589.5"/>
    <n v="190740"/>
    <n v="1764.3450000000003"/>
    <n v="211721.40000000002"/>
    <n v="1700"/>
    <n v="204000"/>
    <n v="1887.0000000000002"/>
    <n v="226440.00000000003"/>
    <n v="0"/>
    <n v="0"/>
    <n v="0"/>
    <n v="0"/>
    <n v="6.5000000000000002E-2"/>
    <n v="-1589.5"/>
    <e v="#DIV/0!"/>
    <m/>
    <m/>
    <s v="Lama"/>
    <s v="Sama"/>
    <m/>
    <s v="IDR"/>
    <s v="0004"/>
    <s v="4S"/>
    <m/>
    <m/>
    <s v="KRT"/>
    <s v="GD01"/>
    <n v="11611"/>
    <n v="11612"/>
    <m/>
    <n v="1"/>
    <m/>
    <n v="120"/>
  </r>
  <r>
    <s v="G1076202000410"/>
    <m/>
    <n v="30112050004000"/>
    <x v="160"/>
    <s v="HIT MGCEXP 10H FLRL B 120 PCSX4S 35628 43777 HME02"/>
    <n v="30112050004000"/>
    <n v="0"/>
    <s v="HIT M EXPERT 10JAM F.BLOSSOM 4S 0.13FU"/>
    <x v="7"/>
    <s v="8992745705680"/>
    <x v="5"/>
    <s v="HIT MAGIC"/>
    <s v="G1076"/>
    <x v="94"/>
    <n v="14"/>
    <s v="HIT MAGIC EXPERT PIRAMIDA FLORAL BLOSSOM 4S X 120 PCS"/>
    <n v="53"/>
    <m/>
    <s v="G1"/>
    <s v="HIT"/>
    <s v="07"/>
    <s v="MAGIC"/>
    <n v="6"/>
    <s v="EXPERT PIRAMIDA"/>
    <s v="2"/>
    <s v="FLORAL BLOSSOM"/>
    <s v="02"/>
    <s v="4S"/>
    <s v="0004"/>
    <s v="PCS"/>
    <n v="1"/>
    <m/>
    <n v="0"/>
    <m/>
    <m/>
    <m/>
    <n v="30112050004000"/>
    <m/>
    <m/>
    <n v="120"/>
    <n v="1589.5"/>
    <n v="190740"/>
    <n v="1764.3450000000003"/>
    <n v="211721.40000000002"/>
    <n v="1700"/>
    <n v="204000"/>
    <n v="1887.0000000000002"/>
    <n v="226440.00000000003"/>
    <n v="0"/>
    <n v="0"/>
    <n v="0"/>
    <n v="0"/>
    <n v="6.5000000000000002E-2"/>
    <n v="-1589.5"/>
    <e v="#DIV/0!"/>
    <m/>
    <m/>
    <s v="Lama"/>
    <s v="Sama"/>
    <m/>
    <s v="IDR"/>
    <s v="0004"/>
    <s v="4S"/>
    <m/>
    <m/>
    <s v="KRT"/>
    <s v="GD01"/>
    <n v="11611"/>
    <n v="11612"/>
    <m/>
    <n v="1"/>
    <m/>
    <n v="120"/>
  </r>
  <r>
    <s v="G1076202000410"/>
    <m/>
    <m/>
    <x v="161"/>
    <m/>
    <m/>
    <m/>
    <m/>
    <x v="7"/>
    <s v="8992745705680"/>
    <x v="5"/>
    <s v="HIT MAGIC"/>
    <s v="G1076"/>
    <x v="94"/>
    <n v="14"/>
    <s v="HIT MAGIC EXPERT PIRAMIDA FLORAL BLOSSOM 4S X 120 PCS"/>
    <n v="53"/>
    <m/>
    <s v="G1"/>
    <s v="HIT"/>
    <s v="07"/>
    <s v="MAGIC"/>
    <n v="6"/>
    <s v="EXPERT PIRAMIDA"/>
    <s v="2"/>
    <s v="FLORAL BLOSSOM"/>
    <s v="02"/>
    <s v="4S"/>
    <s v="0004"/>
    <s v="PCS"/>
    <n v="1"/>
    <m/>
    <n v="0"/>
    <m/>
    <m/>
    <m/>
    <n v="0"/>
    <m/>
    <m/>
    <n v="12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4"/>
    <s v="4S"/>
    <m/>
    <m/>
    <s v="KRT"/>
    <s v="GD01"/>
    <n v="11611"/>
    <n v="11612"/>
    <m/>
    <n v="1"/>
    <m/>
    <n v="120"/>
  </r>
  <r>
    <s v="G1076202001010"/>
    <m/>
    <n v="30132050045010"/>
    <x v="162"/>
    <s v="HIT M.EXP P FLRAL B 36 PCSX10S 29463 43779 ΗΜΕΡ04"/>
    <n v="30111050010000"/>
    <n v="0"/>
    <s v="HIT PIRAMIDA FLORAL BLOSSOM 10S"/>
    <x v="9"/>
    <s v="8992745705642"/>
    <x v="5"/>
    <s v="HIT MAGIC"/>
    <s v="G1076"/>
    <x v="95"/>
    <n v="14"/>
    <s v="HIT MAGIC EXPERT PIRAMIDA FLORAL BLOSSOM 10S X 36 PCS"/>
    <n v="53"/>
    <m/>
    <s v="G1"/>
    <s v="HIT"/>
    <s v="07"/>
    <s v="MAGIC"/>
    <n v="6"/>
    <s v="EXPERT PIRAMIDA"/>
    <s v="2"/>
    <s v="FLORAL BLOSSOM"/>
    <s v="02"/>
    <s v="10S"/>
    <s v="0010"/>
    <s v="PCS"/>
    <n v="1"/>
    <m/>
    <n v="0"/>
    <m/>
    <m/>
    <m/>
    <n v="30111050010000"/>
    <m/>
    <m/>
    <n v="36"/>
    <n v="4001.8"/>
    <n v="144064.80000000002"/>
    <n v="4441.9980000000005"/>
    <n v="159911.92800000004"/>
    <n v="4280"/>
    <n v="154080"/>
    <n v="4750.8"/>
    <n v="171028.80000000002"/>
    <n v="0"/>
    <n v="0"/>
    <n v="0"/>
    <n v="0"/>
    <n v="6.4999999999999961E-2"/>
    <n v="-4001.8"/>
    <e v="#DIV/0!"/>
    <m/>
    <m/>
    <s v="Lama"/>
    <s v="Sama"/>
    <m/>
    <s v="IDR"/>
    <s v="0010"/>
    <s v="10S"/>
    <m/>
    <m/>
    <s v="KRT"/>
    <s v="GD01"/>
    <n v="11611"/>
    <n v="11612"/>
    <m/>
    <n v="1"/>
    <m/>
    <n v="36"/>
  </r>
  <r>
    <s v="G1077001000413"/>
    <m/>
    <n v="30120030004002"/>
    <x v="163"/>
    <s v="HIT MAT CLASSIC 864 PCSX4S 12+1 7556 35625 ΗΜΑΤ01"/>
    <n v="30120010004002"/>
    <n v="0"/>
    <s v="HIT Mat  4`s Hanger (864`s)"/>
    <x v="10"/>
    <s v="8992745140016"/>
    <x v="5"/>
    <s v="HIT MAT"/>
    <s v="G1077"/>
    <x v="96"/>
    <n v="14"/>
    <s v="HIT MAT CLASSIC 4S X 864 PCS 12+1"/>
    <n v="33"/>
    <m/>
    <s v="G1"/>
    <s v="HIT"/>
    <s v="07"/>
    <s v="MAT"/>
    <n v="7"/>
    <m/>
    <s v="0"/>
    <s v="CLASSIC"/>
    <s v="01"/>
    <s v="4S"/>
    <s v="0004"/>
    <s v="PCS"/>
    <n v="1"/>
    <s v="12+1"/>
    <n v="3"/>
    <m/>
    <m/>
    <m/>
    <n v="30120010004002"/>
    <m/>
    <m/>
    <n v="864"/>
    <n v="673.2"/>
    <n v="581644.80000000005"/>
    <n v="747.25200000000007"/>
    <n v="645625.72800000012"/>
    <n v="720"/>
    <n v="622080"/>
    <n v="799.2"/>
    <n v="690508.80000000005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864"/>
  </r>
  <r>
    <s v="G1077001000413"/>
    <m/>
    <n v="30120030015000"/>
    <x v="164"/>
    <s v="HIT MAT CLASSIC 864 PCSX4S 12+1 7556 35625 ΗΜΑΤ01"/>
    <n v="30120010004002"/>
    <n v="0"/>
    <s v="HIT MAT CLASSIC 4S PROMO 12+1"/>
    <x v="10"/>
    <s v="8992745140016"/>
    <x v="5"/>
    <s v="HIT MAT"/>
    <s v="G1077"/>
    <x v="96"/>
    <n v="14"/>
    <s v="HIT MAT CLASSIC 4S X 864 PCS 12+1"/>
    <n v="33"/>
    <m/>
    <s v="G1"/>
    <s v="HIT"/>
    <s v="07"/>
    <s v="MAT"/>
    <n v="7"/>
    <m/>
    <s v="0"/>
    <s v="CLASSIC"/>
    <s v="01"/>
    <s v="4S"/>
    <s v="0004"/>
    <s v="PCS"/>
    <n v="1"/>
    <s v="12+1"/>
    <n v="3"/>
    <m/>
    <m/>
    <m/>
    <n v="30120010004002"/>
    <m/>
    <m/>
    <n v="864"/>
    <n v="673.2"/>
    <n v="581644.80000000005"/>
    <n v="747.25200000000007"/>
    <n v="645625.72800000012"/>
    <n v="720"/>
    <n v="622080"/>
    <n v="799.2"/>
    <n v="690508.80000000005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864"/>
  </r>
  <r>
    <s v="G1077001001812"/>
    <m/>
    <n v="30120010018001"/>
    <x v="165"/>
    <s v="HIT MAT CLASSIC 144 PCS X 18S +6S&quot;7562&quot;HMAT02"/>
    <n v="30120010018001"/>
    <n v="0"/>
    <n v="0"/>
    <x v="1"/>
    <n v="0"/>
    <x v="5"/>
    <s v="HIT MAT"/>
    <s v="G1077"/>
    <x v="97"/>
    <n v="14"/>
    <s v="HIT MAT CLASSIC 18S X 144 PCS +6S"/>
    <n v="33"/>
    <m/>
    <s v="G1"/>
    <s v="HIT"/>
    <s v="07"/>
    <s v="MAT"/>
    <n v="7"/>
    <m/>
    <s v="0"/>
    <s v="CLASSIC"/>
    <s v="01"/>
    <s v="18S"/>
    <s v="0018"/>
    <s v="PCS"/>
    <n v="1"/>
    <s v="+6S"/>
    <n v="2"/>
    <m/>
    <m/>
    <m/>
    <n v="30120010018001"/>
    <m/>
    <m/>
    <n v="144"/>
    <n v="4955.5"/>
    <n v="713592"/>
    <n v="5500.6050000000005"/>
    <n v="792087.12000000011"/>
    <n v="5300"/>
    <n v="763200"/>
    <n v="5883.0000000000009"/>
    <n v="847152.00000000012"/>
    <n v="0"/>
    <n v="0"/>
    <n v="0"/>
    <n v="0"/>
    <n v="6.5000000000000002E-2"/>
    <n v="-4955.5"/>
    <e v="#DIV/0!"/>
    <m/>
    <m/>
    <s v="Lama"/>
    <s v="Sama"/>
    <m/>
    <s v="IDR"/>
    <s v="0018"/>
    <s v="18S"/>
    <m/>
    <m/>
    <s v="KRT"/>
    <s v="GD01"/>
    <n v="11611"/>
    <n v="11612"/>
    <m/>
    <n v="1"/>
    <m/>
    <n v="144"/>
  </r>
  <r>
    <s v="G1077002001812"/>
    <m/>
    <n v="30120020018001"/>
    <x v="166"/>
    <s v="HIT MAT FLORAL 144 PCS X 18S +6S&quot;7572&quot;HMAT04"/>
    <n v="30120020018001"/>
    <n v="0"/>
    <n v="0"/>
    <x v="1"/>
    <n v="0"/>
    <x v="5"/>
    <s v="HIT MAT"/>
    <s v="G1077"/>
    <x v="98"/>
    <n v="14"/>
    <s v="HIT MAT FLORAL 18S X 144 PCS +6S"/>
    <n v="32"/>
    <m/>
    <s v="G1"/>
    <s v="HIT"/>
    <s v="07"/>
    <s v="MAT"/>
    <n v="7"/>
    <m/>
    <s v="0"/>
    <s v="FLORAL"/>
    <s v="02"/>
    <s v="18S"/>
    <s v="0018"/>
    <s v="PCS"/>
    <n v="1"/>
    <s v="+6S"/>
    <n v="2"/>
    <m/>
    <m/>
    <m/>
    <n v="30120020018001"/>
    <m/>
    <m/>
    <n v="144"/>
    <n v="4955.5"/>
    <n v="713592"/>
    <n v="5500.6050000000005"/>
    <n v="792087.12000000011"/>
    <n v="5300"/>
    <n v="763200"/>
    <n v="5883.0000000000009"/>
    <n v="847152.00000000012"/>
    <n v="0"/>
    <n v="0"/>
    <n v="0"/>
    <n v="0"/>
    <n v="6.5000000000000002E-2"/>
    <n v="-4955.5"/>
    <e v="#DIV/0!"/>
    <m/>
    <m/>
    <s v="Lama"/>
    <s v="Sama"/>
    <m/>
    <s v="IDR"/>
    <s v="0018"/>
    <s v="18S"/>
    <m/>
    <m/>
    <s v="KRT"/>
    <s v="GD01"/>
    <n v="11611"/>
    <n v="11612"/>
    <m/>
    <n v="1"/>
    <m/>
    <n v="144"/>
  </r>
  <r>
    <s v="G1077003000410"/>
    <m/>
    <n v="30131030035010"/>
    <x v="167"/>
    <s v="HIT MAT G.TEA 864 PCS X 4S 12+1 35626 17204 HMAT06"/>
    <n v="30120030004002"/>
    <n v="0"/>
    <s v="HIT MAT GREEN TEA 4S HGR"/>
    <x v="10"/>
    <s v="8992745999973"/>
    <x v="5"/>
    <s v="HIT MAT"/>
    <s v="G1077"/>
    <x v="99"/>
    <n v="14"/>
    <s v="HIT MAT GREEN TEA 4S X 864 PCS"/>
    <n v="30"/>
    <m/>
    <s v="G1"/>
    <s v="HIT"/>
    <s v="07"/>
    <s v="MAT"/>
    <n v="7"/>
    <m/>
    <s v="0"/>
    <s v="GREEN TEA"/>
    <s v="03"/>
    <s v="4S"/>
    <s v="0004"/>
    <s v="PCS"/>
    <n v="1"/>
    <m/>
    <n v="0"/>
    <m/>
    <m/>
    <m/>
    <n v="30120030004002"/>
    <m/>
    <m/>
    <n v="864"/>
    <n v="673.2"/>
    <n v="581644.80000000005"/>
    <n v="747.25200000000007"/>
    <n v="645625.72800000012"/>
    <n v="720"/>
    <n v="622080"/>
    <n v="799.2"/>
    <n v="690508.80000000005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864"/>
  </r>
  <r>
    <s v="G1077003000410"/>
    <m/>
    <m/>
    <x v="168"/>
    <s v="HIT MAT GK REFILL 4S GREEN TEA NF"/>
    <m/>
    <n v="0"/>
    <s v="HIT MAT GK REFILL 4S GREEN TEA NF"/>
    <x v="10"/>
    <m/>
    <x v="5"/>
    <s v="HIT MAT"/>
    <s v="G1077"/>
    <x v="99"/>
    <n v="14"/>
    <s v="HIT MAT GREEN TEA 4S X 864 PCS"/>
    <n v="30"/>
    <m/>
    <s v="G1"/>
    <s v="HIT"/>
    <s v="07"/>
    <s v="MAT"/>
    <n v="7"/>
    <m/>
    <s v="0"/>
    <s v="GREEN TEA"/>
    <s v="03"/>
    <s v="4S"/>
    <s v="0004"/>
    <s v="PCS"/>
    <n v="1"/>
    <m/>
    <n v="0"/>
    <m/>
    <m/>
    <m/>
    <n v="0"/>
    <m/>
    <m/>
    <n v="864"/>
    <n v="673.2"/>
    <n v="581644.80000000005"/>
    <n v="747.25200000000007"/>
    <n v="645625.72800000012"/>
    <n v="720"/>
    <n v="622080"/>
    <n v="799.2"/>
    <n v="690508.80000000005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864"/>
  </r>
  <r>
    <s v="G1077003000610"/>
    <m/>
    <n v="30131030035010"/>
    <x v="169"/>
    <s v="HIT MAT NO DEVISE G.TEA 48PCSX48S+6S 50005 HMAT12"/>
    <n v="30123030048001"/>
    <n v="0"/>
    <s v="HIT MAT GT NO DEVICE 6S."/>
    <x v="2"/>
    <s v="8992745000150"/>
    <x v="5"/>
    <s v="HIT MAT"/>
    <s v="G1077"/>
    <x v="100"/>
    <n v="14"/>
    <s v="HIT MAT GREEN TEA 6S X 48 PCS"/>
    <n v="29"/>
    <m/>
    <s v="G1"/>
    <s v="HIT"/>
    <s v="07"/>
    <s v="MAT"/>
    <n v="7"/>
    <m/>
    <s v="0"/>
    <s v="GREEN TEA"/>
    <s v="03"/>
    <s v="6S"/>
    <s v="0006"/>
    <s v="PCS"/>
    <n v="1"/>
    <m/>
    <n v="0"/>
    <m/>
    <m/>
    <m/>
    <n v="30123030048001"/>
    <m/>
    <m/>
    <n v="48"/>
    <n v="4768.5"/>
    <n v="228888"/>
    <n v="5293.0350000000008"/>
    <n v="254065.68000000002"/>
    <n v="5100"/>
    <n v="244800"/>
    <n v="5661.0000000000009"/>
    <n v="271728"/>
    <n v="0"/>
    <n v="0"/>
    <n v="0"/>
    <n v="0"/>
    <n v="6.5000000000000002E-2"/>
    <n v="-4768.5"/>
    <e v="#DIV/0!"/>
    <m/>
    <m/>
    <s v="Lama"/>
    <s v="Sama"/>
    <m/>
    <s v="IDR"/>
    <s v="0006"/>
    <s v="6S"/>
    <m/>
    <m/>
    <s v="KRT"/>
    <s v="GD01"/>
    <n v="11611"/>
    <n v="11612"/>
    <m/>
    <n v="1"/>
    <m/>
    <n v="48"/>
  </r>
  <r>
    <s v="G1078001001811"/>
    <m/>
    <n v="30121040060000"/>
    <x v="170"/>
    <s v="HIT MAT CLASSIC 144 PCSX18+12S 23534 56227 ΗΜΑΤ09"/>
    <n v="30120010018003"/>
    <n v="0"/>
    <s v="HIT MAT GK REFILL 30S (18+12S) CLASSIC."/>
    <x v="1"/>
    <s v="8992745120636"/>
    <x v="5"/>
    <s v="HIT MAT GOODKNIGHT"/>
    <s v="G1078"/>
    <x v="101"/>
    <n v="14"/>
    <s v="HIT MAT GOODKNIGHT CLASSIC 18S X 144 PCS +12S"/>
    <n v="45"/>
    <m/>
    <s v="G1"/>
    <s v="HIT"/>
    <s v="07"/>
    <s v="MAT GOODKNIGHT"/>
    <n v="8"/>
    <m/>
    <s v="0"/>
    <s v="CLASSIC"/>
    <s v="01"/>
    <s v="18S"/>
    <s v="0018"/>
    <s v="PCS"/>
    <n v="1"/>
    <s v="+12S"/>
    <n v="1"/>
    <m/>
    <m/>
    <m/>
    <n v="30120010018003"/>
    <m/>
    <m/>
    <n v="144"/>
    <n v="5544.55"/>
    <n v="798415.20000000007"/>
    <n v="6154.4505000000008"/>
    <n v="886240.87200000021"/>
    <n v="5930"/>
    <n v="853920"/>
    <n v="6582.3"/>
    <n v="947851.20000000007"/>
    <n v="0"/>
    <n v="0"/>
    <n v="0"/>
    <n v="0"/>
    <n v="6.4999999999999974E-2"/>
    <n v="-5544.55"/>
    <e v="#DIV/0!"/>
    <m/>
    <m/>
    <s v="Lama"/>
    <s v="Sama"/>
    <m/>
    <s v="IDR"/>
    <s v="0018"/>
    <s v="18S"/>
    <m/>
    <m/>
    <s v="KRT"/>
    <s v="GD01"/>
    <n v="11611"/>
    <n v="11612"/>
    <m/>
    <n v="1"/>
    <m/>
    <n v="144"/>
  </r>
  <r>
    <s v="G1078001001811"/>
    <m/>
    <m/>
    <x v="171"/>
    <s v="HIT MAT GK REFILL 30+3S CLASSIC NF"/>
    <m/>
    <m/>
    <s v="HIT MAT GK REFILL 30+3S CLASSIC NF"/>
    <x v="1"/>
    <m/>
    <x v="5"/>
    <s v="HIT MAT GOODKNIGHT"/>
    <s v="G1078"/>
    <x v="101"/>
    <n v="14"/>
    <s v="HIT MAT GOODKNIGHT CLASSIC 30S X 144 PCS +3S"/>
    <n v="44"/>
    <m/>
    <s v="G1"/>
    <s v="HIT"/>
    <s v="07"/>
    <s v="MAT GOODKNIGHT"/>
    <n v="8"/>
    <m/>
    <s v="0"/>
    <s v="CLASSIC"/>
    <s v="01"/>
    <s v="30S"/>
    <s v="0018"/>
    <s v="PCS"/>
    <n v="1"/>
    <s v="+3S"/>
    <n v="1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18"/>
    <s v="30S"/>
    <m/>
    <m/>
    <s v="KRT"/>
    <s v="GD01"/>
    <n v="11611"/>
    <n v="11612"/>
    <m/>
    <n v="1"/>
    <m/>
    <n v="144"/>
  </r>
  <r>
    <s v="G1078001001811"/>
    <m/>
    <m/>
    <x v="172"/>
    <m/>
    <m/>
    <m/>
    <m/>
    <x v="1"/>
    <s v="8992745120636"/>
    <x v="5"/>
    <s v="HIT MAT GOODKNIGHT"/>
    <s v="G1078"/>
    <x v="101"/>
    <n v="14"/>
    <s v="HIT MAT GOODKNIGHT CLASSIC 18S X 144 PCS +12S"/>
    <n v="45"/>
    <m/>
    <s v="G1"/>
    <s v="HIT"/>
    <s v="07"/>
    <s v="MAT GOODKNIGHT"/>
    <n v="8"/>
    <m/>
    <s v="0"/>
    <s v="CLASSIC"/>
    <s v="01"/>
    <s v="18S"/>
    <s v="0018"/>
    <s v="PCS"/>
    <n v="1"/>
    <s v="+12S"/>
    <n v="1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18"/>
    <s v="18S"/>
    <m/>
    <m/>
    <s v="KRT"/>
    <s v="GD01"/>
    <n v="11611"/>
    <n v="11612"/>
    <m/>
    <n v="1"/>
    <m/>
    <n v="144"/>
  </r>
  <r>
    <s v="G1078001004810"/>
    <m/>
    <n v="30131010000001"/>
    <x v="173"/>
    <s v="HIT MAT CLASSIC 72 PCSX48S+6S 23557 56229 ΗΜΑΤ03"/>
    <n v="30120010048001"/>
    <n v="0"/>
    <s v="HIT MAT GK REFILL 60S (48+12S) CLASSIC"/>
    <x v="6"/>
    <s v="8992745120650"/>
    <x v="5"/>
    <s v="HIT MAT GOODKNIGHT"/>
    <s v="G1078"/>
    <x v="102"/>
    <n v="14"/>
    <s v="HIT MAT GOODKNIGHT CLASSIC 48S/60S X 72 PCS"/>
    <n v="43"/>
    <m/>
    <s v="G1"/>
    <s v="HIT"/>
    <s v="07"/>
    <s v="MAT GOODKNIGHT"/>
    <n v="8"/>
    <m/>
    <s v="0"/>
    <s v="CLASSIC"/>
    <s v="01"/>
    <s v="48S/60S"/>
    <s v="0048"/>
    <s v="PCS"/>
    <n v="1"/>
    <m/>
    <n v="0"/>
    <m/>
    <m/>
    <m/>
    <n v="30120010048001"/>
    <m/>
    <m/>
    <n v="72"/>
    <n v="10874.05"/>
    <n v="782931.6"/>
    <n v="12070.1955"/>
    <n v="869054.076"/>
    <n v="11630"/>
    <n v="837360"/>
    <n v="12909.300000000001"/>
    <n v="929469.60000000009"/>
    <n v="0"/>
    <n v="0"/>
    <n v="0"/>
    <n v="0"/>
    <n v="6.5000000000000058E-2"/>
    <n v="-10874.05"/>
    <e v="#DIV/0!"/>
    <m/>
    <m/>
    <s v="Lama"/>
    <s v="Sama"/>
    <m/>
    <s v="IDR"/>
    <s v="0048"/>
    <s v="48S/60S"/>
    <m/>
    <m/>
    <s v="KRT"/>
    <s v="GD01"/>
    <n v="11611"/>
    <n v="11612"/>
    <m/>
    <n v="1"/>
    <m/>
    <n v="72"/>
  </r>
  <r>
    <s v="G1078001004810"/>
    <m/>
    <n v="30120010048001"/>
    <x v="174"/>
    <s v="HIT MAT CLASSIC 72 PCSX4S 12+1 7556 35625 ΗΜΑΤ01"/>
    <m/>
    <m/>
    <m/>
    <x v="6"/>
    <s v="8992745120650"/>
    <x v="5"/>
    <s v="HIT MAT GOODKNIGHT"/>
    <s v="G1078"/>
    <x v="102"/>
    <n v="14"/>
    <s v="HIT MAT GOODKNIGHT CLASSIC 48S/60S X 72 PCS"/>
    <n v="43"/>
    <m/>
    <s v="G1"/>
    <s v="HIT"/>
    <s v="07"/>
    <s v="MAT GOODKNIGHT"/>
    <n v="8"/>
    <m/>
    <s v="0"/>
    <s v="CLASSIC"/>
    <s v="01"/>
    <s v="48S/60S"/>
    <s v="0048"/>
    <s v="PCS"/>
    <n v="1"/>
    <m/>
    <n v="0"/>
    <m/>
    <m/>
    <m/>
    <n v="0"/>
    <m/>
    <m/>
    <n v="72"/>
    <n v="10874.05"/>
    <n v="782931.6"/>
    <n v="12070.1955"/>
    <n v="869054.076"/>
    <n v="11630"/>
    <n v="837360"/>
    <n v="12909.300000000001"/>
    <n v="929469.60000000009"/>
    <n v="0"/>
    <n v="0"/>
    <n v="0"/>
    <n v="0"/>
    <n v="6.5000000000000058E-2"/>
    <n v="-10874.05"/>
    <e v="#DIV/0!"/>
    <m/>
    <m/>
    <s v="Lama"/>
    <s v="Sama"/>
    <m/>
    <s v="IDR"/>
    <s v="0048"/>
    <s v="48S/60S"/>
    <m/>
    <m/>
    <s v="KRT"/>
    <s v="GD01"/>
    <n v="11611"/>
    <n v="11612"/>
    <m/>
    <n v="1"/>
    <m/>
    <n v="72"/>
  </r>
  <r>
    <s v="G1078001004810"/>
    <m/>
    <m/>
    <x v="175"/>
    <m/>
    <m/>
    <m/>
    <m/>
    <x v="6"/>
    <s v="8992745120650"/>
    <x v="5"/>
    <s v="HIT MAT GOODKNIGHT"/>
    <s v="G1078"/>
    <x v="102"/>
    <n v="14"/>
    <s v="HIT MAT GOODKNIGHT CLASSIC 48S/60S X 72 PCS"/>
    <n v="43"/>
    <m/>
    <s v="G1"/>
    <s v="HIT"/>
    <s v="07"/>
    <s v="MAT GOODKNIGHT"/>
    <n v="8"/>
    <m/>
    <s v="0"/>
    <s v="CLASSIC"/>
    <s v="01"/>
    <s v="48S/60S"/>
    <s v="0048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8"/>
    <s v="48S/60S"/>
    <m/>
    <m/>
    <s v="KRT"/>
    <s v="GD01"/>
    <n v="11611"/>
    <n v="11612"/>
    <m/>
    <n v="1"/>
    <m/>
    <n v="72"/>
  </r>
  <r>
    <s v="G1078001004810"/>
    <m/>
    <m/>
    <x v="176"/>
    <m/>
    <m/>
    <m/>
    <m/>
    <x v="6"/>
    <s v="8992745120650"/>
    <x v="5"/>
    <s v="HIT MAT GOODKNIGHT"/>
    <s v="G1078"/>
    <x v="102"/>
    <n v="14"/>
    <s v="HIT MAT GOODKNIGHT CLASSIC 48S/60S X 72 PCS"/>
    <n v="43"/>
    <m/>
    <s v="G1"/>
    <s v="HIT"/>
    <s v="07"/>
    <s v="MAT GOODKNIGHT"/>
    <n v="8"/>
    <m/>
    <s v="0"/>
    <s v="CLASSIC"/>
    <s v="01"/>
    <s v="48S/60S"/>
    <s v="0048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8"/>
    <s v="48S/60S"/>
    <m/>
    <m/>
    <s v="KRT"/>
    <s v="GD01"/>
    <n v="11611"/>
    <n v="11612"/>
    <m/>
    <n v="1"/>
    <m/>
    <n v="72"/>
  </r>
  <r>
    <s v="G1078001022511"/>
    <m/>
    <n v="30080010020000"/>
    <x v="177"/>
    <s v="HIT ELECTRC EKO 48PCSX225GR+CABLE 50006 58771 HE03"/>
    <n v="30090030225003"/>
    <n v="0"/>
    <s v="HIT Electric Ekonomis +Lampu"/>
    <x v="2"/>
    <s v="8992745120186"/>
    <x v="5"/>
    <s v="HIT MAT GOODKNIGHT"/>
    <s v="G1078"/>
    <x v="103"/>
    <n v="14"/>
    <s v="HIT MAT GOODKNIGHT EKO 225GR X 48 PCS BANDED"/>
    <n v="44"/>
    <m/>
    <s v="G1"/>
    <s v="HIT"/>
    <s v="07"/>
    <s v="MAT GOODKNIGHT"/>
    <n v="8"/>
    <m/>
    <s v="0"/>
    <s v="EKO"/>
    <s v="01"/>
    <s v="225GR"/>
    <s v="0225"/>
    <s v="PCS"/>
    <n v="1"/>
    <s v="BANDED"/>
    <n v="1"/>
    <m/>
    <m/>
    <m/>
    <n v="30090030225003"/>
    <m/>
    <m/>
    <n v="48"/>
    <n v="8415"/>
    <n v="403920"/>
    <n v="9340.6500000000015"/>
    <n v="448351.2"/>
    <n v="9000"/>
    <n v="432000"/>
    <n v="9990"/>
    <n v="479520.00000000006"/>
    <n v="0"/>
    <n v="0"/>
    <n v="0"/>
    <n v="0"/>
    <n v="6.5000000000000002E-2"/>
    <n v="-8415"/>
    <e v="#DIV/0!"/>
    <m/>
    <m/>
    <s v="Lama"/>
    <s v="Sama"/>
    <m/>
    <s v="IDR"/>
    <s v="0225"/>
    <s v="225GR"/>
    <m/>
    <m/>
    <s v="KRT"/>
    <s v="GD01"/>
    <n v="11611"/>
    <n v="11612"/>
    <m/>
    <n v="1"/>
    <m/>
    <n v="48"/>
  </r>
  <r>
    <s v="G1078001022511"/>
    <m/>
    <n v="30120030018003"/>
    <x v="178"/>
    <s v="HIT ELECTRC EKO 48PCSX225GR+CABLE 50006 58771 HE03"/>
    <n v="30090030225003"/>
    <n v="0"/>
    <s v="HIT MAT GK DEVICE WITH CABLE 6S."/>
    <x v="2"/>
    <s v="8992745120186"/>
    <x v="5"/>
    <s v="HIT MAT GOODKNIGHT"/>
    <s v="G1078"/>
    <x v="103"/>
    <n v="14"/>
    <s v="HIT MAT GOODKNIGHT EKO 225GR X 48 PCS BANDED"/>
    <n v="44"/>
    <m/>
    <s v="G1"/>
    <s v="HIT"/>
    <s v="07"/>
    <s v="MAT GOODKNIGHT"/>
    <n v="8"/>
    <m/>
    <s v="0"/>
    <s v="EKO"/>
    <s v="01"/>
    <s v="225GR"/>
    <s v="0225"/>
    <s v="PCS"/>
    <n v="1"/>
    <s v="BANDED"/>
    <n v="1"/>
    <m/>
    <m/>
    <m/>
    <n v="30090030225003"/>
    <m/>
    <m/>
    <n v="48"/>
    <n v="8415"/>
    <n v="403920"/>
    <n v="9340.6500000000015"/>
    <n v="448351.2"/>
    <n v="9000"/>
    <n v="432000"/>
    <n v="9990"/>
    <n v="479520.00000000006"/>
    <n v="0"/>
    <n v="0"/>
    <n v="0"/>
    <n v="0"/>
    <n v="6.5000000000000002E-2"/>
    <n v="-8415"/>
    <e v="#DIV/0!"/>
    <m/>
    <m/>
    <s v="Lama"/>
    <s v="Sama"/>
    <m/>
    <s v="IDR"/>
    <s v="0225"/>
    <s v="225GR"/>
    <m/>
    <m/>
    <s v="KRT"/>
    <s v="GD01"/>
    <n v="11611"/>
    <n v="11612"/>
    <m/>
    <n v="1"/>
    <m/>
    <n v="48"/>
  </r>
  <r>
    <s v="G1078001022511"/>
    <m/>
    <n v="30120030048001"/>
    <x v="179"/>
    <s v="HIT ELECTRC EKO 48PCSX225GR+CABLE 50006 58771 HE03"/>
    <n v="30090030225003"/>
    <n v="0"/>
    <s v="HIT MAT GK NEW DEVICE CABLE 6s CLASSIC"/>
    <x v="2"/>
    <s v="8992745120186"/>
    <x v="5"/>
    <s v="HIT MAT GOODKNIGHT"/>
    <s v="G1078"/>
    <x v="103"/>
    <n v="14"/>
    <s v="HIT MAT GOODKNIGHT EKO 225GR X 48 PCS BANDED"/>
    <n v="44"/>
    <m/>
    <s v="G1"/>
    <s v="HIT"/>
    <s v="07"/>
    <s v="MAT GOODKNIGHT"/>
    <n v="8"/>
    <m/>
    <s v="0"/>
    <s v="EKO"/>
    <s v="01"/>
    <s v="225GR"/>
    <s v="0225"/>
    <s v="PCS"/>
    <n v="1"/>
    <s v="BANDED"/>
    <n v="1"/>
    <m/>
    <m/>
    <m/>
    <n v="30090030225003"/>
    <m/>
    <m/>
    <n v="48"/>
    <n v="8415"/>
    <n v="403920"/>
    <n v="9340.6500000000015"/>
    <n v="448351.2"/>
    <n v="9000"/>
    <n v="432000"/>
    <n v="9990"/>
    <n v="479520.00000000006"/>
    <n v="0"/>
    <n v="0"/>
    <n v="0"/>
    <n v="0"/>
    <n v="6.5000000000000002E-2"/>
    <n v="-8415"/>
    <e v="#DIV/0!"/>
    <m/>
    <m/>
    <s v="Lama"/>
    <s v="Sama"/>
    <m/>
    <s v="IDR"/>
    <s v="0225"/>
    <s v="225GR"/>
    <m/>
    <m/>
    <s v="KRT"/>
    <s v="GD01"/>
    <n v="11611"/>
    <n v="11612"/>
    <m/>
    <n v="1"/>
    <m/>
    <n v="48"/>
  </r>
  <r>
    <s v="G1078001022511"/>
    <m/>
    <m/>
    <x v="180"/>
    <s v="HIT MAT GK DEVICE WITH CABLE 6S NF"/>
    <m/>
    <m/>
    <s v="HIT MAT GK DEVICE WITH CABLE 6S NF"/>
    <x v="2"/>
    <m/>
    <x v="5"/>
    <s v="HIT MAT GOODKNIGHT"/>
    <s v="G1078"/>
    <x v="103"/>
    <n v="14"/>
    <s v="HIT MAT GOODKNIGHT EKO CLASSIC 225GR X 48 PCS"/>
    <n v="45"/>
    <m/>
    <s v="G1"/>
    <s v="HIT"/>
    <s v="07"/>
    <s v="MAT GOODKNIGHT"/>
    <n v="8"/>
    <m/>
    <s v="0"/>
    <s v="EKO CLASSIC"/>
    <s v="01"/>
    <s v="225GR"/>
    <s v="0225"/>
    <s v="PCS"/>
    <n v="1"/>
    <m/>
    <n v="1"/>
    <m/>
    <m/>
    <m/>
    <n v="0"/>
    <m/>
    <m/>
    <n v="48"/>
    <n v="8415"/>
    <n v="403920"/>
    <n v="9340.6500000000015"/>
    <n v="448351.2"/>
    <n v="9000"/>
    <n v="432000"/>
    <n v="9990"/>
    <n v="479520.00000000006"/>
    <n v="0"/>
    <n v="0"/>
    <n v="0"/>
    <n v="0"/>
    <n v="6.5000000000000002E-2"/>
    <n v="-8415"/>
    <e v="#DIV/0!"/>
    <m/>
    <m/>
    <s v="Lama"/>
    <s v="Sama"/>
    <m/>
    <s v="IDR"/>
    <s v="0225"/>
    <s v="225GR"/>
    <m/>
    <m/>
    <s v="KRT"/>
    <s v="GD01"/>
    <n v="11611"/>
    <n v="11612"/>
    <m/>
    <n v="1"/>
    <m/>
    <n v="48"/>
  </r>
  <r>
    <s v="G1078001022511"/>
    <m/>
    <m/>
    <x v="181"/>
    <m/>
    <m/>
    <m/>
    <m/>
    <x v="2"/>
    <m/>
    <x v="5"/>
    <s v="HIT MAT GOODKNIGHT"/>
    <s v="G1078"/>
    <x v="103"/>
    <n v="14"/>
    <s v="HIT MAT GOODKNIGHT EKO CLASSIC 225GR X 48 PCS"/>
    <n v="45"/>
    <m/>
    <s v="G1"/>
    <s v="HIT"/>
    <s v="07"/>
    <s v="MAT GOODKNIGHT"/>
    <n v="8"/>
    <m/>
    <s v="0"/>
    <s v="EKO CLASSIC"/>
    <s v="01"/>
    <s v="225GR"/>
    <s v="0225"/>
    <s v="PCS"/>
    <n v="1"/>
    <m/>
    <n v="1"/>
    <m/>
    <m/>
    <m/>
    <n v="0"/>
    <m/>
    <m/>
    <n v="48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225"/>
    <s v="225GR"/>
    <m/>
    <m/>
    <s v="KRT"/>
    <s v="GD01"/>
    <n v="11611"/>
    <n v="11612"/>
    <m/>
    <n v="1"/>
    <m/>
    <n v="48"/>
  </r>
  <r>
    <s v="G1078004003010"/>
    <m/>
    <n v="30132020204000"/>
    <x v="182"/>
    <s v="HIT MAT GKNIGHT PINK B 144 PCS X 30S 57199 ΗΜΑΤ12"/>
    <n v="30121040030000"/>
    <n v="0"/>
    <s v="HIT MATGK REFILL 30(18+12s) Pink Blossom"/>
    <x v="1"/>
    <s v="8992745000426"/>
    <x v="5"/>
    <s v="HIT MAT GOODKNIGHT"/>
    <s v="G1078"/>
    <x v="104"/>
    <n v="14"/>
    <s v="HIT MAT GOODKNIGHT PINK BLOSSOM 30S X 144 PCS"/>
    <n v="45"/>
    <m/>
    <s v="G1"/>
    <s v="HIT"/>
    <s v="07"/>
    <s v="MAT GOODKNIGHT"/>
    <n v="8"/>
    <m/>
    <s v="0"/>
    <s v="PINK BLOSSOM"/>
    <s v="04"/>
    <s v="30S"/>
    <s v="0030"/>
    <s v="PCS"/>
    <n v="1"/>
    <m/>
    <n v="0"/>
    <m/>
    <m/>
    <m/>
    <n v="30121040030000"/>
    <m/>
    <m/>
    <n v="144"/>
    <n v="5544.55"/>
    <n v="798415.20000000007"/>
    <n v="6154.4505000000008"/>
    <n v="886240.87200000021"/>
    <n v="5930"/>
    <n v="853920"/>
    <n v="6582.3"/>
    <n v="947851.20000000007"/>
    <n v="0"/>
    <n v="0"/>
    <n v="0"/>
    <n v="0"/>
    <n v="6.4999999999999974E-2"/>
    <n v="-5544.55"/>
    <e v="#DIV/0!"/>
    <m/>
    <m/>
    <s v="Lama"/>
    <s v="Sama"/>
    <m/>
    <s v="IDR"/>
    <s v="0030"/>
    <s v="30S"/>
    <m/>
    <m/>
    <s v="KRT"/>
    <s v="GD01"/>
    <n v="11611"/>
    <n v="11612"/>
    <m/>
    <n v="1"/>
    <m/>
    <n v="144"/>
  </r>
  <r>
    <s v="G1078004003010"/>
    <m/>
    <m/>
    <x v="183"/>
    <m/>
    <m/>
    <m/>
    <s v="HIT MAT GK REFILL 30+3S PINK BLOSSOM NF"/>
    <x v="1"/>
    <s v="8992745000426"/>
    <x v="5"/>
    <s v="HIT MAT GOODKNIGHT"/>
    <s v="G1078"/>
    <x v="104"/>
    <n v="14"/>
    <s v="HIT MAT GOODKNIGHT PINK BLOSSOM 30S X 144 PCS"/>
    <n v="45"/>
    <m/>
    <s v="G1"/>
    <s v="HIT"/>
    <s v="07"/>
    <s v="MAT GOODKNIGHT"/>
    <n v="8"/>
    <m/>
    <s v="0"/>
    <s v="PINK BLOSSOM"/>
    <s v="04"/>
    <s v="30S"/>
    <s v="0030"/>
    <s v="PCS"/>
    <n v="1"/>
    <m/>
    <n v="0"/>
    <m/>
    <m/>
    <m/>
    <n v="0"/>
    <m/>
    <m/>
    <n v="144"/>
    <n v="5544.55"/>
    <n v="798415.20000000007"/>
    <n v="6154.4505000000008"/>
    <n v="886240.87200000021"/>
    <n v="5930"/>
    <n v="853920"/>
    <n v="6582.3"/>
    <n v="947851.20000000007"/>
    <n v="0"/>
    <n v="0"/>
    <n v="0"/>
    <n v="0"/>
    <n v="6.4999999999999974E-2"/>
    <n v="-5544.55"/>
    <e v="#DIV/0!"/>
    <m/>
    <m/>
    <s v="Lama"/>
    <s v="Sama"/>
    <m/>
    <s v="IDR"/>
    <s v="0030"/>
    <s v="30S"/>
    <m/>
    <m/>
    <s v="KRT"/>
    <s v="GD01"/>
    <n v="11611"/>
    <n v="11612"/>
    <m/>
    <n v="1"/>
    <m/>
    <n v="144"/>
  </r>
  <r>
    <s v="G1078004006010"/>
    <m/>
    <n v="30132020204000"/>
    <x v="184"/>
    <s v="HIT MAT GKNIGHT PINK B 72 PCS X 60S 57198 ΗΜΑΤ11"/>
    <n v="30121040060000"/>
    <n v="0"/>
    <s v="HIT MATGK REFILL 60(48+12s) Pink Blossom"/>
    <x v="6"/>
    <s v="8992745000419"/>
    <x v="5"/>
    <s v="HIT MAT GOODKNIGHT"/>
    <s v="G1078"/>
    <x v="105"/>
    <n v="14"/>
    <s v="HIT MAT GOODKNIGHT PINK BLOSSOM 60S X 72 PCS"/>
    <n v="44"/>
    <m/>
    <s v="G1"/>
    <s v="HIT"/>
    <s v="07"/>
    <s v="MAT GOODKNIGHT"/>
    <n v="8"/>
    <m/>
    <s v="0"/>
    <s v="PINK BLOSSOM"/>
    <s v="04"/>
    <s v="60S"/>
    <s v="0060"/>
    <s v="PCS"/>
    <n v="1"/>
    <m/>
    <n v="0"/>
    <m/>
    <m/>
    <m/>
    <n v="30121040060000"/>
    <m/>
    <m/>
    <n v="72"/>
    <n v="10874.05"/>
    <n v="782931.6"/>
    <n v="12070.1955"/>
    <n v="869054.076"/>
    <n v="11630"/>
    <n v="837360"/>
    <n v="12909.300000000001"/>
    <n v="929469.60000000009"/>
    <n v="0"/>
    <n v="0"/>
    <n v="0"/>
    <n v="0"/>
    <n v="6.5000000000000058E-2"/>
    <n v="-10874.05"/>
    <e v="#DIV/0!"/>
    <m/>
    <m/>
    <s v="Lama"/>
    <s v="Sama"/>
    <m/>
    <s v="IDR"/>
    <s v="0060"/>
    <s v="60S"/>
    <m/>
    <m/>
    <s v="KRT"/>
    <s v="GD01"/>
    <n v="11611"/>
    <n v="11612"/>
    <m/>
    <n v="1"/>
    <m/>
    <n v="72"/>
  </r>
  <r>
    <s v="G1078004006010"/>
    <m/>
    <m/>
    <x v="185"/>
    <m/>
    <m/>
    <m/>
    <m/>
    <x v="6"/>
    <s v="8992745000419"/>
    <x v="5"/>
    <s v="HIT MAT GOODKNIGHT"/>
    <s v="G1078"/>
    <x v="105"/>
    <n v="14"/>
    <s v="HIT MAT GOODKNIGHT PINK BLOSSOM 60S X 72 PCS"/>
    <n v="44"/>
    <m/>
    <s v="G1"/>
    <s v="HIT"/>
    <s v="07"/>
    <s v="MAT GOODKNIGHT"/>
    <n v="8"/>
    <m/>
    <s v="0"/>
    <s v="PINK BLOSSOM"/>
    <s v="04"/>
    <s v="60S"/>
    <s v="0060"/>
    <s v="PCS"/>
    <n v="1"/>
    <m/>
    <n v="0"/>
    <m/>
    <m/>
    <m/>
    <n v="0"/>
    <m/>
    <m/>
    <n v="72"/>
    <n v="10874.05"/>
    <n v="782931.6"/>
    <n v="12070.1955"/>
    <n v="869054.076"/>
    <n v="11630"/>
    <n v="837360"/>
    <n v="12909.300000000001"/>
    <n v="929469.60000000009"/>
    <n v="0"/>
    <n v="0"/>
    <n v="0"/>
    <n v="0"/>
    <n v="6.5000000000000058E-2"/>
    <n v="-10874.05"/>
    <e v="#DIV/0!"/>
    <m/>
    <m/>
    <s v="Lama"/>
    <s v="Sama"/>
    <m/>
    <s v="IDR"/>
    <s v="0060"/>
    <s v="60S"/>
    <m/>
    <m/>
    <s v="KRT"/>
    <s v="GD01"/>
    <n v="11611"/>
    <n v="11612"/>
    <m/>
    <n v="1"/>
    <m/>
    <n v="72"/>
  </r>
  <r>
    <s v="G1078101001510"/>
    <m/>
    <n v="30121040030000"/>
    <x v="186"/>
    <s v="HIT MAT G.TEA 144 PCS X 15S 49994 ΗΜΑΤ13"/>
    <n v="30120030015000"/>
    <n v="0"/>
    <s v="HIT MAT GK REFILL 15S."/>
    <x v="1"/>
    <s v="8992745000143"/>
    <x v="5"/>
    <s v="HIT MAT GOODKNIGHT"/>
    <s v="G1078"/>
    <x v="106"/>
    <n v="14"/>
    <s v="HIT MAT GOODKNIGHT REFILL GREEN TEA 15S X 144 PCS"/>
    <n v="49"/>
    <m/>
    <s v="G1"/>
    <s v="HIT"/>
    <s v="07"/>
    <s v="MAT GOODKNIGHT"/>
    <n v="8"/>
    <s v="REFILL"/>
    <s v="1"/>
    <s v="GREEN TEA"/>
    <s v="01"/>
    <s v="15S"/>
    <s v="0015"/>
    <s v="PCS"/>
    <n v="1"/>
    <m/>
    <n v="0"/>
    <m/>
    <m/>
    <m/>
    <n v="30120030015000"/>
    <m/>
    <m/>
    <n v="144"/>
    <n v="2692.8"/>
    <n v="387763.20000000001"/>
    <n v="2989.0080000000003"/>
    <n v="430417.15200000006"/>
    <n v="2880"/>
    <n v="414720"/>
    <n v="3196.8"/>
    <n v="460339.20000000001"/>
    <n v="0"/>
    <n v="0"/>
    <n v="0"/>
    <n v="0"/>
    <n v="6.4999999999999933E-2"/>
    <n v="-2692.8"/>
    <e v="#DIV/0!"/>
    <m/>
    <m/>
    <s v="Lama"/>
    <s v="Sama"/>
    <m/>
    <s v="IDR"/>
    <s v="0015"/>
    <s v="15S"/>
    <m/>
    <m/>
    <s v="KRT"/>
    <s v="GD01"/>
    <n v="11611"/>
    <n v="11612"/>
    <m/>
    <n v="1"/>
    <m/>
    <n v="144"/>
  </r>
  <r>
    <s v="G10781010018111"/>
    <n v="1"/>
    <n v="30123030048001"/>
    <x v="187"/>
    <s v="HIT MAT G.TEA 144 PCS X 18S +9S 23556 56226 ΗΜΑΤ11"/>
    <n v="30120030018003"/>
    <n v="0"/>
    <s v="HIT MAT GK REFILL 30S (18+12S) GREEN TEA"/>
    <x v="1"/>
    <s v="8992745999980"/>
    <x v="5"/>
    <s v="HIT MAT GOODKNIGHT"/>
    <s v="G1078"/>
    <x v="107"/>
    <n v="14"/>
    <s v="HIT MAT GOODKNIGHT REFILL GREEN TEA 18S X 144 PCS +12S"/>
    <n v="54"/>
    <m/>
    <s v="G1"/>
    <s v="HIT"/>
    <s v="07"/>
    <s v="MAT GOODKNIGHT"/>
    <n v="8"/>
    <s v="REFILL"/>
    <s v="1"/>
    <s v="GREEN TEA"/>
    <s v="01"/>
    <s v="18S"/>
    <s v="0018"/>
    <s v="PCS"/>
    <n v="1"/>
    <s v="+12S"/>
    <n v="1"/>
    <m/>
    <m/>
    <m/>
    <n v="30120030018003"/>
    <m/>
    <m/>
    <n v="144"/>
    <n v="5544.55"/>
    <n v="798415.20000000007"/>
    <n v="6154.4505000000008"/>
    <n v="886240.87200000021"/>
    <n v="5930"/>
    <n v="853920"/>
    <n v="6582.3"/>
    <n v="947851.20000000007"/>
    <n v="0"/>
    <n v="0"/>
    <n v="0"/>
    <n v="0"/>
    <n v="6.4999999999999974E-2"/>
    <n v="-5544.55"/>
    <e v="#DIV/0!"/>
    <m/>
    <m/>
    <s v="Lama"/>
    <s v="Sama"/>
    <m/>
    <s v="IDR"/>
    <s v="0018"/>
    <s v="18S"/>
    <m/>
    <m/>
    <s v="KRT"/>
    <s v="GD01"/>
    <n v="11611"/>
    <n v="11612"/>
    <m/>
    <n v="1"/>
    <m/>
    <n v="144"/>
  </r>
  <r>
    <s v="G10781010018112"/>
    <n v="2"/>
    <m/>
    <x v="188"/>
    <m/>
    <m/>
    <m/>
    <m/>
    <x v="1"/>
    <s v="8992745999980"/>
    <x v="5"/>
    <s v="HIT MAT GOODKNIGHT"/>
    <s v="G1078"/>
    <x v="107"/>
    <n v="14"/>
    <s v="HIT MAT GOODKNIGHT REFILL GREEN TEA 18S X 144 PCS +12S"/>
    <n v="54"/>
    <m/>
    <s v="G1"/>
    <s v="HIT"/>
    <s v="07"/>
    <s v="MAT GOODKNIGHT"/>
    <n v="8"/>
    <s v="REFILL"/>
    <s v="1"/>
    <s v="GREEN TEA"/>
    <s v="01"/>
    <s v="18S"/>
    <s v="0018"/>
    <s v="PCS"/>
    <n v="1"/>
    <s v="+12S"/>
    <n v="1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18"/>
    <s v="18S"/>
    <m/>
    <m/>
    <s v="KRT"/>
    <s v="GD01"/>
    <n v="11611"/>
    <n v="11612"/>
    <m/>
    <n v="1"/>
    <m/>
    <n v="144"/>
  </r>
  <r>
    <s v="G10781010018113"/>
    <n v="3"/>
    <m/>
    <x v="189"/>
    <s v="HIT MAT GK REFILL 30+3S GREEN TEA NF"/>
    <m/>
    <m/>
    <s v="HIT MAT GK REFILL 30+3S GREEN TEA NF"/>
    <x v="1"/>
    <m/>
    <x v="5"/>
    <s v="HIT MAT GOODKNIGHT"/>
    <s v="G1078"/>
    <x v="107"/>
    <n v="14"/>
    <s v="HIT MAT GOODKNIGHT REFILL GREEN TEA 30S X 144 PCS +3S"/>
    <n v="53"/>
    <m/>
    <s v="G1"/>
    <s v="HIT"/>
    <s v="07"/>
    <s v="MAT GOODKNIGHT"/>
    <n v="8"/>
    <s v="REFILL"/>
    <s v="1"/>
    <s v="GREEN TEA"/>
    <s v="01"/>
    <s v="30S"/>
    <s v="0018"/>
    <s v="PCS"/>
    <n v="1"/>
    <s v="+3S"/>
    <n v="1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18"/>
    <s v="30S"/>
    <m/>
    <m/>
    <s v="KRT"/>
    <s v="GD01"/>
    <n v="11611"/>
    <n v="11612"/>
    <m/>
    <n v="1"/>
    <m/>
    <n v="144"/>
  </r>
  <r>
    <s v="G1078101001811"/>
    <m/>
    <m/>
    <x v="190"/>
    <m/>
    <m/>
    <m/>
    <m/>
    <x v="1"/>
    <s v="8992745999980"/>
    <x v="5"/>
    <s v="HIT MAT GOODKNIGHT"/>
    <s v="G1078"/>
    <x v="107"/>
    <n v="14"/>
    <s v="HIT MAT GOODKNIGHT REFILL GREEN TEA 18S X 144 PCS +12S"/>
    <n v="54"/>
    <m/>
    <s v="G1"/>
    <s v="HIT"/>
    <s v="07"/>
    <s v="MAT GOODKNIGHT"/>
    <n v="8"/>
    <s v="REFILL"/>
    <s v="1"/>
    <s v="GREEN TEA"/>
    <s v="01"/>
    <s v="18S"/>
    <s v="0018"/>
    <s v="PCS"/>
    <n v="1"/>
    <s v="+12S"/>
    <n v="1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18"/>
    <s v="18S"/>
    <m/>
    <m/>
    <s v="KRT"/>
    <s v="GD01"/>
    <n v="11611"/>
    <n v="11612"/>
    <m/>
    <n v="1"/>
    <m/>
    <n v="144"/>
  </r>
  <r>
    <s v="G10781010048101"/>
    <n v="1"/>
    <n v="30131010000001"/>
    <x v="191"/>
    <s v="HIT MAT G.TEA 72 PCS X 48S+6S 23559 56228 ΗΜΑΤ08"/>
    <n v="30120030048001"/>
    <n v="0"/>
    <s v="HIT MAT GK REFILL 60S (48+12S) GREEN TE"/>
    <x v="6"/>
    <s v="8992745999997"/>
    <x v="5"/>
    <s v="HIT MAT GOODKNIGHT"/>
    <s v="G1078"/>
    <x v="108"/>
    <n v="14"/>
    <s v="HIT MAT GOODKNIGHT REFILL GREEN TEA 48S X 72 PCS"/>
    <n v="48"/>
    <m/>
    <s v="G1"/>
    <s v="HIT"/>
    <s v="07"/>
    <s v="MAT GOODKNIGHT"/>
    <n v="8"/>
    <s v="REFILL"/>
    <s v="1"/>
    <s v="GREEN TEA"/>
    <s v="01"/>
    <s v="48S"/>
    <s v="0048"/>
    <s v="PCS"/>
    <n v="1"/>
    <m/>
    <n v="0"/>
    <m/>
    <m/>
    <m/>
    <n v="30120030048001"/>
    <m/>
    <m/>
    <n v="72"/>
    <n v="10874.05"/>
    <n v="782931.6"/>
    <n v="12070.1955"/>
    <n v="869054.076"/>
    <n v="11630"/>
    <n v="837360"/>
    <n v="12909.300000000001"/>
    <n v="929469.60000000009"/>
    <n v="0"/>
    <n v="0"/>
    <n v="0"/>
    <n v="0"/>
    <n v="6.5000000000000058E-2"/>
    <n v="-10874.05"/>
    <e v="#DIV/0!"/>
    <m/>
    <m/>
    <s v="Lama"/>
    <s v="Sama"/>
    <m/>
    <s v="IDR"/>
    <s v="0048"/>
    <s v="48S"/>
    <m/>
    <m/>
    <s v="KRT"/>
    <s v="GD01"/>
    <n v="11611"/>
    <n v="11612"/>
    <m/>
    <n v="1"/>
    <m/>
    <n v="72"/>
  </r>
  <r>
    <s v="G10781010048102"/>
    <n v="2"/>
    <n v="30131010000001"/>
    <x v="192"/>
    <m/>
    <n v="30120030048001"/>
    <m/>
    <m/>
    <x v="6"/>
    <s v="8992745999997"/>
    <x v="5"/>
    <s v="HIT MAT GOODKNIGHT"/>
    <s v="G1078"/>
    <x v="108"/>
    <n v="14"/>
    <s v="HIT MAT GOODKNIGHT REFILL GREEN TEA 48S X 72 PCS"/>
    <n v="48"/>
    <m/>
    <s v="G1"/>
    <s v="HIT"/>
    <s v="07"/>
    <s v="MAT GOODKNIGHT"/>
    <n v="8"/>
    <s v="REFILL"/>
    <s v="1"/>
    <s v="GREEN TEA"/>
    <s v="01"/>
    <s v="48S"/>
    <s v="0048"/>
    <s v="PCS"/>
    <n v="1"/>
    <m/>
    <n v="0"/>
    <m/>
    <m/>
    <m/>
    <n v="30120030048001"/>
    <m/>
    <m/>
    <n v="72"/>
    <n v="10874.05"/>
    <n v="782931.6"/>
    <n v="12070.1955"/>
    <n v="869054.076"/>
    <n v="11630"/>
    <n v="837360"/>
    <n v="12909.300000000001"/>
    <n v="929469.60000000009"/>
    <n v="0"/>
    <n v="0"/>
    <n v="0"/>
    <n v="0"/>
    <n v="6.5000000000000058E-2"/>
    <n v="-10874.05"/>
    <e v="#DIV/0!"/>
    <m/>
    <m/>
    <s v="Lama"/>
    <s v="Sama"/>
    <m/>
    <s v="IDR"/>
    <s v="0048"/>
    <s v="48S"/>
    <m/>
    <m/>
    <s v="KRT"/>
    <s v="GD01"/>
    <n v="11611"/>
    <n v="11612"/>
    <m/>
    <n v="1"/>
    <m/>
    <n v="72"/>
  </r>
  <r>
    <s v="G10781010048103"/>
    <n v="3"/>
    <m/>
    <x v="193"/>
    <s v="HIT MAT GK REFILL 60+6S GREEN TEA NF"/>
    <m/>
    <m/>
    <s v="HIT MAT GK REFILL 60+6S GREEN TEA NF"/>
    <x v="6"/>
    <m/>
    <x v="5"/>
    <s v="HIT MAT GOODKNIGHT"/>
    <s v="G1078"/>
    <x v="108"/>
    <n v="14"/>
    <s v="HIT MAT GOODKNIGHT REFILL GREEN TEA 60S X 72 PCS +6S"/>
    <n v="52"/>
    <m/>
    <s v="G1"/>
    <s v="HIT"/>
    <s v="07"/>
    <s v="MAT GOODKNIGHT"/>
    <n v="8"/>
    <s v="REFILL"/>
    <s v="1"/>
    <s v="GREEN TEA"/>
    <s v="01"/>
    <s v="60S"/>
    <s v="0048"/>
    <s v="PCS"/>
    <n v="1"/>
    <s v="+6S"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8"/>
    <s v="60S"/>
    <m/>
    <m/>
    <s v="KRT"/>
    <s v="GD01"/>
    <n v="11611"/>
    <n v="11612"/>
    <m/>
    <n v="1"/>
    <m/>
    <n v="72"/>
  </r>
  <r>
    <s v="G1078101022510"/>
    <m/>
    <n v="30090020225002"/>
    <x v="194"/>
    <s v="HIT ELECTRIC TIKUS 48 PCS X 225GR+ ALAT&quot;7533&quot;HE02"/>
    <n v="30090020225002"/>
    <n v="0"/>
    <n v="0"/>
    <x v="2"/>
    <n v="0"/>
    <x v="5"/>
    <s v="HIT MAT GOODKNIGHT"/>
    <s v="G1078"/>
    <x v="109"/>
    <n v="14"/>
    <s v="HIT MAT GOODKNIGHT ALAT TIKUS 225GR X 48 PCS"/>
    <n v="44"/>
    <m/>
    <s v="G1"/>
    <s v="HIT"/>
    <s v="07"/>
    <s v="MAT GOODKNIGHT"/>
    <n v="8"/>
    <s v="ALAT"/>
    <s v="1"/>
    <s v="TIKUS"/>
    <s v="01"/>
    <s v="225GR"/>
    <s v="0225"/>
    <s v="PCS"/>
    <n v="1"/>
    <m/>
    <n v="0"/>
    <m/>
    <m/>
    <m/>
    <n v="30090020225002"/>
    <m/>
    <m/>
    <n v="48"/>
    <n v="12865.6"/>
    <n v="617548.80000000005"/>
    <n v="14280.816000000003"/>
    <n v="685479.16800000006"/>
    <n v="13760"/>
    <n v="660480"/>
    <n v="15273.600000000002"/>
    <n v="733132.80000000005"/>
    <n v="0"/>
    <n v="0"/>
    <n v="0"/>
    <n v="0"/>
    <n v="6.4999999999999974E-2"/>
    <n v="-12865.6"/>
    <e v="#DIV/0!"/>
    <m/>
    <m/>
    <s v="Lama"/>
    <s v="Sama"/>
    <m/>
    <s v="IDR"/>
    <s v="0225"/>
    <s v="225GR"/>
    <m/>
    <m/>
    <s v="KRT"/>
    <s v="GD01"/>
    <n v="11611"/>
    <n v="11612"/>
    <m/>
    <n v="1"/>
    <m/>
    <n v="48"/>
  </r>
  <r>
    <s v="G1078105000410"/>
    <m/>
    <m/>
    <x v="195"/>
    <s v="HIT MAT GK REFILL 4S CLASSIC NF"/>
    <m/>
    <n v="0"/>
    <s v="HIT MAT GK REFILL 4S CLASSIC NF"/>
    <x v="10"/>
    <m/>
    <x v="5"/>
    <s v="HIT MAT GOODKNIGHT"/>
    <s v="G1078"/>
    <x v="110"/>
    <n v="14"/>
    <s v="HIT MAT GOODKNIGHT REFILL CLASSIC 4S X 864 PCS"/>
    <n v="46"/>
    <m/>
    <s v="G1"/>
    <s v="HIT"/>
    <s v="07"/>
    <s v="MAT GOODKNIGHT"/>
    <n v="8"/>
    <s v="REFILL"/>
    <s v="1"/>
    <s v="CLASSIC"/>
    <s v="05"/>
    <s v="4S"/>
    <s v="0004"/>
    <s v="PCS"/>
    <n v="1"/>
    <m/>
    <n v="0"/>
    <m/>
    <m/>
    <m/>
    <n v="0"/>
    <m/>
    <m/>
    <n v="864"/>
    <n v="673.2"/>
    <n v="581644.80000000005"/>
    <n v="747.25200000000007"/>
    <n v="645625.72800000012"/>
    <n v="720"/>
    <n v="622080"/>
    <n v="799.2"/>
    <n v="690508.80000000005"/>
    <n v="0"/>
    <n v="0"/>
    <n v="0"/>
    <n v="0"/>
    <n v="6.4999999999999933E-2"/>
    <n v="-673.2"/>
    <e v="#DIV/0!"/>
    <m/>
    <m/>
    <s v="Lama"/>
    <s v="Sama"/>
    <m/>
    <s v="IDR"/>
    <s v="0004"/>
    <s v="4S"/>
    <m/>
    <m/>
    <s v="KRT"/>
    <s v="GD01"/>
    <n v="11611"/>
    <n v="11612"/>
    <m/>
    <n v="1"/>
    <m/>
    <n v="864"/>
  </r>
  <r>
    <s v="G1079001001011"/>
    <m/>
    <n v="30140030010001"/>
    <x v="196"/>
    <s v="HIT ONE PUSH G.TEA 48 PCS X 10ML BGF&quot;34916&quot;HOP05"/>
    <n v="30140030010001"/>
    <n v="0"/>
    <n v="0"/>
    <x v="2"/>
    <n v="0"/>
    <x v="5"/>
    <s v="HIT ONE PUSH"/>
    <s v="G1079"/>
    <x v="111"/>
    <n v="14"/>
    <s v="HIT ONE PUSH GREEN TEA 10ML X 48 PCS BOGOF"/>
    <n v="42"/>
    <m/>
    <s v="G1"/>
    <s v="HIT"/>
    <s v="07"/>
    <s v="ONE PUSH"/>
    <n v="9"/>
    <m/>
    <s v="0"/>
    <s v="GREEN TEA"/>
    <s v="01"/>
    <s v="10ML"/>
    <s v="0010"/>
    <s v="PCS"/>
    <n v="1"/>
    <s v="BOGOF"/>
    <n v="1"/>
    <m/>
    <m/>
    <m/>
    <n v="30140030010001"/>
    <m/>
    <m/>
    <n v="48"/>
    <n v="19167.5"/>
    <n v="920040"/>
    <n v="21275.925000000003"/>
    <n v="1021244.4000000001"/>
    <n v="20500"/>
    <n v="984000"/>
    <n v="22755.000000000004"/>
    <n v="1092240"/>
    <n v="0"/>
    <n v="0"/>
    <n v="0"/>
    <n v="0"/>
    <n v="6.5000000000000002E-2"/>
    <n v="-19167.5"/>
    <e v="#DIV/0!"/>
    <m/>
    <m/>
    <s v="Lama"/>
    <s v="Sama"/>
    <m/>
    <s v="IDR"/>
    <s v="0010"/>
    <s v="10ML"/>
    <m/>
    <m/>
    <s v="KRT"/>
    <s v="GD01"/>
    <n v="11611"/>
    <n v="11612"/>
    <m/>
    <n v="1"/>
    <m/>
    <n v="48"/>
  </r>
  <r>
    <s v="G1079002001010"/>
    <m/>
    <n v="30140050010000"/>
    <x v="197"/>
    <s v="HIT ONE PUSH ORANGE 48 PCS X 10ML &quot;34915&quot;HOP09"/>
    <n v="30140050010000"/>
    <n v="0"/>
    <n v="0"/>
    <x v="2"/>
    <n v="0"/>
    <x v="5"/>
    <s v="HIT ONE PUSH"/>
    <s v="G1079"/>
    <x v="112"/>
    <n v="14"/>
    <s v="HIT ONE PUSH ORANGE 10ML X 48 PCS"/>
    <n v="33"/>
    <m/>
    <s v="G1"/>
    <s v="HIT"/>
    <s v="07"/>
    <s v="ONE PUSH"/>
    <n v="9"/>
    <m/>
    <s v="0"/>
    <s v="ORANGE"/>
    <s v="02"/>
    <s v="10ML"/>
    <s v="0010"/>
    <s v="PCS"/>
    <n v="1"/>
    <m/>
    <n v="0"/>
    <m/>
    <m/>
    <m/>
    <n v="30140050010000"/>
    <m/>
    <m/>
    <n v="48"/>
    <n v="19167.5"/>
    <n v="920040"/>
    <n v="21275.925000000003"/>
    <n v="1021244.4000000001"/>
    <n v="20500"/>
    <n v="984000"/>
    <n v="22755.000000000004"/>
    <n v="1092240"/>
    <n v="0"/>
    <n v="0"/>
    <n v="0"/>
    <n v="0"/>
    <n v="6.5000000000000002E-2"/>
    <n v="-19167.5"/>
    <e v="#DIV/0!"/>
    <m/>
    <m/>
    <s v="Lama"/>
    <s v="Sama"/>
    <m/>
    <s v="IDR"/>
    <s v="0010"/>
    <s v="10ML"/>
    <m/>
    <m/>
    <s v="KRT"/>
    <s v="GD01"/>
    <n v="11611"/>
    <n v="11612"/>
    <m/>
    <n v="1"/>
    <m/>
    <n v="48"/>
  </r>
  <r>
    <s v="G1079002001011"/>
    <m/>
    <n v="30140050010001"/>
    <x v="198"/>
    <s v="HIT ONE PUSH ORANGE 48 PCS X 10ML BGF&quot;20719&quot;HOP10"/>
    <n v="30140050010001"/>
    <n v="0"/>
    <n v="0"/>
    <x v="2"/>
    <n v="0"/>
    <x v="5"/>
    <s v="HIT ONE PUSH"/>
    <s v="G1079"/>
    <x v="113"/>
    <n v="14"/>
    <s v="HIT ONE PUSH ORANGE 10ML X 48 PCS BOGOF"/>
    <n v="39"/>
    <m/>
    <s v="G1"/>
    <s v="HIT"/>
    <s v="07"/>
    <s v="ONE PUSH"/>
    <n v="9"/>
    <m/>
    <s v="0"/>
    <s v="ORANGE"/>
    <s v="02"/>
    <s v="10ML"/>
    <s v="0010"/>
    <s v="PCS"/>
    <n v="1"/>
    <s v="BOGOF"/>
    <n v="1"/>
    <m/>
    <m/>
    <m/>
    <n v="30140050010001"/>
    <m/>
    <m/>
    <n v="48"/>
    <n v="19167.5"/>
    <n v="920040"/>
    <n v="21275.925000000003"/>
    <n v="1021244.4000000001"/>
    <n v="20500"/>
    <n v="984000"/>
    <n v="22755.000000000004"/>
    <n v="1092240"/>
    <n v="0"/>
    <n v="0"/>
    <n v="0"/>
    <n v="0"/>
    <n v="6.5000000000000002E-2"/>
    <n v="-19167.5"/>
    <e v="#DIV/0!"/>
    <m/>
    <m/>
    <s v="Lama"/>
    <s v="Sama"/>
    <m/>
    <s v="IDR"/>
    <s v="0010"/>
    <s v="10ML"/>
    <m/>
    <m/>
    <s v="KRT"/>
    <s v="GD01"/>
    <n v="11611"/>
    <n v="11612"/>
    <m/>
    <n v="1"/>
    <m/>
    <n v="48"/>
  </r>
  <r>
    <s v="G1079001001011"/>
    <m/>
    <m/>
    <x v="199"/>
    <m/>
    <m/>
    <m/>
    <m/>
    <x v="2"/>
    <m/>
    <x v="5"/>
    <s v="HIT ONE PUSH"/>
    <s v="G1079"/>
    <x v="111"/>
    <n v="14"/>
    <s v="HIT ONE PUSH GREEN TEA 10ML X 48 PCS BOGOF"/>
    <n v="42"/>
    <m/>
    <s v="G1"/>
    <s v="HIT"/>
    <s v="07"/>
    <s v="ONE PUSH"/>
    <n v="9"/>
    <m/>
    <s v="0"/>
    <s v="GREEN TEA"/>
    <s v="01"/>
    <s v="10ML"/>
    <s v="0010"/>
    <s v="PCS"/>
    <n v="1"/>
    <s v="BOGOF"/>
    <n v="1"/>
    <m/>
    <m/>
    <m/>
    <n v="0"/>
    <m/>
    <m/>
    <n v="48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10"/>
    <s v="10ML"/>
    <m/>
    <m/>
    <s v="KRT"/>
    <s v="GD01"/>
    <n v="11611"/>
    <n v="11612"/>
    <m/>
    <n v="1"/>
    <m/>
    <n v="48"/>
  </r>
  <r>
    <s v="G1081001003010"/>
    <m/>
    <n v="30180030030000"/>
    <x v="200"/>
    <s v="KLINPAK ALU FOIL REG 5M 12 PCS X 30CM 49588 KAF05"/>
    <n v="30180030030000"/>
    <n v="0"/>
    <s v="KLINPAK ALUMINIUM FOIL 5m x 30cm."/>
    <x v="3"/>
    <s v="8992745000068"/>
    <x v="5"/>
    <s v="KLINPAK ALUMINIUM FOIL"/>
    <s v="G1081"/>
    <x v="114"/>
    <n v="14"/>
    <s v="KLINPAK ALUMINIUM FOIL 5M 30CM X 12 PCS"/>
    <n v="39"/>
    <m/>
    <s v="G1"/>
    <s v="KLINPAK"/>
    <s v="08"/>
    <s v="ALUMINIUM FOIL"/>
    <n v="1"/>
    <m/>
    <s v="0"/>
    <s v="5M"/>
    <s v="01"/>
    <s v="30CM"/>
    <s v="0030"/>
    <s v="PCS"/>
    <n v="1"/>
    <m/>
    <n v="0"/>
    <m/>
    <m/>
    <m/>
    <n v="30180030030000"/>
    <m/>
    <m/>
    <n v="12"/>
    <n v="18204.45"/>
    <n v="218453.40000000002"/>
    <n v="20206.939500000004"/>
    <n v="242483.27400000003"/>
    <n v="19470"/>
    <n v="233640"/>
    <n v="21611.7"/>
    <n v="259340.40000000002"/>
    <n v="0"/>
    <n v="0"/>
    <n v="0"/>
    <n v="0"/>
    <n v="6.4999999999999961E-2"/>
    <n v="-18204.45"/>
    <e v="#DIV/0!"/>
    <m/>
    <m/>
    <s v="Lama"/>
    <s v="Sama"/>
    <m/>
    <s v="IDR"/>
    <s v="0030"/>
    <s v="30CM"/>
    <m/>
    <m/>
    <s v="KRT"/>
    <s v="GD01"/>
    <n v="11611"/>
    <n v="11612"/>
    <m/>
    <n v="1"/>
    <m/>
    <n v="12"/>
  </r>
  <r>
    <s v="G1081002003010"/>
    <m/>
    <n v="30180020045000"/>
    <x v="201"/>
    <s v="KLINPAK ALU FOIL REG 12 PCS X 30CM 8320 KAF01"/>
    <n v="30180010030000"/>
    <n v="0"/>
    <s v="KLINPAK Aluminium Foil"/>
    <x v="3"/>
    <s v="8992749770356"/>
    <x v="5"/>
    <s v="KLINPAK ALUMINIUM FOIL"/>
    <s v="G1081"/>
    <x v="115"/>
    <n v="14"/>
    <s v="KLINPAK ALUMINIUM FOIL REGULER 30CM X 12 PCS"/>
    <n v="44"/>
    <m/>
    <s v="G1"/>
    <s v="KLINPAK"/>
    <s v="08"/>
    <s v="ALUMINIUM FOIL"/>
    <n v="1"/>
    <m/>
    <s v="0"/>
    <s v="REGULER"/>
    <s v="02"/>
    <s v="30CM"/>
    <s v="0030"/>
    <s v="PCS"/>
    <n v="1"/>
    <m/>
    <n v="0"/>
    <m/>
    <m/>
    <m/>
    <n v="30180010030000"/>
    <m/>
    <m/>
    <n v="12"/>
    <n v="26273.5"/>
    <n v="315282"/>
    <n v="29163.585000000003"/>
    <n v="349963.02"/>
    <n v="28100"/>
    <n v="337200"/>
    <n v="31191.000000000004"/>
    <n v="374292.00000000006"/>
    <n v="0"/>
    <n v="0"/>
    <n v="0"/>
    <n v="0"/>
    <n v="6.5000000000000002E-2"/>
    <n v="-26273.5"/>
    <e v="#DIV/0!"/>
    <m/>
    <m/>
    <s v="Lama"/>
    <s v="Sama"/>
    <m/>
    <s v="IDR"/>
    <s v="0030"/>
    <s v="30CM"/>
    <m/>
    <m/>
    <s v="KRT"/>
    <s v="GD01"/>
    <n v="11611"/>
    <n v="11612"/>
    <m/>
    <n v="1"/>
    <m/>
    <n v="12"/>
  </r>
  <r>
    <s v="G1081002004510"/>
    <m/>
    <n v="30181010030000"/>
    <x v="202"/>
    <s v="KLINPAK ALU FOIL JUMBO 12 PCS X 45CM 8322 KAF02"/>
    <n v="30180020045000"/>
    <n v="0"/>
    <s v="KLINPAK Aluminium Foil Jumbo"/>
    <x v="3"/>
    <s v="8992749770370"/>
    <x v="5"/>
    <s v="KLINPAK ALUMINIUM FOIL"/>
    <s v="G1081"/>
    <x v="116"/>
    <n v="14"/>
    <s v="KLINPAK ALUMINIUM FOIL JUMBO 45CM X 12 PCS"/>
    <n v="42"/>
    <m/>
    <s v="G1"/>
    <s v="KLINPAK"/>
    <s v="08"/>
    <s v="ALUMINIUM FOIL"/>
    <n v="1"/>
    <m/>
    <s v="0"/>
    <s v="JUMBO"/>
    <s v="02"/>
    <s v="45CM"/>
    <s v="0045"/>
    <s v="PCS"/>
    <n v="1"/>
    <m/>
    <n v="0"/>
    <m/>
    <m/>
    <m/>
    <n v="30180020045000"/>
    <m/>
    <m/>
    <n v="12"/>
    <n v="32883.949999999997"/>
    <n v="394607.39999999997"/>
    <n v="36501.184500000003"/>
    <n v="438014.21399999998"/>
    <n v="35170"/>
    <n v="422040"/>
    <n v="39038.700000000004"/>
    <n v="468464.4"/>
    <n v="0"/>
    <n v="0"/>
    <n v="0"/>
    <n v="0"/>
    <n v="6.5000000000000085E-2"/>
    <n v="-32883.949999999997"/>
    <e v="#DIV/0!"/>
    <m/>
    <m/>
    <s v="Lama"/>
    <s v="Sama"/>
    <m/>
    <s v="IDR"/>
    <s v="0045"/>
    <s v="45CM"/>
    <m/>
    <m/>
    <s v="KRT"/>
    <s v="GD01"/>
    <n v="11611"/>
    <n v="11612"/>
    <m/>
    <n v="1"/>
    <m/>
    <n v="12"/>
  </r>
  <r>
    <s v="G1081101003010"/>
    <m/>
    <n v="30150010300000"/>
    <x v="203"/>
    <s v="KLINPAK ALU FOIL REF REG 24 PCS X 30CM 8321 KAF03"/>
    <n v="30181010030000"/>
    <n v="0"/>
    <s v="Klinpak A Foil Refill Reg. 8mx"/>
    <x v="5"/>
    <s v="8992749770363"/>
    <x v="5"/>
    <s v="KLINPAK ALUMINIUM FOIL"/>
    <s v="G1081"/>
    <x v="117"/>
    <n v="14"/>
    <s v="KLINPAK ALUMINIUM FOIL REFILL JUMBO 30CM X 24 PCS"/>
    <n v="49"/>
    <m/>
    <s v="G1"/>
    <s v="KLINPAK"/>
    <s v="08"/>
    <s v="ALUMINIUM FOIL"/>
    <n v="1"/>
    <s v="REFILL"/>
    <s v="1"/>
    <s v="JUMBO"/>
    <s v="01"/>
    <s v="30CM"/>
    <s v="0030"/>
    <s v="PCS"/>
    <n v="1"/>
    <m/>
    <n v="0"/>
    <m/>
    <m/>
    <m/>
    <n v="30181010030000"/>
    <m/>
    <m/>
    <n v="24"/>
    <n v="18924.400000000001"/>
    <n v="454185.60000000003"/>
    <n v="21006.084000000003"/>
    <n v="504146.01600000006"/>
    <n v="20240"/>
    <n v="485760"/>
    <n v="22466.400000000001"/>
    <n v="539193.60000000009"/>
    <n v="0"/>
    <n v="0"/>
    <n v="0"/>
    <n v="0"/>
    <n v="6.4999999999999933E-2"/>
    <n v="-18924.400000000001"/>
    <e v="#DIV/0!"/>
    <m/>
    <m/>
    <s v="Lama"/>
    <s v="Sama"/>
    <m/>
    <s v="IDR"/>
    <s v="0030"/>
    <s v="30CM"/>
    <m/>
    <m/>
    <s v="KRT"/>
    <s v="GD01"/>
    <n v="11611"/>
    <n v="11612"/>
    <m/>
    <n v="1"/>
    <m/>
    <n v="24"/>
  </r>
  <r>
    <s v="G1081001002810"/>
    <m/>
    <m/>
    <x v="204"/>
    <s v="KLINPAK ZIPBAG EASY SLIDER MEDIUM 27x28"/>
    <m/>
    <m/>
    <s v="KLINPAK ZIPBAG EASY SLIDER MEDIUM 27x28"/>
    <x v="3"/>
    <m/>
    <x v="5"/>
    <s v="KLINPAK ZIPLOCK"/>
    <s v="G1081"/>
    <x v="118"/>
    <n v="14"/>
    <s v="KLINPAK ZIPLOCK S.MEDIUM 28CM X 12 PCS"/>
    <n v="38"/>
    <m/>
    <s v="G1"/>
    <s v="KLINPAK"/>
    <s v="08"/>
    <s v="ZIPLOCK"/>
    <n v="1"/>
    <m/>
    <s v="0"/>
    <s v="S.MEDIUM"/>
    <s v="01"/>
    <s v="28CM"/>
    <s v="0028"/>
    <s v="PCS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28"/>
    <s v="28CM"/>
    <m/>
    <m/>
    <s v="KRT"/>
    <s v="GD01"/>
    <n v="11611"/>
    <n v="11612"/>
    <m/>
    <n v="1"/>
    <m/>
    <n v="12"/>
  </r>
  <r>
    <s v="G1081101004510"/>
    <m/>
    <n v="30180010030000"/>
    <x v="205"/>
    <s v="KLINPAK ALU FOIL REF JUMBO 24 PCSX45CM 8323 KAF04"/>
    <n v="30181020045000"/>
    <n v="0"/>
    <s v="KLINPAK Alum Foil Refil Jumbo"/>
    <x v="5"/>
    <s v="8992742770384"/>
    <x v="5"/>
    <s v="KLINPAK ALUMINIUM FOIL"/>
    <s v="G1081"/>
    <x v="119"/>
    <n v="14"/>
    <s v="KLINPAK ALUMINIUM FOIL REFILL JUMBO 45CM X 24 PCS"/>
    <n v="49"/>
    <m/>
    <s v="G1"/>
    <s v="KLINPAK"/>
    <s v="08"/>
    <s v="ALUMINIUM FOIL"/>
    <n v="1"/>
    <s v="REFILL"/>
    <s v="1"/>
    <s v="JUMBO"/>
    <s v="01"/>
    <s v="45CM"/>
    <s v="0045"/>
    <s v="PCS"/>
    <n v="1"/>
    <m/>
    <n v="0"/>
    <m/>
    <m/>
    <m/>
    <n v="30181020045000"/>
    <m/>
    <m/>
    <n v="24"/>
    <n v="27311.35"/>
    <n v="655472.39999999991"/>
    <n v="30315.5985"/>
    <n v="727574.36399999994"/>
    <n v="29210"/>
    <n v="701040"/>
    <n v="32423.100000000002"/>
    <n v="778154.4"/>
    <n v="0"/>
    <n v="0"/>
    <n v="0"/>
    <n v="0"/>
    <n v="6.5000000000000044E-2"/>
    <n v="-27311.35"/>
    <e v="#DIV/0!"/>
    <m/>
    <m/>
    <s v="Lama"/>
    <s v="Sama"/>
    <m/>
    <s v="IDR"/>
    <s v="0045"/>
    <s v="45CM"/>
    <m/>
    <m/>
    <s v="KRT"/>
    <s v="GD01"/>
    <n v="11611"/>
    <n v="11612"/>
    <m/>
    <n v="1"/>
    <m/>
    <n v="24"/>
  </r>
  <r>
    <s v="G1082001004510"/>
    <m/>
    <n v="30191010030000"/>
    <x v="206"/>
    <s v="KLINPAK CLING WRAP BIG 6 PCS X 45CM 8330 KCW05"/>
    <n v="30190030045000"/>
    <n v="0"/>
    <s v="KLINPAK CW Big Roll 500mx45cm"/>
    <x v="4"/>
    <s v="8992742770704"/>
    <x v="5"/>
    <s v="KLINPAK CLING WRAP"/>
    <s v="G1082"/>
    <x v="120"/>
    <n v="14"/>
    <s v="KLINPAK CLING WRAP BIG 45CM X 6 PCS"/>
    <n v="35"/>
    <m/>
    <s v="G1"/>
    <s v="KLINPAK"/>
    <s v="08"/>
    <s v="CLING WRAP"/>
    <n v="2"/>
    <m/>
    <s v="0"/>
    <s v="BIG"/>
    <s v="01"/>
    <s v="45CM"/>
    <s v="0045"/>
    <s v="PCS"/>
    <n v="1"/>
    <m/>
    <n v="0"/>
    <m/>
    <m/>
    <m/>
    <n v="30190030045000"/>
    <m/>
    <m/>
    <n v="6"/>
    <n v="207317.55"/>
    <n v="1243905.2999999998"/>
    <n v="230122.48050000001"/>
    <n v="1380734.8829999999"/>
    <n v="221730"/>
    <n v="1330380"/>
    <n v="246120.30000000002"/>
    <n v="1476721.8"/>
    <n v="0"/>
    <n v="0"/>
    <n v="0"/>
    <n v="0"/>
    <n v="6.5000000000000058E-2"/>
    <n v="-207317.55"/>
    <e v="#DIV/0!"/>
    <m/>
    <m/>
    <s v="Lama"/>
    <s v="Sama"/>
    <m/>
    <s v="IDR"/>
    <s v="0045"/>
    <s v="45CM"/>
    <m/>
    <m/>
    <s v="KRT"/>
    <s v="GD01"/>
    <n v="11611"/>
    <n v="11612"/>
    <m/>
    <n v="1"/>
    <m/>
    <n v="6"/>
  </r>
  <r>
    <s v="G1082002003810"/>
    <m/>
    <n v="30190010030000"/>
    <x v="207"/>
    <s v="KLINPAK CWRAP JUMBO 12 X 38CM 8327 KCW02"/>
    <n v="30190020038000"/>
    <n v="0"/>
    <s v="KLINPAK Cling Wrap Jumbo"/>
    <x v="3"/>
    <s v="8992749770325"/>
    <x v="5"/>
    <s v="KLINPAK CLING WRAP"/>
    <s v="G1082"/>
    <x v="121"/>
    <n v="14"/>
    <s v="KLINPAK CLING WRAP JUMBO 38CM X 12 PCS"/>
    <n v="38"/>
    <m/>
    <s v="G1"/>
    <s v="KLINPAK"/>
    <s v="08"/>
    <s v="CLING WRAP"/>
    <n v="2"/>
    <m/>
    <s v="0"/>
    <s v="JUMBO"/>
    <s v="02"/>
    <s v="38CM"/>
    <s v="0038"/>
    <s v="PCS"/>
    <n v="1"/>
    <m/>
    <n v="0"/>
    <m/>
    <m/>
    <m/>
    <n v="30190020038000"/>
    <m/>
    <m/>
    <n v="12"/>
    <n v="33370.15"/>
    <n v="400441.80000000005"/>
    <n v="37040.866500000004"/>
    <n v="444490.3980000001"/>
    <n v="35690"/>
    <n v="428280"/>
    <n v="39615.9"/>
    <n v="475390.80000000005"/>
    <n v="0"/>
    <n v="0"/>
    <n v="0"/>
    <n v="0"/>
    <n v="6.4999999999999961E-2"/>
    <n v="-33370.15"/>
    <e v="#DIV/0!"/>
    <m/>
    <m/>
    <s v="Lama"/>
    <s v="Sama"/>
    <m/>
    <s v="IDR"/>
    <s v="0038"/>
    <s v="38CM"/>
    <m/>
    <m/>
    <s v="KRT"/>
    <s v="GD01"/>
    <n v="11611"/>
    <n v="11612"/>
    <m/>
    <n v="1"/>
    <m/>
    <n v="12"/>
  </r>
  <r>
    <s v="G1082003003010"/>
    <m/>
    <n v="30181020045000"/>
    <x v="208"/>
    <s v="KLINPAK CWRAP REG 12 X 30CM 8325 KCW01"/>
    <n v="30190010030000"/>
    <n v="0"/>
    <s v="KLINPAK Cling Wrap"/>
    <x v="3"/>
    <s v="8992749770301"/>
    <x v="5"/>
    <s v="KLINPAK CLING WRAP"/>
    <s v="G1082"/>
    <x v="122"/>
    <n v="14"/>
    <s v="KLINPAK CLING WRAP REGULER 30CM X 12 PCS"/>
    <n v="40"/>
    <m/>
    <s v="G1"/>
    <s v="KLINPAK"/>
    <s v="08"/>
    <s v="CLING WRAP"/>
    <n v="2"/>
    <m/>
    <s v="0"/>
    <s v="REGULER"/>
    <s v="03"/>
    <s v="30CM"/>
    <s v="0030"/>
    <s v="PCS"/>
    <n v="1"/>
    <m/>
    <n v="0"/>
    <m/>
    <m/>
    <m/>
    <n v="30190010030000"/>
    <m/>
    <m/>
    <n v="12"/>
    <n v="20944"/>
    <n v="251328"/>
    <n v="23247.840000000004"/>
    <n v="278974.08000000002"/>
    <n v="22400"/>
    <n v="268800"/>
    <n v="24864.000000000004"/>
    <n v="298368"/>
    <n v="0"/>
    <n v="0"/>
    <n v="0"/>
    <n v="0"/>
    <n v="6.5000000000000002E-2"/>
    <n v="-20944"/>
    <e v="#DIV/0!"/>
    <m/>
    <m/>
    <s v="Lama"/>
    <s v="Sama"/>
    <m/>
    <s v="IDR"/>
    <s v="0030"/>
    <s v="30CM"/>
    <m/>
    <m/>
    <s v="KRT"/>
    <s v="GD01"/>
    <n v="11611"/>
    <n v="11612"/>
    <m/>
    <n v="1"/>
    <m/>
    <n v="12"/>
  </r>
  <r>
    <s v="G1082101003810"/>
    <m/>
    <n v="30190030045000"/>
    <x v="209"/>
    <s v="KLINPAK CWRAP REF JUMBO 24 X 38CM 8328 KCW04"/>
    <n v="30191020038000"/>
    <n v="0"/>
    <s v="KLINPAK Cling Wrap Refill Jumb"/>
    <x v="5"/>
    <s v="8992742770391"/>
    <x v="5"/>
    <s v="KLINPAK CLING WRAP"/>
    <s v="G1082"/>
    <x v="123"/>
    <n v="14"/>
    <s v="KLINPAK CLING WRAP REFILL JUMBO 38CM X 24 PCS"/>
    <n v="45"/>
    <m/>
    <s v="G1"/>
    <s v="KLINPAK"/>
    <s v="08"/>
    <s v="CLING WRAP"/>
    <n v="2"/>
    <s v="REFILL"/>
    <s v="1"/>
    <s v="JUMBO"/>
    <s v="01"/>
    <s v="38CM"/>
    <s v="0038"/>
    <s v="PCS"/>
    <n v="1"/>
    <m/>
    <n v="0"/>
    <m/>
    <m/>
    <m/>
    <n v="30191020038000"/>
    <m/>
    <m/>
    <n v="24"/>
    <n v="23870.55"/>
    <n v="572893.19999999995"/>
    <n v="26496.310500000003"/>
    <n v="635911.45200000005"/>
    <n v="25530"/>
    <n v="612720"/>
    <n v="28338.300000000003"/>
    <n v="680119.20000000007"/>
    <n v="0"/>
    <n v="0"/>
    <n v="0"/>
    <n v="0"/>
    <n v="6.500000000000003E-2"/>
    <n v="-23870.55"/>
    <e v="#DIV/0!"/>
    <m/>
    <m/>
    <s v="Lama"/>
    <s v="Sama"/>
    <m/>
    <s v="IDR"/>
    <s v="0038"/>
    <s v="38CM"/>
    <m/>
    <m/>
    <s v="KRT"/>
    <s v="GD01"/>
    <n v="11611"/>
    <n v="11612"/>
    <m/>
    <n v="1"/>
    <m/>
    <n v="24"/>
  </r>
  <r>
    <s v="G1082102003010"/>
    <m/>
    <n v="30190020038000"/>
    <x v="210"/>
    <s v="KLINPAK CWRAP REF REG 24 X 30CM 8326 KCW03"/>
    <n v="30191010030000"/>
    <n v="0"/>
    <s v="KLINPAK Cling Wrap Refill"/>
    <x v="5"/>
    <s v="8992749770318"/>
    <x v="5"/>
    <s v="KLINPAK CLING WRAP"/>
    <s v="G1082"/>
    <x v="124"/>
    <n v="14"/>
    <s v="KLINPAK CLING WRAP REFILL REGULER 30CM X 24 PCS"/>
    <n v="47"/>
    <m/>
    <s v="G1"/>
    <s v="KLINPAK"/>
    <s v="08"/>
    <s v="CLING WRAP"/>
    <n v="2"/>
    <s v="REFILL"/>
    <s v="1"/>
    <s v="REGULER"/>
    <s v="02"/>
    <s v="30CM"/>
    <s v="0030"/>
    <s v="PCS"/>
    <n v="1"/>
    <m/>
    <n v="0"/>
    <m/>
    <m/>
    <m/>
    <n v="30191010030000"/>
    <m/>
    <m/>
    <n v="24"/>
    <n v="14679.5"/>
    <n v="352308"/>
    <n v="16294.245000000001"/>
    <n v="391061.88000000006"/>
    <n v="15700"/>
    <n v="376800"/>
    <n v="17427"/>
    <n v="418248.00000000006"/>
    <n v="0"/>
    <n v="0"/>
    <n v="0"/>
    <n v="0"/>
    <n v="6.5000000000000002E-2"/>
    <n v="-14679.5"/>
    <e v="#DIV/0!"/>
    <m/>
    <m/>
    <s v="Lama"/>
    <s v="Sama"/>
    <m/>
    <s v="IDR"/>
    <s v="0030"/>
    <s v="30CM"/>
    <m/>
    <m/>
    <s v="KRT"/>
    <s v="GD01"/>
    <n v="11611"/>
    <n v="11612"/>
    <m/>
    <n v="1"/>
    <m/>
    <n v="24"/>
  </r>
  <r>
    <s v="G1083001010010"/>
    <m/>
    <n v="30191020038000"/>
    <x v="211"/>
    <s v="KLINPAK K. PLASTIK S.GUNA 24 PCS X 38CM 8340 KK01"/>
    <n v="30201010038000"/>
    <n v="0"/>
    <s v="KLINPAK K Plastik Serbaguna"/>
    <x v="5"/>
    <s v="8992749770431"/>
    <x v="5"/>
    <s v="KLINPAK KANTONG PLASTIK"/>
    <s v="G1083"/>
    <x v="125"/>
    <n v="14"/>
    <s v="KLINPAK KANTONG PLASTIK SERBAGUNA 38CM X 24 PCS"/>
    <n v="47"/>
    <m/>
    <s v="G1"/>
    <s v="KLINPAK"/>
    <s v="08"/>
    <s v="KANTONG PLASTIK"/>
    <n v="3"/>
    <m/>
    <s v="0"/>
    <s v="SERBAGUNA"/>
    <s v="01"/>
    <s v="38CM"/>
    <s v="0100"/>
    <s v="PCS"/>
    <n v="1"/>
    <m/>
    <n v="0"/>
    <m/>
    <m/>
    <m/>
    <n v="30201010038000"/>
    <m/>
    <m/>
    <n v="24"/>
    <n v="19017.900000000001"/>
    <n v="456429.60000000003"/>
    <n v="21109.869000000002"/>
    <n v="506636.85600000009"/>
    <n v="20340"/>
    <n v="488160"/>
    <n v="22577.4"/>
    <n v="541857.60000000009"/>
    <n v="0"/>
    <n v="0"/>
    <n v="0"/>
    <n v="0"/>
    <n v="6.4999999999999933E-2"/>
    <n v="-19017.900000000001"/>
    <e v="#DIV/0!"/>
    <m/>
    <m/>
    <s v="Lama"/>
    <s v="Sama"/>
    <m/>
    <s v="IDR"/>
    <s v="0100"/>
    <s v="38CM"/>
    <m/>
    <m/>
    <s v="KRT"/>
    <s v="GD01"/>
    <n v="11611"/>
    <n v="11612"/>
    <m/>
    <n v="1"/>
    <m/>
    <n v="24"/>
  </r>
  <r>
    <s v="G1084001010010"/>
    <m/>
    <n v="30202020050000"/>
    <x v="212"/>
    <s v="KLINPAK K. SAMPAH BESAR 24 PCS X 100CM 8338 KK04"/>
    <n v="30202040100000"/>
    <n v="0"/>
    <s v="KLINPAK K. Sampah Besar 80x100"/>
    <x v="5"/>
    <s v="8992749770523"/>
    <x v="5"/>
    <s v="KLINPAK KANTONG SAMPAH"/>
    <s v="G1084"/>
    <x v="126"/>
    <n v="14"/>
    <s v="KLINPAK KANTONG SAMPAH BESAR 100CM X 24 PCS"/>
    <n v="43"/>
    <m/>
    <s v="G1"/>
    <s v="KLINPAK"/>
    <s v="08"/>
    <s v="KANTONG SAMPAH"/>
    <n v="4"/>
    <m/>
    <s v="0"/>
    <s v="BESAR"/>
    <s v="01"/>
    <s v="100CM"/>
    <s v="0100"/>
    <s v="PCS"/>
    <n v="1"/>
    <m/>
    <n v="0"/>
    <m/>
    <m/>
    <m/>
    <n v="30202040100000"/>
    <m/>
    <m/>
    <n v="24"/>
    <n v="23225.4"/>
    <n v="557409.60000000009"/>
    <n v="25780.194000000003"/>
    <n v="618724.65600000019"/>
    <n v="24840"/>
    <n v="596160"/>
    <n v="27572.400000000001"/>
    <n v="661737.60000000009"/>
    <n v="0"/>
    <n v="0"/>
    <n v="0"/>
    <n v="0"/>
    <n v="6.4999999999999947E-2"/>
    <n v="-23225.4"/>
    <e v="#DIV/0!"/>
    <m/>
    <m/>
    <s v="Lama"/>
    <s v="Sama"/>
    <m/>
    <s v="IDR"/>
    <s v="0100"/>
    <s v="100CM"/>
    <m/>
    <m/>
    <s v="KRT"/>
    <s v="GD01"/>
    <n v="11611"/>
    <n v="11612"/>
    <m/>
    <n v="1"/>
    <m/>
    <n v="24"/>
  </r>
  <r>
    <s v="G1084002012010"/>
    <m/>
    <n v="30202030080000"/>
    <x v="213"/>
    <s v="KLINPAK K. SAMPAH EXT 24 PCS X 120CM 8339 KK05"/>
    <n v="30202050120000"/>
    <n v="0"/>
    <s v="KLINPAK K. Sampah Ext. 100x120"/>
    <x v="5"/>
    <s v="8992749770530"/>
    <x v="5"/>
    <s v="KLINPAK KANTONG SAMPAH"/>
    <s v="G1084"/>
    <x v="127"/>
    <n v="14"/>
    <s v="KLINPAK KANTONG SAMPAH EXTRA 120CM X 24 PCS"/>
    <n v="43"/>
    <m/>
    <s v="G1"/>
    <s v="KLINPAK"/>
    <s v="08"/>
    <s v="KANTONG SAMPAH"/>
    <n v="4"/>
    <m/>
    <s v="0"/>
    <s v="EXTRA"/>
    <s v="02"/>
    <s v="120CM"/>
    <s v="0120"/>
    <s v="PCS"/>
    <n v="1"/>
    <m/>
    <n v="0"/>
    <m/>
    <m/>
    <m/>
    <n v="30202050120000"/>
    <m/>
    <m/>
    <n v="24"/>
    <n v="22215.599999999999"/>
    <n v="533174.39999999991"/>
    <n v="24659.315999999999"/>
    <n v="591823.58399999992"/>
    <n v="23760"/>
    <n v="570240"/>
    <n v="26373.600000000002"/>
    <n v="632966.40000000002"/>
    <n v="0"/>
    <n v="0"/>
    <n v="0"/>
    <n v="0"/>
    <n v="6.5000000000000058E-2"/>
    <n v="-22215.599999999999"/>
    <e v="#DIV/0!"/>
    <m/>
    <m/>
    <s v="Lama"/>
    <s v="Sama"/>
    <m/>
    <s v="IDR"/>
    <s v="0120"/>
    <s v="120CM"/>
    <m/>
    <m/>
    <s v="KRT"/>
    <s v="GD01"/>
    <n v="11611"/>
    <n v="11612"/>
    <m/>
    <n v="1"/>
    <m/>
    <n v="24"/>
  </r>
  <r>
    <s v="G1084003005010"/>
    <m/>
    <n v="30201010038000"/>
    <x v="214"/>
    <s v="KLINPAK K. SAMPAH KECIL 24 PCS X 50CM 8336 KK02"/>
    <n v="30202020050000"/>
    <n v="0"/>
    <s v="KLINPAK K Sampah Kecil 40x50"/>
    <x v="5"/>
    <s v="8992749770509"/>
    <x v="5"/>
    <s v="KLINPAK KANTONG SAMPAH"/>
    <s v="G1084"/>
    <x v="128"/>
    <n v="14"/>
    <s v="KLINPAK KANTONG SAMPAH KECIL 50CM X 24 PCS"/>
    <n v="42"/>
    <m/>
    <s v="G1"/>
    <s v="KLINPAK"/>
    <s v="08"/>
    <s v="KANTONG SAMPAH"/>
    <n v="4"/>
    <m/>
    <s v="0"/>
    <s v="KECIL"/>
    <s v="03"/>
    <s v="50CM"/>
    <s v="0050"/>
    <s v="PCS"/>
    <n v="1"/>
    <m/>
    <n v="0"/>
    <m/>
    <m/>
    <m/>
    <n v="30202020050000"/>
    <m/>
    <m/>
    <n v="24"/>
    <n v="22421.3"/>
    <n v="538111.19999999995"/>
    <n v="24887.643"/>
    <n v="597303.43200000003"/>
    <n v="23980"/>
    <n v="575520"/>
    <n v="26617.800000000003"/>
    <n v="638827.20000000007"/>
    <n v="0"/>
    <n v="0"/>
    <n v="0"/>
    <n v="0"/>
    <n v="6.500000000000003E-2"/>
    <n v="-22421.3"/>
    <e v="#DIV/0!"/>
    <m/>
    <m/>
    <s v="Lama"/>
    <s v="Sama"/>
    <m/>
    <s v="IDR"/>
    <s v="0050"/>
    <s v="50CM"/>
    <m/>
    <m/>
    <s v="KRT"/>
    <s v="GD01"/>
    <n v="11611"/>
    <n v="11612"/>
    <m/>
    <n v="1"/>
    <m/>
    <n v="24"/>
  </r>
  <r>
    <s v="G1084004008010"/>
    <m/>
    <n v="30202040100000"/>
    <x v="215"/>
    <s v="KLINPAK K. SAMPAH SEDANG 24 PCS X 80CM 8337 KK03"/>
    <n v="30202030080000"/>
    <n v="0"/>
    <s v="KLINPAK K. Sampah Sedang 60x80"/>
    <x v="5"/>
    <s v="8992749770516"/>
    <x v="5"/>
    <s v="KLINPAK KANTONG SAMPAH"/>
    <s v="G1084"/>
    <x v="129"/>
    <n v="14"/>
    <s v="KLINPAK KANTONG SAMPAH SEDANG 80CM X 24 PCS"/>
    <n v="43"/>
    <m/>
    <s v="G1"/>
    <s v="KLINPAK"/>
    <s v="08"/>
    <s v="KANTONG SAMPAH"/>
    <n v="4"/>
    <m/>
    <s v="0"/>
    <s v="SEDANG"/>
    <s v="04"/>
    <s v="80CM"/>
    <s v="0080"/>
    <s v="PCS"/>
    <n v="1"/>
    <m/>
    <n v="0"/>
    <m/>
    <m/>
    <m/>
    <n v="30202030080000"/>
    <m/>
    <m/>
    <n v="24"/>
    <n v="21916.400000000001"/>
    <n v="525993.60000000009"/>
    <n v="24327.204000000005"/>
    <n v="583852.89600000018"/>
    <n v="23440"/>
    <n v="562560"/>
    <n v="26018.400000000001"/>
    <n v="624441.60000000009"/>
    <n v="0"/>
    <n v="0"/>
    <n v="0"/>
    <n v="0"/>
    <n v="6.4999999999999933E-2"/>
    <n v="-21916.400000000001"/>
    <e v="#DIV/0!"/>
    <m/>
    <m/>
    <s v="Lama"/>
    <s v="Sama"/>
    <m/>
    <s v="IDR"/>
    <s v="0080"/>
    <s v="80CM"/>
    <m/>
    <m/>
    <s v="KRT"/>
    <s v="GD01"/>
    <n v="11611"/>
    <n v="11612"/>
    <m/>
    <n v="1"/>
    <m/>
    <n v="24"/>
  </r>
  <r>
    <s v="G1091001005011"/>
    <m/>
    <n v="30341010010000"/>
    <x v="216"/>
    <s v="MITUB GPP BLUE LILY 24 PCS X 50S BGF 27244 MGPP04"/>
    <n v="30240040050001"/>
    <n v="0"/>
    <s v="MITU BABY WIPES GPP BLUE LILY 50'S BOGOF"/>
    <x v="5"/>
    <s v="8992745540823"/>
    <x v="5"/>
    <s v="MITU BABY GANTI POPOK"/>
    <s v="G1091"/>
    <x v="130"/>
    <n v="14"/>
    <s v="MITU BABY GANTI POPOK BLUE LILY 50S X 24 PCS BOGOF"/>
    <n v="50"/>
    <m/>
    <s v="G1"/>
    <s v="MITU BABY"/>
    <s v="09"/>
    <s v="GANTI POPOK"/>
    <n v="1"/>
    <m/>
    <s v="0"/>
    <s v="BLUE LILY"/>
    <s v="01"/>
    <s v="50S"/>
    <s v="0050"/>
    <s v="PCS"/>
    <n v="1"/>
    <s v="BOGOF"/>
    <n v="1"/>
    <m/>
    <m/>
    <m/>
    <n v="30240040050001"/>
    <m/>
    <m/>
    <n v="24"/>
    <n v="9882.9500000000007"/>
    <n v="237190.80000000002"/>
    <n v="10970.074500000002"/>
    <n v="263281.78800000006"/>
    <n v="10570"/>
    <n v="253680"/>
    <n v="11732.7"/>
    <n v="281584.80000000005"/>
    <n v="0"/>
    <n v="0"/>
    <n v="0"/>
    <n v="0"/>
    <n v="6.4999999999999933E-2"/>
    <n v="-9882.9500000000007"/>
    <e v="#DIV/0!"/>
    <m/>
    <m/>
    <s v="Lama"/>
    <s v="Sama"/>
    <m/>
    <s v="IDR"/>
    <s v="0050"/>
    <s v="50S"/>
    <m/>
    <m/>
    <s v="KRT"/>
    <s v="GD01"/>
    <n v="11611"/>
    <n v="11612"/>
    <m/>
    <n v="1"/>
    <m/>
    <n v="24"/>
  </r>
  <r>
    <s v="G1091002005011"/>
    <m/>
    <n v="30342010090010"/>
    <x v="217"/>
    <s v="MITUB GPP PINK ROSE 24 PCS X 50S BGF 27245 MGPP01"/>
    <n v="30240010050001"/>
    <n v="0"/>
    <s v="MITU BABY WIPES GPP PINK ROSE 50'S BOGOF"/>
    <x v="5"/>
    <s v="8992745540830"/>
    <x v="5"/>
    <s v="MITU BABY GANTI POPOK"/>
    <s v="G1091"/>
    <x v="131"/>
    <n v="14"/>
    <s v="MITU BABY GANTI POPOK PINK ROSE 50S X 24 PCS BOGOF"/>
    <n v="50"/>
    <m/>
    <s v="G1"/>
    <s v="MITU BABY"/>
    <s v="09"/>
    <s v="GANTI POPOK"/>
    <n v="1"/>
    <m/>
    <s v="0"/>
    <s v="PINK ROSE"/>
    <s v="02"/>
    <s v="50S"/>
    <s v="0050"/>
    <s v="PCS"/>
    <n v="1"/>
    <s v="BOGOF"/>
    <n v="1"/>
    <m/>
    <m/>
    <m/>
    <n v="30240010050001"/>
    <m/>
    <m/>
    <n v="24"/>
    <n v="9882.9500000000007"/>
    <n v="237190.80000000002"/>
    <n v="10970.074500000002"/>
    <n v="263281.78800000006"/>
    <n v="10570"/>
    <n v="253680"/>
    <n v="11732.7"/>
    <n v="281584.80000000005"/>
    <n v="0"/>
    <n v="0"/>
    <n v="0"/>
    <n v="0"/>
    <n v="6.4999999999999933E-2"/>
    <n v="-9882.9500000000007"/>
    <e v="#DIV/0!"/>
    <m/>
    <m/>
    <s v="Lama"/>
    <s v="Sama"/>
    <m/>
    <s v="IDR"/>
    <s v="0050"/>
    <s v="50S"/>
    <m/>
    <m/>
    <s v="KRT"/>
    <s v="GD01"/>
    <n v="11611"/>
    <n v="11612"/>
    <m/>
    <n v="1"/>
    <m/>
    <n v="24"/>
  </r>
  <r>
    <s v="G1091003005011"/>
    <m/>
    <n v="30342030090010"/>
    <x v="218"/>
    <s v="MITUB GPP PURPLE FR 24 PCS X 50S BGF 27246 MGPP02"/>
    <n v="30240020050001"/>
    <n v="0"/>
    <s v="MITU BABY WIPES GPP PURPLE FR 50'S BOGOF"/>
    <x v="5"/>
    <s v="8992745545088"/>
    <x v="5"/>
    <s v="MITU BABY GANTI POPOK"/>
    <s v="G1091"/>
    <x v="132"/>
    <n v="14"/>
    <s v="MITU BABY GANTI POPOK PURPLE 50S X 24 PCS BOGOF"/>
    <n v="47"/>
    <m/>
    <s v="G1"/>
    <s v="MITU BABY"/>
    <s v="09"/>
    <s v="GANTI POPOK"/>
    <n v="1"/>
    <m/>
    <s v="0"/>
    <s v="PURPLE"/>
    <s v="03"/>
    <s v="50S"/>
    <s v="0050"/>
    <s v="PCS"/>
    <n v="1"/>
    <s v="BOGOF"/>
    <n v="1"/>
    <m/>
    <m/>
    <m/>
    <n v="30240020050001"/>
    <m/>
    <m/>
    <n v="24"/>
    <n v="9882.9500000000007"/>
    <n v="237190.80000000002"/>
    <n v="10970.074500000002"/>
    <n v="263281.78800000006"/>
    <n v="10570"/>
    <n v="253680"/>
    <n v="11732.7"/>
    <n v="281584.80000000005"/>
    <n v="0"/>
    <n v="0"/>
    <n v="0"/>
    <n v="0"/>
    <n v="6.4999999999999933E-2"/>
    <n v="-9882.9500000000007"/>
    <e v="#DIV/0!"/>
    <m/>
    <m/>
    <s v="Lama"/>
    <s v="Sama"/>
    <m/>
    <s v="IDR"/>
    <s v="0050"/>
    <s v="50S"/>
    <m/>
    <m/>
    <s v="KRT"/>
    <s v="GD01"/>
    <n v="11611"/>
    <n v="11612"/>
    <m/>
    <n v="1"/>
    <m/>
    <n v="24"/>
  </r>
  <r>
    <s v="G1091004005011"/>
    <m/>
    <n v="30351010022022"/>
    <x v="219"/>
    <s v="MITUB GPP WHITE 24 PCS X 50S BGF 27248 MGPP03"/>
    <n v="30240030050001"/>
    <n v="0"/>
    <s v="MITU BABY WIPES GPP WHITE VL 50'S BOGOF"/>
    <x v="5"/>
    <s v="8992745550396"/>
    <x v="5"/>
    <s v="MITU BABY GANTI POPOK"/>
    <s v="G1091"/>
    <x v="133"/>
    <n v="14"/>
    <s v="MITU BABY GANTI POPOK WHITE 50S X 24 PCS BOGOF"/>
    <n v="46"/>
    <m/>
    <s v="G1"/>
    <s v="MITU BABY"/>
    <s v="09"/>
    <s v="GANTI POPOK"/>
    <n v="1"/>
    <m/>
    <s v="0"/>
    <s v="WHITE"/>
    <s v="04"/>
    <s v="50S"/>
    <s v="0050"/>
    <s v="PCS"/>
    <n v="1"/>
    <s v="BOGOF"/>
    <n v="1"/>
    <m/>
    <m/>
    <m/>
    <n v="30240030050001"/>
    <m/>
    <m/>
    <n v="24"/>
    <n v="9882.9500000000007"/>
    <n v="237190.80000000002"/>
    <n v="10970.074500000002"/>
    <n v="263281.78800000006"/>
    <n v="10570"/>
    <n v="253680"/>
    <n v="11732.7"/>
    <n v="281584.80000000005"/>
    <n v="0"/>
    <n v="0"/>
    <n v="0"/>
    <n v="0"/>
    <n v="6.4999999999999933E-2"/>
    <n v="-9882.9500000000007"/>
    <e v="#DIV/0!"/>
    <m/>
    <m/>
    <s v="Lama"/>
    <s v="Sama"/>
    <m/>
    <s v="IDR"/>
    <s v="0050"/>
    <s v="50S"/>
    <m/>
    <m/>
    <s v="KRT"/>
    <s v="GD01"/>
    <n v="11611"/>
    <n v="11612"/>
    <m/>
    <n v="1"/>
    <m/>
    <n v="24"/>
  </r>
  <r>
    <s v="G1092001000010"/>
    <m/>
    <n v="30240040050001"/>
    <x v="220"/>
    <s v="MITU BABY GIFT SET ESSENTIAL 24 PACK X 50291 MB01"/>
    <n v="30721010000010"/>
    <n v="0"/>
    <s v="MITU BABY ESSENTIAL GIFT SET"/>
    <x v="5"/>
    <s v="8992745000235"/>
    <x v="11"/>
    <s v="MITU BABY GIFT SET"/>
    <s v="G1092"/>
    <x v="134"/>
    <n v="14"/>
    <s v="MITU BABY GIFT SET ESSENTIAL X 24 PACK"/>
    <n v="38"/>
    <m/>
    <s v="G1"/>
    <s v="MITU BABY"/>
    <s v="09"/>
    <s v="GIFT SET"/>
    <n v="2"/>
    <m/>
    <s v="0"/>
    <s v="ESSENTIAL"/>
    <s v="01"/>
    <m/>
    <s v="0000"/>
    <s v="PACK"/>
    <n v="1"/>
    <m/>
    <n v="0"/>
    <m/>
    <m/>
    <m/>
    <n v="30721010000010"/>
    <m/>
    <m/>
    <n v="24"/>
    <n v="43888.9"/>
    <n v="1053333.6000000001"/>
    <n v="48716.679000000004"/>
    <n v="1169200.2960000003"/>
    <n v="46940"/>
    <n v="1126560"/>
    <n v="52103.4"/>
    <n v="1250481.6000000001"/>
    <n v="0"/>
    <n v="0"/>
    <n v="0"/>
    <n v="0"/>
    <n v="6.4999999999999974E-2"/>
    <n v="-43888.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092002000010"/>
    <m/>
    <n v="30301010200000"/>
    <x v="221"/>
    <s v="MITU BABY GIFT SET PREMIUM 6 PACK X 50313 MB02"/>
    <n v="30721020000010"/>
    <n v="0"/>
    <s v="MITU BABY PREMIUM GIFT SET"/>
    <x v="4"/>
    <s v="8992745000242"/>
    <x v="11"/>
    <s v="MITU BABY GIFT SET"/>
    <s v="G1092"/>
    <x v="135"/>
    <n v="14"/>
    <s v="MITU BABY GIFT SET PREMIUM X 6 PACK"/>
    <n v="35"/>
    <m/>
    <s v="G1"/>
    <s v="MITU BABY"/>
    <s v="09"/>
    <s v="GIFT SET"/>
    <n v="2"/>
    <m/>
    <s v="0"/>
    <s v="PREMIUM"/>
    <s v="02"/>
    <m/>
    <s v="0000"/>
    <s v="PACK"/>
    <n v="1"/>
    <m/>
    <n v="0"/>
    <m/>
    <m/>
    <m/>
    <n v="30721020000010"/>
    <m/>
    <m/>
    <n v="6"/>
    <n v="80410"/>
    <n v="482460"/>
    <n v="89255.1"/>
    <n v="535530.60000000009"/>
    <n v="86000"/>
    <n v="516000"/>
    <n v="95460.000000000015"/>
    <n v="572760"/>
    <n v="0"/>
    <n v="0"/>
    <n v="0"/>
    <n v="0"/>
    <n v="6.5000000000000002E-2"/>
    <n v="-80410"/>
    <e v="#DIV/0!"/>
    <m/>
    <m/>
    <s v="Lama"/>
    <s v="Sama"/>
    <m/>
    <s v="IDR"/>
    <s v="0000"/>
    <n v="0"/>
    <m/>
    <m/>
    <s v="KRT"/>
    <s v="GD01"/>
    <n v="11611"/>
    <n v="11612"/>
    <m/>
    <n v="1"/>
    <m/>
    <n v="6"/>
  </r>
  <r>
    <s v="G1093000000010"/>
    <m/>
    <n v="30280010050001"/>
    <x v="222"/>
    <s v="MITUB PACK 12 BOX X IKG 35995 MBP07"/>
    <n v="30220001001000"/>
    <n v="0"/>
    <s v="MITU BABY PAKET OVAL NEW"/>
    <x v="3"/>
    <s v="8992745326298"/>
    <x v="10"/>
    <s v="MITU BABY PAKET"/>
    <s v="G1093"/>
    <x v="136"/>
    <n v="14"/>
    <s v="MITU BABY PAKET X 12 BOX"/>
    <n v="24"/>
    <m/>
    <s v="G1"/>
    <s v="MITU BABY"/>
    <s v="09"/>
    <s v="PAKET"/>
    <n v="3"/>
    <m/>
    <s v="0"/>
    <m/>
    <s v="00"/>
    <m/>
    <s v="0000"/>
    <s v="BOX"/>
    <n v="1"/>
    <m/>
    <n v="0"/>
    <m/>
    <m/>
    <m/>
    <n v="30220001001000"/>
    <m/>
    <m/>
    <n v="12"/>
    <n v="46338.6"/>
    <n v="556063.19999999995"/>
    <n v="51435.846000000005"/>
    <n v="617230.152"/>
    <n v="49560"/>
    <n v="594720"/>
    <n v="55011.600000000006"/>
    <n v="660139.20000000007"/>
    <n v="0"/>
    <n v="0"/>
    <n v="0"/>
    <n v="0"/>
    <n v="6.500000000000003E-2"/>
    <n v="-46338.6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101001005010"/>
    <m/>
    <n v="30230020100000"/>
    <x v="223"/>
    <s v="MITUB COLG F&amp;C F.GREEN 48 PCS X 50ML 28274 MBC01"/>
    <n v="30230010050000"/>
    <n v="0"/>
    <s v="MITU BABY COLOGNE F&amp;C FRESH GREEN 50ML"/>
    <x v="2"/>
    <s v="8992745326663"/>
    <x v="5"/>
    <s v="MITU BABY COLOGNE F&amp;C"/>
    <s v="G1101"/>
    <x v="137"/>
    <n v="14"/>
    <s v="MITU BABY COLOGNE F&amp;C FRESH GREEN 50ML X 48 PCS"/>
    <n v="47"/>
    <m/>
    <s v="G1"/>
    <s v="MITU BABY COLOGNE"/>
    <s v="10"/>
    <s v="F&amp;C"/>
    <n v="1"/>
    <m/>
    <s v="0"/>
    <s v="FRESH GREEN"/>
    <s v="01"/>
    <s v="50ML"/>
    <s v="0050"/>
    <s v="PCS"/>
    <n v="1"/>
    <m/>
    <n v="0"/>
    <m/>
    <m/>
    <m/>
    <n v="30230010050000"/>
    <m/>
    <m/>
    <n v="48"/>
    <n v="9134.9500000000007"/>
    <n v="438477.60000000003"/>
    <n v="10139.794500000002"/>
    <n v="486710.13600000006"/>
    <n v="9770"/>
    <n v="468960"/>
    <n v="10844.7"/>
    <n v="520545.60000000003"/>
    <n v="0"/>
    <n v="0"/>
    <n v="0"/>
    <n v="0"/>
    <n v="6.4999999999999919E-2"/>
    <n v="-9134.9500000000007"/>
    <e v="#DIV/0!"/>
    <m/>
    <m/>
    <s v="Lama"/>
    <s v="Sama"/>
    <m/>
    <s v="IDR"/>
    <s v="0050"/>
    <s v="50ML"/>
    <m/>
    <m/>
    <s v="KRT"/>
    <s v="GD01"/>
    <n v="11611"/>
    <n v="11612"/>
    <m/>
    <n v="1"/>
    <m/>
    <n v="48"/>
  </r>
  <r>
    <s v="G1101001010010"/>
    <m/>
    <n v="30230020050000"/>
    <x v="224"/>
    <s v="MITUB COLG F&amp;C F.GREEN 48 PCS X 100ML 28012 58790"/>
    <n v="30230010100000"/>
    <n v="0"/>
    <s v="MITU BABY COLOGNE F&amp;C FRESH GREEN 100ML"/>
    <x v="2"/>
    <s v="8992745326670"/>
    <x v="5"/>
    <s v="MITU BABY COLOGNE F&amp;C"/>
    <s v="G1101"/>
    <x v="138"/>
    <n v="14"/>
    <s v="MITU BABY COLOGNE F&amp;C FRESH GREEN 100ML X 48 PCS"/>
    <n v="48"/>
    <m/>
    <s v="G1"/>
    <s v="MITU BABY COLOGNE"/>
    <s v="10"/>
    <s v="F&amp;C"/>
    <n v="1"/>
    <m/>
    <s v="0"/>
    <s v="FRESH GREEN"/>
    <s v="01"/>
    <s v="100ML"/>
    <s v="0100"/>
    <s v="PCS"/>
    <n v="1"/>
    <m/>
    <n v="0"/>
    <m/>
    <m/>
    <m/>
    <n v="30230010100000"/>
    <m/>
    <m/>
    <n v="48"/>
    <n v="17082.45"/>
    <n v="819957.60000000009"/>
    <n v="18961.519500000002"/>
    <n v="910152.93600000022"/>
    <n v="18270"/>
    <n v="876960"/>
    <n v="20279.7"/>
    <n v="973425.60000000009"/>
    <n v="0"/>
    <n v="0"/>
    <n v="0"/>
    <n v="0"/>
    <n v="6.4999999999999961E-2"/>
    <n v="-17082.45"/>
    <e v="#DIV/0!"/>
    <m/>
    <m/>
    <s v="Lama"/>
    <s v="Sama"/>
    <m/>
    <s v="IDR"/>
    <s v="0100"/>
    <s v="100ML"/>
    <m/>
    <m/>
    <s v="KRT"/>
    <s v="GD01"/>
    <n v="11611"/>
    <n v="11612"/>
    <m/>
    <n v="1"/>
    <m/>
    <n v="48"/>
  </r>
  <r>
    <s v="G1101001010010"/>
    <m/>
    <n v="30230020100000"/>
    <x v="225"/>
    <s v="MITUB COLG F&amp;C F.GREEN 48 PCS X 100ML 28012 58790"/>
    <n v="30230010100000"/>
    <n v="0"/>
    <s v="MITU BABY COLOGNE F&amp;C GREEN 100ML BUNDLE"/>
    <x v="2"/>
    <s v="8992745326670"/>
    <x v="5"/>
    <s v="MITU BABY COLOGNE F&amp;C"/>
    <s v="G1101"/>
    <x v="138"/>
    <n v="14"/>
    <s v="MITU BABY COLOGNE F&amp;C FRESH GREEN 100ML X 48 PCS"/>
    <n v="48"/>
    <m/>
    <s v="G1"/>
    <s v="MITU BABY COLOGNE"/>
    <s v="10"/>
    <s v="F&amp;C"/>
    <n v="1"/>
    <m/>
    <s v="0"/>
    <s v="FRESH GREEN"/>
    <s v="01"/>
    <s v="100ML"/>
    <s v="0100"/>
    <s v="PCS"/>
    <n v="1"/>
    <m/>
    <n v="0"/>
    <m/>
    <m/>
    <m/>
    <n v="30230010100000"/>
    <m/>
    <m/>
    <n v="48"/>
    <n v="17082.45"/>
    <n v="819957.60000000009"/>
    <n v="18961.519500000002"/>
    <n v="910152.93600000022"/>
    <n v="18270"/>
    <n v="876960"/>
    <n v="20279.7"/>
    <n v="973425.60000000009"/>
    <n v="0"/>
    <n v="0"/>
    <n v="0"/>
    <n v="0"/>
    <n v="6.4999999999999961E-2"/>
    <n v="-17082.45"/>
    <e v="#DIV/0!"/>
    <m/>
    <m/>
    <s v="Lama"/>
    <s v="Sama"/>
    <m/>
    <s v="IDR"/>
    <s v="0100"/>
    <s v="100ML"/>
    <m/>
    <m/>
    <s v="KRT"/>
    <s v="GD01"/>
    <n v="11611"/>
    <n v="11612"/>
    <m/>
    <n v="1"/>
    <m/>
    <n v="48"/>
  </r>
  <r>
    <s v="G1101003005010"/>
    <m/>
    <n v="30240030050001"/>
    <x v="226"/>
    <s v="MITUB COLG F&amp;C S.PINK 48 PCS X 50ML 28285 MBC02"/>
    <n v="30230020050000"/>
    <n v="0"/>
    <s v="MITU BABY COLOGNE F&amp;C SWEET PINK 50ML"/>
    <x v="2"/>
    <s v="8992745326472"/>
    <x v="5"/>
    <s v="MITU BABY COLOGNE F&amp;C"/>
    <s v="G1101"/>
    <x v="139"/>
    <n v="14"/>
    <s v="MITU BABY COLOGNE F&amp;C SWEET PINK 50ML X 48 PCS"/>
    <n v="46"/>
    <m/>
    <s v="G1"/>
    <s v="MITU BABY COLOGNE"/>
    <s v="10"/>
    <s v="F&amp;C"/>
    <n v="1"/>
    <m/>
    <s v="0"/>
    <s v="SWEET PINK"/>
    <s v="03"/>
    <s v="50ML"/>
    <s v="0050"/>
    <s v="PCS"/>
    <n v="1"/>
    <m/>
    <n v="0"/>
    <m/>
    <m/>
    <m/>
    <n v="30230020050000"/>
    <m/>
    <m/>
    <n v="48"/>
    <n v="9134.9500000000007"/>
    <n v="438477.60000000003"/>
    <n v="10139.794500000002"/>
    <n v="486710.13600000006"/>
    <n v="9770"/>
    <n v="468960"/>
    <n v="10844.7"/>
    <n v="520545.60000000003"/>
    <n v="0"/>
    <n v="0"/>
    <n v="0"/>
    <n v="0"/>
    <n v="6.4999999999999919E-2"/>
    <n v="-9134.9500000000007"/>
    <e v="#DIV/0!"/>
    <m/>
    <m/>
    <s v="Lama"/>
    <s v="Sama"/>
    <m/>
    <s v="IDR"/>
    <s v="0050"/>
    <s v="50ML"/>
    <m/>
    <m/>
    <s v="KRT"/>
    <s v="GD01"/>
    <n v="11611"/>
    <n v="11612"/>
    <m/>
    <n v="1"/>
    <m/>
    <n v="48"/>
  </r>
  <r>
    <s v="G1101003010010"/>
    <m/>
    <n v="30240010050001"/>
    <x v="227"/>
    <s v="MITUB BABY COLG F&amp;C PINK 48 PCSX100ML 28013 58791"/>
    <n v="30230020100000"/>
    <n v="0"/>
    <s v="MITU BABY COLOGNE F&amp;C PINK 100ML BUNDLE."/>
    <x v="2"/>
    <s v="8992745326489"/>
    <x v="5"/>
    <s v="MITU BABY COLOGNE F&amp;C"/>
    <s v="G1101"/>
    <x v="140"/>
    <n v="14"/>
    <s v="MITU BABY COLOGNE F&amp;C SWEET PINK 100ML X 48 PCS"/>
    <n v="47"/>
    <m/>
    <s v="G1"/>
    <s v="MITU BABY COLOGNE"/>
    <s v="10"/>
    <s v="F&amp;C"/>
    <n v="1"/>
    <m/>
    <s v="0"/>
    <s v="SWEET PINK"/>
    <s v="03"/>
    <s v="100ML"/>
    <s v="0100"/>
    <s v="PCS"/>
    <n v="1"/>
    <m/>
    <n v="0"/>
    <m/>
    <m/>
    <m/>
    <n v="30230020100000"/>
    <m/>
    <m/>
    <n v="48"/>
    <n v="17082.45"/>
    <n v="819957.60000000009"/>
    <n v="18961.519500000002"/>
    <n v="910152.93600000022"/>
    <n v="18270"/>
    <n v="876960"/>
    <n v="20279.7"/>
    <n v="973425.60000000009"/>
    <n v="0"/>
    <n v="0"/>
    <n v="0"/>
    <n v="0"/>
    <n v="6.4999999999999961E-2"/>
    <n v="-17082.45"/>
    <e v="#DIV/0!"/>
    <m/>
    <m/>
    <s v="Lama"/>
    <s v="Sama"/>
    <m/>
    <s v="IDR"/>
    <s v="0100"/>
    <s v="100ML"/>
    <m/>
    <m/>
    <s v="KRT"/>
    <s v="GD01"/>
    <n v="11611"/>
    <n v="11612"/>
    <m/>
    <n v="1"/>
    <m/>
    <n v="48"/>
  </r>
  <r>
    <s v="G1101003010010"/>
    <m/>
    <n v="30240020050001"/>
    <x v="228"/>
    <s v="MITUB BABY COLG F&amp;C PINK 48 PCSX100ML 28013 58791"/>
    <n v="30230020100000"/>
    <n v="0"/>
    <s v="MITU BABY COLOGNE F&amp;C SWEET PINK 100ML"/>
    <x v="2"/>
    <s v="8992745326489"/>
    <x v="5"/>
    <s v="MITU BABY COLOGNE F&amp;C"/>
    <s v="G1101"/>
    <x v="140"/>
    <n v="14"/>
    <s v="MITU BABY COLOGNE F&amp;C SWEET PINK 100ML X 48 PCS"/>
    <n v="47"/>
    <m/>
    <s v="G1"/>
    <s v="MITU BABY COLOGNE"/>
    <s v="10"/>
    <s v="F&amp;C"/>
    <n v="1"/>
    <m/>
    <s v="0"/>
    <s v="SWEET PINK"/>
    <s v="03"/>
    <s v="100ML"/>
    <s v="0100"/>
    <s v="PCS"/>
    <n v="1"/>
    <m/>
    <n v="0"/>
    <m/>
    <m/>
    <m/>
    <n v="30230020100000"/>
    <m/>
    <m/>
    <n v="48"/>
    <n v="17082.45"/>
    <n v="819957.60000000009"/>
    <n v="18961.519500000002"/>
    <n v="910152.93600000022"/>
    <n v="18270"/>
    <n v="876960"/>
    <n v="20279.7"/>
    <n v="973425.60000000009"/>
    <n v="0"/>
    <n v="0"/>
    <n v="0"/>
    <n v="0"/>
    <n v="6.4999999999999961E-2"/>
    <n v="-17082.45"/>
    <e v="#DIV/0!"/>
    <m/>
    <m/>
    <s v="Lama"/>
    <s v="Sama"/>
    <m/>
    <s v="IDR"/>
    <s v="0100"/>
    <s v="100ML"/>
    <m/>
    <m/>
    <s v="KRT"/>
    <s v="GD01"/>
    <n v="11611"/>
    <n v="11612"/>
    <m/>
    <n v="1"/>
    <m/>
    <n v="48"/>
  </r>
  <r>
    <s v="G1111001010010"/>
    <m/>
    <n v="30250010100000"/>
    <x v="229"/>
    <s v="MITUB HAIR LOT F&amp;C ALOE 48 PCSX100ML 28137 MBHL01"/>
    <n v="30250010100000"/>
    <n v="0"/>
    <s v="MITU BABY HAIR LOTION F&amp;C ALOE 100ML BTL"/>
    <x v="2"/>
    <s v="8992745826880"/>
    <x v="5"/>
    <s v="MITU BABY HAIR LOTION F&amp;C"/>
    <s v="G1111"/>
    <x v="141"/>
    <n v="14"/>
    <s v="MITU BABY HAIR LOTION F&amp;C ALOE 100ML X 48 PCS"/>
    <n v="45"/>
    <m/>
    <s v="G1"/>
    <s v="MITU BABY HAIR LOTION"/>
    <s v="11"/>
    <s v="F&amp;C"/>
    <n v="1"/>
    <m/>
    <s v="0"/>
    <s v="ALOE"/>
    <s v="01"/>
    <s v="100ML"/>
    <s v="0100"/>
    <s v="PCS"/>
    <n v="1"/>
    <m/>
    <n v="0"/>
    <m/>
    <m/>
    <m/>
    <n v="30250010100000"/>
    <m/>
    <m/>
    <n v="48"/>
    <n v="13548.15"/>
    <n v="650311.19999999995"/>
    <n v="15038.4465"/>
    <n v="721845.43200000003"/>
    <n v="14490"/>
    <n v="695520"/>
    <n v="16083.900000000001"/>
    <n v="772027.20000000007"/>
    <n v="0"/>
    <n v="0"/>
    <n v="0"/>
    <n v="0"/>
    <n v="6.500000000000003E-2"/>
    <n v="-13548.15"/>
    <e v="#DIV/0!"/>
    <m/>
    <m/>
    <s v="Lama"/>
    <s v="Sama"/>
    <m/>
    <s v="IDR"/>
    <s v="0100"/>
    <s v="100ML"/>
    <m/>
    <m/>
    <s v="KRT"/>
    <s v="GD01"/>
    <n v="11611"/>
    <n v="11612"/>
    <m/>
    <n v="1"/>
    <m/>
    <n v="48"/>
  </r>
  <r>
    <s v="G1121001020020"/>
    <m/>
    <n v="30260010200000"/>
    <x v="230"/>
    <s v="MITUB MILK BATH F&amp;C OAT 24 BTLX200ML &quot;27992&quot;MMB01"/>
    <n v="30260010200000"/>
    <n v="0"/>
    <n v="0"/>
    <x v="5"/>
    <n v="0"/>
    <x v="6"/>
    <s v="MITU BABY MILK BATH F&amp;C"/>
    <s v="G1121"/>
    <x v="142"/>
    <n v="14"/>
    <s v="MITU BABY MILK BATH F&amp;C OAT 200ML X 24 BTL"/>
    <n v="42"/>
    <m/>
    <s v="G1"/>
    <s v="MITU BABY MILK BATH"/>
    <s v="12"/>
    <s v="F&amp;C"/>
    <n v="1"/>
    <m/>
    <s v="0"/>
    <s v="OAT"/>
    <s v="01"/>
    <s v="200ML"/>
    <s v="0200"/>
    <s v="BTL"/>
    <n v="2"/>
    <m/>
    <n v="0"/>
    <m/>
    <m/>
    <m/>
    <n v="30260010200000"/>
    <m/>
    <m/>
    <n v="24"/>
    <n v="15427.5"/>
    <n v="370260"/>
    <n v="17124.525000000001"/>
    <n v="410988.60000000003"/>
    <n v="16500"/>
    <n v="396000"/>
    <n v="18315"/>
    <n v="439560.00000000006"/>
    <n v="0"/>
    <n v="0"/>
    <n v="0"/>
    <n v="0"/>
    <n v="6.5000000000000002E-2"/>
    <n v="-15427.5"/>
    <e v="#DIV/0!"/>
    <m/>
    <m/>
    <s v="Lama"/>
    <s v="Sama"/>
    <m/>
    <s v="IDR"/>
    <s v="0200"/>
    <s v="200ML"/>
    <m/>
    <m/>
    <s v="KRT"/>
    <s v="GD01"/>
    <n v="11611"/>
    <n v="11612"/>
    <m/>
    <n v="1"/>
    <m/>
    <n v="24"/>
  </r>
  <r>
    <s v="G1121101040010"/>
    <m/>
    <n v="30261010400010"/>
    <x v="231"/>
    <s v="MITUB MILK BATH REF OAT 12 PCH X 400ML&quot;27994&quot;MMB03"/>
    <n v="30261010400010"/>
    <n v="0"/>
    <n v="0"/>
    <x v="3"/>
    <n v="0"/>
    <x v="3"/>
    <s v="MITU BABY MILK BATH F&amp;C"/>
    <s v="G1121"/>
    <x v="143"/>
    <n v="14"/>
    <s v="MITU BABY MILK BATH F&amp;C REFILL OAT 400ML X 12 PCH"/>
    <n v="49"/>
    <m/>
    <s v="G1"/>
    <s v="MITU BABY MILK BATH"/>
    <s v="12"/>
    <s v="F&amp;C"/>
    <n v="1"/>
    <s v="REFILL"/>
    <s v="1"/>
    <s v="OAT"/>
    <s v="01"/>
    <s v="400ML"/>
    <s v="0400"/>
    <s v="PCH"/>
    <n v="1"/>
    <m/>
    <n v="0"/>
    <m/>
    <m/>
    <m/>
    <n v="30261010400010"/>
    <m/>
    <m/>
    <n v="12"/>
    <n v="20944"/>
    <n v="251328"/>
    <n v="23247.840000000004"/>
    <n v="278974.08000000002"/>
    <n v="22400"/>
    <n v="268800"/>
    <n v="24864.000000000004"/>
    <n v="298368"/>
    <n v="0"/>
    <n v="0"/>
    <n v="0"/>
    <n v="0"/>
    <n v="6.5000000000000002E-2"/>
    <n v="-20944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131001009511"/>
    <m/>
    <n v="30270010095001"/>
    <x v="232"/>
    <s v="MITUB OIL F&amp;C OLIVE 48 BTL X 95ML+50%&quot;28073&quot;MBO01"/>
    <n v="30270010095001"/>
    <n v="0"/>
    <n v="0"/>
    <x v="2"/>
    <n v="0"/>
    <x v="6"/>
    <s v="MITU BABY OIL F&amp;C"/>
    <s v="G1131"/>
    <x v="144"/>
    <n v="14"/>
    <s v="MITU BABY OIL F&amp;C OLIVE 95ML X 48 BTL +50%"/>
    <n v="42"/>
    <m/>
    <s v="G1"/>
    <s v="MITU BABY OIL"/>
    <s v="13"/>
    <s v="F&amp;C"/>
    <n v="1"/>
    <m/>
    <s v="0"/>
    <s v="OLIVE"/>
    <s v="01"/>
    <s v="95ML"/>
    <s v="0095"/>
    <s v="BTL"/>
    <n v="1"/>
    <s v="+50%"/>
    <n v="1"/>
    <m/>
    <m/>
    <m/>
    <n v="30270010095001"/>
    <m/>
    <m/>
    <n v="48"/>
    <n v="11594"/>
    <n v="556512"/>
    <n v="12869.340000000002"/>
    <n v="617728.32000000007"/>
    <n v="12400"/>
    <n v="595200"/>
    <n v="13764.000000000002"/>
    <n v="660672"/>
    <n v="0"/>
    <n v="0"/>
    <n v="0"/>
    <n v="0"/>
    <n v="6.5000000000000002E-2"/>
    <n v="-11594"/>
    <e v="#DIV/0!"/>
    <m/>
    <m/>
    <s v="Lama"/>
    <s v="Sama"/>
    <m/>
    <s v="IDR"/>
    <s v="0095"/>
    <s v="95ML"/>
    <m/>
    <m/>
    <s v="KRT"/>
    <s v="GD01"/>
    <n v="11611"/>
    <n v="11612"/>
    <m/>
    <n v="1"/>
    <m/>
    <n v="48"/>
  </r>
  <r>
    <s v="G1141001005011"/>
    <m/>
    <n v="30280020050001"/>
    <x v="233"/>
    <s v="MITUB PWDR F&amp;C CLS 36 BTL X 50GR +50% 28269 ΜΒΡ01"/>
    <n v="30280010050001"/>
    <n v="0"/>
    <s v="MITU BABY POWDER F&amp;C CLASSIC 50GR+50%"/>
    <x v="9"/>
    <s v="8992745326816"/>
    <x v="6"/>
    <s v="MITU BABY POWDER F&amp;C"/>
    <s v="G1141"/>
    <x v="145"/>
    <n v="14"/>
    <s v="MITU BABY POWDER F&amp;C CLASSIC 50GR X 36 BTL +50%"/>
    <n v="47"/>
    <m/>
    <s v="G1"/>
    <s v="MITU BABY POWDER"/>
    <s v="14"/>
    <s v="F&amp;C"/>
    <n v="1"/>
    <m/>
    <s v="0"/>
    <s v="CLASSIC"/>
    <s v="01"/>
    <s v="50GR"/>
    <s v="0050"/>
    <s v="BTL"/>
    <n v="1"/>
    <s v="+50%"/>
    <n v="1"/>
    <m/>
    <m/>
    <m/>
    <n v="30280010050001"/>
    <m/>
    <m/>
    <n v="36"/>
    <n v="3272.5"/>
    <n v="117810"/>
    <n v="3632.4750000000004"/>
    <n v="130769.1"/>
    <n v="3500"/>
    <n v="126000"/>
    <n v="3885.0000000000005"/>
    <n v="139860"/>
    <n v="0"/>
    <n v="0"/>
    <n v="0"/>
    <n v="0"/>
    <n v="6.5000000000000002E-2"/>
    <n v="-3272.5"/>
    <e v="#DIV/0!"/>
    <m/>
    <m/>
    <s v="Lama"/>
    <s v="Sama"/>
    <m/>
    <s v="IDR"/>
    <s v="0050"/>
    <s v="50GR"/>
    <m/>
    <m/>
    <s v="KRT"/>
    <s v="GD01"/>
    <n v="11611"/>
    <n v="11612"/>
    <m/>
    <n v="1"/>
    <m/>
    <n v="36"/>
  </r>
  <r>
    <s v="G1141001010011"/>
    <m/>
    <n v="30280010100001"/>
    <x v="234"/>
    <s v="MITUB PWDR F&amp;C CLS 36 BTL X 100GR+50% 28271 MBP02"/>
    <n v="30280010100001"/>
    <n v="0"/>
    <s v="MITU BABY POWDER F&amp;C CLASSIC 100GR+50%"/>
    <x v="9"/>
    <s v="8992745550488"/>
    <x v="6"/>
    <s v="MITU BABY POWDER F&amp;C"/>
    <s v="G1141"/>
    <x v="146"/>
    <n v="14"/>
    <s v="MITU BABY POWDER F&amp;C CLASSIC 100GR X 36 BTL +50%"/>
    <n v="48"/>
    <m/>
    <s v="G1"/>
    <s v="MITU BABY POWDER"/>
    <s v="14"/>
    <s v="F&amp;C"/>
    <n v="1"/>
    <m/>
    <s v="0"/>
    <s v="CLASSIC"/>
    <s v="01"/>
    <s v="100GR"/>
    <s v="0100"/>
    <s v="BTL"/>
    <n v="1"/>
    <s v="+50%"/>
    <n v="1"/>
    <m/>
    <m/>
    <m/>
    <n v="30280010100001"/>
    <m/>
    <m/>
    <n v="36"/>
    <n v="5843.75"/>
    <n v="210375"/>
    <n v="6486.5625000000009"/>
    <n v="233516.25000000003"/>
    <n v="6250"/>
    <n v="225000"/>
    <n v="6937.5000000000009"/>
    <n v="249750.00000000003"/>
    <n v="0"/>
    <n v="0"/>
    <n v="0"/>
    <n v="0"/>
    <n v="6.5000000000000002E-2"/>
    <n v="-5843.75"/>
    <e v="#DIV/0!"/>
    <m/>
    <m/>
    <s v="Lama"/>
    <s v="Sama"/>
    <m/>
    <s v="IDR"/>
    <s v="0100"/>
    <s v="100GR"/>
    <m/>
    <m/>
    <s v="KRT"/>
    <s v="GD01"/>
    <n v="11611"/>
    <n v="11612"/>
    <m/>
    <n v="1"/>
    <m/>
    <n v="36"/>
  </r>
  <r>
    <s v="G1141001020011"/>
    <m/>
    <n v="30280010200001"/>
    <x v="235"/>
    <s v="MITUB PWDR F&amp;C CLS 36 BTL X 200GR+50% 28273 ΜΒΡ03"/>
    <n v="30280010200001"/>
    <n v="0"/>
    <s v="MITU BABY POWDER F&amp;C CLASSIC 200GR+50%"/>
    <x v="9"/>
    <s v="8992745380160"/>
    <x v="6"/>
    <s v="MITU BABY POWDER F&amp;C"/>
    <s v="G1141"/>
    <x v="147"/>
    <n v="14"/>
    <s v="MITU BABY POWDER F&amp;C CLASSIC 200GR X 36 BTL +50%"/>
    <n v="48"/>
    <m/>
    <s v="G1"/>
    <s v="MITU BABY POWDER"/>
    <s v="14"/>
    <s v="F&amp;C"/>
    <n v="1"/>
    <m/>
    <s v="0"/>
    <s v="CLASSIC"/>
    <s v="01"/>
    <s v="200GR"/>
    <s v="0200"/>
    <s v="BTL"/>
    <n v="1"/>
    <s v="+50%"/>
    <n v="1"/>
    <m/>
    <m/>
    <m/>
    <n v="30280010200001"/>
    <m/>
    <m/>
    <n v="36"/>
    <n v="10285"/>
    <n v="370260"/>
    <n v="11416.35"/>
    <n v="410988.60000000003"/>
    <n v="11000"/>
    <n v="396000"/>
    <n v="12210.000000000002"/>
    <n v="439560.00000000006"/>
    <n v="0"/>
    <n v="0"/>
    <n v="0"/>
    <n v="0"/>
    <n v="6.5000000000000002E-2"/>
    <n v="-10285"/>
    <e v="#DIV/0!"/>
    <m/>
    <m/>
    <s v="Lama"/>
    <s v="Sama"/>
    <m/>
    <s v="IDR"/>
    <s v="0200"/>
    <s v="200GR"/>
    <m/>
    <m/>
    <s v="KRT"/>
    <s v="GD01"/>
    <n v="11611"/>
    <n v="11612"/>
    <m/>
    <n v="1"/>
    <m/>
    <n v="36"/>
  </r>
  <r>
    <s v="G1141002005011"/>
    <m/>
    <n v="30300010400010"/>
    <x v="236"/>
    <s v="MITUB PWDR F&amp;C FLRL 36 BTL X 50GR+50% 28268 MBP04"/>
    <n v="30280020050001"/>
    <n v="0"/>
    <s v="MITU BABY POWDER F&amp;C FLORAL 50GR+50%"/>
    <x v="9"/>
    <s v="8992745326724"/>
    <x v="6"/>
    <s v="MITU BABY POWDER F&amp;C"/>
    <s v="G1141"/>
    <x v="148"/>
    <n v="14"/>
    <s v="MITU BABY POWDER F&amp;C FLORAL 50GR X 36 BTL +50%"/>
    <n v="46"/>
    <m/>
    <s v="G1"/>
    <s v="MITU BABY POWDER"/>
    <s v="14"/>
    <s v="F&amp;C"/>
    <n v="1"/>
    <m/>
    <s v="0"/>
    <s v="FLORAL"/>
    <s v="02"/>
    <s v="50GR"/>
    <s v="0050"/>
    <s v="BTL"/>
    <n v="1"/>
    <s v="+50%"/>
    <n v="1"/>
    <m/>
    <m/>
    <m/>
    <n v="30280020050001"/>
    <m/>
    <m/>
    <n v="36"/>
    <n v="3272.5"/>
    <n v="117810"/>
    <n v="3632.4750000000004"/>
    <n v="130769.1"/>
    <n v="3500"/>
    <n v="126000"/>
    <n v="3885.0000000000005"/>
    <n v="139860"/>
    <n v="0"/>
    <n v="0"/>
    <n v="0"/>
    <n v="0"/>
    <n v="6.5000000000000002E-2"/>
    <n v="-3272.5"/>
    <e v="#DIV/0!"/>
    <m/>
    <m/>
    <s v="Lama"/>
    <s v="Sama"/>
    <m/>
    <s v="IDR"/>
    <s v="0050"/>
    <s v="50GR"/>
    <m/>
    <m/>
    <s v="KRT"/>
    <s v="GD01"/>
    <n v="11611"/>
    <n v="11612"/>
    <m/>
    <n v="1"/>
    <m/>
    <n v="36"/>
  </r>
  <r>
    <s v="G1141002010011"/>
    <m/>
    <n v="30280020100001"/>
    <x v="237"/>
    <s v="MITUB PWDR F&amp;C FLRL 36 BTLX100GR +50% 28270 MBP05"/>
    <n v="30280020100001"/>
    <n v="0"/>
    <s v="MITU BABY POWDER F&amp;C FLORAL 100GR+50%"/>
    <x v="9"/>
    <s v="8992745380689"/>
    <x v="6"/>
    <s v="MITU BABY POWDER F&amp;C"/>
    <s v="G1141"/>
    <x v="149"/>
    <n v="14"/>
    <s v="MITU BABY POWDER F&amp;C FLORAL 100GR X 36 BTL +50%"/>
    <n v="47"/>
    <m/>
    <s v="G1"/>
    <s v="MITU BABY POWDER"/>
    <s v="14"/>
    <s v="F&amp;C"/>
    <n v="1"/>
    <m/>
    <s v="0"/>
    <s v="FLORAL"/>
    <s v="02"/>
    <s v="100GR"/>
    <s v="0100"/>
    <s v="BTL"/>
    <n v="1"/>
    <s v="+50%"/>
    <n v="1"/>
    <m/>
    <m/>
    <m/>
    <n v="30280020100001"/>
    <m/>
    <m/>
    <n v="36"/>
    <n v="5843.75"/>
    <n v="210375"/>
    <n v="6486.5625000000009"/>
    <n v="233516.25000000003"/>
    <n v="6250"/>
    <n v="225000"/>
    <n v="6937.5000000000009"/>
    <n v="249750.00000000003"/>
    <n v="0"/>
    <n v="0"/>
    <n v="0"/>
    <n v="0"/>
    <n v="6.5000000000000002E-2"/>
    <n v="-5843.75"/>
    <e v="#DIV/0!"/>
    <m/>
    <m/>
    <s v="Lama"/>
    <s v="Sama"/>
    <m/>
    <s v="IDR"/>
    <s v="0100"/>
    <s v="100GR"/>
    <m/>
    <m/>
    <s v="KRT"/>
    <s v="GD01"/>
    <n v="11611"/>
    <n v="11612"/>
    <m/>
    <n v="1"/>
    <m/>
    <n v="36"/>
  </r>
  <r>
    <s v="G1141002020011"/>
    <m/>
    <n v="30280020200001"/>
    <x v="238"/>
    <s v="MITUB PWDR F&amp;C FLRL 36 BTLX200GR +50% 28272 MBP06"/>
    <n v="30280020200001"/>
    <n v="0"/>
    <s v="MITU BABY POWDER F&amp;C FLORAL 200GR+50%"/>
    <x v="9"/>
    <s v="8992745550426"/>
    <x v="6"/>
    <s v="MITU BABY POWDER F&amp;C"/>
    <s v="G1141"/>
    <x v="150"/>
    <n v="14"/>
    <s v="MITU BABY POWDER F&amp;C FLORAL 200GR X 36 BTL +50%"/>
    <n v="47"/>
    <m/>
    <s v="G1"/>
    <s v="MITU BABY POWDER"/>
    <s v="14"/>
    <s v="F&amp;C"/>
    <n v="1"/>
    <m/>
    <s v="0"/>
    <s v="FLORAL"/>
    <s v="02"/>
    <s v="200GR"/>
    <s v="0200"/>
    <s v="BTL"/>
    <n v="1"/>
    <s v="+50%"/>
    <n v="1"/>
    <m/>
    <m/>
    <m/>
    <n v="30280020200001"/>
    <m/>
    <m/>
    <n v="36"/>
    <n v="10285"/>
    <n v="370260"/>
    <n v="11416.35"/>
    <n v="410988.60000000003"/>
    <n v="11000"/>
    <n v="396000"/>
    <n v="12210.000000000002"/>
    <n v="439560.00000000006"/>
    <n v="0"/>
    <n v="0"/>
    <n v="0"/>
    <n v="0"/>
    <n v="6.5000000000000002E-2"/>
    <n v="-10285"/>
    <e v="#DIV/0!"/>
    <m/>
    <m/>
    <s v="Lama"/>
    <s v="Sama"/>
    <m/>
    <s v="IDR"/>
    <s v="0200"/>
    <s v="200GR"/>
    <m/>
    <m/>
    <s v="KRT"/>
    <s v="GD01"/>
    <n v="11611"/>
    <n v="11612"/>
    <m/>
    <n v="1"/>
    <m/>
    <n v="36"/>
  </r>
  <r>
    <s v="G1151001020020"/>
    <m/>
    <n v="30301010400000"/>
    <x v="239"/>
    <s v="MITUB SABUN F&amp;C HNY 36 BTL X 200ML 27989 MBS02"/>
    <n v="30300010400010"/>
    <n v="0"/>
    <s v="MITU BABY SABUN 2IN1 F&amp;C HONEY 200ML BTL"/>
    <x v="9"/>
    <s v="8992745550457"/>
    <x v="6"/>
    <s v="MITU BABY SABUN F&amp;C 2IN1"/>
    <s v="G1151"/>
    <x v="151"/>
    <n v="14"/>
    <s v="MITU BABY SABUN F&amp;C 2IN1 HONEY 200ML X 36 BTL"/>
    <n v="45"/>
    <m/>
    <s v="G1"/>
    <s v="MITU BABY SABUN"/>
    <s v="15"/>
    <s v="F&amp;C 2IN1"/>
    <n v="1"/>
    <m/>
    <s v="0"/>
    <s v="HONEY"/>
    <s v="01"/>
    <s v="200ML"/>
    <s v="0200"/>
    <s v="BTL"/>
    <n v="2"/>
    <m/>
    <n v="0"/>
    <m/>
    <m/>
    <m/>
    <n v="30300010400010"/>
    <m/>
    <m/>
    <n v="36"/>
    <n v="16689.75"/>
    <n v="600831"/>
    <n v="18525.622500000001"/>
    <n v="666922.41"/>
    <n v="17850"/>
    <n v="642600"/>
    <n v="19813.5"/>
    <n v="713286.00000000012"/>
    <n v="0"/>
    <n v="0"/>
    <n v="0"/>
    <n v="0"/>
    <n v="6.5000000000000002E-2"/>
    <n v="-16689.75"/>
    <e v="#DIV/0!"/>
    <m/>
    <m/>
    <s v="Lama"/>
    <s v="Sama"/>
    <m/>
    <s v="IDR"/>
    <s v="0200"/>
    <s v="200ML"/>
    <m/>
    <m/>
    <s v="KRT"/>
    <s v="GD01"/>
    <n v="11611"/>
    <n v="11612"/>
    <m/>
    <n v="1"/>
    <m/>
    <n v="36"/>
  </r>
  <r>
    <s v="G1151101020010"/>
    <m/>
    <n v="30311010400010"/>
    <x v="240"/>
    <s v="MITUB SABUN REF F&amp;C HNY 36 PCHX200ML 27990 MBS01"/>
    <n v="30301010200000"/>
    <n v="0"/>
    <s v="MITU BABY SABUN 2IN1F&amp;C HONEY 200ML REF"/>
    <x v="9"/>
    <s v="8992745550440"/>
    <x v="3"/>
    <s v="MITU BABY SABUN F&amp;C 2IN1"/>
    <s v="G1151"/>
    <x v="152"/>
    <n v="14"/>
    <s v="MITU BABY SABUN F&amp;C 2IN1 REFILL HONEY 200ML X 36 PCH"/>
    <n v="52"/>
    <m/>
    <s v="G1"/>
    <s v="MITU BABY SABUN"/>
    <s v="15"/>
    <s v="F&amp;C 2IN1"/>
    <n v="1"/>
    <s v="REFILL"/>
    <s v="1"/>
    <s v="HONEY"/>
    <s v="01"/>
    <s v="200ML"/>
    <s v="0200"/>
    <s v="PCH"/>
    <n v="1"/>
    <m/>
    <n v="0"/>
    <m/>
    <m/>
    <m/>
    <n v="30301010200000"/>
    <m/>
    <m/>
    <n v="36"/>
    <n v="14380.3"/>
    <n v="517690.8"/>
    <n v="15962.133"/>
    <n v="574636.78800000006"/>
    <n v="15380"/>
    <n v="553680"/>
    <n v="17071.800000000003"/>
    <n v="614584.80000000005"/>
    <n v="0"/>
    <n v="0"/>
    <n v="0"/>
    <n v="0"/>
    <n v="6.5000000000000044E-2"/>
    <n v="-14380.3"/>
    <e v="#DIV/0!"/>
    <m/>
    <m/>
    <s v="Lama"/>
    <s v="Sama"/>
    <m/>
    <s v="IDR"/>
    <s v="0200"/>
    <s v="200ML"/>
    <m/>
    <m/>
    <s v="KRT"/>
    <s v="GD01"/>
    <n v="11611"/>
    <n v="11612"/>
    <m/>
    <n v="1"/>
    <m/>
    <n v="36"/>
  </r>
  <r>
    <s v="G1151101040010"/>
    <m/>
    <n v="30310010200000"/>
    <x v="241"/>
    <s v="MITUB SABUN REF F&amp;C HNY 12 PCHX400ML 27991 MBS03"/>
    <n v="30301010400000"/>
    <n v="0"/>
    <s v="MITU BABY SABUN 2IN1 F&amp;C HONEY 400ML REF"/>
    <x v="3"/>
    <s v="8992745550631"/>
    <x v="3"/>
    <s v="MITU BABY SABUN F&amp;C 2IN1"/>
    <s v="G1151"/>
    <x v="153"/>
    <n v="14"/>
    <s v="MITU BABY SABUN F&amp;C 2IN1 REFILL HONEY 400ML X 12 PCH"/>
    <n v="52"/>
    <m/>
    <s v="G1"/>
    <s v="MITU BABY SABUN"/>
    <s v="15"/>
    <s v="F&amp;C 2IN1"/>
    <n v="1"/>
    <s v="REFILL"/>
    <s v="1"/>
    <s v="HONEY"/>
    <s v="01"/>
    <s v="400ML"/>
    <s v="0400"/>
    <s v="PCH"/>
    <n v="1"/>
    <m/>
    <n v="0"/>
    <m/>
    <m/>
    <m/>
    <n v="30301010400000"/>
    <m/>
    <m/>
    <n v="12"/>
    <n v="23468.5"/>
    <n v="281622"/>
    <n v="26050.035000000003"/>
    <n v="312600.42000000004"/>
    <n v="25100"/>
    <n v="301200"/>
    <n v="27861.000000000004"/>
    <n v="334332.00000000006"/>
    <n v="0"/>
    <n v="0"/>
    <n v="0"/>
    <n v="0"/>
    <n v="6.5000000000000002E-2"/>
    <n v="-23468.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161001020020"/>
    <m/>
    <n v="30320020010001"/>
    <x v="242"/>
    <s v="MITUB SHP F&amp;C ALOE 36 BTL X 200ML 28065 MBS04"/>
    <n v="30310010200000"/>
    <n v="0"/>
    <s v="MITU BABY SHAMPOO F&amp;C ALOE 200ML BTL"/>
    <x v="9"/>
    <s v="8992745560104"/>
    <x v="6"/>
    <s v="MITU BABY SHAMPOO F&amp;C"/>
    <s v="G1161"/>
    <x v="154"/>
    <n v="14"/>
    <s v="MITU BABY SHAMPOO F&amp;C ALOE 200ML X 36 BTL"/>
    <n v="41"/>
    <m/>
    <s v="G1"/>
    <s v="MITU BABY SHAMPOO"/>
    <s v="16"/>
    <s v="F&amp;C"/>
    <n v="1"/>
    <m/>
    <s v="0"/>
    <s v="ALOE"/>
    <s v="01"/>
    <s v="200ML"/>
    <s v="0200"/>
    <s v="BTL"/>
    <n v="2"/>
    <m/>
    <n v="0"/>
    <m/>
    <m/>
    <m/>
    <n v="30310010200000"/>
    <m/>
    <m/>
    <n v="36"/>
    <n v="16839.349999999999"/>
    <n v="606216.6"/>
    <n v="18691.678500000002"/>
    <n v="672900.42599999998"/>
    <n v="18010"/>
    <n v="648360"/>
    <n v="19991.100000000002"/>
    <n v="719679.60000000009"/>
    <n v="0"/>
    <n v="0"/>
    <n v="0"/>
    <n v="0"/>
    <n v="6.5000000000000085E-2"/>
    <n v="-16839.349999999999"/>
    <e v="#DIV/0!"/>
    <m/>
    <m/>
    <s v="Lama"/>
    <s v="Sama"/>
    <m/>
    <s v="IDR"/>
    <s v="0200"/>
    <s v="200ML"/>
    <m/>
    <m/>
    <s v="KRT"/>
    <s v="GD01"/>
    <n v="11611"/>
    <n v="11612"/>
    <m/>
    <n v="1"/>
    <m/>
    <n v="36"/>
  </r>
  <r>
    <s v="G1161001020020"/>
    <m/>
    <m/>
    <x v="243"/>
    <m/>
    <m/>
    <m/>
    <m/>
    <x v="9"/>
    <m/>
    <x v="6"/>
    <s v="MITU BABY SHAMPOO F&amp;C"/>
    <s v="G1161"/>
    <x v="154"/>
    <n v="14"/>
    <s v="MITU BABY SHAMPOO F&amp;C ALOE 200ML X 36 BTL"/>
    <n v="41"/>
    <m/>
    <s v="G1"/>
    <s v="MITU BABY SHAMPOO"/>
    <s v="16"/>
    <s v="F&amp;C"/>
    <n v="1"/>
    <m/>
    <s v="0"/>
    <s v="ALOE"/>
    <s v="01"/>
    <s v="200ML"/>
    <s v="0200"/>
    <s v="BTL"/>
    <n v="2"/>
    <m/>
    <n v="0"/>
    <m/>
    <m/>
    <m/>
    <n v="0"/>
    <m/>
    <m/>
    <n v="36"/>
    <n v="16839.349999999999"/>
    <n v="606216.6"/>
    <n v="18691.678500000002"/>
    <n v="672900.42599999998"/>
    <n v="18010"/>
    <n v="648360"/>
    <n v="19991.100000000002"/>
    <n v="719679.60000000009"/>
    <n v="0"/>
    <n v="0"/>
    <n v="0"/>
    <n v="0"/>
    <n v="6.5000000000000085E-2"/>
    <n v="-16839.349999999999"/>
    <e v="#DIV/0!"/>
    <m/>
    <m/>
    <s v="Lama"/>
    <s v="Sama"/>
    <m/>
    <s v="IDR"/>
    <s v="0200"/>
    <s v="200ML"/>
    <m/>
    <m/>
    <s v="KRT"/>
    <s v="GD01"/>
    <n v="11611"/>
    <n v="11612"/>
    <m/>
    <n v="1"/>
    <m/>
    <n v="36"/>
  </r>
  <r>
    <s v="G11611010400101"/>
    <n v="1"/>
    <n v="30320020060010"/>
    <x v="244"/>
    <s v="MITUB SHP REF FC ALOE 12PCHX400ML 27883 9897 MBS05"/>
    <n v="30311010400010"/>
    <n v="0"/>
    <s v="MITU BABY SHAMPOO F&amp;C ALOE 400ML REF"/>
    <x v="3"/>
    <s v="8992745380696"/>
    <x v="3"/>
    <s v="MITU BABY SHAMPOO F&amp;C"/>
    <s v="G1161"/>
    <x v="155"/>
    <n v="14"/>
    <s v="MITU BABY SHAMPOO F&amp;C REFILL ALOE 400ML X 12 PCH"/>
    <n v="48"/>
    <m/>
    <s v="G1"/>
    <s v="MITU BABY SHAMPOO"/>
    <s v="16"/>
    <s v="F&amp;C"/>
    <n v="1"/>
    <s v="REFILL"/>
    <s v="1"/>
    <s v="ALOE"/>
    <s v="01"/>
    <s v="400ML"/>
    <s v="0400"/>
    <s v="PCH"/>
    <n v="1"/>
    <m/>
    <n v="0"/>
    <m/>
    <m/>
    <m/>
    <n v="30311010400010"/>
    <m/>
    <m/>
    <n v="12"/>
    <n v="18840.25"/>
    <n v="226083"/>
    <n v="20912.677500000002"/>
    <n v="250952.13000000003"/>
    <n v="20150"/>
    <n v="241800"/>
    <n v="22366.500000000004"/>
    <n v="268398"/>
    <n v="0"/>
    <n v="0"/>
    <n v="0"/>
    <n v="0"/>
    <n v="6.5000000000000002E-2"/>
    <n v="-18840.2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1611010400102"/>
    <n v="2"/>
    <m/>
    <x v="245"/>
    <s v="MITUB SHP REF FC ALOE 12PCHX400ML 27883 9897 MBS06"/>
    <m/>
    <m/>
    <s v="MITU BABY SHAMPOO F&amp;C ALOE 400ML REF"/>
    <x v="3"/>
    <s v="8992745380696"/>
    <x v="3"/>
    <s v="MITU BABY SHAMPOO F&amp;C"/>
    <s v="G1161"/>
    <x v="155"/>
    <n v="14"/>
    <s v="MITU BABY SHAMPOO F&amp;C REFILL ALOE 400ML X 12 PCH"/>
    <n v="48"/>
    <m/>
    <s v="G1"/>
    <s v="MITU BABY SHAMPOO"/>
    <s v="16"/>
    <s v="F&amp;C"/>
    <n v="1"/>
    <s v="REFILL"/>
    <s v="1"/>
    <s v="ALOE"/>
    <s v="01"/>
    <s v="400ML"/>
    <s v="0400"/>
    <s v="PCH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171001004511"/>
    <m/>
    <n v="30320030004000"/>
    <x v="246"/>
    <s v="MITUB WIPES AS EXT 24PCSX45S BGF 31371 43531 MBW21"/>
    <n v="30321070045001"/>
    <n v="0"/>
    <s v="MITU BABY WIPES ANTISEPTIC BOGOF 45s"/>
    <x v="5"/>
    <s v="8992745550532"/>
    <x v="5"/>
    <s v="MITU BABY WIPES ANTISEPTIC"/>
    <s v="G1171"/>
    <x v="156"/>
    <n v="14"/>
    <s v="MITU BABY WIPES ANTISEPTIC EXTRA 45S X 24 PCS BOGOF"/>
    <n v="51"/>
    <m/>
    <s v="G1"/>
    <s v="MITU BABY WIPES"/>
    <s v="17"/>
    <s v="ANTISEPTIC"/>
    <n v="1"/>
    <m/>
    <s v="0"/>
    <s v="EXTRA"/>
    <s v="01"/>
    <s v="45S"/>
    <s v="0045"/>
    <s v="PCS"/>
    <n v="1"/>
    <s v="BOGOF"/>
    <n v="1"/>
    <m/>
    <m/>
    <m/>
    <n v="30321070045001"/>
    <m/>
    <m/>
    <n v="24"/>
    <n v="10668.35"/>
    <n v="256040.40000000002"/>
    <n v="11841.868500000002"/>
    <n v="284204.84400000004"/>
    <n v="11410"/>
    <n v="273840"/>
    <n v="12665.1"/>
    <n v="303962.40000000002"/>
    <n v="0"/>
    <n v="0"/>
    <n v="0"/>
    <n v="0"/>
    <n v="6.4999999999999974E-2"/>
    <n v="-10668.35"/>
    <e v="#DIV/0!"/>
    <m/>
    <m/>
    <s v="Lama"/>
    <s v="Sama"/>
    <m/>
    <s v="IDR"/>
    <s v="0045"/>
    <s v="45S"/>
    <m/>
    <m/>
    <s v="KRT"/>
    <s v="GD01"/>
    <n v="11611"/>
    <n v="11612"/>
    <m/>
    <n v="1"/>
    <m/>
    <n v="24"/>
  </r>
  <r>
    <s v="G1171002000410"/>
    <m/>
    <n v="30320030060010"/>
    <x v="247"/>
    <s v="MITUB WIPES AS REFRESH 288PCSX4S 27227 58367 MBW17"/>
    <n v="30321060004000"/>
    <n v="0"/>
    <s v="MITU BABY WIPES AS REFRESHING 4'S"/>
    <x v="11"/>
    <s v="8992745326755"/>
    <x v="5"/>
    <s v="MITU BABY WIPES ANTISEPTIC"/>
    <s v="G1171"/>
    <x v="157"/>
    <n v="14"/>
    <s v="MITU BABY WIPES ANTISEPTIC REFRESHING 4S X 288 PCS"/>
    <n v="50"/>
    <m/>
    <s v="G1"/>
    <s v="MITU BABY WIPES"/>
    <s v="17"/>
    <s v="ANTISEPTIC"/>
    <n v="1"/>
    <m/>
    <s v="0"/>
    <s v="REFRESHING"/>
    <s v="02"/>
    <s v="4S"/>
    <s v="0004"/>
    <s v="PCS"/>
    <n v="1"/>
    <m/>
    <n v="0"/>
    <m/>
    <m/>
    <m/>
    <n v="30321060004000"/>
    <m/>
    <m/>
    <n v="288"/>
    <n v="635.79999999999995"/>
    <n v="183110.39999999999"/>
    <n v="705.73800000000006"/>
    <n v="203252.54400000002"/>
    <n v="680"/>
    <n v="195840"/>
    <n v="754.80000000000007"/>
    <n v="217382.40000000002"/>
    <n v="0"/>
    <n v="0"/>
    <n v="0"/>
    <n v="0"/>
    <n v="6.5000000000000072E-2"/>
    <n v="-635.79999999999995"/>
    <e v="#DIV/0!"/>
    <m/>
    <m/>
    <s v="Lama"/>
    <s v="Sama"/>
    <m/>
    <s v="IDR"/>
    <s v="0004"/>
    <s v="4S"/>
    <m/>
    <m/>
    <s v="KRT"/>
    <s v="GD01"/>
    <n v="11611"/>
    <n v="11612"/>
    <m/>
    <n v="1"/>
    <m/>
    <n v="288"/>
  </r>
  <r>
    <s v="G1171002000410"/>
    <m/>
    <n v="30320030010000"/>
    <x v="248"/>
    <s v="MITUB WIPES AS REFRESH 288PCSX4S 27227 58367 MBW17"/>
    <n v="30321060004000"/>
    <n v="0"/>
    <s v="MITU BABY WIPES AS REFRESHING 4`S"/>
    <x v="11"/>
    <s v="8992745326755"/>
    <x v="5"/>
    <s v="MITU BABY WIPES ANTISEPTIC"/>
    <s v="G1171"/>
    <x v="157"/>
    <n v="14"/>
    <s v="MITU BABY WIPES ANTISEPTIC REFRESHING 4S X 288 PCS"/>
    <n v="50"/>
    <m/>
    <s v="G1"/>
    <s v="MITU BABY WIPES"/>
    <s v="17"/>
    <s v="ANTISEPTIC"/>
    <n v="1"/>
    <m/>
    <s v="0"/>
    <s v="REFRESHING"/>
    <s v="02"/>
    <s v="4S"/>
    <s v="0004"/>
    <s v="PCS"/>
    <n v="1"/>
    <m/>
    <n v="0"/>
    <m/>
    <m/>
    <m/>
    <n v="30321060004000"/>
    <m/>
    <m/>
    <n v="288"/>
    <n v="635.79999999999995"/>
    <n v="183110.39999999999"/>
    <n v="705.73800000000006"/>
    <n v="203252.54400000002"/>
    <n v="680"/>
    <n v="195840"/>
    <n v="754.80000000000007"/>
    <n v="217382.40000000002"/>
    <n v="0"/>
    <n v="0"/>
    <n v="0"/>
    <n v="0"/>
    <n v="6.5000000000000072E-2"/>
    <n v="-635.79999999999995"/>
    <e v="#DIV/0!"/>
    <m/>
    <m/>
    <s v="Lama"/>
    <s v="Sama"/>
    <m/>
    <s v="IDR"/>
    <s v="0004"/>
    <s v="4S"/>
    <m/>
    <m/>
    <s v="KRT"/>
    <s v="GD01"/>
    <n v="11611"/>
    <n v="11612"/>
    <m/>
    <n v="1"/>
    <m/>
    <n v="288"/>
  </r>
  <r>
    <s v="G1171002001011"/>
    <m/>
    <n v="30320030004000"/>
    <x v="249"/>
    <s v="MITUB WIPES AS REFRSH 144 PCSX10S BGF 27228 MBW18"/>
    <n v="30321060010001"/>
    <n v="0"/>
    <s v="MITU BABY WIPES AS REFRESHING 10`S B1G1"/>
    <x v="1"/>
    <s v="8992745540687"/>
    <x v="5"/>
    <s v="MITU BABY WIPES ANTISEPTIC"/>
    <s v="G1171"/>
    <x v="158"/>
    <n v="14"/>
    <s v="MITU BABY WIPES ANTISEPTIC REFRESHING 10S X 144 PCS BOGOF"/>
    <n v="57"/>
    <m/>
    <s v="G1"/>
    <s v="MITU BABY WIPES"/>
    <s v="17"/>
    <s v="ANTISEPTIC"/>
    <n v="1"/>
    <m/>
    <s v="0"/>
    <s v="REFRESHING"/>
    <s v="02"/>
    <s v="10S"/>
    <s v="0010"/>
    <s v="PCS"/>
    <n v="1"/>
    <s v="BOGOF"/>
    <n v="1"/>
    <m/>
    <m/>
    <m/>
    <n v="30321060010001"/>
    <m/>
    <m/>
    <n v="144"/>
    <n v="4301"/>
    <n v="619344"/>
    <n v="4774.1100000000006"/>
    <n v="687471.84000000008"/>
    <n v="4600"/>
    <n v="662400"/>
    <n v="5106"/>
    <n v="735264.00000000012"/>
    <n v="0"/>
    <n v="0"/>
    <n v="0"/>
    <n v="0"/>
    <n v="6.5000000000000002E-2"/>
    <n v="-4301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171002001011"/>
    <m/>
    <m/>
    <x v="250"/>
    <m/>
    <m/>
    <m/>
    <m/>
    <x v="1"/>
    <m/>
    <x v="5"/>
    <s v="MITU BABY WIPES ANTISEPTIC"/>
    <s v="G1171"/>
    <x v="158"/>
    <n v="14"/>
    <s v="MITU BABY WIPES ANTISEPTIC REFRESHING 10S X 144 PCS BOGOF"/>
    <n v="57"/>
    <m/>
    <s v="G1"/>
    <s v="MITU BABY WIPES"/>
    <s v="17"/>
    <s v="ANTISEPTIC"/>
    <n v="1"/>
    <m/>
    <s v="0"/>
    <s v="REFRESHING"/>
    <s v="02"/>
    <s v="10S"/>
    <s v="0010"/>
    <s v="PCS"/>
    <n v="1"/>
    <s v="BOGOF"/>
    <n v="1"/>
    <m/>
    <m/>
    <m/>
    <n v="0"/>
    <m/>
    <m/>
    <n v="144"/>
    <n v="4301"/>
    <n v="619344"/>
    <n v="4774.1100000000006"/>
    <n v="687471.84000000008"/>
    <n v="4600"/>
    <n v="662400"/>
    <n v="5106"/>
    <n v="735264.00000000012"/>
    <n v="0"/>
    <n v="0"/>
    <n v="0"/>
    <n v="0"/>
    <n v="6.5000000000000002E-2"/>
    <n v="-4301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172001000410"/>
    <m/>
    <n v="30340010090020"/>
    <x v="251"/>
    <s v="MITUB WPS F&amp;C P.CHERRY 288 PCSX4S 27230 58366"/>
    <n v="30320030004000"/>
    <n v="0"/>
    <s v="MITU BABY WIPES F&amp;C PINK CHERRY 4’S NS"/>
    <x v="11"/>
    <s v="8992745540298"/>
    <x v="5"/>
    <s v="MITU BABY WIPES F&amp;C"/>
    <s v="G1172"/>
    <x v="159"/>
    <n v="14"/>
    <s v="MITU BABY WIPES F&amp;C BLOOMING CHERRY 4S X 288 PCS"/>
    <n v="48"/>
    <m/>
    <s v="G1"/>
    <s v="MITU BABY WIPES"/>
    <s v="17"/>
    <s v="F&amp;C"/>
    <n v="2"/>
    <m/>
    <s v="0"/>
    <s v="BLOOMING CHERRY"/>
    <s v="01"/>
    <s v="4S"/>
    <s v="0004"/>
    <s v="PCS"/>
    <n v="1"/>
    <m/>
    <n v="0"/>
    <m/>
    <m/>
    <m/>
    <n v="30320030004000"/>
    <m/>
    <m/>
    <n v="288"/>
    <n v="635.79999999999995"/>
    <n v="183110.39999999999"/>
    <n v="705.73800000000006"/>
    <n v="203252.54400000002"/>
    <n v="680"/>
    <n v="195840"/>
    <n v="754.80000000000007"/>
    <n v="217382.40000000002"/>
    <n v="0"/>
    <n v="0"/>
    <n v="0"/>
    <n v="0"/>
    <n v="6.5000000000000072E-2"/>
    <n v="-635.79999999999995"/>
    <e v="#DIV/0!"/>
    <m/>
    <m/>
    <s v="Lama"/>
    <s v="Sama"/>
    <m/>
    <s v="IDR"/>
    <s v="0004"/>
    <s v="4S"/>
    <m/>
    <m/>
    <s v="KRT"/>
    <s v="GD01"/>
    <n v="11611"/>
    <n v="11612"/>
    <m/>
    <n v="1"/>
    <m/>
    <n v="288"/>
  </r>
  <r>
    <s v="G1172001000410"/>
    <m/>
    <n v="30330010250000"/>
    <x v="252"/>
    <s v="MITUB WPS F&amp;C P.CHERRY 288 PCSX4S 27230 58366"/>
    <n v="30320030004000"/>
    <n v="0"/>
    <s v="MITU BABY WIPES F&amp;C PINK CHERRY 4`S"/>
    <x v="11"/>
    <s v="8992745540298"/>
    <x v="5"/>
    <s v="MITU BABY WIPES F&amp;C"/>
    <s v="G1172"/>
    <x v="159"/>
    <n v="14"/>
    <s v="MITU BABY WIPES F&amp;C BLOOMING CHERRY 4S X 288 PCS"/>
    <n v="48"/>
    <m/>
    <s v="G1"/>
    <s v="MITU BABY WIPES"/>
    <s v="17"/>
    <s v="F&amp;C"/>
    <n v="2"/>
    <m/>
    <s v="0"/>
    <s v="BLOOMING CHERRY"/>
    <s v="01"/>
    <s v="4S"/>
    <s v="0004"/>
    <s v="PCS"/>
    <n v="1"/>
    <m/>
    <n v="0"/>
    <m/>
    <m/>
    <m/>
    <n v="30320030004000"/>
    <m/>
    <m/>
    <n v="288"/>
    <n v="635.79999999999995"/>
    <n v="183110.39999999999"/>
    <n v="705.73800000000006"/>
    <n v="203252.54400000002"/>
    <n v="680"/>
    <n v="195840"/>
    <n v="754.80000000000007"/>
    <n v="217382.40000000002"/>
    <n v="0"/>
    <n v="0"/>
    <n v="0"/>
    <n v="0"/>
    <n v="6.5000000000000072E-2"/>
    <n v="-635.79999999999995"/>
    <e v="#DIV/0!"/>
    <m/>
    <m/>
    <s v="Lama"/>
    <s v="Sama"/>
    <m/>
    <s v="IDR"/>
    <s v="0004"/>
    <s v="4S"/>
    <m/>
    <m/>
    <s v="KRT"/>
    <s v="GD01"/>
    <n v="11611"/>
    <n v="11612"/>
    <m/>
    <n v="1"/>
    <m/>
    <n v="288"/>
  </r>
  <r>
    <s v="G1172001002510"/>
    <m/>
    <n v="30321060004000"/>
    <x v="253"/>
    <s v="MITUB WIPES SINGLE F&amp;C PINK 72PCSX25S 49679 MBW23"/>
    <n v="30320040025000"/>
    <n v="0"/>
    <s v="MITU BABY WIPES F&amp;C PINK 25S SINGLE"/>
    <x v="6"/>
    <s v="8992750540856"/>
    <x v="5"/>
    <s v="MITU BABY WIPES F&amp;C"/>
    <s v="G1172"/>
    <x v="160"/>
    <n v="14"/>
    <s v="MITU BABY WIPES F&amp;C BLOOMING CHERRY 25S X 72 PCS"/>
    <n v="48"/>
    <m/>
    <s v="G1"/>
    <s v="MITU BABY WIPES"/>
    <s v="17"/>
    <s v="F&amp;C"/>
    <n v="2"/>
    <m/>
    <s v="0"/>
    <s v="BLOOMING CHERRY"/>
    <s v="01"/>
    <s v="25S"/>
    <s v="0025"/>
    <s v="PCS"/>
    <n v="1"/>
    <m/>
    <n v="0"/>
    <m/>
    <m/>
    <m/>
    <n v="30320040025000"/>
    <m/>
    <m/>
    <n v="72"/>
    <n v="3366"/>
    <n v="242352"/>
    <n v="3736.26"/>
    <n v="269010.72000000003"/>
    <n v="3600"/>
    <n v="259200"/>
    <n v="3996.0000000000005"/>
    <n v="287712"/>
    <n v="0"/>
    <n v="0"/>
    <n v="0"/>
    <n v="0"/>
    <n v="6.5000000000000002E-2"/>
    <n v="-3366"/>
    <e v="#DIV/0!"/>
    <m/>
    <m/>
    <s v="Lama"/>
    <s v="Sama"/>
    <m/>
    <s v="IDR"/>
    <s v="0025"/>
    <s v="25S"/>
    <m/>
    <m/>
    <s v="KRT"/>
    <s v="GD01"/>
    <n v="11611"/>
    <n v="11612"/>
    <m/>
    <n v="1"/>
    <m/>
    <n v="72"/>
  </r>
  <r>
    <s v="G1172001002520"/>
    <m/>
    <n v="30321060004000"/>
    <x v="254"/>
    <s v="MITUB WIPES F&amp;C PINK 72 PCS X 25S RCG 49678 MBW24"/>
    <n v="30320040025001"/>
    <n v="30320030024000"/>
    <s v="MITU BABY WIPES F&amp;C PINK 25S RENCENG."/>
    <x v="6"/>
    <s v="8992745480514"/>
    <x v="12"/>
    <s v="MITU BABY WIPES F&amp;C"/>
    <s v="G1172"/>
    <x v="161"/>
    <n v="14"/>
    <s v="MITU BABY WIPES F&amp;C BLOOMING CHERRY 25S X 72 RCG"/>
    <n v="48"/>
    <m/>
    <s v="G1"/>
    <s v="MITU BABY WIPES"/>
    <s v="17"/>
    <s v="F&amp;C"/>
    <n v="2"/>
    <m/>
    <s v="0"/>
    <s v="BLOOMING CHERRY"/>
    <s v="01"/>
    <s v="25S"/>
    <s v="0025"/>
    <s v="RCG"/>
    <n v="2"/>
    <m/>
    <n v="0"/>
    <m/>
    <m/>
    <m/>
    <n v="30320040025001"/>
    <m/>
    <m/>
    <n v="72"/>
    <n v="3366"/>
    <n v="242352"/>
    <n v="3736.26"/>
    <n v="269010.72000000003"/>
    <n v="3600"/>
    <n v="259200"/>
    <n v="3996.0000000000005"/>
    <n v="287712"/>
    <n v="0"/>
    <n v="0"/>
    <n v="0"/>
    <n v="0"/>
    <n v="6.5000000000000002E-2"/>
    <n v="-3366"/>
    <e v="#DIV/0!"/>
    <m/>
    <m/>
    <s v="Lama"/>
    <s v="Sama"/>
    <m/>
    <s v="IDR"/>
    <s v="0025"/>
    <s v="25S"/>
    <m/>
    <m/>
    <s v="KRT"/>
    <s v="GD01"/>
    <n v="11611"/>
    <n v="11612"/>
    <m/>
    <n v="1"/>
    <m/>
    <n v="72"/>
  </r>
  <r>
    <s v="G1172001003010"/>
    <m/>
    <n v="30351010150000"/>
    <x v="255"/>
    <s v="MITUB WIPES F&amp;C B.CHRY 72PCSX30S 38278 39256 MBW22"/>
    <n v="30320080030000"/>
    <n v="0"/>
    <s v="MITU BW F&amp;C BLOOMING CHERRY 30`s SINGLE"/>
    <x v="6"/>
    <s v="8992745480518"/>
    <x v="5"/>
    <s v="MITU BABY WIPES F&amp;C"/>
    <s v="G1172"/>
    <x v="162"/>
    <n v="14"/>
    <s v="MITU BABY WIPES F&amp;C BLOOMING CHERRY 30S X 72 PCS"/>
    <n v="48"/>
    <m/>
    <s v="G1"/>
    <s v="MITU BABY WIPES"/>
    <s v="17"/>
    <s v="F&amp;C"/>
    <n v="2"/>
    <m/>
    <s v="0"/>
    <s v="BLOOMING CHERRY"/>
    <s v="01"/>
    <s v="30S"/>
    <s v="0030"/>
    <s v="PCS"/>
    <n v="1"/>
    <m/>
    <n v="0"/>
    <m/>
    <m/>
    <m/>
    <n v="30320080030000"/>
    <m/>
    <m/>
    <n v="72"/>
    <n v="3366"/>
    <n v="242352"/>
    <n v="3736.26"/>
    <n v="269010.72000000003"/>
    <n v="3600"/>
    <n v="259200"/>
    <n v="3996.0000000000005"/>
    <n v="287712"/>
    <n v="0"/>
    <n v="0"/>
    <n v="0"/>
    <n v="0"/>
    <n v="6.5000000000000002E-2"/>
    <n v="-3366"/>
    <e v="#DIV/0!"/>
    <m/>
    <m/>
    <s v="Lama"/>
    <s v="Sama"/>
    <m/>
    <s v="IDR"/>
    <s v="0030"/>
    <s v="30S"/>
    <m/>
    <m/>
    <s v="KRT"/>
    <s v="GD01"/>
    <n v="11611"/>
    <n v="11612"/>
    <m/>
    <n v="1"/>
    <m/>
    <n v="72"/>
  </r>
  <r>
    <s v="G1172002000410"/>
    <m/>
    <n v="30320040040002"/>
    <x v="256"/>
    <s v="MITUB WIPES F&amp;C B.BERRY 288 PCS X 4S 58365 MBW38"/>
    <n v="30320020004000"/>
    <n v="0"/>
    <s v="MITU BABY WIPES F&amp;C BLUE BERRY 4`S"/>
    <x v="11"/>
    <s v="8992745550242"/>
    <x v="5"/>
    <s v="MITU BABY WIPES F&amp;C"/>
    <s v="G1172"/>
    <x v="163"/>
    <n v="14"/>
    <s v="MITU BABY WIPES F&amp;C BLOSSOM BERRY 4S X 288 PCS"/>
    <n v="46"/>
    <m/>
    <s v="G1"/>
    <s v="MITU BABY WIPES"/>
    <s v="17"/>
    <s v="F&amp;C"/>
    <n v="2"/>
    <m/>
    <s v="0"/>
    <s v="BLOSSOM BERRY"/>
    <s v="02"/>
    <s v="4S"/>
    <s v="0004"/>
    <s v="PCS"/>
    <n v="1"/>
    <m/>
    <n v="0"/>
    <m/>
    <m/>
    <m/>
    <n v="30320020004000"/>
    <m/>
    <m/>
    <n v="288"/>
    <n v="635.79999999999995"/>
    <n v="183110.39999999999"/>
    <n v="705.73800000000006"/>
    <n v="203252.54400000002"/>
    <n v="680"/>
    <n v="195840"/>
    <n v="754.80000000000007"/>
    <n v="217382.40000000002"/>
    <n v="0"/>
    <n v="0"/>
    <n v="0"/>
    <n v="0"/>
    <n v="6.5000000000000072E-2"/>
    <n v="-635.79999999999995"/>
    <e v="#DIV/0!"/>
    <m/>
    <m/>
    <s v="Lama"/>
    <s v="Sama"/>
    <m/>
    <s v="IDR"/>
    <s v="0004"/>
    <s v="4S"/>
    <m/>
    <m/>
    <s v="KRT"/>
    <s v="GD01"/>
    <n v="11611"/>
    <n v="11612"/>
    <m/>
    <n v="1"/>
    <m/>
    <n v="288"/>
  </r>
  <r>
    <s v="G1172002000410"/>
    <m/>
    <n v="30320050025000"/>
    <x v="257"/>
    <s v="MITUB WIPES F&amp;C B.BERRY 288 PCS X 4S 58365 MBW38"/>
    <n v="31320030004000"/>
    <n v="0"/>
    <s v="MITU BABY WIPES F&amp;C BLUE BERRY 4’S NS"/>
    <x v="11"/>
    <s v="8992745550242"/>
    <x v="5"/>
    <s v="MITU BABY WIPES F&amp;C"/>
    <s v="G1172"/>
    <x v="163"/>
    <n v="14"/>
    <s v="MITU BABY WIPES F&amp;C BLOSSOM BERRY 4S X 288 PCS"/>
    <n v="46"/>
    <m/>
    <s v="G1"/>
    <s v="MITU BABY WIPES"/>
    <s v="17"/>
    <s v="F&amp;C"/>
    <n v="2"/>
    <m/>
    <s v="0"/>
    <s v="BLOSSOM BERRY"/>
    <s v="02"/>
    <s v="4S"/>
    <s v="0004"/>
    <s v="PCS"/>
    <n v="1"/>
    <m/>
    <n v="0"/>
    <m/>
    <m/>
    <m/>
    <n v="31320030004000"/>
    <m/>
    <m/>
    <n v="288"/>
    <n v="635.79999999999995"/>
    <n v="183110.39999999999"/>
    <n v="705.73800000000006"/>
    <n v="203252.54400000002"/>
    <n v="680"/>
    <n v="195840"/>
    <n v="754.80000000000007"/>
    <n v="217382.40000000002"/>
    <n v="0"/>
    <n v="0"/>
    <n v="0"/>
    <n v="0"/>
    <n v="6.5000000000000072E-2"/>
    <n v="-635.79999999999995"/>
    <e v="#DIV/0!"/>
    <m/>
    <m/>
    <s v="Lama"/>
    <s v="Sama"/>
    <m/>
    <s v="IDR"/>
    <s v="0004"/>
    <s v="4S"/>
    <m/>
    <m/>
    <s v="KRT"/>
    <s v="GD01"/>
    <n v="11611"/>
    <n v="11612"/>
    <m/>
    <n v="1"/>
    <m/>
    <n v="288"/>
  </r>
  <r>
    <s v="G1172002001011"/>
    <m/>
    <n v="30320080030000"/>
    <x v="258"/>
    <s v="MITUB WIPES F&amp;C B.BRY 144 PCSX10S BGF 27233 MBW03"/>
    <n v="30320020010001"/>
    <n v="0"/>
    <s v="MITU BABY WIPES F&amp;C BLUEBERRY 10'S BOGOF"/>
    <x v="1"/>
    <s v="8992750540917"/>
    <x v="5"/>
    <s v="MITU BABY WIPES F&amp;C"/>
    <s v="G1172"/>
    <x v="164"/>
    <n v="14"/>
    <s v="MITU BABY WIPES F&amp;C BLOSSOM BERRY 10S X 144 PCS BOGOF"/>
    <n v="53"/>
    <m/>
    <s v="G1"/>
    <s v="MITU BABY WIPES"/>
    <s v="17"/>
    <s v="F&amp;C"/>
    <n v="2"/>
    <m/>
    <s v="0"/>
    <s v="BLOSSOM BERRY"/>
    <s v="02"/>
    <s v="10S"/>
    <s v="0010"/>
    <s v="PCS"/>
    <n v="1"/>
    <s v="BOGOF"/>
    <n v="1"/>
    <m/>
    <m/>
    <m/>
    <n v="30320020010001"/>
    <m/>
    <m/>
    <n v="144"/>
    <n v="4095.3"/>
    <n v="589723.20000000007"/>
    <n v="4545.7830000000004"/>
    <n v="654592.75200000009"/>
    <n v="4380"/>
    <n v="630720"/>
    <n v="4861.8"/>
    <n v="700099.20000000007"/>
    <n v="0"/>
    <n v="0"/>
    <n v="0"/>
    <n v="0"/>
    <n v="6.4999999999999961E-2"/>
    <n v="-4095.3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172002002010"/>
    <m/>
    <n v="30320020020000"/>
    <x v="259"/>
    <s v="MITUB WIPES F&amp;C B.BERRY 72 PCS X 20S &quot;27235&quot;MBW04"/>
    <n v="30320020020000"/>
    <n v="0"/>
    <n v="0"/>
    <x v="6"/>
    <n v="0"/>
    <x v="5"/>
    <s v="MITU BABY WIPES F&amp;C"/>
    <s v="G1172"/>
    <x v="165"/>
    <n v="14"/>
    <s v="MITU BABY WIPES F&amp;C BLOSSOM BERRY 20S X 72 PCS"/>
    <n v="46"/>
    <m/>
    <s v="G1"/>
    <s v="MITU BABY WIPES"/>
    <s v="17"/>
    <s v="F&amp;C"/>
    <n v="2"/>
    <m/>
    <s v="0"/>
    <s v="BLOSSOM BERRY"/>
    <s v="02"/>
    <s v="20S"/>
    <s v="0020"/>
    <s v="PCS"/>
    <n v="1"/>
    <m/>
    <n v="0"/>
    <m/>
    <m/>
    <m/>
    <n v="30320020020000"/>
    <m/>
    <m/>
    <n v="72"/>
    <n v="3833.5"/>
    <n v="276012"/>
    <n v="4255.1850000000004"/>
    <n v="306373.32"/>
    <n v="4100"/>
    <n v="295200"/>
    <n v="4551"/>
    <n v="327672"/>
    <n v="0"/>
    <n v="0"/>
    <n v="0"/>
    <n v="0"/>
    <n v="6.5000000000000002E-2"/>
    <n v="-3833.5"/>
    <e v="#DIV/0!"/>
    <m/>
    <m/>
    <s v="Lama"/>
    <s v="Sama"/>
    <m/>
    <s v="IDR"/>
    <s v="0020"/>
    <s v="20S"/>
    <m/>
    <m/>
    <s v="KRT"/>
    <s v="GD01"/>
    <n v="11611"/>
    <n v="11612"/>
    <m/>
    <n v="1"/>
    <m/>
    <n v="72"/>
  </r>
  <r>
    <s v="G1172002002410"/>
    <m/>
    <n v="30320020024000"/>
    <x v="260"/>
    <s v="MITUB WIPES F&amp;C B.BERRY 36 PCS X 24S &quot;27237&quot;MBW05"/>
    <n v="30320020024000"/>
    <n v="0"/>
    <n v="0"/>
    <x v="9"/>
    <n v="0"/>
    <x v="5"/>
    <s v="MITU BABY WIPES F&amp;C"/>
    <s v="G1172"/>
    <x v="166"/>
    <n v="14"/>
    <s v="MITU BABY WIPES F&amp;C BLOSSOM BERRY 24S X 36 PCS"/>
    <n v="46"/>
    <m/>
    <s v="G1"/>
    <s v="MITU BABY WIPES"/>
    <s v="17"/>
    <s v="F&amp;C"/>
    <n v="2"/>
    <m/>
    <s v="0"/>
    <s v="BLOSSOM BERRY"/>
    <s v="02"/>
    <s v="24S"/>
    <s v="0024"/>
    <s v="PCS"/>
    <n v="1"/>
    <m/>
    <n v="0"/>
    <m/>
    <m/>
    <m/>
    <n v="30320020024000"/>
    <m/>
    <m/>
    <n v="36"/>
    <n v="3366"/>
    <n v="121176"/>
    <n v="3736.26"/>
    <n v="134505.36000000002"/>
    <n v="3600"/>
    <n v="129600"/>
    <n v="3996.0000000000005"/>
    <n v="143856"/>
    <n v="0"/>
    <n v="0"/>
    <n v="0"/>
    <n v="0"/>
    <n v="6.5000000000000002E-2"/>
    <n v="-3366"/>
    <e v="#DIV/0!"/>
    <m/>
    <m/>
    <s v="Lama"/>
    <s v="Sama"/>
    <m/>
    <s v="IDR"/>
    <s v="0024"/>
    <s v="24S"/>
    <m/>
    <m/>
    <s v="KRT"/>
    <s v="GD01"/>
    <n v="11611"/>
    <n v="11612"/>
    <m/>
    <n v="1"/>
    <m/>
    <n v="36"/>
  </r>
  <r>
    <s v="G1172002002510"/>
    <m/>
    <n v="30320040025000"/>
    <x v="261"/>
    <s v="MITUB WIPES F&amp;C BLUE 72 PCS X 25S 49680 MBW25"/>
    <n v="30320050025000"/>
    <n v="30320080030000"/>
    <s v="MITU BABY WIPES F&amp;C BLUE 25S SINGLE."/>
    <x v="6"/>
    <s v="8992745540717"/>
    <x v="5"/>
    <s v="MITU BABY WIPES F&amp;C"/>
    <s v="G1172"/>
    <x v="167"/>
    <n v="14"/>
    <s v="MITU BABY WIPES F&amp;C BLOSSOM BERRY 25S X 72 PCS"/>
    <n v="46"/>
    <m/>
    <s v="G1"/>
    <s v="MITU BABY WIPES"/>
    <s v="17"/>
    <s v="F&amp;C"/>
    <n v="2"/>
    <m/>
    <s v="0"/>
    <s v="BLOSSOM BERRY"/>
    <s v="02"/>
    <s v="25s"/>
    <s v="0025"/>
    <s v="PCS"/>
    <n v="1"/>
    <m/>
    <n v="0"/>
    <m/>
    <m/>
    <m/>
    <n v="30320050025000"/>
    <m/>
    <m/>
    <n v="72"/>
    <n v="3366"/>
    <n v="242352"/>
    <n v="3736.26"/>
    <n v="269010.72000000003"/>
    <n v="3600"/>
    <n v="259200"/>
    <n v="3996.0000000000005"/>
    <n v="287712"/>
    <n v="0"/>
    <n v="0"/>
    <n v="0"/>
    <n v="0"/>
    <n v="6.5000000000000002E-2"/>
    <n v="-3366"/>
    <e v="#DIV/0!"/>
    <m/>
    <m/>
    <s v="Lama"/>
    <s v="Sama"/>
    <m/>
    <s v="IDR"/>
    <s v="0025"/>
    <s v="25s"/>
    <m/>
    <m/>
    <s v="KRT"/>
    <s v="GD01"/>
    <n v="11611"/>
    <n v="11612"/>
    <m/>
    <n v="1"/>
    <m/>
    <n v="72"/>
  </r>
  <r>
    <s v="G1172002004011"/>
    <m/>
    <n v="30320040025001"/>
    <x v="262"/>
    <s v="MITUB WIPES F&amp;C B 24 PCS X 40SBGF+20S 31569 MBW16"/>
    <n v="30320050040002"/>
    <n v="0"/>
    <s v="MITU BABY WIPES F&amp;C BLUE 40S BOGOF+20S"/>
    <x v="5"/>
    <s v="8992745550525"/>
    <x v="5"/>
    <s v="MITU BABY WIPES F&amp;C"/>
    <s v="G1172"/>
    <x v="168"/>
    <n v="14"/>
    <s v="MITU BABY WIPES F&amp;C BLOSSOM BERRY 40S X 24 PCS BOGOF"/>
    <n v="52"/>
    <m/>
    <s v="G1"/>
    <s v="MITU BABY WIPES"/>
    <s v="17"/>
    <s v="F&amp;C"/>
    <n v="2"/>
    <m/>
    <s v="0"/>
    <s v="BLOSSOM BERRY"/>
    <s v="02"/>
    <s v="40S"/>
    <s v="0040"/>
    <s v="PCS"/>
    <n v="1"/>
    <s v="BOGOF"/>
    <n v="1"/>
    <m/>
    <m/>
    <m/>
    <n v="30320050040002"/>
    <m/>
    <m/>
    <n v="24"/>
    <n v="9882.9500000000007"/>
    <n v="237190.80000000002"/>
    <n v="10970.074500000002"/>
    <n v="263281.78800000006"/>
    <n v="10570"/>
    <n v="253680"/>
    <n v="11732.7"/>
    <n v="281584.80000000005"/>
    <n v="0"/>
    <n v="0"/>
    <n v="0"/>
    <n v="0"/>
    <n v="6.4999999999999933E-2"/>
    <n v="-9882.9500000000007"/>
    <e v="#DIV/0!"/>
    <m/>
    <m/>
    <s v="Lama"/>
    <s v="Sama"/>
    <m/>
    <s v="IDR"/>
    <s v="0040"/>
    <s v="40S"/>
    <m/>
    <m/>
    <s v="KRT"/>
    <s v="GD01"/>
    <n v="11611"/>
    <n v="11612"/>
    <m/>
    <n v="1"/>
    <m/>
    <n v="24"/>
  </r>
  <r>
    <s v="G1172002004011"/>
    <m/>
    <m/>
    <x v="263"/>
    <m/>
    <m/>
    <m/>
    <m/>
    <x v="5"/>
    <s v="8992745550525"/>
    <x v="5"/>
    <s v="MITU BABY WIPES F&amp;C"/>
    <s v="G1172"/>
    <x v="168"/>
    <n v="14"/>
    <s v="MITU BABY WIPES F&amp;C BLOSSOM BERRY 40S X 24 PCS BOGOF"/>
    <n v="52"/>
    <m/>
    <s v="G1"/>
    <s v="MITU BABY WIPES"/>
    <s v="17"/>
    <s v="F&amp;C"/>
    <n v="2"/>
    <m/>
    <s v="0"/>
    <s v="BLOSSOM BERRY"/>
    <s v="02"/>
    <s v="40S"/>
    <s v="0040"/>
    <s v="PCS"/>
    <n v="1"/>
    <s v="BOGOF"/>
    <n v="1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0"/>
    <s v="40S"/>
    <m/>
    <m/>
    <s v="KRT"/>
    <s v="GD01"/>
    <n v="11611"/>
    <n v="11612"/>
    <m/>
    <n v="1"/>
    <m/>
    <n v="24"/>
  </r>
  <r>
    <s v="G1172002006010"/>
    <m/>
    <n v="30320020060000"/>
    <x v="264"/>
    <s v="MITUB WIPES F&amp;C B.BERRY 24 PCS X 60S &quot;27243&quot;MBW06"/>
    <n v="30320020060000"/>
    <n v="0"/>
    <n v="0"/>
    <x v="5"/>
    <n v="0"/>
    <x v="5"/>
    <s v="MITU BABY WIPES F&amp;C"/>
    <s v="G1172"/>
    <x v="169"/>
    <n v="14"/>
    <s v="MITU BABY WIPES F&amp;C BLOSSOM BERRY 60S X 24 PCS"/>
    <n v="46"/>
    <m/>
    <s v="G1"/>
    <s v="MITU BABY WIPES"/>
    <s v="17"/>
    <s v="F&amp;C"/>
    <n v="2"/>
    <m/>
    <s v="0"/>
    <s v="BLOSSOM BERRY"/>
    <s v="02"/>
    <s v="60S"/>
    <s v="0060"/>
    <s v="PCS"/>
    <n v="1"/>
    <m/>
    <n v="0"/>
    <m/>
    <m/>
    <m/>
    <n v="30320020060000"/>
    <m/>
    <m/>
    <n v="24"/>
    <n v="11126.5"/>
    <n v="267036"/>
    <n v="12350.415000000001"/>
    <n v="296409.96000000002"/>
    <n v="11900"/>
    <n v="285600"/>
    <n v="13209.000000000002"/>
    <n v="317016"/>
    <n v="0"/>
    <n v="0"/>
    <n v="0"/>
    <n v="0"/>
    <n v="6.5000000000000002E-2"/>
    <n v="-11126.5"/>
    <e v="#DIV/0!"/>
    <m/>
    <m/>
    <s v="Lama"/>
    <s v="Sama"/>
    <m/>
    <s v="IDR"/>
    <s v="0060"/>
    <s v="60S"/>
    <m/>
    <m/>
    <s v="KRT"/>
    <s v="GD01"/>
    <n v="11611"/>
    <n v="11612"/>
    <m/>
    <n v="1"/>
    <m/>
    <n v="24"/>
  </r>
  <r>
    <s v="G1172002006020"/>
    <m/>
    <n v="30320050040002"/>
    <x v="265"/>
    <s v="MITUB WIPES F&amp;C B.BERRY 24 BTL X 60S 27241 MBW07"/>
    <n v="30320020060010"/>
    <n v="0"/>
    <s v="MITU BABY WIPES F&amp;C BLUE BERRY 60'S BT"/>
    <x v="5"/>
    <s v="8992750540412"/>
    <x v="6"/>
    <s v="MITU BABY WIPES F&amp;C"/>
    <s v="G1172"/>
    <x v="170"/>
    <n v="14"/>
    <s v="MITU BABY WIPES F&amp;C BLOSSOM BERRY 60S X 24 BTL"/>
    <n v="46"/>
    <m/>
    <s v="G1"/>
    <s v="MITU BABY WIPES"/>
    <s v="17"/>
    <s v="F&amp;C"/>
    <n v="2"/>
    <m/>
    <s v="0"/>
    <s v="BLOSSOM BERRY"/>
    <s v="02"/>
    <s v="60S"/>
    <s v="0060"/>
    <s v="BTL"/>
    <n v="2"/>
    <m/>
    <n v="0"/>
    <m/>
    <m/>
    <m/>
    <n v="30320020060010"/>
    <m/>
    <m/>
    <n v="24"/>
    <n v="13482.7"/>
    <n v="323584.80000000005"/>
    <n v="14965.797000000002"/>
    <n v="359179.12800000008"/>
    <n v="14420"/>
    <n v="346080"/>
    <n v="16006.2"/>
    <n v="384148.80000000005"/>
    <n v="0"/>
    <n v="0"/>
    <n v="0"/>
    <n v="0"/>
    <n v="6.4999999999999947E-2"/>
    <n v="-13482.7"/>
    <e v="#DIV/0!"/>
    <m/>
    <m/>
    <s v="Lama"/>
    <s v="Sama"/>
    <m/>
    <s v="IDR"/>
    <s v="0060"/>
    <s v="60S"/>
    <m/>
    <m/>
    <s v="KRT"/>
    <s v="GD01"/>
    <n v="11611"/>
    <n v="11612"/>
    <m/>
    <n v="1"/>
    <m/>
    <n v="24"/>
  </r>
  <r>
    <s v="G1172003001010"/>
    <m/>
    <n v="30321070045001"/>
    <x v="266"/>
    <s v="MITUB WIPES F&amp;C P.CHERRY 144 PCSX10S 27232 MBW09"/>
    <n v="30320030010000"/>
    <n v="0"/>
    <s v="MITU BABY WIPES F&amp;C PINK CHERRY 10`S"/>
    <x v="1"/>
    <s v="8992750540900"/>
    <x v="5"/>
    <s v="MITU BABY WIPES F&amp;C"/>
    <s v="G1172"/>
    <x v="171"/>
    <n v="14"/>
    <s v="MITU BABY WIPES F&amp;C PINK CHERRY 10S X 144 PCS"/>
    <n v="45"/>
    <m/>
    <s v="G1"/>
    <s v="MITU BABY WIPES"/>
    <s v="17"/>
    <s v="F&amp;C"/>
    <n v="2"/>
    <m/>
    <s v="0"/>
    <s v="PINK CHERRY"/>
    <s v="03"/>
    <s v="10S"/>
    <s v="0010"/>
    <s v="PCS"/>
    <n v="1"/>
    <m/>
    <n v="0"/>
    <m/>
    <m/>
    <m/>
    <n v="30320030010000"/>
    <m/>
    <m/>
    <n v="144"/>
    <n v="2627.35"/>
    <n v="378338.39999999997"/>
    <n v="2916.3585000000003"/>
    <n v="419955.62400000001"/>
    <n v="2810"/>
    <n v="404640"/>
    <n v="3119.1000000000004"/>
    <n v="449150.4"/>
    <n v="0"/>
    <n v="0"/>
    <n v="0"/>
    <n v="0"/>
    <n v="6.500000000000003E-2"/>
    <n v="-2627.35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172003002010"/>
    <m/>
    <n v="30320030020000"/>
    <x v="267"/>
    <s v="MITUB WIPES F&amp;C P.CHERRY 72 PCS X 20S&quot;27234&quot;MBW10"/>
    <n v="30320030020000"/>
    <n v="0"/>
    <n v="0"/>
    <x v="6"/>
    <n v="0"/>
    <x v="5"/>
    <s v="MITU BABY WIPES F&amp;C"/>
    <s v="G1172"/>
    <x v="172"/>
    <n v="14"/>
    <s v="MITU BABY WIPES F&amp;C PINK CHERRY 20S X 72 PCS"/>
    <n v="44"/>
    <m/>
    <s v="G1"/>
    <s v="MITU BABY WIPES"/>
    <s v="17"/>
    <s v="F&amp;C"/>
    <n v="2"/>
    <m/>
    <s v="0"/>
    <s v="PINK CHERRY"/>
    <s v="03"/>
    <s v="20S"/>
    <s v="0020"/>
    <s v="PCS"/>
    <n v="1"/>
    <m/>
    <n v="0"/>
    <m/>
    <m/>
    <m/>
    <n v="30320030020000"/>
    <m/>
    <m/>
    <n v="72"/>
    <n v="3833.5"/>
    <n v="276012"/>
    <n v="4255.1850000000004"/>
    <n v="306373.32"/>
    <n v="4100"/>
    <n v="295200"/>
    <n v="4551"/>
    <n v="327672"/>
    <n v="0"/>
    <n v="0"/>
    <n v="0"/>
    <n v="0"/>
    <n v="6.5000000000000002E-2"/>
    <n v="-3833.5"/>
    <e v="#DIV/0!"/>
    <m/>
    <m/>
    <s v="Lama"/>
    <s v="Sama"/>
    <m/>
    <s v="IDR"/>
    <s v="0020"/>
    <s v="20S"/>
    <m/>
    <m/>
    <s v="KRT"/>
    <s v="GD01"/>
    <n v="11611"/>
    <n v="11612"/>
    <m/>
    <n v="1"/>
    <m/>
    <n v="72"/>
  </r>
  <r>
    <s v="G1172003002410"/>
    <m/>
    <n v="30320030024000"/>
    <x v="268"/>
    <s v="MITUB WIPES F&amp;C P.CHERRY 36 PCS X 24S&quot;27236&quot;MBW11"/>
    <n v="30320030024000"/>
    <n v="0"/>
    <n v="0"/>
    <x v="9"/>
    <n v="0"/>
    <x v="5"/>
    <s v="MITU BABY WIPES F&amp;C"/>
    <s v="G1172"/>
    <x v="173"/>
    <n v="14"/>
    <s v="MITU BABY WIPES F&amp;C PINK CHERRY 24S X 36 PCS"/>
    <n v="44"/>
    <m/>
    <s v="G1"/>
    <s v="MITU BABY WIPES"/>
    <s v="17"/>
    <s v="F&amp;C"/>
    <n v="2"/>
    <m/>
    <s v="0"/>
    <s v="PINK CHERRY"/>
    <s v="03"/>
    <s v="24S"/>
    <s v="0024"/>
    <s v="PCS"/>
    <n v="1"/>
    <m/>
    <n v="0"/>
    <m/>
    <m/>
    <m/>
    <n v="30320030024000"/>
    <m/>
    <m/>
    <n v="36"/>
    <n v="3366"/>
    <n v="121176"/>
    <n v="3736.26"/>
    <n v="134505.36000000002"/>
    <n v="3600"/>
    <n v="129600"/>
    <n v="3996.0000000000005"/>
    <n v="143856"/>
    <n v="0"/>
    <n v="0"/>
    <n v="0"/>
    <n v="0"/>
    <n v="6.5000000000000002E-2"/>
    <n v="-3366"/>
    <e v="#DIV/0!"/>
    <m/>
    <m/>
    <s v="Lama"/>
    <s v="Sama"/>
    <m/>
    <s v="IDR"/>
    <s v="0024"/>
    <s v="24S"/>
    <m/>
    <m/>
    <s v="KRT"/>
    <s v="GD01"/>
    <n v="11611"/>
    <n v="11612"/>
    <m/>
    <n v="1"/>
    <m/>
    <n v="36"/>
  </r>
  <r>
    <s v="G1172003004011"/>
    <m/>
    <n v="30321060010001"/>
    <x v="269"/>
    <s v="MITUB WIPES F&amp;C P 24 PCS X 40SBGF+20S 31568 MBW15"/>
    <n v="30320040040002"/>
    <n v="0"/>
    <s v="MITU BABY WIPES F&amp;C PINK 40S BOGOF+20S"/>
    <x v="5"/>
    <s v="8992745550518"/>
    <x v="5"/>
    <s v="MITU BABY WIPES F&amp;C"/>
    <s v="G1172"/>
    <x v="174"/>
    <n v="14"/>
    <s v="MITU BABY WIPES F&amp;C PINK CHERRY 40S X 24 PCS BOGOF"/>
    <n v="50"/>
    <m/>
    <s v="G1"/>
    <s v="MITU BABY WIPES"/>
    <s v="17"/>
    <s v="F&amp;C"/>
    <n v="2"/>
    <m/>
    <s v="0"/>
    <s v="PINK CHERRY"/>
    <s v="03"/>
    <s v="40S"/>
    <s v="0040"/>
    <s v="PCS"/>
    <n v="1"/>
    <s v="BOGOF"/>
    <n v="1"/>
    <m/>
    <m/>
    <m/>
    <n v="30320040040002"/>
    <m/>
    <m/>
    <n v="24"/>
    <n v="9882.9500000000007"/>
    <n v="237190.80000000002"/>
    <n v="10970.074500000002"/>
    <n v="263281.78800000006"/>
    <n v="10570"/>
    <n v="253680"/>
    <n v="11732.7"/>
    <n v="281584.80000000005"/>
    <n v="0"/>
    <n v="0"/>
    <n v="0"/>
    <n v="0"/>
    <n v="6.4999999999999933E-2"/>
    <n v="-9882.9500000000007"/>
    <e v="#DIV/0!"/>
    <m/>
    <m/>
    <s v="Lama"/>
    <s v="Sama"/>
    <m/>
    <s v="IDR"/>
    <s v="0040"/>
    <s v="40S"/>
    <m/>
    <m/>
    <s v="KRT"/>
    <s v="GD01"/>
    <n v="11611"/>
    <n v="11612"/>
    <m/>
    <n v="1"/>
    <m/>
    <n v="24"/>
  </r>
  <r>
    <s v="G1172003006020"/>
    <m/>
    <n v="30340030090020"/>
    <x v="270"/>
    <s v="MITUB WIPES F&amp;C P.CHERRY 24 BTL X 60S 27240 MBW14"/>
    <n v="30320030060010"/>
    <n v="0"/>
    <s v="MITU BABY WIPES F&amp;C PINK CHERRY 60`S BT"/>
    <x v="5"/>
    <s v="8992750540405"/>
    <x v="6"/>
    <s v="MITU BABY WIPES F&amp;C"/>
    <s v="G1172"/>
    <x v="175"/>
    <n v="14"/>
    <s v="MITU BABY WIPES F&amp;C PINK CHERRY 60S X 24 BTL"/>
    <n v="44"/>
    <m/>
    <s v="G1"/>
    <s v="MITU BABY WIPES"/>
    <s v="17"/>
    <s v="F&amp;C"/>
    <n v="2"/>
    <m/>
    <s v="0"/>
    <s v="PINK CHERRY"/>
    <s v="03"/>
    <s v="60S"/>
    <s v="0060"/>
    <s v="BTL"/>
    <n v="2"/>
    <m/>
    <n v="0"/>
    <m/>
    <m/>
    <m/>
    <n v="30320030060010"/>
    <m/>
    <m/>
    <n v="24"/>
    <n v="13482.7"/>
    <n v="323584.80000000005"/>
    <n v="14965.797000000002"/>
    <n v="359179.12800000008"/>
    <n v="14420"/>
    <n v="346080"/>
    <n v="16006.2"/>
    <n v="384148.80000000005"/>
    <n v="0"/>
    <n v="0"/>
    <n v="0"/>
    <n v="0"/>
    <n v="6.4999999999999947E-2"/>
    <n v="-13482.7"/>
    <e v="#DIV/0!"/>
    <m/>
    <m/>
    <s v="Lama"/>
    <s v="Sama"/>
    <m/>
    <s v="IDR"/>
    <s v="0060"/>
    <s v="60S"/>
    <m/>
    <m/>
    <s v="KRT"/>
    <s v="GD01"/>
    <n v="11611"/>
    <n v="11612"/>
    <m/>
    <n v="1"/>
    <m/>
    <n v="24"/>
  </r>
  <r>
    <s v="G1181000025010"/>
    <m/>
    <n v="30351020150000"/>
    <x v="271"/>
    <s v="MITU MINI ZIPLOCK 36 PACK X 250GR 18118 MM01"/>
    <n v="30330010250000"/>
    <n v="0"/>
    <s v="MITU MINI PAKET ZIPLOCK"/>
    <x v="9"/>
    <s v="8992745326304"/>
    <x v="11"/>
    <s v="MITU MINI ZIPLOCK"/>
    <s v="G1181"/>
    <x v="176"/>
    <n v="14"/>
    <s v="MITU MINI ZIPLOCK 250GR X 36 PACK"/>
    <n v="33"/>
    <m/>
    <s v="G1"/>
    <s v="MITU MINI"/>
    <s v="18"/>
    <s v="ZIPLOCK"/>
    <n v="1"/>
    <m/>
    <s v="0"/>
    <m/>
    <s v="00"/>
    <s v="250GR"/>
    <s v="0250"/>
    <s v="PACK"/>
    <n v="1"/>
    <m/>
    <n v="0"/>
    <m/>
    <m/>
    <m/>
    <n v="30330010250000"/>
    <m/>
    <m/>
    <n v="36"/>
    <n v="18232.5"/>
    <n v="656370"/>
    <n v="20238.075000000001"/>
    <n v="728570.70000000007"/>
    <n v="19500"/>
    <n v="702000"/>
    <n v="21645.000000000004"/>
    <n v="779220.00000000012"/>
    <n v="0"/>
    <n v="0"/>
    <n v="0"/>
    <n v="0"/>
    <n v="6.5000000000000002E-2"/>
    <n v="-18232.5"/>
    <e v="#DIV/0!"/>
    <m/>
    <m/>
    <s v="Lama"/>
    <s v="Sama"/>
    <m/>
    <s v="IDR"/>
    <s v="0250"/>
    <s v="250GR"/>
    <m/>
    <m/>
    <s v="KRT"/>
    <s v="GD01"/>
    <n v="11611"/>
    <n v="11612"/>
    <m/>
    <n v="1"/>
    <m/>
    <n v="36"/>
  </r>
  <r>
    <s v="G1190001009020"/>
    <m/>
    <n v="30351030150000"/>
    <x v="272"/>
    <s v="MITU WETTIES LEMON 24 BTL X 90S 12841 MW03"/>
    <n v="30340030090020"/>
    <n v="0"/>
    <s v="Mitu Wetties Btl Lemon 90s"/>
    <x v="5"/>
    <s v="8992750540436"/>
    <x v="6"/>
    <s v="MITU WETTIES"/>
    <s v="G1190"/>
    <x v="177"/>
    <n v="14"/>
    <s v="MITU WETTIES LEMON 90S X 24 BTL"/>
    <n v="31"/>
    <m/>
    <s v="G1"/>
    <s v="MITU WETTIES"/>
    <s v="19"/>
    <m/>
    <n v="0"/>
    <m/>
    <s v="0"/>
    <s v="LEMON"/>
    <s v="01"/>
    <s v="90S"/>
    <s v="0090"/>
    <s v="BTL"/>
    <n v="2"/>
    <m/>
    <n v="0"/>
    <m/>
    <m/>
    <m/>
    <n v="30340030090020"/>
    <m/>
    <m/>
    <n v="24"/>
    <n v="17045.05"/>
    <n v="409081.19999999995"/>
    <n v="18920.005499999999"/>
    <n v="454080.13199999998"/>
    <n v="18230"/>
    <n v="437520"/>
    <n v="20235.300000000003"/>
    <n v="485647.20000000007"/>
    <n v="0"/>
    <n v="0"/>
    <n v="0"/>
    <n v="0"/>
    <n v="6.5000000000000044E-2"/>
    <n v="-17045.05"/>
    <e v="#DIV/0!"/>
    <m/>
    <m/>
    <s v="Lama"/>
    <s v="Sama"/>
    <m/>
    <s v="IDR"/>
    <s v="0090"/>
    <s v="90S"/>
    <m/>
    <m/>
    <s v="KRT"/>
    <s v="GD01"/>
    <n v="11611"/>
    <n v="11612"/>
    <m/>
    <n v="1"/>
    <m/>
    <n v="24"/>
  </r>
  <r>
    <s v="G1190101009010"/>
    <m/>
    <n v="30351040150000"/>
    <x v="273"/>
    <s v="MITU WETTIES REF LEMON 24 PCS X 90S 12843 MW08"/>
    <n v="30342030090010"/>
    <n v="0"/>
    <s v="Mitu Wetties Ref Lemon 90s"/>
    <x v="5"/>
    <s v="8992750540528"/>
    <x v="5"/>
    <s v="MITU WETTIES"/>
    <s v="G1190"/>
    <x v="178"/>
    <n v="14"/>
    <s v="MITU WETTIES REFILL LEMON 90S X 24 PCS"/>
    <n v="38"/>
    <m/>
    <s v="G1"/>
    <s v="MITU WETTIES"/>
    <s v="19"/>
    <m/>
    <n v="0"/>
    <s v="REFILL"/>
    <s v="1"/>
    <s v="LEMON"/>
    <s v="01"/>
    <s v="90S"/>
    <s v="0090"/>
    <s v="PCS"/>
    <n v="1"/>
    <m/>
    <n v="0"/>
    <m/>
    <m/>
    <m/>
    <n v="30342030090010"/>
    <m/>
    <m/>
    <n v="24"/>
    <n v="14520.55"/>
    <n v="348493.19999999995"/>
    <n v="16117.810500000001"/>
    <n v="386827.45199999999"/>
    <n v="15530"/>
    <n v="372720"/>
    <n v="17238.300000000003"/>
    <n v="413719.2"/>
    <n v="0"/>
    <n v="0"/>
    <n v="0"/>
    <n v="0"/>
    <n v="6.5000000000000044E-2"/>
    <n v="-14520.55"/>
    <e v="#DIV/0!"/>
    <m/>
    <m/>
    <s v="Lama"/>
    <s v="Sama"/>
    <m/>
    <s v="IDR"/>
    <s v="0090"/>
    <s v="90S"/>
    <m/>
    <m/>
    <s v="KRT"/>
    <s v="GD01"/>
    <n v="11611"/>
    <n v="11612"/>
    <m/>
    <n v="1"/>
    <m/>
    <n v="24"/>
  </r>
  <r>
    <s v="G1191000001020"/>
    <m/>
    <n v="30351020150002"/>
    <x v="274"/>
    <s v="MITU WETTIES A.SEPT 24 BTL X 90S 12840 MW02"/>
    <n v="30340010090020"/>
    <n v="0"/>
    <s v="Mitu Wetties Btl ASeptic 90s"/>
    <x v="5"/>
    <s v="8992745540090"/>
    <x v="6"/>
    <s v="MITU WETTIES ANTISEPTIC"/>
    <s v="G1191"/>
    <x v="179"/>
    <n v="14"/>
    <s v="MITU WETTIES ANTISEPTIC 90S X 24 BTL"/>
    <n v="36"/>
    <m/>
    <s v="G1"/>
    <s v="MITU WETTIES"/>
    <s v="19"/>
    <s v="ANTISEPTIC"/>
    <n v="1"/>
    <m/>
    <s v="0"/>
    <m/>
    <s v="00"/>
    <s v="90S"/>
    <s v="0010"/>
    <s v="BTL"/>
    <n v="2"/>
    <m/>
    <n v="0"/>
    <m/>
    <m/>
    <m/>
    <n v="30340010090020"/>
    <m/>
    <m/>
    <n v="24"/>
    <n v="17045.05"/>
    <n v="409081.19999999995"/>
    <n v="18920.005499999999"/>
    <n v="454080.13199999998"/>
    <n v="18230"/>
    <n v="437520"/>
    <n v="20235.300000000003"/>
    <n v="485647.20000000007"/>
    <n v="0"/>
    <n v="0"/>
    <n v="0"/>
    <n v="0"/>
    <n v="6.5000000000000044E-2"/>
    <n v="-17045.05"/>
    <e v="#DIV/0!"/>
    <m/>
    <m/>
    <s v="Lama"/>
    <s v="Sama"/>
    <m/>
    <s v="IDR"/>
    <s v="0010"/>
    <s v="90S"/>
    <m/>
    <m/>
    <s v="KRT"/>
    <s v="GD01"/>
    <n v="11611"/>
    <n v="11612"/>
    <m/>
    <n v="1"/>
    <m/>
    <n v="24"/>
  </r>
  <r>
    <s v="G1191100009010"/>
    <m/>
    <n v="30351030150002"/>
    <x v="275"/>
    <s v="MITU WETTIES REF A.SEPT 24 PCS X 90S 12842 MW07"/>
    <n v="30342010090010"/>
    <n v="0"/>
    <s v="Mitu Wetties Ref ASeptic 90s"/>
    <x v="5"/>
    <s v="8992745540113"/>
    <x v="5"/>
    <s v="MITU WETTIES ANTISEPTIC"/>
    <s v="G1191"/>
    <x v="180"/>
    <n v="14"/>
    <s v="MITU WETTIES ANTISEPTIC REFILL 90S X 24 PCS"/>
    <n v="43"/>
    <m/>
    <s v="G1"/>
    <s v="MITU WETTIES"/>
    <s v="19"/>
    <s v="ANTISEPTIC"/>
    <n v="1"/>
    <s v="REFILL"/>
    <s v="1"/>
    <m/>
    <s v="00"/>
    <s v="90S"/>
    <s v="0090"/>
    <s v="PCS"/>
    <n v="1"/>
    <m/>
    <n v="0"/>
    <m/>
    <m/>
    <m/>
    <n v="30342010090010"/>
    <m/>
    <m/>
    <n v="24"/>
    <n v="14520.55"/>
    <n v="348493.19999999995"/>
    <n v="16117.810500000001"/>
    <n v="386827.45199999999"/>
    <n v="15530"/>
    <n v="372720"/>
    <n v="17238.300000000003"/>
    <n v="413719.2"/>
    <n v="0"/>
    <n v="0"/>
    <n v="0"/>
    <n v="0"/>
    <n v="6.5000000000000044E-2"/>
    <n v="-14520.55"/>
    <e v="#DIV/0!"/>
    <m/>
    <m/>
    <s v="Lama"/>
    <s v="Sama"/>
    <m/>
    <s v="IDR"/>
    <s v="0090"/>
    <s v="90S"/>
    <m/>
    <m/>
    <s v="KRT"/>
    <s v="GD01"/>
    <n v="11611"/>
    <n v="11612"/>
    <m/>
    <n v="1"/>
    <m/>
    <n v="24"/>
  </r>
  <r>
    <s v="G1192000001010"/>
    <m/>
    <n v="30351040150002"/>
    <x v="276"/>
    <s v="MITU WETTIES FAMILY TRAVEL 144 PACKX10S 8104 MW04"/>
    <n v="30341010010000"/>
    <n v="0"/>
    <s v="MT WT .PACK A.SEPTIC 10's+&quot;ND&quot;"/>
    <x v="1"/>
    <s v="8992745540137"/>
    <x v="11"/>
    <s v="MITU WETTIES FAMILY TRAVEL"/>
    <s v="G1192"/>
    <x v="181"/>
    <n v="14"/>
    <s v="MITU WETTIES FAMILY TRAVEL 10S X 144 PACK"/>
    <n v="41"/>
    <m/>
    <s v="G1"/>
    <s v="MITU WETTIES"/>
    <s v="19"/>
    <s v="FAMILY TRAVEL"/>
    <n v="2"/>
    <m/>
    <s v="0"/>
    <m/>
    <s v="00"/>
    <s v="10S"/>
    <s v="0010"/>
    <s v="PACK"/>
    <n v="1"/>
    <m/>
    <n v="0"/>
    <m/>
    <m/>
    <m/>
    <n v="30341010010000"/>
    <m/>
    <m/>
    <n v="144"/>
    <n v="2870.45"/>
    <n v="413344.8"/>
    <n v="3186.1995000000002"/>
    <n v="458812.728"/>
    <n v="3070"/>
    <n v="442080"/>
    <n v="3407.7000000000003"/>
    <n v="490708.80000000005"/>
    <n v="0"/>
    <n v="0"/>
    <n v="0"/>
    <n v="0"/>
    <n v="6.5000000000000058E-2"/>
    <n v="-2870.45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192001001010"/>
    <m/>
    <n v="30341030010000"/>
    <x v="277"/>
    <s v="MITU WETTIES FAMILY LEMON 144 PACKX10S &quot;8106&quot;MW06"/>
    <n v="30341030010000"/>
    <n v="0"/>
    <n v="0"/>
    <x v="1"/>
    <n v="0"/>
    <x v="11"/>
    <s v="MITU WETTIES FAMILY TRAVEL"/>
    <s v="G1192"/>
    <x v="182"/>
    <n v="14"/>
    <s v="MITU WETTIES FAMILY TRAVEL LEMON 10S X 144 PACK"/>
    <n v="47"/>
    <m/>
    <s v="G1"/>
    <s v="MITU WETTIES"/>
    <s v="19"/>
    <s v="FAMILY TRAVEL"/>
    <n v="2"/>
    <m/>
    <s v="0"/>
    <s v="LEMON"/>
    <s v="01"/>
    <s v="10S"/>
    <s v="0010"/>
    <s v="PACK"/>
    <n v="1"/>
    <m/>
    <n v="0"/>
    <m/>
    <m/>
    <m/>
    <n v="30341030010000"/>
    <m/>
    <m/>
    <n v="144"/>
    <n v="2711.5"/>
    <n v="390456"/>
    <n v="3009.7650000000003"/>
    <n v="433406.16000000003"/>
    <n v="2900"/>
    <n v="417600"/>
    <n v="3219.0000000000005"/>
    <n v="463536.00000000006"/>
    <n v="0"/>
    <n v="0"/>
    <n v="0"/>
    <n v="0"/>
    <n v="6.5000000000000002E-2"/>
    <n v="-2711.5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192002001010"/>
    <m/>
    <n v="30341020010000"/>
    <x v="278"/>
    <s v="MITU WETTIES FAMILY COLGNE 144 PACKX10S&quot;8107&quot;MW05"/>
    <m/>
    <m/>
    <s v="MITU WETTIES FAMILY COLGNE 144 PACKX10S&quot;8107&quot;MW05"/>
    <x v="1"/>
    <m/>
    <x v="11"/>
    <s v="MITU WETTIES FAMILY TRAVEL"/>
    <s v="G1192"/>
    <x v="183"/>
    <n v="14"/>
    <s v="MITU WETTIES FAMILY TRAVEL COLGNE 10S X 144 PACK"/>
    <n v="48"/>
    <m/>
    <s v="G1"/>
    <s v="MITU WETTIES"/>
    <s v="19"/>
    <s v="FAMILY TRAVEL"/>
    <n v="2"/>
    <m/>
    <s v="0"/>
    <s v="COLGNE"/>
    <s v="02"/>
    <s v="10S"/>
    <s v="0010"/>
    <s v="PACK"/>
    <n v="1"/>
    <m/>
    <n v="0"/>
    <m/>
    <m/>
    <m/>
    <n v="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10"/>
    <s v="10S"/>
    <m/>
    <m/>
    <s v="KRT"/>
    <s v="GD01"/>
    <n v="11611"/>
    <n v="11612"/>
    <m/>
    <n v="1"/>
    <m/>
    <n v="144"/>
  </r>
  <r>
    <s v="G1201001000010"/>
    <m/>
    <n v="30351050020010"/>
    <x v="279"/>
    <s v="NYU HC CRM ASH BLONDE 24 BOX X 150GR 59819 NHC23"/>
    <n v="30351120150000"/>
    <n v="0"/>
    <s v="NYU CREME ASH BLONDE"/>
    <x v="5"/>
    <s v="8992745001089"/>
    <x v="10"/>
    <s v="NYU CREME HAIR COLOUR"/>
    <s v="G1201"/>
    <x v="184"/>
    <n v="14"/>
    <s v="NYU CREME HAIR COLOUR ASH BLONDE X 24 BOX"/>
    <n v="41"/>
    <m/>
    <s v="G1"/>
    <s v="NYU CREME"/>
    <s v="20"/>
    <s v="HAIR COLOUR"/>
    <n v="1"/>
    <m/>
    <s v="0"/>
    <s v="ASH BLONDE"/>
    <s v="01"/>
    <m/>
    <s v="0000"/>
    <s v="BOX"/>
    <n v="1"/>
    <m/>
    <n v="0"/>
    <m/>
    <m/>
    <m/>
    <n v="3035112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2000010"/>
    <m/>
    <n v="30351100021020"/>
    <x v="280"/>
    <s v="NYU HC CRM BLUE BLACK 24 BOX X 150GR 20677 NHC01"/>
    <n v="30351010150000"/>
    <n v="0"/>
    <s v="NYU CREME HC BLUE BLACK (S)"/>
    <x v="5"/>
    <s v="8992745999775"/>
    <x v="10"/>
    <s v="NYU CREME HAIR COLOUR"/>
    <s v="G1201"/>
    <x v="185"/>
    <n v="14"/>
    <s v="NYU CREME HAIR COLOUR BLUE BLACK X 24 BOX"/>
    <n v="41"/>
    <m/>
    <s v="G1"/>
    <s v="NYU CREME"/>
    <s v="20"/>
    <s v="HAIR COLOUR"/>
    <n v="1"/>
    <m/>
    <s v="0"/>
    <s v="BLUE BLACK"/>
    <s v="02"/>
    <m/>
    <s v="0000"/>
    <s v="BOX"/>
    <n v="1"/>
    <m/>
    <n v="0"/>
    <m/>
    <m/>
    <m/>
    <n v="3035101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2000020"/>
    <m/>
    <n v="30352020300020"/>
    <x v="281"/>
    <s v="NYU HC CRM BLUE BLACK 144 SCH X 20GR 60485 NHC26"/>
    <n v="30351010022022"/>
    <n v="0"/>
    <s v="NYU CREME HC SACHET BLUE BLACK 20GR"/>
    <x v="1"/>
    <s v="8992745001225"/>
    <x v="2"/>
    <s v="NYU CREME HAIR COLOUR"/>
    <s v="G1201"/>
    <x v="186"/>
    <n v="14"/>
    <s v="NYU CREME HAIR COLOUR BLUE BLACK X 144 SCH"/>
    <n v="42"/>
    <m/>
    <s v="G1"/>
    <s v="NYU CREME"/>
    <s v="20"/>
    <s v="HAIR COLOUR"/>
    <n v="1"/>
    <m/>
    <s v="0"/>
    <s v="BLUE BLACK"/>
    <s v="02"/>
    <m/>
    <s v="0000"/>
    <s v="SCH"/>
    <n v="2"/>
    <m/>
    <n v="0"/>
    <m/>
    <m/>
    <m/>
    <n v="30351010022022"/>
    <m/>
    <m/>
    <n v="144"/>
    <n v="5077.05"/>
    <n v="731095.20000000007"/>
    <n v="5635.5255000000006"/>
    <n v="811515.67200000014"/>
    <n v="5430"/>
    <n v="781920"/>
    <n v="6027.3"/>
    <n v="867931.20000000007"/>
    <n v="0"/>
    <n v="0"/>
    <n v="0"/>
    <n v="0"/>
    <n v="6.4999999999999961E-2"/>
    <n v="-5077.0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01003000010"/>
    <m/>
    <n v="30351100150000"/>
    <x v="282"/>
    <s v="NYU HC CRM BURGUNDY 24 BOX X 150GR 23335 NHC03"/>
    <n v="30351020150000"/>
    <n v="0"/>
    <s v="NYU CREME HC BURGUNDY (S)"/>
    <x v="5"/>
    <s v="8992745999829"/>
    <x v="10"/>
    <s v="NYU CREME HAIR COLOUR"/>
    <s v="G1201"/>
    <x v="187"/>
    <n v="14"/>
    <s v="NYU CREME HAIR COLOUR BURGUNDY X 24 BOX"/>
    <n v="39"/>
    <m/>
    <s v="G1"/>
    <s v="NYU CREME"/>
    <s v="20"/>
    <s v="HAIR COLOUR"/>
    <n v="1"/>
    <m/>
    <s v="0"/>
    <s v="BURGUNDY"/>
    <s v="03"/>
    <m/>
    <s v="0000"/>
    <s v="BOX"/>
    <n v="1"/>
    <m/>
    <n v="0"/>
    <m/>
    <m/>
    <m/>
    <n v="3035102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3000010"/>
    <m/>
    <m/>
    <x v="283"/>
    <m/>
    <m/>
    <m/>
    <m/>
    <x v="5"/>
    <s v="8992745999829"/>
    <x v="10"/>
    <s v="NYU CREME HAIR COLOUR"/>
    <s v="G1201"/>
    <x v="187"/>
    <n v="14"/>
    <s v="NYU CREME HAIR COLOUR BURGUNDY X 24 BOX"/>
    <n v="39"/>
    <m/>
    <s v="G1"/>
    <s v="NYU CREME"/>
    <s v="20"/>
    <s v="HAIR COLOUR"/>
    <n v="1"/>
    <m/>
    <s v="0"/>
    <s v="BURGUNDY"/>
    <s v="03"/>
    <m/>
    <s v="0000"/>
    <s v="BOX"/>
    <n v="1"/>
    <m/>
    <n v="0"/>
    <m/>
    <m/>
    <m/>
    <n v="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4000010"/>
    <m/>
    <n v="30351050020010"/>
    <x v="284"/>
    <s v="NYU CREME BURGUNDY + BLEACH BUNDLE 58723 "/>
    <n v="30351020150002"/>
    <n v="0"/>
    <s v="NYU CREME BURGUNDY + BLEACH BUNDLE."/>
    <x v="5"/>
    <s v="8992745999829"/>
    <x v="10"/>
    <s v="NYU CREME HAIR COLOUR"/>
    <s v="G1201"/>
    <x v="188"/>
    <n v="14"/>
    <s v="NYU CREME HAIR COLOUR BURGUNDY + BLEACH X 24 BOX"/>
    <n v="48"/>
    <m/>
    <s v="G1"/>
    <s v="NYU CREME"/>
    <s v="20"/>
    <s v="HAIR COLOUR"/>
    <n v="1"/>
    <m/>
    <s v="0"/>
    <s v="BURGUNDY + BLEACH"/>
    <s v="04"/>
    <m/>
    <s v="0000"/>
    <s v="BOX"/>
    <n v="1"/>
    <m/>
    <n v="0"/>
    <m/>
    <m/>
    <m/>
    <n v="30351020150002"/>
    <m/>
    <m/>
    <n v="24"/>
    <n v="12529"/>
    <n v="300696"/>
    <n v="13907.19"/>
    <n v="333772.56000000006"/>
    <n v="13400"/>
    <n v="321600"/>
    <n v="14874.000000000002"/>
    <n v="356976.00000000006"/>
    <n v="0"/>
    <n v="0"/>
    <n v="0"/>
    <n v="0"/>
    <n v="6.5000000000000002E-2"/>
    <n v="-1252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5000010"/>
    <m/>
    <n v="30351100150002"/>
    <x v="285"/>
    <s v="NYU HC CRM CARAMEL 24 BOX X 150GR 23337 NHC05"/>
    <n v="30351030150000"/>
    <n v="0"/>
    <s v="NYU CREME HC CARAMEL (S)"/>
    <x v="5"/>
    <s v="8992745999812"/>
    <x v="10"/>
    <s v="NYU CREME HAIR COLOUR"/>
    <s v="G1201"/>
    <x v="189"/>
    <n v="14"/>
    <s v="NYU CREME HAIR COLOUR CARAMEL X 24 BOX"/>
    <n v="38"/>
    <m/>
    <s v="G1"/>
    <s v="NYU CREME"/>
    <s v="20"/>
    <s v="HAIR COLOUR"/>
    <n v="1"/>
    <m/>
    <s v="0"/>
    <s v="CARAMEL"/>
    <s v="05"/>
    <m/>
    <s v="0000"/>
    <s v="BOX"/>
    <n v="1"/>
    <m/>
    <n v="0"/>
    <m/>
    <m/>
    <m/>
    <n v="3035103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5000010"/>
    <m/>
    <m/>
    <x v="286"/>
    <m/>
    <m/>
    <m/>
    <m/>
    <x v="5"/>
    <s v="8992745999812"/>
    <x v="10"/>
    <s v="NYU CREME HAIR COLOUR"/>
    <s v="G1201"/>
    <x v="189"/>
    <n v="14"/>
    <s v="NYU CREME HAIR COLOUR CARAMEL X 24 BOX"/>
    <n v="38"/>
    <m/>
    <s v="G1"/>
    <s v="NYU CREME"/>
    <s v="20"/>
    <s v="HAIR COLOUR"/>
    <n v="1"/>
    <m/>
    <s v="0"/>
    <s v="CARAMEL"/>
    <s v="05"/>
    <m/>
    <s v="0000"/>
    <s v="BOX"/>
    <n v="1"/>
    <m/>
    <n v="0"/>
    <m/>
    <m/>
    <m/>
    <n v="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6000010"/>
    <m/>
    <n v="30351050060001"/>
    <x v="287"/>
    <s v="NYU HC CRM CARAMEL 24 BOX X 150GR BND 58724 NHC43"/>
    <n v="30351030150002"/>
    <n v="0"/>
    <s v="NYU CREME CARAMEL + BLEACH BUNDLE."/>
    <x v="5"/>
    <s v="8992745999812"/>
    <x v="10"/>
    <s v="NYU CREME HAIR COLOUR"/>
    <s v="G1201"/>
    <x v="190"/>
    <n v="14"/>
    <s v="NYU CREME HAIR COLOUR CARAMEL + BLEACH X 24 BOX"/>
    <n v="47"/>
    <m/>
    <s v="G1"/>
    <s v="NYU CREME"/>
    <s v="20"/>
    <s v="HAIR COLOUR"/>
    <n v="1"/>
    <m/>
    <s v="0"/>
    <s v="CARAMEL + BLEACH"/>
    <s v="06"/>
    <m/>
    <s v="0000"/>
    <s v="BOX"/>
    <n v="1"/>
    <m/>
    <n v="0"/>
    <m/>
    <m/>
    <m/>
    <n v="30351030150002"/>
    <m/>
    <m/>
    <n v="24"/>
    <n v="12529"/>
    <n v="300696"/>
    <n v="13907.19"/>
    <n v="333772.56000000006"/>
    <n v="13400"/>
    <n v="321600"/>
    <n v="14874.000000000002"/>
    <n v="356976.00000000006"/>
    <n v="0"/>
    <n v="0"/>
    <n v="0"/>
    <n v="0"/>
    <n v="6.5000000000000002E-2"/>
    <n v="-1252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7000010"/>
    <m/>
    <n v="30351110150000"/>
    <x v="288"/>
    <s v="NYU HC CRM CHERRY RED 24 BOX X 150GR BND 61151"/>
    <n v="30351080150000"/>
    <n v="0"/>
    <s v="NYU CREME HC CHERRY RED (S)"/>
    <x v="5"/>
    <s v="8992745999690"/>
    <x v="10"/>
    <s v="NYU CREME HAIR COLOUR"/>
    <s v="G1201"/>
    <x v="191"/>
    <n v="14"/>
    <s v="NYU CREME HAIR COLOUR CHERRY RED X 24 BOX"/>
    <n v="41"/>
    <m/>
    <s v="G1"/>
    <s v="NYU CREME"/>
    <s v="20"/>
    <s v="HAIR COLOUR"/>
    <n v="1"/>
    <m/>
    <s v="0"/>
    <s v="CHERRY RED"/>
    <s v="07"/>
    <m/>
    <s v="0000"/>
    <s v="BOX"/>
    <n v="1"/>
    <m/>
    <n v="0"/>
    <m/>
    <m/>
    <m/>
    <n v="3035108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7000010"/>
    <m/>
    <n v="30351080150000"/>
    <x v="288"/>
    <s v="NYU HC CRM CHERRY RED 24 BOX X 150GR &quot;27283&quot;NHC13"/>
    <n v="30351080150000"/>
    <n v="0"/>
    <s v="NYU CREME HC CHERRY RED (S)"/>
    <x v="5"/>
    <s v="8992745999690"/>
    <x v="10"/>
    <s v="NYU CREME HAIR COLOUR"/>
    <s v="G1201"/>
    <x v="191"/>
    <n v="14"/>
    <s v="NYU CREME HAIR COLOUR CHERRY RED X 24 BOX"/>
    <n v="41"/>
    <m/>
    <s v="G1"/>
    <s v="NYU CREME"/>
    <s v="20"/>
    <s v="HAIR COLOUR"/>
    <n v="1"/>
    <m/>
    <s v="0"/>
    <s v="CHERRY RED"/>
    <s v="07"/>
    <m/>
    <s v="0000"/>
    <s v="BOX"/>
    <n v="1"/>
    <m/>
    <n v="0"/>
    <m/>
    <m/>
    <m/>
    <n v="3035108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7000011"/>
    <m/>
    <n v="30351110150000"/>
    <x v="289"/>
    <s v="NYU HC CRM CHERRY RED 24 BOX X 150GR BND 61151"/>
    <n v="30351110150000"/>
    <n v="0"/>
    <s v="NYU CREME HC CHERRY RED (NF)"/>
    <x v="5"/>
    <s v="8992745999690"/>
    <x v="10"/>
    <s v="NYU CREME HAIR COLOUR"/>
    <s v="G1201"/>
    <x v="192"/>
    <n v="14"/>
    <s v="NYU CREME HAIR COLOUR CHERRY RED X 24 BOX BANDED"/>
    <n v="48"/>
    <m/>
    <s v="G1"/>
    <s v="NYU CREME"/>
    <s v="20"/>
    <s v="HAIR COLOUR"/>
    <n v="1"/>
    <m/>
    <s v="0"/>
    <s v="CHERRY RED"/>
    <s v="07"/>
    <m/>
    <s v="0000"/>
    <s v="BOX"/>
    <n v="1"/>
    <s v="BANDED"/>
    <n v="1"/>
    <m/>
    <m/>
    <m/>
    <n v="3035111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8000010"/>
    <m/>
    <n v="30351050150000"/>
    <x v="290"/>
    <s v="NYU HC CRM CHERRY RED 24 BOX X 150GR BND 61151"/>
    <n v="30351110150000"/>
    <n v="0"/>
    <s v="NYU CREME CHERRY RED + BLEACH BUNDLE."/>
    <x v="5"/>
    <s v="8992745999690"/>
    <x v="10"/>
    <s v="NYU CREME HAIR COLOUR"/>
    <s v="G1201"/>
    <x v="193"/>
    <n v="14"/>
    <s v="NYU CREME HAIR COLOUR CHERRY RED + BLEACH X 24 BOX"/>
    <n v="50"/>
    <m/>
    <s v="G1"/>
    <s v="NYU CREME"/>
    <s v="20"/>
    <s v="HAIR COLOUR"/>
    <n v="1"/>
    <m/>
    <s v="0"/>
    <s v="CHERRY RED + BLEACH"/>
    <s v="08"/>
    <m/>
    <s v="0000"/>
    <s v="BOX"/>
    <n v="1"/>
    <m/>
    <n v="0"/>
    <m/>
    <m/>
    <m/>
    <n v="3035111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9000010"/>
    <m/>
    <n v="30351110150000"/>
    <x v="291"/>
    <s v="NYU HC CRM COPPERY BROWN 24 BOXX150GR 23336 NHC07"/>
    <n v="30351040150000"/>
    <n v="0"/>
    <s v="NYU CREME HC COPPERY BROWN (S)"/>
    <x v="5"/>
    <s v="8992745999805"/>
    <x v="10"/>
    <s v="NYU CREME HAIR COLOUR"/>
    <s v="G1201"/>
    <x v="194"/>
    <n v="14"/>
    <s v="NYU CREME HAIR COLOUR COPPERY BROWN X 24 BOX"/>
    <n v="44"/>
    <m/>
    <s v="G1"/>
    <s v="NYU CREME"/>
    <s v="20"/>
    <s v="HAIR COLOUR"/>
    <n v="1"/>
    <m/>
    <s v="0"/>
    <s v="COPPERY BROWN"/>
    <s v="09"/>
    <m/>
    <s v="0000"/>
    <s v="BOX"/>
    <n v="1"/>
    <m/>
    <n v="0"/>
    <m/>
    <m/>
    <m/>
    <n v="3035104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9000010"/>
    <m/>
    <m/>
    <x v="292"/>
    <m/>
    <m/>
    <m/>
    <m/>
    <x v="5"/>
    <s v="8992745999805"/>
    <x v="10"/>
    <s v="NYU CREME HAIR COLOUR"/>
    <s v="G1201"/>
    <x v="194"/>
    <n v="14"/>
    <s v="NYU CREME HAIR COLOUR COPPERY BROWN X 24 BOX"/>
    <n v="44"/>
    <m/>
    <s v="G1"/>
    <s v="NYU CREME"/>
    <s v="20"/>
    <s v="HAIR COLOUR"/>
    <n v="1"/>
    <m/>
    <s v="0"/>
    <s v="COPPERY BROWN"/>
    <s v="09"/>
    <m/>
    <s v="0000"/>
    <s v="BOX"/>
    <n v="1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09000020"/>
    <m/>
    <n v="30351040085010"/>
    <x v="293"/>
    <s v="NYU HC CRM COPPERY BROWN 144 SCHX85GR&quot;20112&quot;NHC06"/>
    <n v="30351040085010"/>
    <n v="0"/>
    <n v="0"/>
    <x v="1"/>
    <n v="0"/>
    <x v="2"/>
    <s v="NYU CREME HAIR COLOUR"/>
    <s v="G1201"/>
    <x v="195"/>
    <n v="14"/>
    <s v="NYU CREME HAIR COLOUR COPPERY BROWN X 144 SCH"/>
    <n v="45"/>
    <m/>
    <s v="G1"/>
    <s v="NYU CREME"/>
    <s v="20"/>
    <s v="HAIR COLOUR"/>
    <n v="1"/>
    <m/>
    <s v="0"/>
    <s v="COPPERY BROWN"/>
    <s v="09"/>
    <m/>
    <s v="0000"/>
    <s v="SCH"/>
    <n v="2"/>
    <m/>
    <n v="0"/>
    <m/>
    <m/>
    <m/>
    <n v="30351040085010"/>
    <m/>
    <m/>
    <n v="144"/>
    <n v="11594"/>
    <n v="1669536"/>
    <n v="12869.340000000002"/>
    <n v="1853184.9600000002"/>
    <n v="12400"/>
    <n v="1785600"/>
    <n v="13764.000000000002"/>
    <n v="1982016.0000000002"/>
    <n v="0"/>
    <n v="0"/>
    <n v="0"/>
    <n v="0"/>
    <n v="6.5000000000000002E-2"/>
    <n v="-11594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01010000010"/>
    <m/>
    <n v="30351060020010"/>
    <x v="294"/>
    <s v="NYU HC CREAM COPPERY BROWN 24 BOX BND 58765 NHC22"/>
    <n v="30351040150002"/>
    <n v="0"/>
    <s v="NYU CREME COPPERY BROWN + BLEACH BUNDLE."/>
    <x v="5"/>
    <s v="8992745999805"/>
    <x v="10"/>
    <s v="NYU CREME HAIR COLOUR"/>
    <s v="G1201"/>
    <x v="196"/>
    <n v="14"/>
    <s v="NYU CREME HAIR COLOUR COPPERY BROWN + BLEACH X 24 BOX"/>
    <n v="53"/>
    <m/>
    <s v="G1"/>
    <s v="NYU CREME"/>
    <s v="20"/>
    <s v="HAIR COLOUR"/>
    <n v="1"/>
    <m/>
    <s v="0"/>
    <s v="COPPERY BROWN + BLEACH"/>
    <s v="10"/>
    <m/>
    <s v="0000"/>
    <s v="BOX"/>
    <n v="1"/>
    <m/>
    <n v="0"/>
    <m/>
    <m/>
    <m/>
    <n v="30351040150002"/>
    <m/>
    <m/>
    <n v="24"/>
    <n v="12529"/>
    <n v="300696"/>
    <n v="13907.19"/>
    <n v="333772.56000000006"/>
    <n v="13400"/>
    <n v="321600"/>
    <n v="14874.000000000002"/>
    <n v="356976.00000000006"/>
    <n v="0"/>
    <n v="0"/>
    <n v="0"/>
    <n v="0"/>
    <n v="6.5000000000000002E-2"/>
    <n v="-1252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1000010"/>
    <m/>
    <n v="30351120150000"/>
    <x v="295"/>
    <s v="NYU HC CRM FLAME ORANGE 24 BOXX150GR 33215 NHC12"/>
    <n v="30351070150000"/>
    <n v="0"/>
    <s v="NYU CREME HC FLAMING ORANGE ( S )"/>
    <x v="5"/>
    <s v="8992745470861"/>
    <x v="10"/>
    <s v="NYU CREME HAIR COLOUR"/>
    <s v="G1201"/>
    <x v="197"/>
    <n v="14"/>
    <s v="NYU CREME HAIR COLOUR FLAMING ORANGE X 24 BOX"/>
    <n v="45"/>
    <m/>
    <s v="G1"/>
    <s v="NYU CREME"/>
    <s v="20"/>
    <s v="HAIR COLOUR"/>
    <n v="1"/>
    <m/>
    <s v="0"/>
    <s v="FLAMING ORANGE"/>
    <s v="11"/>
    <m/>
    <s v="0000"/>
    <s v="BOX"/>
    <n v="1"/>
    <m/>
    <n v="0"/>
    <m/>
    <m/>
    <m/>
    <n v="30351070150000"/>
    <m/>
    <m/>
    <n v="24"/>
    <n v="12529"/>
    <n v="300696"/>
    <n v="13907.19"/>
    <n v="333772.56000000006"/>
    <n v="13400"/>
    <n v="321600"/>
    <n v="14874.000000000002"/>
    <n v="356976.00000000006"/>
    <n v="0"/>
    <n v="0"/>
    <n v="0"/>
    <n v="0"/>
    <n v="6.5000000000000002E-2"/>
    <n v="-1252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2000010"/>
    <m/>
    <n v="30351060150000"/>
    <x v="296"/>
    <s v="NYU HC CRM GOLDEN BROWN 24BOX X 150GR 56280 NHC19"/>
    <n v="30351100150000"/>
    <n v="0"/>
    <s v="NYU CREME GOLDEN BROWN"/>
    <x v="5"/>
    <s v="8992745000389"/>
    <x v="10"/>
    <s v="NYU CREME HAIR COLOUR"/>
    <s v="G1201"/>
    <x v="198"/>
    <n v="14"/>
    <s v="NYU CREME HAIR COLOUR GOLDEN BROWN X 24 BOX"/>
    <n v="43"/>
    <m/>
    <s v="G1"/>
    <s v="NYU CREME"/>
    <s v="20"/>
    <s v="HAIR COLOUR"/>
    <n v="1"/>
    <m/>
    <s v="0"/>
    <s v="GOLDEN BROWN"/>
    <s v="12"/>
    <m/>
    <s v="0000"/>
    <s v="BOX"/>
    <n v="1"/>
    <m/>
    <n v="0"/>
    <m/>
    <m/>
    <m/>
    <n v="30351100150000"/>
    <m/>
    <m/>
    <n v="24"/>
    <n v="12529"/>
    <n v="300696"/>
    <n v="13907.19"/>
    <n v="333772.56000000006"/>
    <n v="13400"/>
    <n v="321600"/>
    <n v="14874.000000000002"/>
    <n v="356976.00000000006"/>
    <n v="0"/>
    <n v="0"/>
    <n v="0"/>
    <n v="0"/>
    <n v="6.5000000000000002E-2"/>
    <n v="-1252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2000020"/>
    <m/>
    <n v="30352050300020"/>
    <x v="297"/>
    <s v="NYU HC CRM GLDN BROWN 144 SCH X 20GR 60394 NHC25"/>
    <n v="30351100021020"/>
    <n v="0"/>
    <s v="NYU CREME HC SACHET GOLDEN BROWN 20GR"/>
    <x v="1"/>
    <s v="8992745001218"/>
    <x v="2"/>
    <s v="NYU CREME HAIR COLOUR"/>
    <s v="G1201"/>
    <x v="199"/>
    <n v="14"/>
    <s v="NYU CREME HAIR COLOUR GOLDEN BROWN X 144 SCH"/>
    <n v="44"/>
    <m/>
    <s v="G1"/>
    <s v="NYU CREME"/>
    <s v="20"/>
    <s v="HAIR COLOUR"/>
    <n v="1"/>
    <m/>
    <s v="0"/>
    <s v="GOLDEN BROWN"/>
    <s v="12"/>
    <m/>
    <s v="0000"/>
    <s v="SCH"/>
    <n v="2"/>
    <m/>
    <n v="0"/>
    <m/>
    <m/>
    <m/>
    <n v="30351100021020"/>
    <m/>
    <m/>
    <n v="144"/>
    <n v="5077.05"/>
    <n v="731095.20000000007"/>
    <n v="5635.5255000000006"/>
    <n v="811515.67200000014"/>
    <n v="5430"/>
    <n v="781920"/>
    <n v="6027.3"/>
    <n v="867931.20000000007"/>
    <n v="0"/>
    <n v="0"/>
    <n v="0"/>
    <n v="0"/>
    <n v="6.4999999999999961E-2"/>
    <n v="-5077.0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01013000010"/>
    <m/>
    <n v="30351070150000"/>
    <x v="298"/>
    <s v="NYU HC CRM GLDN BROWN 24 BOX X 150GR BND 58766"/>
    <n v="30351100150002"/>
    <n v="0"/>
    <s v="NYU CREME GOLDEN BROWN + BLEACH BUNDLE."/>
    <x v="5"/>
    <s v="8992745000389"/>
    <x v="10"/>
    <s v="NYU CREME HAIR COLOUR"/>
    <s v="G1201"/>
    <x v="200"/>
    <n v="14"/>
    <s v="NYU CREME HAIR COLOUR GOLDEN BROWN + BLEACH X 24 BOX"/>
    <n v="52"/>
    <m/>
    <s v="G1"/>
    <s v="NYU CREME"/>
    <s v="20"/>
    <s v="HAIR COLOUR"/>
    <n v="1"/>
    <m/>
    <s v="0"/>
    <s v="GOLDEN BROWN + BLEACH"/>
    <s v="13"/>
    <m/>
    <s v="0000"/>
    <s v="BOX"/>
    <n v="1"/>
    <m/>
    <n v="0"/>
    <m/>
    <m/>
    <m/>
    <n v="30351100150002"/>
    <m/>
    <m/>
    <n v="24"/>
    <n v="12529"/>
    <n v="300696"/>
    <n v="13907.19"/>
    <n v="333772.56000000006"/>
    <n v="13400"/>
    <n v="321600"/>
    <n v="14874.000000000002"/>
    <n v="356976.00000000006"/>
    <n v="0"/>
    <n v="0"/>
    <n v="0"/>
    <n v="0"/>
    <n v="6.5000000000000002E-2"/>
    <n v="-1252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4000010"/>
    <m/>
    <n v="30352010300020"/>
    <x v="299"/>
    <s v="NYU HC CRM NAT.BLACK 24 BOX X 150GR 23333 NHC09"/>
    <n v="30351050150000"/>
    <n v="0"/>
    <s v="NYU CREME HC NATURAL BLACK (S)"/>
    <x v="5"/>
    <s v="8992745999782"/>
    <x v="10"/>
    <s v="NYU CREME HAIR COLOUR"/>
    <s v="G1201"/>
    <x v="201"/>
    <n v="14"/>
    <s v="NYU CREME HAIR COLOUR NATURAL BLACK X 24 BOX"/>
    <n v="44"/>
    <m/>
    <s v="G1"/>
    <s v="NYU CREME"/>
    <s v="20"/>
    <s v="HAIR COLOUR"/>
    <n v="1"/>
    <m/>
    <s v="0"/>
    <s v="NATURAL BLACK"/>
    <s v="14"/>
    <m/>
    <s v="0000"/>
    <s v="BOX"/>
    <n v="1"/>
    <m/>
    <n v="0"/>
    <m/>
    <m/>
    <m/>
    <n v="3035105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4000010"/>
    <m/>
    <m/>
    <x v="300"/>
    <m/>
    <m/>
    <m/>
    <m/>
    <x v="5"/>
    <s v="8992745999782"/>
    <x v="10"/>
    <s v="NYU CREME HAIR COLOUR"/>
    <s v="G1201"/>
    <x v="201"/>
    <n v="14"/>
    <s v="NYU CREME HAIR COLOUR NATURAL BLACK X 24 BOX"/>
    <n v="44"/>
    <m/>
    <s v="G1"/>
    <s v="NYU CREME"/>
    <s v="20"/>
    <s v="HAIR COLOUR"/>
    <n v="1"/>
    <m/>
    <s v="0"/>
    <s v="NATURAL BLACK"/>
    <s v="14"/>
    <m/>
    <s v="0000"/>
    <s v="BOX"/>
    <n v="1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4000020"/>
    <m/>
    <n v="30352050300020"/>
    <x v="301"/>
    <s v="NYU HC CRM NAT.BLACK 144 SCH X 20GR 37720 60392"/>
    <n v="30351050020010"/>
    <n v="0"/>
    <s v="NYU CREME HC SACHET NATURAL BLACK 20GR"/>
    <x v="1"/>
    <s v="8992745480464"/>
    <x v="2"/>
    <s v="NYU CREME HAIR COLOUR"/>
    <s v="G1201"/>
    <x v="202"/>
    <n v="14"/>
    <s v="NYU CREME HAIR COLOUR NATURAL BLACK X 144 SCH"/>
    <n v="45"/>
    <m/>
    <s v="G1"/>
    <s v="NYU CREME"/>
    <s v="20"/>
    <s v="HAIR COLOUR"/>
    <n v="1"/>
    <m/>
    <s v="0"/>
    <s v="NATURAL BLACK"/>
    <s v="14"/>
    <m/>
    <s v="0000"/>
    <s v="SCH"/>
    <n v="2"/>
    <m/>
    <n v="0"/>
    <m/>
    <m/>
    <m/>
    <n v="30351050020010"/>
    <m/>
    <m/>
    <n v="144"/>
    <n v="5077.05"/>
    <n v="731095.20000000007"/>
    <n v="5635.5255000000006"/>
    <n v="811515.67200000014"/>
    <n v="5430"/>
    <n v="781920"/>
    <n v="6027.3"/>
    <n v="867931.20000000007"/>
    <n v="0"/>
    <n v="0"/>
    <n v="0"/>
    <n v="0"/>
    <n v="6.4999999999999961E-2"/>
    <n v="-5077.0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01014000020"/>
    <m/>
    <n v="30352060300020"/>
    <x v="302"/>
    <s v="NYU HC CRM NAT.BLACK 144 SCH X 20GR 37720 60392"/>
    <n v="30351050020020"/>
    <n v="0"/>
    <s v="NYU CREME NATURAL BLACK 20GR (PI)"/>
    <x v="1"/>
    <s v="8992745480464"/>
    <x v="2"/>
    <s v="NYU CREME HAIR COLOUR"/>
    <s v="G1201"/>
    <x v="202"/>
    <n v="14"/>
    <s v="NYU CREME HAIR COLOUR NATURAL BLACK X 144 SCH"/>
    <n v="45"/>
    <m/>
    <s v="G1"/>
    <s v="NYU CREME"/>
    <s v="20"/>
    <s v="HAIR COLOUR"/>
    <n v="1"/>
    <m/>
    <s v="0"/>
    <s v="NATURAL BLACK"/>
    <s v="14"/>
    <m/>
    <s v="0000"/>
    <s v="SCH"/>
    <n v="2"/>
    <m/>
    <n v="0"/>
    <m/>
    <m/>
    <m/>
    <n v="30351050020020"/>
    <m/>
    <m/>
    <n v="144"/>
    <n v="5077.05"/>
    <n v="731095.20000000007"/>
    <n v="5635.5255000000006"/>
    <n v="811515.67200000014"/>
    <n v="5430"/>
    <n v="781920"/>
    <n v="6027.3"/>
    <n v="867931.20000000007"/>
    <n v="0"/>
    <n v="0"/>
    <n v="0"/>
    <n v="0"/>
    <n v="6.4999999999999961E-2"/>
    <n v="-5077.0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01015000010"/>
    <m/>
    <n v="30360080000000"/>
    <x v="303"/>
    <s v="NYU HC CRM NAT.BLEACH 24 BOX X 150GR 28482 NHC14"/>
    <n v="30351090150000"/>
    <n v="0"/>
    <s v="NYU CREME NATURAL BLEACH"/>
    <x v="5"/>
    <s v="8992745560982"/>
    <x v="10"/>
    <s v="NYU CREME HAIR COLOUR"/>
    <s v="G1201"/>
    <x v="203"/>
    <n v="14"/>
    <s v="NYU CREME HAIR COLOUR NATURAL BLEACH X 24 BOX"/>
    <n v="45"/>
    <m/>
    <s v="G1"/>
    <s v="NYU CREME"/>
    <s v="20"/>
    <s v="HAIR COLOUR"/>
    <n v="1"/>
    <m/>
    <s v="0"/>
    <s v="NATURAL BLEACH"/>
    <s v="15"/>
    <m/>
    <s v="0000"/>
    <s v="BOX"/>
    <n v="1"/>
    <m/>
    <n v="0"/>
    <m/>
    <m/>
    <m/>
    <n v="3035109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6000010"/>
    <m/>
    <n v="30352020300020"/>
    <x v="304"/>
    <s v="NYU HC CRM NAT.BROWN 24 BOX X 150GR 23334 NHC11"/>
    <n v="30351060150000"/>
    <n v="0"/>
    <s v="NYU CREME HC NATURAL BROWN (S)"/>
    <x v="5"/>
    <s v="8992745999799"/>
    <x v="10"/>
    <s v="NYU CREME HAIR COLOUR"/>
    <s v="G1201"/>
    <x v="204"/>
    <n v="14"/>
    <s v="NYU CREME HAIR COLOUR NATURAL BROWN X 24 BOX"/>
    <n v="44"/>
    <m/>
    <s v="G1"/>
    <s v="NYU CREME"/>
    <s v="20"/>
    <s v="HAIR COLOUR"/>
    <n v="1"/>
    <m/>
    <s v="0"/>
    <s v="NATURAL BROWN"/>
    <s v="16"/>
    <m/>
    <s v="0000"/>
    <s v="BOX"/>
    <n v="1"/>
    <m/>
    <n v="0"/>
    <m/>
    <m/>
    <m/>
    <n v="3035106015000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6000010"/>
    <m/>
    <m/>
    <x v="305"/>
    <m/>
    <m/>
    <m/>
    <m/>
    <x v="5"/>
    <m/>
    <x v="10"/>
    <s v="NYU CREME HAIR COLOUR"/>
    <s v="G1201"/>
    <x v="204"/>
    <n v="14"/>
    <s v="NYU CREME HAIR COLOUR NATURAL BROWN X 24 BOX"/>
    <n v="44"/>
    <m/>
    <s v="G1"/>
    <s v="NYU CREME"/>
    <s v="20"/>
    <s v="HAIR COLOUR"/>
    <n v="1"/>
    <m/>
    <s v="0"/>
    <s v="NATURAL BROWN"/>
    <s v="16"/>
    <m/>
    <s v="0000"/>
    <s v="BOX"/>
    <n v="1"/>
    <m/>
    <n v="0"/>
    <m/>
    <m/>
    <m/>
    <n v="0"/>
    <m/>
    <m/>
    <n v="24"/>
    <n v="12996.5"/>
    <n v="311916"/>
    <n v="14426.115000000002"/>
    <n v="346226.76"/>
    <n v="13900"/>
    <n v="333600"/>
    <n v="15429.000000000002"/>
    <n v="370296.00000000006"/>
    <n v="0"/>
    <n v="0"/>
    <n v="0"/>
    <n v="0"/>
    <n v="6.5000000000000002E-2"/>
    <n v="-12996.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01016000020"/>
    <m/>
    <n v="30352060300020"/>
    <x v="306"/>
    <s v="NYU HC CRM NAT.BROWN 144 SCH X 20GR 37721 NHC19"/>
    <n v="30351060020010"/>
    <n v="0"/>
    <s v="NYU CREME HC SACHET NATURAL BROWN 20GR"/>
    <x v="1"/>
    <s v="8992745480457"/>
    <x v="2"/>
    <s v="NYU CREME HAIR COLOUR"/>
    <s v="G1201"/>
    <x v="205"/>
    <n v="14"/>
    <s v="NYU CREME HAIR COLOUR NATURAL BROWN X 144 SCH"/>
    <n v="45"/>
    <m/>
    <s v="G1"/>
    <s v="NYU CREME"/>
    <s v="20"/>
    <s v="HAIR COLOUR"/>
    <n v="1"/>
    <m/>
    <s v="0"/>
    <s v="NATURAL BROWN"/>
    <s v="16"/>
    <m/>
    <s v="0000"/>
    <s v="SCH"/>
    <n v="2"/>
    <m/>
    <n v="0"/>
    <m/>
    <m/>
    <m/>
    <n v="30351060020010"/>
    <m/>
    <m/>
    <n v="144"/>
    <n v="5077.05"/>
    <n v="731095.20000000007"/>
    <n v="5635.5255000000006"/>
    <n v="811515.67200000014"/>
    <n v="5430"/>
    <n v="781920"/>
    <n v="6027.3"/>
    <n v="867931.20000000007"/>
    <n v="0"/>
    <n v="0"/>
    <n v="0"/>
    <n v="0"/>
    <n v="6.4999999999999961E-2"/>
    <n v="-5077.0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01016002020"/>
    <m/>
    <m/>
    <x v="307"/>
    <s v="NYU HC CRM NAT. BROWN 144 SCH X 20GR "/>
    <m/>
    <n v="0"/>
    <s v="NYU CRÈME NATURAL BROWN 20GR (PI)"/>
    <x v="1"/>
    <m/>
    <x v="2"/>
    <s v="NYU CREME HAIR COLOUR"/>
    <s v="G1201"/>
    <x v="206"/>
    <n v="14"/>
    <s v="NYU CREME HAIR COLOUR NATURAL BROWN 20GR X 144 SCH"/>
    <n v="50"/>
    <m/>
    <s v="G1"/>
    <s v="NYU CREME"/>
    <s v="20"/>
    <s v="HAIR COLOUR"/>
    <n v="1"/>
    <m/>
    <s v="0"/>
    <s v="NATURAL BROWN"/>
    <s v="16"/>
    <s v="20GR"/>
    <s v="0020"/>
    <s v="SCH"/>
    <n v="2"/>
    <m/>
    <n v="0"/>
    <m/>
    <m/>
    <m/>
    <n v="0"/>
    <m/>
    <m/>
    <n v="144"/>
    <n v="5077.05"/>
    <n v="731095.20000000007"/>
    <n v="5635.5255000000006"/>
    <n v="811515.67200000014"/>
    <n v="5430"/>
    <n v="781920"/>
    <n v="6027.3"/>
    <n v="867931.20000000007"/>
    <n v="0"/>
    <n v="0"/>
    <n v="0"/>
    <n v="0"/>
    <n v="6.4999999999999961E-2"/>
    <n v="-5077.05"/>
    <e v="#DIV/0!"/>
    <m/>
    <m/>
    <s v="Lama"/>
    <s v="Sama"/>
    <m/>
    <s v="IDR"/>
    <s v="0020"/>
    <s v="20GR"/>
    <m/>
    <m/>
    <s v="KRT"/>
    <s v="GD01"/>
    <n v="11611"/>
    <n v="11612"/>
    <m/>
    <n v="1"/>
    <m/>
    <n v="144"/>
  </r>
  <r>
    <s v="G1201101006010"/>
    <m/>
    <n v="30351090150000"/>
    <x v="308"/>
    <s v="NYU HC CRM NAT BLACK 24 BOX X 60ML MTP 49695 NHC18"/>
    <n v="30351050060001"/>
    <n v="0"/>
    <s v="NYU CREME HAIR COLOR MP-N BLACK 2X30+30"/>
    <x v="5"/>
    <s v="8992745000105"/>
    <x v="10"/>
    <s v="NYU CREME HAIR COLOUR"/>
    <s v="G1201"/>
    <x v="207"/>
    <n v="14"/>
    <s v="NYU CREME HAIR COLOUR MULTI PACK NATURAL BLACK 60ML X 24 BOX"/>
    <n v="60"/>
    <m/>
    <s v="G1"/>
    <s v="NYU CREME"/>
    <s v="20"/>
    <s v="HAIR COLOUR"/>
    <n v="1"/>
    <s v="MULTI PACK"/>
    <s v="1"/>
    <s v="NATURAL BLACK"/>
    <s v="01"/>
    <s v="60ML"/>
    <s v="0060"/>
    <s v="BOX"/>
    <n v="1"/>
    <m/>
    <n v="0"/>
    <m/>
    <m/>
    <m/>
    <n v="30351050060001"/>
    <m/>
    <m/>
    <n v="24"/>
    <n v="18606.5"/>
    <n v="446556"/>
    <n v="20653.215"/>
    <n v="495677.16000000003"/>
    <n v="19900"/>
    <n v="477600"/>
    <n v="22089.000000000004"/>
    <n v="530136"/>
    <n v="0"/>
    <n v="0"/>
    <n v="0"/>
    <n v="0"/>
    <n v="6.5000000000000002E-2"/>
    <n v="-18606.5"/>
    <e v="#DIV/0!"/>
    <m/>
    <m/>
    <s v="Lama"/>
    <s v="Sama"/>
    <m/>
    <s v="IDR"/>
    <s v="0060"/>
    <s v="60ML"/>
    <m/>
    <m/>
    <s v="KRT"/>
    <s v="GD01"/>
    <n v="11611"/>
    <n v="11612"/>
    <m/>
    <n v="1"/>
    <m/>
    <n v="24"/>
  </r>
  <r>
    <s v="G1211001000010"/>
    <m/>
    <n v="30360080080000"/>
    <x v="309"/>
    <s v="NYU HC SHP BLUE BLACK 72 PCS X 300GR 49694 NHC20"/>
    <n v="30352010300020"/>
    <n v="0"/>
    <s v="NYU HENNA SHAMPOO HAIR COLOR-BLUE BLACK"/>
    <x v="6"/>
    <s v="8992745000099"/>
    <x v="5"/>
    <s v="NYU HENNA SHAMPOO"/>
    <s v="G1211"/>
    <x v="208"/>
    <n v="14"/>
    <s v="NYU HENNA SHAMPOO BLUE BLACK X 72 PCS"/>
    <n v="37"/>
    <m/>
    <s v="G1"/>
    <s v="NYU HENNA"/>
    <s v="21"/>
    <s v="SHAMPOO"/>
    <n v="1"/>
    <m/>
    <s v="0"/>
    <s v="BLUE BLACK"/>
    <s v="01"/>
    <m/>
    <s v="0000"/>
    <s v="PCS"/>
    <n v="1"/>
    <m/>
    <n v="0"/>
    <m/>
    <m/>
    <m/>
    <n v="30352010300020"/>
    <m/>
    <m/>
    <n v="72"/>
    <n v="8177.51"/>
    <n v="588780.72"/>
    <n v="9077.0361000000012"/>
    <n v="653546.59920000006"/>
    <n v="8746"/>
    <n v="629712"/>
    <n v="9708.0600000000013"/>
    <n v="698980.32000000007"/>
    <n v="0"/>
    <n v="0"/>
    <n v="0"/>
    <n v="0"/>
    <n v="6.4999999999999974E-2"/>
    <n v="-8177.51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2000010"/>
    <m/>
    <n v="30360090100000"/>
    <x v="310"/>
    <s v="NYU HC SHP BURGUNDY 72PCS X 20ML 35898 57115 NHC15"/>
    <n v="30352020300020"/>
    <n v="0"/>
    <s v="NYU HENNA SHAMPOO HC BURGUNDY"/>
    <x v="6"/>
    <s v="8992745475262"/>
    <x v="5"/>
    <s v="NYU HENNA SHAMPOO"/>
    <s v="G1211"/>
    <x v="209"/>
    <n v="14"/>
    <s v="NYU HENNA SHAMPOO BURGUNDY X 72 PCS"/>
    <n v="35"/>
    <m/>
    <s v="G1"/>
    <s v="NYU HENNA"/>
    <s v="21"/>
    <s v="SHAMPOO"/>
    <n v="1"/>
    <m/>
    <s v="0"/>
    <s v="BURGUNDY"/>
    <s v="02"/>
    <m/>
    <s v="0000"/>
    <s v="PCS"/>
    <n v="1"/>
    <m/>
    <n v="0"/>
    <m/>
    <m/>
    <m/>
    <n v="30352020300020"/>
    <m/>
    <m/>
    <n v="72"/>
    <n v="8177.51"/>
    <n v="588780.72"/>
    <n v="9077.0361000000012"/>
    <n v="653546.59920000006"/>
    <n v="8746"/>
    <n v="629712"/>
    <n v="9708.0600000000013"/>
    <n v="698980.32000000007"/>
    <n v="0"/>
    <n v="0"/>
    <n v="0"/>
    <n v="0"/>
    <n v="6.4999999999999974E-2"/>
    <n v="-8177.51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2000010"/>
    <m/>
    <n v="30360100120000"/>
    <x v="311"/>
    <s v="NYU HC SHP BURGUNDY 72PCS X 20ML 35898 57115 NHC15"/>
    <n v="30352020300020"/>
    <n v="0"/>
    <s v="NYU HENNA SHAMPOO HC BURGUNDY-5MIN."/>
    <x v="6"/>
    <s v="8992745475262"/>
    <x v="5"/>
    <s v="NYU HENNA SHAMPOO"/>
    <s v="G1211"/>
    <x v="209"/>
    <n v="14"/>
    <s v="NYU HENNA SHAMPOO BURGUNDY X 72 PCS"/>
    <n v="35"/>
    <m/>
    <s v="G1"/>
    <s v="NYU HENNA"/>
    <s v="21"/>
    <s v="SHAMPOO"/>
    <n v="1"/>
    <m/>
    <s v="0"/>
    <s v="BURGUNDY"/>
    <s v="02"/>
    <m/>
    <s v="0000"/>
    <s v="PCS"/>
    <n v="1"/>
    <m/>
    <n v="0"/>
    <m/>
    <m/>
    <m/>
    <n v="30352020300020"/>
    <m/>
    <m/>
    <n v="72"/>
    <n v="8177.51"/>
    <n v="588780.72"/>
    <n v="9077.0361000000012"/>
    <n v="653546.59920000006"/>
    <n v="8746"/>
    <n v="629712"/>
    <n v="9708.0600000000013"/>
    <n v="698980.32000000007"/>
    <n v="0"/>
    <n v="0"/>
    <n v="0"/>
    <n v="0"/>
    <n v="6.4999999999999974E-2"/>
    <n v="-8177.51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2000010"/>
    <m/>
    <m/>
    <x v="312"/>
    <m/>
    <m/>
    <m/>
    <m/>
    <x v="6"/>
    <s v="8992745475262"/>
    <x v="5"/>
    <s v="NYU HENNA SHAMPOO"/>
    <s v="G1211"/>
    <x v="209"/>
    <n v="14"/>
    <s v="NYU HENNA SHAMPOO BURGUNDY X 72 PCS"/>
    <n v="35"/>
    <m/>
    <s v="G1"/>
    <s v="NYU HENNA"/>
    <s v="21"/>
    <s v="SHAMPOO"/>
    <n v="1"/>
    <m/>
    <s v="0"/>
    <s v="BURGUNDY"/>
    <s v="02"/>
    <m/>
    <s v="000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3000010"/>
    <m/>
    <n v="30361000030000"/>
    <x v="313"/>
    <s v="NYU HC SHP NAT.BLACK 72 PCSX20ML 35899 57116 NHC16"/>
    <n v="30352050300020"/>
    <n v="0"/>
    <s v="NYU HENNA SHAMPOO HC NAT BLACK-5MIN."/>
    <x v="6"/>
    <s v="8992745475217"/>
    <x v="5"/>
    <s v="NYU HENNA SHAMPOO"/>
    <s v="G1211"/>
    <x v="210"/>
    <n v="14"/>
    <s v="NYU HENNA SHAMPOO NATURAL BLACK X 72 PCS"/>
    <n v="40"/>
    <m/>
    <s v="G1"/>
    <s v="NYU HENNA"/>
    <s v="21"/>
    <s v="SHAMPOO"/>
    <n v="1"/>
    <m/>
    <s v="0"/>
    <s v="NATURAL BLACK"/>
    <s v="03"/>
    <m/>
    <s v="0000"/>
    <s v="PCS"/>
    <n v="1"/>
    <m/>
    <n v="0"/>
    <m/>
    <m/>
    <m/>
    <n v="30352050300020"/>
    <m/>
    <m/>
    <n v="72"/>
    <n v="8177.51"/>
    <n v="588780.72"/>
    <n v="9077.0361000000012"/>
    <n v="653546.59920000006"/>
    <n v="8746"/>
    <n v="629712"/>
    <n v="9708.0600000000013"/>
    <n v="698980.32000000007"/>
    <n v="0"/>
    <n v="0"/>
    <n v="0"/>
    <n v="0"/>
    <n v="6.4999999999999974E-2"/>
    <n v="-8177.51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3000010"/>
    <m/>
    <n v="30363010200000"/>
    <x v="314"/>
    <s v="NYU HC SHP NAT.BLACK 72 PCSX20ML 35899 57116 NHC16"/>
    <n v="30352050300020"/>
    <n v="0"/>
    <s v="NYU HENNA SHAMPOO HC NATURAL BLACK"/>
    <x v="6"/>
    <s v="8992745475217"/>
    <x v="5"/>
    <s v="NYU HENNA SHAMPOO"/>
    <s v="G1211"/>
    <x v="210"/>
    <n v="14"/>
    <s v="NYU HENNA SHAMPOO NATURAL BLACK X 72 PCS"/>
    <n v="40"/>
    <m/>
    <s v="G1"/>
    <s v="NYU HENNA"/>
    <s v="21"/>
    <s v="SHAMPOO"/>
    <n v="1"/>
    <m/>
    <s v="0"/>
    <s v="NATURAL BLACK"/>
    <s v="03"/>
    <m/>
    <s v="0000"/>
    <s v="PCS"/>
    <n v="1"/>
    <m/>
    <n v="0"/>
    <m/>
    <m/>
    <m/>
    <n v="30352050300020"/>
    <m/>
    <m/>
    <n v="72"/>
    <n v="8177.51"/>
    <n v="588780.72"/>
    <n v="9077.0361000000012"/>
    <n v="653546.59920000006"/>
    <n v="8746"/>
    <n v="629712"/>
    <n v="9708.0600000000013"/>
    <n v="698980.32000000007"/>
    <n v="0"/>
    <n v="0"/>
    <n v="0"/>
    <n v="0"/>
    <n v="6.4999999999999974E-2"/>
    <n v="-8177.51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3000010"/>
    <m/>
    <m/>
    <x v="315"/>
    <m/>
    <m/>
    <m/>
    <m/>
    <x v="6"/>
    <s v="8992745475217"/>
    <x v="5"/>
    <s v="NYU HENNA SHAMPOO"/>
    <s v="G1211"/>
    <x v="210"/>
    <n v="14"/>
    <s v="NYU HENNA SHAMPOO NATURAL BLACK X 72 PCS"/>
    <n v="40"/>
    <m/>
    <s v="G1"/>
    <s v="NYU HENNA"/>
    <s v="21"/>
    <s v="SHAMPOO"/>
    <n v="1"/>
    <m/>
    <s v="0"/>
    <s v="NATURAL BLACK"/>
    <s v="03"/>
    <m/>
    <s v="000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4000010"/>
    <m/>
    <n v="30363010000000"/>
    <x v="316"/>
    <s v="NYU HC SHP NAT.BROWN 72 PCS X 20ML 57117 NHC17"/>
    <n v="30352060300020"/>
    <n v="0"/>
    <s v="NYU HENNA SHAMPOO HC NAT BROWN-5 MIN."/>
    <x v="6"/>
    <s v="8992745475279"/>
    <x v="5"/>
    <s v="NYU HENNA SHAMPOO"/>
    <s v="G1211"/>
    <x v="211"/>
    <n v="14"/>
    <s v="NYU HENNA SHAMPOO NATURAL BROWN X 72 PCS"/>
    <n v="40"/>
    <m/>
    <s v="G1"/>
    <s v="NYU HENNA"/>
    <s v="21"/>
    <s v="SHAMPOO"/>
    <n v="1"/>
    <m/>
    <s v="0"/>
    <s v="NATURAL BROWN"/>
    <s v="04"/>
    <m/>
    <s v="0000"/>
    <s v="PCS"/>
    <n v="1"/>
    <m/>
    <n v="0"/>
    <m/>
    <m/>
    <m/>
    <n v="30352060300020"/>
    <m/>
    <m/>
    <n v="72"/>
    <n v="8177.51"/>
    <n v="588780.72"/>
    <n v="9077.0361000000012"/>
    <n v="653546.59920000006"/>
    <n v="8746"/>
    <n v="629712"/>
    <n v="9708.0600000000013"/>
    <n v="698980.32000000007"/>
    <n v="0"/>
    <n v="0"/>
    <n v="0"/>
    <n v="0"/>
    <n v="6.4999999999999974E-2"/>
    <n v="-8177.51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4000010"/>
    <m/>
    <n v="30364010100000"/>
    <x v="317"/>
    <s v="NYU HC SHP NAT.BROWN 72 PCS X 20ML 57117 NHC17"/>
    <n v="30352060300020"/>
    <n v="0"/>
    <s v="NYU HENNA SHAMPOO HC NATURAL BROWN"/>
    <x v="6"/>
    <s v="8992745475279"/>
    <x v="5"/>
    <s v="NYU HENNA SHAMPOO"/>
    <s v="G1211"/>
    <x v="211"/>
    <n v="14"/>
    <s v="NYU HENNA SHAMPOO NATURAL BROWN X 72 PCS"/>
    <n v="40"/>
    <m/>
    <s v="G1"/>
    <s v="NYU HENNA"/>
    <s v="21"/>
    <s v="SHAMPOO"/>
    <n v="1"/>
    <m/>
    <s v="0"/>
    <s v="NATURAL BROWN"/>
    <s v="04"/>
    <m/>
    <s v="0000"/>
    <s v="PCS"/>
    <n v="1"/>
    <m/>
    <n v="0"/>
    <m/>
    <m/>
    <m/>
    <n v="30352060300020"/>
    <m/>
    <m/>
    <n v="72"/>
    <n v="8177.51"/>
    <n v="588780.72"/>
    <n v="9077.0361000000012"/>
    <n v="653546.59920000006"/>
    <n v="8746"/>
    <n v="629712"/>
    <n v="9708.0600000000013"/>
    <n v="698980.32000000007"/>
    <n v="0"/>
    <n v="0"/>
    <n v="0"/>
    <n v="0"/>
    <n v="6.4999999999999974E-2"/>
    <n v="-8177.51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11004000010"/>
    <m/>
    <m/>
    <x v="318"/>
    <m/>
    <m/>
    <m/>
    <m/>
    <x v="6"/>
    <s v="8992745475279"/>
    <x v="5"/>
    <s v="NYU HENNA SHAMPOO"/>
    <s v="G1211"/>
    <x v="211"/>
    <n v="14"/>
    <s v="NYU HENNA SHAMPOO NATURAL BROWN X 72 PCS"/>
    <n v="40"/>
    <m/>
    <s v="G1"/>
    <s v="NYU HENNA"/>
    <s v="21"/>
    <s v="SHAMPOO"/>
    <n v="1"/>
    <m/>
    <s v="0"/>
    <s v="NATURAL BROWN"/>
    <s v="04"/>
    <m/>
    <s v="000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1001010010"/>
    <m/>
    <n v="30364020100000"/>
    <x v="319"/>
    <s v="POLYTEX K. SAMPAH L 24 PCS X 100CM 39309 PLK02"/>
    <n v="30360090100000"/>
    <n v="0"/>
    <s v="POLYTEX K SAMPAH L 80x100"/>
    <x v="5"/>
    <s v="8992745480600"/>
    <x v="5"/>
    <s v="POLYTEX KANTONG SAMPAH"/>
    <s v="G1221"/>
    <x v="212"/>
    <n v="14"/>
    <s v="POLYTEX KANTONG SAMPAH L 100CM X 24 PCS"/>
    <n v="39"/>
    <m/>
    <s v="G1"/>
    <s v="POLYTEX"/>
    <s v="22"/>
    <s v="KANTONG SAMPAH"/>
    <n v="1"/>
    <m/>
    <s v="0"/>
    <s v="L"/>
    <s v="01"/>
    <s v="100CM"/>
    <s v="0100"/>
    <s v="PCS"/>
    <n v="1"/>
    <m/>
    <n v="0"/>
    <m/>
    <m/>
    <m/>
    <n v="30360090100000"/>
    <m/>
    <m/>
    <n v="24"/>
    <n v="16502.75"/>
    <n v="396066"/>
    <n v="18318.052500000002"/>
    <n v="439633.26000000007"/>
    <n v="17650"/>
    <n v="423600"/>
    <n v="19591.5"/>
    <n v="470196.00000000006"/>
    <n v="0"/>
    <n v="0"/>
    <n v="0"/>
    <n v="0"/>
    <n v="6.5000000000000002E-2"/>
    <n v="-16502.75"/>
    <e v="#DIV/0!"/>
    <m/>
    <m/>
    <s v="Lama"/>
    <s v="Sama"/>
    <m/>
    <s v="IDR"/>
    <s v="0100"/>
    <s v="100CM"/>
    <m/>
    <m/>
    <s v="KRT"/>
    <s v="GD01"/>
    <n v="11611"/>
    <n v="11612"/>
    <m/>
    <n v="1"/>
    <m/>
    <n v="24"/>
  </r>
  <r>
    <s v="G1221002008010"/>
    <m/>
    <n v="30364020500001"/>
    <x v="320"/>
    <s v="POLYTEX K. SAMPAH M 24 PCS X 80CM 39308 PLK03"/>
    <n v="30360080080000"/>
    <n v="0"/>
    <s v="POLYTEX K SAMPAH M 60x80"/>
    <x v="5"/>
    <s v="8992745480624"/>
    <x v="5"/>
    <s v="POLYTEX KANTONG SAMPAH"/>
    <s v="G1221"/>
    <x v="213"/>
    <n v="14"/>
    <s v="POLYTEX KANTONG SAMPAH M 80CM X 24 PCS"/>
    <n v="38"/>
    <m/>
    <s v="G1"/>
    <s v="POLYTEX"/>
    <s v="22"/>
    <s v="KANTONG SAMPAH"/>
    <n v="1"/>
    <m/>
    <s v="0"/>
    <s v="M"/>
    <s v="02"/>
    <s v="80CM"/>
    <s v="0080"/>
    <s v="PCS"/>
    <n v="1"/>
    <m/>
    <n v="0"/>
    <m/>
    <m/>
    <m/>
    <n v="30360080080000"/>
    <m/>
    <m/>
    <n v="24"/>
    <n v="12772.1"/>
    <n v="306530.40000000002"/>
    <n v="14177.031000000001"/>
    <n v="340248.74400000006"/>
    <n v="13660"/>
    <n v="327840"/>
    <n v="15162.600000000002"/>
    <n v="363902.4"/>
    <n v="0"/>
    <n v="0"/>
    <n v="0"/>
    <n v="0"/>
    <n v="6.4999999999999974E-2"/>
    <n v="-12772.1"/>
    <e v="#DIV/0!"/>
    <m/>
    <m/>
    <s v="Lama"/>
    <s v="Sama"/>
    <m/>
    <s v="IDR"/>
    <s v="0080"/>
    <s v="80CM"/>
    <m/>
    <m/>
    <s v="KRT"/>
    <s v="GD01"/>
    <n v="11611"/>
    <n v="11612"/>
    <m/>
    <n v="1"/>
    <m/>
    <n v="24"/>
  </r>
  <r>
    <s v="G1221003012010"/>
    <m/>
    <n v="30364020500001"/>
    <x v="321"/>
    <s v="POLYTEX K. SAMPAH XL 24 PCS X 120CM 39310 PLK01"/>
    <n v="30360100120000"/>
    <n v="0"/>
    <s v="POLYTEX K SAMPAH XL 100x120"/>
    <x v="5"/>
    <s v="8992745480471"/>
    <x v="5"/>
    <s v="POLYTEX KANTONG SAMPAH"/>
    <s v="G1221"/>
    <x v="214"/>
    <n v="14"/>
    <s v="POLYTEX KANTONG SAMPAH XL 120CM X 24 PCS"/>
    <n v="40"/>
    <m/>
    <s v="G1"/>
    <s v="POLYTEX"/>
    <s v="22"/>
    <s v="KANTONG SAMPAH"/>
    <n v="1"/>
    <m/>
    <s v="0"/>
    <s v="XL"/>
    <s v="03"/>
    <s v="120CM"/>
    <s v="0120"/>
    <s v="PCS"/>
    <n v="1"/>
    <m/>
    <n v="0"/>
    <m/>
    <m/>
    <m/>
    <n v="30360100120000"/>
    <m/>
    <m/>
    <n v="24"/>
    <n v="16502.75"/>
    <n v="396066"/>
    <n v="18318.052500000002"/>
    <n v="439633.26000000007"/>
    <n v="17650"/>
    <n v="423600"/>
    <n v="19591.5"/>
    <n v="470196.00000000006"/>
    <n v="0"/>
    <n v="0"/>
    <n v="0"/>
    <n v="0"/>
    <n v="6.5000000000000002E-2"/>
    <n v="-16502.75"/>
    <e v="#DIV/0!"/>
    <m/>
    <m/>
    <s v="Lama"/>
    <s v="Sama"/>
    <m/>
    <s v="IDR"/>
    <s v="0120"/>
    <s v="120CM"/>
    <m/>
    <m/>
    <s v="KRT"/>
    <s v="GD01"/>
    <n v="11611"/>
    <n v="11612"/>
    <m/>
    <n v="1"/>
    <m/>
    <n v="24"/>
  </r>
  <r>
    <s v="G1222101000010"/>
    <m/>
    <n v="30364030100000"/>
    <x v="322"/>
    <s v="PLTX KAIN PENYERAP 72 PCS X 30GR 8508 31382 PK01"/>
    <n v="30361000030000"/>
    <n v="0"/>
    <s v="POLYTEX LAP KAIN MICROFIBER"/>
    <x v="6"/>
    <s v="8992749360601"/>
    <x v="5"/>
    <s v="POLYTEX LAP"/>
    <s v="G1222"/>
    <x v="215"/>
    <n v="14"/>
    <s v="POLYTEX LAP KAIN MICROFIBER X 72 PCS"/>
    <n v="36"/>
    <m/>
    <s v="G1"/>
    <s v="POLYTEX"/>
    <s v="22"/>
    <s v="LAP"/>
    <n v="2"/>
    <s v="KAIN"/>
    <s v="1"/>
    <s v="MICROFIBER"/>
    <s v="01"/>
    <m/>
    <s v="0000"/>
    <s v="PCS"/>
    <n v="1"/>
    <m/>
    <n v="0"/>
    <m/>
    <m/>
    <m/>
    <n v="30361000030000"/>
    <m/>
    <m/>
    <n v="72"/>
    <n v="13193.785"/>
    <n v="949952.52"/>
    <n v="14645.101350000001"/>
    <n v="1054447.2972000001"/>
    <n v="14111"/>
    <n v="1015992"/>
    <n v="15663.210000000001"/>
    <n v="1127751.1200000001"/>
    <n v="0"/>
    <n v="0"/>
    <n v="0"/>
    <n v="0"/>
    <n v="6.5000000000000016E-2"/>
    <n v="-13193.78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2201000010"/>
    <m/>
    <n v="30361070000003"/>
    <x v="323"/>
    <s v="POLYTEX LAP PENYERAP CHAMOIS 72PCSX1S&quot;31383&quot;PLP01"/>
    <n v="30361070000003"/>
    <n v="0"/>
    <n v="0"/>
    <x v="6"/>
    <n v="0"/>
    <x v="5"/>
    <s v="POLYTEX LAP"/>
    <s v="G1222"/>
    <x v="216"/>
    <n v="14"/>
    <s v="POLYTEX LAP PENYERAP CHAMOIS X 72 PCS"/>
    <n v="37"/>
    <m/>
    <s v="G1"/>
    <s v="POLYTEX"/>
    <s v="22"/>
    <s v="LAP"/>
    <n v="2"/>
    <s v="PENYERAP"/>
    <s v="2"/>
    <s v="CHAMOIS"/>
    <s v="01"/>
    <m/>
    <s v="0000"/>
    <s v="PCS"/>
    <n v="1"/>
    <m/>
    <n v="0"/>
    <m/>
    <m/>
    <m/>
    <n v="30361070000003"/>
    <m/>
    <m/>
    <n v="72"/>
    <n v="18700"/>
    <n v="1346400"/>
    <n v="20757.000000000004"/>
    <n v="1494504.0000000002"/>
    <n v="20000"/>
    <n v="1440000"/>
    <n v="22200.000000000004"/>
    <n v="1598400.0000000002"/>
    <n v="0"/>
    <n v="0"/>
    <n v="0"/>
    <n v="0"/>
    <n v="6.5000000000000002E-2"/>
    <n v="-1870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3001000010"/>
    <m/>
    <n v="30371000025030"/>
    <x v="324"/>
    <s v="PLTX SSTEEL E.BERSIH 72 PCSX20GR 20644 31392 PSL04"/>
    <n v="30369060020000"/>
    <n v="0"/>
    <s v="POLYTEX SS EXTRA BERSIH&amp;TAHAN LAMA 20GR"/>
    <x v="6"/>
    <s v="8992742360851"/>
    <x v="5"/>
    <s v="POLYTEX S.STEEL"/>
    <s v="G1223"/>
    <x v="217"/>
    <n v="14"/>
    <s v="POLYTEX S.STEEL EXTRA BERSIH &amp; TAHAN LAMA X 72 PCS"/>
    <n v="50"/>
    <m/>
    <s v="G1"/>
    <s v="POLYTEX"/>
    <s v="22"/>
    <s v="S.STEEL"/>
    <n v="3"/>
    <m/>
    <s v="0"/>
    <s v="EXTRA BERSIH &amp; TAHAN LAMA"/>
    <s v="01"/>
    <m/>
    <s v="0000"/>
    <s v="PCS"/>
    <n v="1"/>
    <m/>
    <n v="0"/>
    <m/>
    <m/>
    <m/>
    <n v="30369060020000"/>
    <m/>
    <m/>
    <n v="72"/>
    <n v="4618.8999999999996"/>
    <n v="332560.8"/>
    <n v="5126.9790000000003"/>
    <n v="369142.48800000001"/>
    <n v="4940"/>
    <n v="355680"/>
    <n v="5483.4000000000005"/>
    <n v="394804.80000000005"/>
    <n v="0"/>
    <n v="0"/>
    <n v="0"/>
    <n v="0"/>
    <n v="6.5000000000000072E-2"/>
    <n v="-4618.8999999999996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3001000010"/>
    <m/>
    <m/>
    <x v="325"/>
    <m/>
    <m/>
    <m/>
    <m/>
    <x v="6"/>
    <s v="8992742360851"/>
    <x v="5"/>
    <s v="POLYTEX S.STEEL"/>
    <s v="G1223"/>
    <x v="217"/>
    <n v="14"/>
    <s v="POLYTEX S.STEEL EXTRA BERSIH &amp; TAHAN LAMA X 72 PCS"/>
    <n v="50"/>
    <m/>
    <s v="G1"/>
    <s v="POLYTEX"/>
    <s v="22"/>
    <s v="S.STEEL"/>
    <n v="3"/>
    <m/>
    <s v="0"/>
    <s v="EXTRA BERSIH &amp; TAHAN LAMA"/>
    <s v="01"/>
    <m/>
    <s v="0000"/>
    <s v="PCS"/>
    <n v="1"/>
    <m/>
    <n v="0"/>
    <m/>
    <m/>
    <m/>
    <n v="0"/>
    <m/>
    <m/>
    <n v="72"/>
    <n v="4618.8999999999996"/>
    <n v="332560.8"/>
    <n v="5126.9790000000003"/>
    <n v="369142.48800000001"/>
    <n v="4940"/>
    <n v="355680"/>
    <n v="5483.4000000000005"/>
    <n v="394804.80000000005"/>
    <n v="0"/>
    <n v="0"/>
    <n v="0"/>
    <n v="0"/>
    <n v="6.5000000000000072E-2"/>
    <n v="-4618.8999999999996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3001000210"/>
    <m/>
    <n v="30370001003010"/>
    <x v="326"/>
    <s v="PLTX SSTEEL EXT.BERSIH 48 PCS X 20GR2S 58057 PSL05"/>
    <n v="30369060020001"/>
    <n v="0"/>
    <s v="POLYTEX SS EBTL 20GR 2S NEW."/>
    <x v="2"/>
    <s v="8992745999737"/>
    <x v="5"/>
    <s v="POLYTEX S.STEEL"/>
    <s v="G1223"/>
    <x v="218"/>
    <n v="14"/>
    <s v="POLYTEX S.STEEL EXTRA BERSIH &amp; TAHAN LAMA 2S X 48 PCS"/>
    <n v="53"/>
    <m/>
    <s v="G1"/>
    <s v="POLYTEX"/>
    <s v="22"/>
    <s v="S.STEEL"/>
    <n v="3"/>
    <m/>
    <s v="0"/>
    <s v="EXTRA BERSIH &amp; TAHAN LAMA"/>
    <s v="01"/>
    <s v="2S"/>
    <s v="0002"/>
    <s v="PCS"/>
    <n v="1"/>
    <m/>
    <n v="0"/>
    <m/>
    <m/>
    <m/>
    <n v="30369060020001"/>
    <m/>
    <m/>
    <n v="48"/>
    <n v="9920.35"/>
    <n v="476176.80000000005"/>
    <n v="11011.588500000002"/>
    <n v="528556.24800000014"/>
    <n v="10610"/>
    <n v="509280"/>
    <n v="11777.1"/>
    <n v="565300.80000000005"/>
    <n v="0"/>
    <n v="0"/>
    <n v="0"/>
    <n v="0"/>
    <n v="6.4999999999999961E-2"/>
    <n v="-9920.35"/>
    <e v="#DIV/0!"/>
    <m/>
    <m/>
    <s v="Lama"/>
    <s v="Sama"/>
    <m/>
    <s v="IDR"/>
    <s v="0002"/>
    <s v="2S"/>
    <m/>
    <m/>
    <s v="KRT"/>
    <s v="GD01"/>
    <n v="11611"/>
    <n v="11612"/>
    <m/>
    <n v="1"/>
    <m/>
    <n v="48"/>
  </r>
  <r>
    <s v="G1223001000210"/>
    <m/>
    <n v="30371000025030"/>
    <x v="327"/>
    <s v="PLTX SSTEEL EXT.BERSIH 48 PCS X 20GR2S 58057 PSL05"/>
    <n v="30369060020001"/>
    <n v="0"/>
    <s v="POLYTEX SS EXTRA BERSIH&amp;TAHAN LAMA20GR2S"/>
    <x v="2"/>
    <s v="8992745999737"/>
    <x v="5"/>
    <s v="POLYTEX S.STEEL"/>
    <s v="G1223"/>
    <x v="218"/>
    <n v="14"/>
    <s v="POLYTEX S.STEEL EXTRA BERSIH &amp; TAHAN LAMA 2S X 48 PCS"/>
    <n v="53"/>
    <m/>
    <s v="G1"/>
    <s v="POLYTEX"/>
    <s v="22"/>
    <s v="S.STEEL"/>
    <n v="3"/>
    <m/>
    <s v="0"/>
    <s v="EXTRA BERSIH &amp; TAHAN LAMA"/>
    <s v="01"/>
    <s v="2S"/>
    <s v="0002"/>
    <s v="PCS"/>
    <n v="1"/>
    <m/>
    <n v="0"/>
    <m/>
    <m/>
    <m/>
    <n v="30369060020001"/>
    <m/>
    <m/>
    <n v="48"/>
    <n v="9920.35"/>
    <n v="476176.80000000005"/>
    <n v="11011.588500000002"/>
    <n v="528556.24800000014"/>
    <n v="10610"/>
    <n v="509280"/>
    <n v="11777.1"/>
    <n v="565300.80000000005"/>
    <n v="0"/>
    <n v="0"/>
    <n v="0"/>
    <n v="0"/>
    <n v="6.4999999999999961E-2"/>
    <n v="-9920.35"/>
    <e v="#DIV/0!"/>
    <m/>
    <m/>
    <s v="Lama"/>
    <s v="Sama"/>
    <m/>
    <s v="IDR"/>
    <s v="0002"/>
    <s v="2S"/>
    <m/>
    <m/>
    <s v="KRT"/>
    <s v="GD01"/>
    <n v="11611"/>
    <n v="11612"/>
    <m/>
    <n v="1"/>
    <m/>
    <n v="48"/>
  </r>
  <r>
    <s v="G1223001001210"/>
    <m/>
    <n v="30371000400020"/>
    <x v="328"/>
    <s v="PLTX SSTEEL REG. 72 PCS X 12.5GR 8567 31385 PSL02"/>
    <n v="30369030012000"/>
    <n v="0"/>
    <s v="POLYTEX STAINLESS STEEL REGULAR 12,5G"/>
    <x v="6"/>
    <s v="8992742360844"/>
    <x v="5"/>
    <s v="POLYTEX S.STEEL"/>
    <s v="G1223"/>
    <x v="219"/>
    <n v="14"/>
    <s v="POLYTEX S.STEEL REGULAR 12.5G X 72 PCS"/>
    <n v="38"/>
    <m/>
    <s v="G1"/>
    <s v="POLYTEX"/>
    <s v="22"/>
    <s v="S.STEEL"/>
    <n v="3"/>
    <m/>
    <s v="0"/>
    <s v="REGULAR"/>
    <s v="01"/>
    <s v="12.5G"/>
    <s v="0012"/>
    <s v="PCS"/>
    <n v="1"/>
    <m/>
    <n v="0"/>
    <m/>
    <m/>
    <m/>
    <n v="30369030012000"/>
    <m/>
    <m/>
    <n v="72"/>
    <n v="3534.3"/>
    <n v="254469.6"/>
    <n v="3923.0730000000003"/>
    <n v="282461.25600000005"/>
    <n v="3780"/>
    <n v="272160"/>
    <n v="4195.8"/>
    <n v="302097.60000000003"/>
    <n v="0"/>
    <n v="0"/>
    <n v="0"/>
    <n v="0"/>
    <n v="6.4999999999999947E-2"/>
    <n v="-3534.3"/>
    <e v="#DIV/0!"/>
    <m/>
    <m/>
    <s v="Lama"/>
    <s v="Sama"/>
    <m/>
    <s v="IDR"/>
    <s v="0012"/>
    <s v="12.5G"/>
    <m/>
    <m/>
    <s v="KRT"/>
    <s v="GD01"/>
    <n v="11611"/>
    <n v="11612"/>
    <m/>
    <n v="1"/>
    <m/>
    <n v="72"/>
  </r>
  <r>
    <s v="G1223101000310"/>
    <m/>
    <n v="30364040000003"/>
    <x v="329"/>
    <s v="PLYTX SS EXT BRSH PCS X 20GR MTP2+INEW 59999 PSL11"/>
    <n v="30369060000013"/>
    <n v="0"/>
    <s v="POLYTEX MTP SS 20G EXT BERSIH ISI 3 NEW"/>
    <x v="5"/>
    <s v="8992742000030"/>
    <x v="5"/>
    <s v="POLYTEX S.STEEL"/>
    <s v="G1223"/>
    <x v="220"/>
    <n v="14"/>
    <s v="POLYTEX S.STEEL MULTI PACK EXTRA BERSIH &amp; TAHAN LAMA 3S X 24 PCS"/>
    <n v="64"/>
    <m/>
    <s v="G1"/>
    <s v="POLYTEX"/>
    <s v="22"/>
    <s v="S.STEEL"/>
    <n v="3"/>
    <s v="MULTI PACK"/>
    <s v="1"/>
    <s v="EXTRA BERSIH &amp; TAHAN LAMA"/>
    <s v="01"/>
    <s v="3S"/>
    <s v="0003"/>
    <s v="PCS"/>
    <n v="1"/>
    <m/>
    <n v="0"/>
    <m/>
    <m/>
    <m/>
    <n v="30369060000013"/>
    <m/>
    <m/>
    <n v="24"/>
    <n v="11363.99"/>
    <n v="272735.76"/>
    <n v="12614.028900000001"/>
    <n v="302736.69360000006"/>
    <n v="12154"/>
    <n v="291696"/>
    <n v="13490.94"/>
    <n v="323782.56000000006"/>
    <n v="0"/>
    <n v="0"/>
    <n v="0"/>
    <n v="0"/>
    <n v="6.5000000000000016E-2"/>
    <n v="-11363.99"/>
    <e v="#DIV/0!"/>
    <m/>
    <m/>
    <s v="Lama"/>
    <s v="Sama"/>
    <m/>
    <s v="IDR"/>
    <s v="0003"/>
    <s v="3S"/>
    <m/>
    <m/>
    <s v="KRT"/>
    <s v="GD01"/>
    <n v="11611"/>
    <n v="11612"/>
    <m/>
    <n v="1"/>
    <m/>
    <n v="24"/>
  </r>
  <r>
    <s v="G1223101000310"/>
    <m/>
    <n v="30364030500001"/>
    <x v="330"/>
    <s v="POLYTEX SS EXT BERSIH24PCSX20GR MTP2+1 59999 PSL08"/>
    <n v="30369060000013"/>
    <n v="0"/>
    <s v="POLYTEX MTP SS 20 GR EXTRA BERSIH ISI 3."/>
    <x v="5"/>
    <s v="8992742000030"/>
    <x v="5"/>
    <s v="POLYTEX S.STEEL"/>
    <s v="G1223"/>
    <x v="220"/>
    <n v="14"/>
    <s v="POLYTEX S.STEEL MULTI PACK EXTRA BERSIH &amp; TAHAN LAMA 3S X 24 PCS"/>
    <n v="64"/>
    <m/>
    <s v="G1"/>
    <s v="POLYTEX"/>
    <s v="22"/>
    <s v="S.STEEL"/>
    <n v="3"/>
    <s v="MULTI PACK"/>
    <s v="1"/>
    <s v="EXTRA BERSIH &amp; TAHAN LAMA"/>
    <s v="01"/>
    <s v="3S"/>
    <s v="0003"/>
    <s v="PCS"/>
    <n v="1"/>
    <m/>
    <n v="0"/>
    <m/>
    <m/>
    <m/>
    <n v="30369060000013"/>
    <m/>
    <m/>
    <n v="24"/>
    <n v="11363.99"/>
    <n v="272735.76"/>
    <n v="12614.028900000001"/>
    <n v="302736.69360000006"/>
    <n v="12154"/>
    <n v="291696"/>
    <n v="13490.94"/>
    <n v="323782.56000000006"/>
    <n v="0"/>
    <n v="0"/>
    <n v="0"/>
    <n v="0"/>
    <n v="6.5000000000000016E-2"/>
    <n v="-11363.99"/>
    <e v="#DIV/0!"/>
    <m/>
    <m/>
    <s v="Lama"/>
    <s v="Sama"/>
    <m/>
    <s v="IDR"/>
    <s v="0003"/>
    <s v="3S"/>
    <m/>
    <m/>
    <s v="KRT"/>
    <s v="GD01"/>
    <n v="11611"/>
    <n v="11612"/>
    <m/>
    <n v="1"/>
    <m/>
    <n v="24"/>
  </r>
  <r>
    <s v="G1223201001210"/>
    <m/>
    <n v="30371000400020"/>
    <x v="331"/>
    <s v="PLTX SSTEL PPN 72 PCSX12.5G 128 31623 60134 PSL03"/>
    <n v="30369050012002"/>
    <n v="0"/>
    <s v="POLYTEX STAINLESS REG 12,5G PAPAN12S ND"/>
    <x v="6"/>
    <s v="8992742360844"/>
    <x v="5"/>
    <s v="POLYTEX S.STEEL"/>
    <s v="G1223"/>
    <x v="221"/>
    <n v="14"/>
    <s v="POLYTEX S.STEEL PAPAN REGULAR 12.5G X 72 PCS"/>
    <n v="44"/>
    <m/>
    <s v="G1"/>
    <s v="POLYTEX"/>
    <s v="22"/>
    <s v="S.STEEL"/>
    <n v="3"/>
    <s v="PAPAN"/>
    <s v="2"/>
    <s v="REGULAR"/>
    <s v="01"/>
    <s v="12.5G"/>
    <s v="0012"/>
    <s v="PCS"/>
    <n v="1"/>
    <m/>
    <n v="0"/>
    <m/>
    <m/>
    <m/>
    <n v="30369050012002"/>
    <m/>
    <m/>
    <n v="72"/>
    <n v="1878.415"/>
    <n v="135245.88"/>
    <n v="2085.0406500000004"/>
    <n v="150122.92680000002"/>
    <n v="2009"/>
    <n v="144648"/>
    <n v="2229.9900000000002"/>
    <n v="160559.28000000003"/>
    <n v="0"/>
    <n v="0"/>
    <n v="0"/>
    <n v="0"/>
    <n v="6.5000000000000016E-2"/>
    <n v="-1878.415"/>
    <e v="#DIV/0!"/>
    <m/>
    <m/>
    <s v="Lama"/>
    <s v="Sama"/>
    <m/>
    <s v="IDR"/>
    <s v="0012"/>
    <s v="12.5G"/>
    <m/>
    <m/>
    <s v="KRT"/>
    <s v="GD01"/>
    <n v="11611"/>
    <n v="11612"/>
    <m/>
    <n v="1"/>
    <m/>
    <n v="72"/>
  </r>
  <r>
    <s v="G1223201001210"/>
    <m/>
    <n v="30371000125022"/>
    <x v="332"/>
    <s v="PLTX SSTEL PPN 72 PCSX12.5G 12S 31623 60134 PSL03"/>
    <n v="30369050012002"/>
    <n v="0"/>
    <s v="POLYTEX SS REG 12,5G PAPAN12S NS"/>
    <x v="6"/>
    <s v="8992742360844"/>
    <x v="5"/>
    <s v="POLYTEX S.STEEL"/>
    <s v="G1223"/>
    <x v="221"/>
    <n v="14"/>
    <s v="POLYTEX S.STEEL PAPAN REGULAR 12.5G X 72 PCS"/>
    <n v="44"/>
    <m/>
    <s v="G1"/>
    <s v="POLYTEX"/>
    <s v="22"/>
    <s v="S.STEEL"/>
    <n v="3"/>
    <s v="PAPAN"/>
    <s v="2"/>
    <s v="REGULAR"/>
    <s v="01"/>
    <s v="12.5G"/>
    <s v="0012"/>
    <s v="PCS"/>
    <n v="1"/>
    <m/>
    <n v="0"/>
    <m/>
    <m/>
    <m/>
    <n v="30369050012002"/>
    <m/>
    <m/>
    <n v="72"/>
    <n v="1878.415"/>
    <n v="135245.88"/>
    <n v="2085.0406500000004"/>
    <n v="150122.92680000002"/>
    <n v="2009"/>
    <n v="144648"/>
    <n v="2229.9900000000002"/>
    <n v="160559.28000000003"/>
    <n v="0"/>
    <n v="0"/>
    <n v="0"/>
    <n v="0"/>
    <n v="6.5000000000000016E-2"/>
    <n v="-1878.415"/>
    <e v="#DIV/0!"/>
    <m/>
    <m/>
    <s v="Lama"/>
    <s v="Sama"/>
    <m/>
    <s v="IDR"/>
    <s v="0012"/>
    <s v="12.5G"/>
    <m/>
    <m/>
    <s v="KRT"/>
    <s v="GD01"/>
    <n v="11611"/>
    <n v="11612"/>
    <m/>
    <n v="1"/>
    <m/>
    <n v="72"/>
  </r>
  <r>
    <s v="G1224101000010"/>
    <m/>
    <n v="30369030012000"/>
    <x v="333"/>
    <s v="POLYTEX SABUT JARING A. GORES 72 PCS 50292 PSJ02"/>
    <n v="30363010000000"/>
    <n v="0"/>
    <s v="POLYTEX SABUT JARING 5K"/>
    <x v="6"/>
    <s v="8992742000009"/>
    <x v="5"/>
    <s v="POLYTEX SABUT"/>
    <s v="G1224"/>
    <x v="222"/>
    <n v="14"/>
    <s v="POLYTEX SABUT JARING ANTI GORES X 72 PCS"/>
    <n v="40"/>
    <m/>
    <s v="G1"/>
    <s v="POLYTEX"/>
    <s v="22"/>
    <s v="SABUT"/>
    <n v="4"/>
    <s v="JARING"/>
    <s v="1"/>
    <s v="ANTI GORES"/>
    <s v="01"/>
    <m/>
    <s v="0000"/>
    <s v="PCS"/>
    <n v="1"/>
    <m/>
    <n v="0"/>
    <m/>
    <m/>
    <m/>
    <n v="30363010000000"/>
    <m/>
    <m/>
    <n v="72"/>
    <n v="2992"/>
    <n v="215424"/>
    <n v="3321.1200000000003"/>
    <n v="239120.64000000001"/>
    <n v="3200"/>
    <n v="230400"/>
    <n v="3552.0000000000005"/>
    <n v="255744.00000000003"/>
    <n v="0"/>
    <n v="0"/>
    <n v="0"/>
    <n v="0"/>
    <n v="6.5000000000000002E-2"/>
    <n v="-2992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4201000010"/>
    <m/>
    <n v="30369060020000"/>
    <x v="334"/>
    <s v="PLTX SABUT NILON HIJAU EXT 576X100GR 31393 PSN01"/>
    <n v="30365000100000"/>
    <n v="0"/>
    <s v="POLYTEX SBT HIJAU EXTRA BERSIH&amp;THN LAMA"/>
    <x v="8"/>
    <s v="8992742370164"/>
    <x v="5"/>
    <s v="POLYTEX SABUT"/>
    <s v="G1224"/>
    <x v="223"/>
    <n v="14"/>
    <s v="POLYTEX SABUT NILON EXTRA BERSIH &amp; TAHAN LAMA X 576 PCS"/>
    <n v="55"/>
    <m/>
    <s v="G1"/>
    <s v="POLYTEX"/>
    <s v="22"/>
    <s v="SABUT"/>
    <n v="4"/>
    <s v="NILON"/>
    <s v="2"/>
    <s v="EXTRA BERSIH &amp; TAHAN LAMA"/>
    <s v="01"/>
    <m/>
    <s v="0000"/>
    <s v="PCS"/>
    <n v="1"/>
    <m/>
    <n v="0"/>
    <m/>
    <m/>
    <m/>
    <n v="30365000100000"/>
    <m/>
    <m/>
    <n v="576"/>
    <n v="2262.6999999999998"/>
    <n v="1303315.2"/>
    <n v="2511.5970000000002"/>
    <n v="1446679.872"/>
    <n v="2420"/>
    <n v="1393920"/>
    <n v="2686.2000000000003"/>
    <n v="1547251.2000000002"/>
    <n v="0"/>
    <n v="0"/>
    <n v="0"/>
    <n v="0"/>
    <n v="6.5000000000000072E-2"/>
    <n v="-2262.6999999999998"/>
    <e v="#DIV/0!"/>
    <m/>
    <m/>
    <s v="Lama"/>
    <s v="Sama"/>
    <m/>
    <s v="IDR"/>
    <s v="0000"/>
    <n v="0"/>
    <m/>
    <m/>
    <s v="KRT"/>
    <s v="GD01"/>
    <n v="11611"/>
    <n v="11612"/>
    <m/>
    <n v="1"/>
    <m/>
    <n v="576"/>
  </r>
  <r>
    <s v="G1224201000010"/>
    <m/>
    <m/>
    <x v="335"/>
    <m/>
    <m/>
    <m/>
    <m/>
    <x v="8"/>
    <s v="8992742370164"/>
    <x v="5"/>
    <s v="POLYTEX SABUT"/>
    <s v="G1224"/>
    <x v="223"/>
    <n v="14"/>
    <s v="POLYTEX SABUT NILON EXTRA BERSIH &amp; TAHAN LAMA X 576 PCS"/>
    <n v="55"/>
    <m/>
    <s v="G1"/>
    <s v="POLYTEX"/>
    <s v="22"/>
    <s v="SABUT"/>
    <n v="4"/>
    <s v="NILON"/>
    <s v="2"/>
    <s v="EXTRA BERSIH &amp; TAHAN LAMA"/>
    <s v="01"/>
    <m/>
    <s v="0000"/>
    <s v="PCS"/>
    <n v="1"/>
    <m/>
    <n v="0"/>
    <m/>
    <m/>
    <m/>
    <n v="0"/>
    <m/>
    <m/>
    <n v="576"/>
    <n v="2262.6999999999998"/>
    <n v="1303315.2"/>
    <n v="2511.5970000000002"/>
    <n v="1446679.872"/>
    <n v="2420"/>
    <n v="1393920"/>
    <n v="2686.2000000000003"/>
    <n v="1547251.2000000002"/>
    <n v="0"/>
    <n v="0"/>
    <n v="0"/>
    <n v="0"/>
    <n v="6.5000000000000072E-2"/>
    <n v="-2262.6999999999998"/>
    <e v="#DIV/0!"/>
    <m/>
    <m/>
    <s v="Lama"/>
    <s v="Sama"/>
    <m/>
    <s v="IDR"/>
    <s v="0000"/>
    <n v="0"/>
    <m/>
    <m/>
    <s v="KRT"/>
    <s v="GD01"/>
    <n v="11611"/>
    <n v="11612"/>
    <m/>
    <n v="1"/>
    <m/>
    <n v="576"/>
  </r>
  <r>
    <s v="G1224301000010"/>
    <m/>
    <n v="30369050012002"/>
    <x v="336"/>
    <s v="PLTX SABUT SPON ANTI GORES 288 PCS 31387 PSS01"/>
    <n v="30364010100000"/>
    <n v="0"/>
    <s v="POLYTEX SABUT SPON ANTI GORES ND"/>
    <x v="11"/>
    <s v="8992742360455"/>
    <x v="5"/>
    <s v="POLYTEX SABUT"/>
    <s v="G1224"/>
    <x v="224"/>
    <n v="14"/>
    <s v="POLYTEX SABUT SPON ANTI GORES X 288 PCS"/>
    <n v="39"/>
    <m/>
    <s v="G1"/>
    <s v="POLYTEX"/>
    <s v="22"/>
    <s v="SABUT"/>
    <n v="4"/>
    <s v="SPON"/>
    <s v="3"/>
    <s v="ANTI GORES"/>
    <s v="01"/>
    <m/>
    <s v="0000"/>
    <s v="PCS"/>
    <n v="1"/>
    <m/>
    <n v="0"/>
    <m/>
    <m/>
    <m/>
    <n v="30364010100000"/>
    <m/>
    <m/>
    <n v="288"/>
    <n v="5694.15"/>
    <n v="1639915.2"/>
    <n v="6320.5065000000004"/>
    <n v="1820305.8720000002"/>
    <n v="6090"/>
    <n v="1753920"/>
    <n v="6759.9000000000005"/>
    <n v="1946851.2000000002"/>
    <n v="0"/>
    <n v="0"/>
    <n v="0"/>
    <n v="0"/>
    <n v="6.5000000000000058E-2"/>
    <n v="-5694.15"/>
    <e v="#DIV/0!"/>
    <m/>
    <m/>
    <s v="Lama"/>
    <s v="Sama"/>
    <m/>
    <s v="IDR"/>
    <s v="0000"/>
    <n v="0"/>
    <m/>
    <m/>
    <s v="KRT"/>
    <s v="GD01"/>
    <n v="11611"/>
    <n v="11612"/>
    <m/>
    <n v="1"/>
    <m/>
    <n v="288"/>
  </r>
  <r>
    <s v="G1224302000010"/>
    <m/>
    <n v="30369060020001"/>
    <x v="337"/>
    <s v="PLTX SABUT SPON EXTRA KUAT 288 PCS 31386 PSS02"/>
    <n v="30364020100000"/>
    <n v="0"/>
    <s v="POLYTEX SBT SPON EXTRA BERSIH&amp;THN LAMA"/>
    <x v="11"/>
    <s v="8992742360264"/>
    <x v="5"/>
    <s v="POLYTEX SABUT"/>
    <s v="G1224"/>
    <x v="225"/>
    <n v="14"/>
    <s v="POLYTEX SABUT SPON EXTRA BERSIH &amp; TAHAN LAMA X 288 PCS"/>
    <n v="54"/>
    <m/>
    <s v="G1"/>
    <s v="POLYTEX"/>
    <s v="22"/>
    <s v="SABUT"/>
    <n v="4"/>
    <s v="SPON"/>
    <s v="3"/>
    <s v="EXTRA BERSIH &amp; TAHAN LAMA"/>
    <s v="02"/>
    <m/>
    <s v="0000"/>
    <s v="PCS"/>
    <n v="1"/>
    <m/>
    <n v="0"/>
    <m/>
    <m/>
    <m/>
    <n v="30364020100000"/>
    <m/>
    <m/>
    <n v="288"/>
    <n v="5020.95"/>
    <n v="1446033.5999999999"/>
    <n v="5573.2545"/>
    <n v="1605097.2960000001"/>
    <n v="5370"/>
    <n v="1546560"/>
    <n v="5960.7000000000007"/>
    <n v="1716681.6"/>
    <n v="0"/>
    <n v="0"/>
    <n v="0"/>
    <n v="0"/>
    <n v="6.500000000000003E-2"/>
    <n v="-5020.95"/>
    <e v="#DIV/0!"/>
    <m/>
    <m/>
    <s v="Lama"/>
    <s v="Sama"/>
    <m/>
    <s v="IDR"/>
    <s v="0000"/>
    <n v="0"/>
    <m/>
    <m/>
    <s v="KRT"/>
    <s v="GD01"/>
    <n v="11611"/>
    <n v="11612"/>
    <m/>
    <n v="1"/>
    <m/>
    <n v="288"/>
  </r>
  <r>
    <s v="G1224303000010"/>
    <m/>
    <n v="30370000200000"/>
    <x v="338"/>
    <s v="PLTX SABUT SPON REG 288 PCS 31394 57615 PSS04"/>
    <n v="30364030100000"/>
    <n v="0"/>
    <s v="POLYTEX SPON REGULER NEW"/>
    <x v="11"/>
    <s v="8992742370683"/>
    <x v="5"/>
    <s v="POLYTEX SABUT"/>
    <s v="G1224"/>
    <x v="226"/>
    <n v="14"/>
    <s v="POLYTEX SABUT SPON REGULAR X 288 PCS"/>
    <n v="36"/>
    <m/>
    <s v="G1"/>
    <s v="POLYTEX"/>
    <s v="22"/>
    <s v="SABUT"/>
    <n v="4"/>
    <s v="SPON"/>
    <s v="3"/>
    <s v="REGULAR"/>
    <s v="03"/>
    <m/>
    <s v="0000"/>
    <s v="PCS"/>
    <n v="1"/>
    <m/>
    <n v="0"/>
    <m/>
    <m/>
    <m/>
    <n v="30364030100000"/>
    <m/>
    <m/>
    <n v="288"/>
    <n v="2291.6849999999999"/>
    <n v="660005.28"/>
    <n v="2543.7703500000002"/>
    <n v="732605.86080000014"/>
    <n v="2451"/>
    <n v="705888"/>
    <n v="2720.61"/>
    <n v="783535.68"/>
    <n v="0"/>
    <n v="0"/>
    <n v="0"/>
    <n v="0"/>
    <n v="6.5000000000000016E-2"/>
    <n v="-2291.6849999999999"/>
    <e v="#DIV/0!"/>
    <m/>
    <m/>
    <s v="Lama"/>
    <s v="Sama"/>
    <m/>
    <s v="IDR"/>
    <s v="0000"/>
    <n v="0"/>
    <m/>
    <m/>
    <s v="KRT"/>
    <s v="GD01"/>
    <n v="11611"/>
    <n v="11612"/>
    <m/>
    <n v="1"/>
    <m/>
    <n v="288"/>
  </r>
  <r>
    <s v="G1224303000010"/>
    <m/>
    <n v="30370000500000"/>
    <x v="339"/>
    <s v="POLYTEX S.SPN REG 288 PCS X 100GR 12+1 59659 PSS04"/>
    <n v="30375040100002"/>
    <n v="0"/>
    <s v="POLYTEX SPON REGULER NEW PROMO 12+1."/>
    <x v="11"/>
    <s v="8992742370683"/>
    <x v="5"/>
    <s v="POLYTEX SABUT"/>
    <s v="G1224"/>
    <x v="226"/>
    <n v="14"/>
    <s v="POLYTEX SABUT SPON REGULAR X 288 PCS"/>
    <n v="36"/>
    <m/>
    <s v="G1"/>
    <s v="POLYTEX"/>
    <s v="22"/>
    <s v="SABUT"/>
    <n v="4"/>
    <s v="SPON"/>
    <s v="3"/>
    <s v="REGULAR"/>
    <s v="03"/>
    <m/>
    <s v="0000"/>
    <s v="PCS"/>
    <n v="1"/>
    <m/>
    <n v="0"/>
    <m/>
    <m/>
    <m/>
    <n v="30375040100002"/>
    <m/>
    <m/>
    <n v="288"/>
    <n v="2291.6849999999999"/>
    <n v="660005.28"/>
    <n v="2543.7703500000002"/>
    <n v="732605.86080000014"/>
    <n v="2451"/>
    <n v="705888"/>
    <n v="2720.61"/>
    <n v="783535.68"/>
    <n v="0"/>
    <n v="0"/>
    <n v="0"/>
    <n v="0"/>
    <n v="6.5000000000000016E-2"/>
    <n v="-2291.6849999999999"/>
    <e v="#DIV/0!"/>
    <m/>
    <m/>
    <s v="Lama"/>
    <s v="Sama"/>
    <m/>
    <s v="IDR"/>
    <s v="0000"/>
    <n v="0"/>
    <m/>
    <m/>
    <s v="KRT"/>
    <s v="GD01"/>
    <n v="11611"/>
    <n v="11612"/>
    <m/>
    <n v="1"/>
    <m/>
    <n v="288"/>
  </r>
  <r>
    <s v="G1224303000010"/>
    <m/>
    <n v="30369050012002"/>
    <x v="340"/>
    <s v="PLTX SABUT SPON REG 288 PCS 31394 57615 PSS04"/>
    <n v="30375040100002"/>
    <n v="0"/>
    <s v="POLYTEX SABUT SPON REGULAR"/>
    <x v="11"/>
    <s v="8992742370683"/>
    <x v="5"/>
    <s v="POLYTEX SABUT"/>
    <s v="G1224"/>
    <x v="226"/>
    <n v="14"/>
    <s v="POLYTEX SABUT SPON REGULAR X 288 PCS"/>
    <n v="36"/>
    <m/>
    <s v="G1"/>
    <s v="POLYTEX"/>
    <s v="22"/>
    <s v="SABUT"/>
    <n v="4"/>
    <s v="SPON"/>
    <s v="3"/>
    <s v="REGULAR"/>
    <s v="03"/>
    <m/>
    <s v="0000"/>
    <s v="PCS"/>
    <n v="1"/>
    <m/>
    <n v="0"/>
    <m/>
    <m/>
    <m/>
    <n v="30375040100002"/>
    <m/>
    <m/>
    <n v="288"/>
    <n v="2291.6849999999999"/>
    <n v="660005.28"/>
    <n v="2543.7703500000002"/>
    <n v="732605.86080000014"/>
    <n v="2451"/>
    <n v="705888"/>
    <n v="2720.61"/>
    <n v="783535.68"/>
    <n v="0"/>
    <n v="0"/>
    <n v="0"/>
    <n v="0"/>
    <n v="6.5000000000000016E-2"/>
    <n v="-2291.6849999999999"/>
    <e v="#DIV/0!"/>
    <m/>
    <m/>
    <s v="Lama"/>
    <s v="Sama"/>
    <m/>
    <s v="IDR"/>
    <s v="0000"/>
    <n v="0"/>
    <m/>
    <m/>
    <s v="KRT"/>
    <s v="GD01"/>
    <n v="11611"/>
    <n v="11612"/>
    <m/>
    <n v="1"/>
    <m/>
    <n v="288"/>
  </r>
  <r>
    <s v="G1224303000210"/>
    <m/>
    <n v="30364040000004"/>
    <x v="341"/>
    <s v="PLTX SABUT SPON PAKET REG 120 PCS 2S 31566 58056"/>
    <n v="30364030500001"/>
    <n v="0"/>
    <s v="POLYTEX PKT SBT SPON REGULAR 2S ND"/>
    <x v="7"/>
    <s v="8992745999720"/>
    <x v="5"/>
    <s v="POLYTEX SABUT"/>
    <s v="G1224"/>
    <x v="227"/>
    <n v="14"/>
    <s v="POLYTEX SABUT SPON REGULAR 2S X 120 PCS"/>
    <n v="39"/>
    <m/>
    <s v="G1"/>
    <s v="POLYTEX"/>
    <s v="22"/>
    <s v="SABUT"/>
    <n v="4"/>
    <s v="SPON"/>
    <s v="3"/>
    <s v="REGULAR"/>
    <s v="03"/>
    <s v="2S"/>
    <s v="0002"/>
    <s v="PCS"/>
    <n v="1"/>
    <m/>
    <n v="0"/>
    <m/>
    <m/>
    <m/>
    <n v="30364030500001"/>
    <m/>
    <m/>
    <n v="120"/>
    <n v="8246.7000000000007"/>
    <n v="989604.00000000012"/>
    <n v="9153.8370000000014"/>
    <n v="1098460.4400000002"/>
    <n v="8820"/>
    <n v="1058400"/>
    <n v="9790.2000000000007"/>
    <n v="1174824"/>
    <n v="0"/>
    <n v="0"/>
    <n v="0"/>
    <n v="0"/>
    <n v="6.4999999999999919E-2"/>
    <n v="-8246.7000000000007"/>
    <e v="#DIV/0!"/>
    <m/>
    <m/>
    <s v="Lama"/>
    <s v="Sama"/>
    <m/>
    <s v="IDR"/>
    <s v="0002"/>
    <s v="2S"/>
    <m/>
    <m/>
    <s v="KRT"/>
    <s v="GD01"/>
    <n v="11611"/>
    <n v="11612"/>
    <m/>
    <n v="1"/>
    <m/>
    <n v="120"/>
  </r>
  <r>
    <s v="G1224303000210"/>
    <m/>
    <n v="30366000050000"/>
    <x v="342"/>
    <s v="PLTX SABUT SPON PAKET REG 120 PCS 2S 31566 58056"/>
    <n v="30364030500001"/>
    <n v="0"/>
    <s v="POLYTEX PKT SBTSPON REG 2S NEW."/>
    <x v="7"/>
    <s v="8992745999720"/>
    <x v="5"/>
    <s v="POLYTEX SABUT"/>
    <s v="G1224"/>
    <x v="227"/>
    <n v="14"/>
    <s v="POLYTEX SABUT SPON REGULAR 2S X 120 PCS"/>
    <n v="39"/>
    <m/>
    <s v="G1"/>
    <s v="POLYTEX"/>
    <s v="22"/>
    <s v="SABUT"/>
    <n v="4"/>
    <s v="SPON"/>
    <s v="3"/>
    <s v="REGULAR"/>
    <s v="03"/>
    <s v="2S"/>
    <s v="0002"/>
    <s v="PCS"/>
    <n v="1"/>
    <m/>
    <n v="0"/>
    <m/>
    <m/>
    <m/>
    <n v="30364030500001"/>
    <m/>
    <m/>
    <n v="120"/>
    <n v="8246.7000000000007"/>
    <n v="989604.00000000012"/>
    <n v="9153.8370000000014"/>
    <n v="1098460.4400000002"/>
    <n v="8820"/>
    <n v="1058400"/>
    <n v="9790.2000000000007"/>
    <n v="1174824"/>
    <n v="0"/>
    <n v="0"/>
    <n v="0"/>
    <n v="0"/>
    <n v="6.4999999999999919E-2"/>
    <n v="-8246.7000000000007"/>
    <e v="#DIV/0!"/>
    <m/>
    <m/>
    <s v="Lama"/>
    <s v="Sama"/>
    <m/>
    <s v="IDR"/>
    <s v="0002"/>
    <s v="2S"/>
    <m/>
    <m/>
    <s v="KRT"/>
    <s v="GD01"/>
    <n v="11611"/>
    <n v="11612"/>
    <m/>
    <n v="1"/>
    <m/>
    <n v="120"/>
  </r>
  <r>
    <s v="G1224401000310"/>
    <m/>
    <n v="30364030100000"/>
    <x v="343"/>
    <s v="POLYTEX SABUT SPN EXTRA 80 PCS MTP 2+1 50345 PSS06"/>
    <n v="30364040000003"/>
    <n v="0"/>
    <s v="POLYTEX MTP SPON EXTRA BERSIH ISI 3"/>
    <x v="12"/>
    <s v="8992742000016"/>
    <x v="5"/>
    <s v="POLYTEX SABUT"/>
    <s v="G1224"/>
    <x v="228"/>
    <n v="14"/>
    <s v="POLYTEX SABUT SPON MULTI PACK EXTRA BERSIH &amp; TAHAN LAMA 3S X 80 PCS"/>
    <n v="67"/>
    <m/>
    <s v="G1"/>
    <s v="POLYTEX"/>
    <s v="22"/>
    <s v="SABUT"/>
    <n v="4"/>
    <s v="SPON MULTI PACK"/>
    <s v="4"/>
    <s v="EXTRA BERSIH &amp; TAHAN LAMA"/>
    <s v="01"/>
    <s v="3S"/>
    <s v="0003"/>
    <s v="PCS"/>
    <n v="1"/>
    <m/>
    <n v="0"/>
    <m/>
    <m/>
    <m/>
    <n v="30364040000003"/>
    <m/>
    <m/>
    <n v="80"/>
    <n v="12669.25"/>
    <n v="1013540"/>
    <n v="14062.867500000002"/>
    <n v="1125029.4000000001"/>
    <n v="13550"/>
    <n v="1084000"/>
    <n v="15040.500000000002"/>
    <n v="1203240"/>
    <n v="0"/>
    <n v="0"/>
    <n v="0"/>
    <n v="0"/>
    <n v="6.5000000000000002E-2"/>
    <n v="-12669.25"/>
    <e v="#DIV/0!"/>
    <m/>
    <m/>
    <s v="Lama"/>
    <s v="Sama"/>
    <m/>
    <s v="IDR"/>
    <s v="0003"/>
    <s v="3S"/>
    <m/>
    <m/>
    <s v="KRT"/>
    <s v="GD01"/>
    <n v="11611"/>
    <n v="11612"/>
    <m/>
    <n v="1"/>
    <m/>
    <n v="80"/>
  </r>
  <r>
    <s v="G1224401000510"/>
    <m/>
    <n v="30364030500001"/>
    <x v="344"/>
    <s v="POLYTEX SABUT SPN EXTRA 48 PCS MTP 3+2 50347 PSS07"/>
    <n v="30364040000004"/>
    <n v="0"/>
    <s v="POLYTEX MTP SPON EXTRA BERSIH ISI 5 "/>
    <x v="2"/>
    <s v="8992742000023"/>
    <x v="5"/>
    <s v="POLYTEX SABUT"/>
    <s v="G1224"/>
    <x v="229"/>
    <n v="14"/>
    <s v="POLYTEX SABUT SPON MULTI PACK EXTRA BERSIH &amp; TAHAN LAMA 5S X 48 PCS"/>
    <n v="67"/>
    <m/>
    <s v="G1"/>
    <s v="POLYTEX"/>
    <s v="22"/>
    <s v="SABUT"/>
    <n v="4"/>
    <s v="SPON MULTI PACK"/>
    <s v="4"/>
    <s v="EXTRA BERSIH &amp; TAHAN LAMA"/>
    <s v="01"/>
    <s v="5S"/>
    <s v="0005"/>
    <s v="PCS"/>
    <n v="1"/>
    <m/>
    <n v="0"/>
    <m/>
    <m/>
    <m/>
    <n v="30364040000004"/>
    <m/>
    <m/>
    <n v="48"/>
    <n v="17680.849999999999"/>
    <n v="848680.79999999993"/>
    <n v="19625.7435"/>
    <n v="942035.68799999997"/>
    <n v="18910"/>
    <n v="907680"/>
    <n v="20990.100000000002"/>
    <n v="1007524.8"/>
    <n v="0"/>
    <n v="0"/>
    <n v="0"/>
    <n v="0"/>
    <n v="6.5000000000000072E-2"/>
    <n v="-17680.849999999999"/>
    <e v="#DIV/0!"/>
    <m/>
    <m/>
    <s v="Lama"/>
    <s v="Sama"/>
    <m/>
    <s v="IDR"/>
    <s v="0005"/>
    <s v="5S"/>
    <m/>
    <m/>
    <s v="KRT"/>
    <s v="GD01"/>
    <n v="11611"/>
    <n v="11612"/>
    <m/>
    <n v="1"/>
    <m/>
    <n v="48"/>
  </r>
  <r>
    <s v="G1224401000510"/>
    <m/>
    <m/>
    <x v="345"/>
    <s v="POLYTEX SABUT SPN EXTRA 48 PCS MTP 3+2 50347 PSS07"/>
    <m/>
    <m/>
    <s v="POLYTEX MTP SPON EXTRA BERSIH ISI 5 NEW"/>
    <x v="2"/>
    <s v="8992742000023"/>
    <x v="5"/>
    <s v="POLYTEX SABUT"/>
    <s v="G1224"/>
    <x v="229"/>
    <n v="14"/>
    <s v="POLYTEX SABUT SPON MULTI PACK EXTRA BERSIH &amp; TAHAN LAMA 5S X 48 PCS"/>
    <n v="67"/>
    <m/>
    <s v="G1"/>
    <s v="POLYTEX"/>
    <s v="22"/>
    <s v="SABUT"/>
    <n v="4"/>
    <s v="SPON MULTI PACK"/>
    <s v="4"/>
    <s v="EXTRA BERSIH &amp; TAHAN LAMA"/>
    <s v="01"/>
    <s v="5S"/>
    <s v="0005"/>
    <s v="PCS"/>
    <n v="1"/>
    <m/>
    <n v="0"/>
    <m/>
    <m/>
    <m/>
    <n v="0"/>
    <m/>
    <m/>
    <n v="48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5"/>
    <s v="5S"/>
    <m/>
    <m/>
    <s v="KRT"/>
    <s v="GD01"/>
    <n v="11611"/>
    <n v="11612"/>
    <m/>
    <n v="1"/>
    <m/>
    <n v="48"/>
  </r>
  <r>
    <s v="G1224501000210"/>
    <m/>
    <n v="30365000100000"/>
    <x v="346"/>
    <s v="PLTX PAKET S.SPON EXT.KUAT 120 PCS 2S 31567 58055"/>
    <n v="30364020500001"/>
    <n v="0"/>
    <s v="POLYTEX PKT SBTSPON EBTL 2S NEW."/>
    <x v="7"/>
    <s v="8992745999713"/>
    <x v="5"/>
    <s v="POLYTEX SABUT"/>
    <s v="G1224"/>
    <x v="230"/>
    <n v="14"/>
    <s v="POLYTEX SABUT SPON PAKET EXTRA KUAT 2S X 120 PCS"/>
    <n v="48"/>
    <m/>
    <s v="G1"/>
    <s v="POLYTEX"/>
    <s v="22"/>
    <s v="SABUT"/>
    <n v="4"/>
    <s v="SPON PAKET"/>
    <s v="5"/>
    <s v="EXTRA KUAT"/>
    <s v="01"/>
    <s v="2S"/>
    <s v="0002"/>
    <s v="PCS"/>
    <n v="1"/>
    <m/>
    <n v="0"/>
    <m/>
    <m/>
    <m/>
    <n v="30364020500001"/>
    <m/>
    <m/>
    <n v="120"/>
    <n v="9714.65"/>
    <n v="1165758"/>
    <n v="10783.261500000001"/>
    <n v="1293991.3800000001"/>
    <n v="10390"/>
    <n v="1246800"/>
    <n v="11532.900000000001"/>
    <n v="1383948.0000000002"/>
    <n v="0"/>
    <n v="0"/>
    <n v="0"/>
    <n v="0"/>
    <n v="6.500000000000003E-2"/>
    <n v="-9714.65"/>
    <e v="#DIV/0!"/>
    <m/>
    <m/>
    <s v="Lama"/>
    <s v="Sama"/>
    <m/>
    <s v="IDR"/>
    <s v="0002"/>
    <s v="2S"/>
    <m/>
    <m/>
    <s v="KRT"/>
    <s v="GD01"/>
    <n v="11611"/>
    <n v="11612"/>
    <m/>
    <n v="1"/>
    <m/>
    <n v="120"/>
  </r>
  <r>
    <s v="G1224501000210"/>
    <m/>
    <n v="30367000050000"/>
    <x v="347"/>
    <s v="PLTX PAKET S.SPON EXT.KUAT 120 PCS 2S 31567 58055"/>
    <n v="30364020500001"/>
    <n v="0"/>
    <s v="POLYTEX PKT SBTSPON XTRABERSIH&amp;THNLAMA2S"/>
    <x v="7"/>
    <s v="8992745999713"/>
    <x v="5"/>
    <s v="POLYTEX SABUT"/>
    <s v="G1224"/>
    <x v="230"/>
    <n v="14"/>
    <s v="POLYTEX SABUT SPON PAKET EXTRA KUAT 2S X 120 PCS"/>
    <n v="48"/>
    <m/>
    <s v="G1"/>
    <s v="POLYTEX"/>
    <s v="22"/>
    <s v="SABUT"/>
    <n v="4"/>
    <s v="SPON PAKET"/>
    <s v="5"/>
    <s v="EXTRA KUAT"/>
    <s v="01"/>
    <s v="2S"/>
    <s v="0002"/>
    <s v="PCS"/>
    <n v="1"/>
    <m/>
    <n v="0"/>
    <m/>
    <m/>
    <m/>
    <n v="30364020500001"/>
    <m/>
    <m/>
    <n v="120"/>
    <n v="9714.65"/>
    <n v="1165758"/>
    <n v="10783.261500000001"/>
    <n v="1293991.3800000001"/>
    <n v="10390"/>
    <n v="1246800"/>
    <n v="11532.900000000001"/>
    <n v="1383948.0000000002"/>
    <n v="0"/>
    <n v="0"/>
    <n v="0"/>
    <n v="0"/>
    <n v="6.500000000000003E-2"/>
    <n v="-9714.65"/>
    <e v="#DIV/0!"/>
    <m/>
    <m/>
    <s v="Lama"/>
    <s v="Sama"/>
    <m/>
    <s v="IDR"/>
    <s v="0002"/>
    <s v="2S"/>
    <m/>
    <m/>
    <s v="KRT"/>
    <s v="GD01"/>
    <n v="11611"/>
    <n v="11612"/>
    <m/>
    <n v="1"/>
    <m/>
    <n v="120"/>
  </r>
  <r>
    <s v="G1224601000010"/>
    <m/>
    <n v="30369060000013"/>
    <x v="348"/>
    <s v="POLYTEX SS REGULER 72 PCS X 40GR 49586 PSL09"/>
    <n v="30369030040010"/>
    <n v="0"/>
    <s v="POLYTEX SABUT STAINLESS 40G."/>
    <x v="6"/>
    <s v="8992745000051"/>
    <x v="5"/>
    <s v="POLYTEX SABUT"/>
    <s v="G1224"/>
    <x v="231"/>
    <n v="14"/>
    <s v="POLYTEX SABUT STAINLESS REGULER X 72 PCS"/>
    <n v="40"/>
    <m/>
    <s v="G1"/>
    <s v="POLYTEX"/>
    <s v="22"/>
    <s v="SABUT"/>
    <n v="4"/>
    <s v="STAINLESS"/>
    <s v="6"/>
    <s v="REGULER"/>
    <s v="01"/>
    <m/>
    <s v="0000"/>
    <s v="PCS"/>
    <n v="1"/>
    <m/>
    <n v="0"/>
    <m/>
    <m/>
    <m/>
    <n v="30369030040010"/>
    <m/>
    <m/>
    <n v="72"/>
    <n v="4237.42"/>
    <n v="305094.24"/>
    <n v="4703.5362000000005"/>
    <n v="338654.60640000005"/>
    <n v="4532"/>
    <n v="326304"/>
    <n v="5030.5200000000004"/>
    <n v="362197.44000000006"/>
    <n v="0"/>
    <n v="0"/>
    <n v="0"/>
    <n v="0"/>
    <n v="6.4999999999999988E-2"/>
    <n v="-4237.42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5001000010"/>
    <m/>
    <n v="30368060050000"/>
    <x v="349"/>
    <s v="POLYTEX SELULOSA EXT.KUAT 72 PCSX50GR&quot;31389&quot;PSL06"/>
    <n v="30368060050000"/>
    <n v="0"/>
    <n v="0"/>
    <x v="6"/>
    <n v="0"/>
    <x v="5"/>
    <s v="POLYTEX SELULOSA"/>
    <s v="G1225"/>
    <x v="232"/>
    <n v="14"/>
    <s v="POLYTEX SELULOSA EXTRA KUAT X 72 PCS"/>
    <n v="36"/>
    <m/>
    <s v="G1"/>
    <s v="POLYTEX"/>
    <s v="22"/>
    <s v="SELULOSA"/>
    <n v="5"/>
    <m/>
    <s v="0"/>
    <s v="EXTRA KUAT"/>
    <s v="01"/>
    <m/>
    <s v="0000"/>
    <s v="PCS"/>
    <n v="1"/>
    <m/>
    <n v="0"/>
    <m/>
    <m/>
    <m/>
    <n v="30368060050000"/>
    <m/>
    <m/>
    <n v="72"/>
    <n v="11500.5"/>
    <n v="828036"/>
    <n v="12765.555"/>
    <n v="919119.96000000008"/>
    <n v="12300"/>
    <n v="885600"/>
    <n v="13653.000000000002"/>
    <n v="983016.00000000012"/>
    <n v="0"/>
    <n v="0"/>
    <n v="0"/>
    <n v="0"/>
    <n v="6.5000000000000002E-2"/>
    <n v="-11500.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6001000010"/>
    <m/>
    <n v="30369060020014"/>
    <x v="350"/>
    <s v="POLYTEX SPON REG JUMBO 48 PCS X 50GR 57762 PSL10"/>
    <n v="30360080000000"/>
    <n v="0"/>
    <s v="POLYTEX SPON REG JUM B2B PRO."/>
    <x v="2"/>
    <s v="8992742000047"/>
    <x v="5"/>
    <s v="POLYTEX SPON"/>
    <s v="G1226"/>
    <x v="233"/>
    <n v="14"/>
    <s v="POLYTEX SPON REGULAR JUMBO X 48 PCS"/>
    <n v="35"/>
    <m/>
    <s v="G1"/>
    <s v="POLYTEX"/>
    <s v="22"/>
    <s v="SPON"/>
    <n v="6"/>
    <m/>
    <s v="0"/>
    <s v="REGULAR JUMBO"/>
    <s v="01"/>
    <m/>
    <s v="0000"/>
    <s v="PCS"/>
    <n v="1"/>
    <m/>
    <n v="0"/>
    <m/>
    <m/>
    <m/>
    <n v="30360080000000"/>
    <m/>
    <m/>
    <n v="48"/>
    <n v="6019.53"/>
    <n v="288937.44"/>
    <n v="6681.6783000000005"/>
    <n v="320720.55840000004"/>
    <n v="6438"/>
    <n v="309024"/>
    <n v="7146.18"/>
    <n v="343016.64"/>
    <n v="0"/>
    <n v="0"/>
    <n v="0"/>
    <n v="0"/>
    <n v="6.5000000000000044E-2"/>
    <n v="-6019.53"/>
    <e v="#DIV/0!"/>
    <m/>
    <m/>
    <s v="Lama"/>
    <s v="Sama"/>
    <m/>
    <s v="IDR"/>
    <s v="0000"/>
    <n v="0"/>
    <m/>
    <m/>
    <s v="KRT"/>
    <s v="GD01"/>
    <n v="11611"/>
    <n v="11612"/>
    <m/>
    <n v="1"/>
    <m/>
    <n v="48"/>
  </r>
  <r>
    <s v="G1226002000010"/>
    <m/>
    <n v="30370001001000"/>
    <x v="351"/>
    <s v="PLTX SPON SERBAGUNA 144 PCSX50GR 8472 31390 PSP02"/>
    <n v="30367000050000"/>
    <n v="0"/>
    <s v="POLYTEX SPON SERBAGUNA ND"/>
    <x v="1"/>
    <s v="8992742380972"/>
    <x v="5"/>
    <s v="POLYTEX SPON"/>
    <s v="G1226"/>
    <x v="234"/>
    <n v="14"/>
    <s v="POLYTEX SPON SERBAGUNA X 144 PCS"/>
    <n v="32"/>
    <m/>
    <s v="G1"/>
    <s v="POLYTEX"/>
    <s v="22"/>
    <s v="SPON"/>
    <n v="6"/>
    <m/>
    <s v="0"/>
    <s v="SERBAGUNA"/>
    <s v="02"/>
    <m/>
    <s v="0000"/>
    <s v="PCS"/>
    <n v="1"/>
    <m/>
    <n v="0"/>
    <m/>
    <m/>
    <m/>
    <n v="30367000050000"/>
    <m/>
    <m/>
    <n v="144"/>
    <n v="2057"/>
    <n v="296208"/>
    <n v="2283.27"/>
    <n v="328790.88"/>
    <n v="2200"/>
    <n v="316800"/>
    <n v="2442"/>
    <n v="351648.00000000006"/>
    <n v="0"/>
    <n v="0"/>
    <n v="0"/>
    <n v="0"/>
    <n v="6.5000000000000002E-2"/>
    <n v="-2057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26101000010"/>
    <m/>
    <n v="30369030040010"/>
    <x v="352"/>
    <s v="PLTX SPON JARING ANTI GORES 72 PCS 31388 PSJ01"/>
    <n v="30363010200000"/>
    <n v="0"/>
    <s v="POLYTEX SABUT JARING ANTI GORES"/>
    <x v="6"/>
    <s v="8992749360663"/>
    <x v="5"/>
    <s v="POLYTEX SPON"/>
    <s v="G1226"/>
    <x v="235"/>
    <n v="14"/>
    <s v="POLYTEX SPON JARING ANTI GORES X 72 PCS"/>
    <n v="39"/>
    <m/>
    <s v="G1"/>
    <s v="POLYTEX"/>
    <s v="22"/>
    <s v="SPON"/>
    <n v="6"/>
    <s v="JARING"/>
    <s v="1"/>
    <s v="ANTI GORES"/>
    <s v="01"/>
    <m/>
    <s v="0000"/>
    <s v="PCS"/>
    <n v="1"/>
    <m/>
    <n v="0"/>
    <m/>
    <m/>
    <m/>
    <n v="30363010200000"/>
    <m/>
    <m/>
    <n v="72"/>
    <n v="6872.25"/>
    <n v="494802"/>
    <n v="7628.1975000000002"/>
    <n v="549230.22000000009"/>
    <n v="7350"/>
    <n v="529200"/>
    <n v="8158.5000000000009"/>
    <n v="587412"/>
    <n v="0"/>
    <n v="0"/>
    <n v="0"/>
    <n v="0"/>
    <n v="6.5000000000000002E-2"/>
    <n v="-6872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6101000010"/>
    <m/>
    <m/>
    <x v="353"/>
    <s v="POLYTEX SABUT JARING ANTI GORES NS"/>
    <m/>
    <n v="0"/>
    <s v="POLYTEX SABUT JARING ANTI GORES NS"/>
    <x v="6"/>
    <m/>
    <x v="5"/>
    <s v="POLYTEX SPON"/>
    <s v="G1226"/>
    <x v="235"/>
    <n v="14"/>
    <s v="POLYTEX SPON JARING ANTI GORES X 72 PCS"/>
    <n v="39"/>
    <m/>
    <s v="G1"/>
    <s v="POLYTEX"/>
    <s v="22"/>
    <s v="SPON"/>
    <n v="6"/>
    <s v="JARING"/>
    <s v="1"/>
    <s v="ANTI GORES"/>
    <s v="01"/>
    <m/>
    <s v="0000"/>
    <s v="PCS"/>
    <n v="1"/>
    <m/>
    <n v="0"/>
    <m/>
    <m/>
    <m/>
    <n v="0"/>
    <m/>
    <m/>
    <n v="72"/>
    <n v="6872.25"/>
    <n v="494802"/>
    <n v="7628.1975000000002"/>
    <n v="549230.22000000009"/>
    <n v="7350"/>
    <n v="529200"/>
    <n v="8158.5000000000009"/>
    <n v="587412"/>
    <n v="0"/>
    <n v="0"/>
    <n v="0"/>
    <n v="0"/>
    <n v="6.5000000000000002E-2"/>
    <n v="-6872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6201000010"/>
    <m/>
    <n v="30369060020001"/>
    <x v="354"/>
    <s v="PLTX SPON PENYERAP 72 PCS X 50GR 15289 31384 PSP01"/>
    <n v="30366000050000"/>
    <n v="0"/>
    <s v="POLYTEX SPON PENYERAP SERBAGUNA"/>
    <x v="6"/>
    <s v="8992749360625"/>
    <x v="5"/>
    <s v="POLYTEX SPON"/>
    <s v="G1226"/>
    <x v="236"/>
    <n v="14"/>
    <s v="POLYTEX SPON PENYERAP SERBAGUNA X 72 PCS"/>
    <n v="40"/>
    <m/>
    <s v="G1"/>
    <s v="POLYTEX"/>
    <s v="22"/>
    <s v="SPON"/>
    <n v="6"/>
    <s v="PENYERAP"/>
    <s v="2"/>
    <s v="SERBAGUNA"/>
    <s v="01"/>
    <m/>
    <s v="0000"/>
    <s v="PCS"/>
    <n v="1"/>
    <m/>
    <n v="0"/>
    <m/>
    <m/>
    <m/>
    <n v="30366000050000"/>
    <m/>
    <m/>
    <n v="72"/>
    <n v="10978.77"/>
    <n v="790471.44000000006"/>
    <n v="12186.434700000002"/>
    <n v="877423.29840000009"/>
    <n v="11742"/>
    <n v="845424"/>
    <n v="13033.62"/>
    <n v="938420.64000000013"/>
    <n v="0"/>
    <n v="0"/>
    <n v="0"/>
    <n v="0"/>
    <n v="6.4999999999999961E-2"/>
    <n v="-10978.77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27101000010"/>
    <m/>
    <n v="30369070000013"/>
    <x v="355"/>
    <s v="POLYTEX SS SP REGULER 120 PACK MTP&quot;29118&quot;PSL07"/>
    <n v="30369070000013"/>
    <n v="0"/>
    <n v="0"/>
    <x v="5"/>
    <n v="0"/>
    <x v="5"/>
    <s v="POLYTEX SS &amp; SP"/>
    <s v="G1227"/>
    <x v="237"/>
    <n v="14"/>
    <s v="POLYTEX SS &amp; SP MULTI PACK REGULER X 24 PCS"/>
    <n v="43"/>
    <m/>
    <s v="G1"/>
    <s v="POLYTEX"/>
    <s v="22"/>
    <s v="SS &amp; SP"/>
    <n v="7"/>
    <s v="MULTI PACK"/>
    <s v="1"/>
    <s v="REGULER"/>
    <s v="01"/>
    <m/>
    <s v="0000"/>
    <s v="PCS"/>
    <n v="1"/>
    <m/>
    <n v="0"/>
    <m/>
    <m/>
    <m/>
    <n v="30369070000013"/>
    <m/>
    <m/>
    <n v="24"/>
    <n v="17765"/>
    <n v="426360"/>
    <n v="19719.150000000001"/>
    <n v="473259.60000000003"/>
    <n v="19000"/>
    <n v="456000"/>
    <n v="21090.000000000004"/>
    <n v="506160.00000000006"/>
    <n v="0"/>
    <n v="0"/>
    <n v="0"/>
    <n v="0"/>
    <n v="6.5000000000000002E-2"/>
    <n v="-1776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28201100330"/>
    <m/>
    <m/>
    <x v="356"/>
    <m/>
    <m/>
    <m/>
    <m/>
    <x v="13"/>
    <m/>
    <x v="4"/>
    <s v="POLYTEX MPC"/>
    <s v="G1228"/>
    <x v="238"/>
    <n v="14"/>
    <s v="POLYTEX MPC PEMBERSIH SERBAGUNA 3.8 L X 4 JRG"/>
    <n v="45"/>
    <m/>
    <s v="G1"/>
    <s v="POLYTEX"/>
    <s v="22"/>
    <s v="MPC"/>
    <n v="8"/>
    <s v="PEMBERSIH"/>
    <s v="2"/>
    <s v="SERBAGUNA"/>
    <s v="01"/>
    <s v="3.8 L"/>
    <s v="1003"/>
    <s v="JRG"/>
    <n v="3"/>
    <m/>
    <n v="0"/>
    <m/>
    <m/>
    <m/>
    <n v="0"/>
    <m/>
    <m/>
    <n v="4"/>
    <n v="74125.958500000008"/>
    <n v="296503.83400000003"/>
    <n v="82279.813935000013"/>
    <n v="329119.25574000005"/>
    <n v="79279.100000000006"/>
    <n v="317116.40000000002"/>
    <n v="87999.801000000021"/>
    <n v="351999.20400000009"/>
    <n v="0"/>
    <n v="0"/>
    <n v="0"/>
    <n v="0"/>
    <n v="6.4999999999999974E-2"/>
    <n v="-74125.958500000008"/>
    <e v="#DIV/0!"/>
    <m/>
    <m/>
    <s v="Lama"/>
    <s v="Sama"/>
    <m/>
    <s v="IDR"/>
    <s v="1003"/>
    <s v="3.8 L"/>
    <m/>
    <m/>
    <s v="KRT"/>
    <s v="GD01"/>
    <n v="11611"/>
    <n v="11612"/>
    <m/>
    <n v="1"/>
    <m/>
    <n v="4"/>
  </r>
  <r>
    <s v="G1230000002520"/>
    <m/>
    <n v="30371010800020"/>
    <x v="357"/>
    <s v="PROCLIN LIQUID REGULER 144 PCS X 25ML 35631 PL01"/>
    <n v="30372030000040"/>
    <n v="0"/>
    <s v="PROCLIN BLEACH SACHET 25ML"/>
    <x v="1"/>
    <s v="8992745540359"/>
    <x v="5"/>
    <s v="PROCLIN"/>
    <s v="G1230"/>
    <x v="239"/>
    <n v="14"/>
    <s v="PROCLIN 25ML X 144 PCS"/>
    <n v="22"/>
    <m/>
    <s v="G1"/>
    <s v="PROCLIN"/>
    <s v="23"/>
    <m/>
    <n v="0"/>
    <m/>
    <s v="0"/>
    <m/>
    <s v="00"/>
    <s v="25ML"/>
    <s v="0025"/>
    <s v="PCS"/>
    <n v="2"/>
    <m/>
    <n v="0"/>
    <m/>
    <m/>
    <m/>
    <n v="30372030000040"/>
    <m/>
    <m/>
    <n v="144"/>
    <n v="317.89999999999998"/>
    <n v="45777.599999999999"/>
    <n v="352.86900000000003"/>
    <n v="50813.136000000006"/>
    <n v="340"/>
    <n v="48960"/>
    <n v="377.40000000000003"/>
    <n v="54345.600000000006"/>
    <n v="0"/>
    <n v="0"/>
    <n v="0"/>
    <n v="0"/>
    <n v="6.5000000000000072E-2"/>
    <n v="-317.89999999999998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30000002520"/>
    <m/>
    <m/>
    <x v="358"/>
    <m/>
    <m/>
    <m/>
    <m/>
    <x v="1"/>
    <s v="8992745540359"/>
    <x v="5"/>
    <s v="PROCLIN"/>
    <s v="G1230"/>
    <x v="239"/>
    <n v="14"/>
    <s v="PROCLIN 25ML X 144 PCS"/>
    <n v="22"/>
    <m/>
    <s v="G1"/>
    <s v="PROCLIN"/>
    <s v="23"/>
    <m/>
    <n v="0"/>
    <m/>
    <s v="0"/>
    <m/>
    <s v="00"/>
    <s v="25ML"/>
    <s v="0025"/>
    <s v="PCS"/>
    <n v="2"/>
    <m/>
    <n v="0"/>
    <m/>
    <m/>
    <m/>
    <n v="0"/>
    <m/>
    <m/>
    <n v="144"/>
    <n v="317.89999999999998"/>
    <n v="45777.599999999999"/>
    <n v="352.86900000000003"/>
    <n v="50813.136000000006"/>
    <n v="340"/>
    <n v="48960"/>
    <n v="377.40000000000003"/>
    <n v="54345.600000000006"/>
    <n v="0"/>
    <n v="0"/>
    <n v="0"/>
    <n v="0"/>
    <n v="6.5000000000000072E-2"/>
    <n v="-317.89999999999998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30000020010"/>
    <m/>
    <n v="30375040100002"/>
    <x v="359"/>
    <s v="PROCLIN 48 BTL X 200ML 8233 PCL01"/>
    <n v="30370000200000"/>
    <n v="0"/>
    <s v="Proclin Bottle Regular 200 ml"/>
    <x v="2"/>
    <s v="8992745550266"/>
    <x v="6"/>
    <s v="PROCLIN"/>
    <s v="G1230"/>
    <x v="240"/>
    <n v="14"/>
    <s v="PROCLIN 200ML X 48 BTL"/>
    <n v="22"/>
    <m/>
    <s v="G1"/>
    <s v="PROCLIN"/>
    <s v="23"/>
    <m/>
    <n v="0"/>
    <m/>
    <s v="0"/>
    <m/>
    <s v="00"/>
    <s v="200ML"/>
    <s v="0200"/>
    <s v="BTL"/>
    <n v="1"/>
    <m/>
    <n v="0"/>
    <m/>
    <m/>
    <m/>
    <n v="30370000200000"/>
    <m/>
    <m/>
    <n v="48"/>
    <n v="4301"/>
    <n v="206448"/>
    <n v="4774.1100000000006"/>
    <n v="229157.28000000003"/>
    <n v="4600"/>
    <n v="220800"/>
    <n v="5106"/>
    <n v="245088.00000000003"/>
    <n v="0"/>
    <n v="0"/>
    <n v="0"/>
    <n v="0"/>
    <n v="6.5000000000000002E-2"/>
    <n v="-4301"/>
    <e v="#DIV/0!"/>
    <m/>
    <m/>
    <s v="Lama"/>
    <s v="Sama"/>
    <m/>
    <s v="IDR"/>
    <s v="0200"/>
    <s v="200ML"/>
    <m/>
    <m/>
    <s v="KRT"/>
    <s v="GD01"/>
    <n v="11611"/>
    <n v="11612"/>
    <m/>
    <n v="1"/>
    <m/>
    <n v="48"/>
  </r>
  <r>
    <s v="G1230000050010"/>
    <m/>
    <n v="30372030000040"/>
    <x v="360"/>
    <s v="PROCLIN 24 BTL X 500ML 8237 PCL02"/>
    <n v="30370000500000"/>
    <n v="0"/>
    <s v="Proclin Bottle 500ml"/>
    <x v="5"/>
    <s v="8992745550259"/>
    <x v="6"/>
    <s v="PROCLIN"/>
    <s v="G1230"/>
    <x v="241"/>
    <n v="14"/>
    <s v="PROCLIN 500ML X 24 BTL"/>
    <n v="22"/>
    <m/>
    <s v="G1"/>
    <s v="PROCLIN"/>
    <s v="23"/>
    <m/>
    <n v="0"/>
    <m/>
    <s v="0"/>
    <m/>
    <s v="00"/>
    <s v="500ML"/>
    <s v="0500"/>
    <s v="BTL"/>
    <n v="1"/>
    <m/>
    <n v="0"/>
    <m/>
    <m/>
    <m/>
    <n v="30370000500000"/>
    <m/>
    <m/>
    <n v="24"/>
    <n v="9163"/>
    <n v="219912"/>
    <n v="10170.93"/>
    <n v="244102.32"/>
    <n v="9800"/>
    <n v="235200"/>
    <n v="10878.000000000002"/>
    <n v="261072.00000000003"/>
    <n v="0"/>
    <n v="0"/>
    <n v="0"/>
    <n v="0"/>
    <n v="6.5000000000000002E-2"/>
    <n v="-9163"/>
    <e v="#DIV/0!"/>
    <m/>
    <m/>
    <s v="Lama"/>
    <s v="Sama"/>
    <m/>
    <s v="IDR"/>
    <s v="0500"/>
    <s v="500ML"/>
    <m/>
    <m/>
    <s v="KRT"/>
    <s v="GD01"/>
    <n v="11611"/>
    <n v="11612"/>
    <m/>
    <n v="1"/>
    <m/>
    <n v="24"/>
  </r>
  <r>
    <s v="G1230000100110"/>
    <m/>
    <n v="30371020400020"/>
    <x v="361"/>
    <s v="PROCLIN 12 BTL X 1 L 8238 PCL03"/>
    <n v="30370001001000"/>
    <n v="0"/>
    <s v="Proclin Bottle 1000ml"/>
    <x v="3"/>
    <s v="8992745230267"/>
    <x v="6"/>
    <s v="PROCLIN"/>
    <s v="G1230"/>
    <x v="242"/>
    <n v="14"/>
    <s v="PROCLIN 1 L X 12 BTL"/>
    <n v="20"/>
    <m/>
    <s v="G1"/>
    <s v="PROCLIN"/>
    <s v="23"/>
    <m/>
    <n v="0"/>
    <m/>
    <s v="0"/>
    <m/>
    <s v="00"/>
    <s v="1 L"/>
    <s v="1001"/>
    <s v="BTL"/>
    <n v="1"/>
    <m/>
    <n v="0"/>
    <m/>
    <m/>
    <m/>
    <n v="30370001001000"/>
    <m/>
    <m/>
    <n v="12"/>
    <n v="15193.75"/>
    <n v="182325"/>
    <n v="16865.0625"/>
    <n v="202380.75000000003"/>
    <n v="16250"/>
    <n v="195000"/>
    <n v="18037.5"/>
    <n v="216450.00000000003"/>
    <n v="0"/>
    <n v="0"/>
    <n v="0"/>
    <n v="0"/>
    <n v="6.5000000000000002E-2"/>
    <n v="-15193.75"/>
    <e v="#DIV/0!"/>
    <m/>
    <m/>
    <s v="Lama"/>
    <s v="Sama"/>
    <m/>
    <s v="IDR"/>
    <s v="1001"/>
    <s v="1 L"/>
    <m/>
    <m/>
    <s v="KRT"/>
    <s v="GD01"/>
    <n v="11611"/>
    <n v="11612"/>
    <m/>
    <n v="1"/>
    <m/>
    <n v="12"/>
  </r>
  <r>
    <s v="G1230000100330"/>
    <m/>
    <n v="30371010800020"/>
    <x v="362"/>
    <s v="PROCLIN 4 JRG X 3.5 L 35632 PCL04"/>
    <n v="30370001003010"/>
    <n v="0"/>
    <s v="PROCLIN BLEACH JERIGEN 3.5 L"/>
    <x v="13"/>
    <s v="8992745230113"/>
    <x v="4"/>
    <s v="PROCLIN"/>
    <s v="G1230"/>
    <x v="243"/>
    <n v="14"/>
    <s v="PROCLIN 3.5 L X 4 JRG"/>
    <n v="21"/>
    <m/>
    <s v="G1"/>
    <s v="PROCLIN"/>
    <s v="23"/>
    <m/>
    <n v="0"/>
    <m/>
    <s v="0"/>
    <m/>
    <s v="00"/>
    <s v="3.5 L"/>
    <s v="1003"/>
    <s v="JRG"/>
    <n v="3"/>
    <m/>
    <n v="0"/>
    <m/>
    <m/>
    <m/>
    <n v="30370001003010"/>
    <m/>
    <m/>
    <n v="4"/>
    <n v="51364.224999999999"/>
    <n v="205456.9"/>
    <n v="57014.289750000004"/>
    <n v="228057.15900000001"/>
    <n v="54935"/>
    <n v="219740"/>
    <n v="60977.850000000006"/>
    <n v="243911.40000000002"/>
    <n v="0"/>
    <n v="0"/>
    <n v="0"/>
    <n v="0"/>
    <n v="6.500000000000003E-2"/>
    <n v="-51364.224999999999"/>
    <e v="#DIV/0!"/>
    <m/>
    <m/>
    <s v="Lama"/>
    <s v="Sama"/>
    <m/>
    <s v="IDR"/>
    <s v="1003"/>
    <s v="3.5 L"/>
    <m/>
    <m/>
    <s v="KRT"/>
    <s v="GD01"/>
    <n v="11611"/>
    <n v="11612"/>
    <m/>
    <n v="1"/>
    <m/>
    <n v="4"/>
  </r>
  <r>
    <s v="G1231000002530"/>
    <m/>
    <n v="30440030400030"/>
    <x v="363"/>
    <m/>
    <m/>
    <n v="0"/>
    <s v="PROCLIN PN SACHET FREE POLYTEX SPONS REG"/>
    <x v="1"/>
    <s v="8992745550310"/>
    <x v="2"/>
    <s v="PROCLIN PENGHILANG NODA"/>
    <s v="G1231"/>
    <x v="244"/>
    <n v="14"/>
    <s v="PROCLIN PENGHILANG NODA 25ML X 144 SCH"/>
    <n v="38"/>
    <m/>
    <s v="G1"/>
    <s v="PROCLIN"/>
    <s v="23"/>
    <s v="PENGHILANG NODA"/>
    <n v="1"/>
    <m/>
    <s v="0"/>
    <m/>
    <s v="00"/>
    <s v="25ML"/>
    <s v="0025"/>
    <s v="SCH"/>
    <n v="3"/>
    <m/>
    <n v="0"/>
    <m/>
    <m/>
    <m/>
    <n v="0"/>
    <m/>
    <m/>
    <n v="144"/>
    <n v="673.2"/>
    <n v="96940.800000000003"/>
    <n v="747.25200000000007"/>
    <n v="107604.28800000002"/>
    <n v="720"/>
    <n v="103680"/>
    <n v="799.2"/>
    <n v="115084.8"/>
    <n v="0"/>
    <n v="0"/>
    <n v="0"/>
    <n v="0"/>
    <n v="6.4999999999999933E-2"/>
    <n v="-673.2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31000002530"/>
    <m/>
    <n v="30430010230040"/>
    <x v="364"/>
    <s v="PROCLIN PN 144 SCH X 25ML 32020 42167 58815 PPN01"/>
    <n v="30371000025030"/>
    <n v="0"/>
    <s v="PROCLIN PENGHILANG NODA PLUS SCH 25ML ND"/>
    <x v="1"/>
    <s v="8992745550310"/>
    <x v="2"/>
    <s v="PROCLIN PENGHILANG NODA"/>
    <s v="G1231"/>
    <x v="244"/>
    <n v="14"/>
    <s v="PROCLIN PENGHILANG NODA 25ML X 144 SCH"/>
    <n v="38"/>
    <m/>
    <s v="G1"/>
    <s v="PROCLIN"/>
    <s v="23"/>
    <s v="PENGHILANG NODA"/>
    <n v="1"/>
    <m/>
    <s v="0"/>
    <m/>
    <s v="00"/>
    <s v="25ML"/>
    <s v="0025"/>
    <s v="SCH"/>
    <n v="3"/>
    <m/>
    <n v="0"/>
    <m/>
    <m/>
    <m/>
    <n v="30371000025030"/>
    <m/>
    <m/>
    <n v="144"/>
    <n v="673.2"/>
    <n v="96940.800000000003"/>
    <n v="747.25200000000007"/>
    <n v="107604.28800000002"/>
    <n v="720"/>
    <n v="103680"/>
    <n v="799.2"/>
    <n v="115084.8"/>
    <n v="0"/>
    <n v="0"/>
    <n v="0"/>
    <n v="0"/>
    <n v="6.4999999999999933E-2"/>
    <n v="-673.2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31000002530"/>
    <m/>
    <m/>
    <x v="365"/>
    <m/>
    <m/>
    <m/>
    <m/>
    <x v="1"/>
    <m/>
    <x v="2"/>
    <s v="PROCLIN PENGHILANG NODA"/>
    <s v="G1231"/>
    <x v="244"/>
    <n v="14"/>
    <s v="PROCLIN PENGHILANG NODA 25ML X 144 SCH"/>
    <n v="38"/>
    <m/>
    <s v="G1"/>
    <s v="PROCLIN"/>
    <s v="23"/>
    <s v="PENGHILANG NODA"/>
    <n v="1"/>
    <m/>
    <s v="0"/>
    <m/>
    <s v="00"/>
    <s v="25ML"/>
    <s v="0025"/>
    <s v="SCH"/>
    <n v="3"/>
    <m/>
    <n v="0"/>
    <m/>
    <m/>
    <m/>
    <n v="0"/>
    <m/>
    <m/>
    <n v="144"/>
    <n v="673.2"/>
    <n v="96940.800000000003"/>
    <n v="747.25200000000007"/>
    <n v="107604.28800000002"/>
    <n v="720"/>
    <n v="103680"/>
    <n v="799.2"/>
    <n v="115084.8"/>
    <n v="0"/>
    <n v="0"/>
    <n v="0"/>
    <n v="0"/>
    <n v="6.4999999999999933E-2"/>
    <n v="-673.2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31000002530"/>
    <m/>
    <m/>
    <x v="366"/>
    <m/>
    <m/>
    <m/>
    <m/>
    <x v="1"/>
    <m/>
    <x v="2"/>
    <s v="PROCLIN PENGHILANG NODA"/>
    <s v="G1231"/>
    <x v="244"/>
    <n v="14"/>
    <s v="PROCLIN PENGHILANG NODA 25ML X 144 SCH"/>
    <n v="38"/>
    <m/>
    <s v="G1"/>
    <s v="PROCLIN"/>
    <s v="23"/>
    <s v="PENGHILANG NODA"/>
    <n v="1"/>
    <m/>
    <s v="0"/>
    <m/>
    <s v="00"/>
    <s v="25ML"/>
    <s v="0025"/>
    <s v="SCH"/>
    <n v="3"/>
    <m/>
    <n v="0"/>
    <m/>
    <m/>
    <m/>
    <n v="0"/>
    <m/>
    <m/>
    <n v="144"/>
    <n v="673.2"/>
    <n v="96940.800000000003"/>
    <n v="747.25200000000007"/>
    <n v="107604.28800000002"/>
    <n v="720"/>
    <n v="103680"/>
    <n v="799.2"/>
    <n v="115084.8"/>
    <n v="0"/>
    <n v="0"/>
    <n v="0"/>
    <n v="0"/>
    <n v="6.4999999999999933E-2"/>
    <n v="-673.2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31000012510"/>
    <m/>
    <n v="30430020060000"/>
    <x v="367"/>
    <s v="PROCLIN PN 24 PCH X 125ML +25ML 32016 42168 PPN02"/>
    <n v="30371000125022"/>
    <n v="0"/>
    <s v="PROCLIN PENGHLNGNODA PLUS PCH150ML ND"/>
    <x v="5"/>
    <s v="8992745550334"/>
    <x v="3"/>
    <s v="PROCLIN PENGHILANG NODA"/>
    <s v="G1231"/>
    <x v="245"/>
    <n v="14"/>
    <s v="PROCLIN PENGHILANG NODA 125ML X 24 PCH"/>
    <n v="38"/>
    <m/>
    <s v="G1"/>
    <s v="PROCLIN"/>
    <s v="23"/>
    <s v="PENGHILANG NODA"/>
    <n v="1"/>
    <m/>
    <s v="0"/>
    <m/>
    <s v="00"/>
    <s v="125ML"/>
    <s v="0125"/>
    <s v="PCH"/>
    <n v="1"/>
    <m/>
    <n v="0"/>
    <m/>
    <m/>
    <m/>
    <n v="30371000125022"/>
    <m/>
    <m/>
    <n v="24"/>
    <n v="7433.25"/>
    <n v="178398"/>
    <n v="8250.9075000000012"/>
    <n v="198021.78000000003"/>
    <n v="7950"/>
    <n v="190800"/>
    <n v="8824.5"/>
    <n v="211788.00000000003"/>
    <n v="0"/>
    <n v="0"/>
    <n v="0"/>
    <n v="0"/>
    <n v="6.5000000000000002E-2"/>
    <n v="-7433.25"/>
    <e v="#DIV/0!"/>
    <m/>
    <m/>
    <s v="Lama"/>
    <s v="Sama"/>
    <m/>
    <s v="IDR"/>
    <s v="0125"/>
    <s v="125ML"/>
    <m/>
    <m/>
    <s v="KRT"/>
    <s v="GD01"/>
    <n v="11611"/>
    <n v="11612"/>
    <m/>
    <n v="1"/>
    <m/>
    <n v="24"/>
  </r>
  <r>
    <s v="G1231000012510"/>
    <m/>
    <m/>
    <x v="368"/>
    <m/>
    <m/>
    <m/>
    <m/>
    <x v="5"/>
    <s v="8992745550334"/>
    <x v="3"/>
    <s v="PROCLIN PENGHILANG NODA"/>
    <s v="G1231"/>
    <x v="245"/>
    <n v="14"/>
    <s v="PROCLIN PENGHILANG NODA 125ML X 24 PCH"/>
    <n v="38"/>
    <m/>
    <s v="G1"/>
    <s v="PROCLIN"/>
    <s v="23"/>
    <s v="PENGHILANG NODA"/>
    <n v="1"/>
    <m/>
    <s v="0"/>
    <m/>
    <s v="00"/>
    <s v="125ML"/>
    <s v="0125"/>
    <s v="PCH"/>
    <n v="1"/>
    <m/>
    <n v="0"/>
    <m/>
    <m/>
    <m/>
    <n v="0"/>
    <m/>
    <m/>
    <n v="24"/>
    <n v="7433.25"/>
    <n v="178398"/>
    <n v="8250.9075000000012"/>
    <n v="198021.78000000003"/>
    <n v="7950"/>
    <n v="190800"/>
    <n v="8824.5"/>
    <n v="211788.00000000003"/>
    <n v="0"/>
    <n v="0"/>
    <n v="0"/>
    <n v="0"/>
    <n v="6.5000000000000002E-2"/>
    <n v="-7433.25"/>
    <e v="#DIV/0!"/>
    <m/>
    <m/>
    <s v="Lama"/>
    <s v="Sama"/>
    <m/>
    <s v="IDR"/>
    <s v="0125"/>
    <s v="125ML"/>
    <m/>
    <m/>
    <s v="KRT"/>
    <s v="GD01"/>
    <n v="11611"/>
    <n v="11612"/>
    <m/>
    <n v="1"/>
    <m/>
    <n v="24"/>
  </r>
  <r>
    <s v="G1231000018020"/>
    <m/>
    <n v="30371000180000"/>
    <x v="369"/>
    <s v="PROCLIN PN 24 BTL X 180ML &quot;31984&quot;PPN03"/>
    <n v="30371000180000"/>
    <n v="0"/>
    <n v="0"/>
    <x v="5"/>
    <n v="0"/>
    <x v="6"/>
    <s v="PROCLIN PENGHILANG NODA"/>
    <s v="G1231"/>
    <x v="246"/>
    <n v="14"/>
    <s v="PROCLIN PENGHILANG NODA 180ML X 24 BTL"/>
    <n v="38"/>
    <m/>
    <s v="G1"/>
    <s v="PROCLIN"/>
    <s v="23"/>
    <s v="PENGHILANG NODA"/>
    <n v="1"/>
    <m/>
    <s v="0"/>
    <m/>
    <s v="00"/>
    <s v="180ML"/>
    <s v="0180"/>
    <s v="BTL"/>
    <n v="2"/>
    <m/>
    <n v="0"/>
    <m/>
    <m/>
    <m/>
    <n v="30371000180000"/>
    <m/>
    <m/>
    <n v="24"/>
    <n v="7405.2"/>
    <n v="177724.79999999999"/>
    <n v="8219.7720000000008"/>
    <n v="197274.52799999999"/>
    <n v="7920"/>
    <n v="190080"/>
    <n v="8791.2000000000007"/>
    <n v="210988.80000000002"/>
    <n v="0"/>
    <n v="0"/>
    <n v="0"/>
    <n v="0"/>
    <n v="6.5000000000000016E-2"/>
    <n v="-7405.2"/>
    <e v="#DIV/0!"/>
    <m/>
    <m/>
    <s v="Lama"/>
    <s v="Sama"/>
    <m/>
    <s v="IDR"/>
    <s v="0180"/>
    <s v="180ML"/>
    <m/>
    <m/>
    <s v="KRT"/>
    <s v="GD01"/>
    <n v="11611"/>
    <n v="11612"/>
    <m/>
    <n v="1"/>
    <m/>
    <n v="24"/>
  </r>
  <r>
    <s v="G1231000040010"/>
    <m/>
    <n v="30410010000020"/>
    <x v="370"/>
    <s v="PROCLIN PN 12 PCH X 400ML 57197 58787 41771 PPN05"/>
    <n v="30371000400020"/>
    <n v="0"/>
    <s v="PROCLIN PENGHILANG NODA 400ML+50ML."/>
    <x v="3"/>
    <s v="8992745730255"/>
    <x v="3"/>
    <s v="PROCLIN PENGHILANG NODA"/>
    <s v="G1231"/>
    <x v="247"/>
    <n v="14"/>
    <s v="PROCLIN PENGHILANG NODA 400ML X 12 PCH"/>
    <n v="38"/>
    <m/>
    <s v="G1"/>
    <s v="PROCLIN"/>
    <s v="23"/>
    <s v="PENGHILANG NODA"/>
    <n v="1"/>
    <m/>
    <s v="0"/>
    <m/>
    <s v="00"/>
    <s v="400ML"/>
    <s v="0400"/>
    <s v="PCH"/>
    <n v="1"/>
    <m/>
    <n v="0"/>
    <m/>
    <m/>
    <m/>
    <n v="30371000400020"/>
    <m/>
    <m/>
    <n v="12"/>
    <n v="17344.25"/>
    <n v="208131"/>
    <n v="19252.1175"/>
    <n v="231025.41000000003"/>
    <n v="18550"/>
    <n v="222600"/>
    <n v="20590.5"/>
    <n v="247086.00000000003"/>
    <n v="0"/>
    <n v="0"/>
    <n v="0"/>
    <n v="0"/>
    <n v="6.5000000000000002E-2"/>
    <n v="-17344.2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31000040010"/>
    <m/>
    <n v="30430010050000"/>
    <x v="371"/>
    <s v="PROCLIN PN 12 PCH X 400ML 57197 58787 41771 PPN05"/>
    <n v="30371000400020"/>
    <n v="0"/>
    <s v="PROCLIN PENGHILANG NODA PLUS 400ML SPOUT"/>
    <x v="3"/>
    <s v="8992745730255"/>
    <x v="3"/>
    <s v="PROCLIN PENGHILANG NODA"/>
    <s v="G1231"/>
    <x v="247"/>
    <n v="14"/>
    <s v="PROCLIN PENGHILANG NODA 400ML X 12 PCH"/>
    <n v="38"/>
    <m/>
    <s v="G1"/>
    <s v="PROCLIN"/>
    <s v="23"/>
    <s v="PENGHILANG NODA"/>
    <n v="1"/>
    <m/>
    <s v="0"/>
    <m/>
    <s v="00"/>
    <s v="400ML"/>
    <s v="0400"/>
    <s v="PCH"/>
    <n v="1"/>
    <m/>
    <n v="0"/>
    <m/>
    <m/>
    <m/>
    <n v="30371000400020"/>
    <m/>
    <m/>
    <n v="12"/>
    <n v="17344.25"/>
    <n v="208131"/>
    <n v="19252.1175"/>
    <n v="231025.41000000003"/>
    <n v="18550"/>
    <n v="222600"/>
    <n v="20590.5"/>
    <n v="247086.00000000003"/>
    <n v="0"/>
    <n v="0"/>
    <n v="0"/>
    <n v="0"/>
    <n v="6.5000000000000002E-2"/>
    <n v="-17344.2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31000040011"/>
    <m/>
    <n v="30371000400020"/>
    <x v="372"/>
    <m/>
    <n v="0"/>
    <n v="0"/>
    <s v="PROCLIN 400ML FREE STELLA POCKET"/>
    <x v="3"/>
    <s v="8992745730255"/>
    <x v="3"/>
    <s v="PROCLIN PENGHILANG NODA"/>
    <s v="G1231"/>
    <x v="248"/>
    <n v="14"/>
    <s v="PROCLIN PENGHILANG NODA 400ML X 12 PCH BANDED"/>
    <n v="45"/>
    <m/>
    <s v="G1"/>
    <s v="PROCLIN"/>
    <s v="23"/>
    <s v="PENGHILANG NODA"/>
    <n v="1"/>
    <m/>
    <s v="0"/>
    <m/>
    <s v="00"/>
    <s v="400ML"/>
    <s v="0400"/>
    <s v="PCH"/>
    <n v="1"/>
    <s v="BANDED"/>
    <n v="1"/>
    <m/>
    <m/>
    <m/>
    <n v="0"/>
    <m/>
    <m/>
    <n v="12"/>
    <n v="17344.25"/>
    <n v="208131"/>
    <n v="19252.1175"/>
    <n v="231025.41000000003"/>
    <n v="18550"/>
    <n v="222600"/>
    <n v="20590.5"/>
    <n v="247086.00000000003"/>
    <n v="0"/>
    <n v="0"/>
    <n v="0"/>
    <n v="0"/>
    <n v="6.5000000000000002E-2"/>
    <n v="-17344.2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31000040010"/>
    <m/>
    <m/>
    <x v="373"/>
    <m/>
    <m/>
    <m/>
    <m/>
    <x v="3"/>
    <s v="8992745730255"/>
    <x v="3"/>
    <s v="PROCLIN PENGHILANG NODA"/>
    <s v="G1231"/>
    <x v="247"/>
    <n v="14"/>
    <s v="PROCLIN PENGHILANG NODA 400ML X 12 PCH"/>
    <n v="38"/>
    <m/>
    <s v="G1"/>
    <s v="PROCLIN"/>
    <s v="23"/>
    <s v="PENGHILANG NODA"/>
    <n v="1"/>
    <m/>
    <s v="0"/>
    <m/>
    <s v="00"/>
    <s v="400ML"/>
    <s v="0400"/>
    <s v="PCH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31000040011"/>
    <m/>
    <m/>
    <x v="374"/>
    <m/>
    <n v="0"/>
    <n v="0"/>
    <s v="PROCLIN PN 400ML FREE POLYTEX EKS BERSIH"/>
    <x v="3"/>
    <s v="8992745730255"/>
    <x v="3"/>
    <s v="PROCLIN PENGHILANG NODA"/>
    <s v="G1231"/>
    <x v="248"/>
    <n v="14"/>
    <s v="PROCLIN PENGHILANG NODA 400ML X 12 PCH BANDED"/>
    <n v="45"/>
    <m/>
    <s v="G1"/>
    <s v="PROCLIN"/>
    <s v="23"/>
    <s v="PENGHILANG NODA"/>
    <n v="1"/>
    <m/>
    <s v="0"/>
    <m/>
    <s v="00"/>
    <s v="400ML"/>
    <s v="0400"/>
    <s v="PCH"/>
    <n v="1"/>
    <s v="BANDED"/>
    <n v="1"/>
    <m/>
    <m/>
    <m/>
    <n v="0"/>
    <m/>
    <m/>
    <n v="12"/>
    <n v="17344.25"/>
    <n v="208131"/>
    <n v="19252.1175"/>
    <n v="231025.41000000003"/>
    <n v="18550"/>
    <n v="222600"/>
    <n v="20590.5"/>
    <n v="247086.00000000003"/>
    <n v="0"/>
    <n v="0"/>
    <n v="0"/>
    <n v="0"/>
    <n v="6.5000000000000002E-2"/>
    <n v="-17344.2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31000040020"/>
    <m/>
    <n v="30371000400000"/>
    <x v="375"/>
    <s v="PROCLIN PN 24 BTL X 400ML &quot;19545&quot;PPN04"/>
    <n v="30371000400000"/>
    <n v="0"/>
    <n v="0"/>
    <x v="5"/>
    <n v="0"/>
    <x v="6"/>
    <s v="PROCLIN PENGHILANG NODA"/>
    <s v="G1231"/>
    <x v="249"/>
    <n v="14"/>
    <s v="PROCLIN PENGHILANG NODA 400ML X 24 BTL"/>
    <n v="38"/>
    <m/>
    <s v="G1"/>
    <s v="PROCLIN"/>
    <s v="23"/>
    <s v="PENGHILANG NODA"/>
    <n v="1"/>
    <m/>
    <s v="0"/>
    <m/>
    <s v="00"/>
    <s v="400ML"/>
    <s v="0400"/>
    <s v="BTL"/>
    <n v="2"/>
    <m/>
    <n v="0"/>
    <m/>
    <m/>
    <m/>
    <n v="30371000400000"/>
    <m/>
    <m/>
    <n v="24"/>
    <n v="15895"/>
    <n v="381480"/>
    <n v="17643.45"/>
    <n v="423442.80000000005"/>
    <n v="17000"/>
    <n v="408000"/>
    <n v="18870"/>
    <n v="452880.00000000006"/>
    <n v="0"/>
    <n v="0"/>
    <n v="0"/>
    <n v="0"/>
    <n v="6.5000000000000002E-2"/>
    <n v="-15895"/>
    <e v="#DIV/0!"/>
    <m/>
    <m/>
    <s v="Lama"/>
    <s v="Sama"/>
    <m/>
    <s v="IDR"/>
    <s v="0400"/>
    <s v="400ML"/>
    <m/>
    <m/>
    <s v="KRT"/>
    <s v="GD01"/>
    <n v="11611"/>
    <n v="11612"/>
    <m/>
    <n v="1"/>
    <m/>
    <n v="24"/>
  </r>
  <r>
    <s v="G1231000080011"/>
    <m/>
    <m/>
    <x v="0"/>
    <m/>
    <m/>
    <m/>
    <m/>
    <x v="0"/>
    <m/>
    <x v="3"/>
    <s v="PROCLIN PENGHILANG NODA"/>
    <s v="G1231"/>
    <x v="250"/>
    <n v="14"/>
    <s v="PROCLIN PENGHILANG NODA 800ML X PCH BANDED"/>
    <n v="42"/>
    <m/>
    <s v="G1"/>
    <s v="PROCLIN"/>
    <s v="23"/>
    <s v="PENGHILANG NODA"/>
    <n v="1"/>
    <m/>
    <s v="0"/>
    <m/>
    <s v="00"/>
    <s v="800ML"/>
    <s v="0800"/>
    <s v="PCH"/>
    <n v="1"/>
    <s v="BANDED"/>
    <n v="1"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800"/>
    <s v="800ML"/>
    <m/>
    <m/>
    <s v="KRT"/>
    <s v="GD01"/>
    <n v="11611"/>
    <n v="11612"/>
    <m/>
    <n v="1"/>
    <m/>
    <n v="0"/>
  </r>
  <r>
    <s v="G1231000080010"/>
    <m/>
    <n v="30430010200030"/>
    <x v="376"/>
    <s v="PROCLIN PN PLS 12PCHX800ML 32018 42169 58788 PPN06"/>
    <n v="30371010800020"/>
    <n v="0"/>
    <s v="PROCLIN PENGHILANG NODA PLUS PC 800ML ND"/>
    <x v="3"/>
    <s v="8992745560593"/>
    <x v="3"/>
    <s v="PROCLIN PENGHILANG NODA"/>
    <s v="G1231"/>
    <x v="251"/>
    <n v="14"/>
    <s v="PROCLIN PENGHILANG NODA 800ML X 12 PCH"/>
    <n v="38"/>
    <m/>
    <s v="G1"/>
    <s v="PROCLIN"/>
    <s v="23"/>
    <s v="PENGHILANG NODA"/>
    <n v="1"/>
    <m/>
    <s v="0"/>
    <m/>
    <s v="00"/>
    <s v="800ML"/>
    <s v="0800"/>
    <s v="PCH"/>
    <n v="1"/>
    <m/>
    <n v="0"/>
    <m/>
    <m/>
    <m/>
    <n v="30371010800020"/>
    <m/>
    <m/>
    <n v="12"/>
    <n v="30013.5"/>
    <n v="360162"/>
    <n v="33314.985000000001"/>
    <n v="399779.82"/>
    <n v="32100"/>
    <n v="385200"/>
    <n v="35631"/>
    <n v="427572.00000000006"/>
    <n v="0"/>
    <n v="0"/>
    <n v="0"/>
    <n v="0"/>
    <n v="6.5000000000000002E-2"/>
    <n v="-30013.5"/>
    <e v="#DIV/0!"/>
    <m/>
    <m/>
    <s v="Lama"/>
    <s v="Sama"/>
    <m/>
    <s v="IDR"/>
    <s v="0800"/>
    <s v="800ML"/>
    <m/>
    <m/>
    <s v="KRT"/>
    <s v="GD01"/>
    <n v="11611"/>
    <n v="11612"/>
    <m/>
    <n v="1"/>
    <m/>
    <n v="12"/>
  </r>
  <r>
    <s v="G1231000080010"/>
    <m/>
    <m/>
    <x v="377"/>
    <m/>
    <m/>
    <m/>
    <m/>
    <x v="3"/>
    <s v="8992745560593"/>
    <x v="3"/>
    <s v="PROCLIN PENGHILANG NODA"/>
    <s v="G1231"/>
    <x v="251"/>
    <n v="14"/>
    <s v="PROCLIN PENGHILANG NODA 800ML X 12 PCH"/>
    <n v="38"/>
    <m/>
    <s v="G1"/>
    <s v="PROCLIN"/>
    <s v="23"/>
    <s v="PENGHILANG NODA"/>
    <n v="1"/>
    <m/>
    <s v="0"/>
    <m/>
    <s v="00"/>
    <s v="800ML"/>
    <s v="0800"/>
    <s v="PCH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800"/>
    <s v="800ML"/>
    <m/>
    <m/>
    <s v="KRT"/>
    <s v="GD01"/>
    <n v="11611"/>
    <n v="11612"/>
    <m/>
    <n v="1"/>
    <m/>
    <n v="12"/>
  </r>
  <r>
    <s v="G1231000080010"/>
    <m/>
    <m/>
    <x v="378"/>
    <m/>
    <m/>
    <n v="0"/>
    <s v="PROCLIN 800ML FREE POLYTEX EKSTRA BERSIH"/>
    <x v="3"/>
    <s v="8992745560593"/>
    <x v="3"/>
    <s v="PROCLIN PENGHILANG NODA"/>
    <s v="G1231"/>
    <x v="251"/>
    <n v="14"/>
    <s v="PROCLIN PENGHILANG NODA 800ML X 12 PCH"/>
    <n v="38"/>
    <m/>
    <s v="G1"/>
    <s v="PROCLIN"/>
    <s v="23"/>
    <s v="PENGHILANG NODA"/>
    <n v="1"/>
    <m/>
    <s v="0"/>
    <m/>
    <s v="00"/>
    <s v="800ML"/>
    <s v="0800"/>
    <s v="PCH"/>
    <n v="1"/>
    <m/>
    <n v="0"/>
    <m/>
    <m/>
    <m/>
    <n v="0"/>
    <m/>
    <m/>
    <n v="12"/>
    <n v="15895"/>
    <n v="190740"/>
    <n v="17643.45"/>
    <n v="211721.40000000002"/>
    <n v="17000"/>
    <n v="204000"/>
    <n v="18870"/>
    <n v="226440.00000000003"/>
    <n v="0"/>
    <n v="0"/>
    <n v="0"/>
    <n v="0"/>
    <n v="6.5000000000000002E-2"/>
    <n v="-15895"/>
    <e v="#DIV/0!"/>
    <m/>
    <m/>
    <s v="Lama"/>
    <s v="Sama"/>
    <m/>
    <s v="IDR"/>
    <s v="0800"/>
    <s v="800ML"/>
    <m/>
    <m/>
    <s v="KRT"/>
    <s v="GD01"/>
    <n v="11611"/>
    <n v="11612"/>
    <m/>
    <n v="1"/>
    <m/>
    <n v="12"/>
  </r>
  <r>
    <s v="G1231001040010"/>
    <m/>
    <n v="30440000250020"/>
    <x v="379"/>
    <s v="PROCLIN PN AKSI PUTIH 12 PCH X 400ML 25913 PPN09"/>
    <n v="30371020400020"/>
    <n v="0"/>
    <s v="PROCLIN PN AKSI PUTIH POUCH 400ML"/>
    <x v="3"/>
    <s v="8992745560609"/>
    <x v="3"/>
    <s v="PROCLIN PENGHILANG NODA"/>
    <s v="G1231"/>
    <x v="252"/>
    <n v="14"/>
    <s v="PROCLIN PENGHILANG NODA AKSI PUTIH 400ML X 12 PCH"/>
    <n v="49"/>
    <m/>
    <s v="G1"/>
    <s v="PROCLIN"/>
    <s v="23"/>
    <s v="PENGHILANG NODA"/>
    <n v="1"/>
    <m/>
    <s v="0"/>
    <s v="AKSI PUTIH"/>
    <s v="01"/>
    <s v="400ML"/>
    <s v="0400"/>
    <s v="PCH"/>
    <n v="1"/>
    <m/>
    <n v="0"/>
    <m/>
    <m/>
    <m/>
    <n v="30371020400020"/>
    <m/>
    <m/>
    <n v="12"/>
    <n v="17344.25"/>
    <n v="208131"/>
    <n v="19252.1175"/>
    <n v="231025.41000000003"/>
    <n v="18550"/>
    <n v="222600"/>
    <n v="20590.5"/>
    <n v="247086.00000000003"/>
    <n v="0"/>
    <n v="0"/>
    <n v="0"/>
    <n v="0"/>
    <n v="6.5000000000000002E-2"/>
    <n v="-17344.25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41100020010"/>
    <m/>
    <n v="30400010200010"/>
    <x v="380"/>
    <s v="SANITER ASURF SANTZR AE 12 KLGX200ML&quot;57947&quot;SAS05"/>
    <n v="30400010200010"/>
    <n v="0"/>
    <n v="0"/>
    <x v="3"/>
    <n v="0"/>
    <x v="8"/>
    <s v="SANITER AEROSOL"/>
    <s v="G1241"/>
    <x v="253"/>
    <n v="14"/>
    <s v="SANITER AEROSOL AIR SURFACE 200ML X 12 KLG"/>
    <n v="42"/>
    <m/>
    <s v="G1"/>
    <s v="SANITER"/>
    <s v="24"/>
    <s v="AEROSOL"/>
    <n v="1"/>
    <s v="AIR SURFACE"/>
    <s v="1"/>
    <m/>
    <s v="00"/>
    <s v="200ML"/>
    <s v="0200"/>
    <s v="KLG"/>
    <n v="1"/>
    <m/>
    <n v="0"/>
    <m/>
    <m/>
    <m/>
    <n v="30400010200010"/>
    <m/>
    <m/>
    <n v="12"/>
    <n v="20870.134999999998"/>
    <n v="250441.62"/>
    <n v="23165.849849999999"/>
    <n v="277990.19820000004"/>
    <n v="22321"/>
    <n v="267852"/>
    <n v="24776.31"/>
    <n v="297315.72000000003"/>
    <n v="0"/>
    <n v="0"/>
    <n v="0"/>
    <n v="0"/>
    <n v="6.5000000000000072E-2"/>
    <n v="-20870.134999999998"/>
    <e v="#DIV/0!"/>
    <m/>
    <m/>
    <s v="Lama"/>
    <s v="Sama"/>
    <m/>
    <s v="IDR"/>
    <s v="0200"/>
    <s v="200ML"/>
    <m/>
    <m/>
    <s v="KRT"/>
    <s v="GD01"/>
    <n v="11611"/>
    <n v="11612"/>
    <m/>
    <n v="1"/>
    <m/>
    <n v="12"/>
  </r>
  <r>
    <s v="G1242001020010"/>
    <m/>
    <n v="30450020040000"/>
    <x v="381"/>
    <s v="SANITER HAND SANTZR GEL 24 PCHX200ML 29967 SHS02"/>
    <n v="30430010200030"/>
    <n v="0"/>
    <s v="SANITER HAND SANITIZER GEL PCH 200ML"/>
    <x v="5"/>
    <s v="8992745475187"/>
    <x v="3"/>
    <s v="SANITER HAND SANITIZER"/>
    <s v="G1242"/>
    <x v="254"/>
    <n v="14"/>
    <s v="SANITER HAND SANITIZER GEL 200ML X 24 PCH"/>
    <n v="41"/>
    <m/>
    <s v="G1"/>
    <s v="SANITER"/>
    <s v="24"/>
    <s v="HAND SANITIZER"/>
    <n v="2"/>
    <m/>
    <s v="0"/>
    <s v="GEL"/>
    <s v="01"/>
    <s v="200ML"/>
    <s v="0200"/>
    <s v="PCH"/>
    <n v="1"/>
    <m/>
    <n v="0"/>
    <m/>
    <m/>
    <m/>
    <n v="30430010200030"/>
    <m/>
    <m/>
    <n v="24"/>
    <n v="13192.85"/>
    <n v="316628.40000000002"/>
    <n v="14644.063500000002"/>
    <n v="351457.52400000003"/>
    <n v="14110"/>
    <n v="338640"/>
    <n v="15662.100000000002"/>
    <n v="375890.4"/>
    <n v="0"/>
    <n v="0"/>
    <n v="0"/>
    <n v="0"/>
    <n v="6.4999999999999974E-2"/>
    <n v="-13192.85"/>
    <e v="#DIV/0!"/>
    <m/>
    <m/>
    <s v="Lama"/>
    <s v="Sama"/>
    <m/>
    <s v="IDR"/>
    <s v="0200"/>
    <s v="200ML"/>
    <m/>
    <m/>
    <s v="KRT"/>
    <s v="GD01"/>
    <n v="11611"/>
    <n v="11612"/>
    <m/>
    <n v="1"/>
    <m/>
    <n v="24"/>
  </r>
  <r>
    <s v="G1242001023020"/>
    <m/>
    <n v="30450030050000"/>
    <x v="382"/>
    <s v="SANITER HAND SANTZR GEL 12 PUMPX230ML 29583 SHS03"/>
    <n v="30430010230040"/>
    <n v="0"/>
    <s v="SANITER HAND SANITIZER PUMP GEL 230ML"/>
    <x v="3"/>
    <s v="8992745610786"/>
    <x v="7"/>
    <s v="SANITER HAND SANITIZER"/>
    <s v="G1242"/>
    <x v="255"/>
    <n v="14"/>
    <s v="SANITER HAND SANITIZER GEL 230ML X 12 PUMP"/>
    <n v="42"/>
    <m/>
    <s v="G1"/>
    <s v="SANITER"/>
    <s v="24"/>
    <s v="HAND SANITIZER"/>
    <n v="2"/>
    <m/>
    <s v="0"/>
    <s v="GEL"/>
    <s v="01"/>
    <s v="230ML"/>
    <s v="0230"/>
    <s v="PUMP"/>
    <n v="2"/>
    <m/>
    <n v="0"/>
    <m/>
    <m/>
    <m/>
    <n v="30430010230040"/>
    <m/>
    <m/>
    <n v="12"/>
    <n v="17634.099999999999"/>
    <n v="211609.19999999998"/>
    <n v="19573.850999999999"/>
    <n v="234886.212"/>
    <n v="18860"/>
    <n v="226320"/>
    <n v="20934.600000000002"/>
    <n v="251215.2"/>
    <n v="0"/>
    <n v="0"/>
    <n v="0"/>
    <n v="0"/>
    <n v="6.5000000000000072E-2"/>
    <n v="-17634.099999999999"/>
    <e v="#DIV/0!"/>
    <m/>
    <m/>
    <s v="Lama"/>
    <s v="Sama"/>
    <m/>
    <s v="IDR"/>
    <s v="0230"/>
    <s v="230ML"/>
    <m/>
    <m/>
    <s v="KRT"/>
    <s v="GD01"/>
    <n v="11611"/>
    <n v="11612"/>
    <m/>
    <n v="1"/>
    <m/>
    <n v="12"/>
  </r>
  <r>
    <s v="G1243102005020"/>
    <m/>
    <m/>
    <x v="383"/>
    <s v="SANITER PERSONAL WIPES SANITIZER 50S"/>
    <m/>
    <n v="0"/>
    <s v="SANITER PERSONAL WIPES SANITIZER 50S"/>
    <x v="5"/>
    <m/>
    <x v="5"/>
    <s v="SANITER PERSONAL"/>
    <s v="G1243"/>
    <x v="256"/>
    <n v="14"/>
    <s v="SANITER PERSONAL WIPES SANITIZER 50S X 24 PCS"/>
    <n v="45"/>
    <m/>
    <s v="G1"/>
    <s v="SANITER"/>
    <s v="24"/>
    <s v="PERSONAL"/>
    <n v="3"/>
    <s v="WIPES"/>
    <s v="1"/>
    <s v="SANITIZER"/>
    <s v="02"/>
    <s v="50S"/>
    <s v="0050"/>
    <s v="PCS"/>
    <n v="2"/>
    <m/>
    <n v="0"/>
    <m/>
    <m/>
    <m/>
    <n v="0"/>
    <m/>
    <m/>
    <n v="24"/>
    <n v="6778.75"/>
    <n v="162690"/>
    <n v="7524.4125000000004"/>
    <n v="180585.90000000002"/>
    <n v="7250"/>
    <n v="174000"/>
    <n v="8047.5000000000009"/>
    <n v="193140.00000000003"/>
    <n v="0"/>
    <n v="0"/>
    <n v="0"/>
    <n v="0"/>
    <n v="6.5000000000000002E-2"/>
    <n v="-6778.75"/>
    <e v="#DIV/0!"/>
    <m/>
    <m/>
    <s v="Lama"/>
    <s v="Sama"/>
    <m/>
    <s v="IDR"/>
    <s v="0050"/>
    <s v="50S"/>
    <m/>
    <m/>
    <s v="KRT"/>
    <s v="GD01"/>
    <n v="11611"/>
    <n v="11612"/>
    <m/>
    <n v="1"/>
    <m/>
    <n v="24"/>
  </r>
  <r>
    <s v="G1244101004010"/>
    <m/>
    <m/>
    <x v="384"/>
    <s v="SANITER SURFACE MULTIPURPOSE WIPES 40`s 4907131"/>
    <m/>
    <m/>
    <m/>
    <x v="5"/>
    <m/>
    <x v="5"/>
    <s v="SANITER SURFACE"/>
    <s v="G1244"/>
    <x v="257"/>
    <n v="14"/>
    <s v="SANITER SURFACE WIPES MULTI PURPOSE 40S X 24 PCS"/>
    <n v="48"/>
    <m/>
    <s v="G1"/>
    <s v="SANITER"/>
    <s v="24"/>
    <s v="SURFACE"/>
    <n v="4"/>
    <s v="WIPES"/>
    <s v="1"/>
    <s v="MULTI PURPOSE"/>
    <s v="01"/>
    <s v="40S"/>
    <s v="0040"/>
    <s v="PCS"/>
    <n v="1"/>
    <m/>
    <n v="0"/>
    <m/>
    <m/>
    <m/>
    <n v="0"/>
    <m/>
    <m/>
    <n v="24"/>
    <n v="13604.25"/>
    <n v="326502"/>
    <n v="15100.717500000001"/>
    <n v="362417.22000000003"/>
    <n v="14550"/>
    <n v="349200"/>
    <n v="16150.500000000002"/>
    <n v="387612.00000000006"/>
    <n v="0"/>
    <n v="0"/>
    <n v="0"/>
    <n v="0"/>
    <n v="6.5000000000000002E-2"/>
    <n v="-13604.25"/>
    <e v="#DIV/0!"/>
    <m/>
    <m/>
    <s v="Lama"/>
    <s v="Sama"/>
    <m/>
    <s v="IDR"/>
    <s v="0040"/>
    <s v="40S"/>
    <m/>
    <m/>
    <s v="KRT"/>
    <s v="GD01"/>
    <n v="11611"/>
    <n v="11612"/>
    <m/>
    <n v="1"/>
    <m/>
    <n v="24"/>
  </r>
  <r>
    <s v="G1250001000010"/>
    <m/>
    <n v="30490010400000"/>
    <x v="385"/>
    <s v="SHOCK ANTI SUMBAT 24BTLX375/350GR 7598 42844 SHO01"/>
    <n v="30470010375000"/>
    <n v="0"/>
    <s v="SHOCK ANTI SUMBAT 350GR"/>
    <x v="5"/>
    <s v="8992745610618"/>
    <x v="6"/>
    <s v="SHOCK"/>
    <s v="G1250"/>
    <x v="258"/>
    <n v="14"/>
    <s v="SHOCK ANTI SUMBAT X 24 BTL"/>
    <n v="26"/>
    <m/>
    <s v="G1"/>
    <s v="SHOCK"/>
    <s v="25"/>
    <m/>
    <n v="0"/>
    <m/>
    <s v="0"/>
    <s v="ANTI SUMBAT"/>
    <s v="01"/>
    <m/>
    <s v="0000"/>
    <s v="BTL"/>
    <n v="1"/>
    <m/>
    <n v="0"/>
    <m/>
    <m/>
    <m/>
    <n v="30470010375000"/>
    <m/>
    <m/>
    <n v="24"/>
    <n v="27489"/>
    <n v="659736"/>
    <n v="30512.79"/>
    <n v="732306.96000000008"/>
    <n v="29400"/>
    <n v="705600"/>
    <n v="32634.000000000004"/>
    <n v="783216.00000000012"/>
    <n v="0"/>
    <n v="0"/>
    <n v="0"/>
    <n v="0"/>
    <n v="6.5000000000000002E-2"/>
    <n v="-27489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61001017510"/>
    <m/>
    <n v="30490020140000"/>
    <x v="386"/>
    <s v="STELLA AE APPLE 12 KLG X 175ML 59911 43470 57475"/>
    <n v="30490020200000"/>
    <n v="0"/>
    <s v="STELLA AER APPLE 175+25ML RJV"/>
    <x v="3"/>
    <s v="8992745320289"/>
    <x v="8"/>
    <s v="STELLA AEROSOL"/>
    <s v="G1261"/>
    <x v="259"/>
    <n v="14"/>
    <s v="STELLA AEROSOL APPLE 175ML X 12 KLG"/>
    <n v="35"/>
    <m/>
    <s v="G1"/>
    <s v="STELLA"/>
    <s v="26"/>
    <s v="AEROSOL"/>
    <n v="1"/>
    <m/>
    <s v="0"/>
    <s v="APPLE"/>
    <s v="01"/>
    <s v="175ML"/>
    <s v="0175"/>
    <s v="KLG"/>
    <n v="1"/>
    <m/>
    <n v="0"/>
    <m/>
    <m/>
    <m/>
    <n v="3049002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1017510"/>
    <m/>
    <n v="30490020200000"/>
    <x v="387"/>
    <s v="STELLA AE APPLE 12 KLG X 175ML 59911 43470 57475"/>
    <n v="30490020200000"/>
    <n v="0"/>
    <s v="STELLA AER APPLE 175ML RJV"/>
    <x v="3"/>
    <s v="8992745320289"/>
    <x v="8"/>
    <s v="STELLA AEROSOL"/>
    <s v="G1261"/>
    <x v="259"/>
    <n v="14"/>
    <s v="STELLA AEROSOL APPLE 175ML X 12 KLG"/>
    <n v="35"/>
    <m/>
    <s v="G1"/>
    <s v="STELLA"/>
    <s v="26"/>
    <s v="AEROSOL"/>
    <n v="1"/>
    <m/>
    <s v="0"/>
    <s v="APPLE"/>
    <s v="01"/>
    <s v="175ML"/>
    <s v="0175"/>
    <s v="KLG"/>
    <n v="1"/>
    <m/>
    <n v="0"/>
    <m/>
    <m/>
    <m/>
    <n v="3049002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1017510"/>
    <m/>
    <n v="30490020200000"/>
    <x v="388"/>
    <s v="STELLA AE APPLE 12 KLG X 175ML 59911 43470 57475"/>
    <n v="30490020200000"/>
    <n v="0"/>
    <s v="STELLA AER APPLE 200ML RJV"/>
    <x v="3"/>
    <s v="8992745320289"/>
    <x v="8"/>
    <s v="STELLA AEROSOL"/>
    <s v="G1261"/>
    <x v="259"/>
    <n v="14"/>
    <s v="STELLA AEROSOL APPLE 175ML X 12 KLG"/>
    <n v="35"/>
    <m/>
    <s v="G1"/>
    <s v="STELLA"/>
    <s v="26"/>
    <s v="AEROSOL"/>
    <n v="1"/>
    <m/>
    <s v="0"/>
    <s v="APPLE"/>
    <s v="01"/>
    <s v="175ML"/>
    <s v="0175"/>
    <s v="KLG"/>
    <n v="1"/>
    <m/>
    <n v="0"/>
    <m/>
    <m/>
    <m/>
    <n v="3049002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1035010"/>
    <m/>
    <n v="30490020400000"/>
    <x v="389"/>
    <s v="STL AE APPLE 12 KLGX350ML 59927 43464 57465 SAE06"/>
    <n v="30490020400000"/>
    <n v="0"/>
    <s v="STELLA AER APPLE 350+50ML RJV"/>
    <x v="3"/>
    <s v="8992745320197"/>
    <x v="8"/>
    <s v="STELLA AEROSOL"/>
    <s v="G1261"/>
    <x v="260"/>
    <n v="14"/>
    <s v="STELLA AEROSOL APPLE 350ML X 12 KLG"/>
    <n v="35"/>
    <m/>
    <s v="G1"/>
    <s v="STELLA"/>
    <s v="26"/>
    <s v="AEROSOL"/>
    <n v="1"/>
    <m/>
    <s v="0"/>
    <s v="APPLE"/>
    <s v="01"/>
    <s v="350ML"/>
    <s v="0350"/>
    <s v="KLG"/>
    <n v="1"/>
    <m/>
    <n v="0"/>
    <m/>
    <m/>
    <m/>
    <n v="3049002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1035010"/>
    <m/>
    <n v="30490020400010"/>
    <x v="390"/>
    <s v="STL AE APPLE 12 KLGX350ML 59927 43464 57465 SAE06"/>
    <n v="30490020400000"/>
    <n v="0"/>
    <s v="STELLA AER APPLE 350ML RJV"/>
    <x v="3"/>
    <s v="8992745320197"/>
    <x v="8"/>
    <s v="STELLA AEROSOL"/>
    <s v="G1261"/>
    <x v="260"/>
    <n v="14"/>
    <s v="STELLA AEROSOL APPLE 350ML X 12 KLG"/>
    <n v="35"/>
    <m/>
    <s v="G1"/>
    <s v="STELLA"/>
    <s v="26"/>
    <s v="AEROSOL"/>
    <n v="1"/>
    <m/>
    <s v="0"/>
    <s v="APPLE"/>
    <s v="01"/>
    <s v="350ML"/>
    <s v="0350"/>
    <s v="KLG"/>
    <n v="1"/>
    <m/>
    <n v="0"/>
    <m/>
    <m/>
    <m/>
    <n v="3049002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1035010"/>
    <m/>
    <n v="30490020400010"/>
    <x v="391"/>
    <s v="STL AE APPLE 12 KLGX350ML 59927 43464 57465 SAE06"/>
    <n v="30490020400000"/>
    <n v="0"/>
    <s v="STELLA AER APPLE 400ML RJV"/>
    <x v="3"/>
    <s v="8992745320197"/>
    <x v="8"/>
    <s v="STELLA AEROSOL"/>
    <s v="G1261"/>
    <x v="260"/>
    <n v="14"/>
    <s v="STELLA AEROSOL APPLE 350ML X 12 KLG"/>
    <n v="35"/>
    <m/>
    <s v="G1"/>
    <s v="STELLA"/>
    <s v="26"/>
    <s v="AEROSOL"/>
    <n v="1"/>
    <m/>
    <s v="0"/>
    <s v="APPLE"/>
    <s v="01"/>
    <s v="350ML"/>
    <s v="0350"/>
    <s v="KLG"/>
    <n v="1"/>
    <m/>
    <n v="0"/>
    <m/>
    <m/>
    <m/>
    <n v="3049002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1035010"/>
    <m/>
    <m/>
    <x v="392"/>
    <m/>
    <m/>
    <m/>
    <m/>
    <x v="3"/>
    <m/>
    <x v="8"/>
    <s v="STELLA AEROSOL"/>
    <s v="G1261"/>
    <x v="260"/>
    <n v="14"/>
    <s v="STELLA AEROSOL APPLE 350ML X 12 KLG"/>
    <n v="35"/>
    <m/>
    <s v="G1"/>
    <s v="STELLA"/>
    <s v="26"/>
    <s v="AEROSOL"/>
    <n v="1"/>
    <m/>
    <s v="0"/>
    <s v="APPLE"/>
    <s v="01"/>
    <s v="350ML"/>
    <s v="0350"/>
    <s v="KLG"/>
    <n v="1"/>
    <m/>
    <n v="0"/>
    <m/>
    <m/>
    <m/>
    <n v="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2017510"/>
    <m/>
    <n v="30490030200000"/>
    <x v="393"/>
    <s v="STELLA AE B.JASMINE 12 KLGX175ML 57477 59912 SAE24"/>
    <n v="30490140200000"/>
    <n v="0"/>
    <s v="STELLA AER B. JASMINE S 175ML RJV"/>
    <x v="3"/>
    <s v="8992745000129"/>
    <x v="8"/>
    <s v="STELLA AEROSOL"/>
    <s v="G1261"/>
    <x v="261"/>
    <n v="14"/>
    <s v="STELLA AEROSOL BLOOMING JASMINE 175ML X 12 KLG"/>
    <n v="46"/>
    <m/>
    <s v="G1"/>
    <s v="STELLA"/>
    <s v="26"/>
    <s v="AEROSOL"/>
    <n v="1"/>
    <m/>
    <s v="0"/>
    <s v="BLOOMING JASMINE"/>
    <s v="02"/>
    <s v="175ML"/>
    <s v="0175"/>
    <s v="KLG"/>
    <n v="1"/>
    <m/>
    <n v="0"/>
    <m/>
    <m/>
    <m/>
    <n v="3049014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2017510"/>
    <m/>
    <m/>
    <x v="394"/>
    <m/>
    <m/>
    <m/>
    <m/>
    <x v="3"/>
    <s v="8992745000129"/>
    <x v="8"/>
    <s v="STELLA AEROSOL"/>
    <s v="G1261"/>
    <x v="261"/>
    <n v="14"/>
    <s v="STELLA AEROSOL BLOOMING JASMINE 175ML X 12 KLG"/>
    <n v="46"/>
    <m/>
    <s v="G1"/>
    <s v="STELLA"/>
    <s v="26"/>
    <s v="AEROSOL"/>
    <n v="1"/>
    <m/>
    <s v="0"/>
    <s v="BLOOMING JASMINE"/>
    <s v="02"/>
    <s v="175ML"/>
    <s v="0175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2017510"/>
    <m/>
    <n v="30490020400010"/>
    <x v="395"/>
    <s v="STELLA AE B.JASMINE 12 KLGX175ML 57477 59912 SAE24"/>
    <n v="30490140200000"/>
    <n v="0"/>
    <s v="STELLA AER B. JASMINE S 175+25ML RJV"/>
    <x v="3"/>
    <s v="8992745000129"/>
    <x v="8"/>
    <s v="STELLA AEROSOL"/>
    <s v="G1261"/>
    <x v="261"/>
    <n v="14"/>
    <s v="STELLA AEROSOL BLOOMING JASMINE 175ML X 12 KLG"/>
    <n v="46"/>
    <m/>
    <s v="G1"/>
    <s v="STELLA"/>
    <s v="26"/>
    <s v="AEROSOL"/>
    <n v="1"/>
    <m/>
    <s v="0"/>
    <s v="BLOOMING JASMINE"/>
    <s v="02"/>
    <s v="175ML"/>
    <s v="0175"/>
    <s v="KLG"/>
    <n v="1"/>
    <m/>
    <n v="0"/>
    <m/>
    <m/>
    <m/>
    <n v="3049014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2035010"/>
    <m/>
    <n v="30490030200000"/>
    <x v="396"/>
    <s v="STELLA AE B.JASMINE 12 KLGX350ML 59934 57472 SAE25"/>
    <n v="30490140400000"/>
    <n v="0"/>
    <s v="STELLA AER B. JASMINE S 350+50ML RJV"/>
    <x v="3"/>
    <s v="8992745000136"/>
    <x v="8"/>
    <s v="STELLA AEROSOL"/>
    <s v="G1261"/>
    <x v="262"/>
    <n v="14"/>
    <s v="STELLA AEROSOL BLOOMING JASMINE 350ML X 12 KLG"/>
    <n v="46"/>
    <m/>
    <s v="G1"/>
    <s v="STELLA"/>
    <s v="26"/>
    <s v="AEROSOL"/>
    <n v="1"/>
    <m/>
    <s v="0"/>
    <s v="BLOOMING JASMINE"/>
    <s v="02"/>
    <s v="350ML"/>
    <s v="0350"/>
    <s v="KLG"/>
    <n v="1"/>
    <m/>
    <n v="0"/>
    <m/>
    <m/>
    <m/>
    <n v="3049014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2035010"/>
    <m/>
    <n v="30490030350000"/>
    <x v="397"/>
    <s v="STELLA AE B.JASMINE 12 KLGX350ML 59934 57472 SAE25"/>
    <n v="30490140400000"/>
    <n v="0"/>
    <s v="STELLA AER B. JASMINE S 350ML RJV"/>
    <x v="3"/>
    <s v="8992745000136"/>
    <x v="8"/>
    <s v="STELLA AEROSOL"/>
    <s v="G1261"/>
    <x v="262"/>
    <n v="14"/>
    <s v="STELLA AEROSOL BLOOMING JASMINE 350ML X 12 KLG"/>
    <n v="46"/>
    <m/>
    <s v="G1"/>
    <s v="STELLA"/>
    <s v="26"/>
    <s v="AEROSOL"/>
    <n v="1"/>
    <m/>
    <s v="0"/>
    <s v="BLOOMING JASMINE"/>
    <s v="02"/>
    <s v="350ML"/>
    <s v="0350"/>
    <s v="KLG"/>
    <n v="1"/>
    <m/>
    <n v="0"/>
    <m/>
    <m/>
    <m/>
    <n v="3049014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2035010"/>
    <m/>
    <m/>
    <x v="398"/>
    <m/>
    <m/>
    <m/>
    <m/>
    <x v="3"/>
    <s v="8992745000136"/>
    <x v="8"/>
    <s v="STELLA AEROSOL"/>
    <s v="G1261"/>
    <x v="262"/>
    <n v="14"/>
    <s v="STELLA AEROSOL BLOOMING JASMINE 350ML X 12 KLG"/>
    <n v="46"/>
    <m/>
    <s v="G1"/>
    <s v="STELLA"/>
    <s v="26"/>
    <s v="AEROSOL"/>
    <n v="1"/>
    <m/>
    <s v="0"/>
    <s v="BLOOMING JASMINE"/>
    <s v="02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3017510"/>
    <m/>
    <n v="30490030350000"/>
    <x v="399"/>
    <s v="STELLA AE CAFE LATTE 12KLGX175ML 57480 59925 SAE23"/>
    <n v="30490080200010"/>
    <n v="0"/>
    <s v="STELLA AER CAFFE LATTE 175 ML RJV"/>
    <x v="3"/>
    <s v="8992745610762"/>
    <x v="8"/>
    <s v="STELLA AEROSOL"/>
    <s v="G1261"/>
    <x v="263"/>
    <n v="14"/>
    <s v="STELLA AEROSOL CAFFE LATTE 175ML X 12 KLG"/>
    <n v="41"/>
    <m/>
    <s v="G1"/>
    <s v="STELLA"/>
    <s v="26"/>
    <s v="AEROSOL"/>
    <n v="1"/>
    <m/>
    <s v="0"/>
    <s v="CAFFE LATTE"/>
    <s v="03"/>
    <s v="175ML"/>
    <s v="0175"/>
    <s v="KLG"/>
    <n v="1"/>
    <m/>
    <n v="0"/>
    <m/>
    <m/>
    <m/>
    <n v="3049008020001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3017510"/>
    <m/>
    <n v="30490040200000"/>
    <x v="400"/>
    <s v="STELLA AE CAFE LATTE 12KLGX175ML 57480 59925 SAE23"/>
    <n v="30490080200010"/>
    <n v="0"/>
    <s v="STELLA AER CAFFE LATTE 175+25ML RJV"/>
    <x v="3"/>
    <s v="8992745610762"/>
    <x v="8"/>
    <s v="STELLA AEROSOL"/>
    <s v="G1261"/>
    <x v="263"/>
    <n v="14"/>
    <s v="STELLA AEROSOL CAFFE LATTE 175ML X 12 KLG"/>
    <n v="41"/>
    <m/>
    <s v="G1"/>
    <s v="STELLA"/>
    <s v="26"/>
    <s v="AEROSOL"/>
    <n v="1"/>
    <m/>
    <s v="0"/>
    <s v="CAFFE LATTE"/>
    <s v="03"/>
    <s v="175ML"/>
    <s v="0175"/>
    <s v="KLG"/>
    <n v="1"/>
    <m/>
    <n v="0"/>
    <m/>
    <m/>
    <m/>
    <n v="3049008020001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3017510"/>
    <m/>
    <m/>
    <x v="401"/>
    <m/>
    <m/>
    <m/>
    <m/>
    <x v="3"/>
    <s v="8992745610762"/>
    <x v="8"/>
    <s v="STELLA AEROSOL"/>
    <s v="G1261"/>
    <x v="263"/>
    <n v="14"/>
    <s v="STELLA AEROSOL CAFFE LATTE 175ML X 12 KLG"/>
    <n v="41"/>
    <m/>
    <s v="G1"/>
    <s v="STELLA"/>
    <s v="26"/>
    <s v="AEROSOL"/>
    <n v="1"/>
    <m/>
    <s v="0"/>
    <s v="CAFFE LATTE"/>
    <s v="03"/>
    <s v="175ML"/>
    <s v="0175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3035010"/>
    <m/>
    <n v="30490040200000"/>
    <x v="402"/>
    <s v="STL AER CAFE LATTE 12PCSX350ML 43454 57467 59929"/>
    <n v="30490080350010"/>
    <n v="0"/>
    <s v="STELLA AER CAFFE LATTE 350+50ML RJV"/>
    <x v="3"/>
    <s v="8992745610779"/>
    <x v="8"/>
    <s v="STELLA AEROSOL"/>
    <s v="G1261"/>
    <x v="264"/>
    <n v="14"/>
    <s v="STELLA AEROSOL CAFFE LATTE 350ML X 12 KLG"/>
    <n v="41"/>
    <m/>
    <s v="G1"/>
    <s v="STELLA"/>
    <s v="26"/>
    <s v="AEROSOL"/>
    <n v="1"/>
    <m/>
    <s v="0"/>
    <s v="CAFFE LATTE"/>
    <s v="03"/>
    <s v="350ML"/>
    <s v="0350"/>
    <s v="KLG"/>
    <n v="1"/>
    <m/>
    <n v="0"/>
    <m/>
    <m/>
    <m/>
    <n v="3049008035001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3035010"/>
    <m/>
    <m/>
    <x v="403"/>
    <m/>
    <m/>
    <m/>
    <m/>
    <x v="3"/>
    <s v="8992745610779"/>
    <x v="8"/>
    <s v="STELLA AEROSOL"/>
    <s v="G1261"/>
    <x v="264"/>
    <n v="14"/>
    <s v="STELLA AEROSOL CAFFE LATTE 350ML X 12 KLG"/>
    <n v="41"/>
    <m/>
    <s v="G1"/>
    <s v="STELLA"/>
    <s v="26"/>
    <s v="AEROSOL"/>
    <n v="1"/>
    <m/>
    <s v="0"/>
    <s v="CAFFE LATTE"/>
    <s v="03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3035010"/>
    <m/>
    <m/>
    <x v="404"/>
    <m/>
    <m/>
    <m/>
    <m/>
    <x v="3"/>
    <s v="8992745610779"/>
    <x v="8"/>
    <s v="STELLA AEROSOL"/>
    <s v="G1261"/>
    <x v="264"/>
    <n v="14"/>
    <s v="STELLA AEROSOL CAFFE LATTE 350ML X 12 KLG"/>
    <n v="41"/>
    <m/>
    <s v="G1"/>
    <s v="STELLA"/>
    <s v="26"/>
    <s v="AEROSOL"/>
    <n v="1"/>
    <m/>
    <s v="0"/>
    <s v="CAFFE LATTE"/>
    <s v="03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3035010"/>
    <m/>
    <n v="30490040400000"/>
    <x v="405"/>
    <s v="STL AER CAFE LATTE 12PCSX350ML 43454 57467 59929"/>
    <n v="30490080350010"/>
    <n v="0"/>
    <s v="STELLA AER CAFFE LATTE 350ML RJV"/>
    <x v="3"/>
    <s v="8992745610779"/>
    <x v="8"/>
    <s v="STELLA AEROSOL"/>
    <s v="G1261"/>
    <x v="264"/>
    <n v="14"/>
    <s v="STELLA AEROSOL CAFFE LATTE 350ML X 12 KLG"/>
    <n v="41"/>
    <m/>
    <s v="G1"/>
    <s v="STELLA"/>
    <s v="26"/>
    <s v="AEROSOL"/>
    <n v="1"/>
    <m/>
    <s v="0"/>
    <s v="CAFFE LATTE"/>
    <s v="03"/>
    <s v="350ML"/>
    <s v="0350"/>
    <s v="KLG"/>
    <n v="1"/>
    <m/>
    <n v="0"/>
    <m/>
    <m/>
    <m/>
    <n v="3049008035001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4017510"/>
    <m/>
    <n v="30490080350010"/>
    <x v="406"/>
    <s v="STELLA AE J.SAKURA 12 KLGX175ML 59914 43472 57479"/>
    <n v="30490030200000"/>
    <n v="0"/>
    <s v="STELLA AER JAPANESE SAKURA 175+25ML RJV"/>
    <x v="3"/>
    <s v="8992745610519"/>
    <x v="8"/>
    <s v="STELLA AEROSOL"/>
    <s v="G1261"/>
    <x v="265"/>
    <n v="14"/>
    <s v="STELLA AEROSOL JAPANESE SAKURA 175ML X 12 KLG"/>
    <n v="45"/>
    <m/>
    <s v="G1"/>
    <s v="STELLA"/>
    <s v="26"/>
    <s v="AEROSOL"/>
    <n v="1"/>
    <m/>
    <s v="0"/>
    <s v="JAPANESE SAKURA"/>
    <s v="04"/>
    <s v="175ML"/>
    <s v="0175"/>
    <s v="KLG"/>
    <n v="1"/>
    <m/>
    <n v="0"/>
    <m/>
    <m/>
    <m/>
    <n v="3049003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4017510"/>
    <m/>
    <n v="30490080350010"/>
    <x v="407"/>
    <s v="STELLA AE J.SAKURA 12 KLGX175ML 59914 43472 57479"/>
    <n v="30490030200000"/>
    <n v="0"/>
    <s v="STELLA AER JAPANESE SAKURA 175ML RJV"/>
    <x v="3"/>
    <s v="8992745610519"/>
    <x v="8"/>
    <s v="STELLA AEROSOL"/>
    <s v="G1261"/>
    <x v="265"/>
    <n v="14"/>
    <s v="STELLA AEROSOL JAPANESE SAKURA 175ML X 12 KLG"/>
    <n v="45"/>
    <m/>
    <s v="G1"/>
    <s v="STELLA"/>
    <s v="26"/>
    <s v="AEROSOL"/>
    <n v="1"/>
    <m/>
    <s v="0"/>
    <s v="JAPANESE SAKURA"/>
    <s v="04"/>
    <s v="175ML"/>
    <s v="0175"/>
    <s v="KLG"/>
    <n v="1"/>
    <m/>
    <n v="0"/>
    <m/>
    <m/>
    <m/>
    <n v="3049003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4035010"/>
    <m/>
    <n v="30490080200010"/>
    <x v="408"/>
    <s v="STELLA AE J.SAKURA 12KLG X 350ML 59931 57469 SAE08"/>
    <n v="30490030350000"/>
    <n v="0"/>
    <s v="STELLA AER J. SAKURA 350+50ML RJV"/>
    <x v="3"/>
    <s v="8992745610526"/>
    <x v="8"/>
    <s v="STELLA AEROSOL"/>
    <s v="G1261"/>
    <x v="266"/>
    <n v="14"/>
    <s v="STELLA AEROSOL JAPANESE SAKURA 350ML X 12 KLG"/>
    <n v="45"/>
    <m/>
    <s v="G1"/>
    <s v="STELLA"/>
    <s v="26"/>
    <s v="AEROSOL"/>
    <n v="1"/>
    <m/>
    <s v="0"/>
    <s v="JAPANESE SAKURA"/>
    <s v="04"/>
    <s v="350ML"/>
    <s v="0350"/>
    <s v="KLG"/>
    <n v="1"/>
    <m/>
    <n v="0"/>
    <m/>
    <m/>
    <m/>
    <n v="3049003035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4035010"/>
    <m/>
    <n v="30490090350010"/>
    <x v="409"/>
    <s v="STELLA AE J.SAKURA 12KLG X 350ML 59931 57469 SAE08"/>
    <n v="30490030350000"/>
    <n v="0"/>
    <s v="STELLA AER JAPANESE SAKURA 350ML RJV"/>
    <x v="3"/>
    <s v="8992745610526"/>
    <x v="8"/>
    <s v="STELLA AEROSOL"/>
    <s v="G1261"/>
    <x v="266"/>
    <n v="14"/>
    <s v="STELLA AEROSOL JAPANESE SAKURA 350ML X 12 KLG"/>
    <n v="45"/>
    <m/>
    <s v="G1"/>
    <s v="STELLA"/>
    <s v="26"/>
    <s v="AEROSOL"/>
    <n v="1"/>
    <m/>
    <s v="0"/>
    <s v="JAPANESE SAKURA"/>
    <s v="04"/>
    <s v="350ML"/>
    <s v="0350"/>
    <s v="KLG"/>
    <n v="1"/>
    <m/>
    <n v="0"/>
    <m/>
    <m/>
    <m/>
    <n v="3049003035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4035010"/>
    <m/>
    <m/>
    <x v="410"/>
    <m/>
    <m/>
    <m/>
    <m/>
    <x v="3"/>
    <s v="8992745610526"/>
    <x v="8"/>
    <s v="STELLA AEROSOL"/>
    <s v="G1261"/>
    <x v="266"/>
    <n v="14"/>
    <s v="STELLA AEROSOL JAPANESE SAKURA 350ML X 12 KLG"/>
    <n v="45"/>
    <m/>
    <s v="G1"/>
    <s v="STELLA"/>
    <s v="26"/>
    <s v="AEROSOL"/>
    <n v="1"/>
    <m/>
    <s v="0"/>
    <s v="JAPANESE SAKURA"/>
    <s v="04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5017510"/>
    <m/>
    <n v="30500030042000"/>
    <x v="411"/>
    <s v="STELLA AE S.LAVENDER 12KLGX175ML 57478 59913 SAE22"/>
    <n v="30490110200000"/>
    <n v="0"/>
    <s v="STELLA AER SECRET LAVENDER 175 ML RJV"/>
    <x v="3"/>
    <s v="8992745610472"/>
    <x v="8"/>
    <s v="STELLA AEROSOL"/>
    <s v="G1261"/>
    <x v="267"/>
    <n v="14"/>
    <s v="STELLA AEROSOL LAVENDER 175ML X 12 KLG"/>
    <n v="38"/>
    <m/>
    <s v="G1"/>
    <s v="STELLA"/>
    <s v="26"/>
    <s v="AEROSOL"/>
    <n v="1"/>
    <m/>
    <s v="0"/>
    <s v="LAVENDER"/>
    <s v="05"/>
    <s v="175ML"/>
    <s v="0175"/>
    <s v="KLG"/>
    <n v="1"/>
    <m/>
    <n v="0"/>
    <m/>
    <m/>
    <m/>
    <n v="3049011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5017510"/>
    <m/>
    <m/>
    <x v="412"/>
    <m/>
    <m/>
    <m/>
    <m/>
    <x v="3"/>
    <s v="8992745610472"/>
    <x v="8"/>
    <s v="STELLA AEROSOL"/>
    <s v="G1261"/>
    <x v="267"/>
    <n v="14"/>
    <s v="STELLA AEROSOL LAVENDER 175ML X 12 KLG"/>
    <n v="38"/>
    <m/>
    <s v="G1"/>
    <s v="STELLA"/>
    <s v="26"/>
    <s v="AEROSOL"/>
    <n v="1"/>
    <m/>
    <s v="0"/>
    <s v="LAVENDER"/>
    <s v="05"/>
    <s v="175ML"/>
    <s v="0175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5017510"/>
    <m/>
    <n v="30500030042002"/>
    <x v="413"/>
    <s v="STELLA AE S.LAVENDER 12KLGX175ML 57478 59913 SAE22"/>
    <n v="30490110200000"/>
    <n v="0"/>
    <s v="STELLA AER SECRET LAVENDER 175+25ML RJV"/>
    <x v="3"/>
    <s v="8992745610472"/>
    <x v="8"/>
    <s v="STELLA AEROSOL"/>
    <s v="G1261"/>
    <x v="267"/>
    <n v="14"/>
    <s v="STELLA AEROSOL LAVENDER 175ML X 12 KLG"/>
    <n v="38"/>
    <m/>
    <s v="G1"/>
    <s v="STELLA"/>
    <s v="26"/>
    <s v="AEROSOL"/>
    <n v="1"/>
    <m/>
    <s v="0"/>
    <s v="LAVENDER"/>
    <s v="05"/>
    <s v="175ML"/>
    <s v="0175"/>
    <s v="KLG"/>
    <n v="1"/>
    <m/>
    <n v="0"/>
    <m/>
    <m/>
    <m/>
    <n v="3049011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5035010"/>
    <m/>
    <n v="30500020042000"/>
    <x v="414"/>
    <s v="STL AE S.LAVENDER 12KLGX350ML 43453 57468 59930"/>
    <n v="30490110350000"/>
    <n v="0"/>
    <s v="STELLA AER S. LAVENDER 350+50ML RJV"/>
    <x v="3"/>
    <s v="8992745610489"/>
    <x v="8"/>
    <s v="STELLA AEROSOL"/>
    <s v="G1261"/>
    <x v="268"/>
    <n v="14"/>
    <s v="STELLA AEROSOL LAVENDER 350ML X 12 KLG"/>
    <n v="38"/>
    <m/>
    <s v="G1"/>
    <s v="STELLA"/>
    <s v="26"/>
    <s v="AEROSOL"/>
    <n v="1"/>
    <m/>
    <s v="0"/>
    <s v="LAVENDER"/>
    <s v="05"/>
    <s v="350ML"/>
    <s v="0350"/>
    <s v="KLG"/>
    <n v="1"/>
    <m/>
    <n v="0"/>
    <m/>
    <m/>
    <m/>
    <n v="3049011035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5035010"/>
    <m/>
    <m/>
    <x v="415"/>
    <m/>
    <m/>
    <m/>
    <m/>
    <x v="3"/>
    <s v="8992745610489"/>
    <x v="8"/>
    <s v="STELLA AEROSOL"/>
    <s v="G1261"/>
    <x v="268"/>
    <n v="14"/>
    <s v="STELLA AEROSOL LAVENDER 350ML X 12 KLG"/>
    <n v="38"/>
    <m/>
    <s v="G1"/>
    <s v="STELLA"/>
    <s v="26"/>
    <s v="AEROSOL"/>
    <n v="1"/>
    <m/>
    <s v="0"/>
    <s v="LAVENDER"/>
    <s v="05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5035010"/>
    <m/>
    <n v="30500020042002"/>
    <x v="416"/>
    <s v="STL AE S.LAVENDER 12KLGX350ML 43453 57468 59930"/>
    <n v="30490110350000"/>
    <n v="0"/>
    <s v="STELLA AER S.LAVENDER 350ML RJV"/>
    <x v="3"/>
    <s v="8992745610489"/>
    <x v="8"/>
    <s v="STELLA AEROSOL"/>
    <s v="G1261"/>
    <x v="268"/>
    <n v="14"/>
    <s v="STELLA AEROSOL LAVENDER 350ML X 12 KLG"/>
    <n v="38"/>
    <m/>
    <s v="G1"/>
    <s v="STELLA"/>
    <s v="26"/>
    <s v="AEROSOL"/>
    <n v="1"/>
    <m/>
    <s v="0"/>
    <s v="LAVENDER"/>
    <s v="05"/>
    <s v="350ML"/>
    <s v="0350"/>
    <s v="KLG"/>
    <n v="1"/>
    <m/>
    <n v="0"/>
    <m/>
    <m/>
    <m/>
    <n v="3049011035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6017510"/>
    <m/>
    <n v="30490110350000"/>
    <x v="417"/>
    <s v="STELLA AE LEMON 12 KLG X 175ML 59910 57474 SAE09"/>
    <n v="30490040200000"/>
    <n v="0"/>
    <s v="STELLA AER LEMON 175+25ML RJ"/>
    <x v="3"/>
    <s v="8992745320302"/>
    <x v="8"/>
    <s v="STELLA AEROSOL"/>
    <s v="G1261"/>
    <x v="269"/>
    <n v="14"/>
    <s v="STELLA AEROSOL LEMON 175ML X 12 KLG"/>
    <n v="35"/>
    <m/>
    <s v="G1"/>
    <s v="STELLA"/>
    <s v="26"/>
    <s v="AEROSOL"/>
    <n v="1"/>
    <m/>
    <s v="0"/>
    <s v="LEMON"/>
    <s v="06"/>
    <s v="175ML"/>
    <s v="0175"/>
    <s v="KLG"/>
    <n v="1"/>
    <m/>
    <n v="0"/>
    <m/>
    <m/>
    <m/>
    <n v="3049004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6017510"/>
    <m/>
    <m/>
    <x v="418"/>
    <m/>
    <m/>
    <m/>
    <m/>
    <x v="3"/>
    <s v="8992745320302"/>
    <x v="8"/>
    <s v="STELLA AEROSOL"/>
    <s v="G1261"/>
    <x v="269"/>
    <n v="14"/>
    <s v="STELLA AEROSOL LEMON 175ML X 12 KLG"/>
    <n v="35"/>
    <m/>
    <s v="G1"/>
    <s v="STELLA"/>
    <s v="26"/>
    <s v="AEROSOL"/>
    <n v="1"/>
    <m/>
    <s v="0"/>
    <s v="LEMON"/>
    <s v="06"/>
    <s v="175ML"/>
    <s v="0175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6017510"/>
    <m/>
    <n v="30490140200000"/>
    <x v="419"/>
    <s v="STELLA AE LEMON 12 KLG X 175ML 59910 57474 SAE09"/>
    <n v="30490040200000"/>
    <n v="0"/>
    <s v="STELLA AER LEMON 175ML RJV"/>
    <x v="3"/>
    <s v="8992745320302"/>
    <x v="8"/>
    <s v="STELLA AEROSOL"/>
    <s v="G1261"/>
    <x v="269"/>
    <n v="14"/>
    <s v="STELLA AEROSOL LEMON 175ML X 12 KLG"/>
    <n v="35"/>
    <m/>
    <s v="G1"/>
    <s v="STELLA"/>
    <s v="26"/>
    <s v="AEROSOL"/>
    <n v="1"/>
    <m/>
    <s v="0"/>
    <s v="LEMON"/>
    <s v="06"/>
    <s v="175ML"/>
    <s v="0175"/>
    <s v="KLG"/>
    <n v="1"/>
    <m/>
    <n v="0"/>
    <m/>
    <m/>
    <m/>
    <n v="3049004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6017510"/>
    <m/>
    <m/>
    <x v="420"/>
    <m/>
    <m/>
    <m/>
    <m/>
    <x v="3"/>
    <s v="8992745320302"/>
    <x v="8"/>
    <s v="STELLA AEROSOL"/>
    <s v="G1261"/>
    <x v="269"/>
    <n v="14"/>
    <s v="STELLA AEROSOL LEMON 175ML X 12 KLG"/>
    <n v="35"/>
    <m/>
    <s v="G1"/>
    <s v="STELLA"/>
    <s v="26"/>
    <s v="AEROSOL"/>
    <n v="1"/>
    <m/>
    <s v="0"/>
    <s v="LEMON"/>
    <s v="06"/>
    <s v="175ML"/>
    <s v="0175"/>
    <s v="KLG"/>
    <n v="1"/>
    <m/>
    <n v="0"/>
    <m/>
    <m/>
    <m/>
    <n v="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6035010"/>
    <m/>
    <n v="30490140200000"/>
    <x v="421"/>
    <s v="STL AE LEMON 12 KLGX350ML 43463 57466 59928 SAE10"/>
    <n v="30490040400000"/>
    <n v="0"/>
    <s v="STELLA AER LEMON 350+50ML RJV"/>
    <x v="3"/>
    <s v="8992745320166"/>
    <x v="8"/>
    <s v="STELLA AEROSOL"/>
    <s v="G1261"/>
    <x v="270"/>
    <n v="14"/>
    <s v="STELLA AEROSOL LEMON 350ML X 12 KLG"/>
    <n v="35"/>
    <m/>
    <s v="G1"/>
    <s v="STELLA"/>
    <s v="26"/>
    <s v="AEROSOL"/>
    <n v="1"/>
    <m/>
    <s v="0"/>
    <s v="LEMON"/>
    <s v="06"/>
    <s v="350ML"/>
    <s v="0350"/>
    <s v="KLG"/>
    <n v="1"/>
    <m/>
    <n v="0"/>
    <m/>
    <m/>
    <m/>
    <n v="3049004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6035010"/>
    <m/>
    <m/>
    <x v="422"/>
    <m/>
    <m/>
    <m/>
    <m/>
    <x v="3"/>
    <s v="8992745320166"/>
    <x v="8"/>
    <s v="STELLA AEROSOL"/>
    <s v="G1261"/>
    <x v="270"/>
    <n v="14"/>
    <s v="STELLA AEROSOL LEMON 350ML X 12 KLG"/>
    <n v="35"/>
    <m/>
    <s v="G1"/>
    <s v="STELLA"/>
    <s v="26"/>
    <s v="AEROSOL"/>
    <n v="1"/>
    <m/>
    <s v="0"/>
    <s v="LEMON"/>
    <s v="06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6035010"/>
    <m/>
    <m/>
    <x v="423"/>
    <m/>
    <m/>
    <m/>
    <m/>
    <x v="3"/>
    <s v="8992745320166"/>
    <x v="8"/>
    <s v="STELLA AEROSOL"/>
    <s v="G1261"/>
    <x v="270"/>
    <n v="14"/>
    <s v="STELLA AEROSOL LEMON 350ML X 12 KLG"/>
    <n v="35"/>
    <m/>
    <s v="G1"/>
    <s v="STELLA"/>
    <s v="26"/>
    <s v="AEROSOL"/>
    <n v="1"/>
    <m/>
    <s v="0"/>
    <s v="LEMON"/>
    <s v="06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6035010"/>
    <m/>
    <n v="30490140400000"/>
    <x v="424"/>
    <s v="STL AE LEMON 12 KLGX350ML 43463 57466 59928 SAE10"/>
    <n v="30490040400000"/>
    <n v="0"/>
    <s v="STELLA AER LEMON 350ML RJV"/>
    <x v="3"/>
    <s v="8992745320166"/>
    <x v="8"/>
    <s v="STELLA AEROSOL"/>
    <s v="G1261"/>
    <x v="270"/>
    <n v="14"/>
    <s v="STELLA AEROSOL LEMON 350ML X 12 KLG"/>
    <n v="35"/>
    <m/>
    <s v="G1"/>
    <s v="STELLA"/>
    <s v="26"/>
    <s v="AEROSOL"/>
    <n v="1"/>
    <m/>
    <s v="0"/>
    <s v="LEMON"/>
    <s v="06"/>
    <s v="350ML"/>
    <s v="0350"/>
    <s v="KLG"/>
    <n v="1"/>
    <m/>
    <n v="0"/>
    <m/>
    <m/>
    <m/>
    <n v="3049004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7040010"/>
    <m/>
    <n v="30490120400000"/>
    <x v="425"/>
    <s v="STELLA AE ODOUR.N 12 KLG X 400ML &quot;30002&quot;SAE20"/>
    <n v="30490120400000"/>
    <n v="0"/>
    <n v="0"/>
    <x v="3"/>
    <n v="0"/>
    <x v="8"/>
    <s v="STELLA AEROSOL"/>
    <s v="G1261"/>
    <x v="271"/>
    <n v="14"/>
    <s v="STELLA AEROSOL ODOUR NETRALIZER 400ML X 12 KLG"/>
    <n v="46"/>
    <m/>
    <s v="G1"/>
    <s v="STELLA"/>
    <s v="26"/>
    <s v="AEROSOL"/>
    <n v="1"/>
    <m/>
    <s v="0"/>
    <s v="ODOUR NETRALIZER"/>
    <s v="07"/>
    <s v="400ML"/>
    <s v="0400"/>
    <s v="KLG"/>
    <n v="1"/>
    <m/>
    <n v="0"/>
    <m/>
    <m/>
    <m/>
    <n v="30490120400000"/>
    <m/>
    <m/>
    <n v="12"/>
    <n v="17952"/>
    <n v="215424"/>
    <n v="19926.72"/>
    <n v="239120.64000000001"/>
    <n v="19200"/>
    <n v="230400"/>
    <n v="21312.000000000004"/>
    <n v="255744.00000000003"/>
    <n v="0"/>
    <n v="0"/>
    <n v="0"/>
    <n v="0"/>
    <n v="6.5000000000000002E-2"/>
    <n v="-17952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61008000010"/>
    <m/>
    <n v="30490010400010"/>
    <x v="426"/>
    <s v="STELLA AE ORANGE 6 PCSX400ML MTP&quot;43466&quot;59937&quot;SAE04"/>
    <n v="30490010400010"/>
    <n v="0"/>
    <s v="STELLA AER JEJU ORANGE 350+50ML MTP RJV"/>
    <x v="4"/>
    <s v="8992745705710"/>
    <x v="8"/>
    <s v="STELLA AEROSOL"/>
    <s v="G1261"/>
    <x v="272"/>
    <n v="14"/>
    <s v="STELLA AEROSOL MULTI PACK ORANGE 400ML X 6 KLG"/>
    <n v="46"/>
    <m/>
    <s v="G1"/>
    <s v="STELLA"/>
    <s v="26"/>
    <s v="AEROSOL"/>
    <n v="1"/>
    <s v="MULTI PACK"/>
    <s v="0"/>
    <s v="ORANGE"/>
    <s v="08"/>
    <s v="400ML"/>
    <s v="0000"/>
    <s v="KLG"/>
    <n v="1"/>
    <m/>
    <n v="0"/>
    <m/>
    <m/>
    <m/>
    <n v="30490010400010"/>
    <m/>
    <m/>
    <n v="6"/>
    <n v="38615.5"/>
    <n v="231693"/>
    <n v="42863.205000000002"/>
    <n v="257179.23"/>
    <n v="41300"/>
    <n v="247800"/>
    <n v="45843.000000000007"/>
    <n v="275058"/>
    <n v="0"/>
    <n v="0"/>
    <n v="0"/>
    <n v="0"/>
    <n v="6.5000000000000002E-2"/>
    <n v="-38615.5"/>
    <e v="#DIV/0!"/>
    <m/>
    <m/>
    <s v="Lama"/>
    <s v="Sama"/>
    <m/>
    <s v="IDR"/>
    <s v="0000"/>
    <s v="400ML"/>
    <m/>
    <m/>
    <s v="KRT"/>
    <s v="GD01"/>
    <n v="11611"/>
    <n v="11612"/>
    <m/>
    <n v="1"/>
    <m/>
    <n v="6"/>
  </r>
  <r>
    <s v="G1261008014010"/>
    <m/>
    <n v="30490140400000"/>
    <x v="427"/>
    <s v="STELLA AE ORANGE 12 KLG X 140ML 29986 43449 SAE01"/>
    <n v="30490010140000"/>
    <n v="0"/>
    <s v="STELLA AER ORANGE 140ML RJV"/>
    <x v="3"/>
    <s v="8992745999881"/>
    <x v="8"/>
    <s v="STELLA AEROSOL"/>
    <s v="G1261"/>
    <x v="273"/>
    <n v="14"/>
    <s v="STELLA AEROSOL ORANGE 140ML X 12 KLG"/>
    <n v="36"/>
    <m/>
    <s v="G1"/>
    <s v="STELLA"/>
    <s v="26"/>
    <s v="AEROSOL"/>
    <n v="1"/>
    <m/>
    <s v="0"/>
    <s v="ORANGE"/>
    <s v="08"/>
    <s v="140ML"/>
    <s v="0140"/>
    <s v="KLG"/>
    <n v="1"/>
    <m/>
    <n v="0"/>
    <m/>
    <m/>
    <m/>
    <n v="30490010140000"/>
    <m/>
    <m/>
    <n v="12"/>
    <n v="8508.5"/>
    <n v="102102"/>
    <n v="9444.4350000000013"/>
    <n v="113333.22000000002"/>
    <n v="9100"/>
    <n v="109200"/>
    <n v="10101"/>
    <n v="121212.00000000001"/>
    <n v="0"/>
    <n v="0"/>
    <n v="0"/>
    <n v="0"/>
    <n v="6.5000000000000002E-2"/>
    <n v="-8508.5"/>
    <e v="#DIV/0!"/>
    <m/>
    <m/>
    <s v="Lama"/>
    <s v="Sama"/>
    <m/>
    <s v="IDR"/>
    <s v="0140"/>
    <s v="140ML"/>
    <m/>
    <m/>
    <s v="KRT"/>
    <s v="GD01"/>
    <n v="11611"/>
    <n v="11612"/>
    <m/>
    <n v="1"/>
    <m/>
    <n v="12"/>
  </r>
  <r>
    <s v="G1261008014010"/>
    <m/>
    <n v="30490100350010"/>
    <x v="428"/>
    <s v="STELLA AE ORANGE 12 KLG X 140ML 57843 SAE37"/>
    <n v="30490020140000"/>
    <n v="0"/>
    <s v="STELLA AER JEJU ORANGE 140ML."/>
    <x v="3"/>
    <s v="8992745999881"/>
    <x v="8"/>
    <s v="STELLA AEROSOL"/>
    <s v="G1261"/>
    <x v="273"/>
    <n v="14"/>
    <s v="STELLA AEROSOL ORANGE 140ML X 12 KLG"/>
    <n v="36"/>
    <m/>
    <s v="G1"/>
    <s v="STELLA"/>
    <s v="26"/>
    <s v="AEROSOL"/>
    <n v="1"/>
    <m/>
    <s v="0"/>
    <s v="ORANGE"/>
    <s v="08"/>
    <s v="140ML"/>
    <s v="0140"/>
    <s v="KLG"/>
    <n v="1"/>
    <m/>
    <n v="0"/>
    <m/>
    <m/>
    <m/>
    <n v="30490020140000"/>
    <m/>
    <m/>
    <n v="12"/>
    <n v="8508.5"/>
    <n v="102102"/>
    <n v="9444.4350000000013"/>
    <n v="113333.22000000002"/>
    <n v="9100"/>
    <n v="109200"/>
    <n v="10101"/>
    <n v="121212.00000000001"/>
    <n v="0"/>
    <n v="0"/>
    <n v="0"/>
    <n v="0"/>
    <n v="6.5000000000000002E-2"/>
    <n v="-8508.5"/>
    <e v="#DIV/0!"/>
    <m/>
    <m/>
    <s v="Lama"/>
    <s v="Sama"/>
    <m/>
    <s v="IDR"/>
    <s v="0140"/>
    <s v="140ML"/>
    <m/>
    <m/>
    <s v="KRT"/>
    <s v="GD01"/>
    <n v="11611"/>
    <n v="11612"/>
    <m/>
    <n v="1"/>
    <m/>
    <n v="12"/>
  </r>
  <r>
    <s v="G1261008014010"/>
    <m/>
    <m/>
    <x v="429"/>
    <m/>
    <m/>
    <m/>
    <m/>
    <x v="3"/>
    <s v="8992745999881"/>
    <x v="8"/>
    <s v="STELLA AEROSOL"/>
    <s v="G1261"/>
    <x v="273"/>
    <n v="14"/>
    <s v="STELLA AEROSOL ORANGE 140ML X 12 KLG"/>
    <n v="36"/>
    <m/>
    <s v="G1"/>
    <s v="STELLA"/>
    <s v="26"/>
    <s v="AEROSOL"/>
    <n v="1"/>
    <m/>
    <s v="0"/>
    <s v="ORANGE"/>
    <s v="08"/>
    <s v="140ML"/>
    <s v="014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40"/>
    <s v="140ML"/>
    <m/>
    <m/>
    <s v="KRT"/>
    <s v="GD01"/>
    <n v="11611"/>
    <n v="11612"/>
    <m/>
    <n v="1"/>
    <m/>
    <n v="12"/>
  </r>
  <r>
    <s v="G1261008017510"/>
    <m/>
    <n v="30490110200000"/>
    <x v="430"/>
    <s v="STL AE ORANGE 12 KLGX175ML 57842 59909 57476 SAE02"/>
    <n v="30490010200000"/>
    <n v="0"/>
    <s v="STELLA AER JEJU ORANGE 175ML."/>
    <x v="3"/>
    <s v="8992745320326"/>
    <x v="8"/>
    <s v="STELLA AEROSOL"/>
    <s v="G1261"/>
    <x v="274"/>
    <n v="14"/>
    <s v="STELLA AEROSOL ORANGE 175ML X 12 KLG"/>
    <n v="36"/>
    <m/>
    <s v="G1"/>
    <s v="STELLA"/>
    <s v="26"/>
    <s v="AEROSOL"/>
    <n v="1"/>
    <m/>
    <s v="0"/>
    <s v="ORANGE"/>
    <s v="08"/>
    <s v="175ML"/>
    <s v="0175"/>
    <s v="KLG"/>
    <n v="1"/>
    <m/>
    <n v="0"/>
    <m/>
    <m/>
    <m/>
    <n v="3049001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8017510"/>
    <m/>
    <n v="30490150350000"/>
    <x v="431"/>
    <s v="STL AE ORANGE 12 KLGX175ML 57842 59909 57476 SAE02"/>
    <n v="30490010200000"/>
    <n v="0"/>
    <s v="STELLA AER ORANGE 175ML RJV"/>
    <x v="3"/>
    <s v="8992745320326"/>
    <x v="8"/>
    <s v="STELLA AEROSOL"/>
    <s v="G1261"/>
    <x v="274"/>
    <n v="14"/>
    <s v="STELLA AEROSOL ORANGE 175ML X 12 KLG"/>
    <n v="36"/>
    <m/>
    <s v="G1"/>
    <s v="STELLA"/>
    <s v="26"/>
    <s v="AEROSOL"/>
    <n v="1"/>
    <m/>
    <s v="0"/>
    <s v="ORANGE"/>
    <s v="08"/>
    <s v="175ML"/>
    <s v="0175"/>
    <s v="KLG"/>
    <n v="1"/>
    <m/>
    <n v="0"/>
    <m/>
    <m/>
    <m/>
    <n v="3049001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8017510"/>
    <m/>
    <n v="30490100350010"/>
    <x v="432"/>
    <s v="STL AE ORANGE 12 KLGX175ML 57842 59909 57476 SAE02"/>
    <n v="30490010200000"/>
    <n v="0"/>
    <s v="STELLA AER JEJU ORANGE 175+25ML RJV"/>
    <x v="3"/>
    <s v="8992745320326"/>
    <x v="8"/>
    <s v="STELLA AEROSOL"/>
    <s v="G1261"/>
    <x v="274"/>
    <n v="14"/>
    <s v="STELLA AEROSOL ORANGE 175ML X 12 KLG"/>
    <n v="36"/>
    <m/>
    <s v="G1"/>
    <s v="STELLA"/>
    <s v="26"/>
    <s v="AEROSOL"/>
    <n v="1"/>
    <m/>
    <s v="0"/>
    <s v="ORANGE"/>
    <s v="08"/>
    <s v="175ML"/>
    <s v="0175"/>
    <s v="KLG"/>
    <n v="1"/>
    <m/>
    <n v="0"/>
    <m/>
    <m/>
    <m/>
    <n v="30490010200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8017510"/>
    <m/>
    <m/>
    <x v="433"/>
    <m/>
    <m/>
    <m/>
    <m/>
    <x v="3"/>
    <s v="8992745320326"/>
    <x v="8"/>
    <s v="STELLA AEROSOL"/>
    <s v="G1261"/>
    <x v="274"/>
    <n v="14"/>
    <s v="STELLA AEROSOL ORANGE 175ML X 12 KLG"/>
    <n v="36"/>
    <m/>
    <s v="G1"/>
    <s v="STELLA"/>
    <s v="26"/>
    <s v="AEROSOL"/>
    <n v="1"/>
    <m/>
    <s v="0"/>
    <s v="ORANGE"/>
    <s v="08"/>
    <s v="175ML"/>
    <s v="0175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8035010"/>
    <m/>
    <n v="30490110200000"/>
    <x v="434"/>
    <s v="STELLA AE ORNGE 12 KLG X 350ML 57840 59935 60567"/>
    <n v="30490010400000"/>
    <n v="0"/>
    <s v="STELLA AER JEJU ORANGE 350+50ML RJV"/>
    <x v="3"/>
    <s v="8992745320241"/>
    <x v="8"/>
    <s v="STELLA AEROSOL"/>
    <s v="G1261"/>
    <x v="275"/>
    <n v="14"/>
    <s v="STELLA AEROSOL ORANGE 350ML X 12 KLG"/>
    <n v="36"/>
    <m/>
    <s v="G1"/>
    <s v="STELLA"/>
    <s v="26"/>
    <s v="AEROSOL"/>
    <n v="1"/>
    <m/>
    <s v="0"/>
    <s v="ORANGE"/>
    <s v="08"/>
    <s v="350ML"/>
    <s v="0350"/>
    <s v="KLG"/>
    <n v="1"/>
    <m/>
    <n v="0"/>
    <m/>
    <m/>
    <m/>
    <n v="3049001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8035010"/>
    <m/>
    <n v="30490110350000"/>
    <x v="435"/>
    <s v="STELLA AE ORNGE 12 KLG X 350ML 57840 59935 60567"/>
    <n v="30490010400000"/>
    <n v="0"/>
    <s v="STELLA AER JEJU ORANGE 350ML"/>
    <x v="3"/>
    <s v="8992745320241"/>
    <x v="8"/>
    <s v="STELLA AEROSOL"/>
    <s v="G1261"/>
    <x v="275"/>
    <n v="14"/>
    <s v="STELLA AEROSOL ORANGE 350ML X 12 KLG"/>
    <n v="36"/>
    <m/>
    <s v="G1"/>
    <s v="STELLA"/>
    <s v="26"/>
    <s v="AEROSOL"/>
    <n v="1"/>
    <m/>
    <s v="0"/>
    <s v="ORANGE"/>
    <s v="08"/>
    <s v="350ML"/>
    <s v="0350"/>
    <s v="KLG"/>
    <n v="1"/>
    <m/>
    <n v="0"/>
    <m/>
    <m/>
    <m/>
    <n v="3049001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8035010"/>
    <m/>
    <n v="30490170350000"/>
    <x v="436"/>
    <s v="STELLA AE ORNGE 12 KLG X 350ML 57840 59935 60567"/>
    <n v="30490010400000"/>
    <n v="0"/>
    <s v="STELLA AER ORANGE 350ML RJV"/>
    <x v="3"/>
    <s v="8992745320241"/>
    <x v="8"/>
    <s v="STELLA AEROSOL"/>
    <s v="G1261"/>
    <x v="275"/>
    <n v="14"/>
    <s v="STELLA AEROSOL ORANGE 350ML X 12 KLG"/>
    <n v="36"/>
    <m/>
    <s v="G1"/>
    <s v="STELLA"/>
    <s v="26"/>
    <s v="AEROSOL"/>
    <n v="1"/>
    <m/>
    <s v="0"/>
    <s v="ORANGE"/>
    <s v="08"/>
    <s v="350ML"/>
    <s v="0350"/>
    <s v="KLG"/>
    <n v="1"/>
    <m/>
    <n v="0"/>
    <m/>
    <m/>
    <m/>
    <n v="3049001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8035010"/>
    <m/>
    <n v="30490180160000"/>
    <x v="437"/>
    <s v="STELLA AE ORNGE 12 KLG X 350ML 57840 59935 60567"/>
    <n v="30490010400000"/>
    <n v="0"/>
    <s v="STELLA AER ORANGE T. 350+50ML RJV"/>
    <x v="3"/>
    <s v="8992745320241"/>
    <x v="8"/>
    <s v="STELLA AEROSOL"/>
    <s v="G1261"/>
    <x v="275"/>
    <n v="14"/>
    <s v="STELLA AEROSOL ORANGE 350ML X 12 KLG"/>
    <n v="36"/>
    <m/>
    <s v="G1"/>
    <s v="STELLA"/>
    <s v="26"/>
    <s v="AEROSOL"/>
    <n v="1"/>
    <m/>
    <s v="0"/>
    <s v="ORANGE"/>
    <s v="08"/>
    <s v="350ML"/>
    <s v="0350"/>
    <s v="KLG"/>
    <n v="1"/>
    <m/>
    <n v="0"/>
    <m/>
    <m/>
    <m/>
    <n v="3049001040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8035010"/>
    <m/>
    <m/>
    <x v="438"/>
    <m/>
    <m/>
    <m/>
    <m/>
    <x v="3"/>
    <s v="8992745320241"/>
    <x v="8"/>
    <s v="STELLA AEROSOL"/>
    <s v="G1261"/>
    <x v="275"/>
    <n v="14"/>
    <s v="STELLA AEROSOL ORANGE 350ML X 12 KLG"/>
    <n v="36"/>
    <m/>
    <s v="G1"/>
    <s v="STELLA"/>
    <s v="26"/>
    <s v="AEROSOL"/>
    <n v="1"/>
    <m/>
    <s v="0"/>
    <s v="ORANGE"/>
    <s v="08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09017510"/>
    <m/>
    <n v="30500010042001"/>
    <x v="439"/>
    <s v="STELLA AE RAJAAMPATL. 12 KLG X 175ML 59926 SAE28"/>
    <n v="30490160175000"/>
    <n v="0"/>
    <s v="STELLA AER RAJA AMPAT L. 175+25ML "/>
    <x v="3"/>
    <s v="8992745001034"/>
    <x v="8"/>
    <s v="STELLA AEROSOL"/>
    <s v="G1261"/>
    <x v="276"/>
    <n v="14"/>
    <s v="STELLA AEROSOL RAJA AMPAT LAGOON 175ML X 12 KLG"/>
    <n v="47"/>
    <m/>
    <s v="G1"/>
    <s v="STELLA"/>
    <s v="26"/>
    <s v="AEROSOL"/>
    <n v="1"/>
    <m/>
    <s v="0"/>
    <s v="RAJA AMPAT LAGOON"/>
    <s v="09"/>
    <s v="175ML"/>
    <s v="0175"/>
    <s v="KLG"/>
    <n v="1"/>
    <m/>
    <n v="0"/>
    <m/>
    <m/>
    <m/>
    <n v="30490160175000"/>
    <m/>
    <m/>
    <n v="12"/>
    <n v="14025"/>
    <n v="168300"/>
    <n v="15567.750000000002"/>
    <n v="186813.00000000003"/>
    <n v="15000"/>
    <n v="180000"/>
    <n v="16650"/>
    <n v="199800.00000000003"/>
    <n v="0"/>
    <n v="0"/>
    <n v="0"/>
    <n v="0"/>
    <n v="6.5000000000000002E-2"/>
    <n v="-14025"/>
    <e v="#DIV/0!"/>
    <m/>
    <m/>
    <s v="Lama"/>
    <s v="Sama"/>
    <m/>
    <s v="IDR"/>
    <s v="0175"/>
    <s v="175ML"/>
    <m/>
    <m/>
    <s v="KRT"/>
    <s v="GD01"/>
    <n v="11611"/>
    <n v="11612"/>
    <m/>
    <n v="1"/>
    <m/>
    <n v="12"/>
  </r>
  <r>
    <s v="G1261009035010"/>
    <m/>
    <n v="30500010042002"/>
    <x v="440"/>
    <s v="STELLA AE RAJAAMPATL. 12 KLG X 350ML 59938 SAE29"/>
    <n v="30490170350000"/>
    <n v="0"/>
    <s v="STELLA AER RAJA AMPAT L. 350+50ML "/>
    <x v="3"/>
    <s v="8992745001010"/>
    <x v="8"/>
    <s v="STELLA AEROSOL"/>
    <s v="G1261"/>
    <x v="277"/>
    <n v="14"/>
    <s v="STELLA AEROSOL RAJA AMPAT LAGOON 350ML X 12 KLG"/>
    <n v="47"/>
    <m/>
    <s v="G1"/>
    <s v="STELLA"/>
    <s v="26"/>
    <s v="AEROSOL"/>
    <n v="1"/>
    <m/>
    <s v="0"/>
    <s v="RAJA AMPAT LAGOON"/>
    <s v="09"/>
    <s v="350ML"/>
    <s v="0350"/>
    <s v="KLG"/>
    <n v="1"/>
    <m/>
    <n v="0"/>
    <m/>
    <m/>
    <m/>
    <n v="3049017035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10035010"/>
    <m/>
    <n v="30490180160000"/>
    <x v="441"/>
    <s v="STL AE R. KENANGA 12PCS X 350ML 57470 59932 SAE18"/>
    <n v="30490100350010"/>
    <n v="0"/>
    <s v="STELLA AER R. KENANGA 350+50ML RJV"/>
    <x v="3"/>
    <s v="8992745480143"/>
    <x v="8"/>
    <s v="STELLA AEROSOL"/>
    <s v="G1261"/>
    <x v="278"/>
    <n v="14"/>
    <s v="STELLA AEROSOL REFRESHING KENANGA 350ML X 12 KLG"/>
    <n v="48"/>
    <m/>
    <s v="G1"/>
    <s v="STELLA"/>
    <s v="26"/>
    <s v="AEROSOL"/>
    <n v="1"/>
    <m/>
    <s v="0"/>
    <s v="REFRESHING KENANGA"/>
    <s v="10"/>
    <s v="350ML"/>
    <s v="0350"/>
    <s v="KLG"/>
    <n v="1"/>
    <m/>
    <n v="0"/>
    <m/>
    <m/>
    <m/>
    <n v="3049010035001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10035010"/>
    <m/>
    <n v="30500010042000"/>
    <x v="442"/>
    <s v="STL AE R. KENANGA 12PCS X 350ML 57470 59932 SAE18"/>
    <n v="30490100350010"/>
    <n v="0"/>
    <s v="STELLA AER R.KENANGA 350ML RJV"/>
    <x v="3"/>
    <s v="8992745480143"/>
    <x v="8"/>
    <s v="STELLA AEROSOL"/>
    <s v="G1261"/>
    <x v="278"/>
    <n v="14"/>
    <s v="STELLA AEROSOL REFRESHING KENANGA 350ML X 12 KLG"/>
    <n v="48"/>
    <m/>
    <s v="G1"/>
    <s v="STELLA"/>
    <s v="26"/>
    <s v="AEROSOL"/>
    <n v="1"/>
    <m/>
    <s v="0"/>
    <s v="REFRESHING KENANGA"/>
    <s v="10"/>
    <s v="350ML"/>
    <s v="0350"/>
    <s v="KLG"/>
    <n v="1"/>
    <m/>
    <n v="0"/>
    <m/>
    <m/>
    <m/>
    <n v="3049010035001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10035010"/>
    <m/>
    <m/>
    <x v="443"/>
    <m/>
    <m/>
    <m/>
    <m/>
    <x v="3"/>
    <s v="8992745480143"/>
    <x v="8"/>
    <s v="STELLA AEROSOL"/>
    <s v="G1261"/>
    <x v="278"/>
    <n v="14"/>
    <s v="STELLA AEROSOL REFRESHING KENANGA 350ML X 12 KLG"/>
    <n v="48"/>
    <m/>
    <s v="G1"/>
    <s v="STELLA"/>
    <s v="26"/>
    <s v="AEROSOL"/>
    <n v="1"/>
    <m/>
    <s v="0"/>
    <s v="REFRESHING KENANGA"/>
    <s v="10"/>
    <s v="350ML"/>
    <s v="0350"/>
    <s v="KLG"/>
    <n v="1"/>
    <m/>
    <n v="0"/>
    <m/>
    <m/>
    <m/>
    <n v="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11020010"/>
    <m/>
    <n v="30490050200000"/>
    <x v="444"/>
    <s v="STELLA AE ROSE 12 KLG X 200ML &quot;29992&quot;SAE11"/>
    <n v="30490050200000"/>
    <n v="0"/>
    <n v="0"/>
    <x v="3"/>
    <n v="0"/>
    <x v="8"/>
    <s v="STELLA AEROSOL"/>
    <s v="G1261"/>
    <x v="279"/>
    <n v="14"/>
    <s v="STELLA AEROSOL ROSE 200ML X 12 KLG"/>
    <n v="34"/>
    <m/>
    <s v="G1"/>
    <s v="STELLA"/>
    <s v="26"/>
    <s v="AEROSOL"/>
    <n v="1"/>
    <m/>
    <s v="0"/>
    <s v="ROSE"/>
    <s v="11"/>
    <s v="200ML"/>
    <s v="0200"/>
    <s v="KLG"/>
    <n v="1"/>
    <m/>
    <n v="0"/>
    <m/>
    <m/>
    <m/>
    <n v="30490050200000"/>
    <m/>
    <m/>
    <n v="12"/>
    <n v="11781"/>
    <n v="141372"/>
    <n v="13076.910000000002"/>
    <n v="156922.92000000001"/>
    <n v="12600"/>
    <n v="151200"/>
    <n v="13986.000000000002"/>
    <n v="167832.00000000003"/>
    <n v="0"/>
    <n v="0"/>
    <n v="0"/>
    <n v="0"/>
    <n v="6.5000000000000002E-2"/>
    <n v="-11781"/>
    <e v="#DIV/0!"/>
    <m/>
    <m/>
    <s v="Lama"/>
    <s v="Sama"/>
    <m/>
    <s v="IDR"/>
    <s v="0200"/>
    <s v="200ML"/>
    <m/>
    <m/>
    <s v="KRT"/>
    <s v="GD01"/>
    <n v="11611"/>
    <n v="11612"/>
    <m/>
    <n v="1"/>
    <m/>
    <n v="12"/>
  </r>
  <r>
    <s v="G1261011040010"/>
    <m/>
    <n v="30490050400010"/>
    <x v="445"/>
    <s v="STELLA AE ROSE 12 PCS X 400ML &quot;7667&quot;29999&quot;SAE12"/>
    <n v="30490050400010"/>
    <n v="0"/>
    <n v="0"/>
    <x v="3"/>
    <n v="0"/>
    <x v="8"/>
    <s v="STELLA AEROSOL"/>
    <s v="G1261"/>
    <x v="280"/>
    <n v="14"/>
    <s v="STELLA AEROSOL ROSE 400ML X 12 KLG"/>
    <n v="34"/>
    <m/>
    <s v="G1"/>
    <s v="STELLA"/>
    <s v="26"/>
    <s v="AEROSOL"/>
    <n v="1"/>
    <m/>
    <s v="0"/>
    <s v="ROSE"/>
    <s v="11"/>
    <s v="400ML"/>
    <s v="0400"/>
    <s v="KLG"/>
    <n v="1"/>
    <m/>
    <n v="0"/>
    <m/>
    <m/>
    <m/>
    <n v="30490050400010"/>
    <m/>
    <m/>
    <n v="12"/>
    <n v="17952"/>
    <n v="215424"/>
    <n v="19926.72"/>
    <n v="239120.64000000001"/>
    <n v="19200"/>
    <n v="230400"/>
    <n v="21312.000000000004"/>
    <n v="255744.00000000003"/>
    <n v="0"/>
    <n v="0"/>
    <n v="0"/>
    <n v="0"/>
    <n v="6.5000000000000002E-2"/>
    <n v="-17952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61013040010"/>
    <m/>
    <n v="30490060400010"/>
    <x v="446"/>
    <s v="STELLA AE F.JASMINE 12 PCS X 400ML &quot;7683&quot;SAE14"/>
    <m/>
    <m/>
    <m/>
    <x v="3"/>
    <m/>
    <x v="8"/>
    <s v="STELLA AEROSOL"/>
    <s v="G1261"/>
    <x v="281"/>
    <n v="14"/>
    <s v="STELLA AEROSOL F. JASMINE 400ML X 12 KLG"/>
    <n v="40"/>
    <m/>
    <s v="G1"/>
    <s v="STELLA"/>
    <s v="26"/>
    <s v="AEROSOL"/>
    <n v="1"/>
    <m/>
    <s v="0"/>
    <s v="F. JASMINE"/>
    <s v="13"/>
    <s v="400ML"/>
    <s v="040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400"/>
    <s v="400ML"/>
    <m/>
    <m/>
    <s v="KRT"/>
    <s v="GD01"/>
    <n v="11611"/>
    <n v="11612"/>
    <m/>
    <n v="1"/>
    <m/>
    <n v="12"/>
  </r>
  <r>
    <s v="G1261012035010"/>
    <m/>
    <n v="30500040042000"/>
    <x v="447"/>
    <s v="STELLA AE W.VERBENA 12PCSX350ML 43450 59933 SAE17"/>
    <n v="30490090350010"/>
    <n v="0"/>
    <s v="STELLA AER W. VERBENA 350+50ML RJV"/>
    <x v="3"/>
    <s v="8992745480167"/>
    <x v="8"/>
    <s v="STELLA AEROSOL"/>
    <s v="G1261"/>
    <x v="282"/>
    <n v="14"/>
    <s v="STELLA AEROSOL WARM VERBENA 350ML X 12 KLG"/>
    <n v="42"/>
    <m/>
    <s v="G1"/>
    <s v="STELLA"/>
    <s v="26"/>
    <s v="AEROSOL"/>
    <n v="1"/>
    <m/>
    <s v="0"/>
    <s v="WARM VERBENA"/>
    <s v="12"/>
    <s v="350ML"/>
    <s v="0350"/>
    <s v="KLG"/>
    <n v="1"/>
    <m/>
    <n v="0"/>
    <m/>
    <m/>
    <m/>
    <n v="3049009035001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12035010"/>
    <m/>
    <m/>
    <x v="448"/>
    <m/>
    <m/>
    <m/>
    <m/>
    <x v="3"/>
    <s v="8992745480167"/>
    <x v="8"/>
    <s v="STELLA AEROSOL"/>
    <s v="G1261"/>
    <x v="282"/>
    <n v="14"/>
    <s v="STELLA AEROSOL WARM VERBENA 350ML X 12 KLG"/>
    <n v="42"/>
    <m/>
    <s v="G1"/>
    <s v="STELLA"/>
    <s v="26"/>
    <s v="AEROSOL"/>
    <n v="1"/>
    <m/>
    <s v="0"/>
    <s v="WARM VERBENA"/>
    <s v="12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12035010"/>
    <m/>
    <n v="30500040042001"/>
    <x v="449"/>
    <s v="STELLA AE WARM VERBENA 12 KLG X 350ML 57471 SAE27"/>
    <n v="30490150350000"/>
    <n v="0"/>
    <s v="STELLA AER W.VERBENA 350ML RJV"/>
    <x v="3"/>
    <s v="8992745480167"/>
    <x v="8"/>
    <s v="STELLA AEROSOL"/>
    <s v="G1261"/>
    <x v="282"/>
    <n v="14"/>
    <s v="STELLA AEROSOL WARM VERBENA 350ML X 12 KLG"/>
    <n v="42"/>
    <m/>
    <s v="G1"/>
    <s v="STELLA"/>
    <s v="26"/>
    <s v="AEROSOL"/>
    <n v="1"/>
    <m/>
    <s v="0"/>
    <s v="WARM VERBENA"/>
    <s v="12"/>
    <s v="350ML"/>
    <s v="0350"/>
    <s v="KLG"/>
    <n v="1"/>
    <m/>
    <n v="0"/>
    <m/>
    <m/>
    <m/>
    <n v="30490150350000"/>
    <m/>
    <m/>
    <n v="12"/>
    <n v="20383"/>
    <n v="244596"/>
    <n v="22625.13"/>
    <n v="271501.56"/>
    <n v="21800"/>
    <n v="261600"/>
    <n v="24198.000000000004"/>
    <n v="290376"/>
    <n v="0"/>
    <n v="0"/>
    <n v="0"/>
    <n v="0"/>
    <n v="6.5000000000000002E-2"/>
    <n v="-20383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012035010"/>
    <m/>
    <m/>
    <x v="450"/>
    <m/>
    <m/>
    <m/>
    <m/>
    <x v="3"/>
    <s v="8992745480167"/>
    <x v="8"/>
    <s v="STELLA AEROSOL"/>
    <s v="G1261"/>
    <x v="282"/>
    <n v="14"/>
    <s v="STELLA AEROSOL WARM VERBENA 350ML X 12 KLG"/>
    <n v="42"/>
    <m/>
    <s v="G1"/>
    <s v="STELLA"/>
    <s v="26"/>
    <s v="AEROSOL"/>
    <n v="1"/>
    <m/>
    <s v="0"/>
    <s v="WARM VERBENA"/>
    <s v="12"/>
    <s v="350ML"/>
    <s v="035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350"/>
    <s v="350ML"/>
    <m/>
    <m/>
    <s v="KRT"/>
    <s v="GD01"/>
    <n v="11611"/>
    <n v="11612"/>
    <m/>
    <n v="1"/>
    <m/>
    <n v="12"/>
  </r>
  <r>
    <s v="G1261102030020"/>
    <m/>
    <n v="30490040400000"/>
    <x v="451"/>
    <s v="STELLA F&amp;P F.CITRUS 12 KLG X 300ML 30010 SFP02"/>
    <n v="30580010300010"/>
    <n v="0"/>
    <s v="STELLA AER FRESH PROTECT F.CITRUS 300ML"/>
    <x v="3"/>
    <s v="8992745475347"/>
    <x v="8"/>
    <s v="STELLA AEROSOL"/>
    <s v="G1261"/>
    <x v="283"/>
    <n v="14"/>
    <s v="STELLA AEROSOL F&amp;P CITRUS 300ML X 12 KLG"/>
    <n v="40"/>
    <m/>
    <s v="G1"/>
    <s v="STELLA"/>
    <s v="26"/>
    <s v="AEROSOL"/>
    <n v="1"/>
    <s v="F&amp;P"/>
    <s v="1"/>
    <s v="CITRUS"/>
    <s v="02"/>
    <s v="300ML"/>
    <s v="0300"/>
    <s v="KLG"/>
    <n v="2"/>
    <m/>
    <n v="0"/>
    <m/>
    <m/>
    <m/>
    <n v="30580010300010"/>
    <m/>
    <m/>
    <n v="12"/>
    <n v="25993"/>
    <n v="311916"/>
    <n v="28852.230000000003"/>
    <n v="346226.76"/>
    <n v="27800"/>
    <n v="333600"/>
    <n v="30858.000000000004"/>
    <n v="370296.00000000006"/>
    <n v="0"/>
    <n v="0"/>
    <n v="0"/>
    <n v="0"/>
    <n v="6.5000000000000002E-2"/>
    <n v="-25993"/>
    <e v="#DIV/0!"/>
    <m/>
    <m/>
    <s v="Lama"/>
    <s v="Sama"/>
    <m/>
    <s v="IDR"/>
    <s v="0300"/>
    <s v="300ML"/>
    <m/>
    <m/>
    <s v="KRT"/>
    <s v="GD01"/>
    <n v="11611"/>
    <n v="11612"/>
    <m/>
    <n v="1"/>
    <m/>
    <n v="12"/>
  </r>
  <r>
    <s v="G1261103030020"/>
    <m/>
    <n v="30490080200010"/>
    <x v="452"/>
    <s v="STELLA F&amp;P F.FLORAL 12 KLG X 300ML 30009 SFP03"/>
    <n v="30580020300010"/>
    <n v="0"/>
    <s v="STELLA AER FRESH PROTECT F.FLORAL 300ML"/>
    <x v="3"/>
    <s v="8992745475330"/>
    <x v="8"/>
    <s v="STELLA AEROSOL"/>
    <s v="G1261"/>
    <x v="284"/>
    <n v="14"/>
    <s v="STELLA AEROSOL F&amp;P FLORAL 300ML X 12 KLG"/>
    <n v="40"/>
    <m/>
    <s v="G1"/>
    <s v="STELLA"/>
    <s v="26"/>
    <s v="AEROSOL"/>
    <n v="1"/>
    <s v="F&amp;P"/>
    <s v="1"/>
    <s v="FLORAL"/>
    <s v="03"/>
    <s v="300ML"/>
    <s v="0300"/>
    <s v="KLG"/>
    <n v="2"/>
    <m/>
    <n v="0"/>
    <m/>
    <m/>
    <m/>
    <n v="30580020300010"/>
    <m/>
    <m/>
    <n v="12"/>
    <n v="25993"/>
    <n v="311916"/>
    <n v="28852.230000000003"/>
    <n v="346226.76"/>
    <n v="27800"/>
    <n v="333600"/>
    <n v="30858.000000000004"/>
    <n v="370296.00000000006"/>
    <n v="0"/>
    <n v="0"/>
    <n v="0"/>
    <n v="0"/>
    <n v="6.5000000000000002E-2"/>
    <n v="-25993"/>
    <e v="#DIV/0!"/>
    <m/>
    <m/>
    <s v="Lama"/>
    <s v="Sama"/>
    <m/>
    <s v="IDR"/>
    <s v="0300"/>
    <s v="300ML"/>
    <m/>
    <m/>
    <s v="KRT"/>
    <s v="GD01"/>
    <n v="11611"/>
    <n v="11612"/>
    <m/>
    <n v="1"/>
    <m/>
    <n v="12"/>
  </r>
  <r>
    <s v="G1261201024510"/>
    <m/>
    <n v="30602010000010"/>
    <x v="453"/>
    <s v="STELLA FAB.SPRAY C.BLOOM 12 PCSX245ML 30007 SFS02"/>
    <n v="30560020245000"/>
    <n v="0"/>
    <s v="STELLA FRESH PROTECT FAB SPRAY CB 245ML"/>
    <x v="3"/>
    <s v="8992745560654"/>
    <x v="5"/>
    <s v="STELLA AEROSOL"/>
    <s v="G1261"/>
    <x v="285"/>
    <n v="14"/>
    <s v="STELLA AEROSOL F&amp;P FABRIC SPRAY COTTON BLOOM 245ML X 12 PCS"/>
    <n v="59"/>
    <m/>
    <s v="G1"/>
    <s v="STELLA"/>
    <s v="26"/>
    <s v="AEROSOL"/>
    <n v="1"/>
    <s v="F&amp;P FABRIC SPRAY"/>
    <s v="2"/>
    <s v="COTTON BLOOM"/>
    <s v="01"/>
    <s v="245ML"/>
    <s v="0245"/>
    <s v="PCS"/>
    <n v="1"/>
    <m/>
    <n v="0"/>
    <m/>
    <m/>
    <m/>
    <n v="30560020245000"/>
    <m/>
    <m/>
    <n v="12"/>
    <n v="19480.724999999999"/>
    <n v="233768.69999999998"/>
    <n v="21623.604749999999"/>
    <n v="259483.25700000001"/>
    <n v="20835"/>
    <n v="250020"/>
    <n v="23126.850000000002"/>
    <n v="277522.2"/>
    <n v="0"/>
    <n v="0"/>
    <n v="0"/>
    <n v="0"/>
    <n v="6.5000000000000072E-2"/>
    <n v="-19480.724999999999"/>
    <e v="#DIV/0!"/>
    <m/>
    <m/>
    <s v="Lama"/>
    <s v="Sama"/>
    <m/>
    <s v="IDR"/>
    <s v="0245"/>
    <s v="245ML"/>
    <m/>
    <m/>
    <s v="KRT"/>
    <s v="GD01"/>
    <n v="11611"/>
    <n v="11612"/>
    <m/>
    <n v="1"/>
    <m/>
    <n v="12"/>
  </r>
  <r>
    <s v="G1261201024510"/>
    <m/>
    <m/>
    <x v="454"/>
    <m/>
    <m/>
    <m/>
    <m/>
    <x v="0"/>
    <m/>
    <x v="5"/>
    <s v="STELLA AEROSOL"/>
    <s v="G1261"/>
    <x v="285"/>
    <n v="14"/>
    <s v="STELLA AEROSOL F&amp;P FABRIC SPRAY COTTON BLOOM 245ML X PCS"/>
    <n v="56"/>
    <m/>
    <s v="G1"/>
    <s v="STELLA"/>
    <s v="26"/>
    <s v="AEROSOL"/>
    <n v="1"/>
    <s v="F&amp;P FABRIC SPRAY"/>
    <s v="2"/>
    <s v="COTTON BLOOM"/>
    <s v="01"/>
    <s v="245ML"/>
    <s v="0245"/>
    <s v="PCS"/>
    <n v="1"/>
    <m/>
    <n v="0"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245"/>
    <s v="245ML"/>
    <m/>
    <m/>
    <s v="KRT"/>
    <s v="GD01"/>
    <n v="11611"/>
    <n v="11612"/>
    <m/>
    <n v="1"/>
    <m/>
    <n v="0"/>
  </r>
  <r>
    <s v="G1261201040010"/>
    <m/>
    <n v="30490020200000"/>
    <x v="455"/>
    <s v="STELLA AE APPLE 6 PCSX400ML MTP 57616 59936 SAE07"/>
    <n v="30490020400010"/>
    <n v="0"/>
    <s v="STELLA AER APPLE 2X350ML MTP RJV"/>
    <x v="4"/>
    <s v="8992745610366"/>
    <x v="8"/>
    <s v="STELLA AEROSOL"/>
    <s v="G1261"/>
    <x v="286"/>
    <n v="14"/>
    <s v="STELLA AEROSOL MULTI PACK APPLE 400ML X 6 KLG"/>
    <n v="45"/>
    <m/>
    <s v="G1"/>
    <s v="STELLA"/>
    <s v="26"/>
    <s v="AEROSOL"/>
    <n v="1"/>
    <s v="MULTI PACK"/>
    <s v="2"/>
    <s v="APPLE"/>
    <s v="01"/>
    <s v="400ML"/>
    <s v="0400"/>
    <s v="KLG"/>
    <n v="1"/>
    <m/>
    <n v="0"/>
    <m/>
    <m/>
    <m/>
    <n v="30490020400010"/>
    <m/>
    <m/>
    <n v="6"/>
    <n v="38615.5"/>
    <n v="231693"/>
    <n v="42863.205000000002"/>
    <n v="257179.23"/>
    <n v="41300"/>
    <n v="247800"/>
    <n v="45843.000000000007"/>
    <n v="275058"/>
    <n v="0"/>
    <n v="0"/>
    <n v="0"/>
    <n v="0"/>
    <n v="6.5000000000000002E-2"/>
    <n v="-38615.5"/>
    <e v="#DIV/0!"/>
    <m/>
    <m/>
    <s v="Lama"/>
    <s v="Sama"/>
    <m/>
    <s v="IDR"/>
    <s v="0400"/>
    <s v="400ML"/>
    <m/>
    <m/>
    <s v="KRT"/>
    <s v="GD01"/>
    <n v="11611"/>
    <n v="11612"/>
    <m/>
    <n v="1"/>
    <m/>
    <n v="6"/>
  </r>
  <r>
    <s v="G1261201040010"/>
    <m/>
    <n v="30490020400000"/>
    <x v="456"/>
    <s v="STELLA AE APPLE 6 PCSX400ML MTP 57616 59936 SAE07"/>
    <n v="30490020400010"/>
    <n v="0"/>
    <s v="STELLA AER APPLE 2X400ML MTP RJV"/>
    <x v="4"/>
    <s v="8992745610366"/>
    <x v="8"/>
    <s v="STELLA AEROSOL"/>
    <s v="G1261"/>
    <x v="286"/>
    <n v="14"/>
    <s v="STELLA AEROSOL MULTI PACK APPLE 400ML X 6 KLG"/>
    <n v="45"/>
    <m/>
    <s v="G1"/>
    <s v="STELLA"/>
    <s v="26"/>
    <s v="AEROSOL"/>
    <n v="1"/>
    <s v="MULTI PACK"/>
    <s v="2"/>
    <s v="APPLE"/>
    <s v="01"/>
    <s v="400ML"/>
    <s v="0400"/>
    <s v="KLG"/>
    <n v="1"/>
    <m/>
    <n v="0"/>
    <m/>
    <m/>
    <m/>
    <n v="30490020400010"/>
    <m/>
    <m/>
    <n v="6"/>
    <n v="38615.5"/>
    <n v="231693"/>
    <n v="42863.205000000002"/>
    <n v="257179.23"/>
    <n v="41300"/>
    <n v="247800"/>
    <n v="45843.000000000007"/>
    <n v="275058"/>
    <n v="0"/>
    <n v="0"/>
    <n v="0"/>
    <n v="0"/>
    <n v="6.5000000000000002E-2"/>
    <n v="-38615.5"/>
    <e v="#DIV/0!"/>
    <m/>
    <m/>
    <s v="Lama"/>
    <s v="Sama"/>
    <m/>
    <s v="IDR"/>
    <s v="0400"/>
    <s v="400ML"/>
    <m/>
    <m/>
    <s v="KRT"/>
    <s v="GD01"/>
    <n v="11611"/>
    <n v="11612"/>
    <m/>
    <n v="1"/>
    <m/>
    <n v="6"/>
  </r>
  <r>
    <s v="G1261201040010"/>
    <m/>
    <n v="30490020400000"/>
    <x v="457"/>
    <s v="STELLA AE APPLE 6 PCSX400ML MTP 57616 59936 SAE07"/>
    <n v="30490020400010"/>
    <n v="0"/>
    <s v="STELLA AER APPLE 350+50ML MTP RJV"/>
    <x v="4"/>
    <s v="8992745610366"/>
    <x v="8"/>
    <s v="STELLA AEROSOL"/>
    <s v="G1261"/>
    <x v="286"/>
    <n v="14"/>
    <s v="STELLA AEROSOL MULTI PACK APPLE 400ML X 6 KLG"/>
    <n v="45"/>
    <m/>
    <s v="G1"/>
    <s v="STELLA"/>
    <s v="26"/>
    <s v="AEROSOL"/>
    <n v="1"/>
    <s v="MULTI PACK"/>
    <s v="2"/>
    <s v="APPLE"/>
    <s v="01"/>
    <s v="400ML"/>
    <s v="0400"/>
    <s v="KLG"/>
    <n v="1"/>
    <m/>
    <n v="0"/>
    <m/>
    <m/>
    <m/>
    <n v="30490020400010"/>
    <m/>
    <m/>
    <n v="6"/>
    <n v="38615.5"/>
    <n v="231693"/>
    <n v="42863.205000000002"/>
    <n v="257179.23"/>
    <n v="41300"/>
    <n v="247800"/>
    <n v="45843.000000000007"/>
    <n v="275058"/>
    <n v="0"/>
    <n v="0"/>
    <n v="0"/>
    <n v="0"/>
    <n v="6.5000000000000002E-2"/>
    <n v="-38615.5"/>
    <e v="#DIV/0!"/>
    <m/>
    <m/>
    <s v="Lama"/>
    <s v="Sama"/>
    <m/>
    <s v="IDR"/>
    <s v="0400"/>
    <s v="400ML"/>
    <m/>
    <m/>
    <s v="KRT"/>
    <s v="GD01"/>
    <n v="11611"/>
    <n v="11612"/>
    <m/>
    <n v="1"/>
    <m/>
    <n v="6"/>
  </r>
  <r>
    <s v="G1261202035010"/>
    <m/>
    <n v="30490160175000"/>
    <x v="458"/>
    <s v="STELLA AE ORANGE 6 PCS X 350ML 57617 SAE41"/>
    <n v="30490010350011"/>
    <n v="0"/>
    <s v="STELLA AER ORANGE 2X350ML MTP RJV"/>
    <x v="4"/>
    <s v="8992745705710"/>
    <x v="8"/>
    <s v="STELLA AEROSOL"/>
    <s v="G1261"/>
    <x v="287"/>
    <n v="14"/>
    <s v="STELLA AEROSOL MULTI PACK ORANGE 350ML X 6 KLG"/>
    <n v="46"/>
    <m/>
    <s v="G1"/>
    <s v="STELLA"/>
    <s v="26"/>
    <s v="AEROSOL"/>
    <n v="1"/>
    <s v="MULTI PACK"/>
    <s v="2"/>
    <s v="ORANGE"/>
    <s v="02"/>
    <s v="350ML"/>
    <s v="0350"/>
    <s v="KLG"/>
    <n v="1"/>
    <m/>
    <n v="0"/>
    <m/>
    <m/>
    <m/>
    <n v="30490010350011"/>
    <m/>
    <m/>
    <n v="6"/>
    <n v="38615.5"/>
    <n v="231693"/>
    <n v="42863.205000000002"/>
    <n v="257179.23"/>
    <n v="41300"/>
    <n v="247800"/>
    <n v="45843.000000000007"/>
    <n v="275058"/>
    <n v="0"/>
    <n v="0"/>
    <n v="0"/>
    <n v="0"/>
    <n v="6.5000000000000002E-2"/>
    <n v="-38615.5"/>
    <e v="#DIV/0!"/>
    <m/>
    <m/>
    <s v="Lama"/>
    <s v="Sama"/>
    <m/>
    <s v="IDR"/>
    <s v="0350"/>
    <s v="350ML"/>
    <m/>
    <m/>
    <s v="KRT"/>
    <s v="GD01"/>
    <n v="11611"/>
    <n v="11612"/>
    <m/>
    <n v="1"/>
    <m/>
    <n v="6"/>
  </r>
  <r>
    <s v="G1261202035010"/>
    <m/>
    <m/>
    <x v="459"/>
    <m/>
    <m/>
    <m/>
    <m/>
    <x v="4"/>
    <m/>
    <x v="8"/>
    <s v="STELLA AEROSOL"/>
    <s v="G1261"/>
    <x v="287"/>
    <n v="14"/>
    <s v="STELLA AEROSOL MULTI PACK ORANGE 350ML X 6 KLG"/>
    <n v="46"/>
    <m/>
    <s v="G1"/>
    <s v="STELLA"/>
    <s v="26"/>
    <s v="AEROSOL"/>
    <n v="1"/>
    <s v="MULTI PACK"/>
    <s v="2"/>
    <s v="ORANGE"/>
    <s v="02"/>
    <s v="350ML"/>
    <s v="0350"/>
    <s v="KLG"/>
    <n v="1"/>
    <m/>
    <n v="0"/>
    <m/>
    <m/>
    <m/>
    <n v="0"/>
    <m/>
    <m/>
    <n v="6"/>
    <n v="38615.5"/>
    <n v="231693"/>
    <n v="42863.205000000002"/>
    <n v="257179.23"/>
    <n v="41300"/>
    <n v="247800"/>
    <n v="45843.000000000007"/>
    <n v="275058"/>
    <n v="0"/>
    <n v="0"/>
    <n v="0"/>
    <n v="0"/>
    <n v="6.5000000000000002E-2"/>
    <n v="-38615.5"/>
    <e v="#DIV/0!"/>
    <m/>
    <m/>
    <s v="Lama"/>
    <s v="Sama"/>
    <m/>
    <s v="IDR"/>
    <s v="0350"/>
    <s v="350ML"/>
    <m/>
    <m/>
    <s v="KRT"/>
    <s v="GD01"/>
    <n v="11611"/>
    <n v="11612"/>
    <m/>
    <n v="1"/>
    <m/>
    <n v="6"/>
  </r>
  <r>
    <s v="G1261204024510"/>
    <m/>
    <n v="30602010000010"/>
    <x v="460"/>
    <s v="STELLA FAB.SPRAY P.PEONY 12 PCSX245ML 30008 SFS01"/>
    <n v="30560010245000"/>
    <n v="0"/>
    <s v="STELLA FRESH PROTECT FAB SPRAY PP 245ML"/>
    <x v="3"/>
    <s v="8992745560661"/>
    <x v="5"/>
    <s v="STELLA AEROSOL"/>
    <s v="G1261"/>
    <x v="288"/>
    <n v="14"/>
    <s v="STELLA AEROSOL F&amp;P FABRIC SPRAY PINK PEONY 245ML X 12 PCS"/>
    <n v="57"/>
    <m/>
    <s v="G1"/>
    <s v="STELLA"/>
    <s v="26"/>
    <s v="AEROSOL"/>
    <n v="1"/>
    <s v="F&amp;P FABRIC SPRAY"/>
    <s v="2"/>
    <s v="PINK PEONY"/>
    <s v="04"/>
    <s v="245ML"/>
    <s v="0245"/>
    <s v="PCS"/>
    <n v="1"/>
    <m/>
    <n v="0"/>
    <m/>
    <m/>
    <m/>
    <n v="30560010245000"/>
    <m/>
    <m/>
    <n v="12"/>
    <n v="19480.724999999999"/>
    <n v="233768.69999999998"/>
    <n v="21623.604749999999"/>
    <n v="259483.25700000001"/>
    <n v="20835"/>
    <n v="250020"/>
    <n v="23126.850000000002"/>
    <n v="277522.2"/>
    <n v="0"/>
    <n v="0"/>
    <n v="0"/>
    <n v="0"/>
    <n v="6.5000000000000072E-2"/>
    <n v="-19480.724999999999"/>
    <e v="#DIV/0!"/>
    <m/>
    <m/>
    <s v="Lama"/>
    <s v="Sama"/>
    <m/>
    <s v="IDR"/>
    <s v="0245"/>
    <s v="245ML"/>
    <m/>
    <m/>
    <s v="KRT"/>
    <s v="GD01"/>
    <n v="11611"/>
    <n v="11612"/>
    <m/>
    <n v="1"/>
    <m/>
    <n v="12"/>
  </r>
  <r>
    <s v="G1261204024510"/>
    <m/>
    <m/>
    <x v="461"/>
    <m/>
    <m/>
    <m/>
    <m/>
    <x v="3"/>
    <s v="8992745560661"/>
    <x v="5"/>
    <s v="STELLA AEROSOL"/>
    <s v="G1261"/>
    <x v="288"/>
    <n v="14"/>
    <s v="STELLA AEROSOL F&amp;P FABRIC SPRAY PINK PEONY 245ML X 12 PCS"/>
    <n v="57"/>
    <m/>
    <s v="G1"/>
    <s v="STELLA"/>
    <s v="26"/>
    <s v="AEROSOL"/>
    <n v="1"/>
    <s v="F&amp;P FABRIC SPRAY"/>
    <s v="2"/>
    <s v="PINK PEONY"/>
    <s v="04"/>
    <s v="245ML"/>
    <s v="0245"/>
    <s v="PCS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245"/>
    <s v="245ML"/>
    <m/>
    <m/>
    <s v="KRT"/>
    <s v="GD01"/>
    <n v="11611"/>
    <n v="11612"/>
    <m/>
    <n v="1"/>
    <m/>
    <n v="12"/>
  </r>
  <r>
    <s v="G1262001004210"/>
    <m/>
    <n v="30500060042000"/>
    <x v="462"/>
    <s v="STELLA AIO APPLE 72 PCS X 42GR 33250 43508 SAI003"/>
    <n v="30500020042000"/>
    <n v="0"/>
    <s v="STELLA AIO APPLE 42+13GR RJV"/>
    <x v="6"/>
    <s v="8992745320067"/>
    <x v="5"/>
    <s v="STELLA ALL IN ONE"/>
    <s v="G1262"/>
    <x v="289"/>
    <n v="14"/>
    <s v="STELLA ALL IN ONE APPLE 42GR X 72 PCS"/>
    <n v="37"/>
    <m/>
    <s v="G1"/>
    <s v="STELLA"/>
    <s v="26"/>
    <s v="ALL IN ONE"/>
    <n v="2"/>
    <m/>
    <s v="0"/>
    <s v="APPLE"/>
    <s v="01"/>
    <s v="42GR"/>
    <s v="0042"/>
    <s v="PCS"/>
    <n v="1"/>
    <m/>
    <n v="0"/>
    <m/>
    <m/>
    <m/>
    <n v="3050002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1004210"/>
    <m/>
    <m/>
    <x v="463"/>
    <m/>
    <m/>
    <m/>
    <s v="STELLA AIO APPLE 42+13GR RJV"/>
    <x v="0"/>
    <m/>
    <x v="5"/>
    <s v="STELLA ALL IN ONE"/>
    <s v="G1262"/>
    <x v="289"/>
    <n v="14"/>
    <s v="STELLA ALL IN ONE APPLE 42GR X PCS"/>
    <n v="34"/>
    <m/>
    <s v="G1"/>
    <s v="STELLA"/>
    <s v="26"/>
    <s v="ALL IN ONE"/>
    <n v="2"/>
    <m/>
    <s v="0"/>
    <s v="APPLE"/>
    <s v="01"/>
    <s v="42GR"/>
    <s v="0042"/>
    <s v="PCS"/>
    <n v="1"/>
    <m/>
    <n v="0"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2"/>
    <s v="42GR"/>
    <m/>
    <m/>
    <s v="KRT"/>
    <s v="GD01"/>
    <n v="11611"/>
    <n v="11612"/>
    <m/>
    <n v="1"/>
    <m/>
    <n v="0"/>
  </r>
  <r>
    <s v="G1262001004210"/>
    <m/>
    <m/>
    <x v="464"/>
    <m/>
    <m/>
    <m/>
    <m/>
    <x v="6"/>
    <s v="8992745320067"/>
    <x v="5"/>
    <s v="STELLA ALL IN ONE"/>
    <s v="G1262"/>
    <x v="289"/>
    <n v="14"/>
    <s v="STELLA ALL IN ONE APPLE 42GR X 72 PCS"/>
    <n v="37"/>
    <m/>
    <s v="G1"/>
    <s v="STELLA"/>
    <s v="26"/>
    <s v="ALL IN ONE"/>
    <n v="2"/>
    <m/>
    <s v="0"/>
    <s v="APPLE"/>
    <s v="01"/>
    <s v="42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1004211"/>
    <m/>
    <n v="30500060042000"/>
    <x v="465"/>
    <s v="STELLA AIO APPLE 72 PCS X 42GR BANDED 49991 SAIO14"/>
    <n v="30500020042002"/>
    <n v="0"/>
    <s v="STELLA AIO APPLE 42+13GR FOC PROCLINPN"/>
    <x v="6"/>
    <s v="8992745320067"/>
    <x v="5"/>
    <s v="STELLA ALL IN ONE"/>
    <s v="G1262"/>
    <x v="290"/>
    <n v="14"/>
    <s v="STELLA ALL IN ONE APPLE 42GR X 72 PCS BANDED"/>
    <n v="44"/>
    <m/>
    <s v="G1"/>
    <s v="STELLA"/>
    <s v="26"/>
    <s v="ALL IN ONE"/>
    <n v="2"/>
    <m/>
    <s v="0"/>
    <s v="APPLE"/>
    <s v="01"/>
    <s v="42GR"/>
    <s v="0042"/>
    <s v="PCS"/>
    <n v="1"/>
    <s v="BANDED"/>
    <n v="1"/>
    <m/>
    <m/>
    <m/>
    <n v="3050002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2004210"/>
    <m/>
    <n v="30500060042001"/>
    <x v="466"/>
    <s v="STELLA AIO B.JASMIN S 72PCSX42GR+13GR 50038 SAIO18"/>
    <n v="30500090040003"/>
    <n v="0"/>
    <s v="STELLA AIO B.JASMINE 42+13GR RJV."/>
    <x v="6"/>
    <s v="8992745000174"/>
    <x v="5"/>
    <s v="STELLA ALL IN ONE"/>
    <s v="G1262"/>
    <x v="291"/>
    <n v="14"/>
    <s v="STELLA ALL IN ONE BALINESE JASMIN 42GR X 72 PCS"/>
    <n v="47"/>
    <m/>
    <s v="G1"/>
    <s v="STELLA"/>
    <s v="26"/>
    <s v="ALL IN ONE"/>
    <n v="2"/>
    <m/>
    <s v="0"/>
    <s v="BALINESE JASMIN"/>
    <s v="02"/>
    <s v="42GR"/>
    <s v="0042"/>
    <s v="PCS"/>
    <n v="1"/>
    <m/>
    <n v="0"/>
    <m/>
    <m/>
    <m/>
    <n v="30500090040003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2004211"/>
    <m/>
    <n v="30500060042001"/>
    <x v="467"/>
    <s v="STL AIO B.JASMINE S 72PCSX42GR BANDED 57312 SAIO020"/>
    <n v="30500090042002"/>
    <n v="0"/>
    <s v="STELLA AIO BJS FREE PROCLIN PN SACHET."/>
    <x v="6"/>
    <s v="8992745000174"/>
    <x v="5"/>
    <s v="STELLA ALL IN ONE"/>
    <s v="G1262"/>
    <x v="292"/>
    <n v="14"/>
    <s v="STELLA ALL IN ONE BALINESE JASMIN 42GR X 72 PCS BANDED"/>
    <n v="54"/>
    <m/>
    <s v="G1"/>
    <s v="STELLA"/>
    <s v="26"/>
    <s v="ALL IN ONE"/>
    <n v="2"/>
    <m/>
    <s v="0"/>
    <s v="BALINESE JASMIN"/>
    <s v="02"/>
    <s v="42GR"/>
    <s v="0042"/>
    <s v="PCS"/>
    <n v="1"/>
    <s v="BANDED"/>
    <n v="1"/>
    <m/>
    <m/>
    <m/>
    <n v="3050009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11004210"/>
    <m/>
    <n v="30500040042002"/>
    <x v="468"/>
    <s v="STELLA AIO F.BOUGENVILE 72 PCSX42GR 33254 SAIO04"/>
    <n v="30500030042000"/>
    <n v="0"/>
    <s v="STELLA Ail in One BOUGENVILLE 42+13gr"/>
    <x v="6"/>
    <s v="8992745320074"/>
    <x v="5"/>
    <s v="STELLA ALL IN ONE"/>
    <s v="G1262"/>
    <x v="293"/>
    <n v="14"/>
    <s v="STELLA ALL IN ONE BOUGENVILLE 42GR X 72 PCS"/>
    <n v="43"/>
    <m/>
    <s v="G1"/>
    <s v="STELLA"/>
    <s v="26"/>
    <s v="ALL IN ONE"/>
    <n v="2"/>
    <m/>
    <s v="0"/>
    <s v="BOUGENVILLE"/>
    <s v="11"/>
    <s v="42GR"/>
    <s v="0042"/>
    <s v="PCS"/>
    <n v="1"/>
    <m/>
    <n v="0"/>
    <m/>
    <m/>
    <m/>
    <n v="3050003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3004211"/>
    <m/>
    <n v="30500060042002"/>
    <x v="469"/>
    <s v="STELLA AIO BOUGENVILE 72 PCS X 42GR BANDED 49974"/>
    <n v="30500030042002"/>
    <n v="0"/>
    <s v="STELLA AIO BOUGENVILLE 42+13GR FOC PROCL"/>
    <x v="6"/>
    <s v="8992745320074"/>
    <x v="5"/>
    <s v="STELLA ALL IN ONE"/>
    <s v="G1262"/>
    <x v="294"/>
    <n v="14"/>
    <s v="STELLA ALL IN ONE BOUGENVILLE 42GR X 72 PCS BANDED"/>
    <n v="50"/>
    <m/>
    <s v="G1"/>
    <s v="STELLA"/>
    <s v="26"/>
    <s v="ALL IN ONE"/>
    <n v="2"/>
    <m/>
    <s v="0"/>
    <s v="BOUGENVILLE"/>
    <s v="03"/>
    <s v="42GR"/>
    <s v="0042"/>
    <s v="PCS"/>
    <n v="1"/>
    <s v="BANDED"/>
    <n v="1"/>
    <m/>
    <m/>
    <m/>
    <n v="3050003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4004210"/>
    <m/>
    <n v="30500070042000"/>
    <x v="470"/>
    <s v="STELLA AIO CAFE L. 72PCSX42GR 33311 43509 SAIO01"/>
    <n v="30500010042000"/>
    <n v="30500010042000"/>
    <s v="STELLA AIO C.LATTE 42+13GR RJV"/>
    <x v="6"/>
    <s v="8992745610885"/>
    <x v="5"/>
    <s v="STELLA ALL IN ONE"/>
    <s v="G1262"/>
    <x v="295"/>
    <n v="14"/>
    <s v="STELLA ALL IN ONE CAFFE LATTE 42GR X 72 PCS"/>
    <n v="43"/>
    <m/>
    <s v="G1"/>
    <s v="STELLA"/>
    <s v="26"/>
    <s v="ALL IN ONE"/>
    <n v="2"/>
    <m/>
    <s v="0"/>
    <s v="CAFFE LATTE"/>
    <s v="04"/>
    <s v="42GR"/>
    <s v="0042"/>
    <s v="PCS"/>
    <n v="1"/>
    <m/>
    <n v="0"/>
    <m/>
    <m/>
    <m/>
    <n v="3050001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4004210"/>
    <m/>
    <m/>
    <x v="471"/>
    <m/>
    <m/>
    <m/>
    <m/>
    <x v="6"/>
    <s v="8992745610885"/>
    <x v="5"/>
    <s v="STELLA ALL IN ONE"/>
    <s v="G1262"/>
    <x v="295"/>
    <n v="14"/>
    <s v="STELLA ALL IN ONE CAFFE LATTE 42GR X 72 PCS"/>
    <n v="43"/>
    <m/>
    <s v="G1"/>
    <s v="STELLA"/>
    <s v="26"/>
    <s v="ALL IN ONE"/>
    <n v="2"/>
    <m/>
    <s v="0"/>
    <s v="CAFFE LATTE"/>
    <s v="04"/>
    <s v="42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4004210"/>
    <m/>
    <m/>
    <x v="472"/>
    <s v="STELLA AIO CAFÉ LATTE 42+10GR"/>
    <m/>
    <m/>
    <m/>
    <x v="0"/>
    <m/>
    <x v="5"/>
    <s v="STELLA ALL IN ONE"/>
    <s v="G1262"/>
    <x v="295"/>
    <n v="14"/>
    <s v="STELLA ALL IN ONE CAFFE LATTE 42GR X PCS"/>
    <n v="40"/>
    <m/>
    <s v="G1"/>
    <s v="STELLA"/>
    <s v="26"/>
    <s v="ALL IN ONE"/>
    <n v="2"/>
    <m/>
    <s v="0"/>
    <s v="CAFFE LATTE"/>
    <s v="04"/>
    <s v="42GR"/>
    <s v="0042"/>
    <s v="PCS"/>
    <n v="1"/>
    <m/>
    <n v="0"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2"/>
    <s v="42GR"/>
    <m/>
    <m/>
    <s v="KRT"/>
    <s v="GD01"/>
    <n v="11611"/>
    <n v="11612"/>
    <m/>
    <n v="1"/>
    <m/>
    <n v="0"/>
  </r>
  <r>
    <s v="G1262004004211"/>
    <m/>
    <n v="30500060042004"/>
    <x v="473"/>
    <s v="STELLA AIO CAFE L 72 PCS X 42GR BDD 49992 SAIO16"/>
    <n v="30500010042002"/>
    <n v="0"/>
    <s v="STELLA AIO C.LATTE 42+13GR FOC PROCLINPN"/>
    <x v="6"/>
    <s v="8992745610885"/>
    <x v="5"/>
    <s v="STELLA ALL IN ONE"/>
    <s v="G1262"/>
    <x v="296"/>
    <n v="14"/>
    <s v="STELLA ALL IN ONE CAFFE LATTE 42GR X 72 PCS BANDED"/>
    <n v="50"/>
    <m/>
    <s v="G1"/>
    <s v="STELLA"/>
    <s v="26"/>
    <s v="ALL IN ONE"/>
    <n v="2"/>
    <m/>
    <s v="0"/>
    <s v="CAFFE LATTE"/>
    <s v="04"/>
    <s v="42GR"/>
    <s v="0042"/>
    <s v="PCS"/>
    <n v="1"/>
    <s v="BANDED"/>
    <n v="1"/>
    <m/>
    <m/>
    <m/>
    <n v="3050001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5004210"/>
    <m/>
    <n v="30500090040003"/>
    <x v="474"/>
    <s v="STELLA AIO S.LVENDER 72PCSX42GR 33312 43510 SAIO11"/>
    <n v="30500080042000"/>
    <n v="0"/>
    <s v="STELLA AIO LAVENDER 42+13GR RJV"/>
    <x v="6"/>
    <s v="8992745610892"/>
    <x v="5"/>
    <s v="STELLA ALL IN ONE"/>
    <s v="G1262"/>
    <x v="297"/>
    <n v="14"/>
    <s v="STELLA ALL IN ONE LAVENDER 42GR X 72 PCS"/>
    <n v="40"/>
    <m/>
    <s v="G1"/>
    <s v="STELLA"/>
    <s v="26"/>
    <s v="ALL IN ONE"/>
    <n v="2"/>
    <m/>
    <s v="0"/>
    <s v="LAVENDER"/>
    <s v="05"/>
    <s v="42GR"/>
    <s v="0042"/>
    <s v="PCS"/>
    <n v="1"/>
    <m/>
    <n v="0"/>
    <m/>
    <m/>
    <m/>
    <n v="3050008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5004210"/>
    <m/>
    <m/>
    <x v="475"/>
    <m/>
    <m/>
    <m/>
    <m/>
    <x v="6"/>
    <m/>
    <x v="5"/>
    <s v="STELLA ALL IN ONE"/>
    <s v="G1262"/>
    <x v="297"/>
    <n v="14"/>
    <s v="STELLA ALL IN ONE LAVENDER 42GR X 72 PCS"/>
    <n v="40"/>
    <m/>
    <s v="G1"/>
    <s v="STELLA"/>
    <s v="26"/>
    <s v="ALL IN ONE"/>
    <n v="2"/>
    <m/>
    <s v="0"/>
    <s v="LAVENDER"/>
    <s v="05"/>
    <s v="42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5004211"/>
    <m/>
    <n v="30540020007000"/>
    <x v="476"/>
    <s v="STELLA AIO S.LAVENDER 72 PCS X 42GR BANDED 49993"/>
    <n v="30500080042002"/>
    <n v="0"/>
    <s v="STELLA AIO LVNDR 42+13GR FOC PROCLINPN"/>
    <x v="6"/>
    <s v="8992745610892"/>
    <x v="5"/>
    <s v="STELLA ALL IN ONE"/>
    <s v="G1262"/>
    <x v="298"/>
    <n v="14"/>
    <s v="STELLA ALL IN ONE LAVENDER 42GR X 72 PCS BANDED"/>
    <n v="47"/>
    <m/>
    <s v="G1"/>
    <s v="STELLA"/>
    <s v="26"/>
    <s v="ALL IN ONE"/>
    <n v="2"/>
    <m/>
    <s v="0"/>
    <s v="LAVENDER"/>
    <s v="05"/>
    <s v="42GR"/>
    <s v="0042"/>
    <s v="PCS"/>
    <n v="1"/>
    <s v="BANDED"/>
    <n v="1"/>
    <m/>
    <m/>
    <m/>
    <n v="3050008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6004210"/>
    <m/>
    <n v="30540010007000"/>
    <x v="477"/>
    <s v="STELLA AIO LEMON 72 PCS X 42GR 33248 43506 SAIO05"/>
    <n v="30500040042000"/>
    <n v="0"/>
    <s v="STELLA AIO LEMON 42+13GR RJV"/>
    <x v="6"/>
    <s v="8992745320784"/>
    <x v="5"/>
    <s v="STELLA ALL IN ONE"/>
    <s v="G1262"/>
    <x v="299"/>
    <n v="14"/>
    <s v="STELLA ALL IN ONE LEMON 42GR X 72 PCS"/>
    <n v="37"/>
    <m/>
    <s v="G1"/>
    <s v="STELLA"/>
    <s v="26"/>
    <s v="ALL IN ONE"/>
    <n v="2"/>
    <m/>
    <s v="0"/>
    <s v="LEMON"/>
    <s v="06"/>
    <s v="42GR"/>
    <s v="0042"/>
    <s v="PCS"/>
    <n v="1"/>
    <m/>
    <n v="0"/>
    <m/>
    <m/>
    <m/>
    <n v="3050004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6004210"/>
    <m/>
    <m/>
    <x v="478"/>
    <m/>
    <n v="30500040042000"/>
    <m/>
    <m/>
    <x v="6"/>
    <m/>
    <x v="5"/>
    <s v="STELLA ALL IN ONE"/>
    <s v="G1262"/>
    <x v="299"/>
    <n v="14"/>
    <s v="STELLA ALL IN ONE LEMON 42GR X 72 PCS"/>
    <n v="37"/>
    <m/>
    <s v="G1"/>
    <s v="STELLA"/>
    <s v="26"/>
    <s v="ALL IN ONE"/>
    <n v="2"/>
    <m/>
    <s v="0"/>
    <s v="LEMON"/>
    <s v="06"/>
    <s v="42GR"/>
    <s v="0042"/>
    <s v="PCS"/>
    <n v="1"/>
    <m/>
    <n v="0"/>
    <m/>
    <m/>
    <m/>
    <n v="3050004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6004210"/>
    <m/>
    <m/>
    <x v="479"/>
    <s v="STELLA AIO LEMON 42+10GR RJV"/>
    <m/>
    <m/>
    <s v="STELLA AIO LEMON 42+10GR RJV"/>
    <x v="6"/>
    <m/>
    <x v="5"/>
    <s v="STELLA ALL IN ONE"/>
    <s v="G1262"/>
    <x v="299"/>
    <n v="14"/>
    <s v="STELLA ALL IN ONE LEMON 42GR X 72 PCS +10"/>
    <n v="41"/>
    <m/>
    <s v="G1"/>
    <s v="STELLA"/>
    <s v="26"/>
    <s v="ALL IN ONE"/>
    <n v="2"/>
    <m/>
    <s v="0"/>
    <s v="LEMON"/>
    <s v="06"/>
    <s v="42GR"/>
    <s v="0042"/>
    <s v="PCS"/>
    <n v="1"/>
    <s v="+10"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6004211"/>
    <m/>
    <n v="30501100042003"/>
    <x v="480"/>
    <s v="STELLA AIO LEMON 72 PCS X 42GR BDD 49989 SAIO15"/>
    <n v="30500040042002"/>
    <n v="0"/>
    <s v="STELLA AIO LEMON 42+13GR FOC PROCLINPN"/>
    <x v="6"/>
    <s v="8992745320784"/>
    <x v="5"/>
    <s v="STELLA ALL IN ONE"/>
    <s v="G1262"/>
    <x v="300"/>
    <n v="14"/>
    <s v="STELLA ALL IN ONE LEMON 42GR X 72 PCS BANDED"/>
    <n v="44"/>
    <m/>
    <s v="G1"/>
    <s v="STELLA"/>
    <s v="26"/>
    <s v="ALL IN ONE"/>
    <n v="2"/>
    <m/>
    <s v="0"/>
    <s v="LEMON"/>
    <s v="06"/>
    <s v="42GR"/>
    <s v="0042"/>
    <s v="PCS"/>
    <n v="1"/>
    <s v="BANDED"/>
    <n v="1"/>
    <m/>
    <m/>
    <m/>
    <n v="3050004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7004210"/>
    <m/>
    <n v="30500050042000"/>
    <x v="481"/>
    <s v="STELLA AIO LIME C. 72 PCS X 42GR &quot;33252&quot;SAIO07"/>
    <n v="30500050042000"/>
    <n v="0"/>
    <n v="0"/>
    <x v="6"/>
    <n v="0"/>
    <x v="5"/>
    <s v="STELLA ALL IN ONE"/>
    <s v="G1262"/>
    <x v="301"/>
    <n v="14"/>
    <s v="STELLA ALL IN ONE LIME 42GR X 72 PCS"/>
    <n v="36"/>
    <m/>
    <s v="G1"/>
    <s v="STELLA"/>
    <s v="26"/>
    <s v="ALL IN ONE"/>
    <n v="2"/>
    <m/>
    <s v="0"/>
    <s v="LIME"/>
    <s v="07"/>
    <s v="42GR"/>
    <s v="0042"/>
    <s v="PCS"/>
    <n v="1"/>
    <m/>
    <n v="0"/>
    <m/>
    <m/>
    <m/>
    <n v="3050005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8004210"/>
    <m/>
    <n v="30500080042002"/>
    <x v="482"/>
    <s v="STELLA AIO ORANGE 72 PCS X 42GR 43507 58076 SAI008"/>
    <n v="30500060042000"/>
    <n v="0"/>
    <s v="STELLA AIO JEJU ORANGE 42+13GR."/>
    <x v="6"/>
    <s v="8992745320050"/>
    <x v="5"/>
    <s v="STELLA ALL IN ONE"/>
    <s v="G1262"/>
    <x v="302"/>
    <n v="14"/>
    <s v="STELLA ALL IN ONE ORANGE 42GR X 72 PCS"/>
    <n v="38"/>
    <m/>
    <s v="G1"/>
    <s v="STELLA"/>
    <s v="26"/>
    <s v="ALL IN ONE"/>
    <n v="2"/>
    <m/>
    <s v="0"/>
    <s v="ORANGE"/>
    <s v="08"/>
    <s v="42GR"/>
    <s v="0042"/>
    <s v="PCS"/>
    <n v="1"/>
    <m/>
    <n v="0"/>
    <m/>
    <m/>
    <m/>
    <n v="3050006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8004210"/>
    <m/>
    <n v="30550010007001"/>
    <x v="483"/>
    <s v="STELLA AIO ORANGE 72 PCS X 42GR 43507 58076 SAIO08"/>
    <n v="30500060042000"/>
    <n v="0"/>
    <s v="STELLA AIO ORANGE 42+13GR RJV"/>
    <x v="6"/>
    <s v="8992745320050"/>
    <x v="5"/>
    <s v="STELLA ALL IN ONE"/>
    <s v="G1262"/>
    <x v="302"/>
    <n v="14"/>
    <s v="STELLA ALL IN ONE ORANGE 42GR X 72 PCS"/>
    <n v="38"/>
    <m/>
    <s v="G1"/>
    <s v="STELLA"/>
    <s v="26"/>
    <s v="ALL IN ONE"/>
    <n v="2"/>
    <m/>
    <s v="0"/>
    <s v="ORANGE"/>
    <s v="08"/>
    <s v="42GR"/>
    <s v="0042"/>
    <s v="PCS"/>
    <n v="1"/>
    <m/>
    <n v="0"/>
    <m/>
    <m/>
    <m/>
    <n v="3050006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8004210"/>
    <m/>
    <m/>
    <x v="484"/>
    <m/>
    <m/>
    <m/>
    <m/>
    <x v="6"/>
    <s v="8992745320050"/>
    <x v="5"/>
    <s v="STELLA ALL IN ONE"/>
    <s v="G1262"/>
    <x v="302"/>
    <n v="14"/>
    <s v="STELLA ALL IN ONE ORANGE 42GR X 72 PCS"/>
    <n v="38"/>
    <m/>
    <s v="G1"/>
    <s v="STELLA"/>
    <s v="26"/>
    <s v="ALL IN ONE"/>
    <n v="2"/>
    <m/>
    <s v="0"/>
    <s v="ORANGE"/>
    <s v="08"/>
    <s v="42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8004210"/>
    <m/>
    <m/>
    <x v="485"/>
    <s v="STELLA AIO JEJU ORANGE 42+10GR RJV"/>
    <m/>
    <n v="0"/>
    <s v="STELLA AIO JEJU ORANGE 42+10GR RJV"/>
    <x v="6"/>
    <m/>
    <x v="5"/>
    <s v="STELLA ALL IN ONE"/>
    <s v="G1262"/>
    <x v="302"/>
    <n v="14"/>
    <s v="STELLA ALL IN ONE ORANGE 42GR+10GR X 72 PCS"/>
    <n v="43"/>
    <m/>
    <s v="G1"/>
    <s v="STELLA"/>
    <s v="26"/>
    <s v="ALL IN ONE"/>
    <n v="2"/>
    <m/>
    <s v="0"/>
    <s v="ORANGE"/>
    <s v="08"/>
    <s v="42GR+10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+10GR"/>
    <m/>
    <m/>
    <s v="KRT"/>
    <s v="GD01"/>
    <n v="11611"/>
    <n v="11612"/>
    <m/>
    <n v="1"/>
    <m/>
    <n v="72"/>
  </r>
  <r>
    <s v="G1262008004211"/>
    <m/>
    <n v="30540050007000"/>
    <x v="486"/>
    <s v="STELLA AIO ORNGE 72 PCS X 42GR BANDED 49990 SAIO13"/>
    <n v="30500060042002"/>
    <n v="0"/>
    <s v="STELLA AIO ORANGE 42+13GR FOC PROCLINPN"/>
    <x v="6"/>
    <s v="8992745320050"/>
    <x v="5"/>
    <s v="STELLA ALL IN ONE"/>
    <s v="G1262"/>
    <x v="303"/>
    <n v="14"/>
    <s v="STELLA ALL IN ONE ORANGE 42GR X 72 PCS BANDED"/>
    <n v="45"/>
    <m/>
    <s v="G1"/>
    <s v="STELLA"/>
    <s v="26"/>
    <s v="ALL IN ONE"/>
    <n v="2"/>
    <m/>
    <s v="0"/>
    <s v="ORANGE"/>
    <s v="08"/>
    <s v="42GR"/>
    <s v="0042"/>
    <s v="PCS"/>
    <n v="1"/>
    <s v="BANDED"/>
    <n v="1"/>
    <m/>
    <m/>
    <m/>
    <n v="3050006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9004210"/>
    <m/>
    <n v="30550020007001"/>
    <x v="487"/>
    <s v="STELLA AIO SENSATION 72 PCS X 42GR 33253 SAIO10"/>
    <n v="30500070042000"/>
    <n v="0"/>
    <s v="STELLA All in One SENSATION 42+13gr"/>
    <x v="6"/>
    <s v="8992745320135"/>
    <x v="5"/>
    <s v="STELLA ALL IN ONE"/>
    <s v="G1262"/>
    <x v="304"/>
    <n v="14"/>
    <s v="STELLA ALL IN ONE SENSATION 42GR X 72 PCS"/>
    <n v="41"/>
    <m/>
    <s v="G1"/>
    <s v="STELLA"/>
    <s v="26"/>
    <s v="ALL IN ONE"/>
    <n v="2"/>
    <m/>
    <s v="0"/>
    <s v="SENSATION"/>
    <s v="09"/>
    <s v="42GR"/>
    <s v="0042"/>
    <s v="PCS"/>
    <n v="1"/>
    <m/>
    <n v="0"/>
    <m/>
    <m/>
    <m/>
    <n v="3050007004200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9004211"/>
    <m/>
    <n v="30550020007000"/>
    <x v="488"/>
    <s v="STL AIO SENSATION 72 PCSX42GR BANDED 49995 SAIO17"/>
    <n v="30500070042002"/>
    <n v="0"/>
    <s v="STELLA AIO SENSATION 42+13GR FOCPROCLINP"/>
    <x v="6"/>
    <s v="8992745320135"/>
    <x v="5"/>
    <s v="STELLA ALL IN ONE"/>
    <s v="G1262"/>
    <x v="305"/>
    <n v="14"/>
    <s v="STELLA ALL IN ONE SENSATION 42GR X 72 PCS BANDED"/>
    <n v="48"/>
    <m/>
    <s v="G1"/>
    <s v="STELLA"/>
    <s v="26"/>
    <s v="ALL IN ONE"/>
    <n v="2"/>
    <m/>
    <s v="0"/>
    <s v="SENSATION"/>
    <s v="09"/>
    <s v="42GR"/>
    <s v="0042"/>
    <s v="PCS"/>
    <n v="1"/>
    <s v="BANDED"/>
    <n v="1"/>
    <m/>
    <m/>
    <m/>
    <n v="30500070042002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10004210"/>
    <m/>
    <m/>
    <x v="489"/>
    <s v="STELLA AIO BALINESE JASMINE 42+10GR RJV"/>
    <m/>
    <m/>
    <s v="STELLA AIO BALINESE JASMINE 42+10GR RJV"/>
    <x v="6"/>
    <m/>
    <x v="5"/>
    <s v="STELLA ALL IN ONE"/>
    <s v="G1262"/>
    <x v="306"/>
    <n v="14"/>
    <s v="STELLA ALL IN ONE BALINESE JASMIN 42GR+10GR X 72 PCS"/>
    <n v="52"/>
    <m/>
    <s v="G1"/>
    <s v="STELLA"/>
    <s v="26"/>
    <s v="ALL IN ONE"/>
    <n v="2"/>
    <m/>
    <s v="0"/>
    <s v="BALINESE JASMIN"/>
    <s v="10"/>
    <s v="42GR+10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+10GR"/>
    <m/>
    <m/>
    <s v="KRT"/>
    <s v="GD01"/>
    <n v="11611"/>
    <n v="11612"/>
    <m/>
    <n v="1"/>
    <m/>
    <n v="72"/>
  </r>
  <r>
    <s v="G1262011004210"/>
    <m/>
    <m/>
    <x v="490"/>
    <s v="STELLA AIO S.BOUGENVILLE 42+10GR RJV"/>
    <m/>
    <m/>
    <s v="STELLA AIO S.BOUGENVILLE 42+10GR RJV"/>
    <x v="6"/>
    <m/>
    <x v="5"/>
    <s v="STELLA ALL IN ONE"/>
    <s v="G1262"/>
    <x v="293"/>
    <n v="14"/>
    <s v="STELLA ALL IN ONE BOUGENVILLE 42GR X 72 PCS"/>
    <n v="43"/>
    <m/>
    <s v="G1"/>
    <s v="STELLA"/>
    <s v="26"/>
    <s v="ALL IN ONE"/>
    <n v="2"/>
    <m/>
    <s v="0"/>
    <s v="BOUGENVILLE"/>
    <s v="11"/>
    <s v="42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05004210"/>
    <m/>
    <m/>
    <x v="491"/>
    <s v="STELLA AIO LAVENDER 42+10GR RJV"/>
    <m/>
    <n v="0"/>
    <s v="STELLA AIO LAVENDER 42+10GR RJV"/>
    <x v="6"/>
    <m/>
    <x v="5"/>
    <s v="STELLA ALL IN ONE"/>
    <s v="G1262"/>
    <x v="297"/>
    <n v="14"/>
    <s v="STELLA ALL IN ONE LAVENDER 42GR X 72 PCS"/>
    <n v="40"/>
    <m/>
    <s v="G1"/>
    <s v="STELLA"/>
    <s v="26"/>
    <s v="ALL IN ONE"/>
    <n v="2"/>
    <m/>
    <s v="0"/>
    <s v="LAVENDER"/>
    <s v="05"/>
    <s v="42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013004210"/>
    <m/>
    <m/>
    <x v="492"/>
    <s v="STELLA AIO F.SENSATION 42+10GR RJV"/>
    <m/>
    <n v="0"/>
    <s v="STELLA AIO F.SENSATION 42+10GR RJV"/>
    <x v="6"/>
    <m/>
    <x v="5"/>
    <s v="STELLA ALL IN ONE"/>
    <s v="G1262"/>
    <x v="307"/>
    <n v="14"/>
    <s v="STELLA ALL IN ONE F.SENSATION 42GR X 72 PCS"/>
    <n v="43"/>
    <m/>
    <s v="G1"/>
    <s v="STELLA"/>
    <s v="26"/>
    <s v="ALL IN ONE"/>
    <n v="2"/>
    <m/>
    <s v="0"/>
    <s v="F.SENSATION"/>
    <s v="13"/>
    <s v="42GR"/>
    <s v="0042"/>
    <s v="PCS"/>
    <n v="1"/>
    <m/>
    <n v="0"/>
    <m/>
    <m/>
    <m/>
    <n v="0"/>
    <m/>
    <m/>
    <n v="72"/>
    <n v="8321.5"/>
    <n v="599148"/>
    <n v="9236.8650000000016"/>
    <n v="665054.28"/>
    <n v="8900"/>
    <n v="640800"/>
    <n v="9879"/>
    <n v="711288.00000000012"/>
    <n v="0"/>
    <n v="0"/>
    <n v="0"/>
    <n v="0"/>
    <n v="6.5000000000000002E-2"/>
    <n v="-8321.5"/>
    <e v="#DIV/0!"/>
    <m/>
    <m/>
    <s v="Lama"/>
    <s v="Sama"/>
    <m/>
    <s v="IDR"/>
    <s v="0042"/>
    <s v="42GR"/>
    <m/>
    <m/>
    <s v="KRT"/>
    <s v="GD01"/>
    <n v="11611"/>
    <n v="11612"/>
    <m/>
    <n v="1"/>
    <m/>
    <n v="72"/>
  </r>
  <r>
    <s v="G1262101004211"/>
    <m/>
    <n v="30500070042002"/>
    <x v="493"/>
    <s v="STELLA AIOCAFE L.18PCSX42GR 3+1 33267 43490 SAIO02"/>
    <n v="30500010042001"/>
    <n v="0"/>
    <s v="STELLA AIO C.LATTE 42+13GR(3+1) MTP RJV"/>
    <x v="14"/>
    <s v="8992745475637"/>
    <x v="5"/>
    <s v="STELLA ALL IN ONE"/>
    <s v="G1262"/>
    <x v="308"/>
    <n v="14"/>
    <s v="STELLA ALL IN ONE MULTI PACK CAFFE LATTE 42GR X 18 PCS 3+1"/>
    <n v="58"/>
    <m/>
    <s v="G1"/>
    <s v="STELLA"/>
    <s v="26"/>
    <s v="ALL IN ONE"/>
    <n v="2"/>
    <s v="MULTI PACK"/>
    <s v="1"/>
    <s v="CAFFE LATTE"/>
    <s v="01"/>
    <s v="42GR"/>
    <s v="0042"/>
    <s v="PCS"/>
    <n v="1"/>
    <s v="3+1"/>
    <n v="1"/>
    <m/>
    <m/>
    <m/>
    <n v="30500010042001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1004211"/>
    <m/>
    <m/>
    <x v="494"/>
    <m/>
    <m/>
    <m/>
    <m/>
    <x v="14"/>
    <s v="8992745475637"/>
    <x v="5"/>
    <s v="STELLA ALL IN ONE"/>
    <s v="G1262"/>
    <x v="308"/>
    <n v="14"/>
    <s v="STELLA ALL IN ONE MULTI PACK CAFFE LATTE 42GR X 18 PCS 3+1"/>
    <n v="58"/>
    <m/>
    <s v="G1"/>
    <s v="STELLA"/>
    <s v="26"/>
    <s v="ALL IN ONE"/>
    <n v="2"/>
    <s v="MULTI PACK"/>
    <s v="1"/>
    <s v="CAFFE LATTE"/>
    <s v="01"/>
    <s v="42GR"/>
    <s v="0042"/>
    <s v="PCS"/>
    <n v="1"/>
    <s v="3+1"/>
    <n v="1"/>
    <m/>
    <m/>
    <m/>
    <n v="0"/>
    <m/>
    <m/>
    <n v="18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2004211"/>
    <m/>
    <n v="30500090042002"/>
    <x v="495"/>
    <s v="STL AIO MTP L.GARDEN 18PCSX42GR+13GR 43491 SAIO19"/>
    <n v="30501100042003"/>
    <n v="0"/>
    <s v="STELLA AIO LAVENDER 42+13GR(3+1) MTP RJV"/>
    <x v="14"/>
    <s v="8992745480211"/>
    <x v="5"/>
    <s v="STELLA ALL IN ONE"/>
    <s v="G1262"/>
    <x v="309"/>
    <n v="14"/>
    <s v="STELLA ALL IN ONE MULTI PACK LAVENDER 42GR X 18 PCS 3+1"/>
    <n v="55"/>
    <m/>
    <s v="G1"/>
    <s v="STELLA"/>
    <s v="26"/>
    <s v="ALL IN ONE"/>
    <n v="2"/>
    <s v="MULTI PACK"/>
    <s v="1"/>
    <s v="LAVENDER"/>
    <s v="02"/>
    <s v="42GR"/>
    <s v="0042"/>
    <s v="PCS"/>
    <n v="1"/>
    <s v="3+1"/>
    <n v="1"/>
    <m/>
    <m/>
    <m/>
    <n v="30501100042003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2004211"/>
    <m/>
    <n v="30500090042002"/>
    <x v="496"/>
    <m/>
    <n v="30501100042003"/>
    <n v="0"/>
    <s v="STELLA AIO LAVENDER 42+10GR(3+1) MTP RJV"/>
    <x v="14"/>
    <s v="8992745480211"/>
    <x v="5"/>
    <s v="STELLA ALL IN ONE"/>
    <s v="G1262"/>
    <x v="309"/>
    <n v="14"/>
    <s v="STELLA ALL IN ONE MULTI PACK LAVENDER 42GR X 18 PCS 3+1"/>
    <n v="55"/>
    <m/>
    <s v="G1"/>
    <s v="STELLA"/>
    <s v="26"/>
    <s v="ALL IN ONE"/>
    <n v="2"/>
    <s v="MULTI PACK"/>
    <s v="1"/>
    <s v="LAVENDER"/>
    <s v="02"/>
    <s v="42GR"/>
    <s v="0042"/>
    <s v="PCS"/>
    <n v="1"/>
    <s v="3+1"/>
    <n v="1"/>
    <m/>
    <m/>
    <m/>
    <n v="30501100042003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3004211"/>
    <m/>
    <n v="30540010007000"/>
    <x v="497"/>
    <s v="STELLA AIO LEMON 18 PCS X 42GR 3+1 43489 SAI006"/>
    <n v="30500040042001"/>
    <n v="0"/>
    <s v="STELLA AIO LEMON 42+13GR(3+1) MTP RJV"/>
    <x v="14"/>
    <s v="8992745610694"/>
    <x v="5"/>
    <s v="STELLA ALL IN ONE"/>
    <s v="G1262"/>
    <x v="310"/>
    <n v="14"/>
    <s v="STELLA ALL IN ONE MULTI PACK LEMON 42GR X 18 PCS 3+1"/>
    <n v="52"/>
    <m/>
    <s v="G1"/>
    <s v="STELLA"/>
    <s v="26"/>
    <s v="ALL IN ONE"/>
    <n v="2"/>
    <s v="MULTI PACK"/>
    <s v="1"/>
    <s v="LEMON"/>
    <s v="03"/>
    <s v="42GR"/>
    <s v="0042"/>
    <s v="PCS"/>
    <n v="1"/>
    <s v="3+1"/>
    <n v="1"/>
    <m/>
    <m/>
    <m/>
    <n v="30500040042001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3004211"/>
    <m/>
    <m/>
    <x v="498"/>
    <s v="STELLA AIO LEMON 42+10GR (3+1) MTP RJV"/>
    <m/>
    <m/>
    <s v="STELLA AIO LEMON 42+13GR(3+1) MTP RJV"/>
    <x v="14"/>
    <m/>
    <x v="5"/>
    <s v="STELLA ALL IN ONE"/>
    <s v="G1262"/>
    <x v="310"/>
    <n v="14"/>
    <s v="STELLA ALL IN ONE MULTI PACK LEMON 42GR X 18 PCS 3+1"/>
    <n v="52"/>
    <m/>
    <s v="G1"/>
    <s v="STELLA"/>
    <s v="26"/>
    <s v="ALL IN ONE"/>
    <n v="2"/>
    <s v="MULTI PACK"/>
    <s v="1"/>
    <s v="LEMON"/>
    <s v="03"/>
    <s v="42GR"/>
    <s v="0042"/>
    <s v="PCS"/>
    <n v="1"/>
    <s v="3+1"/>
    <n v="1"/>
    <m/>
    <m/>
    <m/>
    <n v="0"/>
    <m/>
    <m/>
    <n v="18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3004211"/>
    <m/>
    <m/>
    <x v="499"/>
    <m/>
    <m/>
    <m/>
    <m/>
    <x v="14"/>
    <m/>
    <x v="5"/>
    <s v="STELLA ALL IN ONE"/>
    <s v="G1262"/>
    <x v="310"/>
    <n v="14"/>
    <s v="STELLA ALL IN ONE MULTI PACK LEMON 42GR X 18 PCS 3+1"/>
    <n v="52"/>
    <m/>
    <s v="G1"/>
    <s v="STELLA"/>
    <s v="26"/>
    <s v="ALL IN ONE"/>
    <n v="2"/>
    <s v="MULTI PACK"/>
    <s v="1"/>
    <s v="LEMON"/>
    <s v="03"/>
    <s v="42GR"/>
    <s v="0042"/>
    <s v="PCS"/>
    <n v="1"/>
    <s v="3+1"/>
    <n v="1"/>
    <m/>
    <m/>
    <m/>
    <n v="0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3004211"/>
    <m/>
    <m/>
    <x v="500"/>
    <m/>
    <m/>
    <m/>
    <m/>
    <x v="14"/>
    <m/>
    <x v="5"/>
    <s v="STELLA ALL IN ONE"/>
    <s v="G1262"/>
    <x v="310"/>
    <n v="14"/>
    <s v="STELLA ALL IN ONE MULTI PACK LEMON 42GR X 18 PCS 3+1"/>
    <n v="52"/>
    <m/>
    <s v="G1"/>
    <s v="STELLA"/>
    <s v="26"/>
    <s v="ALL IN ONE"/>
    <n v="2"/>
    <s v="MULTI PACK"/>
    <s v="1"/>
    <s v="LEMON"/>
    <s v="03"/>
    <s v="42GR"/>
    <s v="0042"/>
    <s v="PCS"/>
    <n v="1"/>
    <s v="3+1"/>
    <n v="1"/>
    <m/>
    <m/>
    <m/>
    <n v="0"/>
    <m/>
    <m/>
    <n v="18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4004211"/>
    <m/>
    <n v="30500080042000"/>
    <x v="501"/>
    <s v="STELA AIO ORANGE 18PCSX42GR 3+1 33265 43488 58077"/>
    <n v="30500060042001"/>
    <n v="0"/>
    <s v="STELLA AIO JEJU ORANGE 42+13GR(3+1) MTP."/>
    <x v="14"/>
    <s v="8992745705758"/>
    <x v="5"/>
    <s v="STELLA ALL IN ONE"/>
    <s v="G1262"/>
    <x v="311"/>
    <n v="14"/>
    <s v="STELLA ALL IN ONE MULTI PACK ORANGE 42GR X 18 PCS 3+1"/>
    <n v="53"/>
    <m/>
    <s v="G1"/>
    <s v="STELLA"/>
    <s v="26"/>
    <s v="ALL IN ONE"/>
    <n v="2"/>
    <s v="MULTI PACK"/>
    <s v="1"/>
    <s v="ORANGE"/>
    <s v="04"/>
    <s v="42GR"/>
    <s v="0042"/>
    <s v="PCS"/>
    <n v="1"/>
    <s v="3+1"/>
    <n v="1"/>
    <m/>
    <m/>
    <m/>
    <n v="30500060042001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4004211"/>
    <m/>
    <n v="30550010007001"/>
    <x v="502"/>
    <s v="STELA AIO ORANGE 18PCSX42GR 3+1 33265 43488 58077"/>
    <n v="30500060042001"/>
    <n v="0"/>
    <s v="STELLA AIO ORANGE 42+13GR(3+1) MTP RJV"/>
    <x v="14"/>
    <s v="8992745705758"/>
    <x v="5"/>
    <s v="STELLA ALL IN ONE"/>
    <s v="G1262"/>
    <x v="311"/>
    <n v="14"/>
    <s v="STELLA ALL IN ONE MULTI PACK ORANGE 42GR X 18 PCS 3+1"/>
    <n v="53"/>
    <m/>
    <s v="G1"/>
    <s v="STELLA"/>
    <s v="26"/>
    <s v="ALL IN ONE"/>
    <n v="2"/>
    <s v="MULTI PACK"/>
    <s v="1"/>
    <s v="ORANGE"/>
    <s v="04"/>
    <s v="42GR"/>
    <s v="0042"/>
    <s v="PCS"/>
    <n v="1"/>
    <s v="3+1"/>
    <n v="1"/>
    <m/>
    <m/>
    <m/>
    <n v="30500060042001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4004211"/>
    <m/>
    <m/>
    <x v="503"/>
    <m/>
    <m/>
    <m/>
    <m/>
    <x v="14"/>
    <s v="8992745705758"/>
    <x v="5"/>
    <s v="STELLA ALL IN ONE"/>
    <s v="G1262"/>
    <x v="311"/>
    <n v="14"/>
    <s v="STELLA ALL IN ONE MULTI PACK ORANGE 42GR X 18 PCS 3+1"/>
    <n v="53"/>
    <m/>
    <s v="G1"/>
    <s v="STELLA"/>
    <s v="26"/>
    <s v="ALL IN ONE"/>
    <n v="2"/>
    <s v="MULTI PACK"/>
    <s v="1"/>
    <s v="ORANGE"/>
    <s v="04"/>
    <s v="42GR"/>
    <s v="0042"/>
    <s v="PCS"/>
    <n v="1"/>
    <s v="3+1"/>
    <n v="1"/>
    <m/>
    <m/>
    <m/>
    <n v="0"/>
    <m/>
    <m/>
    <n v="18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4004211"/>
    <m/>
    <m/>
    <x v="504"/>
    <m/>
    <m/>
    <m/>
    <m/>
    <x v="14"/>
    <s v="8992745705758"/>
    <x v="5"/>
    <s v="STELLA ALL IN ONE"/>
    <s v="G1262"/>
    <x v="311"/>
    <n v="14"/>
    <s v="STELLA ALL IN ONE MULTI PACK ORANGE 42GR X 18 PCS 3+1"/>
    <n v="53"/>
    <m/>
    <s v="G1"/>
    <s v="STELLA"/>
    <s v="26"/>
    <s v="ALL IN ONE"/>
    <n v="2"/>
    <s v="MULTI PACK"/>
    <s v="1"/>
    <s v="ORANGE"/>
    <s v="04"/>
    <s v="42GR"/>
    <s v="0042"/>
    <s v="PCS"/>
    <n v="1"/>
    <s v="3+1"/>
    <n v="1"/>
    <m/>
    <m/>
    <m/>
    <n v="0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2104004212"/>
    <m/>
    <n v="30540050007000"/>
    <x v="505"/>
    <s v="STELLA AIO ORANGE 18 PCSX42GR BANDED 57196 SAIO21"/>
    <n v="30500060042004"/>
    <n v="0"/>
    <s v="STELLA AIO MTP ORANGE FREE PROCLIN 150M"/>
    <x v="14"/>
    <s v="8992745705758"/>
    <x v="5"/>
    <s v="STELLA ALL IN ONE"/>
    <s v="G1262"/>
    <x v="312"/>
    <n v="14"/>
    <s v="STELLA ALL IN ONE MULTI PACK ORANGE 42GR X 18 PCS BANDED"/>
    <n v="56"/>
    <m/>
    <s v="G1"/>
    <s v="STELLA"/>
    <s v="26"/>
    <s v="ALL IN ONE"/>
    <n v="2"/>
    <s v="MULTI PACK"/>
    <s v="1"/>
    <s v="ORANGE"/>
    <s v="04"/>
    <s v="42GR"/>
    <s v="0042"/>
    <s v="PCS"/>
    <n v="1"/>
    <s v="BANDED"/>
    <n v="2"/>
    <m/>
    <m/>
    <m/>
    <n v="30500060042004"/>
    <m/>
    <m/>
    <n v="18"/>
    <n v="31416"/>
    <n v="565488"/>
    <n v="34871.760000000002"/>
    <n v="627691.68000000005"/>
    <n v="33600"/>
    <n v="604800"/>
    <n v="37296"/>
    <n v="671328.00000000012"/>
    <n v="0"/>
    <n v="0"/>
    <n v="0"/>
    <n v="0"/>
    <n v="6.5000000000000002E-2"/>
    <n v="-31416"/>
    <e v="#DIV/0!"/>
    <m/>
    <m/>
    <s v="Lama"/>
    <s v="Sama"/>
    <m/>
    <s v="IDR"/>
    <s v="0042"/>
    <s v="42GR"/>
    <m/>
    <m/>
    <s v="KRT"/>
    <s v="GD01"/>
    <n v="11611"/>
    <n v="11612"/>
    <m/>
    <n v="1"/>
    <m/>
    <n v="18"/>
  </r>
  <r>
    <s v="G1263001010010"/>
    <m/>
    <n v="30550020007001"/>
    <x v="506"/>
    <s v="STELLA C&amp;T AFTER SMOKE 24 PCS X 100GR 31090 SCT01"/>
    <n v="30670010100000"/>
    <n v="0"/>
    <s v="STELLA CLIP N TWIST AFTERSMOKE"/>
    <x v="5"/>
    <s v="8992745475422"/>
    <x v="5"/>
    <s v="STELLA CLIP&amp;TWIST"/>
    <s v="G1263"/>
    <x v="313"/>
    <n v="14"/>
    <s v="STELLA CLIP&amp;TWIST AFTERSMOKE 100GR X 24 PCS"/>
    <n v="43"/>
    <m/>
    <s v="G1"/>
    <s v="STELLA"/>
    <s v="26"/>
    <s v="CLIP&amp;TWIST"/>
    <n v="3"/>
    <m/>
    <s v="0"/>
    <s v="AFTERSMOKE"/>
    <s v="01"/>
    <s v="100GR"/>
    <s v="0100"/>
    <s v="PCS"/>
    <n v="1"/>
    <m/>
    <n v="0"/>
    <m/>
    <m/>
    <m/>
    <n v="30670010100000"/>
    <m/>
    <m/>
    <n v="24"/>
    <n v="20720.535"/>
    <n v="497292.83999999997"/>
    <n v="22999.793850000002"/>
    <n v="551995.05240000004"/>
    <n v="22161"/>
    <n v="531864"/>
    <n v="24598.710000000003"/>
    <n v="590369.04"/>
    <n v="0"/>
    <n v="0"/>
    <n v="0"/>
    <n v="0"/>
    <n v="6.5000000000000002E-2"/>
    <n v="-20720.535"/>
    <e v="#DIV/0!"/>
    <m/>
    <m/>
    <s v="Lama"/>
    <s v="Sama"/>
    <m/>
    <s v="IDR"/>
    <s v="0100"/>
    <s v="100GR"/>
    <m/>
    <m/>
    <s v="KRT"/>
    <s v="GD01"/>
    <n v="11611"/>
    <n v="11612"/>
    <m/>
    <n v="1"/>
    <m/>
    <n v="24"/>
  </r>
  <r>
    <s v="G1263002010010"/>
    <m/>
    <n v="30550050007000"/>
    <x v="507"/>
    <s v="STELLA C&amp;T AQUA MARINE 24 PCS X 100GR 31092 SCT03"/>
    <n v="30670030100000"/>
    <n v="0"/>
    <s v="STELLA CLIP N TWIST AQUA MARINE"/>
    <x v="5"/>
    <s v="8992745475439"/>
    <x v="5"/>
    <s v="STELLA CLIP&amp;TWIST"/>
    <s v="G1263"/>
    <x v="314"/>
    <n v="14"/>
    <s v="STELLA CLIP&amp;TWIST AQUA MARINE 100GR X 24 PCS"/>
    <n v="44"/>
    <m/>
    <s v="G1"/>
    <s v="STELLA"/>
    <s v="26"/>
    <s v="CLIP&amp;TWIST"/>
    <n v="3"/>
    <m/>
    <s v="0"/>
    <s v="AQUA MARINE"/>
    <s v="02"/>
    <s v="100GR"/>
    <s v="0100"/>
    <s v="PCS"/>
    <n v="1"/>
    <m/>
    <n v="0"/>
    <m/>
    <m/>
    <m/>
    <n v="30670030100000"/>
    <m/>
    <m/>
    <n v="24"/>
    <n v="20720.535"/>
    <n v="497292.83999999997"/>
    <n v="22999.793850000002"/>
    <n v="551995.05240000004"/>
    <n v="22161"/>
    <n v="531864"/>
    <n v="24598.710000000003"/>
    <n v="590369.04"/>
    <n v="0"/>
    <n v="0"/>
    <n v="0"/>
    <n v="0"/>
    <n v="6.5000000000000002E-2"/>
    <n v="-20720.535"/>
    <e v="#DIV/0!"/>
    <m/>
    <m/>
    <s v="Lama"/>
    <s v="Sama"/>
    <m/>
    <s v="IDR"/>
    <s v="0100"/>
    <s v="100GR"/>
    <m/>
    <m/>
    <s v="KRT"/>
    <s v="GD01"/>
    <n v="11611"/>
    <n v="11612"/>
    <m/>
    <n v="1"/>
    <m/>
    <n v="24"/>
  </r>
  <r>
    <s v="G1264001000010"/>
    <m/>
    <n v="30550050007000"/>
    <x v="508"/>
    <s v="STELLA DLY FRESH G.FRESH 72 PCS X 7ML 14711 SDF02"/>
    <n v="30540020007000"/>
    <n v="0"/>
    <s v="STELLA DAILY FRESH G.FRESH"/>
    <x v="6"/>
    <s v="8992745560210"/>
    <x v="5"/>
    <s v="STELLA DAILY FRESH"/>
    <s v="G1264"/>
    <x v="315"/>
    <n v="14"/>
    <s v="STELLA DAILY FRESH GREEN FRESH X 72 PCS"/>
    <n v="39"/>
    <m/>
    <s v="G1"/>
    <s v="STELLA"/>
    <s v="26"/>
    <s v="DAILY FRESH"/>
    <n v="4"/>
    <m/>
    <s v="0"/>
    <s v="GREEN FRESH"/>
    <s v="01"/>
    <m/>
    <s v="0000"/>
    <s v="PCS"/>
    <n v="1"/>
    <m/>
    <n v="0"/>
    <m/>
    <m/>
    <m/>
    <n v="3054002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4000010"/>
    <m/>
    <n v="30540040007000"/>
    <x v="509"/>
    <s v="STELLA DLY FRESH ORANGE B 72 PCS X 7ML&quot;8741&quot;SDF04"/>
    <n v="30540040007000"/>
    <n v="0"/>
    <n v="0"/>
    <x v="6"/>
    <n v="0"/>
    <x v="5"/>
    <s v="STELLA DAILY FRESH"/>
    <s v="G1264"/>
    <x v="316"/>
    <n v="14"/>
    <s v="STELLA DAILY FRESH CAR+INDOOR ORANGE MTP X 72 PCS"/>
    <n v="49"/>
    <m/>
    <s v="G1"/>
    <s v="STELLA"/>
    <s v="26"/>
    <s v="DAILY FRESH"/>
    <n v="4"/>
    <s v="CAR+INDOOR"/>
    <s v="1"/>
    <s v="ORANGE MTP"/>
    <s v="04"/>
    <m/>
    <s v="0000"/>
    <s v="PCS"/>
    <n v="1"/>
    <m/>
    <n v="0"/>
    <m/>
    <m/>
    <m/>
    <n v="30540040007000"/>
    <m/>
    <m/>
    <n v="72"/>
    <n v="13277"/>
    <n v="955944"/>
    <n v="14737.470000000001"/>
    <n v="1061097.8400000001"/>
    <n v="14200"/>
    <n v="1022400"/>
    <n v="15762.000000000002"/>
    <n v="1134864"/>
    <n v="0"/>
    <n v="0"/>
    <n v="0"/>
    <n v="0"/>
    <n v="6.5000000000000002E-2"/>
    <n v="-13277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4000010"/>
    <m/>
    <m/>
    <x v="510"/>
    <m/>
    <m/>
    <m/>
    <m/>
    <x v="6"/>
    <m/>
    <x v="5"/>
    <s v="STELLA DAILY FRESH"/>
    <s v="G1264"/>
    <x v="316"/>
    <n v="14"/>
    <s v="STELLA DAILY FRESH CAR+INDOOR ORANGE MTP X 72 PCS"/>
    <n v="49"/>
    <m/>
    <s v="G1"/>
    <s v="STELLA"/>
    <s v="26"/>
    <s v="DAILY FRESH"/>
    <n v="4"/>
    <s v="CAR+INDOOR"/>
    <s v="1"/>
    <s v="ORANGE MTP"/>
    <s v="04"/>
    <m/>
    <s v="000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003000010"/>
    <m/>
    <n v="30540060007000"/>
    <x v="511"/>
    <s v="STELLA DLY FRESH RED KISS 72 PCS X 7ML&quot;8740&quot;SDF06"/>
    <n v="30540060007000"/>
    <n v="0"/>
    <n v="0"/>
    <x v="6"/>
    <n v="0"/>
    <x v="5"/>
    <s v="STELLA DAILY FRESH"/>
    <s v="G1264"/>
    <x v="317"/>
    <n v="14"/>
    <s v="STELLA DAILY FRESH RED KISS X 72 PCS"/>
    <n v="36"/>
    <m/>
    <s v="G1"/>
    <s v="STELLA"/>
    <s v="26"/>
    <s v="DAILY FRESH"/>
    <n v="4"/>
    <m/>
    <s v="0"/>
    <s v="RED KISS"/>
    <s v="03"/>
    <m/>
    <s v="0000"/>
    <s v="PCS"/>
    <n v="1"/>
    <m/>
    <n v="0"/>
    <m/>
    <m/>
    <m/>
    <n v="30540060007000"/>
    <m/>
    <m/>
    <n v="72"/>
    <n v="13277"/>
    <n v="955944"/>
    <n v="14737.470000000001"/>
    <n v="1061097.8400000001"/>
    <n v="14200"/>
    <n v="1022400"/>
    <n v="15762.000000000002"/>
    <n v="1134864"/>
    <n v="0"/>
    <n v="0"/>
    <n v="0"/>
    <n v="0"/>
    <n v="6.5000000000000002E-2"/>
    <n v="-13277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1000010"/>
    <m/>
    <n v="30550060007000"/>
    <x v="512"/>
    <s v="STL DF CAR INDOR A.FRESH 73 PCS X 7ML 58514 SD109"/>
    <n v="30550070007000"/>
    <n v="0"/>
    <s v="STELLA DF CAR+INDOOR AQUA FRESH RJV"/>
    <x v="6"/>
    <s v="8992745000198"/>
    <x v="5"/>
    <s v="STELLA DAILY FRESH"/>
    <s v="G1264"/>
    <x v="318"/>
    <n v="14"/>
    <s v="STELLA DAILY FRESH CAR+INDOOR AQUA X 72 PCS"/>
    <n v="43"/>
    <m/>
    <s v="G1"/>
    <s v="STELLA"/>
    <s v="26"/>
    <s v="DAILY FRESH"/>
    <n v="4"/>
    <s v="CAR+INDOOR"/>
    <s v="1"/>
    <s v="AQUA"/>
    <s v="01"/>
    <m/>
    <s v="0000"/>
    <s v="PCS"/>
    <n v="1"/>
    <m/>
    <n v="0"/>
    <m/>
    <m/>
    <m/>
    <n v="3055007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1000010"/>
    <m/>
    <n v="30550070007000"/>
    <x v="513"/>
    <s v="STL DF CAR INDOR A.FRESH 73 PCS X 7ML 58514 SD109"/>
    <n v="30550070007000"/>
    <n v="0"/>
    <s v="STELLA DF CAR+INDOOR AQUA RJV REG."/>
    <x v="6"/>
    <s v="8992745000198"/>
    <x v="5"/>
    <s v="STELLA DAILY FRESH"/>
    <s v="G1264"/>
    <x v="318"/>
    <n v="14"/>
    <s v="STELLA DAILY FRESH CAR+INDOOR AQUA X 72 PCS"/>
    <n v="43"/>
    <m/>
    <s v="G1"/>
    <s v="STELLA"/>
    <s v="26"/>
    <s v="DAILY FRESH"/>
    <n v="4"/>
    <s v="CAR+INDOOR"/>
    <s v="1"/>
    <s v="AQUA"/>
    <s v="01"/>
    <m/>
    <s v="0000"/>
    <s v="PCS"/>
    <n v="1"/>
    <m/>
    <n v="0"/>
    <m/>
    <m/>
    <m/>
    <n v="3055007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2000010"/>
    <m/>
    <n v="30550080007000"/>
    <x v="514"/>
    <s v="STELLA DP CAR+INDOOR LILY RJV REG 49692 58512"/>
    <n v="30540050007000"/>
    <n v="0"/>
    <s v="STELLA DF CAR+INDOOR LILY DREAM RJV"/>
    <x v="6"/>
    <s v="8992745380191"/>
    <x v="5"/>
    <s v="STELLA DAILY FRESH"/>
    <s v="G1264"/>
    <x v="319"/>
    <n v="14"/>
    <s v="STELLA DAILY FRESH CAR+INDOOR LILY DREAM X 72 PCS"/>
    <n v="49"/>
    <m/>
    <s v="G1"/>
    <s v="STELLA"/>
    <s v="26"/>
    <s v="DAILY FRESH"/>
    <n v="4"/>
    <s v="CAR+INDOOR"/>
    <s v="1"/>
    <s v="LILY DREAM"/>
    <s v="02"/>
    <m/>
    <s v="0000"/>
    <s v="PCS"/>
    <n v="1"/>
    <m/>
    <n v="0"/>
    <m/>
    <m/>
    <m/>
    <n v="3054005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2000010"/>
    <m/>
    <n v="30560020245000"/>
    <x v="515"/>
    <s v="STELLA DP CAR+INDOOR LILY RJV REG 49692 58512"/>
    <n v="30540050007000"/>
    <n v="0"/>
    <s v="STELLA DF CAR+INDOOR LILY RJV REG."/>
    <x v="6"/>
    <s v="8992745380191"/>
    <x v="5"/>
    <s v="STELLA DAILY FRESH"/>
    <s v="G1264"/>
    <x v="319"/>
    <n v="14"/>
    <s v="STELLA DAILY FRESH CAR+INDOOR LILY DREAM X 72 PCS"/>
    <n v="49"/>
    <m/>
    <s v="G1"/>
    <s v="STELLA"/>
    <s v="26"/>
    <s v="DAILY FRESH"/>
    <n v="4"/>
    <s v="CAR+INDOOR"/>
    <s v="1"/>
    <s v="LILY DREAM"/>
    <s v="02"/>
    <m/>
    <s v="0000"/>
    <s v="PCS"/>
    <n v="1"/>
    <m/>
    <n v="0"/>
    <m/>
    <m/>
    <m/>
    <n v="3054005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2000010"/>
    <m/>
    <m/>
    <x v="516"/>
    <m/>
    <m/>
    <m/>
    <m/>
    <x v="6"/>
    <s v="8992745380191"/>
    <x v="5"/>
    <s v="STELLA DAILY FRESH"/>
    <s v="G1264"/>
    <x v="319"/>
    <n v="14"/>
    <s v="STELLA DAILY FRESH CAR+INDOOR LILY DREAM X 72 PCS"/>
    <n v="49"/>
    <m/>
    <s v="G1"/>
    <s v="STELLA"/>
    <s v="26"/>
    <s v="DAILY FRESH"/>
    <n v="4"/>
    <s v="CAR+INDOOR"/>
    <s v="1"/>
    <s v="LILY DREAM"/>
    <s v="02"/>
    <m/>
    <s v="000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3000010"/>
    <m/>
    <n v="30580010300010"/>
    <x v="517"/>
    <s v="STL DF CAR INDOR M.AFTER S 72 PCSX7ML 50202 SD110"/>
    <n v="30550080007000"/>
    <n v="0"/>
    <s v="STELLA DF CAR+INDOOR MUSK AFTER S RJV"/>
    <x v="6"/>
    <s v="8992745000211"/>
    <x v="5"/>
    <s v="STELLA DAILY FRESH"/>
    <s v="G1264"/>
    <x v="320"/>
    <n v="14"/>
    <s v="STELLA DAILY FRESH CAR+INDOOR MUSK X 72 PCS"/>
    <n v="43"/>
    <m/>
    <s v="G1"/>
    <s v="STELLA"/>
    <s v="26"/>
    <s v="DAILY FRESH"/>
    <n v="4"/>
    <s v="CAR+INDOOR"/>
    <s v="1"/>
    <s v="MUSK"/>
    <s v="03"/>
    <m/>
    <s v="0000"/>
    <s v="PCS"/>
    <n v="1"/>
    <m/>
    <n v="0"/>
    <m/>
    <m/>
    <m/>
    <n v="3055008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002000010"/>
    <m/>
    <n v="30580020300010"/>
    <x v="518"/>
    <s v="Stella Daily INDOOR Blossom"/>
    <n v="30650010650000"/>
    <n v="0"/>
    <s v="Stella Daily INDOOR Blossom"/>
    <x v="6"/>
    <s v="8992745326694"/>
    <x v="5"/>
    <s v="STELLA DAILY FRESH"/>
    <s v="G1264"/>
    <x v="321"/>
    <n v="14"/>
    <s v="STELLA DAILY FRESH CAR+INDOOR ORANGE X 72 PCS"/>
    <n v="45"/>
    <m/>
    <s v="G1"/>
    <s v="STELLA"/>
    <s v="26"/>
    <s v="DAILY FRESH"/>
    <n v="4"/>
    <s v="CAR+INDOOR"/>
    <s v="0"/>
    <s v="ORANGE"/>
    <s v="02"/>
    <m/>
    <s v="0000"/>
    <s v="PCS"/>
    <n v="1"/>
    <m/>
    <n v="0"/>
    <m/>
    <m/>
    <m/>
    <n v="30650010650000"/>
    <m/>
    <m/>
    <n v="72"/>
    <n v="13931.5"/>
    <n v="1003068"/>
    <n v="15463.965000000002"/>
    <n v="1113405.4800000002"/>
    <n v="14900"/>
    <n v="1072800"/>
    <n v="16539"/>
    <n v="1190808"/>
    <n v="0"/>
    <n v="0"/>
    <n v="0"/>
    <n v="0"/>
    <n v="6.5000000000000002E-2"/>
    <n v="-13931.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002000010"/>
    <m/>
    <n v="30590020000000"/>
    <x v="519"/>
    <s v="STELLA DF CAR+INDOOR ORANGE RJV REG."/>
    <n v="30650010650000"/>
    <n v="0"/>
    <s v="STELLA DF CAR+INDOOR ORANGE RJV REG."/>
    <x v="6"/>
    <s v="8992745326694"/>
    <x v="5"/>
    <s v="STELLA DAILY FRESH"/>
    <s v="G1264"/>
    <x v="321"/>
    <n v="14"/>
    <s v="STELLA DAILY FRESH CAR+INDOOR ORANGE X 72 PCS"/>
    <n v="45"/>
    <m/>
    <s v="G1"/>
    <s v="STELLA"/>
    <s v="26"/>
    <s v="DAILY FRESH"/>
    <n v="4"/>
    <s v="CAR+INDOOR"/>
    <s v="0"/>
    <s v="ORANGE"/>
    <s v="02"/>
    <m/>
    <s v="0000"/>
    <s v="PCS"/>
    <n v="1"/>
    <m/>
    <n v="0"/>
    <m/>
    <m/>
    <m/>
    <n v="30650010650000"/>
    <m/>
    <m/>
    <n v="72"/>
    <n v="13931.5"/>
    <n v="1003068"/>
    <n v="15463.965000000002"/>
    <n v="1113405.4800000002"/>
    <n v="14900"/>
    <n v="1072800"/>
    <n v="16539"/>
    <n v="1190808"/>
    <n v="0"/>
    <n v="0"/>
    <n v="0"/>
    <n v="0"/>
    <n v="6.5000000000000002E-2"/>
    <n v="-13931.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002000010"/>
    <m/>
    <m/>
    <x v="520"/>
    <s v="STELLA DF CAR+INDOOR ORANGE SUNKIST RJV"/>
    <m/>
    <m/>
    <s v="STELLA DF CAR+INDOOR ORANGE SUNKIST RJV"/>
    <x v="6"/>
    <s v="8992745380238"/>
    <x v="5"/>
    <s v="STELLA DAILY FRESH"/>
    <s v="G1264"/>
    <x v="321"/>
    <n v="14"/>
    <s v="STELLA DAILY FRESH CAR+INDOOR ORANGE X 72 PCS"/>
    <n v="45"/>
    <m/>
    <s v="G1"/>
    <s v="STELLA"/>
    <s v="26"/>
    <s v="DAILY FRESH"/>
    <n v="4"/>
    <s v="CAR+INDOOR"/>
    <s v="0"/>
    <s v="ORANGE"/>
    <s v="02"/>
    <m/>
    <s v="000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4000010"/>
    <m/>
    <n v="30590020021001"/>
    <x v="520"/>
    <s v="STL DF CAR INDOR ORANGE 72PCSX7ML 11642 49691SD106"/>
    <n v="30550050007000"/>
    <n v="0"/>
    <s v="STELLA DF CAR+INDOOR ORANGE SUNKIST RJV"/>
    <x v="6"/>
    <s v="8992745380238"/>
    <x v="5"/>
    <s v="STELLA DAILY FRESH"/>
    <s v="G1264"/>
    <x v="316"/>
    <n v="14"/>
    <s v="STELLA DAILY FRESH CAR+INDOOR ORANGE MTP X 72 PCS"/>
    <n v="49"/>
    <m/>
    <s v="G1"/>
    <s v="STELLA"/>
    <s v="26"/>
    <s v="DAILY FRESH"/>
    <n v="4"/>
    <s v="CAR+INDOOR"/>
    <s v="1"/>
    <s v="ORANGE MTP"/>
    <s v="04"/>
    <m/>
    <s v="0000"/>
    <s v="PCS"/>
    <n v="1"/>
    <m/>
    <n v="0"/>
    <m/>
    <m/>
    <m/>
    <n v="30550050007000"/>
    <m/>
    <m/>
    <n v="72"/>
    <n v="13931.5"/>
    <n v="1003068"/>
    <n v="15463.965000000002"/>
    <n v="1113405.4800000002"/>
    <n v="14900"/>
    <n v="1072800"/>
    <n v="16539"/>
    <n v="1190808"/>
    <n v="0"/>
    <n v="0"/>
    <n v="0"/>
    <n v="0"/>
    <n v="6.5000000000000002E-2"/>
    <n v="-13931.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4000010"/>
    <m/>
    <m/>
    <x v="518"/>
    <m/>
    <m/>
    <m/>
    <m/>
    <x v="6"/>
    <s v="8992745380238"/>
    <x v="5"/>
    <s v="STELLA DAILY FRESH"/>
    <s v="G1264"/>
    <x v="316"/>
    <n v="14"/>
    <s v="STELLA DAILY FRESH CAR+INDOOR ORANGE MTP X 72 PCS"/>
    <n v="49"/>
    <m/>
    <s v="G1"/>
    <s v="STELLA"/>
    <s v="26"/>
    <s v="DAILY FRESH"/>
    <n v="4"/>
    <s v="CAR+INDOOR"/>
    <s v="1"/>
    <s v="ORANGE MTP"/>
    <s v="04"/>
    <m/>
    <s v="0000"/>
    <s v="PCS"/>
    <n v="1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5000010"/>
    <m/>
    <n v="30590050021000"/>
    <x v="521"/>
    <s v="STL DF INDOR KISS 72PCS X 7ML 11641 49690 SD107."/>
    <n v="30550100007000"/>
    <n v="0"/>
    <s v="STELLA DF CAR+INDOOR ROSE RJV REG."/>
    <x v="6"/>
    <s v="8992745380221"/>
    <x v="5"/>
    <s v="STELLA DAILY FRESH"/>
    <s v="G1264"/>
    <x v="322"/>
    <n v="14"/>
    <s v="STELLA DAILY FRESH CAR+INDOOR ROSE KISS X 72 PCS"/>
    <n v="48"/>
    <m/>
    <s v="G1"/>
    <s v="STELLA"/>
    <s v="26"/>
    <s v="DAILY FRESH"/>
    <n v="4"/>
    <s v="CAR+INDOOR"/>
    <s v="1"/>
    <s v="ROSE KISS"/>
    <s v="05"/>
    <m/>
    <s v="0000"/>
    <s v="PCS"/>
    <n v="1"/>
    <m/>
    <n v="0"/>
    <m/>
    <m/>
    <m/>
    <n v="3055010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5000010"/>
    <m/>
    <n v="30590040021001"/>
    <x v="522"/>
    <s v="STL DF INDOR KISS 72PCS X 7ML 11641 49690 SD107"/>
    <n v="30550060007000"/>
    <n v="0"/>
    <s v="STELLA DF CAR+INDOOR ROSE KISS RJV"/>
    <x v="6"/>
    <s v="8992745380221"/>
    <x v="5"/>
    <s v="STELLA DAILY FRESH"/>
    <s v="G1264"/>
    <x v="322"/>
    <n v="14"/>
    <s v="STELLA DAILY FRESH CAR+INDOOR ROSE KISS X 72 PCS"/>
    <n v="48"/>
    <m/>
    <s v="G1"/>
    <s v="STELLA"/>
    <s v="26"/>
    <s v="DAILY FRESH"/>
    <n v="4"/>
    <s v="CAR+INDOOR"/>
    <s v="1"/>
    <s v="ROSE KISS"/>
    <s v="05"/>
    <m/>
    <s v="0000"/>
    <s v="PCS"/>
    <n v="1"/>
    <m/>
    <n v="0"/>
    <m/>
    <m/>
    <m/>
    <n v="3055006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5000010"/>
    <m/>
    <m/>
    <x v="523"/>
    <m/>
    <m/>
    <m/>
    <m/>
    <x v="6"/>
    <s v="8992745380221"/>
    <x v="5"/>
    <s v="STELLA DAILY FRESH"/>
    <s v="G1264"/>
    <x v="322"/>
    <n v="14"/>
    <s v="STELLA DAILY FRESH CAR+INDOOR ROSE KISS X 72 PCS"/>
    <n v="48"/>
    <m/>
    <s v="G1"/>
    <s v="STELLA"/>
    <s v="26"/>
    <s v="DAILY FRESH"/>
    <n v="4"/>
    <s v="CAR+INDOOR"/>
    <s v="1"/>
    <s v="ROSE KISS"/>
    <s v="05"/>
    <m/>
    <s v="0000"/>
    <s v="PCS"/>
    <n v="1"/>
    <m/>
    <n v="0"/>
    <m/>
    <m/>
    <m/>
    <n v="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6000010"/>
    <m/>
    <n v="30590070000000"/>
    <x v="524"/>
    <s v="STELLA DLY INDOOR VANILLA 72 PCSX7ML 14294 58513"/>
    <n v="30550020007000"/>
    <n v="0"/>
    <s v="STELLA DF CAR+INDOOR VANILLA RJV REG."/>
    <x v="6"/>
    <s v="8992745380825"/>
    <x v="5"/>
    <s v="STELLA DAILY FRESH"/>
    <s v="G1264"/>
    <x v="323"/>
    <n v="14"/>
    <s v="STELLA DAILY FRESH CAR+INDOOR VANILLA X 72 PCS"/>
    <n v="46"/>
    <m/>
    <s v="G1"/>
    <s v="STELLA"/>
    <s v="26"/>
    <s v="DAILY FRESH"/>
    <n v="4"/>
    <s v="CAR+INDOOR"/>
    <s v="1"/>
    <s v="VANILLA"/>
    <s v="06"/>
    <m/>
    <s v="0000"/>
    <s v="PCS"/>
    <n v="1"/>
    <m/>
    <n v="0"/>
    <m/>
    <m/>
    <m/>
    <n v="3055002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6000010"/>
    <m/>
    <n v="30601000000000"/>
    <x v="525"/>
    <s v="STL DF CAR INDOR VANILA 72PCSX7ML 14293 49693SDF01"/>
    <n v="30540010007000"/>
    <n v="0"/>
    <s v="STELLA DF CAR+INDOOR VANILLA TWIST RJV"/>
    <x v="6"/>
    <s v="8992745380825"/>
    <x v="5"/>
    <s v="STELLA DAILY FRESH"/>
    <s v="G1264"/>
    <x v="323"/>
    <n v="14"/>
    <s v="STELLA DAILY FRESH CAR+INDOOR VANILLA X 72 PCS"/>
    <n v="46"/>
    <m/>
    <s v="G1"/>
    <s v="STELLA"/>
    <s v="26"/>
    <s v="DAILY FRESH"/>
    <n v="4"/>
    <s v="CAR+INDOOR"/>
    <s v="1"/>
    <s v="VANILLA"/>
    <s v="06"/>
    <m/>
    <s v="0000"/>
    <s v="PCS"/>
    <n v="1"/>
    <m/>
    <n v="0"/>
    <m/>
    <m/>
    <m/>
    <n v="3054001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106000010"/>
    <m/>
    <n v="30550060007000"/>
    <x v="526"/>
    <s v="STL DF CAR INDOR VANILA 72PCSX7ML 14293 49693SDF01"/>
    <n v="30540010007000"/>
    <n v="0"/>
    <s v="STELLA DAILY FRESH G.VANILLA"/>
    <x v="6"/>
    <s v="8992745380825"/>
    <x v="5"/>
    <s v="STELLA DAILY FRESH"/>
    <s v="G1264"/>
    <x v="323"/>
    <n v="14"/>
    <s v="STELLA DAILY FRESH CAR+INDOOR VANILLA X 72 PCS"/>
    <n v="46"/>
    <m/>
    <s v="G1"/>
    <s v="STELLA"/>
    <s v="26"/>
    <s v="DAILY FRESH"/>
    <n v="4"/>
    <s v="CAR+INDOOR"/>
    <s v="1"/>
    <s v="VANILLA"/>
    <s v="06"/>
    <m/>
    <s v="0000"/>
    <s v="PCS"/>
    <n v="1"/>
    <m/>
    <n v="0"/>
    <m/>
    <m/>
    <m/>
    <n v="30540010007000"/>
    <m/>
    <m/>
    <n v="72"/>
    <n v="11668.8"/>
    <n v="840153.59999999998"/>
    <n v="12952.368"/>
    <n v="932570.49600000004"/>
    <n v="12480"/>
    <n v="898560"/>
    <n v="13852.800000000001"/>
    <n v="997401.60000000009"/>
    <n v="0"/>
    <n v="0"/>
    <n v="0"/>
    <n v="0"/>
    <n v="6.5000000000000058E-2"/>
    <n v="-11668.8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201000010"/>
    <m/>
    <n v="30560010245000"/>
    <x v="527"/>
    <s v="STL DF IND L.DREAM 72PCSX7ML MTP 29198 49688 SD102"/>
    <n v="30550090007001"/>
    <n v="0"/>
    <s v="STELLA DF CAR+INDOOR LILY MTP RJV REG."/>
    <x v="6"/>
    <s v="8992745380245"/>
    <x v="5"/>
    <s v="STELLA DAILY FRESH"/>
    <s v="G1264"/>
    <x v="324"/>
    <n v="14"/>
    <s v="STELLA DAILY FRESH CAR+INDOOR MTP LILY DREAM X 72 PCS"/>
    <n v="53"/>
    <m/>
    <s v="G1"/>
    <s v="STELLA"/>
    <s v="26"/>
    <s v="DAILY FRESH"/>
    <n v="4"/>
    <s v="CAR+INDOOR MTP"/>
    <s v="2"/>
    <s v="LILY DREAM"/>
    <s v="01"/>
    <m/>
    <s v="0000"/>
    <s v="PCS"/>
    <n v="1"/>
    <m/>
    <n v="0"/>
    <m/>
    <m/>
    <m/>
    <n v="30550090007001"/>
    <m/>
    <m/>
    <n v="72"/>
    <n v="15044.15"/>
    <n v="1083178.8"/>
    <n v="16699.0065"/>
    <n v="1202328.4680000001"/>
    <n v="16090"/>
    <n v="1158480"/>
    <n v="17859.900000000001"/>
    <n v="1285912.8"/>
    <n v="0"/>
    <n v="0"/>
    <n v="0"/>
    <n v="0"/>
    <n v="6.5000000000000016E-2"/>
    <n v="-15044.1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201000010"/>
    <m/>
    <n v="30550070007000"/>
    <x v="528"/>
    <s v="STL DF IND L.DREAM 72PCSX7ML MTP 29198 49688 SD102"/>
    <n v="30550010007001"/>
    <n v="30550010007000"/>
    <s v="STELLA DF CAR+INDOOR LILY DREAM MTP RJV"/>
    <x v="6"/>
    <s v="8992745380245"/>
    <x v="5"/>
    <s v="STELLA DAILY FRESH"/>
    <s v="G1264"/>
    <x v="324"/>
    <n v="14"/>
    <s v="STELLA DAILY FRESH CAR+INDOOR MTP LILY DREAM X 72 PCS"/>
    <n v="53"/>
    <m/>
    <s v="G1"/>
    <s v="STELLA"/>
    <s v="26"/>
    <s v="DAILY FRESH"/>
    <n v="4"/>
    <s v="CAR+INDOOR MTP"/>
    <s v="2"/>
    <s v="LILY DREAM"/>
    <s v="01"/>
    <m/>
    <s v="0000"/>
    <s v="PCS"/>
    <n v="1"/>
    <m/>
    <n v="0"/>
    <m/>
    <m/>
    <m/>
    <n v="30550010007001"/>
    <m/>
    <m/>
    <n v="72"/>
    <n v="15044.15"/>
    <n v="1083178.8"/>
    <n v="16699.0065"/>
    <n v="1202328.4680000001"/>
    <n v="16090"/>
    <n v="1158480"/>
    <n v="17859.900000000001"/>
    <n v="1285912.8"/>
    <n v="0"/>
    <n v="0"/>
    <n v="0"/>
    <n v="0"/>
    <n v="6.5000000000000016E-2"/>
    <n v="-15044.1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202000010"/>
    <m/>
    <n v="30590040000000"/>
    <x v="529"/>
    <s v="STL DF CAR RED KIS/ROS 72PCS MTP 49686 58506 SDC02"/>
    <n v="30650020650000"/>
    <n v="0"/>
    <s v="STELLA DF CAR+INDOOR ROSE KISS MTP RJV"/>
    <x v="6"/>
    <s v="8992745326687"/>
    <x v="5"/>
    <s v="STELLA DAILY FRESH"/>
    <s v="G1264"/>
    <x v="325"/>
    <n v="14"/>
    <s v="STELLA DAILY FRESH CAR+INDOOR MTP ROSE KISS X 72 PCS"/>
    <n v="52"/>
    <m/>
    <s v="G1"/>
    <s v="STELLA"/>
    <s v="26"/>
    <s v="DAILY FRESH"/>
    <n v="4"/>
    <s v="CAR+INDOOR MTP"/>
    <s v="2"/>
    <s v="ROSE KISS"/>
    <s v="02"/>
    <m/>
    <s v="0000"/>
    <s v="PCS"/>
    <n v="1"/>
    <m/>
    <n v="0"/>
    <m/>
    <m/>
    <m/>
    <n v="30650020650000"/>
    <m/>
    <m/>
    <n v="72"/>
    <n v="15044.15"/>
    <n v="1083178.8"/>
    <n v="16699.0065"/>
    <n v="1202328.4680000001"/>
    <n v="16090"/>
    <n v="1158480"/>
    <n v="17859.900000000001"/>
    <n v="1285912.8"/>
    <n v="0"/>
    <n v="0"/>
    <n v="0"/>
    <n v="0"/>
    <n v="6.5000000000000016E-2"/>
    <n v="-15044.1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202000010"/>
    <m/>
    <n v="30590050000000"/>
    <x v="530"/>
    <s v="STL DF CAR RED KIS/ROS 72PCS MTP 49686 58506 SDC02"/>
    <n v="30650020650000"/>
    <n v="0"/>
    <s v="STELLA DF CAR+INDOOR ROSE MTP RJV REG."/>
    <x v="6"/>
    <s v="8992745326687"/>
    <x v="5"/>
    <s v="STELLA DAILY FRESH"/>
    <s v="G1264"/>
    <x v="325"/>
    <n v="14"/>
    <s v="STELLA DAILY FRESH CAR+INDOOR MTP ROSE KISS X 72 PCS"/>
    <n v="52"/>
    <m/>
    <s v="G1"/>
    <s v="STELLA"/>
    <s v="26"/>
    <s v="DAILY FRESH"/>
    <n v="4"/>
    <s v="CAR+INDOOR MTP"/>
    <s v="2"/>
    <s v="ROSE KISS"/>
    <s v="02"/>
    <m/>
    <s v="0000"/>
    <s v="PCS"/>
    <n v="1"/>
    <m/>
    <n v="0"/>
    <m/>
    <m/>
    <m/>
    <n v="30650020650000"/>
    <m/>
    <m/>
    <n v="72"/>
    <n v="15044.15"/>
    <n v="1083178.8"/>
    <n v="16699.0065"/>
    <n v="1202328.4680000001"/>
    <n v="16090"/>
    <n v="1158480"/>
    <n v="17859.900000000001"/>
    <n v="1285912.8"/>
    <n v="0"/>
    <n v="0"/>
    <n v="0"/>
    <n v="0"/>
    <n v="6.5000000000000016E-2"/>
    <n v="-15044.1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202000010"/>
    <m/>
    <m/>
    <x v="531"/>
    <m/>
    <m/>
    <m/>
    <m/>
    <x v="6"/>
    <s v="8992745326687"/>
    <x v="5"/>
    <s v="STELLA DAILY FRESH"/>
    <s v="G1264"/>
    <x v="325"/>
    <n v="14"/>
    <s v="STELLA DAILY FRESH CAR+INDOOR MTP ROSE KISS X 72 PCS"/>
    <n v="52"/>
    <m/>
    <s v="G1"/>
    <s v="STELLA"/>
    <s v="26"/>
    <s v="DAILY FRESH"/>
    <n v="4"/>
    <s v="CAR+INDOOR MTP"/>
    <s v="2"/>
    <s v="ROSE KISS"/>
    <s v="02"/>
    <m/>
    <s v="0000"/>
    <s v="PCS"/>
    <n v="1"/>
    <m/>
    <n v="0"/>
    <m/>
    <m/>
    <m/>
    <n v="0"/>
    <m/>
    <m/>
    <n v="72"/>
    <n v="15044.15"/>
    <n v="1083178.8"/>
    <n v="16699.0065"/>
    <n v="1202328.4680000001"/>
    <n v="16090"/>
    <n v="1158480"/>
    <n v="17859.900000000001"/>
    <n v="1285912.8"/>
    <n v="0"/>
    <n v="0"/>
    <n v="0"/>
    <n v="0"/>
    <n v="6.5000000000000016E-2"/>
    <n v="-15044.1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203000010"/>
    <m/>
    <n v="30601000000000"/>
    <x v="532"/>
    <s v="STL DF CAR INDOR VNLA 72 PCSX7ML MTP 49689 58509"/>
    <n v="30550020007001"/>
    <n v="0"/>
    <s v="STELLA DF CAR+INDOOR VANILLA TWIST MTP R"/>
    <x v="6"/>
    <s v="8992745380832"/>
    <x v="5"/>
    <s v="STELLA DAILY FRESH"/>
    <s v="G1264"/>
    <x v="326"/>
    <n v="14"/>
    <s v="STELLA DAILY FRESH CAR+INDOOR MTP VANILLA X 72 PCS"/>
    <n v="50"/>
    <m/>
    <s v="G1"/>
    <s v="STELLA"/>
    <s v="26"/>
    <s v="DAILY FRESH"/>
    <n v="4"/>
    <s v="CAR+INDOOR MTP"/>
    <s v="2"/>
    <s v="VANILLA"/>
    <s v="03"/>
    <m/>
    <s v="0000"/>
    <s v="PCS"/>
    <n v="1"/>
    <m/>
    <n v="0"/>
    <m/>
    <m/>
    <m/>
    <n v="30550020007001"/>
    <m/>
    <m/>
    <n v="72"/>
    <n v="15044.15"/>
    <n v="1083178.8"/>
    <n v="16699.0065"/>
    <n v="1202328.4680000001"/>
    <n v="16090"/>
    <n v="1158480"/>
    <n v="17859.900000000001"/>
    <n v="1285912.8"/>
    <n v="0"/>
    <n v="0"/>
    <n v="0"/>
    <n v="0"/>
    <n v="6.5000000000000016E-2"/>
    <n v="-15044.1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203000010"/>
    <m/>
    <n v="30590060000000"/>
    <x v="533"/>
    <s v="STL DF CAR INDOR VNLA 72 PCSX7ML MTP 49689 58509"/>
    <n v="30550020007001"/>
    <n v="0"/>
    <s v="STELLA DF CAR+INDOOR VANILLA MTP RJV RE"/>
    <x v="6"/>
    <s v="8992745380832"/>
    <x v="5"/>
    <s v="STELLA DAILY FRESH"/>
    <s v="G1264"/>
    <x v="326"/>
    <n v="14"/>
    <s v="STELLA DAILY FRESH CAR+INDOOR MTP VANILLA X 72 PCS"/>
    <n v="50"/>
    <m/>
    <s v="G1"/>
    <s v="STELLA"/>
    <s v="26"/>
    <s v="DAILY FRESH"/>
    <n v="4"/>
    <s v="CAR+INDOOR MTP"/>
    <s v="2"/>
    <s v="VANILLA"/>
    <s v="03"/>
    <m/>
    <s v="0000"/>
    <s v="PCS"/>
    <n v="1"/>
    <m/>
    <n v="0"/>
    <m/>
    <m/>
    <m/>
    <n v="30550020007001"/>
    <m/>
    <m/>
    <n v="72"/>
    <n v="15044.15"/>
    <n v="1083178.8"/>
    <n v="16699.0065"/>
    <n v="1202328.4680000001"/>
    <n v="16090"/>
    <n v="1158480"/>
    <n v="17859.900000000001"/>
    <n v="1285912.8"/>
    <n v="0"/>
    <n v="0"/>
    <n v="0"/>
    <n v="0"/>
    <n v="6.5000000000000016E-2"/>
    <n v="-15044.1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4301000010"/>
    <m/>
    <n v="30550010007000"/>
    <x v="534"/>
    <s v="STELLA DLY INDOOR DREAM 72 PCS X 7ML &quot;11643&quot;SDI01"/>
    <n v="30550010007000"/>
    <n v="0"/>
    <n v="0"/>
    <x v="6"/>
    <n v="0"/>
    <x v="5"/>
    <s v="STELLA DAILY FRESH"/>
    <s v="G1264"/>
    <x v="327"/>
    <n v="14"/>
    <s v="STELLA DAILY FRESH INDOOR DREAM ISLAND X 72 PCS"/>
    <n v="47"/>
    <m/>
    <s v="G1"/>
    <s v="STELLA"/>
    <s v="26"/>
    <s v="DAILY FRESH"/>
    <n v="4"/>
    <s v="INDOOR"/>
    <s v="3"/>
    <s v="DREAM ISLAND"/>
    <s v="01"/>
    <m/>
    <s v="0000"/>
    <s v="PCS"/>
    <n v="1"/>
    <m/>
    <n v="0"/>
    <m/>
    <m/>
    <m/>
    <n v="30550010007000"/>
    <m/>
    <m/>
    <n v="72"/>
    <n v="13931.5"/>
    <n v="1003068"/>
    <n v="15463.965000000002"/>
    <n v="1113405.4800000002"/>
    <n v="14900"/>
    <n v="1072800"/>
    <n v="16539"/>
    <n v="1190808"/>
    <n v="0"/>
    <n v="0"/>
    <n v="0"/>
    <n v="0"/>
    <n v="6.5000000000000002E-2"/>
    <n v="-13931.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65000002510"/>
    <m/>
    <n v="30601000000000"/>
    <x v="535"/>
    <s v="STELLA ELECTRIC 24 SET X 25ML 42087 59816 S04"/>
    <n v="30682000025020"/>
    <n v="0"/>
    <s v="STELLA ELECTRIC DEVICE SET CP"/>
    <x v="5"/>
    <s v="8992745480709"/>
    <x v="9"/>
    <s v="STELLA DEVICE"/>
    <s v="G1265"/>
    <x v="328"/>
    <n v="14"/>
    <s v="STELLA DEVICE 25ML X 24 SET"/>
    <n v="27"/>
    <m/>
    <s v="G1"/>
    <s v="STELLA"/>
    <s v="26"/>
    <s v="DEVICE"/>
    <n v="5"/>
    <m/>
    <s v="0"/>
    <m/>
    <s v="00"/>
    <s v="25ML"/>
    <s v="0025"/>
    <s v="SET"/>
    <n v="1"/>
    <m/>
    <n v="0"/>
    <m/>
    <m/>
    <m/>
    <n v="30682000025020"/>
    <m/>
    <m/>
    <n v="24"/>
    <n v="22066"/>
    <n v="529584"/>
    <n v="24493.260000000002"/>
    <n v="587838.24000000011"/>
    <n v="23600"/>
    <n v="566400"/>
    <n v="26196.000000000004"/>
    <n v="628704"/>
    <n v="0"/>
    <n v="0"/>
    <n v="0"/>
    <n v="0"/>
    <n v="6.5000000000000002E-2"/>
    <n v="-22066"/>
    <e v="#DIV/0!"/>
    <m/>
    <m/>
    <s v="Lama"/>
    <s v="Sama"/>
    <m/>
    <s v="IDR"/>
    <s v="0025"/>
    <s v="25ML"/>
    <m/>
    <m/>
    <s v="KRT"/>
    <s v="GD01"/>
    <n v="11611"/>
    <n v="11612"/>
    <m/>
    <n v="1"/>
    <m/>
    <n v="24"/>
  </r>
  <r>
    <s v="G1265000002510"/>
    <m/>
    <n v="30601000000000"/>
    <x v="536"/>
    <s v="STELLA ELECTRIC 24 SET X 25ML 42087 59816 S04"/>
    <n v="30682000025020"/>
    <n v="0"/>
    <s v="STELLA ELECTRIC DEVICE SET CP 2.0"/>
    <x v="5"/>
    <s v="8992745480709"/>
    <x v="9"/>
    <s v="STELLA DEVICE"/>
    <s v="G1265"/>
    <x v="328"/>
    <n v="14"/>
    <s v="STELLA DEVICE 25ML X 24 SET"/>
    <n v="27"/>
    <m/>
    <s v="G1"/>
    <s v="STELLA"/>
    <s v="26"/>
    <s v="DEVICE"/>
    <n v="5"/>
    <m/>
    <s v="0"/>
    <m/>
    <s v="00"/>
    <s v="25ML"/>
    <s v="0025"/>
    <s v="SET"/>
    <n v="1"/>
    <m/>
    <n v="0"/>
    <m/>
    <m/>
    <m/>
    <n v="30682000025020"/>
    <m/>
    <m/>
    <n v="24"/>
    <n v="22066"/>
    <n v="529584"/>
    <n v="24493.260000000002"/>
    <n v="587838.24000000011"/>
    <n v="23600"/>
    <n v="566400"/>
    <n v="26196.000000000004"/>
    <n v="628704"/>
    <n v="0"/>
    <n v="0"/>
    <n v="0"/>
    <n v="0"/>
    <n v="6.5000000000000002E-2"/>
    <n v="-22066"/>
    <e v="#DIV/0!"/>
    <m/>
    <m/>
    <s v="Lama"/>
    <s v="Sama"/>
    <m/>
    <s v="IDR"/>
    <s v="0025"/>
    <s v="25ML"/>
    <m/>
    <m/>
    <s v="KRT"/>
    <s v="GD01"/>
    <n v="11611"/>
    <n v="11612"/>
    <m/>
    <n v="1"/>
    <m/>
    <n v="24"/>
  </r>
  <r>
    <s v="G1266001002510"/>
    <m/>
    <n v="30601000000000"/>
    <x v="537"/>
    <s v="STELLA ELEC JASMINE BREEZE 144 PCSX25ML 42096 S06"/>
    <n v="30682050025010"/>
    <n v="0"/>
    <s v="STELLA ELEC REF JASMINE BREEZE 25ML SP"/>
    <x v="1"/>
    <s v="8992745480723"/>
    <x v="5"/>
    <s v="STELLA ELECTRIC"/>
    <s v="G1266"/>
    <x v="329"/>
    <n v="14"/>
    <s v="STELLA ELECTRIC JASMINE BREEZE 25ML X 144 PCS"/>
    <n v="45"/>
    <m/>
    <s v="G1"/>
    <s v="STELLA"/>
    <s v="26"/>
    <s v="ELECTRIC"/>
    <n v="6"/>
    <m/>
    <s v="0"/>
    <s v="JASMINE BREEZE"/>
    <s v="01"/>
    <s v="25ML"/>
    <s v="0025"/>
    <s v="PCS"/>
    <n v="1"/>
    <m/>
    <n v="0"/>
    <m/>
    <m/>
    <m/>
    <n v="30682050025010"/>
    <m/>
    <m/>
    <n v="144"/>
    <n v="12716"/>
    <n v="1831104"/>
    <n v="14114.760000000002"/>
    <n v="2032525.4400000002"/>
    <n v="13600"/>
    <n v="1958400"/>
    <n v="15096.000000000002"/>
    <n v="2173824"/>
    <n v="0"/>
    <n v="0"/>
    <n v="0"/>
    <n v="0"/>
    <n v="6.5000000000000002E-2"/>
    <n v="-12716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66002002510"/>
    <m/>
    <n v="30601000000000"/>
    <x v="538"/>
    <s v="STELLA ELEC LAVENDER BLOOM 144 PCSX25ML 59494 S05"/>
    <n v="30682040025010"/>
    <n v="0"/>
    <s v="STELLA ELEC REF COMFORTING LAVENDER 25ML"/>
    <x v="1"/>
    <s v="8992745480716"/>
    <x v="5"/>
    <s v="STELLA ELECTRIC"/>
    <s v="G1266"/>
    <x v="330"/>
    <n v="14"/>
    <s v="STELLA ELECTRIC LAVENDER 25ML X 144 PCS"/>
    <n v="39"/>
    <m/>
    <s v="G1"/>
    <s v="STELLA"/>
    <s v="26"/>
    <s v="ELECTRIC"/>
    <n v="6"/>
    <m/>
    <s v="0"/>
    <s v="LAVENDER"/>
    <s v="02"/>
    <s v="25ML"/>
    <s v="0025"/>
    <s v="PCS"/>
    <n v="1"/>
    <m/>
    <n v="0"/>
    <m/>
    <m/>
    <m/>
    <n v="30682040025010"/>
    <m/>
    <m/>
    <n v="144"/>
    <n v="12716"/>
    <n v="1831104"/>
    <n v="14114.760000000002"/>
    <n v="2032525.4400000002"/>
    <n v="13600"/>
    <n v="1958400"/>
    <n v="15096.000000000002"/>
    <n v="2173824"/>
    <n v="0"/>
    <n v="0"/>
    <n v="0"/>
    <n v="0"/>
    <n v="6.5000000000000002E-2"/>
    <n v="-12716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66002002510"/>
    <m/>
    <n v="30601000000000"/>
    <x v="539"/>
    <s v="STELLA ELEC LAVENDER BLOOM 144 PCSX25ML 59494 S05"/>
    <n v="30682040025010"/>
    <n v="0"/>
    <s v="STELLA ELEC REF LAVENDER BLOOM 25ML SP"/>
    <x v="1"/>
    <s v="8992745480716"/>
    <x v="5"/>
    <s v="STELLA ELECTRIC"/>
    <s v="G1266"/>
    <x v="330"/>
    <n v="14"/>
    <s v="STELLA ELECTRIC LAVENDER 25ML X 144 PCS"/>
    <n v="39"/>
    <m/>
    <s v="G1"/>
    <s v="STELLA"/>
    <s v="26"/>
    <s v="ELECTRIC"/>
    <n v="6"/>
    <m/>
    <s v="0"/>
    <s v="LAVENDER"/>
    <s v="02"/>
    <s v="25ML"/>
    <s v="0025"/>
    <s v="PCS"/>
    <n v="1"/>
    <m/>
    <n v="0"/>
    <m/>
    <m/>
    <m/>
    <n v="30682040025010"/>
    <m/>
    <m/>
    <n v="144"/>
    <n v="12716"/>
    <n v="1831104"/>
    <n v="14114.760000000002"/>
    <n v="2032525.4400000002"/>
    <n v="13600"/>
    <n v="1958400"/>
    <n v="15096.000000000002"/>
    <n v="2173824"/>
    <n v="0"/>
    <n v="0"/>
    <n v="0"/>
    <n v="0"/>
    <n v="6.5000000000000002E-2"/>
    <n v="-12716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66003002510"/>
    <m/>
    <m/>
    <x v="540"/>
    <m/>
    <n v="30682040025010"/>
    <n v="0"/>
    <s v="STELLA ELEC REF LOVING JASMINE 25ML SP"/>
    <x v="1"/>
    <m/>
    <x v="5"/>
    <s v="STELLA ELECTRIC"/>
    <s v="G1266"/>
    <x v="331"/>
    <n v="14"/>
    <s v="STELLA ELECTRIC LOVING JASMINE 25ML X 144 PCS"/>
    <n v="45"/>
    <m/>
    <s v="G1"/>
    <s v="STELLA"/>
    <s v="26"/>
    <s v="ELECTRIC"/>
    <n v="6"/>
    <m/>
    <s v="0"/>
    <s v="LOVING JASMINE"/>
    <s v="03"/>
    <s v="25ML"/>
    <s v="0025"/>
    <s v="PCS"/>
    <n v="1"/>
    <m/>
    <n v="0"/>
    <m/>
    <m/>
    <m/>
    <n v="30682040025010"/>
    <m/>
    <m/>
    <n v="14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25"/>
    <s v="25ML"/>
    <m/>
    <m/>
    <s v="KRT"/>
    <s v="GD01"/>
    <n v="11611"/>
    <n v="11612"/>
    <m/>
    <n v="1"/>
    <m/>
    <n v="144"/>
  </r>
  <r>
    <s v="G1267001000010"/>
    <m/>
    <n v="30590020021000"/>
    <x v="541"/>
    <s v="STELLA F&amp;F C.MACCHIATO 144 PCS X 21GR&quot;24792&quot;SFF02"/>
    <n v="30590020021000"/>
    <n v="0"/>
    <n v="0"/>
    <x v="1"/>
    <n v="0"/>
    <x v="5"/>
    <s v="STELLA FUN&amp;FRESH"/>
    <s v="G1267"/>
    <x v="332"/>
    <n v="14"/>
    <s v="STELLA FUN&amp;FRESH CARAMEL MACHIATO X 144 PCS"/>
    <n v="43"/>
    <m/>
    <s v="G1"/>
    <s v="STELLA"/>
    <s v="26"/>
    <s v="FUN&amp;FRESH"/>
    <n v="7"/>
    <m/>
    <s v="0"/>
    <s v="CARAMEL MACHIATO"/>
    <s v="01"/>
    <m/>
    <s v="0000"/>
    <s v="PCS"/>
    <n v="1"/>
    <m/>
    <n v="0"/>
    <m/>
    <m/>
    <m/>
    <n v="30590020021000"/>
    <m/>
    <m/>
    <n v="144"/>
    <n v="10004.5"/>
    <n v="1440648"/>
    <n v="11104.995000000001"/>
    <n v="1599119.28"/>
    <n v="10700"/>
    <n v="1540800"/>
    <n v="11877.000000000002"/>
    <n v="1710288.0000000002"/>
    <n v="0"/>
    <n v="0"/>
    <n v="0"/>
    <n v="0"/>
    <n v="6.5000000000000002E-2"/>
    <n v="-10004.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001000010"/>
    <m/>
    <n v="30603020225011"/>
    <x v="542"/>
    <s v="STELLA F&amp;F C.MACHIATO 144 PCS 50838 SFF11"/>
    <n v="30590020000000"/>
    <n v="0"/>
    <s v="STELLA FUN &amp; FRESH CARAMEL MACHIATO SP."/>
    <x v="1"/>
    <s v="8992745000327"/>
    <x v="5"/>
    <s v="STELLA FUN&amp;FRESH"/>
    <s v="G1267"/>
    <x v="332"/>
    <n v="14"/>
    <s v="STELLA FUN&amp;FRESH CARAMEL MACHIATO X 144 PCS"/>
    <n v="43"/>
    <m/>
    <s v="G1"/>
    <s v="STELLA"/>
    <s v="26"/>
    <s v="FUN&amp;FRESH"/>
    <n v="7"/>
    <m/>
    <s v="0"/>
    <s v="CARAMEL MACHIATO"/>
    <s v="01"/>
    <m/>
    <s v="0000"/>
    <s v="PCS"/>
    <n v="1"/>
    <m/>
    <n v="0"/>
    <m/>
    <m/>
    <m/>
    <n v="30590020000000"/>
    <m/>
    <m/>
    <n v="144"/>
    <n v="10004.5"/>
    <n v="1440648"/>
    <n v="11104.995000000001"/>
    <n v="1599119.28"/>
    <n v="10700"/>
    <n v="1540800"/>
    <n v="11877.000000000002"/>
    <n v="1710288.0000000002"/>
    <n v="0"/>
    <n v="0"/>
    <n v="0"/>
    <n v="0"/>
    <n v="6.5000000000000002E-2"/>
    <n v="-10004.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002000010"/>
    <m/>
    <n v="30590010021000"/>
    <x v="543"/>
    <s v="STELLA F&amp;F FRUITY&amp;FRESH 144 PCSX21GR &quot;26248&quot;SFF01"/>
    <n v="30590010021000"/>
    <n v="0"/>
    <n v="0"/>
    <x v="1"/>
    <n v="0"/>
    <x v="5"/>
    <s v="STELLA FUN&amp;FRESH"/>
    <s v="G1267"/>
    <x v="333"/>
    <n v="14"/>
    <s v="STELLA FUN&amp;FRESH FRUITY X 144 PCS"/>
    <n v="33"/>
    <m/>
    <s v="G1"/>
    <s v="STELLA"/>
    <s v="26"/>
    <s v="FUN&amp;FRESH"/>
    <n v="7"/>
    <m/>
    <s v="0"/>
    <s v="FRUITY"/>
    <s v="02"/>
    <m/>
    <s v="0000"/>
    <s v="PCS"/>
    <n v="1"/>
    <m/>
    <n v="0"/>
    <m/>
    <m/>
    <m/>
    <n v="30590010021000"/>
    <m/>
    <m/>
    <n v="144"/>
    <n v="10004.5"/>
    <n v="1440648"/>
    <n v="11104.995000000001"/>
    <n v="1599119.28"/>
    <n v="10700"/>
    <n v="1540800"/>
    <n v="11877.000000000002"/>
    <n v="1710288.0000000002"/>
    <n v="0"/>
    <n v="0"/>
    <n v="0"/>
    <n v="0"/>
    <n v="6.5000000000000002E-2"/>
    <n v="-10004.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002000010"/>
    <m/>
    <n v="30603020225011"/>
    <x v="544"/>
    <s v="STELLA F&amp;F FRUITY N FRESH 144 PCS 44141 SFF09"/>
    <n v="30590050000000"/>
    <n v="0"/>
    <s v="STELLA FUN &amp; FRESH FRUITY N FRESH"/>
    <x v="1"/>
    <s v="8992745000044"/>
    <x v="5"/>
    <s v="STELLA FUN&amp;FRESH"/>
    <s v="G1267"/>
    <x v="333"/>
    <n v="14"/>
    <s v="STELLA FUN&amp;FRESH FRUITY X 144 PCS"/>
    <n v="33"/>
    <m/>
    <s v="G1"/>
    <s v="STELLA"/>
    <s v="26"/>
    <s v="FUN&amp;FRESH"/>
    <n v="7"/>
    <m/>
    <s v="0"/>
    <s v="FRUITY"/>
    <s v="02"/>
    <m/>
    <s v="0000"/>
    <s v="PCS"/>
    <n v="1"/>
    <m/>
    <n v="0"/>
    <m/>
    <m/>
    <m/>
    <n v="30590050000000"/>
    <m/>
    <m/>
    <n v="144"/>
    <n v="10004.5"/>
    <n v="1440648"/>
    <n v="11104.995000000001"/>
    <n v="1599119.28"/>
    <n v="10700"/>
    <n v="1540800"/>
    <n v="11877.000000000002"/>
    <n v="1710288.0000000002"/>
    <n v="0"/>
    <n v="0"/>
    <n v="0"/>
    <n v="0"/>
    <n v="6.5000000000000002E-2"/>
    <n v="-10004.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003000010"/>
    <m/>
    <n v="30603040225010"/>
    <x v="545"/>
    <s v="STELLA F&amp;F HAPPYDAY 144 PCS 44140 SFF08"/>
    <n v="30590040000000"/>
    <n v="0"/>
    <s v="STELLA FUN &amp; FRESH HAPPY DAY"/>
    <x v="1"/>
    <s v="8992745000037"/>
    <x v="5"/>
    <s v="STELLA FUN&amp;FRESH"/>
    <s v="G1267"/>
    <x v="334"/>
    <n v="14"/>
    <s v="STELLA FUN&amp;FRESH HAPPY DAY X 144 PCS"/>
    <n v="36"/>
    <m/>
    <s v="G1"/>
    <s v="STELLA"/>
    <s v="26"/>
    <s v="FUN&amp;FRESH"/>
    <n v="7"/>
    <m/>
    <s v="0"/>
    <s v="HAPPY DAY"/>
    <s v="03"/>
    <m/>
    <s v="0000"/>
    <s v="PCS"/>
    <n v="1"/>
    <m/>
    <n v="0"/>
    <m/>
    <m/>
    <m/>
    <n v="30590040000000"/>
    <m/>
    <m/>
    <n v="144"/>
    <n v="7293"/>
    <n v="1050192"/>
    <n v="8095.2300000000005"/>
    <n v="1165713.1200000001"/>
    <n v="7800"/>
    <n v="1123200"/>
    <n v="8658"/>
    <n v="1246752"/>
    <n v="0"/>
    <n v="0"/>
    <n v="0"/>
    <n v="0"/>
    <n v="6.5000000000000002E-2"/>
    <n v="-7293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004000010"/>
    <m/>
    <n v="30603040225010"/>
    <x v="546"/>
    <s v="STELLA F&amp;F ICED SENSATION 144 PCS 57692 SFF13"/>
    <n v="30590070000000"/>
    <n v="0"/>
    <s v="STELLA FUN &amp; FRESH ICED SENSATION"/>
    <x v="1"/>
    <s v="8992745000488"/>
    <x v="5"/>
    <s v="STELLA FUN&amp;FRESH"/>
    <s v="G1267"/>
    <x v="335"/>
    <n v="14"/>
    <s v="STELLA FUN&amp;FRESH ICED SENSATION X 144 PCS"/>
    <n v="41"/>
    <m/>
    <s v="G1"/>
    <s v="STELLA"/>
    <s v="26"/>
    <s v="FUN&amp;FRESH"/>
    <n v="7"/>
    <m/>
    <s v="0"/>
    <s v="ICED SENSATION"/>
    <s v="04"/>
    <m/>
    <s v="0000"/>
    <s v="PCS"/>
    <n v="1"/>
    <m/>
    <n v="0"/>
    <m/>
    <m/>
    <m/>
    <n v="30590070000000"/>
    <m/>
    <m/>
    <n v="144"/>
    <n v="7293"/>
    <n v="1050192"/>
    <n v="8095.2300000000005"/>
    <n v="1165713.1200000001"/>
    <n v="7800"/>
    <n v="1123200"/>
    <n v="8658"/>
    <n v="1246752"/>
    <n v="0"/>
    <n v="0"/>
    <n v="0"/>
    <n v="0"/>
    <n v="6.5000000000000002E-2"/>
    <n v="-7293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005000010"/>
    <m/>
    <n v="30603040225011"/>
    <x v="547"/>
    <s v="STELLA F&amp;F SAKURA BLOSSOM 144 PCS 50839 SFF12"/>
    <n v="30590060000000"/>
    <n v="0"/>
    <s v="STELLA FUN &amp; FRESH SAKURA BLOSSOM SP."/>
    <x v="1"/>
    <s v="8992745000334"/>
    <x v="5"/>
    <s v="STELLA FUN&amp;FRESH"/>
    <s v="G1267"/>
    <x v="336"/>
    <n v="14"/>
    <s v="STELLA FUN&amp;FRESH SAKURA BLOSSOM X 144 PCS"/>
    <n v="41"/>
    <m/>
    <s v="G1"/>
    <s v="STELLA"/>
    <s v="26"/>
    <s v="FUN&amp;FRESH"/>
    <n v="7"/>
    <m/>
    <s v="0"/>
    <s v="SAKURA BLOSSOM"/>
    <s v="05"/>
    <m/>
    <s v="0000"/>
    <s v="PCS"/>
    <n v="1"/>
    <m/>
    <n v="0"/>
    <m/>
    <m/>
    <m/>
    <n v="30590060000000"/>
    <m/>
    <m/>
    <n v="144"/>
    <n v="7293"/>
    <n v="1050192"/>
    <n v="8095.2300000000005"/>
    <n v="1165713.1200000001"/>
    <n v="7800"/>
    <n v="1123200"/>
    <n v="8658"/>
    <n v="1246752"/>
    <n v="0"/>
    <n v="0"/>
    <n v="0"/>
    <n v="0"/>
    <n v="6.5000000000000002E-2"/>
    <n v="-7293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101000010"/>
    <m/>
    <n v="30603050225010"/>
    <x v="548"/>
    <s v="STELLA F&amp;F C.MACIATO 144 PCSX21GR MTP 28144 SFF03"/>
    <n v="30590020021001"/>
    <n v="0"/>
    <s v="STELLA FUN&amp;FRESH C.MACCHIATO MTP 1+1"/>
    <x v="1"/>
    <s v="8992745705659"/>
    <x v="5"/>
    <s v="STELLA FUN&amp;FRESH"/>
    <s v="G1267"/>
    <x v="337"/>
    <n v="14"/>
    <s v="STELLA FUN&amp;FRESH MULTI PACK CARAMEL MACHIATO X 144 PCS"/>
    <n v="54"/>
    <m/>
    <s v="G1"/>
    <s v="STELLA"/>
    <s v="26"/>
    <s v="FUN&amp;FRESH"/>
    <n v="7"/>
    <s v="MULTI PACK"/>
    <s v="1"/>
    <s v="CARAMEL MACHIATO"/>
    <s v="01"/>
    <m/>
    <s v="0000"/>
    <s v="PCS"/>
    <n v="1"/>
    <m/>
    <n v="0"/>
    <m/>
    <m/>
    <m/>
    <n v="30590020021001"/>
    <m/>
    <m/>
    <n v="144"/>
    <n v="11565.95"/>
    <n v="1665496.8"/>
    <n v="12838.204500000002"/>
    <n v="1848701.4480000003"/>
    <n v="12370"/>
    <n v="1781280"/>
    <n v="13730.7"/>
    <n v="1977220.8000000003"/>
    <n v="0"/>
    <n v="0"/>
    <n v="0"/>
    <n v="0"/>
    <n v="6.4999999999999947E-2"/>
    <n v="-11565.9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102000010"/>
    <m/>
    <n v="30603040225011"/>
    <x v="549"/>
    <s v="STELLA F&amp;F FTY&amp;FRESH 144 PCSX21GR MTP 28143 SFF1O"/>
    <n v="30590010021001"/>
    <n v="0"/>
    <s v="STELLA FUN N FRESH FRUITY NFRESH MTP 1+1"/>
    <x v="1"/>
    <s v="8992745999928"/>
    <x v="5"/>
    <s v="STELLA FUN&amp;FRESH"/>
    <s v="G1267"/>
    <x v="338"/>
    <n v="14"/>
    <s v="STELLA FUN&amp;FRESH MULTI PACK FRUITY X 144 PCS"/>
    <n v="44"/>
    <m/>
    <s v="G1"/>
    <s v="STELLA"/>
    <s v="26"/>
    <s v="FUN&amp;FRESH"/>
    <n v="7"/>
    <s v="MULTI PACK"/>
    <s v="1"/>
    <s v="FRUITY"/>
    <s v="02"/>
    <m/>
    <s v="0000"/>
    <s v="PCS"/>
    <n v="1"/>
    <m/>
    <n v="0"/>
    <m/>
    <m/>
    <m/>
    <n v="30590010021001"/>
    <m/>
    <m/>
    <n v="144"/>
    <n v="11565.95"/>
    <n v="1665496.8"/>
    <n v="12838.204500000002"/>
    <n v="1848701.4480000003"/>
    <n v="12370"/>
    <n v="1781280"/>
    <n v="13730.7"/>
    <n v="1977220.8000000003"/>
    <n v="0"/>
    <n v="0"/>
    <n v="0"/>
    <n v="0"/>
    <n v="6.4999999999999947E-2"/>
    <n v="-11565.9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103000010"/>
    <m/>
    <n v="30603050225010"/>
    <x v="550"/>
    <s v="STELLA F&amp;F HAPPYDAY 144 PCS X 21GRMTP 28142 SFF06"/>
    <n v="30590040021001"/>
    <n v="0"/>
    <s v="STELLA FUN N FRESH HAPPY DAY MTP 1+1"/>
    <x v="1"/>
    <s v="8992745999935"/>
    <x v="5"/>
    <s v="STELLA FUN&amp;FRESH"/>
    <s v="G1267"/>
    <x v="339"/>
    <n v="14"/>
    <s v="STELLA FUN&amp;FRESH MULTI PACK HAPPY DAY X 144 PCS"/>
    <n v="47"/>
    <m/>
    <s v="G1"/>
    <s v="STELLA"/>
    <s v="26"/>
    <s v="FUN&amp;FRESH"/>
    <n v="7"/>
    <s v="MULTI PACK"/>
    <s v="1"/>
    <s v="HAPPY DAY"/>
    <s v="03"/>
    <m/>
    <s v="0000"/>
    <s v="PCS"/>
    <n v="1"/>
    <m/>
    <n v="0"/>
    <m/>
    <m/>
    <m/>
    <n v="30590040021001"/>
    <m/>
    <m/>
    <n v="144"/>
    <n v="11565.95"/>
    <n v="1665496.8"/>
    <n v="12838.204500000002"/>
    <n v="1848701.4480000003"/>
    <n v="12370"/>
    <n v="1781280"/>
    <n v="13730.7"/>
    <n v="1977220.8000000003"/>
    <n v="0"/>
    <n v="0"/>
    <n v="0"/>
    <n v="0"/>
    <n v="6.4999999999999947E-2"/>
    <n v="-11565.9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7104000010"/>
    <m/>
    <n v="30603050225010"/>
    <x v="551"/>
    <s v="STELLA F&amp;F S.BLOSSOM 144 PCS X 21GR 28895 SFF07"/>
    <n v="30590050021000"/>
    <n v="0"/>
    <s v="STELLA FUN N FRESH SAKURA BLOSSOM MTP1+1"/>
    <x v="1"/>
    <s v="8992745610540"/>
    <x v="5"/>
    <s v="STELLA FUN&amp;FRESH"/>
    <s v="G1267"/>
    <x v="340"/>
    <n v="14"/>
    <s v="STELLA FUN&amp;FRESH MULTI PACK SAKURA BLOSSOM X 144 PCS"/>
    <n v="52"/>
    <m/>
    <s v="G1"/>
    <s v="STELLA"/>
    <s v="26"/>
    <s v="FUN&amp;FRESH"/>
    <n v="7"/>
    <s v="MULTI PACK"/>
    <s v="1"/>
    <s v="SAKURA BLOSSOM"/>
    <s v="04"/>
    <m/>
    <s v="0000"/>
    <s v="PCS"/>
    <n v="1"/>
    <m/>
    <n v="0"/>
    <m/>
    <m/>
    <m/>
    <n v="30590050021000"/>
    <m/>
    <m/>
    <n v="144"/>
    <n v="11566.885"/>
    <n v="1665631.44"/>
    <n v="12839.242350000002"/>
    <n v="1848850.8984000001"/>
    <n v="12371"/>
    <n v="1781424"/>
    <n v="13731.810000000001"/>
    <n v="1977380.6400000001"/>
    <n v="0"/>
    <n v="0"/>
    <n v="0"/>
    <n v="0"/>
    <n v="6.4999999999999988E-2"/>
    <n v="-11566.885"/>
    <e v="#DIV/0!"/>
    <m/>
    <m/>
    <s v="Lama"/>
    <s v="Sama"/>
    <m/>
    <s v="IDR"/>
    <s v="0000"/>
    <n v="0"/>
    <m/>
    <m/>
    <s v="KRT"/>
    <s v="GD01"/>
    <n v="11611"/>
    <n v="11612"/>
    <m/>
    <n v="1"/>
    <m/>
    <n v="144"/>
  </r>
  <r>
    <s v="G1268006000010"/>
    <m/>
    <n v="30603050225011"/>
    <x v="552"/>
    <s v="STELLA HANG&amp;FLIP AQUA REFLECT 24 PCS X 9ML 58887"/>
    <n v="30695050009010"/>
    <n v="0"/>
    <s v="STELLA HANG N FLIP AQUA REFLECTION 9+3ML"/>
    <x v="5"/>
    <s v="8992745000471"/>
    <x v="5"/>
    <s v="STELLA HANG&amp;FLIP"/>
    <s v="G1268"/>
    <x v="341"/>
    <n v="14"/>
    <s v="STELLA HANG&amp;FLIP AQUA REFLECTION X 24 PCS"/>
    <n v="41"/>
    <m/>
    <s v="G1"/>
    <s v="STELLA"/>
    <s v="26"/>
    <s v="HANG&amp;FLIP"/>
    <n v="8"/>
    <m/>
    <s v="0"/>
    <s v="AQUA REFLECTION"/>
    <s v="06"/>
    <m/>
    <s v="0000"/>
    <s v="PCS"/>
    <n v="1"/>
    <m/>
    <n v="0"/>
    <m/>
    <m/>
    <m/>
    <n v="30695050009010"/>
    <m/>
    <m/>
    <n v="24"/>
    <n v="19016.965"/>
    <n v="456407.16000000003"/>
    <n v="21108.831150000002"/>
    <n v="506611.94760000007"/>
    <n v="20339"/>
    <n v="488136"/>
    <n v="22576.29"/>
    <n v="541830.96000000008"/>
    <n v="0"/>
    <n v="0"/>
    <n v="0"/>
    <n v="0"/>
    <n v="6.4999999999999988E-2"/>
    <n v="-19016.96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68006000010"/>
    <m/>
    <n v="30603050225011"/>
    <x v="553"/>
    <s v="STELLA HANG&amp;FLIP AQUA REFLECT 24 PCS X 9ML 57600"/>
    <n v="30685050025010"/>
    <n v="0"/>
    <s v="STELLA HANG N FLIP AQUA REFLECTION 9ML"/>
    <x v="5"/>
    <s v="8992745000471"/>
    <x v="5"/>
    <s v="STELLA HANG&amp;FLIP"/>
    <s v="G1268"/>
    <x v="341"/>
    <n v="14"/>
    <s v="STELLA HANG&amp;FLIP AQUA REFLECTION X 24 PCS"/>
    <n v="41"/>
    <m/>
    <s v="G1"/>
    <s v="STELLA"/>
    <s v="26"/>
    <s v="HANG&amp;FLIP"/>
    <n v="8"/>
    <m/>
    <s v="0"/>
    <s v="AQUA REFLECTION"/>
    <s v="06"/>
    <m/>
    <s v="0000"/>
    <s v="PCS"/>
    <n v="1"/>
    <m/>
    <n v="0"/>
    <m/>
    <m/>
    <m/>
    <n v="30685050025010"/>
    <m/>
    <m/>
    <n v="24"/>
    <n v="19016.965"/>
    <n v="456407.16000000003"/>
    <n v="21108.831150000002"/>
    <n v="506611.94760000007"/>
    <n v="20339"/>
    <n v="488136"/>
    <n v="22576.29"/>
    <n v="541830.96000000008"/>
    <n v="0"/>
    <n v="0"/>
    <n v="0"/>
    <n v="0"/>
    <n v="6.4999999999999988E-2"/>
    <n v="-19016.96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68007000010"/>
    <m/>
    <n v="30603060225010"/>
    <x v="554"/>
    <s v="STELLA HANG&amp;FLIP JASMINE FLOW 24 PCS X 9ML 58886"/>
    <n v="30685010009010"/>
    <n v="0"/>
    <s v="STELLA HANG N FLIP JASMINE FLOW 9+3ML"/>
    <x v="5"/>
    <s v="8992745000464"/>
    <x v="5"/>
    <s v="STELLA HANG&amp;FLIP"/>
    <s v="G1268"/>
    <x v="342"/>
    <n v="14"/>
    <s v="STELLA HANG&amp;FLIP JASMINE FLOW X 24 PCS"/>
    <n v="38"/>
    <m/>
    <s v="G1"/>
    <s v="STELLA"/>
    <s v="26"/>
    <s v="HANG&amp;FLIP"/>
    <n v="8"/>
    <m/>
    <s v="0"/>
    <s v="JASMINE FLOW"/>
    <s v="07"/>
    <m/>
    <s v="0000"/>
    <s v="PCS"/>
    <n v="1"/>
    <m/>
    <n v="0"/>
    <m/>
    <m/>
    <m/>
    <n v="30685010009010"/>
    <m/>
    <m/>
    <n v="24"/>
    <n v="19016.965"/>
    <n v="456407.16000000003"/>
    <n v="21108.831150000002"/>
    <n v="506611.94760000007"/>
    <n v="20339"/>
    <n v="488136"/>
    <n v="22576.29"/>
    <n v="541830.96000000008"/>
    <n v="0"/>
    <n v="0"/>
    <n v="0"/>
    <n v="0"/>
    <n v="6.4999999999999988E-2"/>
    <n v="-19016.96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68007000010"/>
    <m/>
    <n v="30603060225010"/>
    <x v="555"/>
    <s v="STELLA HANG&amp;FLIP JASMINE FLOW 24 PCS X 9ML 57599"/>
    <n v="30685010025010"/>
    <n v="0"/>
    <s v="STELLA HANG N FLIP JASMINE FLOW 9ML"/>
    <x v="5"/>
    <s v="8992745000464"/>
    <x v="5"/>
    <s v="STELLA HANG&amp;FLIP"/>
    <s v="G1268"/>
    <x v="342"/>
    <n v="14"/>
    <s v="STELLA HANG&amp;FLIP JASMINE FLOW X 24 PCS"/>
    <n v="38"/>
    <m/>
    <s v="G1"/>
    <s v="STELLA"/>
    <s v="26"/>
    <s v="HANG&amp;FLIP"/>
    <n v="8"/>
    <m/>
    <s v="0"/>
    <s v="JASMINE FLOW"/>
    <s v="07"/>
    <m/>
    <s v="0000"/>
    <s v="PCS"/>
    <n v="1"/>
    <m/>
    <n v="0"/>
    <m/>
    <m/>
    <m/>
    <n v="30685010025010"/>
    <m/>
    <m/>
    <n v="24"/>
    <n v="19016.965"/>
    <n v="456407.16000000003"/>
    <n v="21108.831150000002"/>
    <n v="506611.94760000007"/>
    <n v="20339"/>
    <n v="488136"/>
    <n v="22576.29"/>
    <n v="541830.96000000008"/>
    <n v="0"/>
    <n v="0"/>
    <n v="0"/>
    <n v="0"/>
    <n v="6.4999999999999988E-2"/>
    <n v="-19016.965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68008000010"/>
    <m/>
    <m/>
    <x v="556"/>
    <s v="STELLA HANG&amp;FLIP MIDNIGHT E 9+3ML 62467"/>
    <m/>
    <m/>
    <s v="STELLA HANG&amp;FLIP MIDNIGHT E 9+3ML 62467"/>
    <x v="5"/>
    <m/>
    <x v="5"/>
    <s v="STELLA HANG&amp;FLIP"/>
    <s v="G1268"/>
    <x v="343"/>
    <n v="14"/>
    <s v="STELLA HANG&amp;FLIP MIDNIGHT 9+3ML X 24 PCS"/>
    <n v="40"/>
    <m/>
    <s v="G1"/>
    <s v="STELLA"/>
    <s v="26"/>
    <s v="HANG&amp;FLIP"/>
    <n v="8"/>
    <m/>
    <s v="0"/>
    <s v="MIDNIGHT "/>
    <s v="08"/>
    <s v="9+3ML"/>
    <s v="0000"/>
    <s v="PCS"/>
    <n v="1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s v="9+3ML"/>
    <m/>
    <m/>
    <s v="KRT"/>
    <s v="GD01"/>
    <n v="11611"/>
    <n v="11612"/>
    <m/>
    <n v="1"/>
    <m/>
    <n v="24"/>
  </r>
  <r>
    <s v="G1268009000010"/>
    <m/>
    <m/>
    <x v="557"/>
    <s v="STELLA HANG&amp;FLIP MORNING BLUSH 9+3ML 62468"/>
    <m/>
    <m/>
    <s v="STELLA HANG&amp;FLIP MORNING BLUSH 9+3ML 62468"/>
    <x v="5"/>
    <m/>
    <x v="5"/>
    <s v="STELLA HANG&amp;FLIP"/>
    <s v="G1268"/>
    <x v="344"/>
    <n v="14"/>
    <s v="STELLA HANG&amp;FLIP MORNING BLUSH 9+3ML X 24 PCS"/>
    <n v="45"/>
    <m/>
    <s v="G1"/>
    <s v="STELLA"/>
    <s v="26"/>
    <s v="HANG&amp;FLIP"/>
    <n v="8"/>
    <m/>
    <s v="0"/>
    <s v="MORNING BLUSH"/>
    <s v="09"/>
    <s v="9+3ML"/>
    <s v="0000"/>
    <s v="PCS"/>
    <n v="1"/>
    <m/>
    <n v="0"/>
    <m/>
    <m/>
    <m/>
    <n v="0"/>
    <m/>
    <m/>
    <n v="24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s v="9+3ML"/>
    <m/>
    <m/>
    <s v="KRT"/>
    <s v="GD01"/>
    <n v="11611"/>
    <n v="11612"/>
    <m/>
    <n v="1"/>
    <m/>
    <n v="24"/>
  </r>
  <r>
    <s v="G1269001007010"/>
    <m/>
    <n v="30640030070000"/>
    <x v="558"/>
    <s v="STELLA SKYLINE DRAGON 24 PCS X 70ML &quot;7610&quot;SS03"/>
    <n v="30640030070000"/>
    <n v="0"/>
    <n v="0"/>
    <x v="5"/>
    <n v="0"/>
    <x v="5"/>
    <s v="STELLA SKYLINE"/>
    <s v="G1269"/>
    <x v="345"/>
    <n v="14"/>
    <s v="STELLA SKYLINE DRAGON 70ML X 24 PCS"/>
    <n v="35"/>
    <m/>
    <s v="G1"/>
    <s v="STELLA"/>
    <s v="26"/>
    <s v="SKYLINE"/>
    <n v="9"/>
    <m/>
    <s v="0"/>
    <s v="DRAGON"/>
    <s v="01"/>
    <s v="70ML"/>
    <s v="0070"/>
    <s v="PCS"/>
    <n v="1"/>
    <m/>
    <n v="0"/>
    <m/>
    <m/>
    <m/>
    <n v="30640030070000"/>
    <m/>
    <m/>
    <n v="24"/>
    <n v="17325.55"/>
    <n v="415813.19999999995"/>
    <n v="19231.360500000003"/>
    <n v="461552.652"/>
    <n v="18530"/>
    <n v="444720"/>
    <n v="20568.300000000003"/>
    <n v="493639.20000000007"/>
    <n v="0"/>
    <n v="0"/>
    <n v="0"/>
    <n v="0"/>
    <n v="6.5000000000000044E-2"/>
    <n v="-17325.55"/>
    <e v="#DIV/0!"/>
    <m/>
    <m/>
    <s v="Lama"/>
    <s v="Sama"/>
    <m/>
    <s v="IDR"/>
    <s v="0070"/>
    <s v="70ML"/>
    <m/>
    <m/>
    <s v="KRT"/>
    <s v="GD01"/>
    <n v="11611"/>
    <n v="11612"/>
    <m/>
    <n v="1"/>
    <m/>
    <n v="24"/>
  </r>
  <r>
    <s v="G1270101016010"/>
    <m/>
    <n v="30611010225010"/>
    <x v="559"/>
    <s v="STELLA MTC REF APLE F 12PCSX160ML 50031 59953 SM10"/>
    <n v="30603070225010"/>
    <n v="0"/>
    <s v="STELLA MTC REF APPLE 160+65ML RJV"/>
    <x v="3"/>
    <s v="8992745320142"/>
    <x v="8"/>
    <s v="STELLA MATIC"/>
    <s v="G1270"/>
    <x v="346"/>
    <n v="14"/>
    <s v="STELLA MATIC REFILL APPLE 160ML X 12 KLG"/>
    <n v="40"/>
    <m/>
    <s v="G1"/>
    <s v="STELLA MATIC"/>
    <s v="27"/>
    <m/>
    <n v="0"/>
    <s v="REFILL"/>
    <s v="1"/>
    <s v="APPLE"/>
    <s v="01"/>
    <s v="160ML"/>
    <s v="0160"/>
    <s v="KLG"/>
    <n v="1"/>
    <m/>
    <n v="0"/>
    <m/>
    <m/>
    <m/>
    <n v="3060307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1016010"/>
    <m/>
    <m/>
    <x v="560"/>
    <m/>
    <m/>
    <m/>
    <m/>
    <x v="3"/>
    <s v="8992745320142"/>
    <x v="8"/>
    <s v="STELLA MATIC"/>
    <s v="G1270"/>
    <x v="346"/>
    <n v="14"/>
    <s v="STELLA MATIC REFILL APPLE 160ML X 12 KLG"/>
    <n v="40"/>
    <m/>
    <s v="G1"/>
    <s v="STELLA MATIC"/>
    <s v="27"/>
    <m/>
    <n v="0"/>
    <s v="REFILL"/>
    <s v="1"/>
    <s v="APPLE"/>
    <s v="01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1016010"/>
    <m/>
    <n v="30611010225011"/>
    <x v="561"/>
    <s v="STELLA MTC REF APLE F 12PCSX160ML 50031 59953 SM10"/>
    <n v="30603070225010"/>
    <n v="0"/>
    <s v="STELLA MTC REF APPLE 160ML RJV"/>
    <x v="3"/>
    <s v="8992745320142"/>
    <x v="8"/>
    <s v="STELLA MATIC"/>
    <s v="G1270"/>
    <x v="346"/>
    <n v="14"/>
    <s v="STELLA MATIC REFILL APPLE 160ML X 12 KLG"/>
    <n v="40"/>
    <m/>
    <s v="G1"/>
    <s v="STELLA MATIC"/>
    <s v="27"/>
    <m/>
    <n v="0"/>
    <s v="REFILL"/>
    <s v="1"/>
    <s v="APPLE"/>
    <s v="01"/>
    <s v="160ML"/>
    <s v="0160"/>
    <s v="KLG"/>
    <n v="1"/>
    <m/>
    <n v="0"/>
    <m/>
    <m/>
    <m/>
    <n v="3060307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1016010"/>
    <m/>
    <m/>
    <x v="562"/>
    <m/>
    <m/>
    <m/>
    <m/>
    <x v="3"/>
    <s v="8992745320142"/>
    <x v="8"/>
    <s v="STELLA MATIC"/>
    <s v="G1270"/>
    <x v="346"/>
    <n v="14"/>
    <s v="STELLA MATIC REFILL APPLE 160ML X 12 KLG"/>
    <n v="40"/>
    <m/>
    <s v="G1"/>
    <s v="STELLA MATIC"/>
    <s v="27"/>
    <m/>
    <n v="0"/>
    <s v="REFILL"/>
    <s v="1"/>
    <s v="APPLE"/>
    <s v="01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2016010"/>
    <m/>
    <n v="30611040225000"/>
    <x v="563"/>
    <s v="STELLA MTC REF B. JASMINE 12PCSX160ML 59951 SM16"/>
    <n v="30603120160010"/>
    <n v="0"/>
    <s v="STELLA MTC REF B. JASMINE S 160+65ML RJV"/>
    <x v="3"/>
    <s v="8992745000112"/>
    <x v="8"/>
    <s v="STELLA MATIC"/>
    <s v="G1270"/>
    <x v="347"/>
    <n v="14"/>
    <s v="STELLA MATIC REFILL BLOOMING JASMINE 160ML X 12 KLG"/>
    <n v="51"/>
    <m/>
    <s v="G1"/>
    <s v="STELLA MATIC"/>
    <s v="27"/>
    <m/>
    <n v="0"/>
    <s v="REFILL"/>
    <s v="1"/>
    <s v="BLOOMING JASMINE"/>
    <s v="02"/>
    <s v="160ML"/>
    <s v="0160"/>
    <s v="KLG"/>
    <n v="1"/>
    <m/>
    <n v="0"/>
    <m/>
    <m/>
    <m/>
    <n v="30603120160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2016010"/>
    <m/>
    <n v="30611040225000"/>
    <x v="564"/>
    <s v="STELLA MTC REF B. JASMINE 12PCSX160ML 59951 SM16"/>
    <n v="30603120160010"/>
    <n v="0"/>
    <s v="STELLA MTC REF B. JASMINE S 160ML RJV."/>
    <x v="3"/>
    <s v="8992745000112"/>
    <x v="8"/>
    <s v="STELLA MATIC"/>
    <s v="G1270"/>
    <x v="347"/>
    <n v="14"/>
    <s v="STELLA MATIC REFILL BLOOMING JASMINE 160ML X 12 KLG"/>
    <n v="51"/>
    <m/>
    <s v="G1"/>
    <s v="STELLA MATIC"/>
    <s v="27"/>
    <m/>
    <n v="0"/>
    <s v="REFILL"/>
    <s v="1"/>
    <s v="BLOOMING JASMINE"/>
    <s v="02"/>
    <s v="160ML"/>
    <s v="0160"/>
    <s v="KLG"/>
    <n v="1"/>
    <m/>
    <n v="0"/>
    <m/>
    <m/>
    <m/>
    <n v="30603120160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3016010"/>
    <m/>
    <n v="30611070225000"/>
    <x v="565"/>
    <s v="STL MTCP REF CAFE L. 12PCSX160ML 50030 59949 SMP03"/>
    <n v="30611010225010"/>
    <n v="0"/>
    <s v="STELLA MTC REF C.LATTE 160ML RJV"/>
    <x v="3"/>
    <s v="8992745560449"/>
    <x v="8"/>
    <s v="STELLA MATIC"/>
    <s v="G1270"/>
    <x v="348"/>
    <n v="14"/>
    <s v="STELLA MATIC REFILL CAFFE LATTE 160ML X 12 KLG"/>
    <n v="46"/>
    <m/>
    <s v="G1"/>
    <s v="STELLA MATIC"/>
    <s v="27"/>
    <m/>
    <n v="0"/>
    <s v="REFILL"/>
    <s v="1"/>
    <s v="CAFFE LATTE"/>
    <s v="03"/>
    <s v="160ML"/>
    <s v="0160"/>
    <s v="KLG"/>
    <n v="1"/>
    <m/>
    <n v="0"/>
    <m/>
    <m/>
    <m/>
    <n v="3061101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3016010"/>
    <m/>
    <n v="30611040225011"/>
    <x v="566"/>
    <s v="STL MTCP REF CAFE L. 12PCSX160ML 50030 59949 SMP03"/>
    <n v="30611010225010"/>
    <n v="0"/>
    <s v="STELLA MTC REF C.LATTE 160+65ML RJV"/>
    <x v="3"/>
    <s v="8992745560449"/>
    <x v="8"/>
    <s v="STELLA MATIC"/>
    <s v="G1270"/>
    <x v="348"/>
    <n v="14"/>
    <s v="STELLA MATIC REFILL CAFFE LATTE 160ML X 12 KLG"/>
    <n v="46"/>
    <m/>
    <s v="G1"/>
    <s v="STELLA MATIC"/>
    <s v="27"/>
    <m/>
    <n v="0"/>
    <s v="REFILL"/>
    <s v="1"/>
    <s v="CAFFE LATTE"/>
    <s v="03"/>
    <s v="160ML"/>
    <s v="0160"/>
    <s v="KLG"/>
    <n v="1"/>
    <m/>
    <n v="0"/>
    <m/>
    <m/>
    <m/>
    <n v="3061101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3016010"/>
    <m/>
    <m/>
    <x v="567"/>
    <m/>
    <m/>
    <m/>
    <m/>
    <x v="3"/>
    <s v="8992745560449"/>
    <x v="8"/>
    <s v="STELLA MATIC"/>
    <s v="G1270"/>
    <x v="348"/>
    <n v="14"/>
    <s v="STELLA MATIC REFILL CAFFE LATTE 160ML X 12 KLG"/>
    <n v="46"/>
    <m/>
    <s v="G1"/>
    <s v="STELLA MATIC"/>
    <s v="27"/>
    <m/>
    <n v="0"/>
    <s v="REFILL"/>
    <s v="1"/>
    <s v="CAFFE LATTE"/>
    <s v="03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4022510"/>
    <m/>
    <n v="30490010400000"/>
    <x v="568"/>
    <s v="STELLA MTC REF F.CITRUS 12 PCS X 225ML 30573 SM15"/>
    <n v="30603110225010"/>
    <n v="0"/>
    <s v="STE MTC REF FRESH&amp;PROTECT F.CITRUS 225ML"/>
    <x v="3"/>
    <s v="8992745475590"/>
    <x v="8"/>
    <s v="STELLA MATIC"/>
    <s v="G1270"/>
    <x v="349"/>
    <n v="14"/>
    <s v="STELLA MATIC REFILL FLORAL CITRUS 225ML X 12 KLG"/>
    <n v="48"/>
    <m/>
    <s v="G1"/>
    <s v="STELLA MATIC"/>
    <s v="27"/>
    <m/>
    <n v="0"/>
    <s v="REFILL"/>
    <s v="1"/>
    <s v="FLORAL CITRUS"/>
    <s v="04"/>
    <s v="225ML"/>
    <s v="0225"/>
    <s v="KLG"/>
    <n v="1"/>
    <m/>
    <n v="0"/>
    <m/>
    <m/>
    <m/>
    <n v="3060311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225"/>
    <s v="225ML"/>
    <m/>
    <m/>
    <s v="KRT"/>
    <s v="GD01"/>
    <n v="11611"/>
    <n v="11612"/>
    <m/>
    <n v="1"/>
    <m/>
    <n v="12"/>
  </r>
  <r>
    <s v="G1270105016010"/>
    <m/>
    <n v="30621020000000"/>
    <x v="569"/>
    <s v="STELLA MTC REF GFNTSY 12PCSX160ML 50027 59947 SM05"/>
    <n v="30603040225010"/>
    <n v="0"/>
    <s v="STELLA MTC REF GREEN FANTASY 160ML RJV"/>
    <x v="3"/>
    <s v="8992745326229"/>
    <x v="8"/>
    <s v="STELLA MATIC"/>
    <s v="G1270"/>
    <x v="350"/>
    <n v="14"/>
    <s v="STELLA MATIC REFILL GREEN FANTASY 160ML X 12 KLG"/>
    <n v="48"/>
    <m/>
    <s v="G1"/>
    <s v="STELLA MATIC"/>
    <s v="27"/>
    <m/>
    <n v="0"/>
    <s v="REFILL"/>
    <s v="1"/>
    <s v="GREEN FANTASY"/>
    <s v="05"/>
    <s v="160ML"/>
    <s v="0160"/>
    <s v="KLG"/>
    <n v="1"/>
    <m/>
    <n v="0"/>
    <m/>
    <m/>
    <m/>
    <n v="3060304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5016010"/>
    <m/>
    <m/>
    <x v="570"/>
    <m/>
    <m/>
    <m/>
    <m/>
    <x v="3"/>
    <s v="8992745326229"/>
    <x v="8"/>
    <s v="STELLA MATIC"/>
    <s v="G1270"/>
    <x v="350"/>
    <n v="14"/>
    <s v="STELLA MATIC REFILL GREEN FANTASY 160ML X 12 KLG"/>
    <n v="48"/>
    <m/>
    <s v="G1"/>
    <s v="STELLA MATIC"/>
    <s v="27"/>
    <m/>
    <n v="0"/>
    <s v="REFILL"/>
    <s v="1"/>
    <s v="GREEN FANTASY"/>
    <s v="05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5016010"/>
    <m/>
    <n v="30611080225000"/>
    <x v="571"/>
    <s v="STELLA MTC REF GFNTSY 12PCSX160ML 50027 59947 SM05"/>
    <n v="30603040225010"/>
    <n v="0"/>
    <s v="STELLA MTC REF G.FANTASY 160+65ML RJV"/>
    <x v="3"/>
    <s v="8992745326229"/>
    <x v="8"/>
    <s v="STELLA MATIC"/>
    <s v="G1270"/>
    <x v="350"/>
    <n v="14"/>
    <s v="STELLA MATIC REFILL GREEN FANTASY 160ML X 12 KLG"/>
    <n v="48"/>
    <m/>
    <s v="G1"/>
    <s v="STELLA MATIC"/>
    <s v="27"/>
    <m/>
    <n v="0"/>
    <s v="REFILL"/>
    <s v="1"/>
    <s v="GREEN FANTASY"/>
    <s v="05"/>
    <s v="160ML"/>
    <s v="0160"/>
    <s v="KLG"/>
    <n v="1"/>
    <m/>
    <n v="0"/>
    <m/>
    <m/>
    <m/>
    <n v="3060304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5016010"/>
    <m/>
    <m/>
    <x v="572"/>
    <m/>
    <m/>
    <m/>
    <m/>
    <x v="3"/>
    <s v="8992745326229"/>
    <x v="8"/>
    <s v="STELLA MATIC"/>
    <s v="G1270"/>
    <x v="350"/>
    <n v="14"/>
    <s v="STELLA MATIC REFILL GREEN FANTASY 160ML X 12 KLG"/>
    <n v="48"/>
    <m/>
    <s v="G1"/>
    <s v="STELLA MATIC"/>
    <s v="27"/>
    <m/>
    <n v="0"/>
    <s v="REFILL"/>
    <s v="1"/>
    <s v="GREEN FANTASY"/>
    <s v="05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6016010"/>
    <m/>
    <n v="30622030040000"/>
    <x v="573"/>
    <s v="STL MTCP REF SAKURA 12KLGX160ML 50045 59945 SMP02"/>
    <n v="30611010225000"/>
    <n v="0"/>
    <s v="STELLA MTC REF J.SAKURA 160ML RJV"/>
    <x v="3"/>
    <s v="8992745610533"/>
    <x v="8"/>
    <s v="STELLA MATIC"/>
    <s v="G1270"/>
    <x v="351"/>
    <n v="14"/>
    <s v="STELLA MATIC REFILL JAPANESE SAKURA 160ML X 12 KLG"/>
    <n v="50"/>
    <m/>
    <s v="G1"/>
    <s v="STELLA MATIC"/>
    <s v="27"/>
    <m/>
    <n v="0"/>
    <s v="REFILL"/>
    <s v="1"/>
    <s v="JAPANESE SAKURA"/>
    <s v="06"/>
    <s v="160ML"/>
    <s v="0160"/>
    <s v="KLG"/>
    <n v="1"/>
    <m/>
    <n v="0"/>
    <m/>
    <m/>
    <m/>
    <n v="3061101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6016010"/>
    <m/>
    <n v="30622020040010"/>
    <x v="574"/>
    <s v="STL MTCP REF SAKURA 12KLGX160ML 50045 59945 SMP02"/>
    <n v="30611010225000"/>
    <n v="0"/>
    <s v="STELLA MTC REF J.SAKURA 160+65ML RJV"/>
    <x v="3"/>
    <s v="8992745610533"/>
    <x v="8"/>
    <s v="STELLA MATIC"/>
    <s v="G1270"/>
    <x v="351"/>
    <n v="14"/>
    <s v="STELLA MATIC REFILL JAPANESE SAKURA 160ML X 12 KLG"/>
    <n v="50"/>
    <m/>
    <s v="G1"/>
    <s v="STELLA MATIC"/>
    <s v="27"/>
    <m/>
    <n v="0"/>
    <s v="REFILL"/>
    <s v="1"/>
    <s v="JAPANESE SAKURA"/>
    <s v="06"/>
    <s v="160ML"/>
    <s v="0160"/>
    <s v="KLG"/>
    <n v="1"/>
    <m/>
    <n v="0"/>
    <m/>
    <m/>
    <m/>
    <n v="3061101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6016010"/>
    <m/>
    <m/>
    <x v="575"/>
    <m/>
    <m/>
    <m/>
    <m/>
    <x v="3"/>
    <m/>
    <x v="8"/>
    <s v="STELLA MATIC"/>
    <s v="G1270"/>
    <x v="351"/>
    <n v="14"/>
    <s v="STELLA MATIC REFILL JAPANESE SAKURA 160ML X 12 KLG"/>
    <n v="50"/>
    <m/>
    <s v="G1"/>
    <s v="STELLA MATIC"/>
    <s v="27"/>
    <m/>
    <n v="0"/>
    <s v="REFILL"/>
    <s v="1"/>
    <s v="JAPANESE SAKURA"/>
    <s v="06"/>
    <s v="160ML"/>
    <s v="0160"/>
    <s v="KLG"/>
    <n v="1"/>
    <m/>
    <n v="0"/>
    <m/>
    <m/>
    <m/>
    <n v="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7016010"/>
    <m/>
    <n v="30631060010000"/>
    <x v="576"/>
    <s v="STL MTCP REF S.LVNDR 12KLGX160ML 50032 59941 SMP06"/>
    <n v="30611040225000"/>
    <n v="0"/>
    <s v="STELLA MTC REF LAVENDER 160+65ML RJV"/>
    <x v="3"/>
    <s v="8992745610496"/>
    <x v="8"/>
    <s v="STELLA MATIC"/>
    <s v="G1270"/>
    <x v="352"/>
    <n v="14"/>
    <s v="STELLA MATIC REFILL LAVENDER 160ML X 12 KLG"/>
    <n v="43"/>
    <m/>
    <s v="G1"/>
    <s v="STELLA MATIC"/>
    <s v="27"/>
    <m/>
    <n v="0"/>
    <s v="REFILL"/>
    <s v="1"/>
    <s v="LAVENDER"/>
    <s v="07"/>
    <s v="160ML"/>
    <s v="0160"/>
    <s v="KLG"/>
    <n v="1"/>
    <m/>
    <n v="0"/>
    <m/>
    <m/>
    <m/>
    <n v="3061104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7016010"/>
    <m/>
    <m/>
    <x v="577"/>
    <m/>
    <m/>
    <m/>
    <m/>
    <x v="3"/>
    <s v="8992745610496"/>
    <x v="8"/>
    <s v="STELLA MATIC"/>
    <s v="G1270"/>
    <x v="352"/>
    <n v="14"/>
    <s v="STELLA MATIC REFILL LAVENDER 160ML X 12 KLG"/>
    <n v="43"/>
    <m/>
    <s v="G1"/>
    <s v="STELLA MATIC"/>
    <s v="27"/>
    <m/>
    <n v="0"/>
    <s v="REFILL"/>
    <s v="1"/>
    <s v="LAVENDER"/>
    <s v="07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7016010"/>
    <m/>
    <n v="30682000025020"/>
    <x v="578"/>
    <s v="STL MTCP REF S.LVNDR 12KLGX160ML 50032 59941 SMP06"/>
    <n v="30611040225000"/>
    <n v="0"/>
    <s v="STELLA MTC REF S.LAVENDER 160ML RJV"/>
    <x v="3"/>
    <s v="8992745610496"/>
    <x v="8"/>
    <s v="STELLA MATIC"/>
    <s v="G1270"/>
    <x v="352"/>
    <n v="14"/>
    <s v="STELLA MATIC REFILL LAVENDER 160ML X 12 KLG"/>
    <n v="43"/>
    <m/>
    <s v="G1"/>
    <s v="STELLA MATIC"/>
    <s v="27"/>
    <m/>
    <n v="0"/>
    <s v="REFILL"/>
    <s v="1"/>
    <s v="LAVENDER"/>
    <s v="07"/>
    <s v="160ML"/>
    <s v="0160"/>
    <s v="KLG"/>
    <n v="1"/>
    <m/>
    <n v="0"/>
    <m/>
    <m/>
    <m/>
    <n v="3061104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8016010"/>
    <m/>
    <n v="30631070010000"/>
    <x v="579"/>
    <s v="STELLA MTC REF LEMON F12PCSX160ML 50028 59944 SM09"/>
    <n v="30603060225010"/>
    <n v="0"/>
    <s v="STELLA MTC REF LEMON 160+65ML RJV"/>
    <x v="3"/>
    <s v="8992745325420"/>
    <x v="8"/>
    <s v="STELLA MATIC"/>
    <s v="G1270"/>
    <x v="353"/>
    <n v="14"/>
    <s v="STELLA MATIC REFILL LEMON 160ML X 12 KLG"/>
    <n v="40"/>
    <m/>
    <s v="G1"/>
    <s v="STELLA MATIC"/>
    <s v="27"/>
    <m/>
    <n v="0"/>
    <s v="REFILL"/>
    <s v="1"/>
    <s v="LEMON"/>
    <s v="08"/>
    <s v="160ML"/>
    <s v="0160"/>
    <s v="KLG"/>
    <n v="1"/>
    <m/>
    <n v="0"/>
    <m/>
    <m/>
    <m/>
    <n v="3060306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8016010"/>
    <m/>
    <n v="30631080010000"/>
    <x v="580"/>
    <s v="STELLA MTC REF LEMON F12PCSX160ML 50028 59944 SM09"/>
    <n v="30603060225010"/>
    <n v="0"/>
    <s v="STELLA MTC REF LEMON 160ML RJV"/>
    <x v="3"/>
    <s v="8992745325420"/>
    <x v="8"/>
    <s v="STELLA MATIC"/>
    <s v="G1270"/>
    <x v="353"/>
    <n v="14"/>
    <s v="STELLA MATIC REFILL LEMON 160ML X 12 KLG"/>
    <n v="40"/>
    <m/>
    <s v="G1"/>
    <s v="STELLA MATIC"/>
    <s v="27"/>
    <m/>
    <n v="0"/>
    <s v="REFILL"/>
    <s v="1"/>
    <s v="LEMON"/>
    <s v="08"/>
    <s v="160ML"/>
    <s v="0160"/>
    <s v="KLG"/>
    <n v="1"/>
    <m/>
    <n v="0"/>
    <m/>
    <m/>
    <m/>
    <n v="3060306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8016010"/>
    <m/>
    <m/>
    <x v="581"/>
    <m/>
    <m/>
    <m/>
    <m/>
    <x v="3"/>
    <s v="8992745325420"/>
    <x v="8"/>
    <s v="STELLA MATIC"/>
    <s v="G1270"/>
    <x v="353"/>
    <n v="14"/>
    <s v="STELLA MATIC REFILL LEMON 160ML X 12 KLG"/>
    <n v="40"/>
    <m/>
    <s v="G1"/>
    <s v="STELLA MATIC"/>
    <s v="27"/>
    <m/>
    <n v="0"/>
    <s v="REFILL"/>
    <s v="1"/>
    <s v="LEMON"/>
    <s v="08"/>
    <s v="160ML"/>
    <s v="0160"/>
    <s v="KLG"/>
    <n v="1"/>
    <m/>
    <n v="0"/>
    <m/>
    <m/>
    <m/>
    <n v="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9016010"/>
    <m/>
    <n v="30631020010000"/>
    <x v="582"/>
    <s v="STELLA MTC REF ORNGE12PCSX160ML 50029 57844 60565"/>
    <n v="30603050225010"/>
    <n v="0"/>
    <s v="STELLA MTC REF JEJU ORANGE 160ML."/>
    <x v="3"/>
    <s v="8992745325437"/>
    <x v="8"/>
    <s v="STELLA MATIC"/>
    <s v="G1270"/>
    <x v="354"/>
    <n v="14"/>
    <s v="STELLA MATIC REFILL ORANGE 160ML X 12 KLG"/>
    <n v="41"/>
    <m/>
    <s v="G1"/>
    <s v="STELLA MATIC"/>
    <s v="27"/>
    <m/>
    <n v="0"/>
    <s v="REFILL"/>
    <s v="1"/>
    <s v="ORANGE"/>
    <s v="09"/>
    <s v="160ML"/>
    <s v="0160"/>
    <s v="KLG"/>
    <n v="1"/>
    <m/>
    <n v="0"/>
    <m/>
    <m/>
    <m/>
    <n v="3060305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9016010"/>
    <m/>
    <n v="30650010650000"/>
    <x v="583"/>
    <s v="STELLA MTC REF ORNGE12PCSX160ML 50029 57844 60565"/>
    <n v="30603050225010"/>
    <n v="0"/>
    <s v="STELLA MTC REF ORANGE 160ML RJV"/>
    <x v="3"/>
    <s v="8992745325437"/>
    <x v="8"/>
    <s v="STELLA MATIC"/>
    <s v="G1270"/>
    <x v="354"/>
    <n v="14"/>
    <s v="STELLA MATIC REFILL ORANGE 160ML X 12 KLG"/>
    <n v="41"/>
    <m/>
    <s v="G1"/>
    <s v="STELLA MATIC"/>
    <s v="27"/>
    <m/>
    <n v="0"/>
    <s v="REFILL"/>
    <s v="1"/>
    <s v="ORANGE"/>
    <s v="09"/>
    <s v="160ML"/>
    <s v="0160"/>
    <s v="KLG"/>
    <n v="1"/>
    <m/>
    <n v="0"/>
    <m/>
    <m/>
    <m/>
    <n v="3060305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9016010"/>
    <m/>
    <n v="30650020650000"/>
    <x v="584"/>
    <s v="STELLA MTC REF ORNGE12PCSX160ML 50029 57844 60565"/>
    <n v="30603050225010"/>
    <n v="0"/>
    <s v="STELLA MTC REF ORANGE T. 160+65ML RJV"/>
    <x v="3"/>
    <s v="8992745325437"/>
    <x v="8"/>
    <s v="STELLA MATIC"/>
    <s v="G1270"/>
    <x v="354"/>
    <n v="14"/>
    <s v="STELLA MATIC REFILL ORANGE 160ML X 12 KLG"/>
    <n v="41"/>
    <m/>
    <s v="G1"/>
    <s v="STELLA MATIC"/>
    <s v="27"/>
    <m/>
    <n v="0"/>
    <s v="REFILL"/>
    <s v="1"/>
    <s v="ORANGE"/>
    <s v="09"/>
    <s v="160ML"/>
    <s v="0160"/>
    <s v="KLG"/>
    <n v="1"/>
    <m/>
    <n v="0"/>
    <m/>
    <m/>
    <m/>
    <n v="3060305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09016010"/>
    <m/>
    <m/>
    <x v="585"/>
    <m/>
    <m/>
    <m/>
    <m/>
    <x v="3"/>
    <s v="8992745325437"/>
    <x v="8"/>
    <s v="STELLA MATIC"/>
    <s v="G1270"/>
    <x v="354"/>
    <n v="14"/>
    <s v="STELLA MATIC REFILL ORANGE 160ML+65ML X 12 KLG"/>
    <n v="46"/>
    <m/>
    <s v="G1"/>
    <s v="STELLA MATIC"/>
    <s v="27"/>
    <m/>
    <n v="0"/>
    <s v="REFILL"/>
    <s v="1"/>
    <s v="ORANGE"/>
    <s v="09"/>
    <s v="160ML+65ML"/>
    <s v="0160"/>
    <s v="KLG"/>
    <n v="1"/>
    <m/>
    <n v="0"/>
    <m/>
    <m/>
    <m/>
    <n v="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+65ML"/>
    <m/>
    <m/>
    <s v="KRT"/>
    <s v="GD01"/>
    <n v="11611"/>
    <n v="11612"/>
    <m/>
    <n v="1"/>
    <m/>
    <n v="12"/>
  </r>
  <r>
    <s v="G1270109016010"/>
    <m/>
    <m/>
    <x v="586"/>
    <s v="STELLA MTC REF J. ORANGE 160+65ML RJV"/>
    <m/>
    <n v="0"/>
    <s v="STELLA MTC REF J.ORANGE 160+65 ML RJV"/>
    <x v="3"/>
    <s v="8992745325437"/>
    <x v="8"/>
    <s v="STELLA MATIC"/>
    <s v="G1270"/>
    <x v="354"/>
    <n v="14"/>
    <s v="STELLA MATIC REFILL ORANGE 160ML+65ML X 12 KLG"/>
    <n v="46"/>
    <m/>
    <s v="G1"/>
    <s v="STELLA MATIC"/>
    <s v="27"/>
    <m/>
    <n v="0"/>
    <s v="REFILL"/>
    <s v="1"/>
    <s v="ORANGE"/>
    <s v="09"/>
    <s v="160ML+65ML"/>
    <s v="0160"/>
    <s v="KLG"/>
    <n v="1"/>
    <m/>
    <n v="0"/>
    <m/>
    <m/>
    <m/>
    <n v="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+65ML"/>
    <m/>
    <m/>
    <s v="KRT"/>
    <s v="GD01"/>
    <n v="11611"/>
    <n v="11612"/>
    <m/>
    <n v="1"/>
    <m/>
    <n v="12"/>
  </r>
  <r>
    <s v="G1270108016010"/>
    <m/>
    <m/>
    <x v="587"/>
    <m/>
    <m/>
    <m/>
    <m/>
    <x v="3"/>
    <s v="8992745325437"/>
    <x v="8"/>
    <s v="STELLA MATIC"/>
    <s v="G1270"/>
    <x v="353"/>
    <n v="14"/>
    <s v="STELLA MATIC REFILL LEMON 160ML X 12 KLG"/>
    <n v="40"/>
    <m/>
    <s v="G1"/>
    <s v="STELLA MATIC"/>
    <s v="27"/>
    <m/>
    <n v="0"/>
    <s v="REFILL"/>
    <s v="1"/>
    <s v="LEMON"/>
    <s v="08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0016010"/>
    <m/>
    <n v="30670030100000"/>
    <x v="588"/>
    <s v="STL MTC REF R. AMPAT L12 KLG X 160ML 59956 SAE30"/>
    <n v="30490180160000"/>
    <n v="0"/>
    <s v="STELLA MTC REF RAJA AMPAT L. 160+65ML "/>
    <x v="3"/>
    <s v="8992745001041"/>
    <x v="8"/>
    <s v="STELLA MATIC"/>
    <s v="G1270"/>
    <x v="355"/>
    <n v="14"/>
    <s v="STELLA MATIC REFILL RAJA AMPAT LAGOON 160ML X 12 KLG"/>
    <n v="52"/>
    <m/>
    <s v="G1"/>
    <s v="STELLA MATIC"/>
    <s v="27"/>
    <m/>
    <n v="0"/>
    <s v="REFILL"/>
    <s v="1"/>
    <s v="RAJA AMPAT LAGOON"/>
    <s v="10"/>
    <s v="160ML"/>
    <s v="0160"/>
    <s v="KLG"/>
    <n v="1"/>
    <m/>
    <n v="0"/>
    <m/>
    <m/>
    <m/>
    <n v="30490180160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0016010"/>
    <m/>
    <n v="30682000025020"/>
    <x v="589"/>
    <s v="STL MTC REF R. AMPAT L 12 KLG X 160ML 59956 SAE30"/>
    <n v="30490180160000"/>
    <n v="0"/>
    <s v="STELLA MTC REF RAJA AMPAT L.160ML"/>
    <x v="3"/>
    <s v="8992745001041"/>
    <x v="8"/>
    <s v="STELLA MATIC"/>
    <s v="G1270"/>
    <x v="355"/>
    <n v="14"/>
    <s v="STELLA MATIC REFILL RAJA AMPAT LAGOON 160ML X 12 KLG"/>
    <n v="52"/>
    <m/>
    <s v="G1"/>
    <s v="STELLA MATIC"/>
    <s v="27"/>
    <m/>
    <n v="0"/>
    <s v="REFILL"/>
    <s v="1"/>
    <s v="RAJA AMPAT LAGOON"/>
    <s v="10"/>
    <s v="160ML"/>
    <s v="0160"/>
    <s v="KLG"/>
    <n v="1"/>
    <m/>
    <n v="0"/>
    <m/>
    <m/>
    <m/>
    <n v="30490180160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1016010"/>
    <m/>
    <n v="30650020650000"/>
    <x v="590"/>
    <s v="STL MTCP ROYAL KNNGA 12KLGX160ML 50034 59943 SMP09"/>
    <n v="30611080225000"/>
    <n v="0"/>
    <s v="STELLA MTC REF R.KENANGA 160+65ML RJV"/>
    <x v="3"/>
    <s v="8992745480136"/>
    <x v="8"/>
    <s v="STELLA MATIC"/>
    <s v="G1270"/>
    <x v="356"/>
    <n v="14"/>
    <s v="STELLA MATIC REFILL ROYAL KENANGA 160ML X 12 KLG"/>
    <n v="48"/>
    <m/>
    <s v="G1"/>
    <s v="STELLA MATIC"/>
    <s v="27"/>
    <m/>
    <n v="0"/>
    <s v="REFILL"/>
    <s v="1"/>
    <s v="ROYAL KENANGA"/>
    <s v="11"/>
    <s v="160ML"/>
    <s v="0160"/>
    <s v="KLG"/>
    <n v="1"/>
    <m/>
    <n v="0"/>
    <m/>
    <m/>
    <m/>
    <n v="3061108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1016010"/>
    <m/>
    <n v="30670010100000"/>
    <x v="591"/>
    <s v="STL MTCP ROYAL KNNGA 12KLGX160ML 50034 59943 SMP09"/>
    <n v="30611080225000"/>
    <n v="0"/>
    <s v="STELLA MTC REF R.KENANGA 160ML RJV"/>
    <x v="3"/>
    <s v="8992745480136"/>
    <x v="8"/>
    <s v="STELLA MATIC"/>
    <s v="G1270"/>
    <x v="356"/>
    <n v="14"/>
    <s v="STELLA MATIC REFILL ROYAL KENANGA 160ML X 12 KLG"/>
    <n v="48"/>
    <m/>
    <s v="G1"/>
    <s v="STELLA MATIC"/>
    <s v="27"/>
    <m/>
    <n v="0"/>
    <s v="REFILL"/>
    <s v="1"/>
    <s v="ROYAL KENANGA"/>
    <s v="11"/>
    <s v="160ML"/>
    <s v="0160"/>
    <s v="KLG"/>
    <n v="1"/>
    <m/>
    <n v="0"/>
    <m/>
    <m/>
    <m/>
    <n v="3061108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2016010"/>
    <m/>
    <n v="30684040060010"/>
    <x v="592"/>
    <s v="STL MTCP REF W.VERB 12KLGX160ML 50033 59939 SMP08"/>
    <n v="30611070225000"/>
    <n v="0"/>
    <s v="STELLA MTC REF W.VERBENA 160+65ML RJV"/>
    <x v="3"/>
    <s v="8992745480150"/>
    <x v="8"/>
    <s v="STELLA MATIC"/>
    <s v="G1270"/>
    <x v="357"/>
    <n v="14"/>
    <s v="STELLA MATIC REFILL WARM VERBENA 160ML X 12 KLG"/>
    <n v="47"/>
    <m/>
    <s v="G1"/>
    <s v="STELLA MATIC"/>
    <s v="27"/>
    <m/>
    <n v="0"/>
    <s v="REFILL"/>
    <s v="1"/>
    <s v="WARM VERBENA"/>
    <s v="12"/>
    <s v="160ML"/>
    <s v="0160"/>
    <s v="KLG"/>
    <n v="1"/>
    <m/>
    <n v="0"/>
    <m/>
    <m/>
    <m/>
    <n v="3061107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2016010"/>
    <m/>
    <m/>
    <x v="593"/>
    <m/>
    <m/>
    <m/>
    <m/>
    <x v="3"/>
    <s v="8992745480150"/>
    <x v="8"/>
    <s v="STELLA MATIC"/>
    <s v="G1270"/>
    <x v="357"/>
    <n v="14"/>
    <s v="STELLA MATIC REFILL WARM VERBENA 160ML X 12 KLG"/>
    <n v="47"/>
    <m/>
    <s v="G1"/>
    <s v="STELLA MATIC"/>
    <s v="27"/>
    <m/>
    <n v="0"/>
    <s v="REFILL"/>
    <s v="1"/>
    <s v="WARM VERBENA"/>
    <s v="12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2016010"/>
    <m/>
    <n v="30685010009010"/>
    <x v="594"/>
    <s v="STL MTCP REF W.VERB 12KLGX160ML 50033 59939 SMP08"/>
    <n v="30611070225000"/>
    <n v="0"/>
    <s v="STELLA MTC REF W.VERBENA 160ML RJV"/>
    <x v="3"/>
    <s v="8992745480150"/>
    <x v="8"/>
    <s v="STELLA MATIC"/>
    <s v="G1270"/>
    <x v="357"/>
    <n v="14"/>
    <s v="STELLA MATIC REFILL WARM VERBENA 160ML X 12 KLG"/>
    <n v="47"/>
    <m/>
    <s v="G1"/>
    <s v="STELLA MATIC"/>
    <s v="27"/>
    <m/>
    <n v="0"/>
    <s v="REFILL"/>
    <s v="1"/>
    <s v="WARM VERBENA"/>
    <s v="12"/>
    <s v="160ML"/>
    <s v="0160"/>
    <s v="KLG"/>
    <n v="1"/>
    <m/>
    <n v="0"/>
    <m/>
    <m/>
    <m/>
    <n v="3061107022500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3016010"/>
    <m/>
    <n v="30682040025010"/>
    <x v="595"/>
    <s v="STELLA MTC REF W.FLWR 12PCSX160ML 50046 59940 SM13"/>
    <n v="30603090225010"/>
    <n v="0"/>
    <s v="STELLA MTC REF W.FLOWER 160+65ML TTK RJV"/>
    <x v="3"/>
    <s v="8992745325550"/>
    <x v="8"/>
    <s v="STELLA MATIC"/>
    <s v="G1270"/>
    <x v="358"/>
    <n v="14"/>
    <s v="STELLA MATIC REFILL WILD FLOWER 160ML X 12 KLG"/>
    <n v="46"/>
    <m/>
    <s v="G1"/>
    <s v="STELLA MATIC"/>
    <s v="27"/>
    <m/>
    <n v="0"/>
    <s v="REFILL"/>
    <s v="1"/>
    <s v="WILD FLOWER"/>
    <s v="13"/>
    <s v="160ML"/>
    <s v="0160"/>
    <s v="KLG"/>
    <n v="1"/>
    <m/>
    <n v="0"/>
    <m/>
    <m/>
    <m/>
    <n v="3060309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3016010"/>
    <m/>
    <m/>
    <x v="596"/>
    <m/>
    <m/>
    <m/>
    <m/>
    <x v="3"/>
    <s v="8992745325550"/>
    <x v="8"/>
    <s v="STELLA MATIC"/>
    <s v="G1270"/>
    <x v="358"/>
    <n v="14"/>
    <s v="STELLA MATIC REFILL WILD FLOWER 160ML X 12 KLG"/>
    <n v="46"/>
    <m/>
    <s v="G1"/>
    <s v="STELLA MATIC"/>
    <s v="27"/>
    <m/>
    <n v="0"/>
    <s v="REFILL"/>
    <s v="1"/>
    <s v="WILD FLOWER"/>
    <s v="13"/>
    <s v="160ML"/>
    <s v="0160"/>
    <s v="KLG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3016010"/>
    <m/>
    <n v="30682050025010"/>
    <x v="597"/>
    <s v="STELLA MTC REF W.FLWR 12PCSX160ML 50046 59940 SM13"/>
    <n v="30603090225010"/>
    <n v="0"/>
    <s v="STELLA MTC REF W.FLOWER 160ML+TTKAN RJV"/>
    <x v="3"/>
    <s v="8992745325550"/>
    <x v="8"/>
    <s v="STELLA MATIC"/>
    <s v="G1270"/>
    <x v="358"/>
    <n v="14"/>
    <s v="STELLA MATIC REFILL WILD FLOWER 160ML X 12 KLG"/>
    <n v="46"/>
    <m/>
    <s v="G1"/>
    <s v="STELLA MATIC"/>
    <s v="27"/>
    <m/>
    <n v="0"/>
    <s v="REFILL"/>
    <s v="1"/>
    <s v="WILD FLOWER"/>
    <s v="13"/>
    <s v="160ML"/>
    <s v="0160"/>
    <s v="KLG"/>
    <n v="1"/>
    <m/>
    <n v="0"/>
    <m/>
    <m/>
    <m/>
    <n v="3060309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113016010"/>
    <m/>
    <n v="30683040060010"/>
    <x v="598"/>
    <s v="STELLA MTC REF W.FLWR 12PCSX160ML 50046 59940 SM13"/>
    <n v="30603090225010"/>
    <n v="0"/>
    <s v="STELLA MTC REF W.FLOWER 225ML+TTKAN RJV"/>
    <x v="3"/>
    <s v="8992745325550"/>
    <x v="8"/>
    <s v="STELLA MATIC"/>
    <s v="G1270"/>
    <x v="358"/>
    <n v="14"/>
    <s v="STELLA MATIC REFILL WILD FLOWER 160ML X 12 KLG"/>
    <n v="46"/>
    <m/>
    <s v="G1"/>
    <s v="STELLA MATIC"/>
    <s v="27"/>
    <m/>
    <n v="0"/>
    <s v="REFILL"/>
    <s v="1"/>
    <s v="WILD FLOWER"/>
    <s v="13"/>
    <s v="160ML"/>
    <s v="0160"/>
    <s v="KLG"/>
    <n v="1"/>
    <m/>
    <n v="0"/>
    <m/>
    <m/>
    <m/>
    <n v="30603090225010"/>
    <m/>
    <m/>
    <n v="12"/>
    <n v="26460.5"/>
    <n v="317526"/>
    <n v="29371.155000000002"/>
    <n v="352453.86000000004"/>
    <n v="28300"/>
    <n v="339600"/>
    <n v="31413.000000000004"/>
    <n v="376956.00000000006"/>
    <n v="0"/>
    <n v="0"/>
    <n v="0"/>
    <n v="0"/>
    <n v="6.5000000000000002E-2"/>
    <n v="-26460.5"/>
    <e v="#DIV/0!"/>
    <m/>
    <m/>
    <s v="Lama"/>
    <s v="Sama"/>
    <m/>
    <s v="IDR"/>
    <s v="0160"/>
    <s v="160ML"/>
    <m/>
    <m/>
    <s v="KRT"/>
    <s v="GD01"/>
    <n v="11611"/>
    <n v="11612"/>
    <m/>
    <n v="1"/>
    <m/>
    <n v="12"/>
  </r>
  <r>
    <s v="G1270201016010"/>
    <m/>
    <n v="30611010225010"/>
    <x v="599"/>
    <s v="STL MTC REF APPLE 6PCSX160ML MTP 50047 59952 SM11"/>
    <n v="30603070225011"/>
    <n v="0"/>
    <s v="STELLA MTC REF APPLE 160+65ML MTP RJV"/>
    <x v="4"/>
    <s v="8992745610717"/>
    <x v="8"/>
    <s v="STELLA MATIC"/>
    <s v="G1270"/>
    <x v="359"/>
    <n v="14"/>
    <s v="STELLA MATIC REFILL MULTI PACK APPLE 160ML X 6 KLG"/>
    <n v="50"/>
    <m/>
    <s v="G1"/>
    <s v="STELLA MATIC"/>
    <s v="27"/>
    <m/>
    <n v="0"/>
    <s v="REFILL MULTI PACK"/>
    <s v="2"/>
    <s v="APPLE"/>
    <s v="01"/>
    <s v="160ML"/>
    <s v="0160"/>
    <s v="KLG"/>
    <n v="1"/>
    <m/>
    <n v="0"/>
    <m/>
    <m/>
    <m/>
    <n v="3060307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1016010"/>
    <m/>
    <n v="30611010225011"/>
    <x v="600"/>
    <s v="STL MTC REF APPLE 6PCSX160ML MTP 50047 59952 SM11"/>
    <n v="30603070225011"/>
    <n v="0"/>
    <s v="STELLA MTC REF APPLE 2X160 ML MTP RJV"/>
    <x v="4"/>
    <s v="8992745610717"/>
    <x v="8"/>
    <s v="STELLA MATIC"/>
    <s v="G1270"/>
    <x v="359"/>
    <n v="14"/>
    <s v="STELLA MATIC REFILL MULTI PACK APPLE 160ML X 6 KLG"/>
    <n v="50"/>
    <m/>
    <s v="G1"/>
    <s v="STELLA MATIC"/>
    <s v="27"/>
    <m/>
    <n v="0"/>
    <s v="REFILL MULTI PACK"/>
    <s v="2"/>
    <s v="APPLE"/>
    <s v="01"/>
    <s v="160ML"/>
    <s v="0160"/>
    <s v="KLG"/>
    <n v="1"/>
    <m/>
    <n v="0"/>
    <m/>
    <m/>
    <m/>
    <n v="3060307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2016010"/>
    <m/>
    <n v="30611070225000"/>
    <x v="601"/>
    <s v="STL MTC REF CAFE L 6PCSX160ML MTP 50051 59950 SM03"/>
    <n v="30603020225011"/>
    <n v="30603020225011"/>
    <s v="STELLA MTC REF C.LATTE 2X160ML MTP RJV"/>
    <x v="4"/>
    <s v="8992745560753"/>
    <x v="8"/>
    <s v="STELLA MATIC"/>
    <s v="G1270"/>
    <x v="360"/>
    <n v="14"/>
    <s v="STELLA MATIC REFILL MULTI PACK CAFFE LATTE 160ML X 6 KLG"/>
    <n v="56"/>
    <m/>
    <s v="G1"/>
    <s v="STELLA MATIC"/>
    <s v="27"/>
    <m/>
    <n v="0"/>
    <s v="REFILL MULTI PACK"/>
    <s v="2"/>
    <s v="CAFFE LATTE"/>
    <s v="02"/>
    <s v="160ML"/>
    <s v="0160"/>
    <s v="KLG"/>
    <n v="1"/>
    <m/>
    <n v="0"/>
    <m/>
    <m/>
    <m/>
    <n v="3060302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2016010"/>
    <m/>
    <m/>
    <x v="602"/>
    <m/>
    <m/>
    <m/>
    <m/>
    <x v="4"/>
    <s v="8992745560753"/>
    <x v="8"/>
    <s v="STELLA MATIC"/>
    <s v="G1270"/>
    <x v="360"/>
    <n v="14"/>
    <s v="STELLA MATIC REFILL MULTI PACK CAFFE LATTE 160ML X 6 KLG"/>
    <n v="56"/>
    <m/>
    <s v="G1"/>
    <s v="STELLA MATIC"/>
    <s v="27"/>
    <m/>
    <n v="0"/>
    <s v="REFILL MULTI PACK"/>
    <s v="2"/>
    <s v="CAFFE LATTE"/>
    <s v="02"/>
    <s v="160ML"/>
    <s v="0160"/>
    <s v="KLG"/>
    <n v="1"/>
    <m/>
    <n v="0"/>
    <m/>
    <m/>
    <m/>
    <n v="0"/>
    <m/>
    <m/>
    <n v="6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2016010"/>
    <m/>
    <n v="30611040225011"/>
    <x v="603"/>
    <s v="STL MTC REF CAFE L 6PCSX160ML MTP 50051 59950 SM03"/>
    <n v="30603020225011"/>
    <n v="0"/>
    <s v="STELLA MTC REF C.LATTE 160+65ML MTP RJV"/>
    <x v="4"/>
    <s v="8992745560753"/>
    <x v="8"/>
    <s v="STELLA MATIC"/>
    <s v="G1270"/>
    <x v="360"/>
    <n v="14"/>
    <s v="STELLA MATIC REFILL MULTI PACK CAFFE LATTE 160ML X 6 KLG"/>
    <n v="56"/>
    <m/>
    <s v="G1"/>
    <s v="STELLA MATIC"/>
    <s v="27"/>
    <m/>
    <n v="0"/>
    <s v="REFILL MULTI PACK"/>
    <s v="2"/>
    <s v="CAFFE LATTE"/>
    <s v="02"/>
    <s v="160ML"/>
    <s v="0160"/>
    <s v="KLG"/>
    <n v="1"/>
    <m/>
    <n v="0"/>
    <m/>
    <m/>
    <m/>
    <n v="3060302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3016010"/>
    <m/>
    <n v="30611080225000"/>
    <x v="604"/>
    <s v="STL MTC REF G.FNTSY 6PCSX160MLMTP 50049 59948 SM06"/>
    <n v="30603040225011"/>
    <n v="0"/>
    <s v="STELLA MTC REF G.FANTASY 160+65ML MTPRJV"/>
    <x v="4"/>
    <s v="8992745560746"/>
    <x v="8"/>
    <s v="STELLA MATIC"/>
    <s v="G1270"/>
    <x v="361"/>
    <n v="14"/>
    <s v="STELLA MATIC REFILL MULTI PACK GREEN FANTASY 160ML X 6 KLG"/>
    <n v="58"/>
    <m/>
    <s v="G1"/>
    <s v="STELLA MATIC"/>
    <s v="27"/>
    <m/>
    <n v="0"/>
    <s v="REFILL MULTI PACK"/>
    <s v="2"/>
    <s v="GREEN FANTASY"/>
    <s v="03"/>
    <s v="160ML"/>
    <s v="0160"/>
    <s v="KLG"/>
    <n v="1"/>
    <m/>
    <n v="0"/>
    <m/>
    <m/>
    <m/>
    <n v="3060304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3016010"/>
    <m/>
    <n v="30621010000000"/>
    <x v="605"/>
    <s v="STL MTC REF G.FNTSY 6PCSX160MLMTP 50049 59948 SM06"/>
    <n v="30603040225011"/>
    <n v="0"/>
    <s v="STELLA MTC REF G.FANTASY 2X160ML MTP RJV"/>
    <x v="4"/>
    <s v="8992745560746"/>
    <x v="8"/>
    <s v="STELLA MATIC"/>
    <s v="G1270"/>
    <x v="361"/>
    <n v="14"/>
    <s v="STELLA MATIC REFILL MULTI PACK GREEN FANTASY 160ML X 6 KLG"/>
    <n v="58"/>
    <m/>
    <s v="G1"/>
    <s v="STELLA MATIC"/>
    <s v="27"/>
    <m/>
    <n v="0"/>
    <s v="REFILL MULTI PACK"/>
    <s v="2"/>
    <s v="GREEN FANTASY"/>
    <s v="03"/>
    <s v="160ML"/>
    <s v="0160"/>
    <s v="KLG"/>
    <n v="1"/>
    <m/>
    <n v="0"/>
    <m/>
    <m/>
    <m/>
    <n v="3060304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4016010"/>
    <m/>
    <n v="30622010040000"/>
    <x v="606"/>
    <s v="STL MTCP REF SKURA 6PCSX160MLMTP 50048 59946 SMP04"/>
    <n v="30611010225011"/>
    <n v="0"/>
    <s v="STELLA MTC REF J.SAKURA 160+65ML MTP RJV"/>
    <x v="4"/>
    <s v="8992745475644"/>
    <x v="8"/>
    <s v="STELLA MATIC"/>
    <s v="G1270"/>
    <x v="362"/>
    <n v="14"/>
    <s v="STELLA MATIC REFILL MULTI PACK JAPANESE SAKURA 160ML X 6 KLG"/>
    <n v="60"/>
    <m/>
    <s v="G1"/>
    <s v="STELLA MATIC"/>
    <s v="27"/>
    <m/>
    <n v="0"/>
    <s v="REFILL MULTI PACK"/>
    <s v="2"/>
    <s v="JAPANESE SAKURA"/>
    <s v="04"/>
    <s v="160ML"/>
    <s v="0160"/>
    <s v="KLG"/>
    <n v="1"/>
    <m/>
    <n v="0"/>
    <m/>
    <m/>
    <m/>
    <n v="3061101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4016010"/>
    <m/>
    <n v="30631010010000"/>
    <x v="607"/>
    <s v="STL MTCP REF SKURA 6PCSX160MLMTP 50048 59946 SMP04"/>
    <n v="30611010225011"/>
    <n v="0"/>
    <s v="STELLA MTC REF J.SAKURA 2X160ML MTP RJV"/>
    <x v="4"/>
    <s v="8992745475644"/>
    <x v="8"/>
    <s v="STELLA MATIC"/>
    <s v="G1270"/>
    <x v="362"/>
    <n v="14"/>
    <s v="STELLA MATIC REFILL MULTI PACK JAPANESE SAKURA 160ML X 6 KLG"/>
    <n v="60"/>
    <m/>
    <s v="G1"/>
    <s v="STELLA MATIC"/>
    <s v="27"/>
    <m/>
    <n v="0"/>
    <s v="REFILL MULTI PACK"/>
    <s v="2"/>
    <s v="JAPANESE SAKURA"/>
    <s v="04"/>
    <s v="160ML"/>
    <s v="0160"/>
    <s v="KLG"/>
    <n v="1"/>
    <m/>
    <n v="0"/>
    <m/>
    <m/>
    <m/>
    <n v="3061101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5016010"/>
    <m/>
    <n v="30631040010000"/>
    <x v="608"/>
    <s v="STL MTCP REF LVNDR 6PCSX160MLMTP 50052 59942 SMP10"/>
    <n v="30611040225011"/>
    <n v="0"/>
    <s v="STELLA MTC REF LAVENDER 160+65ML MTP RJV"/>
    <x v="4"/>
    <s v="8992745480235"/>
    <x v="8"/>
    <s v="STELLA MATIC"/>
    <s v="G1270"/>
    <x v="363"/>
    <n v="14"/>
    <s v="STELLA MATIC REFILL MULTI PACK LAVENDER 160ML X 6 KLG"/>
    <n v="53"/>
    <m/>
    <s v="G1"/>
    <s v="STELLA MATIC"/>
    <s v="27"/>
    <m/>
    <n v="0"/>
    <s v="REFILL MULTI PACK"/>
    <s v="2"/>
    <s v="LAVENDER"/>
    <s v="05"/>
    <s v="160ML"/>
    <s v="0160"/>
    <s v="KLG"/>
    <n v="1"/>
    <m/>
    <n v="0"/>
    <m/>
    <m/>
    <m/>
    <n v="3061104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5016010"/>
    <m/>
    <m/>
    <x v="609"/>
    <m/>
    <m/>
    <m/>
    <m/>
    <x v="4"/>
    <s v="8992745480235"/>
    <x v="8"/>
    <s v="STELLA MATIC"/>
    <s v="G1270"/>
    <x v="363"/>
    <n v="14"/>
    <s v="STELLA MATIC REFILL MULTI PACK LAVENDER 160ML X 6 KLG"/>
    <n v="53"/>
    <m/>
    <s v="G1"/>
    <s v="STELLA MATIC"/>
    <s v="27"/>
    <m/>
    <n v="0"/>
    <s v="REFILL MULTI PACK"/>
    <s v="2"/>
    <s v="LAVENDER"/>
    <s v="05"/>
    <s v="160ML"/>
    <s v="0160"/>
    <s v="KLG"/>
    <n v="1"/>
    <m/>
    <n v="0"/>
    <m/>
    <m/>
    <m/>
    <n v="0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5016010"/>
    <m/>
    <n v="30682040025010"/>
    <x v="610"/>
    <s v="STL MTCP REF LVNDR 6PCSX160MLMTP 50052 59942 SMP10"/>
    <n v="30611040225011"/>
    <n v="0"/>
    <s v="STELLA MTC REF S.LAVENDER 2X160 MTP RJV"/>
    <x v="4"/>
    <s v="8992745480235"/>
    <x v="8"/>
    <s v="STELLA MATIC"/>
    <s v="G1270"/>
    <x v="363"/>
    <n v="14"/>
    <s v="STELLA MATIC REFILL MULTI PACK LAVENDER 160ML X 6 KLG"/>
    <n v="53"/>
    <m/>
    <s v="G1"/>
    <s v="STELLA MATIC"/>
    <s v="27"/>
    <m/>
    <n v="0"/>
    <s v="REFILL MULTI PACK"/>
    <s v="2"/>
    <s v="LAVENDER"/>
    <s v="05"/>
    <s v="160ML"/>
    <s v="0160"/>
    <s v="KLG"/>
    <n v="1"/>
    <m/>
    <n v="0"/>
    <m/>
    <m/>
    <m/>
    <n v="3061104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6016010"/>
    <m/>
    <n v="30631030010000"/>
    <x v="611"/>
    <s v="STL MTC REF ORNGE 6PCSX160ML MTP 43523 50050 58075"/>
    <n v="30603050225011"/>
    <n v="0"/>
    <s v="STELLA MTC REF JEJU ORANGE 2X160ML MTP."/>
    <x v="4"/>
    <s v="8992745560739"/>
    <x v="8"/>
    <s v="STELLA MATIC"/>
    <s v="G1270"/>
    <x v="364"/>
    <n v="14"/>
    <s v="STELLA MATIC REFILL MULTI PACK ORANGE 160ML X 6 KLG"/>
    <n v="51"/>
    <m/>
    <s v="G1"/>
    <s v="STELLA MATIC"/>
    <s v="27"/>
    <m/>
    <n v="0"/>
    <s v="REFILL MULTI PACK"/>
    <s v="2"/>
    <s v="ORANGE"/>
    <s v="06"/>
    <s v="160ML"/>
    <s v="0160"/>
    <s v="KLG"/>
    <n v="1"/>
    <m/>
    <n v="0"/>
    <m/>
    <m/>
    <m/>
    <n v="3060305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6016010"/>
    <m/>
    <n v="30650010650000"/>
    <x v="612"/>
    <s v="STL MTC REF ORNGE 6PCSX160ML MTP 43523 50050 58075"/>
    <n v="30603050225011"/>
    <n v="0"/>
    <s v="STELLA MTC REF ORANGE 2X160ML MTP RJV"/>
    <x v="4"/>
    <s v="8992745560739"/>
    <x v="8"/>
    <s v="STELLA MATIC"/>
    <s v="G1270"/>
    <x v="364"/>
    <n v="14"/>
    <s v="STELLA MATIC REFILL MULTI PACK ORANGE 160ML X 6 KLG"/>
    <n v="51"/>
    <m/>
    <s v="G1"/>
    <s v="STELLA MATIC"/>
    <s v="27"/>
    <m/>
    <n v="0"/>
    <s v="REFILL MULTI PACK"/>
    <s v="2"/>
    <s v="ORANGE"/>
    <s v="06"/>
    <s v="160ML"/>
    <s v="0160"/>
    <s v="KLG"/>
    <n v="1"/>
    <m/>
    <n v="0"/>
    <m/>
    <m/>
    <m/>
    <n v="30603050225011"/>
    <m/>
    <m/>
    <n v="6"/>
    <n v="50022.5"/>
    <n v="300135"/>
    <n v="55524.975000000006"/>
    <n v="333149.85000000003"/>
    <n v="53500"/>
    <n v="321000"/>
    <n v="59385.000000000007"/>
    <n v="356310.00000000006"/>
    <n v="0"/>
    <n v="0"/>
    <n v="0"/>
    <n v="0"/>
    <n v="6.5000000000000002E-2"/>
    <n v="-50022.5"/>
    <e v="#DIV/0!"/>
    <m/>
    <m/>
    <s v="Lama"/>
    <s v="Sama"/>
    <m/>
    <s v="IDR"/>
    <s v="0160"/>
    <s v="160ML"/>
    <m/>
    <m/>
    <s v="KRT"/>
    <s v="GD01"/>
    <n v="11611"/>
    <n v="11612"/>
    <m/>
    <n v="1"/>
    <m/>
    <n v="6"/>
  </r>
  <r>
    <s v="G1270206016010"/>
    <m/>
    <m/>
    <x v="613"/>
    <s v="STL MTC REF ORNGE 6PCSX160ML MTP 43523 50050 59955"/>
    <m/>
    <m/>
    <m/>
    <x v="0"/>
    <m/>
    <x v="8"/>
    <s v="STELLA MATIC"/>
    <s v="G1270"/>
    <x v="364"/>
    <n v="14"/>
    <s v="STELLA MATIC REFILL MULTI PACK ORANGE 160ML X KLG"/>
    <n v="49"/>
    <m/>
    <s v="G1"/>
    <s v="STELLA MATIC"/>
    <s v="27"/>
    <m/>
    <n v="0"/>
    <s v="REFILL MULTI PACK"/>
    <s v="2"/>
    <s v="ORANGE"/>
    <s v="06"/>
    <s v="160ML"/>
    <s v="0160"/>
    <s v="KLG"/>
    <n v="1"/>
    <m/>
    <n v="0"/>
    <m/>
    <m/>
    <m/>
    <n v="0"/>
    <m/>
    <m/>
    <n v="0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160"/>
    <s v="160ML"/>
    <m/>
    <m/>
    <s v="KRT"/>
    <s v="GD01"/>
    <n v="11611"/>
    <n v="11612"/>
    <m/>
    <n v="1"/>
    <m/>
    <n v="0"/>
  </r>
  <r>
    <s v="G1270300000010"/>
    <m/>
    <n v="30603070225010"/>
    <x v="614"/>
    <s v="STL MTC SET 12 BOX X 1KG 60575 60607 60758"/>
    <n v="30601000000000"/>
    <n v="0"/>
    <s v="STELLA MATIC BOX SET NEWSIZE"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30601000000000"/>
    <m/>
    <m/>
    <n v="12"/>
    <n v="56399.199999999997"/>
    <n v="676790.39999999991"/>
    <n v="62603.112000000001"/>
    <n v="751237.34399999992"/>
    <n v="60320"/>
    <n v="723840"/>
    <n v="66955.200000000012"/>
    <n v="803462.4"/>
    <n v="0"/>
    <n v="0"/>
    <n v="0"/>
    <n v="0"/>
    <n v="6.5000000000000044E-2"/>
    <n v="-56399.199999999997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0300000010"/>
    <m/>
    <n v="30603070225011"/>
    <x v="615"/>
    <s v="STL MTC SET 12 BOX X 1KG 60575 60607 60758"/>
    <n v="30601000000000"/>
    <n v="0"/>
    <s v="STELLA MATIC BOX SET+FREE AER. 140ML MIX"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30601000000000"/>
    <m/>
    <m/>
    <n v="12"/>
    <n v="56399.199999999997"/>
    <n v="676790.39999999991"/>
    <n v="62603.112000000001"/>
    <n v="751237.34399999992"/>
    <n v="60320"/>
    <n v="723840"/>
    <n v="66955.200000000012"/>
    <n v="803462.4"/>
    <n v="0"/>
    <n v="0"/>
    <n v="0"/>
    <n v="0"/>
    <n v="6.5000000000000044E-2"/>
    <n v="-56399.199999999997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0300000010"/>
    <m/>
    <n v="30603090225010"/>
    <x v="616"/>
    <s v="STL MTC SET 12 BOX X 1KG 60575 60607 60758"/>
    <n v="30601000000000"/>
    <n v="0"/>
    <s v="STELLA MATIC BOXSET B.JASMINE S EDITION."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30601000000000"/>
    <m/>
    <m/>
    <n v="12"/>
    <n v="56399.199999999997"/>
    <n v="676790.39999999991"/>
    <n v="62603.112000000001"/>
    <n v="751237.34399999992"/>
    <n v="60320"/>
    <n v="723840"/>
    <n v="66955.200000000012"/>
    <n v="803462.4"/>
    <n v="0"/>
    <n v="0"/>
    <n v="0"/>
    <n v="0"/>
    <n v="6.5000000000000044E-2"/>
    <n v="-56399.199999999997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0300000010"/>
    <m/>
    <n v="30603070225010"/>
    <x v="617"/>
    <s v="STL MTC SET 12 BOX X IKG 60575 60607 60758"/>
    <n v="30601000000000"/>
    <n v="0"/>
    <s v="STELLA MATIC BOX SET + HANG N FLIP EXTRA"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30601000000000"/>
    <m/>
    <m/>
    <n v="12"/>
    <n v="56399.199999999997"/>
    <n v="676790.39999999991"/>
    <n v="62603.112000000001"/>
    <n v="751237.34399999992"/>
    <n v="60320"/>
    <n v="723840"/>
    <n v="66955.200000000012"/>
    <n v="803462.4"/>
    <n v="0"/>
    <n v="0"/>
    <n v="0"/>
    <n v="0"/>
    <n v="6.5000000000000044E-2"/>
    <n v="-56399.199999999997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0300000010"/>
    <m/>
    <n v="30603070225011"/>
    <x v="618"/>
    <s v="STL MTC SET 12 BOX X IKG 60575 60607 60758"/>
    <n v="30601000000000"/>
    <n v="0"/>
    <s v="STELLA MATIC BOX SET+FREE AEROSOL 140ML"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30601000000000"/>
    <m/>
    <m/>
    <n v="12"/>
    <n v="56399.199999999997"/>
    <n v="676790.39999999991"/>
    <n v="62603.112000000001"/>
    <n v="751237.34399999992"/>
    <n v="60320"/>
    <n v="723840"/>
    <n v="66955.200000000012"/>
    <n v="803462.4"/>
    <n v="0"/>
    <n v="0"/>
    <n v="0"/>
    <n v="0"/>
    <n v="6.5000000000000044E-2"/>
    <n v="-56399.199999999997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0300000010"/>
    <m/>
    <n v="30685010025010"/>
    <x v="619"/>
    <s v="STL MTC SET 12 BOX X IKG 60575 60607 60758"/>
    <n v="30601000000000"/>
    <n v="0"/>
    <s v="STELLA MTC SET + HANG N FLIP RJV EXTRA"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30601000000000"/>
    <m/>
    <m/>
    <n v="12"/>
    <n v="56399.199999999997"/>
    <n v="676790.39999999991"/>
    <n v="62603.112000000001"/>
    <n v="751237.34399999992"/>
    <n v="60320"/>
    <n v="723840"/>
    <n v="66955.200000000012"/>
    <n v="803462.4"/>
    <n v="0"/>
    <n v="0"/>
    <n v="0"/>
    <n v="0"/>
    <n v="6.5000000000000044E-2"/>
    <n v="-56399.199999999997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0300000010"/>
    <m/>
    <n v="30685050025010"/>
    <x v="620"/>
    <s v="STL MTC SET 12 BOX X IKG 60575 60607 60758"/>
    <n v="30601000000000"/>
    <n v="0"/>
    <s v="STELLA MTC SET + MTC SET RAL RJV EXTRA"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30601000000000"/>
    <m/>
    <m/>
    <n v="12"/>
    <n v="56399.199999999997"/>
    <n v="676790.39999999991"/>
    <n v="62603.112000000001"/>
    <n v="751237.34399999992"/>
    <n v="60320"/>
    <n v="723840"/>
    <n v="66955.200000000012"/>
    <n v="803462.4"/>
    <n v="0"/>
    <n v="0"/>
    <n v="0"/>
    <n v="0"/>
    <n v="6.5000000000000044E-2"/>
    <n v="-56399.199999999997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0300000010"/>
    <m/>
    <m/>
    <x v="621"/>
    <m/>
    <m/>
    <m/>
    <m/>
    <x v="3"/>
    <s v="8992745325406"/>
    <x v="10"/>
    <s v="STELLA MATIC"/>
    <s v="G1270"/>
    <x v="365"/>
    <n v="14"/>
    <s v="STELLA MATIC SET X 12 BOX"/>
    <n v="25"/>
    <m/>
    <s v="G1"/>
    <s v="STELLA MATIC"/>
    <s v="27"/>
    <m/>
    <n v="0"/>
    <s v="SET"/>
    <s v="3"/>
    <m/>
    <s v="00"/>
    <m/>
    <s v="0000"/>
    <s v="BOX"/>
    <n v="1"/>
    <m/>
    <n v="0"/>
    <m/>
    <m/>
    <m/>
    <n v="0"/>
    <m/>
    <m/>
    <n v="1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1101004010"/>
    <m/>
    <n v="30603110225010"/>
    <x v="622"/>
    <s v="STELLA M.MTC REF CAFE L. 24 KLGX40ML 28520 SMM03"/>
    <n v="30622010040000"/>
    <n v="0"/>
    <s v="Stella Mini Mtc Ref Caffe Latte 40 ml"/>
    <x v="5"/>
    <s v="8992745560784"/>
    <x v="8"/>
    <s v="STELLA MATIC MINI"/>
    <s v="G1271"/>
    <x v="366"/>
    <n v="14"/>
    <s v="STELLA MATIC MINI REFILL CAFFE LATTE 40ML X 24 KLG"/>
    <n v="50"/>
    <m/>
    <s v="G1"/>
    <s v="STELLA MATIC"/>
    <s v="27"/>
    <s v="MINI"/>
    <n v="1"/>
    <s v="REFILL"/>
    <s v="1"/>
    <s v="CAFFE LATTE"/>
    <s v="01"/>
    <s v="40ML"/>
    <s v="0040"/>
    <s v="KLG"/>
    <n v="1"/>
    <m/>
    <n v="0"/>
    <m/>
    <m/>
    <m/>
    <n v="30622010040000"/>
    <m/>
    <m/>
    <n v="24"/>
    <n v="20850.5"/>
    <n v="500412"/>
    <n v="23144.055"/>
    <n v="555457.32000000007"/>
    <n v="22300"/>
    <n v="535200"/>
    <n v="24753.000000000004"/>
    <n v="594072"/>
    <n v="0"/>
    <n v="0"/>
    <n v="0"/>
    <n v="0"/>
    <n v="6.5000000000000002E-2"/>
    <n v="-20850.5"/>
    <e v="#DIV/0!"/>
    <m/>
    <m/>
    <s v="Lama"/>
    <s v="Sama"/>
    <m/>
    <s v="IDR"/>
    <s v="0040"/>
    <s v="40ML"/>
    <m/>
    <m/>
    <s v="KRT"/>
    <s v="GD01"/>
    <n v="11611"/>
    <n v="11612"/>
    <m/>
    <n v="1"/>
    <m/>
    <n v="24"/>
  </r>
  <r>
    <s v="G1271102004010"/>
    <m/>
    <n v="30603120160010"/>
    <x v="623"/>
    <s v="STELLA M.MTC REF D.ISLAND 24 KLGX40ML 28519 SMM05"/>
    <n v="30622030040000"/>
    <n v="0"/>
    <s v="Stella Mini Mtc Ref Dream Island 40 ml"/>
    <x v="5"/>
    <s v="8992745560807"/>
    <x v="8"/>
    <s v="STELLA MATIC MINI"/>
    <s v="G1271"/>
    <x v="367"/>
    <n v="14"/>
    <s v="STELLA MATIC MINI REFILL DREAM ISLAND 40ML X 24 KLG"/>
    <n v="51"/>
    <m/>
    <s v="G1"/>
    <s v="STELLA MATIC"/>
    <s v="27"/>
    <s v="MINI"/>
    <n v="1"/>
    <s v="REFILL"/>
    <s v="1"/>
    <s v="DREAM ISLAND"/>
    <s v="02"/>
    <s v="40ML"/>
    <s v="0040"/>
    <s v="KLG"/>
    <n v="1"/>
    <m/>
    <n v="0"/>
    <m/>
    <m/>
    <m/>
    <n v="30622030040000"/>
    <m/>
    <m/>
    <n v="24"/>
    <n v="20850.5"/>
    <n v="500412"/>
    <n v="23144.055"/>
    <n v="555457.32000000007"/>
    <n v="22300"/>
    <n v="535200"/>
    <n v="24753.000000000004"/>
    <n v="594072"/>
    <n v="0"/>
    <n v="0"/>
    <n v="0"/>
    <n v="0"/>
    <n v="6.5000000000000002E-2"/>
    <n v="-20850.5"/>
    <e v="#DIV/0!"/>
    <m/>
    <m/>
    <s v="Lama"/>
    <s v="Sama"/>
    <m/>
    <s v="IDR"/>
    <s v="0040"/>
    <s v="40ML"/>
    <m/>
    <m/>
    <s v="KRT"/>
    <s v="GD01"/>
    <n v="11611"/>
    <n v="11612"/>
    <m/>
    <n v="1"/>
    <m/>
    <n v="24"/>
  </r>
  <r>
    <s v="G1271103004010"/>
    <m/>
    <n v="30603120160010"/>
    <x v="624"/>
    <s v="STELLA M.MTC REF G.FANTASY 24 PCSX40ML 7717 SMM04"/>
    <n v="30622020040010"/>
    <n v="0"/>
    <s v="Stella Mini Mtc Ref. G.Fantasy 40 ml"/>
    <x v="5"/>
    <s v="8992745326137"/>
    <x v="8"/>
    <s v="STELLA MATIC MINI"/>
    <s v="G1271"/>
    <x v="368"/>
    <n v="14"/>
    <s v="STELLA MATIC MINI REFILL GREEN FANTASY 40ML X 24 KLG"/>
    <n v="52"/>
    <m/>
    <s v="G1"/>
    <s v="STELLA MATIC"/>
    <s v="27"/>
    <s v="MINI"/>
    <n v="1"/>
    <s v="REFILL"/>
    <s v="1"/>
    <s v="GREEN FANTASY"/>
    <s v="03"/>
    <s v="40ML"/>
    <s v="0040"/>
    <s v="KLG"/>
    <n v="1"/>
    <m/>
    <n v="0"/>
    <m/>
    <m/>
    <m/>
    <n v="30622020040010"/>
    <m/>
    <m/>
    <n v="24"/>
    <n v="20850.5"/>
    <n v="500412"/>
    <n v="23144.055"/>
    <n v="555457.32000000007"/>
    <n v="22300"/>
    <n v="535200"/>
    <n v="24753.000000000004"/>
    <n v="594072"/>
    <n v="0"/>
    <n v="0"/>
    <n v="0"/>
    <n v="0"/>
    <n v="6.5000000000000002E-2"/>
    <n v="-20850.5"/>
    <e v="#DIV/0!"/>
    <m/>
    <m/>
    <s v="Lama"/>
    <s v="Sama"/>
    <m/>
    <s v="IDR"/>
    <s v="0040"/>
    <s v="40ML"/>
    <m/>
    <m/>
    <s v="KRT"/>
    <s v="GD01"/>
    <n v="11611"/>
    <n v="11612"/>
    <m/>
    <n v="1"/>
    <m/>
    <n v="24"/>
  </r>
  <r>
    <s v="G1271104004010"/>
    <m/>
    <n v="30622060040010"/>
    <x v="625"/>
    <s v="STELLA M.MTC REF T.BREEZE 24 PCSX40ML &quot;7723&quot;SMM08"/>
    <n v="30622060040010"/>
    <n v="0"/>
    <n v="0"/>
    <x v="5"/>
    <n v="0"/>
    <x v="8"/>
    <s v="STELLA MATIC MINI"/>
    <s v="G1271"/>
    <x v="369"/>
    <n v="14"/>
    <s v="STELLA MATIC MINI REFILL TROPICAL BREEZE 40ML X 24 KLG"/>
    <n v="54"/>
    <m/>
    <s v="G1"/>
    <s v="STELLA MATIC"/>
    <s v="27"/>
    <s v="MINI"/>
    <n v="1"/>
    <s v="REFILL"/>
    <s v="1"/>
    <s v="TROPICAL BREEZE"/>
    <s v="04"/>
    <s v="40ML"/>
    <s v="0040"/>
    <s v="KLG"/>
    <n v="1"/>
    <m/>
    <n v="0"/>
    <m/>
    <m/>
    <m/>
    <n v="30622060040010"/>
    <m/>
    <m/>
    <n v="24"/>
    <n v="20850.5"/>
    <n v="500412"/>
    <n v="23144.055"/>
    <n v="555457.32000000007"/>
    <n v="22300"/>
    <n v="535200"/>
    <n v="24753.000000000004"/>
    <n v="594072"/>
    <n v="0"/>
    <n v="0"/>
    <n v="0"/>
    <n v="0"/>
    <n v="6.5000000000000002E-2"/>
    <n v="-20850.5"/>
    <e v="#DIV/0!"/>
    <m/>
    <m/>
    <s v="Lama"/>
    <s v="Sama"/>
    <m/>
    <s v="IDR"/>
    <s v="0040"/>
    <s v="40ML"/>
    <m/>
    <m/>
    <s v="KRT"/>
    <s v="GD01"/>
    <n v="11611"/>
    <n v="11612"/>
    <m/>
    <n v="1"/>
    <m/>
    <n v="24"/>
  </r>
  <r>
    <s v="G1271201000010"/>
    <m/>
    <n v="30603090225010"/>
    <x v="626"/>
    <s v="STELLA M.MTC SET CAFE LATTE 24 KLG X 29249 SMM01"/>
    <n v="30621010000000"/>
    <n v="0"/>
    <s v="Stella Mini Matic Set C. Latte"/>
    <x v="5"/>
    <s v="8992745326120"/>
    <x v="8"/>
    <s v="STELLA MATIC MINI"/>
    <s v="G1271"/>
    <x v="370"/>
    <n v="14"/>
    <s v="STELLA MATIC MINI SET CAFFE LATTE X 24 KLG"/>
    <n v="42"/>
    <m/>
    <s v="G1"/>
    <s v="STELLA MATIC"/>
    <s v="27"/>
    <s v="MINI"/>
    <n v="1"/>
    <s v="SET"/>
    <s v="2"/>
    <s v="CAFFE LATTE"/>
    <s v="01"/>
    <m/>
    <s v="0000"/>
    <s v="KLG"/>
    <n v="1"/>
    <m/>
    <n v="0"/>
    <m/>
    <m/>
    <m/>
    <n v="30621010000000"/>
    <m/>
    <m/>
    <n v="24"/>
    <n v="44915.53"/>
    <n v="1077972.72"/>
    <n v="49856.238300000005"/>
    <n v="1196549.7192000002"/>
    <n v="48038"/>
    <n v="1152912"/>
    <n v="53322.180000000008"/>
    <n v="1279732.32"/>
    <n v="0"/>
    <n v="0"/>
    <n v="0"/>
    <n v="0"/>
    <n v="6.500000000000003E-2"/>
    <n v="-44915.53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71202000010"/>
    <m/>
    <n v="30603090225010"/>
    <x v="627"/>
    <s v="STELLA M.MTC SET G.FANTASY 24 KLG X 28611 SMM02"/>
    <n v="30621020000000"/>
    <n v="0"/>
    <s v="Stella Mini Matic Set G. Fantasy"/>
    <x v="5"/>
    <s v="8992745326120"/>
    <x v="8"/>
    <s v="STELLA MATIC MINI"/>
    <s v="G1271"/>
    <x v="371"/>
    <n v="14"/>
    <s v="STELLA MATIC MINI SET GREEN FANTASY X 24 KLG"/>
    <n v="44"/>
    <m/>
    <s v="G1"/>
    <s v="STELLA MATIC"/>
    <s v="27"/>
    <s v="MINI"/>
    <n v="1"/>
    <s v="SET"/>
    <s v="2"/>
    <s v="GREEN FANTASY"/>
    <s v="02"/>
    <m/>
    <s v="0000"/>
    <s v="KLG"/>
    <n v="1"/>
    <m/>
    <n v="0"/>
    <m/>
    <m/>
    <m/>
    <n v="30621020000000"/>
    <m/>
    <m/>
    <n v="24"/>
    <n v="44915.53"/>
    <n v="1077972.72"/>
    <n v="49856.238300000005"/>
    <n v="1196549.7192000002"/>
    <n v="48038"/>
    <n v="1152912"/>
    <n v="53322.180000000008"/>
    <n v="1279732.32"/>
    <n v="0"/>
    <n v="0"/>
    <n v="0"/>
    <n v="0"/>
    <n v="6.500000000000003E-2"/>
    <n v="-44915.53"/>
    <e v="#DIV/0!"/>
    <m/>
    <m/>
    <s v="Lama"/>
    <s v="Sama"/>
    <m/>
    <s v="IDR"/>
    <s v="0000"/>
    <n v="0"/>
    <m/>
    <m/>
    <s v="KRT"/>
    <s v="GD01"/>
    <n v="11611"/>
    <n v="11612"/>
    <m/>
    <n v="1"/>
    <m/>
    <n v="24"/>
  </r>
  <r>
    <s v="G1272100000010"/>
    <m/>
    <n v="30691000000000"/>
    <x v="628"/>
    <s v="STELLA MTC PARFUMIST SMART 12 PCS X 60133 29829"/>
    <n v="30602010000010"/>
    <n v="0"/>
    <s v="STELLA MTC SET PARFUMIST SMART"/>
    <x v="3"/>
    <s v="8992745705413"/>
    <x v="5"/>
    <s v="STELLA MATIC PARFUMIST SMART"/>
    <s v="G1272"/>
    <x v="372"/>
    <n v="14"/>
    <s v="STELLA MATIC PARFUMIST SMART SET X 12 PCS"/>
    <n v="41"/>
    <m/>
    <s v="G1"/>
    <s v="STELLA MATIC"/>
    <s v="27"/>
    <s v="PARFUMIST SMART"/>
    <n v="2"/>
    <s v="SET"/>
    <s v="1"/>
    <m/>
    <s v="00"/>
    <m/>
    <s v="0000"/>
    <s v="PCS"/>
    <n v="1"/>
    <m/>
    <n v="0"/>
    <m/>
    <m/>
    <m/>
    <n v="30602010000010"/>
    <m/>
    <m/>
    <n v="12"/>
    <n v="76604.55"/>
    <n v="919254.60000000009"/>
    <n v="85031.050500000012"/>
    <n v="1020372.6060000001"/>
    <n v="81930"/>
    <n v="983160"/>
    <n v="90942.3"/>
    <n v="1091307.6000000001"/>
    <n v="0"/>
    <n v="0"/>
    <n v="0"/>
    <n v="0"/>
    <n v="6.4999999999999961E-2"/>
    <n v="-76604.55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72100000010"/>
    <m/>
    <n v="31320030004000"/>
    <x v="629"/>
    <s v="STELLA MTC PARFUMIST SMART 12 PCS X 60133 29829"/>
    <n v="30602010000010"/>
    <n v="0"/>
    <s v="STELLA SMART MTC BOX RJV 160ML EXTRA"/>
    <x v="3"/>
    <s v="8992745705413"/>
    <x v="5"/>
    <s v="STELLA MATIC PARFUMIST SMART"/>
    <s v="G1272"/>
    <x v="372"/>
    <n v="14"/>
    <s v="STELLA MATIC PARFUMIST SMART SET X 12 PCS"/>
    <n v="41"/>
    <m/>
    <s v="G1"/>
    <s v="STELLA MATIC"/>
    <s v="27"/>
    <s v="PARFUMIST SMART"/>
    <n v="2"/>
    <s v="SET"/>
    <s v="1"/>
    <m/>
    <s v="00"/>
    <m/>
    <s v="0000"/>
    <s v="PCS"/>
    <n v="1"/>
    <m/>
    <n v="0"/>
    <m/>
    <m/>
    <m/>
    <n v="30602010000010"/>
    <m/>
    <m/>
    <n v="12"/>
    <n v="76604.55"/>
    <n v="919254.60000000009"/>
    <n v="85031.050500000012"/>
    <n v="1020372.6060000001"/>
    <n v="81930"/>
    <n v="983160"/>
    <n v="90942.3"/>
    <n v="1091307.6000000001"/>
    <n v="0"/>
    <n v="0"/>
    <n v="0"/>
    <n v="0"/>
    <n v="6.4999999999999961E-2"/>
    <n v="-76604.55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80101000010"/>
    <m/>
    <n v="30611010225000"/>
    <x v="630"/>
    <s v="STELLA MIST DIFFUSER REFFIL LEMON 12 PCS 34917 S08"/>
    <n v="30684040060010"/>
    <n v="0"/>
    <s v="STELLA MIST DIFF LG REFF"/>
    <x v="3"/>
    <s v="8992745480280"/>
    <x v="5"/>
    <s v="STELLA MIST DIFFUSER"/>
    <s v="G1280"/>
    <x v="373"/>
    <n v="14"/>
    <s v="STELLA MIST DIFFUSER REFILL LEMON X 12 PCS"/>
    <n v="42"/>
    <m/>
    <s v="G1"/>
    <s v="STELLA MIST DIFFUSER"/>
    <s v="28"/>
    <m/>
    <n v="0"/>
    <s v="REFILL"/>
    <s v="1"/>
    <s v="LEMON"/>
    <s v="01"/>
    <m/>
    <s v="0000"/>
    <s v="PCS"/>
    <n v="1"/>
    <m/>
    <n v="0"/>
    <m/>
    <m/>
    <m/>
    <n v="30684040060010"/>
    <m/>
    <m/>
    <n v="12"/>
    <n v="35436.5"/>
    <n v="425238"/>
    <n v="39334.515000000007"/>
    <n v="472014.18000000005"/>
    <n v="37900"/>
    <n v="454800"/>
    <n v="42069.000000000007"/>
    <n v="504828.00000000006"/>
    <n v="0"/>
    <n v="0"/>
    <n v="0"/>
    <n v="0"/>
    <n v="6.5000000000000002E-2"/>
    <n v="-35436.5"/>
    <e v="#DIV/0!"/>
    <m/>
    <m/>
    <s v="Lama"/>
    <s v="Sama"/>
    <m/>
    <s v="IDR"/>
    <s v="0000"/>
    <n v="0"/>
    <m/>
    <m/>
    <s v="KRT"/>
    <s v="GD01"/>
    <n v="11611"/>
    <n v="11612"/>
    <m/>
    <n v="1"/>
    <m/>
    <n v="12"/>
  </r>
  <r>
    <s v="G1280201000010"/>
    <m/>
    <n v="30611010225000"/>
    <x v="631"/>
    <s v="STELLA MIST DIFFUSER SET LEMON 6 PCS 34894 S07"/>
    <n v="30683040060010"/>
    <n v="0"/>
    <s v="STELLA MIST DIFF LG SET"/>
    <x v="4"/>
    <s v="8992745480273"/>
    <x v="5"/>
    <s v="STELLA MIST DIFFUSER"/>
    <s v="G1280"/>
    <x v="374"/>
    <n v="14"/>
    <s v="STELLA MIST DIFFUSER SET LEMON X 6 PCS"/>
    <n v="38"/>
    <m/>
    <s v="G1"/>
    <s v="STELLA MIST DIFFUSER"/>
    <s v="28"/>
    <m/>
    <n v="0"/>
    <s v="SET"/>
    <s v="2"/>
    <s v="LEMON"/>
    <s v="01"/>
    <m/>
    <s v="0000"/>
    <s v="PCS"/>
    <n v="1"/>
    <m/>
    <n v="0"/>
    <m/>
    <m/>
    <m/>
    <n v="30683040060010"/>
    <m/>
    <m/>
    <n v="6"/>
    <n v="140717.5"/>
    <n v="844305"/>
    <n v="156196.42500000002"/>
    <n v="937178.55"/>
    <n v="150500"/>
    <n v="903000"/>
    <n v="167055.00000000003"/>
    <n v="1002330.0000000001"/>
    <n v="0"/>
    <n v="0"/>
    <n v="0"/>
    <n v="0"/>
    <n v="6.5000000000000002E-2"/>
    <n v="-140717.5"/>
    <e v="#DIV/0!"/>
    <m/>
    <m/>
    <s v="Lama"/>
    <s v="Sama"/>
    <m/>
    <s v="IDR"/>
    <s v="0000"/>
    <n v="0"/>
    <m/>
    <m/>
    <s v="KRT"/>
    <s v="GD01"/>
    <n v="11611"/>
    <n v="11612"/>
    <m/>
    <n v="1"/>
    <m/>
    <n v="6"/>
  </r>
  <r>
    <s v="G1290001000020"/>
    <m/>
    <n v="30692000000000"/>
    <x v="632"/>
    <s v="STL POCBATH F&amp;P BLUE 72 PCSX10GR 43484 33711 SPB03"/>
    <n v="30631030010000"/>
    <n v="0"/>
    <s v="STELLA POCKET BATHROOM BLUE RJV"/>
    <x v="6"/>
    <s v="8992745940166"/>
    <x v="5"/>
    <s v="STELLA POCKET BATHROOM"/>
    <s v="G1290"/>
    <x v="375"/>
    <n v="14"/>
    <s v="STELLA POCKET BATHROOM BLUE X 72 PCS"/>
    <n v="36"/>
    <m/>
    <s v="G1"/>
    <s v="STELLA POCKET BATHROOM"/>
    <s v="29"/>
    <m/>
    <n v="0"/>
    <m/>
    <s v="0"/>
    <s v="BLUE"/>
    <s v="01"/>
    <m/>
    <s v="0000"/>
    <s v="PCS"/>
    <n v="2"/>
    <m/>
    <n v="0"/>
    <m/>
    <m/>
    <m/>
    <n v="30631030010000"/>
    <m/>
    <m/>
    <n v="72"/>
    <n v="6498.25"/>
    <n v="467874"/>
    <n v="7213.0575000000008"/>
    <n v="519340.14000000007"/>
    <n v="6950"/>
    <n v="500400"/>
    <n v="7714.5000000000009"/>
    <n v="555444"/>
    <n v="0"/>
    <n v="0"/>
    <n v="0"/>
    <n v="0"/>
    <n v="6.5000000000000002E-2"/>
    <n v="-6498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1000020"/>
    <m/>
    <m/>
    <x v="633"/>
    <m/>
    <m/>
    <m/>
    <m/>
    <x v="6"/>
    <m/>
    <x v="5"/>
    <s v="STELLA POCKET BATHROOM"/>
    <s v="G1290"/>
    <x v="375"/>
    <n v="14"/>
    <s v="STELLA POCKET BATHROOM BLUE X 72 PCS"/>
    <n v="36"/>
    <m/>
    <s v="G1"/>
    <s v="STELLA POCKET BATHROOM"/>
    <s v="29"/>
    <m/>
    <n v="0"/>
    <m/>
    <s v="0"/>
    <s v="BLUE"/>
    <s v="01"/>
    <m/>
    <s v="0000"/>
    <s v="PCS"/>
    <n v="2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2000020"/>
    <m/>
    <n v="30692000040000"/>
    <x v="634"/>
    <s v="STELLA POCBATH F&amp;P EXOTIC 72 PCS X 50840 SPB07"/>
    <n v="30631070010000"/>
    <n v="0"/>
    <s v="STELLA POCKET BATHROOM EXOTIC FRUIT."/>
    <x v="6"/>
    <s v="8992745000341"/>
    <x v="5"/>
    <s v="STELLA POCKET BATHROOM"/>
    <s v="G1290"/>
    <x v="376"/>
    <n v="14"/>
    <s v="STELLA POCKET BATHROOM EXOTIC FRUIT X 72 PCS"/>
    <n v="44"/>
    <m/>
    <s v="G1"/>
    <s v="STELLA POCKET BATHROOM"/>
    <s v="29"/>
    <m/>
    <n v="0"/>
    <m/>
    <s v="0"/>
    <s v="EXOTIC FRUIT"/>
    <s v="02"/>
    <m/>
    <s v="0000"/>
    <s v="PCS"/>
    <n v="2"/>
    <m/>
    <n v="0"/>
    <m/>
    <m/>
    <m/>
    <n v="30631070010000"/>
    <m/>
    <m/>
    <n v="72"/>
    <n v="6498.25"/>
    <n v="467874"/>
    <n v="7213.0575000000008"/>
    <n v="519340.14000000007"/>
    <n v="6950"/>
    <n v="500400"/>
    <n v="7714.5000000000009"/>
    <n v="555444"/>
    <n v="0"/>
    <n v="0"/>
    <n v="0"/>
    <n v="0"/>
    <n v="6.5000000000000002E-2"/>
    <n v="-6498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3000020"/>
    <m/>
    <n v="30693000000000"/>
    <x v="635"/>
    <s v="STELLA PBATH F&amp;P GREN 72PCSX10GR 33712 43505 SPB04"/>
    <n v="30631040010000"/>
    <n v="0"/>
    <s v="STELLA POCKET BATHROOM GREEN RJV"/>
    <x v="6"/>
    <s v="8992745940135"/>
    <x v="5"/>
    <s v="STELLA POCKET BATHROOM"/>
    <s v="G1290"/>
    <x v="377"/>
    <n v="14"/>
    <s v="STELLA POCKET BATHROOM GREEN X 72 PCS"/>
    <n v="37"/>
    <m/>
    <s v="G1"/>
    <s v="STELLA POCKET BATHROOM"/>
    <s v="29"/>
    <m/>
    <n v="0"/>
    <m/>
    <s v="0"/>
    <s v="GREEN"/>
    <s v="03"/>
    <m/>
    <s v="0000"/>
    <s v="PCS"/>
    <n v="2"/>
    <m/>
    <n v="0"/>
    <m/>
    <m/>
    <m/>
    <n v="30631040010000"/>
    <m/>
    <m/>
    <n v="72"/>
    <n v="6498.25"/>
    <n v="467874"/>
    <n v="7213.0575000000008"/>
    <n v="519340.14000000007"/>
    <n v="6950"/>
    <n v="500400"/>
    <n v="7714.5000000000009"/>
    <n v="555444"/>
    <n v="0"/>
    <n v="0"/>
    <n v="0"/>
    <n v="0"/>
    <n v="6.5000000000000002E-2"/>
    <n v="-6498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3000020"/>
    <m/>
    <m/>
    <x v="636"/>
    <m/>
    <m/>
    <m/>
    <m/>
    <x v="6"/>
    <m/>
    <x v="5"/>
    <s v="STELLA POCKET BATHROOM"/>
    <s v="G1290"/>
    <x v="377"/>
    <n v="14"/>
    <s v="STELLA POCKET BATHROOM GREEN X 72 PCS"/>
    <n v="37"/>
    <m/>
    <s v="G1"/>
    <s v="STELLA POCKET BATHROOM"/>
    <s v="29"/>
    <m/>
    <n v="0"/>
    <m/>
    <s v="0"/>
    <s v="GREEN"/>
    <s v="03"/>
    <m/>
    <s v="0000"/>
    <s v="PCS"/>
    <n v="2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4000020"/>
    <m/>
    <n v="30695050009010"/>
    <x v="637"/>
    <s v="STELLA POCBATH F&amp;P LUXURIOS 72 PCS X 50841 SPB08"/>
    <n v="30631080010000"/>
    <n v="0"/>
    <s v="STELLA POCKET BATHROOM LUXURIOS FLOWER."/>
    <x v="6"/>
    <s v="8992745000358"/>
    <x v="5"/>
    <s v="STELLA POCKET BATHROOM"/>
    <s v="G1290"/>
    <x v="378"/>
    <n v="14"/>
    <s v="STELLA POCKET BATHROOM LUXURIOS FLOWER X 72 PCS"/>
    <n v="47"/>
    <m/>
    <s v="G1"/>
    <s v="STELLA POCKET BATHROOM"/>
    <s v="29"/>
    <m/>
    <n v="0"/>
    <m/>
    <s v="0"/>
    <s v="LUXURIOS FLOWER"/>
    <s v="04"/>
    <m/>
    <s v="0000"/>
    <s v="PCS"/>
    <n v="2"/>
    <m/>
    <n v="0"/>
    <m/>
    <m/>
    <m/>
    <n v="30631080010000"/>
    <m/>
    <m/>
    <n v="72"/>
    <n v="6498.25"/>
    <n v="467874"/>
    <n v="7213.0575000000008"/>
    <n v="519340.14000000007"/>
    <n v="6950"/>
    <n v="500400"/>
    <n v="7714.5000000000009"/>
    <n v="555444"/>
    <n v="0"/>
    <n v="0"/>
    <n v="0"/>
    <n v="0"/>
    <n v="6.5000000000000002E-2"/>
    <n v="-6498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5000020"/>
    <m/>
    <n v="30700010220000"/>
    <x v="638"/>
    <s v="STL POCBATH F&amp;P ORANGE 72PCSX10G 43483 33710 SPB01"/>
    <n v="30631010010000"/>
    <n v="0"/>
    <s v="STELLA POCKET BATHROOM ORANGE RJV"/>
    <x v="6"/>
    <s v="8992745940128"/>
    <x v="5"/>
    <s v="STELLA POCKET BATHROOM"/>
    <s v="G1290"/>
    <x v="379"/>
    <n v="14"/>
    <s v="STELLA POCKET BATHROOM ORANGE X 72 PCS"/>
    <n v="38"/>
    <m/>
    <s v="G1"/>
    <s v="STELLA POCKET BATHROOM"/>
    <s v="29"/>
    <m/>
    <n v="0"/>
    <m/>
    <s v="0"/>
    <s v="ORANGE"/>
    <s v="05"/>
    <m/>
    <s v="0000"/>
    <s v="PCS"/>
    <n v="2"/>
    <m/>
    <n v="0"/>
    <m/>
    <m/>
    <m/>
    <n v="30631010010000"/>
    <m/>
    <m/>
    <n v="72"/>
    <n v="6498.25"/>
    <n v="467874"/>
    <n v="7213.0575000000008"/>
    <n v="519340.14000000007"/>
    <n v="6950"/>
    <n v="500400"/>
    <n v="7714.5000000000009"/>
    <n v="555444"/>
    <n v="0"/>
    <n v="0"/>
    <n v="0"/>
    <n v="0"/>
    <n v="6.5000000000000002E-2"/>
    <n v="-6498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5000020"/>
    <m/>
    <m/>
    <x v="639"/>
    <m/>
    <m/>
    <m/>
    <m/>
    <x v="6"/>
    <s v="8992745940128"/>
    <x v="5"/>
    <s v="STELLA POCKET BATHROOM"/>
    <s v="G1290"/>
    <x v="379"/>
    <n v="14"/>
    <s v="STELLA POCKET BATHROOM ORANGE X 72 PCS"/>
    <n v="38"/>
    <m/>
    <s v="G1"/>
    <s v="STELLA POCKET BATHROOM"/>
    <s v="29"/>
    <m/>
    <n v="0"/>
    <m/>
    <s v="0"/>
    <s v="ORANGE"/>
    <s v="05"/>
    <m/>
    <s v="0000"/>
    <s v="PCS"/>
    <n v="2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6000020"/>
    <m/>
    <n v="30721010000010"/>
    <x v="640"/>
    <s v="STL POCBATH F&amp;P PURP 72PCSX10GR 33709 43482 SPB02"/>
    <n v="30631020010000"/>
    <n v="0"/>
    <s v="STELLA POCKET BATHROOM PURPLE RJV"/>
    <x v="6"/>
    <s v="8992745940142"/>
    <x v="5"/>
    <s v="STELLA POCKET BATHROOM"/>
    <s v="G1290"/>
    <x v="380"/>
    <n v="14"/>
    <s v="STELLA POCKET BATHROOM PURPLE X 72 PCS"/>
    <n v="38"/>
    <m/>
    <s v="G1"/>
    <s v="STELLA POCKET BATHROOM"/>
    <s v="29"/>
    <m/>
    <n v="0"/>
    <m/>
    <s v="0"/>
    <s v="PURPLE"/>
    <s v="06"/>
    <m/>
    <s v="0000"/>
    <s v="PCS"/>
    <n v="2"/>
    <m/>
    <n v="0"/>
    <m/>
    <m/>
    <m/>
    <n v="30631020010000"/>
    <m/>
    <m/>
    <n v="72"/>
    <n v="6498.25"/>
    <n v="467874"/>
    <n v="7213.0575000000008"/>
    <n v="519340.14000000007"/>
    <n v="6950"/>
    <n v="500400"/>
    <n v="7714.5000000000009"/>
    <n v="555444"/>
    <n v="0"/>
    <n v="0"/>
    <n v="0"/>
    <n v="0"/>
    <n v="6.5000000000000002E-2"/>
    <n v="-6498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6000020"/>
    <m/>
    <n v="30721010000010"/>
    <x v="641"/>
    <m/>
    <n v="30631020010000"/>
    <m/>
    <m/>
    <x v="6"/>
    <s v="8992745940142"/>
    <x v="5"/>
    <s v="STELLA POCKET BATHROOM"/>
    <s v="G1290"/>
    <x v="380"/>
    <n v="14"/>
    <s v="STELLA POCKET BATHROOM PURPLE X 72 PCS"/>
    <n v="38"/>
    <m/>
    <s v="G1"/>
    <s v="STELLA POCKET BATHROOM"/>
    <s v="29"/>
    <m/>
    <n v="0"/>
    <m/>
    <s v="0"/>
    <s v="PURPLE"/>
    <s v="06"/>
    <m/>
    <s v="0000"/>
    <s v="PCS"/>
    <n v="2"/>
    <m/>
    <n v="0"/>
    <m/>
    <m/>
    <m/>
    <n v="30631020010000"/>
    <m/>
    <m/>
    <n v="72"/>
    <n v="6498.25"/>
    <n v="467874"/>
    <n v="7213.0575000000008"/>
    <n v="519340.14000000007"/>
    <n v="6950"/>
    <n v="500400"/>
    <n v="7714.5000000000009"/>
    <n v="555444"/>
    <n v="0"/>
    <n v="0"/>
    <n v="0"/>
    <n v="0"/>
    <n v="6.5000000000000002E-2"/>
    <n v="-6498.25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6000020"/>
    <m/>
    <m/>
    <x v="642"/>
    <m/>
    <m/>
    <m/>
    <m/>
    <x v="6"/>
    <s v="8992745940142"/>
    <x v="5"/>
    <s v="STELLA POCKET BATHROOM"/>
    <s v="G1290"/>
    <x v="380"/>
    <n v="14"/>
    <s v="STELLA POCKET BATHROOM PURPLE X 72 PCS"/>
    <n v="38"/>
    <m/>
    <s v="G1"/>
    <s v="STELLA POCKET BATHROOM"/>
    <s v="29"/>
    <m/>
    <n v="0"/>
    <m/>
    <s v="0"/>
    <s v="PURPLE"/>
    <s v="06"/>
    <m/>
    <s v="0000"/>
    <s v="PCS"/>
    <n v="2"/>
    <m/>
    <n v="0"/>
    <m/>
    <m/>
    <m/>
    <n v="0"/>
    <m/>
    <m/>
    <n v="72"/>
    <n v="0"/>
    <n v="0"/>
    <n v="0"/>
    <n v="0"/>
    <m/>
    <n v="0"/>
    <n v="0"/>
    <n v="0"/>
    <n v="0"/>
    <n v="0"/>
    <n v="0"/>
    <n v="0"/>
    <e v="#DIV/0!"/>
    <n v="0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007000020"/>
    <m/>
    <n v="30510020042000"/>
    <x v="643"/>
    <s v="STELLA BATHROOM F.GREEN 72 PCS X 42GR &quot;33286&quot;SB02"/>
    <n v="30510020042000"/>
    <n v="0"/>
    <n v="0"/>
    <x v="6"/>
    <n v="0"/>
    <x v="5"/>
    <s v="STELLA POCKET BATHROOM"/>
    <s v="G1290"/>
    <x v="381"/>
    <n v="14"/>
    <s v="STELLA POCKET BATHROOM FRESH GREEN X 72 PCS"/>
    <n v="43"/>
    <m/>
    <s v="G1"/>
    <s v="STELLA POCKET BATHROOM"/>
    <s v="29"/>
    <m/>
    <n v="0"/>
    <m/>
    <s v="0"/>
    <s v="FRESH GREEN"/>
    <s v="07"/>
    <m/>
    <s v="0000"/>
    <s v="PCS"/>
    <n v="2"/>
    <m/>
    <n v="0"/>
    <m/>
    <m/>
    <m/>
    <n v="30510020042000"/>
    <m/>
    <m/>
    <n v="72"/>
    <n v="6919"/>
    <n v="498168"/>
    <n v="7680.0900000000011"/>
    <n v="552966.4800000001"/>
    <n v="7400"/>
    <n v="532800"/>
    <n v="8214"/>
    <n v="591408"/>
    <n v="0"/>
    <n v="0"/>
    <n v="0"/>
    <n v="0"/>
    <n v="6.5000000000000002E-2"/>
    <n v="-6919"/>
    <e v="#DIV/0!"/>
    <m/>
    <m/>
    <s v="Lama"/>
    <s v="Sama"/>
    <m/>
    <s v="IDR"/>
    <s v="0000"/>
    <n v="0"/>
    <m/>
    <m/>
    <s v="KRT"/>
    <s v="GD01"/>
    <n v="11611"/>
    <n v="11612"/>
    <m/>
    <n v="1"/>
    <m/>
    <n v="72"/>
  </r>
  <r>
    <s v="G1290100000010"/>
    <m/>
    <n v="30721020000010"/>
    <x v="644"/>
    <s v="STL POCBATH F&amp;P MULTIPACK 18 BOX X10GR 56279 SPB06"/>
    <n v="30631060010000"/>
    <n v="0"/>
    <s v="STELLA POCKET BATHROOM RJV - MTP 4 PCS."/>
    <x v="14"/>
    <s v="8992745000372"/>
    <x v="10"/>
    <s v="STELLA POCKET BATHROOM"/>
    <s v="G1290"/>
    <x v="382"/>
    <n v="14"/>
    <s v="STELLA POCKET BATHROOM MULTI PACK X 18 BOX"/>
    <n v="42"/>
    <m/>
    <s v="G1"/>
    <s v="STELLA POCKET BATHROOM"/>
    <s v="29"/>
    <m/>
    <n v="0"/>
    <s v="MULTI PACK"/>
    <s v="1"/>
    <m/>
    <s v="00"/>
    <m/>
    <s v="0000"/>
    <s v="BOX"/>
    <n v="1"/>
    <m/>
    <n v="0"/>
    <m/>
    <m/>
    <m/>
    <n v="30631060010000"/>
    <m/>
    <m/>
    <n v="18"/>
    <n v="21598.5"/>
    <n v="388773"/>
    <n v="23974.335000000003"/>
    <n v="431538.03"/>
    <n v="23100"/>
    <n v="415800"/>
    <n v="25641.000000000004"/>
    <n v="461538.00000000006"/>
    <n v="0"/>
    <n v="0"/>
    <n v="0"/>
    <n v="0"/>
    <n v="6.5000000000000002E-2"/>
    <n v="-21598.5"/>
    <e v="#DIV/0!"/>
    <m/>
    <m/>
    <s v="Lama"/>
    <s v="Sama"/>
    <m/>
    <s v="IDR"/>
    <s v="0000"/>
    <n v="0"/>
    <m/>
    <m/>
    <s v="KRT"/>
    <s v="GD01"/>
    <n v="11611"/>
    <n v="11612"/>
    <m/>
    <n v="1"/>
    <m/>
    <n v="18"/>
  </r>
  <r>
    <s v="G1301000000010"/>
    <m/>
    <n v="31320030004000"/>
    <x v="645"/>
    <s v="SUSEMI SABUT POLOS 576 PCS 8523 SUS03"/>
    <n v="30693000000000"/>
    <n v="0"/>
    <s v="SUSEMI Sabut Polos (Isi 12)"/>
    <x v="8"/>
    <s v="8992742995213"/>
    <x v="5"/>
    <s v="SUSEMI SABUT POLOS"/>
    <s v="G1301"/>
    <x v="383"/>
    <n v="14"/>
    <s v="SUSEMI SABUT POLOS X 576 PCS"/>
    <n v="28"/>
    <m/>
    <s v="G1"/>
    <s v="SUSEMI"/>
    <s v="30"/>
    <s v="SABUT POLOS"/>
    <n v="1"/>
    <m/>
    <s v="0"/>
    <m/>
    <s v="00"/>
    <m/>
    <s v="0000"/>
    <s v="PCS"/>
    <n v="1"/>
    <m/>
    <n v="0"/>
    <m/>
    <m/>
    <m/>
    <n v="30693000000000"/>
    <m/>
    <m/>
    <n v="576"/>
    <n v="1122"/>
    <n v="646272"/>
    <n v="1245.42"/>
    <n v="717361.92"/>
    <n v="1200"/>
    <n v="691200"/>
    <n v="1332.0000000000002"/>
    <n v="767232.00000000012"/>
    <n v="0"/>
    <n v="0"/>
    <n v="0"/>
    <n v="0"/>
    <n v="6.5000000000000002E-2"/>
    <n v="-1122"/>
    <e v="#DIV/0!"/>
    <m/>
    <m/>
    <s v="Lama"/>
    <s v="Sama"/>
    <m/>
    <s v="IDR"/>
    <s v="0000"/>
    <n v="0"/>
    <m/>
    <m/>
    <s v="KRT"/>
    <s v="GD01"/>
    <n v="11611"/>
    <n v="11612"/>
    <m/>
    <n v="1"/>
    <m/>
    <n v="576"/>
  </r>
  <r>
    <s v="G1302000000010"/>
    <m/>
    <n v="301320200450101"/>
    <x v="646"/>
    <s v="SUSEMI SABUT SPON 288 PCS 8487 SUS01"/>
    <n v="30691000000000"/>
    <n v="0"/>
    <s v="SUSEMI Sabut Spon 24x12"/>
    <x v="11"/>
    <s v="8992742375350"/>
    <x v="5"/>
    <s v="SUSEMI SABUT SPON"/>
    <s v="G1302"/>
    <x v="384"/>
    <n v="14"/>
    <s v="SUSEMI SABUT SPON X 288 PCS"/>
    <n v="27"/>
    <m/>
    <s v="G1"/>
    <s v="SUSEMI"/>
    <s v="30"/>
    <s v="SABUT SPON"/>
    <n v="2"/>
    <m/>
    <s v="0"/>
    <m/>
    <s v="00"/>
    <m/>
    <s v="0000"/>
    <s v="PCS"/>
    <n v="1"/>
    <m/>
    <n v="0"/>
    <m/>
    <m/>
    <m/>
    <n v="30691000000000"/>
    <m/>
    <m/>
    <n v="288"/>
    <n v="1122"/>
    <n v="323136"/>
    <n v="1245.42"/>
    <n v="358680.96"/>
    <n v="1200"/>
    <n v="345600"/>
    <n v="1332.0000000000002"/>
    <n v="383616.00000000006"/>
    <n v="0"/>
    <n v="0"/>
    <n v="0"/>
    <n v="0"/>
    <n v="6.5000000000000002E-2"/>
    <n v="-1122"/>
    <e v="#DIV/0!"/>
    <m/>
    <m/>
    <s v="Lama"/>
    <s v="Sama"/>
    <m/>
    <s v="IDR"/>
    <s v="0000"/>
    <n v="0"/>
    <m/>
    <m/>
    <s v="KRT"/>
    <s v="GD01"/>
    <n v="11611"/>
    <n v="11612"/>
    <m/>
    <n v="1"/>
    <m/>
    <n v="288"/>
  </r>
  <r>
    <s v="G1303000004010"/>
    <m/>
    <n v="301330500350101"/>
    <x v="647"/>
    <s v="SUSEMI SABUT STAINLESS 72 PCS X 40GR 18633 SUS04"/>
    <n v="30692000040000"/>
    <n v="0"/>
    <s v="SUSEMI SABUT STAINLESS 40 GR"/>
    <x v="6"/>
    <s v="8992742375398"/>
    <x v="5"/>
    <s v="SUSEMI SABUT STAINLESS"/>
    <s v="G1303"/>
    <x v="385"/>
    <n v="14"/>
    <s v="SUSEMI SABUT STAINLESS 40GR X 72 PCS"/>
    <n v="36"/>
    <m/>
    <s v="G1"/>
    <s v="SUSEMI"/>
    <s v="30"/>
    <s v="SABUT STAINLESS"/>
    <n v="3"/>
    <m/>
    <s v="0"/>
    <m/>
    <s v="00"/>
    <s v="40GR"/>
    <s v="0040"/>
    <s v="PCS"/>
    <n v="1"/>
    <m/>
    <n v="0"/>
    <m/>
    <m/>
    <m/>
    <n v="30692000040000"/>
    <m/>
    <m/>
    <n v="72"/>
    <n v="4394.5"/>
    <n v="316404"/>
    <n v="4877.8950000000004"/>
    <n v="351208.44"/>
    <n v="4700"/>
    <n v="338400"/>
    <n v="5217.0000000000009"/>
    <n v="375624.00000000006"/>
    <n v="0"/>
    <n v="0"/>
    <n v="0"/>
    <n v="0"/>
    <n v="6.5000000000000002E-2"/>
    <n v="-4394.5"/>
    <e v="#DIV/0!"/>
    <m/>
    <m/>
    <s v="Lama"/>
    <s v="Sama"/>
    <m/>
    <s v="IDR"/>
    <s v="0040"/>
    <s v="40GR"/>
    <m/>
    <m/>
    <s v="KRT"/>
    <s v="GD01"/>
    <n v="11611"/>
    <n v="11612"/>
    <m/>
    <n v="1"/>
    <m/>
    <n v="72"/>
  </r>
  <r>
    <s v="G1303100000010"/>
    <m/>
    <n v="3007001010415000"/>
    <x v="648"/>
    <s v="SUSEMI SABUT STAINLESS 432 PCS X 8502 SUS02"/>
    <n v="30692000000000"/>
    <n v="0"/>
    <s v="SUSEMI Sabut Stainless Hgr"/>
    <x v="15"/>
    <s v="8992742375312"/>
    <x v="5"/>
    <s v="SUSEMI SABUT STAINLESS"/>
    <s v="G1303"/>
    <x v="386"/>
    <n v="14"/>
    <s v="SUSEMI SABUT STAINLESS PAPAN X 432 PCS"/>
    <n v="38"/>
    <m/>
    <s v="G1"/>
    <s v="SUSEMI"/>
    <s v="30"/>
    <s v="SABUT STAINLESS"/>
    <n v="3"/>
    <s v="PAPAN"/>
    <s v="1"/>
    <m/>
    <s v="00"/>
    <m/>
    <s v="0000"/>
    <s v="PCS"/>
    <n v="1"/>
    <m/>
    <n v="0"/>
    <m/>
    <m/>
    <m/>
    <n v="30692000000000"/>
    <m/>
    <m/>
    <n v="432"/>
    <n v="1234.2"/>
    <n v="533174.4"/>
    <n v="1369.9620000000002"/>
    <n v="591823.58400000003"/>
    <n v="1320"/>
    <n v="570240"/>
    <n v="1465.2"/>
    <n v="632966.40000000002"/>
    <n v="0"/>
    <n v="0"/>
    <n v="0"/>
    <n v="0"/>
    <n v="6.4999999999999961E-2"/>
    <n v="-1234.2"/>
    <e v="#DIV/0!"/>
    <m/>
    <m/>
    <s v="Lama"/>
    <s v="Sama"/>
    <m/>
    <s v="IDR"/>
    <s v="0000"/>
    <n v="0"/>
    <m/>
    <m/>
    <s v="KRT"/>
    <s v="GD01"/>
    <n v="11611"/>
    <n v="11612"/>
    <m/>
    <n v="1"/>
    <m/>
    <n v="4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4695-B7DF-462E-A6D7-CC66F0EF0DE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3:E656" firstHeaderRow="1" firstDataRow="1" firstDataCol="4"/>
  <pivotFields count="73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90">
        <item m="1" x="1300"/>
        <item m="1" x="1347"/>
        <item m="1" x="1372"/>
        <item m="1" x="1395"/>
        <item m="1" x="1405"/>
        <item m="1" x="1419"/>
        <item m="1" x="1439"/>
        <item m="1" x="1451"/>
        <item m="1" x="1476"/>
        <item m="1" x="1517"/>
        <item m="1" x="1536"/>
        <item m="1" x="1557"/>
        <item m="1" x="1587"/>
        <item m="1" x="1598"/>
        <item m="1" x="1612"/>
        <item m="1" x="1666"/>
        <item m="1" x="1673"/>
        <item m="1" x="1680"/>
        <item m="1" x="1685"/>
        <item m="1" x="1706"/>
        <item m="1" x="1712"/>
        <item m="1" x="1722"/>
        <item m="1" x="1727"/>
        <item m="1" x="1738"/>
        <item m="1" x="1783"/>
        <item m="1" x="1789"/>
        <item m="1" x="657"/>
        <item m="1" x="668"/>
        <item m="1" x="676"/>
        <item m="1" x="801"/>
        <item m="1" x="807"/>
        <item m="1" x="814"/>
        <item m="1" x="833"/>
        <item m="1" x="790"/>
        <item m="1" x="798"/>
        <item m="1" x="829"/>
        <item m="1" x="871"/>
        <item m="1" x="876"/>
        <item m="1" x="1599"/>
        <item m="1" x="1613"/>
        <item m="1" x="1633"/>
        <item m="1" x="1645"/>
        <item m="1" x="793"/>
        <item m="1" x="931"/>
        <item m="1" x="942"/>
        <item m="1" x="947"/>
        <item m="1" x="957"/>
        <item m="1" x="965"/>
        <item m="1" x="976"/>
        <item m="1" x="983"/>
        <item m="1" x="994"/>
        <item m="1" x="934"/>
        <item m="1" x="1095"/>
        <item m="1" x="1138"/>
        <item m="1" x="1157"/>
        <item m="1" x="1246"/>
        <item m="1" x="1254"/>
        <item m="1" x="1266"/>
        <item m="1" x="1269"/>
        <item m="1" x="1290"/>
        <item m="1" x="1299"/>
        <item m="1" x="1305"/>
        <item m="1" x="1308"/>
        <item m="1" x="1316"/>
        <item m="1" x="1319"/>
        <item m="1" x="1323"/>
        <item m="1" x="1335"/>
        <item m="1" x="1345"/>
        <item m="1" x="1355"/>
        <item m="1" x="1363"/>
        <item m="1" x="1364"/>
        <item m="1" x="1370"/>
        <item m="1" x="1377"/>
        <item m="1" x="1381"/>
        <item m="1" x="1386"/>
        <item m="1" x="1391"/>
        <item m="1" x="1404"/>
        <item m="1" x="1417"/>
        <item m="1" x="1422"/>
        <item m="1" x="1428"/>
        <item m="1" x="1434"/>
        <item m="1" x="1438"/>
        <item m="1" x="1442"/>
        <item m="1" x="1450"/>
        <item m="1" x="1457"/>
        <item m="1" x="1463"/>
        <item m="1" x="1475"/>
        <item m="1" x="1505"/>
        <item m="1" x="1513"/>
        <item m="1" x="1532"/>
        <item m="1" x="1544"/>
        <item m="1" x="1551"/>
        <item m="1" x="1553"/>
        <item m="1" x="1581"/>
        <item m="1" x="1586"/>
        <item m="1" x="1593"/>
        <item m="1" x="1604"/>
        <item m="1" x="1631"/>
        <item m="1" x="1652"/>
        <item m="1" x="1660"/>
        <item m="1" x="1665"/>
        <item m="1" x="1668"/>
        <item m="1" x="1672"/>
        <item m="1" x="1676"/>
        <item m="1" x="1693"/>
        <item m="1" x="1695"/>
        <item m="1" x="1696"/>
        <item m="1" x="776"/>
        <item m="1" x="781"/>
        <item m="1" x="792"/>
        <item m="1" x="795"/>
        <item m="1" x="869"/>
        <item m="1" x="873"/>
        <item m="1" x="1006"/>
        <item m="1" x="1011"/>
        <item m="1" x="1511"/>
        <item m="1" x="1520"/>
        <item m="1" x="1569"/>
        <item m="1" x="1590"/>
        <item m="1" x="1596"/>
        <item m="1" x="1609"/>
        <item m="1" x="1473"/>
        <item m="1" x="1484"/>
        <item m="1" x="1491"/>
        <item m="1" x="1495"/>
        <item m="1" x="1510"/>
        <item m="1" x="1518"/>
        <item m="1" x="1524"/>
        <item m="1" x="1535"/>
        <item m="1" x="1554"/>
        <item m="1" x="1567"/>
        <item m="1" x="1573"/>
        <item m="1" x="1608"/>
        <item m="1" x="1053"/>
        <item m="1" x="1058"/>
        <item m="1" x="1059"/>
        <item m="1" x="1061"/>
        <item m="1" x="1063"/>
        <item m="1" x="1065"/>
        <item m="1" x="1070"/>
        <item m="1" x="1072"/>
        <item m="1" x="1079"/>
        <item m="1" x="1081"/>
        <item m="1" x="1083"/>
        <item m="1" x="1084"/>
        <item m="1" x="748"/>
        <item m="1" x="754"/>
        <item m="1" x="762"/>
        <item m="1" x="769"/>
        <item m="1" x="883"/>
        <item m="1" x="888"/>
        <item m="1" x="889"/>
        <item m="1" x="898"/>
        <item m="1" x="902"/>
        <item m="1" x="1119"/>
        <item m="1" x="1124"/>
        <item m="1" x="1126"/>
        <item m="1" x="1129"/>
        <item m="1" x="1130"/>
        <item m="1" x="1132"/>
        <item m="1" x="1135"/>
        <item m="1" x="1137"/>
        <item m="1" x="1144"/>
        <item m="1" x="1161"/>
        <item m="1" x="1164"/>
        <item m="1" x="1169"/>
        <item m="1" x="1172"/>
        <item m="1" x="1179"/>
        <item m="1" x="1182"/>
        <item m="1" x="1187"/>
        <item m="1" x="1192"/>
        <item m="1" x="1193"/>
        <item m="1" x="1197"/>
        <item m="1" x="1201"/>
        <item m="1" x="1202"/>
        <item m="1" x="1206"/>
        <item m="1" x="1211"/>
        <item m="1" x="1213"/>
        <item m="1" x="1733"/>
        <item m="1" x="1739"/>
        <item m="1" x="1744"/>
        <item m="1" x="1338"/>
        <item m="1" x="1340"/>
        <item m="1" x="1342"/>
        <item m="1" x="1344"/>
        <item m="1" x="1348"/>
        <item m="1" x="1350"/>
        <item m="1" x="1397"/>
        <item m="1" x="1402"/>
        <item m="1" x="1408"/>
        <item m="1" x="1409"/>
        <item m="1" x="1412"/>
        <item m="1" x="1416"/>
        <item m="1" x="1453"/>
        <item m="1" x="1459"/>
        <item m="1" x="1464"/>
        <item m="1" x="1469"/>
        <item m="1" x="1474"/>
        <item m="1" x="1235"/>
        <item m="1" x="1238"/>
        <item m="1" x="1240"/>
        <item m="1" x="1242"/>
        <item m="1" x="1245"/>
        <item m="1" x="1247"/>
        <item m="1" x="911"/>
        <item m="1" x="917"/>
        <item m="1" x="1657"/>
        <item m="1" x="1219"/>
        <item m="1" x="1148"/>
        <item m="1" x="927"/>
        <item m="1" x="866"/>
        <item m="1" x="1533"/>
        <item m="1" x="933"/>
        <item m="1" x="760"/>
        <item m="1" x="915"/>
        <item m="1" x="967"/>
        <item m="1" x="928"/>
        <item m="1" x="841"/>
        <item m="1" x="946"/>
        <item m="1" x="858"/>
        <item m="1" x="903"/>
        <item m="1" x="763"/>
        <item m="1" x="819"/>
        <item m="1" x="970"/>
        <item m="1" x="1725"/>
        <item m="1" x="1128"/>
        <item m="1" x="1721"/>
        <item m="1" x="924"/>
        <item m="1" x="1477"/>
        <item m="1" x="1017"/>
        <item m="1" x="1768"/>
        <item m="1" x="1306"/>
        <item m="1" x="1629"/>
        <item m="1" x="1149"/>
        <item m="1" x="743"/>
        <item m="1" x="1452"/>
        <item m="1" x="1009"/>
        <item m="1" x="1756"/>
        <item m="1" x="1171"/>
        <item m="1" x="1279"/>
        <item m="1" x="1143"/>
        <item m="1" x="740"/>
        <item m="1" x="1448"/>
        <item m="1" x="1565"/>
        <item m="1" x="823"/>
        <item m="1" x="1772"/>
        <item m="1" x="1210"/>
        <item m="1" x="1561"/>
        <item m="1" x="1427"/>
        <item m="1" x="1445"/>
        <item m="1" x="1425"/>
        <item m="1" x="1468"/>
        <item m="1" x="1662"/>
        <item m="1" x="1023"/>
        <item m="1" x="1188"/>
        <item m="1" x="741"/>
        <item m="1" x="1747"/>
        <item m="1" x="1123"/>
        <item m="1" x="806"/>
        <item sd="0" m="1" x="1498"/>
        <item m="1" x="1152"/>
        <item m="1" x="1292"/>
        <item m="1" x="1155"/>
        <item m="1" x="1145"/>
        <item m="1" x="1713"/>
        <item m="1" x="838"/>
        <item m="1" x="998"/>
        <item m="1" x="1465"/>
        <item m="1" x="1615"/>
        <item m="1" x="1310"/>
        <item m="1" x="1636"/>
        <item m="1" x="1160"/>
        <item m="1" x="1265"/>
        <item m="1" x="832"/>
        <item m="1" x="1572"/>
        <item m="1" x="1278"/>
        <item m="1" x="846"/>
        <item m="1" x="1592"/>
        <item m="1" x="1745"/>
        <item m="1" x="1099"/>
        <item m="1" x="706"/>
        <item m="1" x="1396"/>
        <item m="1" x="779"/>
        <item m="1" x="1611"/>
        <item m="1" x="1589"/>
        <item m="1" x="728"/>
        <item m="1" x="1112"/>
        <item m="1" x="1433"/>
        <item m="1" x="1742"/>
        <item m="1" x="972"/>
        <item m="1" x="1619"/>
        <item m="1" x="1190"/>
        <item m="1" x="730"/>
        <item m="1" x="1131"/>
        <item m="1" x="862"/>
        <item m="1" x="1758"/>
        <item m="1" x="881"/>
        <item m="1" x="961"/>
        <item m="1" x="1638"/>
        <item m="1" x="1244"/>
        <item m="1" x="1208"/>
        <item m="1" x="1159"/>
        <item m="1" x="859"/>
        <item m="1" x="1540"/>
        <item m="1" x="1018"/>
        <item m="1" x="1150"/>
        <item m="1" x="1403"/>
        <item m="1" x="1068"/>
        <item m="1" x="744"/>
        <item m="1" x="1478"/>
        <item m="1" x="1770"/>
        <item m="1" x="797"/>
        <item m="1" x="940"/>
        <item m="1" x="1044"/>
        <item m="1" x="1220"/>
        <item m="1" x="1575"/>
        <item m="1" x="1274"/>
        <item m="1" x="1736"/>
        <item m="1" x="1647"/>
        <item m="1" x="1455"/>
        <item m="1" x="890"/>
        <item m="1" x="1630"/>
        <item m="1" x="1522"/>
        <item m="1" x="945"/>
        <item m="1" x="1555"/>
        <item m="1" x="1349"/>
        <item m="1" x="1049"/>
        <item m="1" x="664"/>
        <item m="1" x="1341"/>
        <item m="1" x="1471"/>
        <item m="1" x="1623"/>
        <item m="1" x="864"/>
        <item m="1" x="836"/>
        <item m="1" x="969"/>
        <item m="1" x="1209"/>
        <item m="1" x="1618"/>
        <item m="1" x="735"/>
        <item m="1" x="1677"/>
        <item m="1" x="1716"/>
        <item m="1" x="745"/>
        <item m="1" x="1458"/>
        <item m="1" x="1012"/>
        <item m="1" x="1436"/>
        <item m="1" x="995"/>
        <item m="1" x="1743"/>
        <item m="1" x="1600"/>
        <item m="1" x="737"/>
        <item m="1" x="723"/>
        <item m="1" x="1580"/>
        <item m="1" x="1762"/>
        <item m="1" x="1467"/>
        <item m="1" x="977"/>
        <item m="1" x="752"/>
        <item m="1" x="868"/>
        <item m="1" x="1181"/>
        <item m="1" x="939"/>
        <item m="1" x="1764"/>
        <item m="1" x="1140"/>
        <item m="1" x="1534"/>
        <item m="1" x="1653"/>
        <item m="1" x="1196"/>
        <item m="1" x="1691"/>
        <item m="1" x="1470"/>
        <item m="1" x="1622"/>
        <item m="1" x="1057"/>
        <item m="1" x="1175"/>
        <item m="1" x="783"/>
        <item m="1" x="852"/>
        <item m="1" x="738"/>
        <item m="1" x="1133"/>
        <item m="1" x="1301"/>
        <item m="1" x="1446"/>
        <item m="1" x="731"/>
        <item m="1" x="893"/>
        <item m="1" x="820"/>
        <item m="1" x="920"/>
        <item m="1" x="766"/>
        <item m="1" x="1640"/>
        <item m="1" x="885"/>
        <item m="1" x="904"/>
        <item m="1" x="1333"/>
        <item m="1" x="872"/>
        <item m="1" x="1603"/>
        <item m="1" x="870"/>
        <item m="1" x="1025"/>
        <item m="1" x="1641"/>
        <item m="1" x="1028"/>
        <item m="1" x="1755"/>
        <item m="1" x="1595"/>
        <item m="1" x="1566"/>
        <item m="1" x="1444"/>
        <item m="1" x="1643"/>
        <item m="1" x="1606"/>
        <item m="1" x="1421"/>
        <item m="1" x="1121"/>
        <item m="1" x="1237"/>
        <item m="1" x="1153"/>
        <item m="1" x="923"/>
        <item m="1" x="1601"/>
        <item m="1" x="1258"/>
        <item m="1" x="675"/>
        <item m="1" x="1331"/>
        <item m="1" x="1550"/>
        <item m="1" x="1035"/>
        <item m="1" x="1186"/>
        <item m="1" x="1294"/>
        <item m="1" x="1268"/>
        <item m="1" x="1407"/>
        <item m="1" x="1142"/>
        <item m="1" x="1617"/>
        <item m="1" x="1651"/>
        <item m="1" x="1252"/>
        <item m="1" x="1642"/>
        <item m="1" x="772"/>
        <item m="1" x="1313"/>
        <item m="1" x="652"/>
        <item m="1" x="1304"/>
        <item m="1" x="1146"/>
        <item m="1" x="854"/>
        <item m="1" x="1015"/>
        <item m="1" x="1184"/>
        <item m="1" x="1016"/>
        <item m="1" x="1667"/>
        <item m="1" x="1000"/>
        <item m="1" x="725"/>
        <item m="1" x="1621"/>
        <item m="1" x="1776"/>
        <item m="1" x="753"/>
        <item m="1" x="1492"/>
        <item m="1" x="1005"/>
        <item m="1" x="847"/>
        <item m="1" x="827"/>
        <item m="1" x="1001"/>
        <item m="1" x="1163"/>
        <item m="1" x="857"/>
        <item m="1" x="721"/>
        <item m="1" x="1257"/>
        <item m="1" x="1020"/>
        <item m="1" x="1679"/>
        <item m="1" x="799"/>
        <item m="1" x="1447"/>
        <item m="1" x="1715"/>
        <item m="1" x="879"/>
        <item m="1" x="1634"/>
        <item m="1" x="1358"/>
        <item m="1" x="899"/>
        <item m="1" x="1040"/>
        <item m="1" x="651"/>
        <item m="1" x="1014"/>
        <item m="1" x="1298"/>
        <item m="1" x="1761"/>
        <item m="1" x="853"/>
        <item m="1" x="921"/>
        <item m="1" x="821"/>
        <item m="1" x="1253"/>
        <item m="1" x="1286"/>
        <item m="1" x="1030"/>
        <item m="1" x="705"/>
        <item m="1" x="1151"/>
        <item m="1" x="1675"/>
        <item m="1" x="1480"/>
        <item m="1" x="932"/>
        <item m="1" x="739"/>
        <item m="1" x="963"/>
        <item m="1" x="1073"/>
        <item m="1" x="1367"/>
        <item m="1" x="1489"/>
        <item m="1" x="1010"/>
        <item m="1" x="702"/>
        <item m="1" x="1050"/>
        <item m="1" x="665"/>
        <item m="1" x="1710"/>
        <item m="1" x="948"/>
        <item m="1" x="1702"/>
        <item m="1" x="954"/>
        <item m="1" x="824"/>
        <item m="1" x="1090"/>
        <item m="1" x="986"/>
        <item m="1" x="1487"/>
        <item m="1" x="1027"/>
        <item m="1" x="650"/>
        <item m="1" x="709"/>
        <item m="1" x="1332"/>
        <item m="1" x="1116"/>
        <item m="1" x="1639"/>
        <item m="1" x="1731"/>
        <item m="1" x="886"/>
        <item m="1" x="1093"/>
        <item m="1" x="697"/>
        <item m="1" x="919"/>
        <item m="1" x="1674"/>
        <item m="1" x="1351"/>
        <item m="1" x="1234"/>
        <item m="1" x="1388"/>
        <item m="1" x="1224"/>
        <item m="1" x="815"/>
        <item m="1" x="667"/>
        <item m="1" x="1374"/>
        <item m="1" x="1089"/>
        <item m="1" x="1689"/>
        <item m="1" x="1241"/>
        <item m="1" x="1054"/>
        <item m="1" x="684"/>
        <item m="1" x="698"/>
        <item m="1" x="1285"/>
        <item m="1" x="1684"/>
        <item m="1" x="1223"/>
        <item m="1" x="1302"/>
        <item m="1" x="770"/>
        <item m="1" x="856"/>
        <item m="1" x="966"/>
        <item m="1" x="1588"/>
        <item m="1" x="1410"/>
        <item m="1" x="1111"/>
        <item m="1" x="1658"/>
        <item m="1" x="1591"/>
        <item m="1" x="1114"/>
        <item m="1" x="1343"/>
        <item m="1" x="1549"/>
        <item m="1" x="1352"/>
        <item m="1" x="1500"/>
        <item m="1" x="699"/>
        <item m="1" x="812"/>
        <item m="1" x="1139"/>
        <item m="1" x="1734"/>
        <item m="1" x="1002"/>
        <item m="1" x="850"/>
        <item m="1" x="984"/>
        <item m="1" x="1752"/>
        <item m="1" x="1003"/>
        <item m="1" x="682"/>
        <item m="1" x="914"/>
        <item m="1" x="1654"/>
        <item m="1" x="1563"/>
        <item m="1" x="953"/>
        <item m="1" x="768"/>
        <item m="1" x="1389"/>
        <item m="1" x="1324"/>
        <item m="1" x="1078"/>
        <item m="1" x="981"/>
        <item m="1" x="1757"/>
        <item m="1" x="1394"/>
        <item m="1" x="791"/>
        <item m="1" x="810"/>
        <item m="1" x="701"/>
        <item m="1" x="1162"/>
        <item m="1" x="1326"/>
        <item m="1" x="909"/>
        <item m="1" x="1625"/>
        <item m="1" x="1763"/>
        <item m="1" x="1485"/>
        <item m="1" x="778"/>
        <item m="1" x="1449"/>
        <item m="1" x="1281"/>
        <item m="1" x="1424"/>
        <item m="1" x="1560"/>
        <item m="1" x="1530"/>
        <item m="1" x="1708"/>
        <item m="1" x="922"/>
        <item m="1" x="1547"/>
        <item m="1" x="802"/>
        <item m="1" x="880"/>
        <item m="1" x="1753"/>
        <item m="1" x="1751"/>
        <item m="1" x="1309"/>
        <item m="1" x="842"/>
        <item m="1" x="1233"/>
        <item m="1" x="1774"/>
        <item m="1" x="1004"/>
        <item m="1" x="1102"/>
        <item m="1" x="1700"/>
        <item m="1" x="1288"/>
        <item m="1" x="729"/>
        <item m="1" x="855"/>
        <item m="1" x="884"/>
        <item m="1" x="1781"/>
        <item m="1" x="1289"/>
        <item m="1" x="1115"/>
        <item m="1" x="755"/>
        <item m="1" x="1125"/>
        <item m="1" x="980"/>
        <item m="1" x="1415"/>
        <item m="1" x="1516"/>
        <item m="1" x="845"/>
        <item m="1" x="686"/>
        <item m="1" x="1376"/>
        <item m="1" x="1076"/>
        <item m="1" x="1548"/>
        <item m="1" x="1406"/>
        <item m="1" x="1602"/>
        <item m="1" x="1399"/>
        <item m="1" x="1698"/>
        <item m="1" x="1664"/>
        <item m="1" x="1174"/>
        <item m="1" x="722"/>
        <item m="1" x="1454"/>
        <item m="1" x="1097"/>
        <item m="1" x="1521"/>
        <item m="1" x="662"/>
        <item m="1" x="1045"/>
        <item m="1" x="1692"/>
        <item m="1" x="1462"/>
        <item m="1" x="1509"/>
        <item m="1" x="1232"/>
        <item m="1" x="975"/>
        <item m="1" x="1726"/>
        <item m="1" x="1263"/>
        <item m="1" x="1178"/>
        <item m="1" x="1605"/>
        <item m="1" x="1212"/>
        <item m="1" x="1365"/>
        <item m="1" x="929"/>
        <item m="1" x="1315"/>
        <item m="1" x="1330"/>
        <item m="1" x="878"/>
        <item m="1" x="747"/>
        <item m="1" x="669"/>
        <item m="1" x="767"/>
        <item m="1" x="1496"/>
        <item m="1" x="908"/>
        <item m="1" x="1778"/>
        <item m="1" x="1571"/>
        <item m="1" x="918"/>
        <item m="1" x="1098"/>
        <item m="1" x="1203"/>
        <item m="1" x="703"/>
        <item m="1" x="1502"/>
        <item m="1" x="700"/>
        <item m="1" x="1264"/>
        <item m="1" x="831"/>
        <item m="1" x="1584"/>
        <item m="1" x="1260"/>
        <item m="1" x="1173"/>
        <item m="1" x="1775"/>
        <item m="1" x="764"/>
        <item m="1" x="892"/>
        <item m="1" x="746"/>
        <item m="1" x="1461"/>
        <item m="1" x="717"/>
        <item m="1" x="1346"/>
        <item m="1" x="1177"/>
        <item m="1" x="1105"/>
        <item m="1" x="1320"/>
        <item m="1" x="867"/>
        <item m="1" x="1296"/>
        <item m="1" x="1134"/>
        <item m="1" x="733"/>
        <item m="1" x="1440"/>
        <item m="1" x="1270"/>
        <item m="1" x="713"/>
        <item m="1" x="656"/>
        <item m="1" x="1373"/>
        <item m="1" x="1441"/>
        <item m="1" x="736"/>
        <item m="1" x="900"/>
        <item m="1" x="1659"/>
        <item m="1" x="964"/>
        <item m="1" x="1718"/>
        <item m="1" x="1624"/>
        <item m="1" x="1741"/>
        <item m="1" x="1276"/>
        <item m="1" x="780"/>
        <item m="1" x="1307"/>
        <item m="1" x="875"/>
        <item m="1" x="830"/>
        <item m="1" x="1568"/>
        <item m="1" x="680"/>
        <item m="1" x="1368"/>
        <item m="1" x="960"/>
        <item m="1" x="1711"/>
        <item m="1" x="1556"/>
        <item m="1" x="1537"/>
        <item m="1" x="1401"/>
        <item m="1" x="1336"/>
        <item m="1" x="1154"/>
        <item m="1" x="1576"/>
        <item m="1" x="1104"/>
        <item m="1" x="1239"/>
        <item m="1" x="1400"/>
        <item m="1" x="1107"/>
        <item m="1" x="1382"/>
        <item m="1" x="1577"/>
        <item m="1" x="1042"/>
        <item m="1" x="990"/>
        <item m="1" x="688"/>
        <item m="1" x="837"/>
        <item m="1" x="1512"/>
        <item m="1" x="785"/>
        <item m="1" x="913"/>
        <item m="1" x="1670"/>
        <item m="1" x="1499"/>
        <item m="1" x="712"/>
        <item m="1" x="1033"/>
        <item m="1" x="1064"/>
        <item m="1" x="1785"/>
        <item m="1" x="678"/>
        <item m="1" x="1321"/>
        <item m="1" x="1366"/>
        <item m="1" x="1650"/>
        <item m="1" x="1383"/>
        <item m="1" x="765"/>
        <item m="1" x="690"/>
        <item m="1" x="1039"/>
        <item m="1" x="1066"/>
        <item m="1" x="1538"/>
        <item m="1" x="670"/>
        <item m="1" x="1077"/>
        <item m="1" x="840"/>
        <item m="1" x="683"/>
        <item m="1" x="685"/>
        <item m="1" x="1579"/>
        <item m="1" x="1635"/>
        <item m="1" x="1375"/>
        <item m="1" x="1287"/>
        <item m="1" x="1690"/>
        <item m="1" x="851"/>
        <item m="1" x="1225"/>
        <item m="1" x="715"/>
        <item m="1" x="1531"/>
        <item m="1" x="1108"/>
        <item m="1" x="1055"/>
        <item m="1" x="1273"/>
        <item m="1" x="938"/>
        <item m="1" x="1754"/>
        <item m="1" x="955"/>
        <item m="1" x="1291"/>
        <item m="1" x="1610"/>
        <item m="1" x="1127"/>
        <item m="1" x="1431"/>
        <item m="1" x="1334"/>
        <item m="1" x="1782"/>
        <item m="1" x="808"/>
        <item m="1" x="1060"/>
        <item m="1" x="761"/>
        <item m="1" x="1541"/>
        <item m="1" x="1069"/>
        <item m="1" x="1527"/>
        <item m="1" x="825"/>
        <item m="1" x="1259"/>
        <item m="1" x="1398"/>
        <item m="1" x="962"/>
        <item m="1" x="1714"/>
        <item m="1" x="1251"/>
        <item m="1" x="710"/>
        <item m="1" x="1100"/>
        <item m="1" x="677"/>
        <item m="1" x="1786"/>
        <item m="1" x="1322"/>
        <item m="1" x="894"/>
        <item m="1" x="811"/>
        <item m="1" x="1539"/>
        <item m="1" x="1773"/>
        <item m="1" x="1022"/>
        <item m="1" x="1158"/>
        <item m="1" x="1385"/>
        <item m="1" x="950"/>
        <item m="1" x="1705"/>
        <item m="1" x="1236"/>
        <item m="1" x="813"/>
        <item m="1" x="1543"/>
        <item m="1" x="663"/>
        <item m="1" x="694"/>
        <item m="1" x="874"/>
        <item m="1" x="1147"/>
        <item m="1" x="1411"/>
        <item m="1" x="971"/>
        <item m="1" x="716"/>
        <item m="1" x="1007"/>
        <item m="1" x="1380"/>
        <item m="1" x="671"/>
        <item m="1" x="1626"/>
        <item m="1" x="726"/>
        <item m="1" x="1430"/>
        <item m="1" x="991"/>
        <item m="1" x="910"/>
        <item m="1" x="718"/>
        <item m="1" x="1418"/>
        <item m="1" x="978"/>
        <item m="1" x="1728"/>
        <item m="1" x="1267"/>
        <item m="1" x="834"/>
        <item m="1" x="1574"/>
        <item m="1" x="1101"/>
        <item m="1" x="711"/>
        <item m="1" x="1357"/>
        <item m="1" x="1024"/>
        <item m="1" x="1360"/>
        <item m="1" x="1481"/>
        <item m="1" x="1032"/>
        <item m="1" x="1515"/>
        <item m="1" x="1038"/>
        <item m="1" x="696"/>
        <item m="1" x="1707"/>
        <item m="1" x="1519"/>
        <item m="1" x="895"/>
        <item m="1" x="1709"/>
        <item m="1" x="1243"/>
        <item m="1" x="1387"/>
        <item m="1" x="1048"/>
        <item m="1" x="816"/>
        <item m="1" x="1724"/>
        <item m="1" x="660"/>
        <item m="1" x="1200"/>
        <item m="1" x="1092"/>
        <item m="1" x="1261"/>
        <item m="1" x="1029"/>
        <item m="1" x="1787"/>
        <item m="1" x="788"/>
        <item m="1" x="887"/>
        <item m="1" x="1644"/>
        <item m="1" x="1165"/>
        <item m="1" x="756"/>
        <item m="1" x="1472"/>
        <item m="1" x="803"/>
        <item m="1" x="1075"/>
        <item m="1" x="1356"/>
        <item m="1" x="1759"/>
        <item m="1" x="1293"/>
        <item m="1" x="863"/>
        <item m="1" x="1616"/>
        <item m="1" x="1559"/>
        <item m="1" x="1088"/>
        <item m="1" x="674"/>
        <item m="1" x="848"/>
        <item m="1" x="993"/>
        <item m="1" x="1488"/>
        <item m="1" x="1597"/>
        <item m="1" x="774"/>
        <item m="1" x="1156"/>
        <item m="1" x="1314"/>
        <item m="1" x="749"/>
        <item m="1" x="1026"/>
        <item m="1" x="1180"/>
        <item m="1" x="655"/>
        <item m="1" x="1637"/>
        <item m="1" x="1777"/>
        <item m="1" x="1493"/>
        <item m="1" x="1204"/>
        <item m="1" x="1682"/>
        <item m="1" x="1426"/>
        <item m="1" x="1688"/>
        <item m="1" x="1661"/>
        <item m="1" x="751"/>
        <item m="1" x="1071"/>
        <item m="1" x="926"/>
        <item m="1" x="982"/>
        <item m="1" x="1558"/>
        <item m="1" x="1170"/>
        <item m="1" x="1043"/>
        <item m="1" x="681"/>
        <item m="1" x="912"/>
        <item m="1" x="1087"/>
        <item m="1" x="1514"/>
        <item m="1" x="1272"/>
        <item m="1" x="1217"/>
        <item m="1" x="839"/>
        <item m="1" x="796"/>
        <item m="1" x="1423"/>
        <item m="1" x="658"/>
        <item m="1" x="1681"/>
        <item m="1" x="1730"/>
        <item m="1" x="1582"/>
        <item m="1" x="988"/>
        <item m="1" x="1275"/>
        <item m="1" x="1429"/>
        <item m="1" x="1740"/>
        <item m="1" x="843"/>
        <item m="1" x="1198"/>
        <item m="1" x="949"/>
        <item m="1" x="784"/>
        <item m="1" x="1704"/>
        <item m="1" x="1195"/>
        <item m="1" x="822"/>
        <item m="1" x="1497"/>
        <item m="1" x="1384"/>
        <item m="1" x="786"/>
        <item m="1" x="1503"/>
        <item m="1" x="1325"/>
        <item m="1" x="1620"/>
        <item m="1" x="901"/>
        <item m="1" x="1663"/>
        <item m="1" x="1506"/>
        <item m="1" x="1037"/>
        <item m="1" x="1528"/>
        <item m="1" x="1207"/>
        <item m="1" x="1284"/>
        <item m="1" x="1052"/>
        <item m="1" x="1354"/>
        <item m="1" x="906"/>
        <item m="1" x="1542"/>
        <item m="1" x="1750"/>
        <item m="1" x="724"/>
        <item m="1" x="1735"/>
        <item m="1" x="826"/>
        <item m="1" x="1262"/>
        <item m="1" x="1136"/>
        <item m="1" x="1036"/>
        <item m="1" x="809"/>
        <item m="1" x="930"/>
        <item m="1" x="1231"/>
        <item m="1" x="1295"/>
        <item m="1" x="865"/>
        <item m="1" x="985"/>
        <item m="1" x="666"/>
        <item m="1" x="1353"/>
        <item m="1" x="1578"/>
        <item m="1" x="693"/>
        <item m="1" x="1371"/>
        <item m="1" x="1788"/>
        <item m="1" x="1256"/>
        <item m="1" x="1185"/>
        <item m="1" x="1327"/>
        <item m="1" x="907"/>
        <item m="1" x="1122"/>
        <item m="1" x="787"/>
        <item m="1" x="951"/>
        <item m="1" x="936"/>
        <item m="1" x="661"/>
        <item m="1" x="958"/>
        <item m="1" x="944"/>
        <item m="1" x="992"/>
        <item m="1" x="974"/>
        <item m="1" x="1226"/>
        <item m="1" x="1194"/>
        <item m="1" x="1214"/>
        <item m="1" x="1168"/>
        <item m="1" x="1432"/>
        <item m="1" x="1494"/>
        <item m="1" x="1414"/>
        <item m="1" x="775"/>
        <item m="1" x="757"/>
        <item m="1" x="1110"/>
        <item m="1" x="1094"/>
        <item m="1" x="1486"/>
        <item m="1" x="1080"/>
        <item m="1" x="1390"/>
        <item m="1" x="1456"/>
        <item m="1" x="1466"/>
        <item m="1" x="1443"/>
        <item m="1" x="1082"/>
        <item m="1" x="1096"/>
        <item m="1" x="1529"/>
        <item m="1" x="1508"/>
        <item m="1" x="1490"/>
        <item m="1" x="1250"/>
        <item m="1" x="1113"/>
        <item m="1" x="1176"/>
        <item m="1" x="1199"/>
        <item m="1" x="1221"/>
        <item m="1" x="1230"/>
        <item m="1" x="1205"/>
        <item m="1" x="1183"/>
        <item m="1" x="771"/>
        <item m="1" x="773"/>
        <item m="1" x="937"/>
        <item m="1" x="1227"/>
        <item m="1" x="1229"/>
        <item m="1" x="997"/>
        <item m="1" x="1479"/>
        <item m="1" x="1686"/>
        <item m="1" x="1339"/>
        <item m="1" x="1277"/>
        <item m="1" x="1526"/>
        <item m="1" x="1504"/>
        <item m="1" x="1694"/>
        <item m="1" x="1767"/>
        <item m="1" x="1760"/>
        <item m="1" x="1746"/>
        <item m="1" x="1671"/>
        <item m="1" x="1103"/>
        <item m="1" x="1656"/>
        <item m="1" x="1041"/>
        <item m="1" x="1120"/>
        <item m="1" x="1703"/>
        <item m="1" x="1720"/>
        <item m="1" x="1697"/>
        <item m="1" x="1021"/>
        <item m="1" x="905"/>
        <item m="1" x="1614"/>
        <item m="1" x="1687"/>
        <item m="1" x="1362"/>
        <item m="1" x="1437"/>
        <item m="1" x="794"/>
        <item m="1" x="679"/>
        <item m="1" x="777"/>
        <item m="1" x="925"/>
        <item m="1" x="1034"/>
        <item m="1" x="1109"/>
        <item m="1" x="1420"/>
        <item m="1" x="941"/>
        <item m="1" x="1051"/>
        <item m="1" x="835"/>
        <item m="1" x="1318"/>
        <item m="1" x="1737"/>
        <item m="1" x="1769"/>
        <item m="1" x="1552"/>
        <item m="1" x="882"/>
        <item m="1" x="1019"/>
        <item m="1" x="1632"/>
        <item m="1" x="758"/>
        <item m="1" x="1271"/>
        <item m="1" x="956"/>
        <item m="1" x="1723"/>
        <item m="1" x="844"/>
        <item m="1" x="877"/>
        <item m="1" x="1046"/>
        <item m="1" x="818"/>
        <item m="1" x="1413"/>
        <item m="1" x="897"/>
        <item m="1" x="1047"/>
        <item m="1" x="732"/>
        <item m="1" x="750"/>
        <item m="1" x="861"/>
        <item m="1" x="1067"/>
        <item m="1" x="935"/>
        <item m="1" x="804"/>
        <item m="1" x="1460"/>
        <item m="1" x="1699"/>
        <item m="1" x="1280"/>
        <item m="1" x="1117"/>
        <item m="1" x="1106"/>
        <item m="1" x="1086"/>
        <item m="1" x="1118"/>
        <item m="1" x="1562"/>
        <item m="1" x="1729"/>
        <item m="1" x="719"/>
        <item m="1" x="1583"/>
        <item m="1" x="687"/>
        <item m="1" x="707"/>
        <item m="1" x="1545"/>
        <item m="1" x="1501"/>
        <item m="1" x="1523"/>
        <item m="1" x="1779"/>
        <item m="1" x="1085"/>
        <item m="1" x="1141"/>
        <item m="1" x="1701"/>
        <item m="1" x="1732"/>
        <item m="1" x="1379"/>
        <item m="1" x="1749"/>
        <item m="1" x="1719"/>
        <item m="1" x="1766"/>
        <item m="1" x="1525"/>
        <item m="1" x="1648"/>
        <item m="1" x="1780"/>
        <item m="1" x="1628"/>
        <item m="1" x="1482"/>
        <item m="1" x="789"/>
        <item m="1" x="805"/>
        <item m="1" x="653"/>
        <item m="1" x="1748"/>
        <item m="1" x="672"/>
        <item m="1" x="1765"/>
        <item m="1" x="828"/>
        <item m="1" x="1655"/>
        <item m="1" x="973"/>
        <item m="1" x="1784"/>
        <item m="1" x="1317"/>
        <item m="1" x="714"/>
        <item m="1" x="996"/>
        <item m="1" x="1091"/>
        <item m="1" x="1483"/>
        <item m="1" x="1585"/>
        <item m="1" x="1359"/>
        <item m="1" x="987"/>
        <item m="1" x="968"/>
        <item m="1" x="1008"/>
        <item m="1" x="1361"/>
        <item m="1" x="1564"/>
        <item m="1" x="1378"/>
        <item m="1" x="1717"/>
        <item m="1" x="1215"/>
        <item m="1" x="1328"/>
        <item m="1" x="1392"/>
        <item m="1" x="952"/>
        <item m="1" x="1031"/>
        <item m="1" x="654"/>
        <item m="1" x="734"/>
        <item m="1" x="860"/>
        <item m="1" x="1435"/>
        <item m="1" x="989"/>
        <item m="1" x="1329"/>
        <item m="1" x="1546"/>
        <item m="1" x="1607"/>
        <item m="1" x="1189"/>
        <item m="1" x="896"/>
        <item m="1" x="1627"/>
        <item m="1" x="1646"/>
        <item m="1" x="1669"/>
        <item m="1" x="1683"/>
        <item m="1" x="1570"/>
        <item m="1" x="1056"/>
        <item m="1" x="916"/>
        <item m="1" x="708"/>
        <item m="1" x="720"/>
        <item m="1" x="1311"/>
        <item m="1" x="1166"/>
        <item m="1" x="689"/>
        <item m="1" x="1248"/>
        <item m="1" x="1771"/>
        <item m="1" x="1507"/>
        <item m="1" x="659"/>
        <item m="1" x="695"/>
        <item m="1" x="759"/>
        <item m="1" x="1283"/>
        <item m="1" x="1303"/>
        <item m="1" x="1218"/>
        <item m="1" x="1255"/>
        <item m="1" x="1167"/>
        <item m="1" x="782"/>
        <item m="1" x="1337"/>
        <item m="1" x="673"/>
        <item m="1" x="1228"/>
        <item m="1" x="1249"/>
        <item m="1" x="1393"/>
        <item m="1" x="1297"/>
        <item m="1" x="1191"/>
        <item m="1" x="1216"/>
        <item m="1" x="1282"/>
        <item m="1" x="1312"/>
        <item m="1" x="1074"/>
        <item m="1" x="1013"/>
        <item m="1" x="943"/>
        <item m="1" x="817"/>
        <item m="1" x="849"/>
        <item m="1" x="1594"/>
        <item m="1" x="1678"/>
        <item m="1" x="979"/>
        <item m="1" x="999"/>
        <item m="1" x="1222"/>
        <item m="1" x="800"/>
        <item m="1" x="692"/>
        <item m="1" x="727"/>
        <item m="1" x="742"/>
        <item m="1" x="691"/>
        <item m="1" x="1649"/>
        <item m="1" x="891"/>
        <item m="1" x="704"/>
        <item m="1" x="1062"/>
        <item m="1" x="1369"/>
        <item x="1"/>
        <item x="2"/>
        <item x="3"/>
        <item x="4"/>
        <item x="6"/>
        <item x="5"/>
        <item x="8"/>
        <item x="7"/>
        <item x="11"/>
        <item x="12"/>
        <item x="18"/>
        <item x="15"/>
        <item x="17"/>
        <item x="13"/>
        <item x="14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3"/>
        <item x="75"/>
        <item x="78"/>
        <item x="79"/>
        <item x="81"/>
        <item x="82"/>
        <item x="83"/>
        <item x="84"/>
        <item x="85"/>
        <item x="88"/>
        <item x="89"/>
        <item x="92"/>
        <item x="93"/>
        <item x="95"/>
        <item x="96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1"/>
        <item x="112"/>
        <item x="113"/>
        <item x="194"/>
        <item x="177"/>
        <item x="178"/>
        <item x="179"/>
        <item x="117"/>
        <item x="125"/>
        <item x="118"/>
        <item x="120"/>
        <item x="121"/>
        <item x="123"/>
        <item x="114"/>
        <item x="115"/>
        <item x="130"/>
        <item x="131"/>
        <item x="132"/>
        <item x="133"/>
        <item x="126"/>
        <item x="127"/>
        <item x="129"/>
        <item x="134"/>
        <item x="135"/>
        <item x="136"/>
        <item x="138"/>
        <item x="139"/>
        <item x="140"/>
        <item x="141"/>
        <item x="142"/>
        <item x="156"/>
        <item x="157"/>
        <item x="155"/>
        <item x="159"/>
        <item x="160"/>
        <item x="162"/>
        <item x="158"/>
        <item x="144"/>
        <item x="148"/>
        <item x="145"/>
        <item x="153"/>
        <item x="149"/>
        <item x="150"/>
        <item x="154"/>
        <item x="186"/>
        <item x="187"/>
        <item x="191"/>
        <item x="170"/>
        <item x="165"/>
        <item x="173"/>
        <item x="163"/>
        <item x="164"/>
        <item x="166"/>
        <item x="167"/>
        <item x="169"/>
        <item x="182"/>
        <item x="184"/>
        <item x="196"/>
        <item x="197"/>
        <item x="198"/>
        <item x="39"/>
        <item x="203"/>
        <item x="205"/>
        <item x="200"/>
        <item x="201"/>
        <item x="202"/>
        <item x="209"/>
        <item x="210"/>
        <item x="206"/>
        <item x="207"/>
        <item x="208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3"/>
        <item x="227"/>
        <item x="228"/>
        <item x="226"/>
        <item x="229"/>
        <item x="231"/>
        <item x="230"/>
        <item x="232"/>
        <item x="234"/>
        <item x="235"/>
        <item x="233"/>
        <item x="237"/>
        <item x="238"/>
        <item x="236"/>
        <item x="240"/>
        <item x="241"/>
        <item x="239"/>
        <item x="244"/>
        <item x="242"/>
        <item x="246"/>
        <item x="249"/>
        <item x="247"/>
        <item x="248"/>
        <item x="254"/>
        <item x="253"/>
        <item x="255"/>
        <item x="251"/>
        <item x="252"/>
        <item x="258"/>
        <item x="259"/>
        <item x="260"/>
        <item x="261"/>
        <item x="262"/>
        <item x="256"/>
        <item x="257"/>
        <item x="264"/>
        <item x="265"/>
        <item x="266"/>
        <item x="267"/>
        <item x="268"/>
        <item x="269"/>
        <item x="270"/>
        <item x="271"/>
        <item x="275"/>
        <item x="274"/>
        <item x="277"/>
        <item x="276"/>
        <item x="273"/>
        <item x="272"/>
        <item x="308"/>
        <item x="279"/>
        <item x="281"/>
        <item x="280"/>
        <item x="282"/>
        <item x="284"/>
        <item x="285"/>
        <item x="287"/>
        <item x="289"/>
        <item x="288"/>
        <item x="290"/>
        <item x="291"/>
        <item x="293"/>
        <item x="294"/>
        <item x="295"/>
        <item x="296"/>
        <item x="297"/>
        <item x="298"/>
        <item x="301"/>
        <item x="302"/>
        <item x="299"/>
        <item x="303"/>
        <item x="306"/>
        <item x="304"/>
        <item x="309"/>
        <item x="310"/>
        <item x="311"/>
        <item x="313"/>
        <item x="314"/>
        <item x="316"/>
        <item x="317"/>
        <item x="319"/>
        <item x="320"/>
        <item x="321"/>
        <item x="322"/>
        <item x="323"/>
        <item x="329"/>
        <item x="330"/>
        <item x="326"/>
        <item x="327"/>
        <item x="324"/>
        <item x="328"/>
        <item x="331"/>
        <item x="332"/>
        <item x="333"/>
        <item x="334"/>
        <item x="336"/>
        <item x="337"/>
        <item x="338"/>
        <item x="339"/>
        <item x="340"/>
        <item x="341"/>
        <item x="342"/>
        <item x="343"/>
        <item x="344"/>
        <item x="346"/>
        <item x="347"/>
        <item x="348"/>
        <item x="349"/>
        <item x="352"/>
        <item x="354"/>
        <item x="350"/>
        <item x="351"/>
        <item x="355"/>
        <item x="379"/>
        <item x="367"/>
        <item x="369"/>
        <item x="363"/>
        <item x="364"/>
        <item x="370"/>
        <item x="372"/>
        <item x="374"/>
        <item x="371"/>
        <item x="375"/>
        <item x="378"/>
        <item x="376"/>
        <item x="361"/>
        <item x="359"/>
        <item x="357"/>
        <item x="362"/>
        <item x="360"/>
        <item x="380"/>
        <item x="381"/>
        <item x="382"/>
        <item x="385"/>
        <item x="453"/>
        <item x="451"/>
        <item x="452"/>
        <item x="460"/>
        <item x="455"/>
        <item x="456"/>
        <item x="457"/>
        <item x="458"/>
        <item x="386"/>
        <item x="387"/>
        <item x="388"/>
        <item x="389"/>
        <item x="390"/>
        <item x="391"/>
        <item x="393"/>
        <item x="395"/>
        <item x="396"/>
        <item x="397"/>
        <item x="399"/>
        <item x="400"/>
        <item x="402"/>
        <item x="405"/>
        <item x="406"/>
        <item x="407"/>
        <item x="408"/>
        <item x="409"/>
        <item x="411"/>
        <item x="413"/>
        <item x="414"/>
        <item x="416"/>
        <item x="417"/>
        <item x="419"/>
        <item x="421"/>
        <item x="424"/>
        <item x="425"/>
        <item x="427"/>
        <item x="428"/>
        <item x="430"/>
        <item x="431"/>
        <item x="432"/>
        <item x="434"/>
        <item x="435"/>
        <item x="436"/>
        <item x="437"/>
        <item x="459"/>
        <item x="439"/>
        <item x="440"/>
        <item x="441"/>
        <item x="442"/>
        <item x="444"/>
        <item x="445"/>
        <item x="447"/>
        <item x="449"/>
        <item x="493"/>
        <item x="495"/>
        <item x="496"/>
        <item x="497"/>
        <item x="501"/>
        <item x="502"/>
        <item x="505"/>
        <item x="465"/>
        <item x="462"/>
        <item x="469"/>
        <item x="467"/>
        <item x="466"/>
        <item x="468"/>
        <item x="473"/>
        <item x="470"/>
        <item x="476"/>
        <item x="474"/>
        <item x="480"/>
        <item x="477"/>
        <item x="481"/>
        <item x="486"/>
        <item x="482"/>
        <item x="483"/>
        <item x="488"/>
        <item x="487"/>
        <item x="506"/>
        <item x="507"/>
        <item x="512"/>
        <item x="513"/>
        <item x="514"/>
        <item x="515"/>
        <item x="517"/>
        <item x="519"/>
        <item x="520"/>
        <item x="509"/>
        <item x="510"/>
        <item x="522"/>
        <item x="521"/>
        <item x="525"/>
        <item x="526"/>
        <item x="524"/>
        <item x="528"/>
        <item x="527"/>
        <item x="529"/>
        <item x="530"/>
        <item x="532"/>
        <item x="533"/>
        <item x="534"/>
        <item x="508"/>
        <item m="1" x="649"/>
        <item x="511"/>
        <item x="535"/>
        <item x="536"/>
        <item x="537"/>
        <item x="538"/>
        <item x="539"/>
        <item x="548"/>
        <item x="549"/>
        <item x="550"/>
        <item x="551"/>
        <item x="542"/>
        <item x="541"/>
        <item x="544"/>
        <item x="543"/>
        <item x="545"/>
        <item x="546"/>
        <item x="547"/>
        <item x="553"/>
        <item x="552"/>
        <item x="555"/>
        <item x="554"/>
        <item x="558"/>
        <item x="644"/>
        <item x="632"/>
        <item x="634"/>
        <item x="635"/>
        <item x="637"/>
        <item x="638"/>
        <item x="640"/>
        <item x="643"/>
        <item x="622"/>
        <item x="623"/>
        <item x="624"/>
        <item x="625"/>
        <item x="626"/>
        <item x="627"/>
        <item x="628"/>
        <item x="629"/>
        <item x="559"/>
        <item x="561"/>
        <item x="563"/>
        <item x="564"/>
        <item x="565"/>
        <item x="566"/>
        <item x="569"/>
        <item x="568"/>
        <item x="571"/>
        <item x="573"/>
        <item x="574"/>
        <item x="576"/>
        <item x="608"/>
        <item x="578"/>
        <item x="579"/>
        <item x="580"/>
        <item x="582"/>
        <item x="583"/>
        <item x="584"/>
        <item x="588"/>
        <item x="589"/>
        <item x="590"/>
        <item x="591"/>
        <item x="592"/>
        <item x="594"/>
        <item x="595"/>
        <item x="597"/>
        <item x="598"/>
        <item x="599"/>
        <item x="600"/>
        <item x="601"/>
        <item x="603"/>
        <item x="604"/>
        <item x="605"/>
        <item x="606"/>
        <item x="607"/>
        <item x="610"/>
        <item x="611"/>
        <item x="612"/>
        <item x="614"/>
        <item x="615"/>
        <item x="616"/>
        <item x="617"/>
        <item x="618"/>
        <item x="619"/>
        <item x="620"/>
        <item x="630"/>
        <item x="631"/>
        <item x="645"/>
        <item x="646"/>
        <item x="647"/>
        <item x="648"/>
        <item x="52"/>
        <item x="70"/>
        <item x="71"/>
        <item x="72"/>
        <item x="86"/>
        <item x="87"/>
        <item x="147"/>
        <item x="152"/>
        <item x="168"/>
        <item x="192"/>
        <item x="174"/>
        <item x="183"/>
        <item x="185"/>
        <item x="0"/>
        <item x="307"/>
        <item x="353"/>
        <item x="356"/>
        <item x="358"/>
        <item x="383"/>
        <item x="475"/>
        <item x="478"/>
        <item x="485"/>
        <item x="540"/>
        <item x="641"/>
        <item x="609"/>
        <item x="586"/>
        <item x="471"/>
        <item x="243"/>
        <item m="1" x="959"/>
        <item x="489"/>
        <item x="490"/>
        <item x="366"/>
        <item x="77"/>
        <item x="80"/>
        <item x="91"/>
        <item x="94"/>
        <item x="97"/>
        <item x="325"/>
        <item x="464"/>
        <item x="491"/>
        <item x="195"/>
        <item x="368"/>
        <item x="365"/>
        <item x="492"/>
        <item x="420"/>
        <item x="484"/>
        <item x="575"/>
        <item x="504"/>
        <item x="180"/>
        <item x="335"/>
        <item x="499"/>
        <item x="523"/>
        <item x="581"/>
        <item x="585"/>
        <item x="250"/>
        <item x="392"/>
        <item x="443"/>
        <item x="283"/>
        <item x="286"/>
        <item x="305"/>
        <item x="102"/>
        <item x="426"/>
        <item x="633"/>
        <item x="636"/>
        <item x="639"/>
        <item x="642"/>
        <item x="572"/>
        <item x="175"/>
        <item x="398"/>
        <item x="450"/>
        <item x="461"/>
        <item x="315"/>
        <item x="438"/>
        <item x="463"/>
        <item x="472"/>
        <item x="503"/>
        <item x="312"/>
        <item x="531"/>
        <item x="384"/>
        <item x="613"/>
        <item x="110"/>
        <item x="90"/>
        <item x="373"/>
        <item x="454"/>
        <item x="172"/>
        <item x="176"/>
        <item x="188"/>
        <item x="190"/>
        <item x="292"/>
        <item x="300"/>
        <item x="128"/>
        <item x="61"/>
        <item x="116"/>
        <item x="263"/>
        <item x="278"/>
        <item x="433"/>
        <item x="567"/>
        <item x="621"/>
        <item x="62"/>
        <item x="593"/>
        <item x="76"/>
        <item x="448"/>
        <item x="562"/>
        <item x="189"/>
        <item x="193"/>
        <item x="404"/>
        <item x="412"/>
        <item x="423"/>
        <item x="16"/>
        <item x="146"/>
        <item x="151"/>
        <item x="161"/>
        <item x="587"/>
        <item x="596"/>
        <item x="74"/>
        <item x="394"/>
        <item x="245"/>
        <item x="560"/>
        <item x="199"/>
        <item x="345"/>
        <item x="9"/>
        <item x="422"/>
        <item x="498"/>
        <item x="516"/>
        <item x="556"/>
        <item x="557"/>
        <item x="494"/>
        <item x="518"/>
        <item x="143"/>
        <item x="318"/>
        <item x="418"/>
        <item x="181"/>
        <item x="171"/>
        <item x="119"/>
        <item x="122"/>
        <item x="124"/>
        <item x="479"/>
        <item x="40"/>
        <item x="401"/>
        <item x="602"/>
        <item x="429"/>
        <item x="10"/>
        <item x="570"/>
        <item x="577"/>
        <item x="377"/>
        <item x="137"/>
        <item x="204"/>
        <item x="500"/>
        <item x="403"/>
        <item x="410"/>
        <item x="415"/>
        <item x="446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1">
        <item m="1" x="31"/>
        <item x="4"/>
        <item m="1" x="32"/>
        <item m="1" x="37"/>
        <item x="3"/>
        <item m="1" x="28"/>
        <item x="5"/>
        <item m="1" x="39"/>
        <item x="9"/>
        <item x="2"/>
        <item m="1" x="30"/>
        <item m="1" x="17"/>
        <item x="7"/>
        <item x="6"/>
        <item x="1"/>
        <item x="14"/>
        <item m="1" x="26"/>
        <item m="1" x="27"/>
        <item x="13"/>
        <item x="11"/>
        <item m="1" x="16"/>
        <item m="1" x="38"/>
        <item m="1" x="24"/>
        <item m="1" x="35"/>
        <item m="1" x="21"/>
        <item m="1" x="23"/>
        <item m="1" x="36"/>
        <item m="1" x="22"/>
        <item m="1" x="25"/>
        <item m="1" x="19"/>
        <item m="1" x="34"/>
        <item m="1" x="33"/>
        <item m="1" x="20"/>
        <item x="8"/>
        <item m="1" x="18"/>
        <item m="1" x="29"/>
        <item m="1" x="40"/>
        <item x="0"/>
        <item x="10"/>
        <item x="12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0"/>
        <item x="5"/>
        <item x="10"/>
        <item x="3"/>
        <item x="7"/>
        <item x="6"/>
        <item x="11"/>
        <item x="2"/>
        <item x="1"/>
        <item x="8"/>
        <item x="9"/>
        <item x="1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19">
        <item m="1" x="684"/>
        <item m="1" x="804"/>
        <item m="1" x="821"/>
        <item m="1" x="709"/>
        <item m="1" x="721"/>
        <item m="1" x="1958"/>
        <item m="1" x="1342"/>
        <item m="1" x="1770"/>
        <item m="1" x="2124"/>
        <item m="1" x="1878"/>
        <item m="1" x="1429"/>
        <item m="1" x="1774"/>
        <item m="1" x="1082"/>
        <item m="1" x="1302"/>
        <item m="1" x="839"/>
        <item m="1" x="2214"/>
        <item m="1" x="665"/>
        <item m="1" x="495"/>
        <item m="1" x="601"/>
        <item m="1" x="686"/>
        <item m="1" x="1825"/>
        <item m="1" x="1009"/>
        <item m="1" x="670"/>
        <item m="1" x="2170"/>
        <item m="1" x="956"/>
        <item m="1" x="1395"/>
        <item m="1" x="691"/>
        <item m="1" x="1422"/>
        <item m="1" x="1471"/>
        <item m="1" x="1439"/>
        <item m="1" x="1506"/>
        <item m="1" x="1844"/>
        <item m="1" x="1873"/>
        <item m="1" x="1900"/>
        <item m="1" x="1927"/>
        <item m="1" x="2175"/>
        <item m="1" x="407"/>
        <item m="1" x="1950"/>
        <item m="1" x="963"/>
        <item m="1" x="957"/>
        <item m="1" x="687"/>
        <item m="1" x="589"/>
        <item m="1" x="1390"/>
        <item m="1" x="1433"/>
        <item m="1" x="1357"/>
        <item m="1" x="1006"/>
        <item m="1" x="1028"/>
        <item m="1" x="1042"/>
        <item m="1" x="1061"/>
        <item m="1" x="1080"/>
        <item m="1" x="1096"/>
        <item m="1" x="1043"/>
        <item m="1" x="1062"/>
        <item m="1" x="1489"/>
        <item m="1" x="1522"/>
        <item m="1" x="1553"/>
        <item m="1" x="1592"/>
        <item m="1" x="1637"/>
        <item m="1" x="1670"/>
        <item m="1" x="1353"/>
        <item m="1" x="983"/>
        <item m="1" x="822"/>
        <item m="1" x="1385"/>
        <item m="1" x="842"/>
        <item m="1" x="814"/>
        <item m="1" x="1464"/>
        <item m="1" x="879"/>
        <item m="1" x="1493"/>
        <item m="1" x="712"/>
        <item m="1" x="1060"/>
        <item m="1" x="1396"/>
        <item m="1" x="1859"/>
        <item m="1" x="1761"/>
        <item m="1" x="1341"/>
        <item m="1" x="1123"/>
        <item m="1" x="973"/>
        <item m="1" x="2086"/>
        <item m="1" x="799"/>
        <item m="1" x="568"/>
        <item m="1" x="2162"/>
        <item m="1" x="2007"/>
        <item m="1" x="1644"/>
        <item m="1" x="2148"/>
        <item m="1" x="1393"/>
        <item m="1" x="2187"/>
        <item m="1" x="581"/>
        <item m="1" x="2202"/>
        <item m="1" x="598"/>
        <item m="1" x="395"/>
        <item m="1" x="618"/>
        <item m="1" x="412"/>
        <item m="1" x="627"/>
        <item m="1" x="1539"/>
        <item m="1" x="563"/>
        <item m="1" x="708"/>
        <item m="1" x="1929"/>
        <item m="1" x="2023"/>
        <item m="1" x="1932"/>
        <item m="1" x="2098"/>
        <item m="1" x="2011"/>
        <item m="1" x="1018"/>
        <item m="1" x="1352"/>
        <item m="1" x="405"/>
        <item m="1" x="420"/>
        <item m="1" x="435"/>
        <item m="1" x="992"/>
        <item m="1" x="460"/>
        <item m="1" x="2174"/>
        <item m="1" x="1935"/>
        <item m="1" x="1776"/>
        <item m="1" x="1783"/>
        <item m="1" x="1240"/>
        <item m="1" x="889"/>
        <item m="1" x="1552"/>
        <item m="1" x="1052"/>
        <item m="1" x="1095"/>
        <item m="1" x="898"/>
        <item m="1" x="537"/>
        <item m="1" x="544"/>
        <item m="1" x="555"/>
        <item m="1" x="529"/>
        <item m="1" x="452"/>
        <item m="1" x="1977"/>
        <item m="1" x="1823"/>
        <item m="1" x="1838"/>
        <item m="1" x="1298"/>
        <item m="1" x="932"/>
        <item m="1" x="1636"/>
        <item m="1" x="1091"/>
        <item m="1" x="1141"/>
        <item m="1" x="941"/>
        <item m="1" x="2039"/>
        <item m="1" x="1630"/>
        <item m="1" x="1350"/>
        <item m="1" x="1383"/>
        <item m="1" x="1003"/>
        <item m="1" x="1426"/>
        <item m="1" x="1024"/>
        <item m="1" x="1462"/>
        <item m="1" x="1225"/>
        <item m="1" x="609"/>
        <item m="1" x="623"/>
        <item m="1" x="636"/>
        <item m="1" x="854"/>
        <item m="1" x="1911"/>
        <item m="1" x="1032"/>
        <item m="1" x="818"/>
        <item m="1" x="1124"/>
        <item m="1" x="976"/>
        <item m="1" x="1148"/>
        <item m="1" x="995"/>
        <item m="1" x="1176"/>
        <item m="1" x="1014"/>
        <item m="1" x="1133"/>
        <item m="1" x="985"/>
        <item m="1" x="1161"/>
        <item m="1" x="1008"/>
        <item m="1" x="1388"/>
        <item m="1" x="875"/>
        <item m="1" x="1135"/>
        <item m="1" x="1165"/>
        <item m="1" x="1197"/>
        <item m="1" x="1232"/>
        <item m="1" x="1268"/>
        <item m="1" x="1294"/>
        <item m="1" x="1322"/>
        <item m="1" x="1348"/>
        <item m="1" x="1379"/>
        <item m="1" x="1114"/>
        <item m="1" x="1136"/>
        <item m="1" x="1168"/>
        <item m="1" x="1198"/>
        <item m="1" x="1234"/>
        <item m="1" x="1271"/>
        <item m="1" x="1296"/>
        <item m="1" x="1323"/>
        <item m="1" x="1349"/>
        <item m="1" x="1381"/>
        <item m="1" x="1116"/>
        <item m="1" x="1140"/>
        <item m="1" x="1169"/>
        <item m="1" x="1199"/>
        <item m="1" x="1187"/>
        <item m="1" x="1194"/>
        <item m="1" x="1213"/>
        <item m="1" x="1228"/>
        <item m="1" x="1896"/>
        <item m="1" x="2211"/>
        <item m="1" x="520"/>
        <item m="1" x="533"/>
        <item m="1" x="1036"/>
        <item m="1" x="876"/>
        <item m="1" x="1055"/>
        <item m="1" x="894"/>
        <item m="1" x="1075"/>
        <item m="1" x="917"/>
        <item m="1" x="939"/>
        <item m="1" x="965"/>
        <item m="1" x="1233"/>
        <item m="1" x="1047"/>
        <item m="1" x="1269"/>
        <item m="1" x="1068"/>
        <item m="1" x="1295"/>
        <item m="1" x="1086"/>
        <item m="1" x="1104"/>
        <item m="1" x="1618"/>
        <item m="1" x="991"/>
        <item m="1" x="1659"/>
        <item m="1" x="1690"/>
        <item m="1" x="1180"/>
        <item m="1" x="1216"/>
        <item m="1" x="1253"/>
        <item m="1" x="1945"/>
        <item m="1" x="1987"/>
        <item m="1" x="1969"/>
        <item m="1" x="2004"/>
        <item m="1" x="1984"/>
        <item m="1" x="2021"/>
        <item m="1" x="2001"/>
        <item m="1" x="2043"/>
        <item m="1" x="1949"/>
        <item m="1" x="1972"/>
        <item m="1" x="1988"/>
        <item m="1" x="2005"/>
        <item m="1" x="2022"/>
        <item m="1" x="2044"/>
        <item m="1" x="2067"/>
        <item m="1" x="433"/>
        <item m="1" x="447"/>
        <item m="1" x="456"/>
        <item m="1" x="469"/>
        <item m="1" x="491"/>
        <item m="1" x="505"/>
        <item m="1" x="654"/>
        <item m="1" x="646"/>
        <item m="1" x="812"/>
        <item m="1" x="1436"/>
        <item m="1" x="1469"/>
        <item m="1" x="1503"/>
        <item m="1" x="1533"/>
        <item m="1" x="1566"/>
        <item m="1" x="1609"/>
        <item m="1" x="1650"/>
        <item m="1" x="1682"/>
        <item m="1" x="1022"/>
        <item m="1" x="739"/>
        <item m="1" x="535"/>
        <item m="1" x="757"/>
        <item m="1" x="546"/>
        <item m="1" x="780"/>
        <item m="1" x="561"/>
        <item m="1" x="802"/>
        <item m="1" x="928"/>
        <item m="1" x="573"/>
        <item m="1" x="2087"/>
        <item m="1" x="913"/>
        <item m="1" x="2102"/>
        <item m="1" x="936"/>
        <item m="1" x="2129"/>
        <item m="1" x="960"/>
        <item m="1" x="2164"/>
        <item m="1" x="2089"/>
        <item m="1" x="2103"/>
        <item m="1" x="2131"/>
        <item m="1" x="2145"/>
        <item m="1" x="1046"/>
        <item m="1" x="1067"/>
        <item m="1" x="1153"/>
        <item m="1" x="1777"/>
        <item m="1" x="1182"/>
        <item m="1" x="1796"/>
        <item m="1" x="908"/>
        <item m="1" x="1256"/>
        <item m="1" x="1860"/>
        <item m="1" x="1286"/>
        <item m="1" x="1313"/>
        <item m="1" x="1338"/>
        <item m="1" x="1938"/>
        <item m="1" x="1367"/>
        <item m="1" x="1957"/>
        <item m="1" x="516"/>
        <item m="1" x="993"/>
        <item m="1" x="1687"/>
        <item m="1" x="994"/>
        <item m="1" x="1718"/>
        <item m="1" x="1013"/>
        <item m="1" x="2142"/>
        <item m="1" x="1654"/>
        <item m="1" x="2163"/>
        <item m="1" x="1688"/>
        <item m="1" x="2189"/>
        <item m="1" x="1719"/>
        <item m="1" x="1643"/>
        <item m="1" x="1364"/>
        <item m="1" x="1676"/>
        <item m="1" x="1394"/>
        <item m="1" x="1705"/>
        <item m="1" x="1437"/>
        <item m="1" x="1730"/>
        <item m="1" x="1470"/>
        <item m="1" x="1748"/>
        <item m="1" x="1505"/>
        <item m="1" x="1769"/>
        <item m="1" x="1534"/>
        <item m="1" x="1794"/>
        <item m="1" x="1568"/>
        <item m="1" x="1818"/>
        <item m="1" x="1613"/>
        <item m="1" x="1853"/>
        <item m="1" x="1652"/>
        <item m="1" x="1858"/>
        <item m="1" x="1883"/>
        <item m="1" x="481"/>
        <item m="1" x="517"/>
        <item m="1" x="499"/>
        <item m="1" x="530"/>
        <item m="1" x="515"/>
        <item m="1" x="542"/>
        <item m="1" x="526"/>
        <item m="1" x="558"/>
        <item m="1" x="877"/>
        <item m="1" x="727"/>
        <item m="1" x="899"/>
        <item m="1" x="743"/>
        <item m="1" x="918"/>
        <item m="1" x="760"/>
        <item m="1" x="944"/>
        <item m="1" x="783"/>
        <item m="1" x="1726"/>
        <item m="1" x="1745"/>
        <item m="1" x="1766"/>
        <item m="1" x="1790"/>
        <item m="1" x="1810"/>
        <item m="1" x="1871"/>
        <item m="1" x="1897"/>
        <item m="1" x="1398"/>
        <item m="1" x="1443"/>
        <item m="1" x="1474"/>
        <item m="1" x="1507"/>
        <item m="1" x="998"/>
        <item m="1" x="1421"/>
        <item m="1" x="1460"/>
        <item m="1" x="1488"/>
        <item m="1" x="1706"/>
        <item m="1" x="1724"/>
        <item m="1" x="1057"/>
        <item m="1" x="1742"/>
        <item m="1" x="1077"/>
        <item m="1" x="511"/>
        <item m="1" x="524"/>
        <item m="1" x="538"/>
        <item m="1" x="552"/>
        <item m="1" x="796"/>
        <item m="1" x="2025"/>
        <item m="1" x="631"/>
        <item m="1" x="643"/>
        <item m="1" x="655"/>
        <item m="1" x="667"/>
        <item m="1" x="682"/>
        <item m="1" x="733"/>
        <item m="1" x="903"/>
        <item m="1" x="440"/>
        <item m="1" x="923"/>
        <item m="1" x="771"/>
        <item m="1" x="466"/>
        <item m="1" x="970"/>
        <item m="1" x="815"/>
        <item m="1" x="477"/>
        <item m="1" x="1467"/>
        <item m="1" x="990"/>
        <item m="1" x="835"/>
        <item m="1" x="852"/>
        <item m="1" x="1201"/>
        <item m="1" x="735"/>
        <item m="1" x="1239"/>
        <item m="1" x="752"/>
        <item m="1" x="1558"/>
        <item m="1" x="1049"/>
        <item m="1" x="888"/>
        <item m="1" x="539"/>
        <item m="1" x="1361"/>
        <item m="1" x="1027"/>
        <item m="1" x="639"/>
        <item m="1" x="2118"/>
        <item m="1" x="1280"/>
        <item m="1" x="861"/>
        <item m="1" x="720"/>
        <item m="1" x="410"/>
        <item m="1" x="1103"/>
        <item m="1" x="734"/>
        <item m="1" x="904"/>
        <item m="1" x="749"/>
        <item m="1" x="772"/>
        <item m="1" x="950"/>
        <item m="1" x="792"/>
        <item m="1" x="1064"/>
        <item m="1" x="1081"/>
        <item m="1" x="1097"/>
        <item m="1" x="1121"/>
        <item m="1" x="1145"/>
        <item m="1" x="1174"/>
        <item m="1" x="1208"/>
        <item m="1" x="1955"/>
        <item m="1" x="1995"/>
        <item m="1" x="1976"/>
        <item m="1" x="2012"/>
        <item m="1" x="1990"/>
        <item m="1" x="2031"/>
        <item m="1" x="2006"/>
        <item m="1" x="2055"/>
        <item m="1" x="2027"/>
        <item m="1" x="2075"/>
        <item m="1" x="2049"/>
        <item m="1" x="2090"/>
        <item m="1" x="2071"/>
        <item m="1" x="2104"/>
        <item m="1" x="455"/>
        <item m="1" x="468"/>
        <item m="1" x="487"/>
        <item m="1" x="502"/>
        <item m="1" x="480"/>
        <item m="1" x="2190"/>
        <item m="1" x="531"/>
        <item m="1" x="514"/>
        <item m="1" x="397"/>
        <item m="1" x="525"/>
        <item m="1" x="414"/>
        <item m="1" x="569"/>
        <item m="1" x="442"/>
        <item m="1" x="674"/>
        <item m="1" x="1756"/>
        <item m="1" x="1230"/>
        <item m="1" x="1252"/>
        <item m="1" x="766"/>
        <item m="1" x="1293"/>
        <item m="1" x="1321"/>
        <item m="1" x="816"/>
        <item m="1" x="1270"/>
        <item m="1" x="406"/>
        <item m="1" x="1205"/>
        <item m="1" x="1243"/>
        <item m="1" x="1275"/>
        <item m="1" x="1301"/>
        <item m="1" x="1222"/>
        <item m="1" x="1261"/>
        <item m="1" x="1288"/>
        <item m="1" x="1316"/>
        <item m="1" x="1344"/>
        <item m="1" x="1372"/>
        <item m="1" x="1405"/>
        <item m="1" x="1247"/>
        <item m="1" x="891"/>
        <item m="1" x="1279"/>
        <item m="1" x="914"/>
        <item m="1" x="1306"/>
        <item m="1" x="937"/>
        <item m="1" x="1108"/>
        <item m="1" x="1132"/>
        <item m="1" x="1160"/>
        <item m="1" x="1122"/>
        <item m="1" x="968"/>
        <item m="1" x="475"/>
        <item m="1" x="1701"/>
        <item m="1" x="1658"/>
        <item m="1" x="1134"/>
        <item m="1" x="981"/>
        <item m="1" x="1720"/>
        <item m="1" x="1137"/>
        <item m="1" x="1946"/>
        <item m="1" x="1431"/>
        <item m="1" x="1970"/>
        <item m="1" x="1468"/>
        <item m="1" x="1985"/>
        <item m="1" x="1497"/>
        <item m="1" x="2003"/>
        <item m="1" x="1526"/>
        <item m="1" x="2018"/>
        <item m="1" x="1559"/>
        <item m="1" x="2040"/>
        <item m="1" x="1598"/>
        <item m="1" x="2065"/>
        <item m="1" x="1642"/>
        <item m="1" x="2060"/>
        <item m="1" x="1899"/>
        <item m="1" x="2078"/>
        <item m="1" x="1925"/>
        <item m="1" x="2092"/>
        <item m="1" x="1948"/>
        <item m="1" x="2108"/>
        <item m="1" x="1971"/>
        <item m="1" x="2134"/>
        <item m="1" x="1986"/>
        <item m="1" x="1452"/>
        <item m="1" x="1484"/>
        <item m="1" x="1516"/>
        <item m="1" x="1547"/>
        <item m="1" x="1583"/>
        <item m="1" x="1628"/>
        <item m="1" x="1663"/>
        <item m="1" x="1693"/>
        <item m="1" x="2110"/>
        <item m="1" x="2135"/>
        <item m="1" x="396"/>
        <item m="1" x="413"/>
        <item m="1" x="428"/>
        <item m="1" x="441"/>
        <item m="1" x="453"/>
        <item m="1" x="467"/>
        <item m="1" x="483"/>
        <item m="1" x="500"/>
        <item m="1" x="922"/>
        <item m="1" x="947"/>
        <item m="1" x="969"/>
        <item m="1" x="1045"/>
        <item m="1" x="1066"/>
        <item m="1" x="1085"/>
        <item m="1" x="1101"/>
        <item m="1" x="1127"/>
        <item m="1" x="1500"/>
        <item m="1" x="1529"/>
        <item m="1" x="1019"/>
        <item m="1" x="1200"/>
        <item m="1" x="1550"/>
        <item m="1" x="1591"/>
        <item m="1" x="1635"/>
        <item m="1" x="1325"/>
        <item m="1" x="1331"/>
        <item m="1" x="1226"/>
        <item m="1" x="1038"/>
        <item m="1" x="1267"/>
        <item m="1" x="1058"/>
        <item m="1" x="1420"/>
        <item m="1" x="871"/>
        <item m="1" x="1459"/>
        <item m="1" x="890"/>
        <item m="1" x="1400"/>
        <item m="1" x="1418"/>
        <item m="1" x="1444"/>
        <item m="1" x="1475"/>
        <item m="1" x="1487"/>
        <item m="1" x="1508"/>
        <item m="1" x="1885"/>
        <item m="1" x="1910"/>
        <item m="1" x="2205"/>
        <item m="1" x="399"/>
        <item m="1" x="415"/>
        <item m="1" x="429"/>
        <item m="1" x="1115"/>
        <item m="1" x="1138"/>
        <item m="1" x="1131"/>
        <item m="1" x="1156"/>
        <item m="1" x="1186"/>
        <item m="1" x="1150"/>
        <item m="1" x="989"/>
        <item m="1" x="834"/>
        <item m="1" x="1178"/>
        <item m="1" x="1011"/>
        <item m="1" x="849"/>
        <item m="1" x="1212"/>
        <item m="1" x="1030"/>
        <item m="1" x="867"/>
        <item m="1" x="1251"/>
        <item m="1" x="1048"/>
        <item m="1" x="886"/>
        <item m="1" x="1281"/>
        <item m="1" x="1070"/>
        <item m="1" x="911"/>
        <item m="1" x="1307"/>
        <item m="1" x="1087"/>
        <item m="1" x="929"/>
        <item m="1" x="999"/>
        <item m="1" x="1020"/>
        <item m="1" x="1039"/>
        <item m="1" x="1059"/>
        <item m="1" x="1078"/>
        <item m="1" x="1094"/>
        <item m="1" x="1012"/>
        <item m="1" x="850"/>
        <item m="1" x="1031"/>
        <item m="1" x="868"/>
        <item m="1" x="1440"/>
        <item m="1" x="1472"/>
        <item m="1" x="1021"/>
        <item m="1" x="1419"/>
        <item m="1" x="1175"/>
        <item m="1" x="1183"/>
        <item m="1" x="851"/>
        <item m="1" x="1209"/>
        <item m="1" x="1219"/>
        <item m="1" x="869"/>
        <item m="1" x="1227"/>
        <item m="1" x="1238"/>
        <item m="1" x="880"/>
        <item m="1" x="1273"/>
        <item m="1" x="902"/>
        <item m="1" x="1292"/>
        <item m="1" x="1297"/>
        <item m="1" x="921"/>
        <item m="1" x="1326"/>
        <item m="1" x="946"/>
        <item m="1" x="1740"/>
        <item m="1" x="1746"/>
        <item m="1" x="1254"/>
        <item m="1" x="1759"/>
        <item m="1" x="1767"/>
        <item m="1" x="1284"/>
        <item m="1" x="1248"/>
        <item m="1" x="1259"/>
        <item m="1" x="887"/>
        <item m="1" x="1109"/>
        <item m="1" x="1171"/>
        <item m="1" x="1204"/>
        <item m="1" x="1162"/>
        <item m="1" x="1242"/>
        <item m="1" x="1191"/>
        <item m="1" x="1274"/>
        <item m="1" x="1300"/>
        <item m="1" x="1264"/>
        <item m="1" x="1327"/>
        <item m="1" x="1119"/>
        <item m="1" x="1143"/>
        <item m="1" x="1207"/>
        <item m="1" x="1244"/>
        <item m="1" x="1130"/>
        <item m="1" x="1479"/>
        <item m="1" x="1513"/>
        <item m="1" x="1543"/>
        <item m="1" x="1579"/>
        <item m="1" x="1623"/>
        <item m="1" x="1660"/>
        <item m="1" x="1691"/>
        <item m="1" x="1721"/>
        <item m="1" x="1407"/>
        <item m="1" x="1449"/>
        <item m="1" x="1481"/>
        <item m="1" x="1515"/>
        <item m="1" x="1544"/>
        <item m="1" x="1580"/>
        <item m="1" x="1625"/>
        <item m="1" x="1661"/>
        <item m="1" x="1397"/>
        <item m="1" x="1442"/>
        <item m="1" x="1473"/>
        <item m="1" x="1218"/>
        <item m="1" x="1258"/>
        <item m="1" x="2207"/>
        <item m="1" x="401"/>
        <item m="1" x="901"/>
        <item m="1" x="1933"/>
        <item m="1" x="919"/>
        <item m="1" x="1954"/>
        <item m="1" x="1974"/>
        <item m="1" x="1071"/>
        <item m="1" x="1089"/>
        <item m="1" x="1106"/>
        <item m="1" x="1538"/>
        <item m="1" x="1572"/>
        <item m="1" x="1617"/>
        <item m="1" x="1656"/>
        <item m="1" x="1765"/>
        <item m="1" x="1789"/>
        <item m="1" x="1159"/>
        <item m="1" x="1188"/>
        <item m="1" x="1491"/>
        <item m="1" x="1203"/>
        <item m="1" x="1556"/>
        <item m="1" x="1594"/>
        <item m="1" x="1639"/>
        <item m="1" x="1672"/>
        <item m="1" x="1703"/>
        <item m="1" x="1729"/>
        <item m="1" x="1747"/>
        <item m="1" x="1463"/>
        <item m="1" x="1492"/>
        <item m="1" x="1524"/>
        <item m="1" x="1257"/>
        <item m="1" x="763"/>
        <item m="1" x="1287"/>
        <item m="1" x="1314"/>
        <item m="1" x="806"/>
        <item m="1" x="486"/>
        <item m="1" x="1339"/>
        <item m="1" x="825"/>
        <item m="1" x="501"/>
        <item m="1" x="1531"/>
        <item m="1" x="1083"/>
        <item m="1" x="1035"/>
        <item m="1" x="731"/>
        <item m="1" x="1562"/>
        <item m="1" x="1099"/>
        <item m="1" x="1051"/>
        <item m="1" x="746"/>
        <item m="1" x="1603"/>
        <item m="1" x="1125"/>
        <item m="1" x="1074"/>
        <item m="1" x="765"/>
        <item m="1" x="1611"/>
        <item m="1" x="534"/>
        <item m="1" x="1778"/>
        <item m="1" x="1651"/>
        <item m="1" x="545"/>
        <item m="1" x="1797"/>
        <item m="1" x="1683"/>
        <item m="1" x="560"/>
        <item m="1" x="1824"/>
        <item m="1" x="893"/>
        <item m="1" x="650"/>
        <item m="1" x="551"/>
        <item m="1" x="762"/>
        <item m="1" x="938"/>
        <item m="1" x="675"/>
        <item m="1" x="578"/>
        <item m="1" x="964"/>
        <item m="1" x="689"/>
        <item m="1" x="591"/>
        <item m="1" x="986"/>
        <item m="1" x="703"/>
        <item m="1" x="612"/>
        <item m="1" x="1088"/>
        <item m="1" x="1581"/>
        <item m="1" x="1588"/>
        <item m="1" x="1382"/>
        <item m="1" x="1819"/>
        <item m="1" x="984"/>
        <item m="1" x="706"/>
        <item m="1" x="504"/>
        <item m="1" x="2074"/>
        <item m="1" x="979"/>
        <item m="1" x="1917"/>
        <item m="1" x="1482"/>
        <item m="1" x="463"/>
        <item m="1" x="679"/>
        <item m="1" x="402"/>
        <item m="1" x="607"/>
        <item m="1" x="856"/>
        <item m="1" x="719"/>
        <item m="1" x="1966"/>
        <item m="1" x="1758"/>
        <item m="1" x="1289"/>
        <item m="1" x="604"/>
        <item m="1" x="769"/>
        <item m="1" x="1913"/>
        <item m="1" x="1884"/>
        <item m="1" x="741"/>
        <item m="1" x="1983"/>
        <item m="1" x="750"/>
        <item m="1" x="651"/>
        <item m="1" x="773"/>
        <item m="1" x="661"/>
        <item m="1" x="793"/>
        <item m="1" x="676"/>
        <item m="1" x="692"/>
        <item m="1" x="726"/>
        <item m="1" x="742"/>
        <item m="1" x="759"/>
        <item m="1" x="1804"/>
        <item m="1" x="1837"/>
        <item m="1" x="1868"/>
        <item m="1" x="1894"/>
        <item m="1" x="1921"/>
        <item m="1" x="1943"/>
        <item m="1" x="436"/>
        <item m="1" x="556"/>
        <item m="1" x="1820"/>
        <item m="1" x="567"/>
        <item m="1" x="461"/>
        <item m="1" x="1880"/>
        <item m="1" x="597"/>
        <item m="1" x="494"/>
        <item m="1" x="1907"/>
        <item m="1" x="896"/>
        <item m="1" x="617"/>
        <item m="1" x="507"/>
        <item m="1" x="522"/>
        <item m="1" x="1812"/>
        <item m="1" x="1847"/>
        <item m="1" x="966"/>
        <item m="1" x="652"/>
        <item m="1" x="547"/>
        <item m="1" x="1989"/>
        <item m="1" x="1595"/>
        <item m="1" x="781"/>
        <item m="1" x="527"/>
        <item m="1" x="421"/>
        <item m="1" x="1772"/>
        <item m="1" x="437"/>
        <item m="1" x="557"/>
        <item m="1" x="451"/>
        <item m="1" x="462"/>
        <item m="1" x="582"/>
        <item m="1" x="471"/>
        <item m="1" x="678"/>
        <item m="1" x="758"/>
        <item m="1" x="1262"/>
        <item m="1" x="1923"/>
        <item m="1" x="820"/>
        <item m="1" x="870"/>
        <item m="1" x="912"/>
        <item m="1" x="971"/>
        <item m="1" x="866"/>
        <item m="1" x="1246"/>
        <item m="1" x="1278"/>
        <item m="1" x="1044"/>
        <item m="1" x="885"/>
        <item m="1" x="1912"/>
        <item m="1" x="988"/>
        <item m="1" x="1886"/>
        <item m="1" x="450"/>
        <item m="1" x="1282"/>
        <item m="1" x="1309"/>
        <item m="1" x="1334"/>
        <item m="1" x="392"/>
        <item m="1" x="1751"/>
        <item m="1" x="426"/>
        <item m="1" x="2167"/>
        <item m="1" x="1272"/>
        <item m="1" x="1620"/>
        <item m="1" x="1235"/>
        <item m="1" x="1813"/>
        <item m="1" x="2114"/>
        <item m="1" x="1120"/>
        <item m="1" x="1727"/>
        <item m="1" x="449"/>
        <item m="1" x="1799"/>
        <item m="1" x="2033"/>
        <item m="1" x="1832"/>
        <item m="1" x="1863"/>
        <item m="1" x="1889"/>
        <item m="1" x="1940"/>
        <item m="1" x="790"/>
        <item m="1" x="1961"/>
        <item m="1" x="2146"/>
        <item m="1" x="570"/>
        <item m="1" x="458"/>
        <item m="1" x="1814"/>
        <item m="1" x="841"/>
        <item m="1" x="1373"/>
        <item m="1" x="1406"/>
        <item m="1" x="878"/>
        <item m="1" x="1448"/>
        <item m="1" x="900"/>
        <item m="1" x="1480"/>
        <item m="1" x="1514"/>
        <item m="1" x="945"/>
        <item m="1" x="1855"/>
        <item m="1" x="1879"/>
        <item m="1" x="1906"/>
        <item m="1" x="2191"/>
        <item m="1" x="1157"/>
        <item m="1" x="2206"/>
        <item m="1" x="1850"/>
        <item m="1" x="1876"/>
        <item m="1" x="2179"/>
        <item m="1" x="1857"/>
        <item m="1" x="1677"/>
        <item m="1" x="1411"/>
        <item m="1" x="1017"/>
        <item m="1" x="632"/>
        <item m="1" x="1210"/>
        <item m="1" x="1453"/>
        <item m="1" x="1033"/>
        <item m="1" x="1211"/>
        <item m="1" x="1034"/>
        <item m="1" x="645"/>
        <item m="1" x="2048"/>
        <item m="1" x="1709"/>
        <item m="1" x="1697"/>
        <item m="1" x="1915"/>
        <item m="1" x="1722"/>
        <item m="1" x="1741"/>
        <item m="1" x="1962"/>
        <item m="1" x="1760"/>
        <item m="1" x="1784"/>
        <item m="1" x="1998"/>
        <item m="1" x="1806"/>
        <item m="1" x="2014"/>
        <item m="1" x="1840"/>
        <item m="1" x="1904"/>
        <item m="1" x="1710"/>
        <item m="1" x="1930"/>
        <item m="1" x="1732"/>
        <item m="1" x="1782"/>
        <item m="1" x="1800"/>
        <item m="1" x="1833"/>
        <item m="1" x="1631"/>
        <item m="1" x="1864"/>
        <item m="1" x="1224"/>
        <item m="1" x="1916"/>
        <item m="1" x="1723"/>
        <item m="1" x="2133"/>
        <item m="1" x="2111"/>
        <item m="1" x="2203"/>
        <item m="1" x="1129"/>
        <item m="1" x="716"/>
        <item m="1" x="1181"/>
        <item m="1" x="1217"/>
        <item m="1" x="1255"/>
        <item m="1" x="1936"/>
        <item m="1" x="1312"/>
        <item m="1" x="484"/>
        <item m="1" x="1337"/>
        <item m="1" x="1366"/>
        <item m="1" x="1815"/>
        <item m="1" x="1604"/>
        <item m="1" x="1345"/>
        <item m="1" x="1645"/>
        <item m="1" x="1877"/>
        <item m="1" x="1678"/>
        <item m="1" x="1412"/>
        <item m="1" x="1905"/>
        <item m="1" x="1711"/>
        <item m="1" x="1454"/>
        <item m="1" x="2154"/>
        <item m="1" x="2008"/>
        <item m="1" x="2180"/>
        <item m="1" x="2028"/>
        <item m="1" x="523"/>
        <item m="1" x="2197"/>
        <item m="1" x="2050"/>
        <item m="1" x="2217"/>
        <item m="1" x="2072"/>
        <item m="1" x="549"/>
        <item m="1" x="980"/>
        <item m="1" x="1110"/>
        <item m="1" x="811"/>
        <item m="1" x="975"/>
        <item m="1" x="482"/>
        <item m="1" x="2057"/>
        <item m="1" x="1220"/>
        <item m="1" x="2076"/>
        <item m="1" x="608"/>
        <item m="1" x="846"/>
        <item m="1" x="1646"/>
        <item m="1" x="1375"/>
        <item m="1" x="1413"/>
        <item m="1" x="1712"/>
        <item m="1" x="1455"/>
        <item m="1" x="1733"/>
        <item m="1" x="1750"/>
        <item m="1" x="1773"/>
        <item m="1" x="1549"/>
        <item m="1" x="1092"/>
        <item m="1" x="1866"/>
        <item m="1" x="1928"/>
        <item m="1" x="1408"/>
        <item m="1" x="1893"/>
        <item m="1" x="1951"/>
        <item m="1" x="1450"/>
        <item m="1" x="2212"/>
        <item m="1" x="1861"/>
        <item m="1" x="1679"/>
        <item m="1" x="1414"/>
        <item m="1" x="634"/>
        <item m="1" x="2088"/>
        <item m="1" x="2051"/>
        <item m="1" x="1890"/>
        <item m="1" x="1698"/>
        <item m="1" x="1713"/>
        <item m="1" x="1734"/>
        <item m="1" x="2128"/>
        <item m="1" x="1780"/>
        <item m="1" x="1798"/>
        <item m="1" x="1830"/>
        <item m="1" x="1793"/>
        <item m="1" x="1564"/>
        <item m="1" x="1817"/>
        <item m="1" x="1607"/>
        <item m="1" x="1346"/>
        <item m="1" x="1852"/>
        <item m="1" x="1647"/>
        <item m="1" x="2136"/>
        <item m="1" x="1991"/>
        <item m="1" x="2181"/>
        <item m="1" x="2029"/>
        <item m="1" x="1802"/>
        <item m="1" x="1584"/>
        <item m="1" x="1332"/>
        <item m="1" x="1834"/>
        <item m="1" x="1632"/>
        <item m="1" x="1359"/>
        <item m="1" x="1142"/>
        <item m="1" x="1891"/>
        <item m="1" x="1699"/>
        <item m="1" x="1192"/>
        <item m="1" x="1434"/>
        <item m="1" x="1206"/>
        <item m="1" x="488"/>
        <item m="1" x="2147"/>
        <item m="1" x="493"/>
        <item m="1" x="2002"/>
        <item m="1" x="1822"/>
        <item m="1" x="1640"/>
        <item m="1" x="503"/>
        <item m="1" x="2171"/>
        <item m="1" x="506"/>
        <item m="1" x="2017"/>
        <item m="1" x="1856"/>
        <item m="1" x="1673"/>
        <item m="1" x="519"/>
        <item m="1" x="2192"/>
        <item m="1" x="521"/>
        <item m="1" x="2038"/>
        <item m="1" x="1882"/>
        <item m="1" x="1704"/>
        <item m="1" x="2064"/>
        <item m="1" x="1608"/>
        <item m="1" x="1347"/>
        <item m="1" x="1648"/>
        <item m="1" x="1376"/>
        <item m="1" x="1681"/>
        <item m="1" x="1415"/>
        <item m="1" x="1714"/>
        <item m="1" x="1456"/>
        <item m="1" x="2155"/>
        <item m="1" x="2009"/>
        <item m="1" x="1841"/>
        <item m="1" x="2182"/>
        <item m="1" x="2030"/>
        <item m="1" x="2052"/>
        <item m="1" x="1835"/>
        <item m="1" x="2062"/>
        <item m="1" x="1867"/>
        <item m="1" x="1193"/>
        <item m="1" x="2079"/>
        <item m="1" x="1520"/>
        <item m="1" x="2082"/>
        <item m="1" x="2093"/>
        <item m="1" x="1920"/>
        <item m="1" x="1266"/>
        <item m="1" x="2109"/>
        <item m="1" x="1585"/>
        <item m="1" x="2113"/>
        <item m="1" x="2083"/>
        <item m="1" x="619"/>
        <item m="1" x="423"/>
        <item m="1" x="2096"/>
        <item m="1" x="438"/>
        <item m="1" x="2120"/>
        <item m="1" x="1836"/>
        <item m="1" x="1633"/>
        <item m="1" x="2168"/>
        <item m="1" x="2172"/>
        <item m="1" x="1696"/>
        <item m="1" x="2176"/>
        <item m="1" x="2024"/>
        <item m="1" x="1416"/>
        <item m="1" x="927"/>
        <item m="1" x="417"/>
        <item m="1" x="1457"/>
        <item m="1" x="647"/>
        <item m="1" x="1931"/>
        <item m="1" x="1599"/>
        <item m="1" x="1735"/>
        <item m="1" x="1485"/>
        <item m="1" x="1053"/>
        <item m="1" x="910"/>
        <item m="1" x="1250"/>
        <item m="1" x="978"/>
        <item m="1" x="1054"/>
        <item m="1" x="445"/>
        <item m="1" x="1621"/>
        <item m="1" x="1952"/>
        <item m="1" x="1752"/>
        <item m="1" x="1518"/>
        <item m="1" x="671"/>
        <item m="1" x="895"/>
        <item m="1" x="2053"/>
        <item m="1" x="1749"/>
        <item m="1" x="2209"/>
        <item m="1" x="403"/>
        <item m="1" x="1892"/>
        <item m="1" x="1909"/>
        <item m="1" x="1918"/>
        <item m="1" x="1937"/>
        <item m="1" x="1956"/>
        <item m="1" x="1964"/>
        <item m="1" x="2169"/>
        <item m="1" x="2000"/>
        <item m="1" x="2010"/>
        <item m="1" x="2016"/>
        <item m="1" x="2204"/>
        <item m="1" x="532"/>
        <item m="1" x="543"/>
        <item m="1" x="559"/>
        <item m="1" x="432"/>
        <item m="1" x="446"/>
        <item m="1" x="454"/>
        <item m="1" x="600"/>
        <item m="1" x="620"/>
        <item m="1" x="628"/>
        <item m="1" x="865"/>
        <item m="1" x="1545"/>
        <item m="1" x="1582"/>
        <item m="1" x="1627"/>
        <item m="1" x="1662"/>
        <item m="1" x="1715"/>
        <item m="1" x="1736"/>
        <item m="1" x="1753"/>
        <item m="1" x="1787"/>
        <item m="1" x="1567"/>
        <item m="1" x="1809"/>
        <item m="1" x="1586"/>
        <item m="1" x="1610"/>
        <item m="1" x="1333"/>
        <item m="1" x="1362"/>
        <item m="1" x="1664"/>
        <item m="1" x="1391"/>
        <item m="1" x="1901"/>
        <item m="1" x="1716"/>
        <item m="1" x="1786"/>
        <item m="1" x="1807"/>
        <item m="1" x="2034"/>
        <item m="1" x="2058"/>
        <item m="1" x="2077"/>
        <item m="1" x="2091"/>
        <item m="1" x="2106"/>
        <item m="1" x="2132"/>
        <item m="1" x="1354"/>
        <item m="1" x="843"/>
        <item m="1" x="1386"/>
        <item m="1" x="859"/>
        <item m="1" x="730"/>
        <item m="1" x="1465"/>
        <item m="1" x="444"/>
        <item m="1" x="1494"/>
        <item m="1" x="920"/>
        <item m="1" x="1369"/>
        <item m="1" x="1402"/>
        <item m="1" x="1378"/>
        <item m="1" x="1417"/>
        <item m="1" x="1458"/>
        <item m="1" x="1737"/>
        <item m="1" x="1486"/>
        <item m="1" x="658"/>
        <item m="1" x="1754"/>
        <item m="1" x="1519"/>
        <item m="1" x="672"/>
        <item m="1" x="1665"/>
        <item m="1" x="1700"/>
        <item m="1" x="1725"/>
        <item m="1" x="2066"/>
        <item m="1" x="1762"/>
        <item m="1" x="1785"/>
        <item m="1" x="2112"/>
        <item m="1" x="1842"/>
        <item m="1" x="1870"/>
        <item m="1" x="1634"/>
        <item m="1" x="1667"/>
        <item m="1" x="1744"/>
        <item m="1" x="874"/>
        <item m="1" x="1764"/>
        <item m="1" x="892"/>
        <item m="1" x="1788"/>
        <item m="1" x="915"/>
        <item m="1" x="1888"/>
        <item m="1" x="1914"/>
        <item m="1" x="1939"/>
        <item m="1" x="1960"/>
        <item m="1" x="1981"/>
        <item m="1" x="1997"/>
        <item m="1" x="2013"/>
        <item m="1" x="2035"/>
        <item m="1" x="2101"/>
        <item m="1" x="1934"/>
        <item m="1" x="1283"/>
        <item m="1" x="2126"/>
        <item m="1" x="1612"/>
        <item m="1" x="1738"/>
        <item m="1" x="1069"/>
        <item m="1" x="1340"/>
        <item m="1" x="2140"/>
        <item m="1" x="2143"/>
        <item m="1" x="1755"/>
        <item m="1" x="2161"/>
        <item m="1" x="1684"/>
        <item m="1" x="1775"/>
        <item m="1" x="1105"/>
        <item m="1" x="1717"/>
        <item m="1" x="1310"/>
        <item m="1" x="807"/>
        <item m="1" x="942"/>
        <item m="1" x="1335"/>
        <item m="1" x="826"/>
        <item m="1" x="967"/>
        <item m="1" x="594"/>
        <item m="1" x="2198"/>
        <item m="1" x="586"/>
        <item m="1" x="1363"/>
        <item m="1" x="614"/>
        <item m="1" x="1392"/>
        <item m="1" x="1435"/>
        <item m="1" x="640"/>
        <item m="1" x="1502"/>
        <item m="1" x="1532"/>
        <item m="1" x="1565"/>
        <item m="1" x="974"/>
        <item m="1" x="1521"/>
        <item m="1" x="1285"/>
        <item m="1" x="786"/>
        <item m="1" x="2157"/>
        <item m="1" x="1311"/>
        <item m="1" x="808"/>
        <item m="1" x="2188"/>
        <item m="1" x="943"/>
        <item m="1" x="580"/>
        <item m="1" x="2184"/>
        <item m="1" x="572"/>
        <item m="1" x="1589"/>
        <item m="1" x="1336"/>
        <item m="1" x="827"/>
        <item m="1" x="595"/>
        <item m="1" x="2199"/>
        <item m="1" x="1365"/>
        <item m="1" x="845"/>
        <item m="1" x="987"/>
        <item m="1" x="615"/>
        <item m="1" x="2218"/>
        <item m="1" x="603"/>
        <item m="1" x="1343"/>
        <item m="1" x="1992"/>
        <item m="1" x="1164"/>
        <item m="1" x="1196"/>
        <item m="1" x="2054"/>
        <item m="1" x="1231"/>
        <item m="1" x="2149"/>
        <item m="1" x="2173"/>
        <item m="1" x="2195"/>
        <item m="1" x="2210"/>
        <item m="1" x="677"/>
        <item m="1" x="693"/>
        <item m="1" x="705"/>
        <item m="1" x="2070"/>
        <item m="1" x="715"/>
        <item m="1" x="728"/>
        <item m="1" x="1561"/>
        <item m="1" x="1185"/>
        <item m="1" x="1221"/>
        <item m="1" x="1260"/>
        <item m="1" x="1146"/>
        <item m="1" x="713"/>
        <item m="1" x="714"/>
        <item m="1" x="725"/>
        <item m="1" x="1795"/>
        <item m="1" x="740"/>
        <item m="1" x="1675"/>
        <item m="1" x="478"/>
        <item m="1" x="540"/>
        <item m="1" x="2069"/>
        <item m="1" x="1498"/>
        <item m="1" x="513"/>
        <item m="1" x="2097"/>
        <item m="1" x="2121"/>
        <item m="1" x="1600"/>
        <item m="1" x="596"/>
        <item m="1" x="2137"/>
        <item m="1" x="2156"/>
        <item m="1" x="2183"/>
        <item m="1" x="1708"/>
        <item m="1" x="2130"/>
        <item m="1" x="1510"/>
        <item m="1" x="1577"/>
        <item m="1" x="2119"/>
        <item m="1" x="1596"/>
        <item m="1" x="474"/>
        <item m="1" x="465"/>
        <item m="1" x="2059"/>
        <item m="1" x="588"/>
        <item m="1" x="830"/>
        <item m="1" x="510"/>
        <item m="1" x="2073"/>
        <item m="1" x="574"/>
        <item m="1" x="1666"/>
        <item m="1" x="1668"/>
        <item m="1" x="1848"/>
        <item m="1" x="1849"/>
        <item m="1" x="2177"/>
        <item m="1" x="1276"/>
        <item m="1" x="2178"/>
        <item m="1" x="1277"/>
        <item m="1" x="1111"/>
        <item m="1" x="1112"/>
        <item m="1" x="1113"/>
        <item m="1" x="1902"/>
        <item m="1" x="1903"/>
        <item m="1" x="930"/>
        <item m="1" x="931"/>
        <item m="1" x="934"/>
        <item m="1" x="602"/>
        <item m="1" x="605"/>
        <item m="1" x="606"/>
        <item m="1" x="1803"/>
        <item m="1" x="1805"/>
        <item m="1" x="949"/>
        <item m="1" x="951"/>
        <item m="1" x="948"/>
        <item m="1" x="695"/>
        <item m="1" x="697"/>
        <item m="1" x="696"/>
        <item m="1" x="1236"/>
        <item m="1" x="1241"/>
        <item m="1" x="1237"/>
        <item m="1" x="616"/>
        <item m="1" x="1993"/>
        <item m="1" x="1845"/>
        <item m="1" x="1846"/>
        <item m="1" x="1172"/>
        <item m="1" x="1826"/>
        <item m="1" x="1154"/>
        <item m="1" x="1827"/>
        <item m="1" x="1155"/>
        <item m="1" x="1829"/>
        <item m="1" x="1158"/>
        <item m="1" x="2166"/>
        <item m="1" x="497"/>
        <item m="1" x="394"/>
        <item m="1" x="2216"/>
        <item m="1" x="1118"/>
        <item m="1" x="2141"/>
        <item m="1" x="1358"/>
        <item m="1" x="1360"/>
        <item m="1" x="1308"/>
        <item m="1" x="1305"/>
        <item m="1" x="1299"/>
        <item m="1" x="1968"/>
        <item m="1" x="1967"/>
        <item m="1" x="940"/>
        <item m="1" x="933"/>
        <item m="1" x="1546"/>
        <item m="1" x="490"/>
        <item m="1" x="1428"/>
        <item m="1" x="1548"/>
        <item m="1" x="1629"/>
        <item m="1" x="1694"/>
        <item m="1" x="1423"/>
        <item m="1" x="1551"/>
        <item m="1" x="1098"/>
        <item m="1" x="1432"/>
        <item m="1" x="1446"/>
        <item m="1" x="1509"/>
        <item m="1" x="1669"/>
        <item m="1" x="528"/>
        <item m="1" x="1147"/>
        <item m="1" x="2020"/>
        <item m="1" x="1953"/>
        <item m="1" x="784"/>
        <item m="1" x="1624"/>
        <item m="1" x="1005"/>
        <item m="1" x="858"/>
        <item m="1" x="897"/>
        <item m="1" x="803"/>
        <item m="1" x="1026"/>
        <item m="1" x="1079"/>
        <item m="1" x="1010"/>
        <item m="1" x="1249"/>
        <item m="1" x="1389"/>
        <item m="1" x="418"/>
        <item m="1" x="1403"/>
        <item m="1" x="1476"/>
        <item m="1" x="1540"/>
        <item m="1" x="1576"/>
        <item m="1" x="1619"/>
        <item m="1" x="1315"/>
        <item m="1" x="1371"/>
        <item m="1" x="1404"/>
        <item m="1" x="1447"/>
        <item m="1" x="1477"/>
        <item m="1" x="1511"/>
        <item m="1" x="1541"/>
        <item m="1" x="1828"/>
        <item m="1" x="1184"/>
        <item m="1" x="1370"/>
        <item m="1" x="430"/>
        <item m="1" x="443"/>
        <item m="1" x="583"/>
        <item m="1" x="630"/>
        <item m="1" x="584"/>
        <item m="1" x="1530"/>
        <item m="1" x="959"/>
        <item m="1" x="2042"/>
        <item m="1" x="1657"/>
        <item m="1" x="2213"/>
        <item m="1" x="408"/>
        <item m="1" x="2215"/>
        <item m="1" x="409"/>
        <item m="1" x="425"/>
        <item m="1" x="1139"/>
        <item m="1" x="1190"/>
        <item m="1" x="1245"/>
        <item m="1" x="2186"/>
        <item m="1" x="2144"/>
        <item m="1" x="2032"/>
        <item m="1" x="1999"/>
        <item m="1" x="2201"/>
        <item m="1" x="2165"/>
        <item m="1" x="2056"/>
        <item m="1" x="905"/>
        <item m="1" x="2015"/>
        <item m="1" x="952"/>
        <item m="1" x="427"/>
        <item m="1" x="398"/>
        <item m="1" x="2105"/>
        <item m="1" x="566"/>
        <item m="1" x="485"/>
        <item m="1" x="626"/>
        <item m="1" x="541"/>
        <item m="1" x="1329"/>
        <item m="1" x="1265"/>
        <item m="1" x="1073"/>
        <item m="1" x="1007"/>
        <item m="1" x="669"/>
        <item m="1" x="794"/>
        <item m="1" x="955"/>
        <item m="1" x="1320"/>
        <item m="1" x="2193"/>
        <item m="1" x="2046"/>
        <item m="1" x="1438"/>
        <item m="1" x="2208"/>
        <item m="1" x="2084"/>
        <item m="1" x="419"/>
        <item m="1" x="2099"/>
        <item m="1" x="1535"/>
        <item m="1" x="2123"/>
        <item m="1" x="2138"/>
        <item m="1" x="457"/>
        <item m="1" x="2159"/>
        <item m="1" x="1653"/>
        <item m="1" x="610"/>
        <item m="1" x="1771"/>
        <item m="1" x="599"/>
        <item m="1" x="621"/>
        <item m="1" x="629"/>
        <item m="1" x="2100"/>
        <item m="1" x="434"/>
        <item m="1" x="2125"/>
        <item m="1" x="1570"/>
        <item m="1" x="972"/>
        <item m="1" x="1117"/>
        <item m="1" x="459"/>
        <item m="1" x="1811"/>
        <item m="1" x="860"/>
        <item m="1" x="823"/>
        <item m="1" x="881"/>
        <item m="1" x="2095"/>
        <item m="1" x="479"/>
        <item m="1" x="1707"/>
        <item m="1" x="1401"/>
        <item m="1" x="1291"/>
        <item m="1" x="837"/>
        <item m="1" x="562"/>
        <item m="1" x="1025"/>
        <item m="1" x="1000"/>
        <item m="1" x="1029"/>
        <item m="1" x="1128"/>
        <item m="1" x="1151"/>
        <item m="1" x="1102"/>
        <item m="1" x="782"/>
        <item m="1" x="717"/>
        <item m="1" x="633"/>
        <item m="1" x="624"/>
        <item m="1" x="1374"/>
        <item m="1" x="1319"/>
        <item m="1" x="1731"/>
        <item m="1" x="1602"/>
        <item m="1" x="1839"/>
        <item m="1" x="1692"/>
        <item m="1" x="1695"/>
        <item m="1" x="587"/>
        <item m="1" x="473"/>
        <item m="1" x="836"/>
        <item m="1" x="701"/>
        <item m="1" x="1166"/>
        <item m="1" x="1004"/>
        <item m="1" x="464"/>
        <item m="1" x="472"/>
        <item m="1" x="2085"/>
        <item m="1" x="1605"/>
        <item m="1" x="1163"/>
        <item m="1" x="1801"/>
        <item m="1" x="1574"/>
        <item m="1" x="1445"/>
        <item m="1" x="1501"/>
        <item m="1" x="422"/>
        <item m="1" x="2196"/>
        <item m="1" x="439"/>
        <item m="1" x="1202"/>
        <item m="1" x="448"/>
        <item m="1" x="1614"/>
        <item m="1" x="470"/>
        <item m="1" x="2185"/>
        <item m="1" x="1685"/>
        <item m="1" x="492"/>
        <item m="1" x="2026"/>
        <item m="1" x="2194"/>
        <item m="1" x="2047"/>
        <item m="1" x="1441"/>
        <item m="1" x="882"/>
        <item m="1" x="1041"/>
        <item m="1" x="404"/>
        <item m="1" x="1728"/>
        <item m="1" x="844"/>
        <item m="1" x="744"/>
        <item m="1" x="508"/>
        <item m="1" x="1854"/>
        <item m="1" x="680"/>
        <item m="1" x="664"/>
        <item m="1" x="853"/>
        <item m="1" x="982"/>
        <item m="1" x="1451"/>
        <item m="1" x="1528"/>
        <item m="1" x="1865"/>
        <item m="1" x="1680"/>
        <item m="1" x="1973"/>
        <item m="1" x="649"/>
        <item m="1" x="509"/>
        <item m="1" x="424"/>
        <item m="1" x="641"/>
        <item m="1" x="653"/>
        <item m="1" x="872"/>
        <item m="1" x="1575"/>
        <item m="1" x="1994"/>
        <item m="1" x="2115"/>
        <item m="1" x="1978"/>
        <item m="1" x="476"/>
        <item m="1" x="512"/>
        <item m="1" x="722"/>
        <item m="1" x="1424"/>
        <item m="1" x="736"/>
        <item m="1" x="1461"/>
        <item m="1" x="753"/>
        <item m="1" x="694"/>
        <item m="1" x="662"/>
        <item m="1" x="1571"/>
        <item m="1" x="817"/>
        <item m="1" x="1593"/>
        <item m="1" x="1616"/>
        <item m="1" x="838"/>
        <item m="1" x="1638"/>
        <item m="1" x="1655"/>
        <item m="1" x="855"/>
        <item m="1" x="1671"/>
        <item m="1" x="1689"/>
        <item m="1" x="873"/>
        <item m="1" x="1702"/>
        <item m="1" x="1368"/>
        <item m="1" x="710"/>
        <item m="1" x="1384"/>
        <item m="1" x="1399"/>
        <item m="1" x="723"/>
        <item m="1" x="1427"/>
        <item m="1" x="1001"/>
        <item m="1" x="518"/>
        <item m="1" x="729"/>
        <item m="1" x="764"/>
        <item m="1" x="787"/>
        <item m="1" x="809"/>
        <item m="1" x="828"/>
        <item m="1" x="699"/>
        <item m="1" x="638"/>
        <item m="1" x="593"/>
        <item m="1" x="1050"/>
        <item m="1" x="997"/>
        <item m="1" x="1926"/>
        <item m="1" x="1959"/>
        <item m="1" x="1980"/>
        <item m="1" x="1996"/>
        <item m="1" x="1869"/>
        <item m="1" x="1263"/>
        <item m="1" x="1290"/>
        <item m="1" x="2158"/>
        <item m="1" x="1649"/>
        <item m="1" x="1425"/>
        <item m="1" x="1779"/>
        <item m="1" x="685"/>
        <item m="1" x="1941"/>
        <item m="1" x="1963"/>
        <item m="1" x="1982"/>
        <item m="1" x="1377"/>
        <item m="1" x="2152"/>
        <item m="1" x="2153"/>
        <item m="1" x="961"/>
        <item m="1" x="577"/>
        <item m="1" x="2151"/>
        <item m="1" x="1351"/>
        <item m="1" x="575"/>
        <item m="1" x="1037"/>
        <item m="1" x="1056"/>
        <item m="1" x="1076"/>
        <item m="1" x="2107"/>
        <item m="1" x="1490"/>
        <item m="1" x="1523"/>
        <item m="1" x="1555"/>
        <item m="1" x="1537"/>
        <item m="1" x="797"/>
        <item m="1" x="1554"/>
        <item m="1" x="704"/>
        <item m="1" x="1355"/>
        <item m="1" x="711"/>
        <item m="1" x="1387"/>
        <item m="1" x="724"/>
        <item m="1" x="1478"/>
        <item m="1" x="754"/>
        <item m="1" x="1495"/>
        <item m="1" x="1512"/>
        <item m="1" x="777"/>
        <item m="1" x="1525"/>
        <item m="1" x="1542"/>
        <item m="1" x="798"/>
        <item m="1" x="1557"/>
        <item m="1" x="1578"/>
        <item m="1" x="819"/>
        <item m="1" x="1597"/>
        <item m="1" x="1622"/>
        <item m="1" x="840"/>
        <item m="1" x="1641"/>
        <item m="1" x="1317"/>
        <item m="1" x="690"/>
        <item m="1" x="1330"/>
        <item m="1" x="663"/>
        <item m="1" x="642"/>
        <item m="1" x="962"/>
        <item m="1" x="489"/>
        <item m="1" x="707"/>
        <item m="1" x="732"/>
        <item m="1" x="747"/>
        <item m="1" x="767"/>
        <item m="1" x="789"/>
        <item m="1" x="673"/>
        <item m="1" x="611"/>
        <item m="1" x="565"/>
        <item m="1" x="1016"/>
        <item m="1" x="1195"/>
        <item m="1" x="1229"/>
        <item m="1" x="958"/>
        <item m="1" x="1874"/>
        <item m="1" x="1919"/>
        <item m="1" x="1942"/>
        <item m="1" x="1965"/>
        <item m="1" x="1808"/>
        <item m="1" x="2127"/>
        <item m="1" x="1573"/>
        <item m="1" x="1356"/>
        <item m="1" x="1739"/>
        <item m="1" x="659"/>
        <item m="1" x="1895"/>
        <item m="1" x="1922"/>
        <item m="1" x="1944"/>
        <item m="1" x="1324"/>
        <item m="1" x="2117"/>
        <item m="1" x="2122"/>
        <item m="1" x="916"/>
        <item m="1" x="554"/>
        <item m="1" x="2116"/>
        <item m="1" x="1304"/>
        <item m="1" x="548"/>
        <item m="1" x="1002"/>
        <item m="1" x="1023"/>
        <item m="1" x="1040"/>
        <item m="1" x="2080"/>
        <item m="1" x="1430"/>
        <item m="1" x="1466"/>
        <item m="1" x="1496"/>
        <item m="1" x="536"/>
        <item m="1" x="2139"/>
        <item m="1" x="2160"/>
        <item m="1" x="1757"/>
        <item m="1" x="1781"/>
        <item m="1" x="1189"/>
        <item m="1" x="1223"/>
        <item m="1" x="496"/>
        <item m="1" x="1821"/>
        <item m="1" x="1179"/>
        <item m="1" x="1215"/>
        <item m="1" x="788"/>
        <item m="1" x="810"/>
        <item m="1" x="1979"/>
        <item m="1" x="1072"/>
        <item m="1" x="666"/>
        <item m="1" x="1090"/>
        <item m="1" x="681"/>
        <item m="1" x="1107"/>
        <item m="1" x="698"/>
        <item m="1" x="400"/>
        <item m="1" x="416"/>
        <item m="1" x="571"/>
        <item m="1" x="431"/>
        <item m="1" x="585"/>
        <item m="1" x="1763"/>
        <item m="1" x="737"/>
        <item m="1" x="883"/>
        <item m="1" x="755"/>
        <item m="1" x="906"/>
        <item m="1" x="778"/>
        <item m="1" x="924"/>
        <item m="1" x="800"/>
        <item m="1" x="953"/>
        <item m="1" x="2037"/>
        <item m="1" x="2063"/>
        <item m="1" x="2081"/>
        <item m="1" x="1563"/>
        <item m="1" x="745"/>
        <item m="1" x="2094"/>
        <item m="1" x="1606"/>
        <item m="1" x="862"/>
        <item m="1" x="2019"/>
        <item m="1" x="2041"/>
        <item m="1" x="1504"/>
        <item m="1" x="738"/>
        <item m="1" x="644"/>
        <item m="1" x="756"/>
        <item m="1" x="656"/>
        <item m="1" x="779"/>
        <item m="1" x="668"/>
        <item m="1" x="801"/>
        <item m="1" x="683"/>
        <item m="1" x="1065"/>
        <item m="1" x="907"/>
        <item m="1" x="1084"/>
        <item m="1" x="925"/>
        <item m="1" x="1100"/>
        <item m="1" x="954"/>
        <item m="1" x="1126"/>
        <item m="1" x="977"/>
        <item m="1" x="1149"/>
        <item m="1" x="996"/>
        <item m="1" x="1177"/>
        <item m="1" x="1015"/>
        <item m="1" x="1536"/>
        <item m="1" x="1569"/>
        <item m="1" x="1615"/>
        <item m="1" x="1792"/>
        <item m="1" x="1816"/>
        <item m="1" x="2150"/>
        <item m="1" x="553"/>
        <item m="1" x="564"/>
        <item m="1" x="579"/>
        <item m="1" x="592"/>
        <item m="1" x="613"/>
        <item m="1" x="625"/>
        <item m="1" x="622"/>
        <item m="1" x="635"/>
        <item m="1" x="648"/>
        <item m="1" x="660"/>
        <item m="1" x="718"/>
        <item m="1" x="748"/>
        <item m="1" x="1768"/>
        <item m="1" x="770"/>
        <item m="1" x="1791"/>
        <item m="1" x="1898"/>
        <item m="1" x="1144"/>
        <item m="1" x="1924"/>
        <item m="1" x="1173"/>
        <item m="1" x="833"/>
        <item m="1" x="1875"/>
        <item m="1" x="657"/>
        <item m="1" x="700"/>
        <item m="1" x="688"/>
        <item m="1" x="1093"/>
        <item m="1" x="702"/>
        <item m="1" x="1590"/>
        <item m="1" x="1881"/>
        <item m="1" x="1908"/>
        <item m="1" x="751"/>
        <item m="1" x="774"/>
        <item m="1" x="1975"/>
        <item m="1" x="795"/>
        <item m="1" x="829"/>
        <item m="1" x="847"/>
        <item m="1" x="863"/>
        <item m="1" x="2200"/>
        <item m="1" x="393"/>
        <item m="1" x="411"/>
        <item m="1" x="1831"/>
        <item m="1" x="1862"/>
        <item m="1" x="1887"/>
        <item m="1" x="1170"/>
        <item m="1" x="1318"/>
        <item m="1" x="831"/>
        <item m="1" x="848"/>
        <item m="1" x="864"/>
        <item m="1" x="884"/>
        <item m="1" x="909"/>
        <item m="1" x="926"/>
        <item m="1" x="1674"/>
        <item m="1" x="824"/>
        <item m="1" x="761"/>
        <item m="1" x="785"/>
        <item m="1" x="805"/>
        <item m="1" x="1517"/>
        <item m="1" x="1851"/>
        <item m="1" x="1686"/>
        <item m="1" x="1626"/>
        <item m="1" x="1380"/>
        <item m="1" x="1303"/>
        <item m="1" x="1214"/>
        <item m="1" x="1410"/>
        <item m="1" x="813"/>
        <item m="1" x="768"/>
        <item m="1" x="832"/>
        <item m="1" x="791"/>
        <item m="1" x="935"/>
        <item m="1" x="1328"/>
        <item m="1" x="590"/>
        <item m="1" x="576"/>
        <item m="1" x="1843"/>
        <item m="1" x="1872"/>
        <item m="1" x="1947"/>
        <item m="1" x="1743"/>
        <item m="1" x="1499"/>
        <item m="1" x="1527"/>
        <item m="1" x="857"/>
        <item m="1" x="1560"/>
        <item m="1" x="1601"/>
        <item m="1" x="1409"/>
        <item m="1" x="776"/>
        <item m="1" x="775"/>
        <item m="1" x="1167"/>
        <item m="1" x="1483"/>
        <item m="1" x="1152"/>
        <item m="1" x="2036"/>
        <item m="1" x="2061"/>
        <item m="1" x="498"/>
        <item m="1" x="637"/>
        <item m="1" x="1587"/>
        <item m="1" x="2068"/>
        <item m="1" x="2045"/>
        <item m="1" x="1063"/>
        <item x="1"/>
        <item x="2"/>
        <item x="3"/>
        <item x="5"/>
        <item x="4"/>
        <item x="7"/>
        <item x="6"/>
        <item x="9"/>
        <item x="10"/>
        <item x="15"/>
        <item x="13"/>
        <item x="14"/>
        <item x="11"/>
        <item x="12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09"/>
        <item x="103"/>
        <item x="68"/>
        <item x="71"/>
        <item x="69"/>
        <item x="70"/>
        <item x="67"/>
        <item x="74"/>
        <item x="75"/>
        <item x="72"/>
        <item x="73"/>
        <item x="76"/>
        <item x="77"/>
        <item x="78"/>
        <item x="79"/>
        <item x="80"/>
        <item x="81"/>
        <item x="82"/>
        <item x="83"/>
        <item x="92"/>
        <item x="91"/>
        <item x="94"/>
        <item x="95"/>
        <item x="93"/>
        <item x="84"/>
        <item x="86"/>
        <item x="85"/>
        <item x="89"/>
        <item x="87"/>
        <item x="88"/>
        <item x="90"/>
        <item x="106"/>
        <item x="107"/>
        <item x="108"/>
        <item x="101"/>
        <item x="97"/>
        <item x="102"/>
        <item x="96"/>
        <item x="98"/>
        <item x="99"/>
        <item x="100"/>
        <item x="104"/>
        <item x="105"/>
        <item x="111"/>
        <item x="112"/>
        <item x="113"/>
        <item x="36"/>
        <item x="117"/>
        <item x="119"/>
        <item x="114"/>
        <item x="115"/>
        <item x="116"/>
        <item x="123"/>
        <item x="124"/>
        <item x="120"/>
        <item x="121"/>
        <item x="122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7"/>
        <item x="140"/>
        <item x="139"/>
        <item x="141"/>
        <item x="143"/>
        <item x="142"/>
        <item x="144"/>
        <item x="146"/>
        <item x="147"/>
        <item x="145"/>
        <item x="149"/>
        <item x="150"/>
        <item x="148"/>
        <item x="152"/>
        <item x="153"/>
        <item x="151"/>
        <item x="155"/>
        <item x="154"/>
        <item x="156"/>
        <item x="158"/>
        <item x="157"/>
        <item x="161"/>
        <item x="160"/>
        <item x="162"/>
        <item x="159"/>
        <item x="164"/>
        <item x="165"/>
        <item x="166"/>
        <item x="167"/>
        <item x="168"/>
        <item x="163"/>
        <item x="169"/>
        <item x="170"/>
        <item x="171"/>
        <item x="172"/>
        <item x="173"/>
        <item x="174"/>
        <item x="175"/>
        <item x="176"/>
        <item x="180"/>
        <item x="179"/>
        <item x="182"/>
        <item x="181"/>
        <item x="178"/>
        <item x="177"/>
        <item x="207"/>
        <item x="184"/>
        <item x="186"/>
        <item x="185"/>
        <item x="187"/>
        <item x="188"/>
        <item x="189"/>
        <item x="190"/>
        <item x="192"/>
        <item x="191"/>
        <item x="193"/>
        <item x="194"/>
        <item x="195"/>
        <item x="196"/>
        <item x="197"/>
        <item x="198"/>
        <item x="199"/>
        <item x="200"/>
        <item x="202"/>
        <item x="201"/>
        <item x="203"/>
        <item x="205"/>
        <item x="204"/>
        <item x="208"/>
        <item x="209"/>
        <item x="210"/>
        <item x="211"/>
        <item x="212"/>
        <item x="213"/>
        <item x="214"/>
        <item x="215"/>
        <item x="216"/>
        <item x="220"/>
        <item x="218"/>
        <item x="217"/>
        <item x="219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5"/>
        <item x="236"/>
        <item x="233"/>
        <item x="234"/>
        <item x="237"/>
        <item x="252"/>
        <item x="245"/>
        <item x="246"/>
        <item x="244"/>
        <item x="247"/>
        <item x="248"/>
        <item x="249"/>
        <item x="250"/>
        <item x="251"/>
        <item x="242"/>
        <item x="240"/>
        <item x="239"/>
        <item x="243"/>
        <item x="241"/>
        <item x="253"/>
        <item x="254"/>
        <item x="255"/>
        <item x="258"/>
        <item x="285"/>
        <item x="283"/>
        <item x="284"/>
        <item x="288"/>
        <item x="286"/>
        <item x="28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3"/>
        <item x="274"/>
        <item x="275"/>
        <item x="272"/>
        <item x="276"/>
        <item x="277"/>
        <item x="278"/>
        <item x="279"/>
        <item x="280"/>
        <item x="282"/>
        <item x="308"/>
        <item x="309"/>
        <item x="310"/>
        <item x="311"/>
        <item x="312"/>
        <item x="290"/>
        <item x="289"/>
        <item x="294"/>
        <item x="292"/>
        <item x="291"/>
        <item m="1" x="389"/>
        <item x="296"/>
        <item x="295"/>
        <item x="298"/>
        <item x="297"/>
        <item x="300"/>
        <item x="299"/>
        <item x="301"/>
        <item x="303"/>
        <item x="302"/>
        <item x="305"/>
        <item x="304"/>
        <item x="313"/>
        <item x="314"/>
        <item x="318"/>
        <item x="319"/>
        <item x="320"/>
        <item x="316"/>
        <item x="322"/>
        <item x="323"/>
        <item x="324"/>
        <item x="325"/>
        <item x="326"/>
        <item x="327"/>
        <item x="315"/>
        <item x="321"/>
        <item x="317"/>
        <item x="328"/>
        <item x="329"/>
        <item x="330"/>
        <item x="337"/>
        <item x="338"/>
        <item x="339"/>
        <item x="340"/>
        <item x="332"/>
        <item x="333"/>
        <item x="334"/>
        <item x="335"/>
        <item x="336"/>
        <item x="341"/>
        <item x="342"/>
        <item x="345"/>
        <item x="382"/>
        <item x="375"/>
        <item x="376"/>
        <item x="377"/>
        <item x="378"/>
        <item x="379"/>
        <item x="380"/>
        <item x="381"/>
        <item x="366"/>
        <item x="367"/>
        <item x="368"/>
        <item x="369"/>
        <item x="370"/>
        <item x="371"/>
        <item x="372"/>
        <item x="346"/>
        <item x="347"/>
        <item x="348"/>
        <item x="350"/>
        <item x="349"/>
        <item x="351"/>
        <item x="352"/>
        <item x="363"/>
        <item x="353"/>
        <item x="354"/>
        <item x="355"/>
        <item x="356"/>
        <item x="357"/>
        <item x="358"/>
        <item x="359"/>
        <item x="360"/>
        <item x="361"/>
        <item x="362"/>
        <item x="364"/>
        <item x="365"/>
        <item x="373"/>
        <item x="374"/>
        <item x="383"/>
        <item x="384"/>
        <item x="385"/>
        <item x="386"/>
        <item m="1" x="391"/>
        <item m="1" x="550"/>
        <item x="0"/>
        <item x="206"/>
        <item x="238"/>
        <item x="256"/>
        <item x="331"/>
        <item x="306"/>
        <item x="293"/>
        <item m="1" x="390"/>
        <item x="110"/>
        <item x="307"/>
        <item x="257"/>
        <item x="47"/>
        <item x="183"/>
        <item m="1" x="388"/>
        <item m="1" x="387"/>
        <item x="343"/>
        <item x="344"/>
        <item x="8"/>
        <item x="118"/>
        <item x="281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3"/>
    <field x="10"/>
    <field x="3"/>
    <field x="8"/>
  </rowFields>
  <rowItems count="653">
    <i>
      <x v="1826"/>
      <x v="8"/>
      <x v="1139"/>
      <x v="14"/>
    </i>
    <i>
      <x v="1827"/>
      <x v="8"/>
      <x v="1140"/>
      <x v="9"/>
    </i>
    <i>
      <x v="1828"/>
      <x v="7"/>
      <x v="1141"/>
      <x v="14"/>
    </i>
    <i r="2">
      <x v="1142"/>
      <x v="14"/>
    </i>
    <i>
      <x v="1829"/>
      <x v="3"/>
      <x v="1143"/>
      <x v="1"/>
    </i>
    <i>
      <x v="1830"/>
      <x v="3"/>
      <x v="1144"/>
      <x v="4"/>
    </i>
    <i>
      <x v="1831"/>
      <x v="3"/>
      <x v="1145"/>
      <x v="1"/>
    </i>
    <i r="2">
      <x v="1757"/>
      <x v="1"/>
    </i>
    <i>
      <x v="1832"/>
      <x v="3"/>
      <x v="1146"/>
      <x v="4"/>
    </i>
    <i>
      <x v="1833"/>
      <x v="1"/>
      <x v="1147"/>
      <x v="13"/>
    </i>
    <i>
      <x v="1834"/>
      <x v="1"/>
      <x v="1148"/>
      <x v="12"/>
    </i>
    <i>
      <x v="1835"/>
      <x v="1"/>
      <x v="1149"/>
      <x v="4"/>
    </i>
    <i>
      <x v="1836"/>
      <x v="1"/>
      <x v="1150"/>
      <x v="13"/>
    </i>
    <i r="2">
      <x v="1745"/>
      <x v="13"/>
    </i>
    <i>
      <x v="1837"/>
      <x v="1"/>
      <x v="1151"/>
      <x v="13"/>
    </i>
    <i>
      <x v="1838"/>
      <x v="8"/>
      <x v="1152"/>
      <x v="14"/>
    </i>
    <i>
      <x v="1839"/>
      <x v="8"/>
      <x v="1153"/>
      <x v="14"/>
    </i>
    <i>
      <x v="1840"/>
      <x v="5"/>
      <x v="1154"/>
      <x v="4"/>
    </i>
    <i>
      <x v="1841"/>
      <x v="5"/>
      <x v="1155"/>
      <x v="4"/>
    </i>
    <i>
      <x v="1842"/>
      <x v="5"/>
      <x v="1156"/>
      <x v="4"/>
    </i>
    <i>
      <x v="1843"/>
      <x v="3"/>
      <x v="1157"/>
      <x v="9"/>
    </i>
    <i>
      <x v="1844"/>
      <x v="5"/>
      <x v="1158"/>
      <x v="4"/>
    </i>
    <i>
      <x v="1845"/>
      <x v="4"/>
      <x v="1159"/>
      <x v="6"/>
    </i>
    <i>
      <x v="1846"/>
      <x v="3"/>
      <x v="1160"/>
      <x v="4"/>
    </i>
    <i>
      <x v="1847"/>
      <x v="3"/>
      <x v="1161"/>
      <x v="4"/>
    </i>
    <i>
      <x v="1848"/>
      <x v="3"/>
      <x v="1162"/>
      <x v="4"/>
    </i>
    <i>
      <x v="1849"/>
      <x v="1"/>
      <x v="1163"/>
      <x v="14"/>
    </i>
    <i>
      <x v="1850"/>
      <x v="1"/>
      <x v="1164"/>
      <x v="6"/>
    </i>
    <i>
      <x v="1851"/>
      <x v="1"/>
      <x v="1165"/>
      <x v="14"/>
    </i>
    <i>
      <x v="1852"/>
      <x v="1"/>
      <x v="1166"/>
      <x v="6"/>
    </i>
    <i>
      <x v="1853"/>
      <x v="5"/>
      <x v="1167"/>
      <x v="4"/>
    </i>
    <i>
      <x v="1854"/>
      <x v="1"/>
      <x v="1168"/>
      <x v="13"/>
    </i>
    <i>
      <x v="1855"/>
      <x v="1"/>
      <x v="1169"/>
      <x v="13"/>
    </i>
    <i>
      <x v="1856"/>
      <x v="1"/>
      <x v="1170"/>
      <x v="13"/>
    </i>
    <i>
      <x v="1857"/>
      <x v="1"/>
      <x v="1171"/>
      <x v="13"/>
    </i>
    <i>
      <x v="1858"/>
      <x v="9"/>
      <x v="1172"/>
      <x v="4"/>
    </i>
    <i>
      <x v="1859"/>
      <x v="9"/>
      <x v="1173"/>
      <x v="4"/>
    </i>
    <i>
      <x v="1860"/>
      <x v="9"/>
      <x v="1174"/>
      <x v="4"/>
    </i>
    <i>
      <x v="1861"/>
      <x v="9"/>
      <x v="1175"/>
      <x v="4"/>
    </i>
    <i r="2">
      <x v="1176"/>
      <x v="4"/>
    </i>
    <i>
      <x v="1862"/>
      <x v="9"/>
      <x v="1177"/>
      <x v="4"/>
    </i>
    <i r="2">
      <x v="1178"/>
      <x v="4"/>
    </i>
    <i>
      <x v="1863"/>
      <x v="9"/>
      <x v="1179"/>
      <x v="4"/>
    </i>
    <i>
      <x v="1864"/>
      <x v="9"/>
      <x v="1180"/>
      <x v="4"/>
    </i>
    <i r="2">
      <x v="1181"/>
      <x v="4"/>
    </i>
    <i>
      <x v="1865"/>
      <x v="9"/>
      <x v="1182"/>
      <x v="4"/>
    </i>
    <i r="2">
      <x v="1183"/>
      <x v="4"/>
    </i>
    <i r="2">
      <x v="1637"/>
      <x v="4"/>
    </i>
    <i>
      <x v="1866"/>
      <x v="9"/>
      <x v="1184"/>
      <x v="4"/>
    </i>
    <i r="2">
      <x v="1185"/>
      <x v="4"/>
    </i>
    <i>
      <x v="1867"/>
      <x v="9"/>
      <x v="1186"/>
      <x v="4"/>
    </i>
    <i r="2">
      <x v="1187"/>
      <x v="4"/>
    </i>
    <i r="2">
      <x v="1188"/>
      <x v="4"/>
    </i>
    <i>
      <x v="1868"/>
      <x v="9"/>
      <x v="1189"/>
      <x v="4"/>
    </i>
    <i r="2">
      <x v="1190"/>
      <x v="4"/>
    </i>
    <i r="2">
      <x v="1191"/>
      <x v="4"/>
    </i>
    <i>
      <x v="1869"/>
      <x v="9"/>
      <x v="1192"/>
      <x v="4"/>
    </i>
    <i r="2">
      <x v="1193"/>
      <x v="4"/>
    </i>
    <i>
      <x v="1870"/>
      <x v="9"/>
      <x v="1194"/>
      <x v="4"/>
    </i>
    <i r="2">
      <x v="1195"/>
      <x v="4"/>
    </i>
    <i>
      <x v="1871"/>
      <x v="9"/>
      <x v="1196"/>
      <x v="4"/>
    </i>
    <i>
      <x v="1872"/>
      <x v="9"/>
      <x v="1197"/>
      <x v="6"/>
    </i>
    <i r="2">
      <x v="1198"/>
      <x v="6"/>
    </i>
    <i r="2">
      <x v="1638"/>
      <x v="6"/>
    </i>
    <i r="2">
      <x v="1639"/>
      <x v="6"/>
    </i>
    <i r="2">
      <x v="1640"/>
      <x v="6"/>
    </i>
    <i>
      <x v="1873"/>
      <x v="9"/>
      <x v="1199"/>
      <x v="4"/>
    </i>
    <i r="2">
      <x v="1200"/>
      <x v="4"/>
    </i>
    <i r="2">
      <x v="1669"/>
      <x v="4"/>
    </i>
    <i r="2">
      <x v="1737"/>
      <x v="4"/>
    </i>
    <i r="2">
      <x v="1751"/>
      <x v="4"/>
    </i>
    <i>
      <x v="1874"/>
      <x v="9"/>
      <x v="1201"/>
      <x v="4"/>
    </i>
    <i r="2">
      <x v="1202"/>
      <x v="4"/>
    </i>
    <i r="2">
      <x v="1670"/>
      <x v="4"/>
    </i>
    <i>
      <x v="1875"/>
      <x v="9"/>
      <x v="1203"/>
      <x v="4"/>
    </i>
    <i r="2">
      <x v="1204"/>
      <x v="4"/>
    </i>
    <i>
      <x v="1876"/>
      <x v="9"/>
      <x v="1205"/>
      <x v="4"/>
    </i>
    <i>
      <x v="1877"/>
      <x v="9"/>
      <x v="1206"/>
      <x v="6"/>
    </i>
    <i r="2">
      <x v="1207"/>
      <x v="6"/>
    </i>
    <i r="2">
      <x v="1641"/>
      <x v="6"/>
    </i>
    <i r="2">
      <x v="1642"/>
      <x v="6"/>
    </i>
    <i>
      <x v="1878"/>
      <x v="9"/>
      <x v="1208"/>
      <x v="4"/>
    </i>
    <i r="2">
      <x v="1209"/>
      <x v="4"/>
    </i>
    <i r="2">
      <x v="1671"/>
      <x v="4"/>
    </i>
    <i r="2">
      <x v="1718"/>
      <x v="4"/>
    </i>
    <i>
      <x v="1879"/>
      <x v="9"/>
      <x v="1210"/>
      <x v="4"/>
    </i>
    <i r="2">
      <x v="1211"/>
      <x v="4"/>
    </i>
    <i r="2">
      <x v="1672"/>
      <x v="4"/>
    </i>
    <i>
      <x v="1880"/>
      <x v="9"/>
      <x v="1212"/>
      <x v="4"/>
    </i>
    <i r="2">
      <x v="1213"/>
      <x v="4"/>
    </i>
    <i r="2">
      <x v="1673"/>
      <x v="4"/>
    </i>
    <i>
      <x v="1881"/>
      <x v="9"/>
      <x v="1214"/>
      <x v="4"/>
    </i>
    <i>
      <x v="1882"/>
      <x v="9"/>
      <x v="1215"/>
      <x v="6"/>
    </i>
    <i r="2">
      <x v="1216"/>
      <x v="6"/>
    </i>
    <i r="2">
      <x v="1217"/>
      <x v="6"/>
    </i>
    <i r="2">
      <x v="1697"/>
      <x v="6"/>
    </i>
    <i>
      <x v="1883"/>
      <x v="9"/>
      <x v="1218"/>
      <x v="4"/>
    </i>
    <i r="2">
      <x v="1219"/>
      <x v="4"/>
    </i>
    <i r="2">
      <x v="1220"/>
      <x v="4"/>
    </i>
    <i>
      <x v="1884"/>
      <x v="9"/>
      <x v="1221"/>
      <x v="4"/>
    </i>
    <i r="2">
      <x v="1222"/>
      <x v="4"/>
    </i>
    <i>
      <x v="1885"/>
      <x v="9"/>
      <x v="1223"/>
      <x v="4"/>
    </i>
    <i r="2">
      <x v="1224"/>
      <x v="4"/>
    </i>
    <i r="2">
      <x v="1717"/>
      <x v="4"/>
    </i>
    <i>
      <x v="1886"/>
      <x v="1"/>
      <x v="1225"/>
      <x v="4"/>
    </i>
    <i r="2">
      <x v="1226"/>
      <x v="4"/>
    </i>
    <i>
      <x v="1887"/>
      <x v="9"/>
      <x v="1227"/>
      <x v="4"/>
    </i>
    <i>
      <x v="1888"/>
      <x v="1"/>
      <x v="1228"/>
      <x v="9"/>
    </i>
    <i>
      <x v="1889"/>
      <x v="1"/>
      <x v="1229"/>
      <x v="9"/>
    </i>
    <i r="2">
      <x v="1230"/>
      <x v="9"/>
    </i>
    <i r="2">
      <x v="1231"/>
      <x v="9"/>
    </i>
    <i r="2">
      <x v="1685"/>
      <x v="9"/>
    </i>
    <i r="2">
      <x v="1768"/>
      <x v="9"/>
    </i>
    <i>
      <x v="1890"/>
      <x v="2"/>
      <x v="1232"/>
      <x v="14"/>
    </i>
    <i r="2">
      <x v="1234"/>
      <x v="14"/>
    </i>
    <i r="2">
      <x v="1770"/>
      <x v="37"/>
    </i>
    <i>
      <x v="1891"/>
      <x v="2"/>
      <x v="1233"/>
      <x v="14"/>
    </i>
    <i>
      <x v="1892"/>
      <x v="2"/>
      <x v="1235"/>
      <x v="14"/>
    </i>
    <i r="2">
      <x v="1236"/>
      <x v="14"/>
    </i>
    <i r="2">
      <x v="1771"/>
      <x v="14"/>
    </i>
    <i>
      <x v="1893"/>
      <x v="2"/>
      <x v="1237"/>
      <x v="14"/>
    </i>
    <i r="2">
      <x v="1772"/>
      <x v="14"/>
    </i>
    <i>
      <x v="1894"/>
      <x v="10"/>
      <x v="1238"/>
      <x v="6"/>
    </i>
    <i r="2">
      <x v="1239"/>
      <x v="6"/>
    </i>
    <i r="2">
      <x v="1729"/>
      <x v="6"/>
    </i>
    <i>
      <x v="1895"/>
      <x v="2"/>
      <x v="1240"/>
      <x v="14"/>
    </i>
    <i r="2">
      <x v="1241"/>
      <x v="14"/>
    </i>
    <i>
      <x v="1896"/>
      <x v="2"/>
      <x v="1242"/>
      <x v="14"/>
    </i>
    <i r="2">
      <x v="1243"/>
      <x v="14"/>
    </i>
    <i>
      <x v="1897"/>
      <x v="10"/>
      <x v="1244"/>
      <x v="6"/>
    </i>
    <i r="2">
      <x v="1245"/>
      <x v="6"/>
    </i>
    <i r="2">
      <x v="1727"/>
      <x v="6"/>
    </i>
    <i>
      <x v="1898"/>
      <x v="2"/>
      <x v="1246"/>
      <x v="14"/>
    </i>
    <i>
      <x v="1899"/>
      <x v="3"/>
      <x v="1247"/>
      <x v="6"/>
    </i>
    <i>
      <x v="1900"/>
      <x v="3"/>
      <x v="1248"/>
      <x v="4"/>
    </i>
    <i>
      <x v="1901"/>
      <x v="3"/>
      <x v="1249"/>
      <x v="4"/>
    </i>
    <i r="2">
      <x v="1782"/>
      <x v="37"/>
    </i>
    <i>
      <x v="1902"/>
      <x v="3"/>
      <x v="1250"/>
      <x v="4"/>
    </i>
    <i>
      <x v="1903"/>
      <x v="3"/>
      <x v="1251"/>
      <x v="4"/>
    </i>
    <i>
      <x v="1904"/>
      <x v="3"/>
      <x v="1252"/>
      <x v="4"/>
    </i>
    <i r="2">
      <x v="1782"/>
      <x v="4"/>
    </i>
    <i>
      <x v="1905"/>
      <x v="3"/>
      <x v="1253"/>
      <x v="4"/>
    </i>
    <i>
      <x v="1906"/>
      <x v="3"/>
      <x v="1254"/>
      <x v="4"/>
    </i>
    <i r="2">
      <x v="1765"/>
      <x v="4"/>
    </i>
    <i>
      <x v="1907"/>
      <x v="1"/>
      <x v="1255"/>
      <x v="12"/>
    </i>
    <i r="2">
      <x v="1256"/>
      <x v="12"/>
    </i>
    <i>
      <x v="1908"/>
      <x v="1"/>
      <x v="1257"/>
      <x v="33"/>
    </i>
    <i>
      <x v="1909"/>
      <x v="1"/>
      <x v="1258"/>
      <x v="12"/>
    </i>
    <i r="2">
      <x v="1259"/>
      <x v="12"/>
    </i>
    <i r="2">
      <x v="1748"/>
      <x v="12"/>
    </i>
    <i>
      <x v="1910"/>
      <x v="1"/>
      <x v="1260"/>
      <x v="8"/>
    </i>
    <i>
      <x v="1911"/>
      <x v="1"/>
      <x v="1261"/>
      <x v="8"/>
    </i>
    <i>
      <x v="1912"/>
      <x v="1"/>
      <x v="1262"/>
      <x v="33"/>
    </i>
    <i>
      <x v="1913"/>
      <x v="1"/>
      <x v="1263"/>
      <x v="14"/>
    </i>
    <i>
      <x v="1914"/>
      <x v="1"/>
      <x v="1264"/>
      <x v="33"/>
    </i>
    <i r="2">
      <x v="1643"/>
      <x v="33"/>
    </i>
    <i r="2">
      <x v="1746"/>
      <x v="33"/>
    </i>
    <i>
      <x v="1915"/>
      <x v="1"/>
      <x v="1265"/>
      <x v="14"/>
    </i>
    <i>
      <x v="1916"/>
      <x v="1"/>
      <x v="1266"/>
      <x v="33"/>
    </i>
    <i>
      <x v="1917"/>
      <x v="1"/>
      <x v="1267"/>
      <x v="33"/>
    </i>
    <i r="2">
      <x v="1644"/>
      <x v="33"/>
    </i>
    <i r="2">
      <x v="1747"/>
      <x v="33"/>
    </i>
    <i>
      <x v="1918"/>
      <x v="1"/>
      <x v="1268"/>
      <x v="14"/>
    </i>
    <i>
      <x v="1919"/>
      <x v="1"/>
      <x v="1269"/>
      <x v="14"/>
    </i>
    <i>
      <x v="1920"/>
      <x v="1"/>
      <x v="1270"/>
      <x v="14"/>
    </i>
    <i r="2">
      <x v="1723"/>
      <x v="14"/>
    </i>
    <i r="2">
      <x v="1724"/>
      <x v="14"/>
    </i>
    <i r="2">
      <x v="1740"/>
      <x v="14"/>
    </i>
    <i>
      <x v="1921"/>
      <x v="1"/>
      <x v="1271"/>
      <x v="13"/>
    </i>
    <i r="2">
      <x v="1646"/>
      <x v="13"/>
    </i>
    <i r="2">
      <x v="1741"/>
      <x v="13"/>
    </i>
    <i>
      <x v="1922"/>
      <x v="1"/>
      <x v="1272"/>
      <x v="14"/>
    </i>
    <i r="2">
      <x v="1721"/>
      <x v="14"/>
    </i>
    <i r="2">
      <x v="1769"/>
      <x v="14"/>
    </i>
    <i>
      <x v="1923"/>
      <x v="1"/>
      <x v="1273"/>
      <x v="14"/>
    </i>
    <i>
      <x v="1924"/>
      <x v="1"/>
      <x v="1274"/>
      <x v="13"/>
    </i>
    <i r="2">
      <x v="1647"/>
      <x v="13"/>
    </i>
    <i r="2">
      <x v="1704"/>
      <x v="13"/>
    </i>
    <i r="2">
      <x v="1722"/>
      <x v="13"/>
    </i>
    <i>
      <x v="1925"/>
      <x v="1"/>
      <x v="1275"/>
      <x v="38"/>
    </i>
    <i r="2">
      <x v="1276"/>
      <x v="38"/>
    </i>
    <i>
      <x v="1926"/>
      <x v="1"/>
      <x v="1277"/>
      <x v="14"/>
    </i>
    <i>
      <x v="1927"/>
      <x v="1"/>
      <x v="1278"/>
      <x v="38"/>
    </i>
    <i r="2">
      <x v="1645"/>
      <x v="38"/>
    </i>
    <i>
      <x v="1928"/>
      <x v="1"/>
      <x v="1279"/>
      <x v="9"/>
    </i>
    <i>
      <x v="1929"/>
      <x v="1"/>
      <x v="1280"/>
      <x v="14"/>
    </i>
    <i r="2">
      <x v="1648"/>
      <x v="14"/>
    </i>
    <i>
      <x v="1930"/>
      <x v="1"/>
      <x v="1281"/>
      <x v="13"/>
    </i>
    <i r="2">
      <x v="1649"/>
      <x v="13"/>
    </i>
    <i>
      <x v="1931"/>
      <x v="1"/>
      <x v="1282"/>
      <x v="9"/>
    </i>
    <i r="2">
      <x v="1755"/>
      <x v="9"/>
    </i>
    <i>
      <x v="1932"/>
      <x v="1"/>
      <x v="1283"/>
      <x v="9"/>
    </i>
    <i>
      <x v="1933"/>
      <x v="1"/>
      <x v="1284"/>
      <x v="9"/>
    </i>
    <i>
      <x v="1934"/>
      <x v="1"/>
      <x v="1285"/>
      <x v="12"/>
    </i>
    <i r="2">
      <x v="1774"/>
      <x v="12"/>
    </i>
    <i>
      <x v="1935"/>
      <x v="1"/>
      <x v="1286"/>
      <x v="6"/>
    </i>
    <i>
      <x v="1936"/>
      <x v="1"/>
      <x v="1287"/>
      <x v="6"/>
    </i>
    <i>
      <x v="1937"/>
      <x v="1"/>
      <x v="1288"/>
      <x v="4"/>
    </i>
    <i>
      <x v="1938"/>
      <x v="1"/>
      <x v="1289"/>
      <x v="4"/>
    </i>
    <i>
      <x v="1939"/>
      <x v="1"/>
      <x v="1290"/>
      <x v="4"/>
    </i>
    <i>
      <x v="1940"/>
      <x v="1"/>
      <x v="1291"/>
      <x v="6"/>
    </i>
    <i>
      <x v="1941"/>
      <x v="1"/>
      <x v="1292"/>
      <x v="6"/>
    </i>
    <i>
      <x v="1942"/>
      <x v="1"/>
      <x v="1293"/>
      <x v="1"/>
    </i>
    <i>
      <x v="1943"/>
      <x v="1"/>
      <x v="1294"/>
      <x v="4"/>
    </i>
    <i>
      <x v="1944"/>
      <x v="1"/>
      <x v="1295"/>
      <x v="4"/>
    </i>
    <i>
      <x v="1945"/>
      <x v="1"/>
      <x v="1296"/>
      <x v="6"/>
    </i>
    <i>
      <x v="1946"/>
      <x v="1"/>
      <x v="1297"/>
      <x v="6"/>
    </i>
    <i>
      <x v="1947"/>
      <x v="1"/>
      <x v="1298"/>
      <x v="6"/>
    </i>
    <i>
      <x v="1948"/>
      <x v="1"/>
      <x v="1299"/>
      <x v="6"/>
    </i>
    <i>
      <x v="1949"/>
      <x v="1"/>
      <x v="1300"/>
      <x v="6"/>
    </i>
    <i>
      <x v="1950"/>
      <x v="1"/>
      <x v="1301"/>
      <x v="6"/>
    </i>
    <i>
      <x v="1951"/>
      <x v="1"/>
      <x v="1302"/>
      <x v="6"/>
    </i>
    <i>
      <x v="1952"/>
      <x v="1"/>
      <x v="1303"/>
      <x v="6"/>
    </i>
    <i>
      <x v="1953"/>
      <x v="1"/>
      <x v="1304"/>
      <x v="6"/>
    </i>
    <i>
      <x v="1954"/>
      <x v="6"/>
      <x v="1305"/>
      <x v="6"/>
    </i>
    <i>
      <x v="1955"/>
      <x v="6"/>
      <x v="1306"/>
      <x v="1"/>
    </i>
    <i>
      <x v="1956"/>
      <x v="2"/>
      <x v="1307"/>
      <x v="4"/>
    </i>
    <i>
      <x v="1957"/>
      <x v="1"/>
      <x v="1308"/>
      <x v="9"/>
    </i>
    <i r="2">
      <x v="1309"/>
      <x v="9"/>
    </i>
    <i>
      <x v="1958"/>
      <x v="1"/>
      <x v="1310"/>
      <x v="9"/>
    </i>
    <i>
      <x v="1959"/>
      <x v="1"/>
      <x v="1311"/>
      <x v="9"/>
    </i>
    <i r="2">
      <x v="1312"/>
      <x v="9"/>
    </i>
    <i>
      <x v="1960"/>
      <x v="1"/>
      <x v="1313"/>
      <x v="9"/>
    </i>
    <i>
      <x v="1961"/>
      <x v="1"/>
      <x v="1314"/>
      <x v="9"/>
    </i>
    <i>
      <x v="1962"/>
      <x v="3"/>
      <x v="1315"/>
      <x v="4"/>
    </i>
    <i>
      <x v="1963"/>
      <x v="5"/>
      <x v="1316"/>
      <x v="6"/>
    </i>
    <i>
      <x v="1964"/>
      <x v="5"/>
      <x v="1317"/>
      <x v="9"/>
    </i>
    <i>
      <x v="1965"/>
      <x v="5"/>
      <x v="1318"/>
      <x v="8"/>
    </i>
    <i>
      <x v="1966"/>
      <x v="5"/>
      <x v="1319"/>
      <x v="8"/>
    </i>
    <i>
      <x v="1967"/>
      <x v="5"/>
      <x v="1320"/>
      <x v="8"/>
    </i>
    <i>
      <x v="1968"/>
      <x v="5"/>
      <x v="1321"/>
      <x v="8"/>
    </i>
    <i>
      <x v="1969"/>
      <x v="5"/>
      <x v="1322"/>
      <x v="8"/>
    </i>
    <i>
      <x v="1970"/>
      <x v="5"/>
      <x v="1323"/>
      <x v="8"/>
    </i>
    <i>
      <x v="1971"/>
      <x v="3"/>
      <x v="1324"/>
      <x v="8"/>
    </i>
    <i>
      <x v="1972"/>
      <x v="3"/>
      <x v="1325"/>
      <x v="4"/>
    </i>
    <i>
      <x v="1973"/>
      <x v="5"/>
      <x v="1326"/>
      <x v="8"/>
    </i>
    <i>
      <x v="1974"/>
      <x v="3"/>
      <x v="1327"/>
      <x v="4"/>
    </i>
    <i r="2">
      <x v="1753"/>
      <x v="4"/>
    </i>
    <i>
      <x v="1975"/>
      <x v="5"/>
      <x v="1328"/>
      <x v="8"/>
    </i>
    <i r="2">
      <x v="1664"/>
      <x v="8"/>
    </i>
    <i>
      <x v="1976"/>
      <x v="1"/>
      <x v="1329"/>
      <x v="6"/>
    </i>
    <i>
      <x v="1977"/>
      <x v="1"/>
      <x v="1330"/>
      <x v="14"/>
    </i>
    <i r="2">
      <x v="1691"/>
      <x v="14"/>
    </i>
    <i>
      <x v="1978"/>
      <x v="1"/>
      <x v="1331"/>
      <x v="19"/>
    </i>
    <i r="2">
      <x v="1332"/>
      <x v="19"/>
    </i>
    <i>
      <x v="1979"/>
      <x v="11"/>
      <x v="1333"/>
      <x v="13"/>
    </i>
    <i>
      <x v="1980"/>
      <x v="1"/>
      <x v="1334"/>
      <x v="13"/>
    </i>
    <i>
      <x v="1981"/>
      <x v="1"/>
      <x v="1335"/>
      <x v="13"/>
    </i>
    <i>
      <x v="1982"/>
      <x v="1"/>
      <x v="1336"/>
      <x v="19"/>
    </i>
    <i r="2">
      <x v="1337"/>
      <x v="19"/>
    </i>
    <i>
      <x v="1983"/>
      <x v="1"/>
      <x v="1338"/>
      <x v="14"/>
    </i>
    <i>
      <x v="1984"/>
      <x v="1"/>
      <x v="1339"/>
      <x v="13"/>
    </i>
    <i>
      <x v="1985"/>
      <x v="1"/>
      <x v="1340"/>
      <x v="8"/>
    </i>
    <i>
      <x v="1986"/>
      <x v="1"/>
      <x v="1341"/>
      <x v="13"/>
    </i>
    <i>
      <x v="1987"/>
      <x v="1"/>
      <x v="1342"/>
      <x v="6"/>
    </i>
    <i r="2">
      <x v="1730"/>
      <x v="6"/>
    </i>
    <i>
      <x v="1988"/>
      <x v="1"/>
      <x v="1343"/>
      <x v="19"/>
    </i>
    <i r="2">
      <x v="1344"/>
      <x v="19"/>
    </i>
    <i>
      <x v="1989"/>
      <x v="1"/>
      <x v="1345"/>
      <x v="6"/>
    </i>
    <i>
      <x v="1990"/>
      <x v="5"/>
      <x v="1346"/>
      <x v="6"/>
    </i>
    <i>
      <x v="1991"/>
      <x v="1"/>
      <x v="1347"/>
      <x v="14"/>
    </i>
    <i>
      <x v="1992"/>
      <x v="1"/>
      <x v="1348"/>
      <x v="13"/>
    </i>
    <i>
      <x v="1993"/>
      <x v="1"/>
      <x v="1349"/>
      <x v="8"/>
    </i>
    <i>
      <x v="1994"/>
      <x v="1"/>
      <x v="1350"/>
      <x v="6"/>
    </i>
    <i>
      <x v="1995"/>
      <x v="5"/>
      <x v="1351"/>
      <x v="6"/>
    </i>
    <i>
      <x v="1996"/>
      <x v="6"/>
      <x v="1352"/>
      <x v="8"/>
    </i>
    <i>
      <x v="1997"/>
      <x v="1"/>
      <x v="1353"/>
      <x v="6"/>
    </i>
    <i>
      <x v="1998"/>
      <x v="5"/>
      <x v="1354"/>
      <x v="6"/>
    </i>
    <i>
      <x v="1999"/>
      <x v="6"/>
      <x v="1355"/>
      <x v="14"/>
    </i>
    <i>
      <x v="2000"/>
      <x v="6"/>
      <x v="1356"/>
      <x v="14"/>
    </i>
    <i>
      <x v="2001"/>
      <x v="1"/>
      <x v="1357"/>
      <x v="6"/>
    </i>
    <i>
      <x v="2002"/>
      <x v="5"/>
      <x v="1358"/>
      <x v="6"/>
    </i>
    <i>
      <x v="2003"/>
      <x v="2"/>
      <x v="1359"/>
      <x v="6"/>
    </i>
    <i>
      <x v="2004"/>
      <x v="2"/>
      <x v="1360"/>
      <x v="6"/>
    </i>
    <i>
      <x v="2005"/>
      <x v="7"/>
      <x v="1361"/>
      <x v="14"/>
    </i>
    <i>
      <x v="2006"/>
      <x v="2"/>
      <x v="1362"/>
      <x v="6"/>
    </i>
    <i>
      <x v="2007"/>
      <x v="2"/>
      <x v="1363"/>
      <x v="6"/>
    </i>
    <i r="2">
      <x v="1694"/>
      <x v="6"/>
    </i>
    <i>
      <x v="2008"/>
      <x v="2"/>
      <x v="1364"/>
      <x v="6"/>
    </i>
    <i>
      <x v="2009"/>
      <x v="2"/>
      <x v="1365"/>
      <x v="6"/>
    </i>
    <i r="2">
      <x v="1695"/>
      <x v="6"/>
    </i>
    <i>
      <x v="2010"/>
      <x v="2"/>
      <x v="1366"/>
      <x v="6"/>
    </i>
    <i>
      <x v="2011"/>
      <x v="2"/>
      <x v="1367"/>
      <x v="6"/>
    </i>
    <i>
      <x v="2012"/>
      <x v="2"/>
      <x v="1368"/>
      <x v="6"/>
    </i>
    <i>
      <x v="2013"/>
      <x v="2"/>
      <x v="1369"/>
      <x v="6"/>
    </i>
    <i>
      <x v="2014"/>
      <x v="2"/>
      <x v="1370"/>
      <x v="6"/>
    </i>
    <i r="2">
      <x v="1725"/>
      <x v="6"/>
    </i>
    <i>
      <x v="2015"/>
      <x v="7"/>
      <x v="1371"/>
      <x v="14"/>
    </i>
    <i>
      <x v="2016"/>
      <x v="2"/>
      <x v="1372"/>
      <x v="6"/>
    </i>
    <i>
      <x v="2017"/>
      <x v="2"/>
      <x v="1373"/>
      <x v="6"/>
    </i>
    <i>
      <x v="2018"/>
      <x v="2"/>
      <x v="1374"/>
      <x v="6"/>
    </i>
    <i>
      <x v="2019"/>
      <x v="7"/>
      <x v="1375"/>
      <x v="14"/>
    </i>
    <i>
      <x v="2020"/>
      <x v="2"/>
      <x v="1376"/>
      <x v="6"/>
    </i>
    <i>
      <x v="2021"/>
      <x v="7"/>
      <x v="1377"/>
      <x v="14"/>
    </i>
    <i r="2">
      <x v="1378"/>
      <x v="14"/>
    </i>
    <i>
      <x v="2022"/>
      <x v="2"/>
      <x v="1379"/>
      <x v="6"/>
    </i>
    <i r="2">
      <x v="1726"/>
      <x v="6"/>
    </i>
    <i>
      <x v="2023"/>
      <x v="2"/>
      <x v="1380"/>
      <x v="6"/>
    </i>
    <i>
      <x v="2024"/>
      <x v="7"/>
      <x v="1381"/>
      <x v="14"/>
    </i>
    <i>
      <x v="2025"/>
      <x v="2"/>
      <x v="1382"/>
      <x v="6"/>
    </i>
    <i r="2">
      <x v="1696"/>
      <x v="6"/>
    </i>
    <i>
      <x v="2026"/>
      <x v="1"/>
      <x v="1383"/>
      <x v="13"/>
    </i>
    <i>
      <x v="2027"/>
      <x v="1"/>
      <x v="1384"/>
      <x v="13"/>
    </i>
    <i r="2">
      <x v="1385"/>
      <x v="13"/>
    </i>
    <i r="2">
      <x v="1713"/>
      <x v="13"/>
    </i>
    <i>
      <x v="2028"/>
      <x v="1"/>
      <x v="1386"/>
      <x v="13"/>
    </i>
    <i r="2">
      <x v="1387"/>
      <x v="13"/>
    </i>
    <i r="2">
      <x v="1708"/>
      <x v="13"/>
    </i>
    <i>
      <x v="2029"/>
      <x v="1"/>
      <x v="1388"/>
      <x v="13"/>
    </i>
    <i r="2">
      <x v="1389"/>
      <x v="13"/>
    </i>
    <i r="2">
      <x v="1766"/>
      <x v="13"/>
    </i>
    <i>
      <x v="2030"/>
      <x v="1"/>
      <x v="1390"/>
      <x v="6"/>
    </i>
    <i>
      <x v="2031"/>
      <x v="1"/>
      <x v="1391"/>
      <x v="6"/>
    </i>
    <i>
      <x v="2032"/>
      <x v="1"/>
      <x v="1392"/>
      <x v="6"/>
    </i>
    <i>
      <x v="2033"/>
      <x v="1"/>
      <x v="1393"/>
      <x v="13"/>
    </i>
    <i>
      <x v="2034"/>
      <x v="1"/>
      <x v="1394"/>
      <x v="13"/>
    </i>
    <i>
      <x v="2035"/>
      <x v="1"/>
      <x v="1395"/>
      <x v="6"/>
    </i>
    <i r="2">
      <x v="1396"/>
      <x v="6"/>
    </i>
    <i>
      <x v="2036"/>
      <x v="1"/>
      <x v="1397"/>
      <x v="9"/>
    </i>
    <i r="2">
      <x v="1398"/>
      <x v="9"/>
    </i>
    <i>
      <x v="2037"/>
      <x v="1"/>
      <x v="1399"/>
      <x v="13"/>
    </i>
    <i r="2">
      <x v="1674"/>
      <x v="13"/>
    </i>
    <i>
      <x v="2038"/>
      <x v="1"/>
      <x v="1400"/>
      <x v="13"/>
    </i>
    <i>
      <x v="2039"/>
      <x v="1"/>
      <x v="1401"/>
      <x v="13"/>
    </i>
    <i r="2">
      <x v="1402"/>
      <x v="13"/>
    </i>
    <i>
      <x v="2040"/>
      <x v="1"/>
      <x v="1403"/>
      <x v="13"/>
    </i>
    <i>
      <x v="2041"/>
      <x v="1"/>
      <x v="1404"/>
      <x v="33"/>
    </i>
    <i r="2">
      <x v="1686"/>
      <x v="33"/>
    </i>
    <i>
      <x v="2042"/>
      <x v="1"/>
      <x v="1405"/>
      <x v="19"/>
    </i>
    <i>
      <x v="2043"/>
      <x v="1"/>
      <x v="1406"/>
      <x v="19"/>
    </i>
    <i>
      <x v="2044"/>
      <x v="1"/>
      <x v="1407"/>
      <x v="19"/>
    </i>
    <i r="2">
      <x v="1408"/>
      <x v="19"/>
    </i>
    <i r="2">
      <x v="1409"/>
      <x v="19"/>
    </i>
    <i>
      <x v="2045"/>
      <x v="1"/>
      <x v="1410"/>
      <x v="12"/>
    </i>
    <i r="2">
      <x v="1411"/>
      <x v="12"/>
    </i>
    <i>
      <x v="2046"/>
      <x v="1"/>
      <x v="1412"/>
      <x v="39"/>
    </i>
    <i>
      <x v="2047"/>
      <x v="1"/>
      <x v="1413"/>
      <x v="9"/>
    </i>
    <i r="2">
      <x v="1756"/>
      <x v="9"/>
    </i>
    <i>
      <x v="2048"/>
      <x v="1"/>
      <x v="1414"/>
      <x v="12"/>
    </i>
    <i r="2">
      <x v="1415"/>
      <x v="12"/>
    </i>
    <i>
      <x v="2049"/>
      <x v="1"/>
      <x v="1416"/>
      <x v="13"/>
    </i>
    <i>
      <x v="2050"/>
      <x v="1"/>
      <x v="1417"/>
      <x v="13"/>
    </i>
    <i>
      <x v="2051"/>
      <x v="1"/>
      <x v="1418"/>
      <x v="13"/>
    </i>
    <i r="2">
      <x v="1652"/>
      <x v="13"/>
    </i>
    <i>
      <x v="2052"/>
      <x v="1"/>
      <x v="1419"/>
      <x v="13"/>
    </i>
    <i>
      <x v="2053"/>
      <x v="1"/>
      <x v="1420"/>
      <x v="9"/>
    </i>
    <i>
      <x v="2054"/>
      <x v="1"/>
      <x v="1421"/>
      <x v="14"/>
    </i>
    <i>
      <x v="2055"/>
      <x v="1"/>
      <x v="1422"/>
      <x v="6"/>
    </i>
    <i>
      <x v="2056"/>
      <x v="3"/>
      <x v="1423"/>
      <x v="4"/>
    </i>
    <i>
      <x v="2057"/>
      <x v="3"/>
      <x v="1424"/>
      <x v="6"/>
    </i>
    <i r="2">
      <x v="1678"/>
      <x v="6"/>
    </i>
    <i>
      <x v="2058"/>
      <x v="5"/>
      <x v="1425"/>
      <x v="6"/>
    </i>
    <i>
      <x v="2059"/>
      <x v="7"/>
      <x v="1426"/>
      <x v="14"/>
    </i>
    <i r="2">
      <x v="1427"/>
      <x v="14"/>
    </i>
    <i r="2">
      <x v="1668"/>
      <x v="14"/>
    </i>
    <i r="2">
      <x v="1679"/>
      <x v="14"/>
    </i>
    <i>
      <x v="2060"/>
      <x v="3"/>
      <x v="1428"/>
      <x v="4"/>
    </i>
    <i r="2">
      <x v="1431"/>
      <x v="4"/>
    </i>
    <i r="2">
      <x v="1719"/>
      <x v="4"/>
    </i>
    <i>
      <x v="2061"/>
      <x v="3"/>
      <x v="1429"/>
      <x v="4"/>
    </i>
    <i r="2">
      <x v="1430"/>
      <x v="4"/>
    </i>
    <i>
      <x v="2062"/>
      <x v="5"/>
      <x v="1432"/>
      <x v="6"/>
    </i>
    <i>
      <x v="2063"/>
      <x v="3"/>
      <x v="1650"/>
      <x v="37"/>
    </i>
    <i>
      <x v="2064"/>
      <x v="3"/>
      <x v="1433"/>
      <x v="4"/>
    </i>
    <i r="2">
      <x v="1434"/>
      <x v="4"/>
    </i>
    <i r="2">
      <x v="1781"/>
      <x v="4"/>
    </i>
    <i>
      <x v="2065"/>
      <x v="5"/>
      <x v="1435"/>
      <x v="4"/>
    </i>
    <i>
      <x v="2066"/>
      <x v="5"/>
      <x v="1436"/>
      <x v="9"/>
    </i>
    <i>
      <x v="2067"/>
      <x v="1"/>
      <x v="1437"/>
      <x v="14"/>
    </i>
    <i r="2">
      <x v="1654"/>
      <x v="14"/>
    </i>
    <i>
      <x v="2068"/>
      <x v="12"/>
      <x v="1438"/>
      <x v="18"/>
    </i>
    <i>
      <x v="2069"/>
      <x v="5"/>
      <x v="1439"/>
      <x v="6"/>
    </i>
    <i>
      <x v="2070"/>
      <x v="9"/>
      <x v="1440"/>
      <x v="4"/>
    </i>
    <i>
      <x v="2071"/>
      <x v="3"/>
      <x v="1441"/>
      <x v="6"/>
    </i>
    <i>
      <x v="2072"/>
      <x v="4"/>
      <x v="1442"/>
      <x v="4"/>
    </i>
    <i>
      <x v="2073"/>
      <x v="5"/>
      <x v="1443"/>
      <x v="6"/>
    </i>
    <i>
      <x v="2074"/>
      <x v="1"/>
      <x v="1444"/>
      <x v="4"/>
    </i>
    <i r="2">
      <x v="1720"/>
      <x v="37"/>
    </i>
    <i>
      <x v="2075"/>
      <x v="9"/>
      <x v="1445"/>
      <x v="4"/>
    </i>
    <i>
      <x v="2076"/>
      <x v="9"/>
      <x v="1446"/>
      <x v="4"/>
    </i>
    <i>
      <x v="2077"/>
      <x v="1"/>
      <x v="1447"/>
      <x v="4"/>
    </i>
    <i r="2">
      <x v="1707"/>
      <x v="4"/>
    </i>
    <i>
      <x v="2078"/>
      <x v="9"/>
      <x v="1448"/>
      <x v="1"/>
    </i>
    <i r="2">
      <x v="1449"/>
      <x v="1"/>
    </i>
    <i r="2">
      <x v="1450"/>
      <x v="1"/>
    </i>
    <i>
      <x v="2079"/>
      <x v="9"/>
      <x v="1451"/>
      <x v="1"/>
    </i>
    <i r="2">
      <x v="1488"/>
      <x v="1"/>
    </i>
    <i>
      <x v="2080"/>
      <x v="9"/>
      <x v="1452"/>
      <x v="4"/>
    </i>
    <i r="2">
      <x v="1453"/>
      <x v="4"/>
    </i>
    <i r="2">
      <x v="1454"/>
      <x v="4"/>
    </i>
    <i>
      <x v="2081"/>
      <x v="9"/>
      <x v="1455"/>
      <x v="4"/>
    </i>
    <i r="2">
      <x v="1456"/>
      <x v="4"/>
    </i>
    <i r="2">
      <x v="1457"/>
      <x v="4"/>
    </i>
    <i r="2">
      <x v="1692"/>
      <x v="4"/>
    </i>
    <i>
      <x v="2082"/>
      <x v="9"/>
      <x v="1458"/>
      <x v="4"/>
    </i>
    <i r="2">
      <x v="1459"/>
      <x v="4"/>
    </i>
    <i r="2">
      <x v="1752"/>
      <x v="4"/>
    </i>
    <i>
      <x v="2083"/>
      <x v="9"/>
      <x v="1460"/>
      <x v="4"/>
    </i>
    <i r="2">
      <x v="1461"/>
      <x v="4"/>
    </i>
    <i r="2">
      <x v="1705"/>
      <x v="4"/>
    </i>
    <i>
      <x v="2084"/>
      <x v="9"/>
      <x v="1462"/>
      <x v="4"/>
    </i>
    <i r="2">
      <x v="1463"/>
      <x v="4"/>
    </i>
    <i r="2">
      <x v="1775"/>
      <x v="4"/>
    </i>
    <i>
      <x v="2085"/>
      <x v="9"/>
      <x v="1464"/>
      <x v="4"/>
    </i>
    <i r="2">
      <x v="1465"/>
      <x v="4"/>
    </i>
    <i r="2">
      <x v="1742"/>
      <x v="4"/>
    </i>
    <i r="2">
      <x v="1785"/>
      <x v="4"/>
    </i>
    <i>
      <x v="2086"/>
      <x v="9"/>
      <x v="1466"/>
      <x v="4"/>
    </i>
    <i r="2">
      <x v="1467"/>
      <x v="4"/>
    </i>
    <i>
      <x v="2087"/>
      <x v="9"/>
      <x v="1468"/>
      <x v="4"/>
    </i>
    <i r="2">
      <x v="1469"/>
      <x v="4"/>
    </i>
    <i r="2">
      <x v="1786"/>
      <x v="4"/>
    </i>
    <i>
      <x v="2088"/>
      <x v="9"/>
      <x v="1470"/>
      <x v="4"/>
    </i>
    <i r="2">
      <x v="1471"/>
      <x v="4"/>
    </i>
    <i r="2">
      <x v="1743"/>
      <x v="4"/>
    </i>
    <i>
      <x v="2089"/>
      <x v="9"/>
      <x v="1472"/>
      <x v="4"/>
    </i>
    <i r="2">
      <x v="1473"/>
      <x v="4"/>
    </i>
    <i r="2">
      <x v="1787"/>
      <x v="4"/>
    </i>
    <i>
      <x v="2090"/>
      <x v="9"/>
      <x v="1474"/>
      <x v="4"/>
    </i>
    <i r="2">
      <x v="1475"/>
      <x v="4"/>
    </i>
    <i r="2">
      <x v="1681"/>
      <x v="4"/>
    </i>
    <i r="2">
      <x v="1767"/>
      <x v="4"/>
    </i>
    <i>
      <x v="2091"/>
      <x v="9"/>
      <x v="1476"/>
      <x v="4"/>
    </i>
    <i r="2">
      <x v="1477"/>
      <x v="4"/>
    </i>
    <i r="2">
      <x v="1744"/>
      <x v="4"/>
    </i>
    <i r="2">
      <x v="1758"/>
      <x v="4"/>
    </i>
    <i>
      <x v="2092"/>
      <x v="9"/>
      <x v="1478"/>
      <x v="4"/>
    </i>
    <i>
      <x v="2093"/>
      <x v="9"/>
      <x v="1479"/>
      <x v="4"/>
    </i>
    <i r="2">
      <x v="1480"/>
      <x v="4"/>
    </i>
    <i r="2">
      <x v="1777"/>
      <x v="4"/>
    </i>
    <i>
      <x v="2094"/>
      <x v="9"/>
      <x v="1481"/>
      <x v="4"/>
    </i>
    <i r="2">
      <x v="1482"/>
      <x v="4"/>
    </i>
    <i r="2">
      <x v="1483"/>
      <x v="4"/>
    </i>
    <i r="2">
      <x v="1732"/>
      <x v="4"/>
    </i>
    <i>
      <x v="2095"/>
      <x v="9"/>
      <x v="1484"/>
      <x v="4"/>
    </i>
    <i r="2">
      <x v="1485"/>
      <x v="4"/>
    </i>
    <i r="2">
      <x v="1486"/>
      <x v="4"/>
    </i>
    <i r="2">
      <x v="1487"/>
      <x v="4"/>
    </i>
    <i r="2">
      <x v="1709"/>
      <x v="4"/>
    </i>
    <i>
      <x v="2096"/>
      <x v="9"/>
      <x v="1698"/>
      <x v="1"/>
    </i>
    <i>
      <x v="2097"/>
      <x v="9"/>
      <x v="1489"/>
      <x v="4"/>
    </i>
    <i>
      <x v="2098"/>
      <x v="9"/>
      <x v="1490"/>
      <x v="4"/>
    </i>
    <i>
      <x v="2099"/>
      <x v="9"/>
      <x v="1491"/>
      <x v="4"/>
    </i>
    <i r="2">
      <x v="1492"/>
      <x v="4"/>
    </i>
    <i r="2">
      <x v="1693"/>
      <x v="4"/>
    </i>
    <i>
      <x v="2100"/>
      <x v="9"/>
      <x v="1493"/>
      <x v="4"/>
    </i>
    <i>
      <x v="2101"/>
      <x v="9"/>
      <x v="1494"/>
      <x v="4"/>
    </i>
    <i>
      <x v="2102"/>
      <x v="9"/>
      <x v="1495"/>
      <x v="4"/>
    </i>
    <i r="2">
      <x v="1496"/>
      <x v="4"/>
    </i>
    <i r="2">
      <x v="1706"/>
      <x v="4"/>
    </i>
    <i r="2">
      <x v="1738"/>
      <x v="4"/>
    </i>
    <i>
      <x v="2103"/>
      <x v="1"/>
      <x v="1497"/>
      <x v="15"/>
    </i>
    <i r="2">
      <x v="1763"/>
      <x v="15"/>
    </i>
    <i>
      <x v="2104"/>
      <x v="1"/>
      <x v="1498"/>
      <x v="15"/>
    </i>
    <i r="2">
      <x v="1499"/>
      <x v="15"/>
    </i>
    <i>
      <x v="2105"/>
      <x v="1"/>
      <x v="1500"/>
      <x v="15"/>
    </i>
    <i r="2">
      <x v="1687"/>
      <x v="15"/>
    </i>
    <i r="2">
      <x v="1759"/>
      <x v="15"/>
    </i>
    <i r="2">
      <x v="1784"/>
      <x v="15"/>
    </i>
    <i>
      <x v="2106"/>
      <x v="1"/>
      <x v="1501"/>
      <x v="15"/>
    </i>
    <i r="2">
      <x v="1502"/>
      <x v="15"/>
    </i>
    <i r="2">
      <x v="1684"/>
      <x v="15"/>
    </i>
    <i r="2">
      <x v="1712"/>
      <x v="15"/>
    </i>
    <i>
      <x v="2107"/>
      <x v="1"/>
      <x v="1503"/>
      <x v="15"/>
    </i>
    <i>
      <x v="2108"/>
      <x v="1"/>
      <x v="1504"/>
      <x v="13"/>
    </i>
    <i>
      <x v="2109"/>
      <x v="1"/>
      <x v="1505"/>
      <x v="13"/>
    </i>
    <i r="2">
      <x v="1675"/>
      <x v="13"/>
    </i>
    <i r="2">
      <x v="1710"/>
      <x v="37"/>
    </i>
    <i>
      <x v="2110"/>
      <x v="1"/>
      <x v="1506"/>
      <x v="13"/>
    </i>
    <i>
      <x v="2111"/>
      <x v="1"/>
      <x v="1507"/>
      <x v="13"/>
    </i>
    <i>
      <x v="2112"/>
      <x v="1"/>
      <x v="1508"/>
      <x v="13"/>
    </i>
    <i>
      <x v="2114"/>
      <x v="1"/>
      <x v="1510"/>
      <x v="13"/>
    </i>
    <i>
      <x v="2115"/>
      <x v="1"/>
      <x v="1511"/>
      <x v="13"/>
    </i>
    <i r="2">
      <x v="1663"/>
      <x v="13"/>
    </i>
    <i r="2">
      <x v="1711"/>
      <x v="37"/>
    </i>
    <i>
      <x v="2116"/>
      <x v="1"/>
      <x v="1512"/>
      <x v="13"/>
    </i>
    <i>
      <x v="2117"/>
      <x v="1"/>
      <x v="1513"/>
      <x v="13"/>
    </i>
    <i r="2">
      <x v="1656"/>
      <x v="13"/>
    </i>
    <i r="2">
      <x v="1676"/>
      <x v="13"/>
    </i>
    <i>
      <x v="2118"/>
      <x v="1"/>
      <x v="1514"/>
      <x v="13"/>
    </i>
    <i>
      <x v="2119"/>
      <x v="1"/>
      <x v="1515"/>
      <x v="13"/>
    </i>
    <i r="2">
      <x v="1657"/>
      <x v="13"/>
    </i>
    <i r="2">
      <x v="1773"/>
      <x v="13"/>
    </i>
    <i>
      <x v="2120"/>
      <x v="1"/>
      <x v="1516"/>
      <x v="13"/>
    </i>
    <i>
      <x v="2121"/>
      <x v="1"/>
      <x v="1517"/>
      <x v="13"/>
    </i>
    <i>
      <x v="2122"/>
      <x v="1"/>
      <x v="1518"/>
      <x v="13"/>
    </i>
    <i r="2">
      <x v="1519"/>
      <x v="13"/>
    </i>
    <i r="2">
      <x v="1658"/>
      <x v="13"/>
    </i>
    <i r="2">
      <x v="1682"/>
      <x v="13"/>
    </i>
    <i>
      <x v="2123"/>
      <x v="1"/>
      <x v="1520"/>
      <x v="13"/>
    </i>
    <i>
      <x v="2124"/>
      <x v="1"/>
      <x v="1521"/>
      <x v="13"/>
    </i>
    <i>
      <x v="2125"/>
      <x v="1"/>
      <x v="1522"/>
      <x v="6"/>
    </i>
    <i>
      <x v="2126"/>
      <x v="1"/>
      <x v="1523"/>
      <x v="6"/>
    </i>
    <i>
      <x v="2127"/>
      <x v="1"/>
      <x v="1524"/>
      <x v="13"/>
    </i>
    <i r="2">
      <x v="1525"/>
      <x v="13"/>
    </i>
    <i>
      <x v="2128"/>
      <x v="1"/>
      <x v="1526"/>
      <x v="13"/>
    </i>
    <i r="2">
      <x v="1527"/>
      <x v="13"/>
    </i>
    <i r="2">
      <x v="1760"/>
      <x v="13"/>
    </i>
    <i>
      <x v="2129"/>
      <x v="1"/>
      <x v="1528"/>
      <x v="13"/>
    </i>
    <i>
      <x v="2130"/>
      <x v="1"/>
      <x v="1530"/>
      <x v="13"/>
    </i>
    <i r="2">
      <x v="1531"/>
      <x v="13"/>
    </i>
    <i r="2">
      <x v="1532"/>
      <x v="13"/>
    </i>
    <i r="2">
      <x v="1764"/>
      <x v="13"/>
    </i>
    <i>
      <x v="2131"/>
      <x v="1"/>
      <x v="1533"/>
      <x v="13"/>
    </i>
    <i r="2">
      <x v="1534"/>
      <x v="13"/>
    </i>
    <i r="2">
      <x v="1688"/>
      <x v="13"/>
    </i>
    <i>
      <x v="2132"/>
      <x v="1"/>
      <x v="1535"/>
      <x v="13"/>
    </i>
    <i r="2">
      <x v="1536"/>
      <x v="13"/>
    </i>
    <i r="2">
      <x v="1537"/>
      <x v="13"/>
    </i>
    <i>
      <x v="2133"/>
      <x v="1"/>
      <x v="1538"/>
      <x v="13"/>
    </i>
    <i r="2">
      <x v="1539"/>
      <x v="13"/>
    </i>
    <i>
      <x v="2134"/>
      <x v="1"/>
      <x v="1540"/>
      <x v="13"/>
    </i>
    <i r="2">
      <x v="1541"/>
      <x v="13"/>
    </i>
    <i r="2">
      <x v="1714"/>
      <x v="13"/>
    </i>
    <i>
      <x v="2135"/>
      <x v="1"/>
      <x v="1542"/>
      <x v="13"/>
    </i>
    <i r="2">
      <x v="1543"/>
      <x v="13"/>
    </i>
    <i>
      <x v="2136"/>
      <x v="1"/>
      <x v="1544"/>
      <x v="13"/>
    </i>
    <i>
      <x v="2137"/>
      <x v="1"/>
      <x v="1545"/>
      <x v="13"/>
    </i>
    <i>
      <x v="2138"/>
      <x v="1"/>
      <x v="1529"/>
      <x v="13"/>
    </i>
    <i r="2">
      <x v="1530"/>
      <x v="13"/>
    </i>
    <i r="2">
      <x v="1764"/>
      <x v="13"/>
    </i>
    <i>
      <x v="2139"/>
      <x v="1"/>
      <x v="1547"/>
      <x v="13"/>
    </i>
    <i>
      <x v="2140"/>
      <x v="10"/>
      <x v="1548"/>
      <x v="6"/>
    </i>
    <i r="2">
      <x v="1549"/>
      <x v="6"/>
    </i>
    <i>
      <x v="2141"/>
      <x v="1"/>
      <x v="1550"/>
      <x v="14"/>
    </i>
    <i>
      <x v="2142"/>
      <x v="1"/>
      <x v="1551"/>
      <x v="14"/>
    </i>
    <i r="2">
      <x v="1552"/>
      <x v="14"/>
    </i>
    <i>
      <x v="2143"/>
      <x v="1"/>
      <x v="1553"/>
      <x v="14"/>
    </i>
    <i>
      <x v="2144"/>
      <x v="1"/>
      <x v="1554"/>
      <x v="14"/>
    </i>
    <i>
      <x v="2145"/>
      <x v="1"/>
      <x v="1555"/>
      <x v="14"/>
    </i>
    <i>
      <x v="2146"/>
      <x v="1"/>
      <x v="1556"/>
      <x v="14"/>
    </i>
    <i>
      <x v="2147"/>
      <x v="1"/>
      <x v="1557"/>
      <x v="14"/>
    </i>
    <i r="2">
      <x v="1558"/>
      <x v="14"/>
    </i>
    <i>
      <x v="2148"/>
      <x v="1"/>
      <x v="1559"/>
      <x v="14"/>
    </i>
    <i r="2">
      <x v="1560"/>
      <x v="14"/>
    </i>
    <i>
      <x v="2149"/>
      <x v="1"/>
      <x v="1561"/>
      <x v="14"/>
    </i>
    <i>
      <x v="2150"/>
      <x v="1"/>
      <x v="1562"/>
      <x v="14"/>
    </i>
    <i>
      <x v="2151"/>
      <x v="1"/>
      <x v="1563"/>
      <x v="14"/>
    </i>
    <i>
      <x v="2152"/>
      <x v="1"/>
      <x v="1564"/>
      <x v="6"/>
    </i>
    <i r="2">
      <x v="1565"/>
      <x v="6"/>
    </i>
    <i>
      <x v="2153"/>
      <x v="1"/>
      <x v="1566"/>
      <x v="6"/>
    </i>
    <i r="2">
      <x v="1567"/>
      <x v="6"/>
    </i>
    <i>
      <x v="2154"/>
      <x v="1"/>
      <x v="1568"/>
      <x v="6"/>
    </i>
    <i>
      <x v="2155"/>
      <x v="2"/>
      <x v="1569"/>
      <x v="15"/>
    </i>
    <i>
      <x v="2156"/>
      <x v="1"/>
      <x v="1570"/>
      <x v="13"/>
    </i>
    <i r="2">
      <x v="1699"/>
      <x v="13"/>
    </i>
    <i>
      <x v="2157"/>
      <x v="1"/>
      <x v="1571"/>
      <x v="13"/>
    </i>
    <i>
      <x v="2158"/>
      <x v="1"/>
      <x v="1572"/>
      <x v="13"/>
    </i>
    <i r="2">
      <x v="1700"/>
      <x v="13"/>
    </i>
    <i>
      <x v="2159"/>
      <x v="1"/>
      <x v="1573"/>
      <x v="13"/>
    </i>
    <i>
      <x v="2160"/>
      <x v="1"/>
      <x v="1574"/>
      <x v="13"/>
    </i>
    <i r="2">
      <x v="1701"/>
      <x v="13"/>
    </i>
    <i>
      <x v="2161"/>
      <x v="1"/>
      <x v="1575"/>
      <x v="13"/>
    </i>
    <i r="2">
      <x v="1660"/>
      <x v="13"/>
    </i>
    <i r="2">
      <x v="1702"/>
      <x v="13"/>
    </i>
    <i>
      <x v="2162"/>
      <x v="1"/>
      <x v="1576"/>
      <x v="13"/>
    </i>
    <i>
      <x v="2163"/>
      <x v="9"/>
      <x v="1577"/>
      <x v="6"/>
    </i>
    <i>
      <x v="2164"/>
      <x v="9"/>
      <x v="1578"/>
      <x v="6"/>
    </i>
    <i>
      <x v="2165"/>
      <x v="9"/>
      <x v="1579"/>
      <x v="6"/>
    </i>
    <i>
      <x v="2166"/>
      <x v="9"/>
      <x v="1580"/>
      <x v="6"/>
    </i>
    <i>
      <x v="2167"/>
      <x v="9"/>
      <x v="1581"/>
      <x v="6"/>
    </i>
    <i>
      <x v="2168"/>
      <x v="9"/>
      <x v="1582"/>
      <x v="6"/>
    </i>
    <i>
      <x v="2169"/>
      <x v="1"/>
      <x v="1583"/>
      <x v="4"/>
    </i>
    <i r="2">
      <x v="1584"/>
      <x v="4"/>
    </i>
    <i>
      <x v="2170"/>
      <x v="9"/>
      <x v="1585"/>
      <x v="4"/>
    </i>
    <i r="2">
      <x v="1586"/>
      <x v="4"/>
    </i>
    <i r="2">
      <x v="1739"/>
      <x v="4"/>
    </i>
    <i r="2">
      <x v="1754"/>
      <x v="4"/>
    </i>
    <i>
      <x v="2171"/>
      <x v="9"/>
      <x v="1587"/>
      <x v="4"/>
    </i>
    <i r="2">
      <x v="1588"/>
      <x v="4"/>
    </i>
    <i>
      <x v="2172"/>
      <x v="9"/>
      <x v="1589"/>
      <x v="4"/>
    </i>
    <i r="2">
      <x v="1590"/>
      <x v="4"/>
    </i>
    <i r="2">
      <x v="1733"/>
      <x v="4"/>
    </i>
    <i>
      <x v="2173"/>
      <x v="9"/>
      <x v="1591"/>
      <x v="4"/>
    </i>
    <i r="2">
      <x v="1593"/>
      <x v="4"/>
    </i>
    <i r="2">
      <x v="1703"/>
      <x v="4"/>
    </i>
    <i r="2">
      <x v="1779"/>
      <x v="4"/>
    </i>
    <i>
      <x v="2174"/>
      <x v="9"/>
      <x v="1592"/>
      <x v="4"/>
    </i>
    <i>
      <x v="2175"/>
      <x v="9"/>
      <x v="1594"/>
      <x v="4"/>
    </i>
    <i r="2">
      <x v="1595"/>
      <x v="4"/>
    </i>
    <i r="2">
      <x v="1683"/>
      <x v="4"/>
    </i>
    <i>
      <x v="2176"/>
      <x v="9"/>
      <x v="1596"/>
      <x v="4"/>
    </i>
    <i r="2">
      <x v="1598"/>
      <x v="4"/>
    </i>
    <i r="2">
      <x v="1780"/>
      <x v="4"/>
    </i>
    <i>
      <x v="2177"/>
      <x v="9"/>
      <x v="1597"/>
      <x v="1"/>
    </i>
    <i r="2">
      <x v="1621"/>
      <x v="1"/>
    </i>
    <i r="2">
      <x v="1661"/>
      <x v="1"/>
    </i>
    <i>
      <x v="2178"/>
      <x v="9"/>
      <x v="1599"/>
      <x v="4"/>
    </i>
    <i r="2">
      <x v="1600"/>
      <x v="4"/>
    </i>
    <i r="2">
      <x v="1689"/>
      <x v="4"/>
    </i>
    <i r="2">
      <x v="1749"/>
      <x v="4"/>
    </i>
    <i>
      <x v="2179"/>
      <x v="9"/>
      <x v="1601"/>
      <x v="4"/>
    </i>
    <i r="2">
      <x v="1602"/>
      <x v="4"/>
    </i>
    <i r="2">
      <x v="1603"/>
      <x v="4"/>
    </i>
    <i r="2">
      <x v="1662"/>
      <x v="4"/>
    </i>
    <i r="2">
      <x v="1690"/>
      <x v="4"/>
    </i>
    <i>
      <x v="2180"/>
      <x v="9"/>
      <x v="1604"/>
      <x v="4"/>
    </i>
    <i r="2">
      <x v="1605"/>
      <x v="4"/>
    </i>
    <i>
      <x v="2181"/>
      <x v="9"/>
      <x v="1606"/>
      <x v="4"/>
    </i>
    <i r="2">
      <x v="1607"/>
      <x v="4"/>
    </i>
    <i>
      <x v="2182"/>
      <x v="9"/>
      <x v="1608"/>
      <x v="4"/>
    </i>
    <i r="2">
      <x v="1609"/>
      <x v="4"/>
    </i>
    <i r="2">
      <x v="1736"/>
      <x v="4"/>
    </i>
    <i>
      <x v="2183"/>
      <x v="9"/>
      <x v="1610"/>
      <x v="4"/>
    </i>
    <i r="2">
      <x v="1611"/>
      <x v="4"/>
    </i>
    <i r="2">
      <x v="1612"/>
      <x v="4"/>
    </i>
    <i r="2">
      <x v="1750"/>
      <x v="4"/>
    </i>
    <i>
      <x v="2184"/>
      <x v="9"/>
      <x v="1613"/>
      <x v="1"/>
    </i>
    <i r="2">
      <x v="1614"/>
      <x v="1"/>
    </i>
    <i>
      <x v="2185"/>
      <x v="9"/>
      <x v="1615"/>
      <x v="1"/>
    </i>
    <i r="2">
      <x v="1616"/>
      <x v="1"/>
    </i>
    <i r="2">
      <x v="1776"/>
      <x v="1"/>
    </i>
    <i>
      <x v="2186"/>
      <x v="9"/>
      <x v="1617"/>
      <x v="1"/>
    </i>
    <i r="2">
      <x v="1618"/>
      <x v="1"/>
    </i>
    <i>
      <x v="2187"/>
      <x v="9"/>
      <x v="1619"/>
      <x v="1"/>
    </i>
    <i r="2">
      <x v="1620"/>
      <x v="1"/>
    </i>
    <i>
      <x v="2188"/>
      <x v="9"/>
      <x v="1622"/>
      <x v="1"/>
    </i>
    <i r="2">
      <x v="1623"/>
      <x v="1"/>
    </i>
    <i r="2">
      <x v="1716"/>
      <x v="37"/>
    </i>
    <i>
      <x v="2189"/>
      <x v="2"/>
      <x v="1624"/>
      <x v="4"/>
    </i>
    <i r="2">
      <x v="1625"/>
      <x v="4"/>
    </i>
    <i r="2">
      <x v="1626"/>
      <x v="4"/>
    </i>
    <i r="2">
      <x v="1627"/>
      <x v="4"/>
    </i>
    <i r="2">
      <x v="1628"/>
      <x v="4"/>
    </i>
    <i r="2">
      <x v="1629"/>
      <x v="4"/>
    </i>
    <i r="2">
      <x v="1630"/>
      <x v="4"/>
    </i>
    <i r="2">
      <x v="1734"/>
      <x v="4"/>
    </i>
    <i>
      <x v="2190"/>
      <x v="1"/>
      <x v="1631"/>
      <x v="4"/>
    </i>
    <i>
      <x v="2191"/>
      <x v="1"/>
      <x v="1632"/>
      <x v="1"/>
    </i>
    <i>
      <x v="2192"/>
      <x v="1"/>
      <x v="1633"/>
      <x v="33"/>
    </i>
    <i>
      <x v="2193"/>
      <x v="1"/>
      <x v="1634"/>
      <x v="19"/>
    </i>
    <i>
      <x v="2194"/>
      <x v="1"/>
      <x v="1635"/>
      <x v="13"/>
    </i>
    <i>
      <x v="2195"/>
      <x v="1"/>
      <x v="1636"/>
      <x v="40"/>
    </i>
    <i>
      <x v="2198"/>
      <x/>
      <x v="1650"/>
      <x v="37"/>
    </i>
    <i>
      <x v="2199"/>
      <x v="7"/>
      <x v="1651"/>
      <x v="14"/>
    </i>
    <i>
      <x v="2200"/>
      <x v="12"/>
      <x v="1653"/>
      <x v="18"/>
    </i>
    <i>
      <x v="2201"/>
      <x v="1"/>
      <x v="1655"/>
      <x v="6"/>
    </i>
    <i>
      <x v="2202"/>
      <x v="1"/>
      <x v="1659"/>
      <x v="14"/>
    </i>
    <i>
      <x v="2203"/>
      <x v="1"/>
      <x v="1666"/>
      <x v="13"/>
    </i>
    <i>
      <x v="2204"/>
      <x v="1"/>
      <x v="1509"/>
      <x v="13"/>
    </i>
    <i r="2">
      <x v="1667"/>
      <x v="13"/>
    </i>
    <i>
      <x v="2206"/>
      <x v="1"/>
      <x v="1677"/>
      <x v="38"/>
    </i>
    <i>
      <x v="2207"/>
      <x v="1"/>
      <x v="1680"/>
      <x v="13"/>
    </i>
    <i>
      <x v="2208"/>
      <x v="1"/>
      <x v="1715"/>
      <x v="6"/>
    </i>
    <i>
      <x v="2209"/>
      <x v="9"/>
      <x v="1728"/>
      <x v="4"/>
    </i>
    <i r="2">
      <x v="1735"/>
      <x v="4"/>
    </i>
    <i>
      <x v="2210"/>
      <x v="6"/>
      <x v="1731"/>
      <x v="14"/>
    </i>
    <i>
      <x v="2213"/>
      <x v="1"/>
      <x v="1761"/>
      <x v="6"/>
    </i>
    <i>
      <x v="2214"/>
      <x v="1"/>
      <x v="1762"/>
      <x v="6"/>
    </i>
    <i>
      <x v="2215"/>
      <x v="12"/>
      <x v="1778"/>
      <x v="6"/>
    </i>
    <i>
      <x v="2216"/>
      <x v="1"/>
      <x v="1783"/>
      <x v="4"/>
    </i>
    <i>
      <x v="2217"/>
      <x v="9"/>
      <x v="1788"/>
      <x v="4"/>
    </i>
    <i>
      <x v="2218"/>
      <x v="1"/>
      <x v="1789"/>
      <x v="4"/>
    </i>
  </rowItems>
  <colItems count="1">
    <i/>
  </colItems>
  <dataFields count="1">
    <dataField name="Sum of No. Urut_x000a_Item Sam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32CC6B4-C26D-4BD4-9885-EF57EC302D51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Kode Barang Win" tableColumnId="1"/>
      <queryTableField id="2" name="Kode Pcpl" tableColumnId="2"/>
      <queryTableField id="3" name="SATUAN Fix Win" tableColumnId="3"/>
      <queryTableField id="4" name="ISI/CTN" tableColumnId="4"/>
      <queryTableField id="5" name="Kode PCPL yang sama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9092B5B-F9EC-42F9-89DA-09BF95416BA7}" autoFormatId="16" applyNumberFormats="0" applyBorderFormats="0" applyFontFormats="0" applyPatternFormats="0" applyAlignmentFormats="0" applyWidthHeightFormats="0">
  <queryTableRefresh nextId="24" unboundColumnsRight="5">
    <queryTableFields count="23">
      <queryTableField id="1" name="KODE BARANG" tableColumnId="1"/>
      <queryTableField id="2" name="NAMA BARANG" tableColumnId="2"/>
      <queryTableField id="3" name="ISI/CTN" tableColumnId="3"/>
      <queryTableField id="4" name="SATUAN" tableColumnId="4"/>
      <queryTableField id="5" name="NAMA KELOMPOK" tableColumnId="5"/>
      <queryTableField id="6" name="Harga Beli Pcs_x000a_(-PPN)" tableColumnId="6"/>
      <queryTableField id="7" name="Harga Beli Krt_x000a_(- PPN)" tableColumnId="7"/>
      <queryTableField id="8" name="Harga Beli Pcs_x000a_(+PPN)" tableColumnId="8"/>
      <queryTableField id="9" name="Harga Beli Krt_x000a_(+PPN)" tableColumnId="9"/>
      <queryTableField id="10" name="Harga Jual Pcs GT_x000a_(-PPN)" tableColumnId="10"/>
      <queryTableField id="11" name="Harga Jual Krt GT_x000a_(- PPN)" tableColumnId="11"/>
      <queryTableField id="12" name="Harga Jual Pcs GT_x000a_(+PPN" tableColumnId="12"/>
      <queryTableField id="13" name="Harga Jual Krt GT_x000a_(+PPN)" tableColumnId="13"/>
      <queryTableField id="14" name="Harga Jual Pcs MT_x000a_(-PPN)" tableColumnId="14"/>
      <queryTableField id="15" name="Harga Jual Krt MT_x000a_(- PPN)" tableColumnId="15"/>
      <queryTableField id="16" name="Harga Jual Pcs MT_x000a_(+PPN)" tableColumnId="16"/>
      <queryTableField id="17" name="Harga Jual Krt MT_x000a_(+PPN)" tableColumnId="17"/>
      <queryTableField id="18" name="NAMA PRINCIPLE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382EFE7-665D-4207-9D54-14A23CF8CDEF}" autoFormatId="16" applyNumberFormats="0" applyBorderFormats="0" applyFontFormats="0" applyPatternFormats="0" applyAlignmentFormats="0" applyWidthHeightFormats="0">
  <queryTableRefresh nextId="14" unboundColumnsRight="5">
    <queryTableFields count="7">
      <queryTableField id="1" name="Kode BARANG Win2" tableColumnId="1"/>
      <queryTableField id="2" name="Nama Win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E8C0DB-6F64-42FC-9971-31730BBAFAAA}" autoFormatId="16" applyNumberFormats="0" applyBorderFormats="0" applyFontFormats="0" applyPatternFormats="0" applyAlignmentFormats="0" applyWidthHeightFormats="0">
  <queryTableRefresh nextId="33">
    <queryTableFields count="32">
      <queryTableField id="1" name="No. Urut_x000a_Item Sama" tableColumnId="1"/>
      <queryTableField id="2" name="NO" tableColumnId="2"/>
      <queryTableField id="3" name="Kode Pcpl" tableColumnId="3"/>
      <queryTableField id="4" name="Klp Brg Pcpl" tableColumnId="4"/>
      <queryTableField id="5" name="Nama Barang Principle" tableColumnId="5"/>
      <queryTableField id="6" name="ISI/CTN" tableColumnId="6"/>
      <queryTableField id="7" name="SATUAN Fix Win" tableColumnId="7"/>
      <queryTableField id="8" name="Nama Kelompok Win" tableColumnId="8"/>
      <queryTableField id="9" name="Kode Kelompok Win" tableColumnId="9"/>
      <queryTableField id="10" name="Kode BARANG Win2" tableColumnId="10"/>
      <queryTableField id="11" name="Nama Win" tableColumnId="11"/>
      <queryTableField id="12" name="Harga Beli Pcs_x000a_(-PPN)" tableColumnId="12"/>
      <queryTableField id="13" name="Harga Beli Krt_x000a_(- PPN)" tableColumnId="13"/>
      <queryTableField id="14" name="Harga Jual Pcs GT_x000a_(-PPN)" tableColumnId="14"/>
      <queryTableField id="15" name="Harga Jual Krt GT_x000a_(- PPN)" tableColumnId="15"/>
      <queryTableField id="16" name="Harga Jual Pcs MT_x000a_(-PPN)" tableColumnId="16"/>
      <queryTableField id="17" name="Harga Jual Krt MT_x000a_(- PPN)" tableColumnId="17"/>
      <queryTableField id="18" name="Efektif_x000a_Pembuatan" tableColumnId="18"/>
      <queryTableField id="19" name="Efektif Naik Harga" tableColumnId="19"/>
      <queryTableField id="20" name="Status_x000a_Pembuatan" tableColumnId="20"/>
      <queryTableField id="21" name="Status_x000a_Harga" tableColumnId="21"/>
      <queryTableField id="22" name="Mata Uang" tableColumnId="22"/>
      <queryTableField id="23" name="Kode_x000a_Golongan" tableColumnId="23"/>
      <queryTableField id="24" name="Nama Golongan" tableColumnId="24"/>
      <queryTableField id="25" name="Kode PCPL To Win" tableColumnId="25"/>
      <queryTableField id="26" name="Kode Jenis Produk" tableColumnId="26"/>
      <queryTableField id="27" name="SAT BSR" tableColumnId="27"/>
      <queryTableField id="28" name="GD" tableColumnId="28"/>
      <queryTableField id="29" name="Kode PRK" tableColumnId="29"/>
      <queryTableField id="30" name="Kode PRK SJ" tableColumnId="30"/>
      <queryTableField id="31" name="Kode Job" tableColumnId="31"/>
      <queryTableField id="32" name="Approval" tableColumnId="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4E8FC-0C18-46EC-BF7A-2CBE5645C079}" name="Table3" displayName="Table3" ref="A3:G149" totalsRowShown="0" headerRowDxfId="127">
  <autoFilter ref="A3:G149" xr:uid="{3CC4D5B6-B490-422E-8111-BE237D0D794C}"/>
  <tableColumns count="7">
    <tableColumn id="1" xr3:uid="{911C5118-914E-48D1-AA30-354BE6F54D16}" name="KELOMPOK PRODUK"/>
    <tableColumn id="2" xr3:uid="{33CB9323-0BB0-41FC-B959-AE68F8080310}" name="KODE PRODUK PRINSIPAL"/>
    <tableColumn id="3" xr3:uid="{DD79DFFA-CFEB-46DF-BD83-666010AB5CA6}" name="NAMA ITEM"/>
    <tableColumn id="4" xr3:uid="{14FD4090-9DD9-4360-9BEE-5A6303183169}" name="ISI/CTN"/>
    <tableColumn id="5" xr3:uid="{56DAD7C6-63CA-4BDB-AD5F-4F05BB563172}" name="SATUAN"/>
    <tableColumn id="6" xr3:uid="{FA3A6DC6-5F76-4424-8127-494119FFBF06}" name="HARGA INCLUDE PPN 11% IN CTN" dataDxfId="126"/>
    <tableColumn id="7" xr3:uid="{F17EF59F-FE6A-4805-A859-F580036F8B9D}" name="HARGA/PCS" dataDxfId="125">
      <calculatedColumnFormula>F4/D4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2AE471-BADF-4A71-971A-ADF79963517B}" name="Pvt_Map_1" displayName="Pvt_Map_1" ref="A1:F193" tableType="queryTable" totalsRowShown="0">
  <autoFilter ref="A1:F193" xr:uid="{0B2AE471-BADF-4A71-971A-ADF79963517B}"/>
  <tableColumns count="6">
    <tableColumn id="1" xr3:uid="{3C66EAAF-A8E6-49E5-B472-031F8E19D876}" uniqueName="1" name="Kode Barang Win" queryTableFieldId="1" dataDxfId="124"/>
    <tableColumn id="2" xr3:uid="{E90739D0-44EC-4A04-9F14-5B7B9E8DF798}" uniqueName="2" name="Kode Pcpl" queryTableFieldId="2"/>
    <tableColumn id="3" xr3:uid="{D15394DC-71D4-4BAF-8718-85E2C3B1B25D}" uniqueName="3" name="SATUAN Fix Win" queryTableFieldId="3"/>
    <tableColumn id="4" xr3:uid="{5BEEBD25-7B13-4E6C-938A-A98C26E15AE1}" uniqueName="4" name="ISI/CTN" queryTableFieldId="4"/>
    <tableColumn id="5" xr3:uid="{06A5CC05-94FB-4549-8C64-3D9AFED020C0}" uniqueName="5" name="Kode PCPL yang sama" queryTableFieldId="5"/>
    <tableColumn id="6" xr3:uid="{44FA2EE1-E3B3-4348-B339-8E2B508A5C92}" uniqueName="6" name="Column1" queryTableFieldId="6" dataDxfId="123">
      <calculatedColumnFormula>Pvt_Map_1[[#This Row],[Kode Barang Win]]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1C1BE3-726F-4E63-B097-9BC7131F7187}" name="Fix_Mapping" displayName="Fix_Mapping" ref="A1:W2" tableType="queryTable" insertRow="1" totalsRowShown="0">
  <autoFilter ref="A1:W2" xr:uid="{811C1BE3-726F-4E63-B097-9BC7131F7187}">
    <filterColumn colId="1">
      <filters>
        <filter val="SHINZUI SABUN CAIR HANA 225ML X 48 PCH"/>
        <filter val="SHINZUI SABUN CAIR KENSHO 225ML X 48 PCH"/>
        <filter val="SHINZUI SABUN CAIR KIREI 225ML X 48 BTL"/>
        <filter val="SHINZUI SABUN CAIR MATSU 225ML X 48 BTL"/>
        <filter val="SHINZUI SABUN CAIR MYORI 225ML X 48 PCH"/>
        <filter val="SHINZUI SABUN CAIR SAKURA 225ML X 48 PCH"/>
      </filters>
    </filterColumn>
  </autoFilter>
  <tableColumns count="23">
    <tableColumn id="1" xr3:uid="{B51ACFB8-B19C-419B-88C7-2F078C09C842}" uniqueName="1" name="KODE BARANG" queryTableFieldId="1"/>
    <tableColumn id="2" xr3:uid="{6EF17DCC-5C2C-4824-8658-EC1B628419DF}" uniqueName="2" name="NAMA BARANG" queryTableFieldId="2"/>
    <tableColumn id="3" xr3:uid="{E1B12B30-DCD5-437A-A94F-59F3653F42DC}" uniqueName="3" name="ISI/CTN" queryTableFieldId="3"/>
    <tableColumn id="4" xr3:uid="{CFFA1BD9-1C87-4897-80E0-F6C815299863}" uniqueName="4" name="SATUAN" queryTableFieldId="4"/>
    <tableColumn id="5" xr3:uid="{97A66C1C-0A66-4562-951A-200F93318E66}" uniqueName="5" name="NAMA KELOMPOK" queryTableFieldId="5"/>
    <tableColumn id="6" xr3:uid="{8BF8A8AC-0652-48AB-9E72-941FD9D7B9F0}" uniqueName="6" name="Harga Beli Pcs_x000a_(-PPN)" queryTableFieldId="6"/>
    <tableColumn id="7" xr3:uid="{61AF3CC3-BDC6-47B5-84E6-2ABB6F328B95}" uniqueName="7" name="Harga Beli Krt_x000a_(- PPN)" queryTableFieldId="7"/>
    <tableColumn id="8" xr3:uid="{BC85F8AE-C980-4D68-A376-936990047C2E}" uniqueName="8" name="Harga Beli Pcs_x000a_(+PPN)" queryTableFieldId="8"/>
    <tableColumn id="9" xr3:uid="{922F2695-CE66-47DF-9814-96684A57206D}" uniqueName="9" name="Harga Beli Krt_x000a_(+PPN)" queryTableFieldId="9"/>
    <tableColumn id="10" xr3:uid="{4853B508-48BA-4F89-9C31-A9035F1DD27C}" uniqueName="10" name="Harga Jual Pcs GT_x000a_(-PPN)" queryTableFieldId="10"/>
    <tableColumn id="11" xr3:uid="{2EDB4692-3B18-43E9-A6A9-ED3C1ECA4BCD}" uniqueName="11" name="Harga Jual Krt GT_x000a_(- PPN)" queryTableFieldId="11"/>
    <tableColumn id="12" xr3:uid="{D6B296AB-B2B4-46E0-BB9D-7E33D609EDE4}" uniqueName="12" name="Harga Jual Pcs GT_x000a_(+PPN" queryTableFieldId="12"/>
    <tableColumn id="13" xr3:uid="{60E08FCD-F969-443A-92C9-1549FEF11225}" uniqueName="13" name="Harga Jual Krt GT_x000a_(+PPN)" queryTableFieldId="13"/>
    <tableColumn id="14" xr3:uid="{DB0B0CB7-FE5D-4BDA-B6CD-1CB516E7C266}" uniqueName="14" name="Harga Jual Pcs MT_x000a_(-PPN)" queryTableFieldId="14"/>
    <tableColumn id="15" xr3:uid="{E22FD99C-1BED-46CE-B710-BE6B05392CC8}" uniqueName="15" name="Harga Jual Krt MT_x000a_(- PPN)" queryTableFieldId="15"/>
    <tableColumn id="16" xr3:uid="{3A082FA9-FCDE-4144-A292-1476BF1C7050}" uniqueName="16" name="Harga Jual Pcs MT_x000a_(+PPN)" queryTableFieldId="16"/>
    <tableColumn id="17" xr3:uid="{1C35E3FE-6F47-4D1F-8DEE-B60286927B08}" uniqueName="17" name="Harga Jual Krt MT_x000a_(+PPN)" queryTableFieldId="17"/>
    <tableColumn id="18" xr3:uid="{B823F0A0-B748-4F9E-B700-357456436D05}" uniqueName="18" name="NAMA PRINCIPLE" queryTableFieldId="18"/>
    <tableColumn id="19" xr3:uid="{39E35D26-7C5A-469C-AA2E-98553873CD1A}" uniqueName="19" name="PCPL KODE 1" queryTableFieldId="19">
      <calculatedColumnFormula>IFERROR(VLOOKUP(CONCATENATE(Fix_Mapping[[#This Row],[KODE BARANG]],1),'Form Fix'!$A$6:$H$663,4,0),0)</calculatedColumnFormula>
    </tableColumn>
    <tableColumn id="20" xr3:uid="{15951A06-3936-4471-9EDD-97AEE26AE785}" uniqueName="20" name="PCPL KODE 2" queryTableFieldId="20">
      <calculatedColumnFormula>IFERROR(VLOOKUP(CONCATENATE(Fix_Mapping[[#This Row],[KODE BARANG]],2),'Form Fix'!$A$6:$H$663,4,0),0)</calculatedColumnFormula>
    </tableColumn>
    <tableColumn id="21" xr3:uid="{22032337-950B-4600-898F-248EFF4F2DE2}" uniqueName="21" name="PCPL KODE 3" queryTableFieldId="21">
      <calculatedColumnFormula>IFERROR(VLOOKUP(CONCATENATE(Fix_Mapping[[#This Row],[KODE BARANG]],3),'Form Fix'!$A$6:$H$663,4,0),0)</calculatedColumnFormula>
    </tableColumn>
    <tableColumn id="22" xr3:uid="{32942D54-CB3B-4EA0-9274-A5F561D92755}" uniqueName="22" name="PCPL KODE 4" queryTableFieldId="22">
      <calculatedColumnFormula>IFERROR(VLOOKUP(CONCATENATE(Fix_Mapping[[#This Row],[KODE BARANG]],4),'Form Fix'!$A$6:$H$663,4,0),0)</calculatedColumnFormula>
    </tableColumn>
    <tableColumn id="23" xr3:uid="{A826087C-0EB3-4464-B0AD-854AC2F252F3}" uniqueName="23" name="PCPL KODE 5" queryTableFieldId="23">
      <calculatedColumnFormula>IFERROR(VLOOKUP(CONCATENATE(Fix_Mapping[[#This Row],[KODE BARANG]],5),'Form Fix'!$A$6:$H$663,4,0),0)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98434C-26AE-48FD-B3F4-96948A08CD3B}" name="Table43_1" displayName="Table43_1" ref="A1:G388" tableType="queryTable" totalsRowShown="0" headerRowDxfId="122">
  <autoFilter ref="A1:G388" xr:uid="{DA98434C-26AE-48FD-B3F4-96948A08CD3B}"/>
  <tableColumns count="7">
    <tableColumn id="1" xr3:uid="{31BB9C54-2D8C-473F-9016-82E2E1A6443E}" uniqueName="1" name="Kode BARANG Win2" queryTableFieldId="1" dataDxfId="121"/>
    <tableColumn id="2" xr3:uid="{6A996067-9B57-423B-8632-80C898664E0E}" uniqueName="2" name="Nama Win" queryTableFieldId="2" dataDxfId="120"/>
    <tableColumn id="3" xr3:uid="{69DA0886-20BD-4E67-96D2-3AE6E0780CEE}" uniqueName="3" name="PCPL KODE 1" queryTableFieldId="3" dataDxfId="119">
      <calculatedColumnFormula>IFERROR(VLOOKUP(CONCATENATE(Table43_1[[#This Row],[Kode BARANG Win2]],1),'Form Fix'!$A$6:$H$663,4,0),0)</calculatedColumnFormula>
    </tableColumn>
    <tableColumn id="4" xr3:uid="{D83076C0-D597-4435-ACF4-A22A4A438E13}" uniqueName="4" name="PCPL KODE 2" queryTableFieldId="4" dataDxfId="118">
      <calculatedColumnFormula>IFERROR(VLOOKUP(CONCATENATE(Table43_1[[#This Row],[Kode BARANG Win2]],2),'Form Fix'!$A$6:$H$663,4,0),0)</calculatedColumnFormula>
    </tableColumn>
    <tableColumn id="5" xr3:uid="{595AB651-18CD-4D1D-8C4D-89D5370E9776}" uniqueName="5" name="PCPL KODE 3" queryTableFieldId="5" dataDxfId="117">
      <calculatedColumnFormula>IFERROR(VLOOKUP(CONCATENATE(Table43_1[[#This Row],[Kode BARANG Win2]],3),'Form Fix'!$A$6:$H$663,4,0),0)</calculatedColumnFormula>
    </tableColumn>
    <tableColumn id="6" xr3:uid="{28FEB60B-DF21-48F8-BEA5-48DBC48A5B75}" uniqueName="6" name="PCPL KODE 4" queryTableFieldId="6" dataDxfId="116">
      <calculatedColumnFormula>IFERROR(VLOOKUP(CONCATENATE(Table43_1[[#This Row],[Kode BARANG Win2]],4),'Form Fix'!$A$6:$H$663,4,0),0)</calculatedColumnFormula>
    </tableColumn>
    <tableColumn id="7" xr3:uid="{E4822B09-9A4D-421C-8B71-CFB4D19DA6D5}" uniqueName="7" name="PCPL KODE 5" queryTableFieldId="7" dataDxfId="115">
      <calculatedColumnFormula>IFERROR(VLOOKUP(CONCATENATE(Table43_1[[#This Row],[Kode BARANG Win2]],5),'Form Fix'!$A$6:$H$663,4,0),0)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20A3E-EB42-433D-82B9-D9ECDD12057D}" name="Table43" displayName="Table43" ref="A5:BU663" totalsRowShown="0" headerRowDxfId="114" dataDxfId="113">
  <autoFilter ref="A5:BU663" xr:uid="{9909E908-44A4-4933-9524-A5557017C88A}"/>
  <tableColumns count="73">
    <tableColumn id="55" xr3:uid="{CB3BF274-8DCE-41BB-9B32-A4A0E5160E9E}" name="CONCATENATE MAPPING" dataDxfId="112">
      <calculatedColumnFormula>CONCATENATE(Table43[[#This Row],[Kode BARANG Win2]],Table43[[#This Row],[No. Urut
Item Sama]])</calculatedColumnFormula>
    </tableColumn>
    <tableColumn id="40" xr3:uid="{2E1680E1-9639-4221-9BF8-7FA5425DC2EE}" name="No. Urut_x000a_Item Sama" dataDxfId="111"/>
    <tableColumn id="1" xr3:uid="{85FE288B-8541-4641-996B-E6A8A5F4A6D2}" name="NO" dataDxfId="110"/>
    <tableColumn id="2" xr3:uid="{4D00D15C-8CB3-45EB-B893-46E3D9DA7E7C}" name="Kode Pcpl" dataDxfId="109"/>
    <tableColumn id="3" xr3:uid="{A6940086-DCF1-4D70-AC15-4DDB5A20527D}" name="Klp Brg Pcpl" dataDxfId="108"/>
    <tableColumn id="71" xr3:uid="{DC84B735-6326-4AA2-920A-05A8AE2699CD}" name="Column4" dataDxfId="107"/>
    <tableColumn id="70" xr3:uid="{2C7C763F-A466-4A27-917B-484DB0179362}" name="Column3" dataDxfId="106"/>
    <tableColumn id="4" xr3:uid="{7868B435-2881-44F5-8127-2AC02BB8FF54}" name="Nama Barang Principle" dataDxfId="105"/>
    <tableColumn id="5" xr3:uid="{99EF5EBA-95A5-41BA-B5E2-F4186C4D7900}" name="ISI/CTN" dataDxfId="104"/>
    <tableColumn id="60" xr3:uid="{5958516F-260E-4067-B49A-D1FC7947E931}" name="Ket. Tambahan / Pembantu" dataDxfId="103"/>
    <tableColumn id="6" xr3:uid="{C1544D2E-EA97-44D5-93EC-E4EA2D3EB898}" name="SATUAN Fix Win" dataDxfId="102">
      <calculatedColumnFormula>Table43[[#This Row],[NamaJenisKemasan]]</calculatedColumnFormula>
    </tableColumn>
    <tableColumn id="25" xr3:uid="{B5B6B568-DDF2-46D3-84E9-AC1305514F44}" name="Nama Kelompok Win" dataDxfId="101">
      <calculatedColumnFormula>TRIM(CONCATENATE(Table43[[#This Row],[Nama            KLP]]," ",Table43[[#This Row],[Nama            Sub KLP]]))</calculatedColumnFormula>
    </tableColumn>
    <tableColumn id="26" xr3:uid="{A57EB52D-3F84-4191-BC9F-FA7B061662B6}" name="Kode Kelompok Win" dataDxfId="100">
      <calculatedColumnFormula>CONCATENATE(Table43[[#This Row],[kode  2 Digit                (hrf+No)]],Table43[[#This Row],[kode  2 Digit                (Nomor)]],Table43[[#This Row],[kode  1 Digit                (Nomor)]])</calculatedColumnFormula>
    </tableColumn>
    <tableColumn id="7" xr3:uid="{3824BF96-301D-4579-9E73-FFA266E5091C}" name="Kode BARANG Win2" dataDxfId="99">
      <calculatedColumnFormula>IF(AI6="",CONCATENATE(S6,U6,W6,Y6,AA6,AC6,AE6,AG6,Table43[[#This Row],[Tanda Kode Revisi]]),CONCATENATE(S6,U6,W6,Y6,AA6,AC6,AE6,AI6))</calculatedColumnFormula>
    </tableColumn>
    <tableColumn id="8" xr3:uid="{2295F7F9-3F13-4C88-A371-F469CABC65C0}" name="LEN 15" dataDxfId="98">
      <calculatedColumnFormula>LEN(N6)</calculatedColumnFormula>
    </tableColumn>
    <tableColumn id="9" xr3:uid="{3A8B9DDC-836C-4F5D-ABE0-9A18704E8F2F}" name="Nama Win" dataDxfId="97">
      <calculatedColumnFormula>IF(AH6&lt;&gt;"",TRIM(UPPER(CONCATENATE(R6," ",T6," ",V6," ",X6," ",Z6," ",AB6," ","X"," ",Table43[[#This Row],[ISI/CTN]]," ",AH6," ",AD6," ",AF6," ",AJ6))),TRIM(UPPER(CONCATENATE(R6," ",T6," ",V6," ",X6," ",Z6," ",AB6," ","X"," ",Table43[[#This Row],[ISI/CTN]]," ",AD6," ",AF6," ",AJ6))))</calculatedColumnFormula>
    </tableColumn>
    <tableColumn id="10" xr3:uid="{BEE43B47-D690-43AA-8283-32254C2DE99E}" name="LEN 50" dataDxfId="96">
      <calculatedColumnFormula>LEN(P6)</calculatedColumnFormula>
    </tableColumn>
    <tableColumn id="11" xr3:uid="{B9517A5B-A4FE-4920-9655-E18B7E3BE7B3}" name="Nama Pcpl                   " dataDxfId="95"/>
    <tableColumn id="12" xr3:uid="{AF1BD272-63C7-4A44-9EC4-86FD521AC3C0}" name="kode  2 Digit                (hrf+No)" dataDxfId="94"/>
    <tableColumn id="13" xr3:uid="{8C295EE0-F0E2-49B5-A761-589A78DB5AEC}" name="Nama            KLP" dataDxfId="93"/>
    <tableColumn id="14" xr3:uid="{C61799E4-4666-420E-88B5-D408C4D80BD2}" name="kode  2 Digit                (Nomor)" dataDxfId="92"/>
    <tableColumn id="15" xr3:uid="{5CAD4DC6-D575-46B3-9B7D-358D6277FEE6}" name="Nama            Sub KLP" dataDxfId="91"/>
    <tableColumn id="16" xr3:uid="{B8BC8B9E-7657-4472-B25A-8BC91823519D}" name="kode  1 Digit                (Nomor)" dataDxfId="90"/>
    <tableColumn id="43" xr3:uid="{E0F6FDBF-0C58-4435-B37E-8F4982576C03}" name="Nama            Sub KLP2" dataDxfId="89"/>
    <tableColumn id="42" xr3:uid="{BC6E6B7F-CB37-4E76-811E-777A47DBB0FB}" name="kode  1 Digit                (Nomor)5" dataDxfId="88"/>
    <tableColumn id="17" xr3:uid="{CC15E84F-43D6-499C-9B97-7393C2E08DEE}" name="Nama            Aroma/             Rasa" dataDxfId="87"/>
    <tableColumn id="18" xr3:uid="{92F50D0B-B8AF-46C8-8DED-8C4FCA3EAB32}" name="kode  2 Digit                (Nomor)2" dataDxfId="86"/>
    <tableColumn id="19" xr3:uid="{FBD2E431-C8B9-4504-B534-37D23CA8CF4E}" name="Nama            Gramasi atau Jumlah Pack per CTN" dataDxfId="85"/>
    <tableColumn id="20" xr3:uid="{8C441438-C2B9-478E-8C3E-B106D86B98E9}" name="kode  4 Digit                (Nomor)" dataDxfId="84"/>
    <tableColumn id="21" xr3:uid="{FA81B4D2-C91D-48D8-BC87-E2FF2A9C0EAC}" name="NamaJenisKemasan" dataDxfId="83"/>
    <tableColumn id="22" xr3:uid="{FE91392F-15C5-40A5-B22B-A44F3233104A}" name="kode  1 Digit                (Nomor)3" dataDxfId="82"/>
    <tableColumn id="23" xr3:uid="{E66B432C-699E-4075-A1B9-59A3F37C2ED1}" name="Nama            Promo" dataDxfId="81"/>
    <tableColumn id="24" xr3:uid="{55D14A62-2546-4E0B-8CD7-497CC4E2EA7C}" name="kode  1 Digit                (Nomor)4" dataDxfId="80"/>
    <tableColumn id="57" xr3:uid="{CF6FE0CF-0631-4633-B8AF-03043297F2FD}" name="Gunakan ini apabila item tersebut sachet" dataDxfId="79"/>
    <tableColumn id="58" xr3:uid="{DC3F0DB1-1038-4591-AB0F-345C6EAA5DC1}" name="kode  1 Digit                (Nomor)32" dataDxfId="78"/>
    <tableColumn id="56" xr3:uid="{DD067543-3BD1-4D38-AA6D-E35DA527C969}" name="KET TAMBAHAN2" dataDxfId="77"/>
    <tableColumn id="63" xr3:uid="{67C5621D-B599-47A5-8B2A-18B8B3857343}" name="KET. GOLONGAN" dataDxfId="76">
      <calculatedColumnFormula>Table43[[#This Row],[Column4]]</calculatedColumnFormula>
    </tableColumn>
    <tableColumn id="62" xr3:uid="{AE1DD367-C93E-4186-BDCE-3B52BF67AEC1}" name="kode  1 Digit_x000a_(Nomor)" dataDxfId="75"/>
    <tableColumn id="64" xr3:uid="{50C33980-9678-4F7D-BD39-DDBD132EEB0A}" name="Tanda Kode Revisi" dataDxfId="74"/>
    <tableColumn id="73" xr3:uid="{B58ECA90-B514-47D2-AF66-F31EFFC563C1}" name="Column6" dataDxfId="73">
      <calculatedColumnFormula>Table43[[#This Row],[ISI/CTN]]</calculatedColumnFormula>
    </tableColumn>
    <tableColumn id="27" xr3:uid="{43E29ECC-C19C-400E-8523-C52F4136D842}" name="Harga Beli Pcs_x000a_(-PPN)" dataDxfId="72">
      <calculatedColumnFormula>Table43[[#This Row],[Harga Jual Pcs GT
(-PPN)]]-(Table43[[#This Row],[Harga Jual Pcs GT
(-PPN)]]*6.5%)</calculatedColumnFormula>
    </tableColumn>
    <tableColumn id="28" xr3:uid="{D3F6C878-9638-485B-BFAE-77D46CA11DC2}" name="Harga Beli Krt_x000a_(- PPN)" dataDxfId="71">
      <calculatedColumnFormula>Table43[[#This Row],[Harga Beli Pcs
(-PPN)]]*Table43[[#This Row],[ISI/CTN]]</calculatedColumnFormula>
    </tableColumn>
    <tableColumn id="29" xr3:uid="{6BE5CD38-736C-4EFB-9026-7BD3DFD3FB0E}" name="Harga Beli Pcs_x000a_(+PPN)" dataDxfId="70">
      <calculatedColumnFormula>Table43[[#This Row],[Harga Beli Pcs
(-PPN)]]*1.11</calculatedColumnFormula>
    </tableColumn>
    <tableColumn id="30" xr3:uid="{B77BDD11-ED64-4F63-9206-D9675922BDB4}" name="Harga Beli Krt_x000a_(+PPN)" dataDxfId="69">
      <calculatedColumnFormula>Table43[[#This Row],[Harga Beli Krt
(- PPN)]]*1.11</calculatedColumnFormula>
    </tableColumn>
    <tableColumn id="31" xr3:uid="{C3E69A61-BD61-48F6-8D18-55EB5DF5AFBC}" name="Harga Jual Pcs GT_x000a_(-PPN)" dataDxfId="68"/>
    <tableColumn id="32" xr3:uid="{5B07EF52-741F-4643-B20A-812423EABCF9}" name="Harga Jual Krt GT_x000a_(- PPN)" dataDxfId="67">
      <calculatedColumnFormula>Table43[[#This Row],[Harga Jual Pcs GT
(-PPN)]]*Table43[[#This Row],[ISI/CTN]]</calculatedColumnFormula>
    </tableColumn>
    <tableColumn id="33" xr3:uid="{0E2BA47E-1713-4BC9-93D3-FBF6E131CC8A}" name="Harga Jual Pcs GT_x000a_(+PPN" dataDxfId="66">
      <calculatedColumnFormula>Table43[[#This Row],[Harga Jual Pcs GT
(-PPN)]]*1.11</calculatedColumnFormula>
    </tableColumn>
    <tableColumn id="34" xr3:uid="{0E6414C5-AD77-4BAB-9B8A-BDCF6CC4C0B1}" name="Harga Jual Krt GT_x000a_(+PPN)" dataDxfId="65">
      <calculatedColumnFormula>Table43[[#This Row],[Harga Jual Krt GT
(- PPN)]]*1.11</calculatedColumnFormula>
    </tableColumn>
    <tableColumn id="35" xr3:uid="{B3D28969-A331-4293-BC40-54C14E70428D}" name="Harga Jual Pcs MT_x000a_(-PPN)" dataDxfId="64">
      <calculatedColumnFormula>IFERROR(VLOOKUP(Table43[[#This Row],[Kode Pcpl]],'[1]FEB 2026'!$A$3:$X$312,24,0),0)</calculatedColumnFormula>
    </tableColumn>
    <tableColumn id="36" xr3:uid="{F0A0A596-FB37-4AF0-B84F-70D41FB9F986}" name="Harga Jual Krt MT_x000a_(- PPN)" dataDxfId="63">
      <calculatedColumnFormula>Table43[[#This Row],[Harga Jual Pcs MT
(-PPN)]]*Table43[[#This Row],[ISI/CTN]]</calculatedColumnFormula>
    </tableColumn>
    <tableColumn id="37" xr3:uid="{87A4BECE-CCD9-42F5-BA52-C2CAF9EF9027}" name="Harga Jual Pcs MT_x000a_(+PPN)" dataDxfId="62">
      <calculatedColumnFormula>Table43[[#This Row],[Harga Jual Pcs MT
(-PPN)]]*1.11</calculatedColumnFormula>
    </tableColumn>
    <tableColumn id="38" xr3:uid="{54EE3428-4D28-41F3-82D8-5739689EF53C}" name="Harga Jual Krt MT_x000a_(+PPN)" dataDxfId="61">
      <calculatedColumnFormula>Table43[[#This Row],[Harga Jual Pcs MT
(+PPN)]]*Table43[[#This Row],[ISI/CTN]]</calculatedColumnFormula>
    </tableColumn>
    <tableColumn id="68" xr3:uid="{482F0DC8-C8C9-48E9-BB1C-F0978224C8C9}" name="MARGIN" dataDxfId="60">
      <calculatedColumnFormula>(Table43[[#This Row],[Harga Jual Pcs GT
(-PPN)]]-Table43[[#This Row],[Harga Beli Pcs
(-PPN)]])/Table43[[#This Row],[Harga Jual Pcs GT
(-PPN)]]</calculatedColumnFormula>
    </tableColumn>
    <tableColumn id="65" xr3:uid="{E701E1CC-B6C9-4641-AE16-37709A7AAC65}" name="Column1" dataDxfId="59" dataCellStyle="Percent">
      <calculatedColumnFormula>Table43[[#This Row],[Harga Jual Pcs MT
(-PPN)]]-Table43[[#This Row],[Harga Beli Pcs
(-PPN)]]</calculatedColumnFormula>
    </tableColumn>
    <tableColumn id="66" xr3:uid="{FD2C5842-8F65-40CB-A9D2-ADC244321F91}" name="Column2" dataDxfId="58" dataCellStyle="Percent">
      <calculatedColumnFormula>Table43[[#This Row],[Column1]]/Table43[[#This Row],[Harga Jual Pcs MT
(-PPN)]]</calculatedColumnFormula>
    </tableColumn>
    <tableColumn id="39" xr3:uid="{E06EB49C-38D8-4E02-AC5A-6F862094C95E}" name="Efektif_x000a_Pembuatan" dataDxfId="57"/>
    <tableColumn id="41" xr3:uid="{7110AEF5-00F8-472F-9973-F8BE88DA785A}" name="Efektif Naik Harga" dataDxfId="56"/>
    <tableColumn id="44" xr3:uid="{0F69406A-F478-4BF7-BD19-F56D18C4FC8A}" name="Status_x000a_Pembuatan" dataDxfId="55">
      <calculatedColumnFormula>IF(TODAY()-Table43[[#This Row],[Efektif
Pembuatan]]&gt;60,"Lama","Baru")</calculatedColumnFormula>
    </tableColumn>
    <tableColumn id="47" xr3:uid="{35F46EAF-E490-4324-90D9-53EF4A0476DF}" name="Status_x000a_Harga" dataDxfId="54">
      <calculatedColumnFormula>IF(TODAY()-Table43[[#This Row],[Efektif Naik Harga]]&lt;30,"Naik","Sama")</calculatedColumnFormula>
    </tableColumn>
    <tableColumn id="67" xr3:uid="{ED5ECC77-228E-4FC9-9B92-66FC787F9B8F}" name="Status Barang" dataDxfId="53"/>
    <tableColumn id="45" xr3:uid="{E21CA75C-0180-4056-B79A-CBE7BED6F65B}" name="Mata Uang" dataDxfId="52">
      <calculatedColumnFormula>IF(Table43[[#This Row],[Kode BARANG Win2]]&lt;&gt;"","IDR","")</calculatedColumnFormula>
    </tableColumn>
    <tableColumn id="46" xr3:uid="{E926CFF0-EF62-4403-95B7-24CA3D12C195}" name="Kode_x000a_Golongan" dataDxfId="51">
      <calculatedColumnFormula>CONCATENATE(Table43[[#This Row],[kode  1 Digit
(Nomor)]],Table43[[#This Row],[kode  4 Digit                (Nomor)]])</calculatedColumnFormula>
    </tableColumn>
    <tableColumn id="61" xr3:uid="{51D1CF97-5A92-49AF-A8A1-B202BF611E79}" name="Nama Golongan" dataDxfId="50">
      <calculatedColumnFormula>Table43[[#This Row],[Nama            Gramasi atau Jumlah Pack per CTN]]</calculatedColumnFormula>
    </tableColumn>
    <tableColumn id="48" xr3:uid="{92975CD6-815A-445A-8C23-15D307D7EC58}" name="Kode PCPL To Win" dataDxfId="49"/>
    <tableColumn id="59" xr3:uid="{F44C1E1F-D2BD-4517-8D72-EAECBFE5567D}" name="Kode Jenis Produk" dataDxfId="48"/>
    <tableColumn id="49" xr3:uid="{11501F91-51E4-4C7D-8E98-0DF693090419}" name="SAT BSR" dataDxfId="47">
      <calculatedColumnFormula>IF(Table43[[#This Row],[SATUAN Fix Win]]&lt;&gt;"","KRT")</calculatedColumnFormula>
    </tableColumn>
    <tableColumn id="50" xr3:uid="{8EACBA93-F18B-4F78-ABD5-7BACC7444F4A}" name="GD" dataDxfId="46">
      <calculatedColumnFormula>IF(Table43[[#This Row],[SATUAN Fix Win]]&lt;&gt;"","GD01")</calculatedColumnFormula>
    </tableColumn>
    <tableColumn id="51" xr3:uid="{30FB878C-CFE7-4C65-A919-5818ED52D5FB}" name="Kode PRK" dataDxfId="45">
      <calculatedColumnFormula>IF(Table43[[#This Row],[SATUAN Fix Win]]&lt;&gt;"",11611)</calculatedColumnFormula>
    </tableColumn>
    <tableColumn id="52" xr3:uid="{F08059D0-B0A7-45F8-BD19-C933CD841F0C}" name="Kode PRK SJ" dataDxfId="44">
      <calculatedColumnFormula>IF(Table43[[#This Row],[SATUAN Fix Win]]&lt;&gt;"",11612)</calculatedColumnFormula>
    </tableColumn>
    <tableColumn id="53" xr3:uid="{EE9508A7-8F3E-4D36-8983-7EA9BD849C9E}" name="Kode Job" dataDxfId="43"/>
    <tableColumn id="54" xr3:uid="{78C77ED1-929C-4C56-B83E-7D78EF2AD224}" name="Approval" dataDxfId="42">
      <calculatedColumnFormula>IF(Table43[[#This Row],[SATUAN Fix Win]]&lt;&gt;"",1)</calculatedColumnFormula>
    </tableColumn>
    <tableColumn id="69" xr3:uid="{BA32F7A6-F3CA-4064-AD29-15A76CEC103E}" name="Nama Principle" dataDxfId="41"/>
    <tableColumn id="72" xr3:uid="{F3E1EA24-D84B-46CB-B023-74387CEF79DA}" name="Column5" dataDxfId="40">
      <calculatedColumnFormula>Table43[[#This Row],[ISI/CTN]]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5B53A-FE38-46FB-A5FA-320E124DB2E8}" name="Form_To_Win" displayName="Form_To_Win" ref="A1:AF161" tableType="queryTable" totalsRowShown="0">
  <autoFilter ref="A1:AF161" xr:uid="{6A85B53A-FE38-46FB-A5FA-320E124DB2E8}"/>
  <tableColumns count="32">
    <tableColumn id="1" xr3:uid="{2910643B-C448-42B8-9008-B71140777E60}" uniqueName="1" name="No. Urut_x000a_Item Sama" queryTableFieldId="1"/>
    <tableColumn id="2" xr3:uid="{439ED8AE-A3C1-4FA1-B6A6-C891357CAD42}" uniqueName="2" name="NO" queryTableFieldId="2"/>
    <tableColumn id="3" xr3:uid="{8D0EBBD4-169E-4272-ABF3-F2E2818D91A7}" uniqueName="3" name="Kode Pcpl" queryTableFieldId="3" dataDxfId="39"/>
    <tableColumn id="4" xr3:uid="{4339837B-25AE-416F-8A32-BD6D4FF86CEE}" uniqueName="4" name="Klp Brg Pcpl" queryTableFieldId="4" dataDxfId="38"/>
    <tableColumn id="5" xr3:uid="{B0F53A75-DFCD-4240-9696-5D81C9591EA4}" uniqueName="5" name="Nama Barang Principle" queryTableFieldId="5" dataDxfId="37"/>
    <tableColumn id="6" xr3:uid="{888F5ACA-92A0-4279-98E5-035507A9B545}" uniqueName="6" name="ISI/CTN" queryTableFieldId="6"/>
    <tableColumn id="7" xr3:uid="{88E2D5AA-218D-4271-8003-E6B78E7BD80C}" uniqueName="7" name="SATUAN Fix Win" queryTableFieldId="7" dataDxfId="36"/>
    <tableColumn id="8" xr3:uid="{5EFF0F93-3CD4-4D49-ACD0-EC48C04959BB}" uniqueName="8" name="Nama Kelompok Win" queryTableFieldId="8" dataDxfId="35"/>
    <tableColumn id="9" xr3:uid="{A595E7CA-DA20-4EC6-8B1A-F563B1475196}" uniqueName="9" name="Kode Kelompok Win" queryTableFieldId="9" dataDxfId="34"/>
    <tableColumn id="10" xr3:uid="{D196C971-2FE4-4DF0-BC77-37A5DC6E6080}" uniqueName="10" name="Kode BARANG Win2" queryTableFieldId="10" dataDxfId="33"/>
    <tableColumn id="11" xr3:uid="{E9ED0952-7BEE-45E9-850B-722F2D5A2FF3}" uniqueName="11" name="Nama Win" queryTableFieldId="11" dataDxfId="32"/>
    <tableColumn id="12" xr3:uid="{E4D43633-76D1-4479-9C8F-9C8A5B5661AC}" uniqueName="12" name="Harga Beli Pcs_x000a_(-PPN)" queryTableFieldId="12" dataDxfId="31"/>
    <tableColumn id="13" xr3:uid="{B14F65F0-1E40-4952-AA3C-E8537971F043}" uniqueName="13" name="Harga Beli Krt_x000a_(- PPN)" queryTableFieldId="13" dataDxfId="30"/>
    <tableColumn id="14" xr3:uid="{93E12BF1-8BFA-4E1B-B185-8DE635510D64}" uniqueName="14" name="Harga Jual Pcs GT_x000a_(-PPN)" queryTableFieldId="14" dataDxfId="29"/>
    <tableColumn id="15" xr3:uid="{94B7C63D-6711-47AE-9A69-3B3FE6FEE85A}" uniqueName="15" name="Harga Jual Krt GT_x000a_(- PPN)" queryTableFieldId="15" dataDxfId="28"/>
    <tableColumn id="16" xr3:uid="{D61F4D8C-B229-4926-AB62-94034EEA84E9}" uniqueName="16" name="Harga Jual Pcs MT_x000a_(-PPN)" queryTableFieldId="16" dataDxfId="27"/>
    <tableColumn id="17" xr3:uid="{5B3A011A-BA71-4277-9E58-4B18FDD50AC8}" uniqueName="17" name="Harga Jual Krt MT_x000a_(- PPN)" queryTableFieldId="17" dataDxfId="26"/>
    <tableColumn id="18" xr3:uid="{DF9056B3-ED60-4257-AAD6-DBF274EA4118}" uniqueName="18" name="Efektif_x000a_Pembuatan" queryTableFieldId="18" dataDxfId="25"/>
    <tableColumn id="19" xr3:uid="{4A7FE14D-9970-42A8-9FF2-9FD9F158C10B}" uniqueName="19" name="Efektif Naik Harga" queryTableFieldId="19"/>
    <tableColumn id="20" xr3:uid="{AA1D7A12-45BE-437B-8DAC-248BCBAE5E19}" uniqueName="20" name="Status_x000a_Pembuatan" queryTableFieldId="20" dataDxfId="24"/>
    <tableColumn id="21" xr3:uid="{F61C894D-165F-46BC-9020-BF36BCD38322}" uniqueName="21" name="Status_x000a_Harga" queryTableFieldId="21" dataDxfId="23"/>
    <tableColumn id="22" xr3:uid="{F64DD3B8-D46A-4EC3-AF16-85E5816AA426}" uniqueName="22" name="Mata Uang" queryTableFieldId="22" dataDxfId="22"/>
    <tableColumn id="23" xr3:uid="{7AB75043-84CF-4828-9F5F-9A5FE75C13D1}" uniqueName="23" name="Kode_x000a_Golongan" queryTableFieldId="23"/>
    <tableColumn id="24" xr3:uid="{6F01951B-8DFD-4B2E-ACFB-676B4CC86C9F}" uniqueName="24" name="Nama Golongan" queryTableFieldId="24"/>
    <tableColumn id="25" xr3:uid="{29B23A7E-C1F2-4526-A15E-2DEA00C423A0}" uniqueName="25" name="Kode PCPL To Win" queryTableFieldId="25" dataDxfId="21"/>
    <tableColumn id="26" xr3:uid="{2C5F50FE-4D60-4F8C-8791-2B13EF198CB1}" uniqueName="26" name="Kode Jenis Produk" queryTableFieldId="26" dataDxfId="20"/>
    <tableColumn id="27" xr3:uid="{FC36F7D7-DB67-4E79-B10B-F8DD6CE666B1}" uniqueName="27" name="SAT BSR" queryTableFieldId="27" dataDxfId="19"/>
    <tableColumn id="28" xr3:uid="{4A72BC0F-5F5D-43B1-ACAD-E858683FF259}" uniqueName="28" name="GD" queryTableFieldId="28" dataDxfId="18"/>
    <tableColumn id="29" xr3:uid="{F92815FB-E249-4F57-A943-E2C247B44507}" uniqueName="29" name="Kode PRK" queryTableFieldId="29"/>
    <tableColumn id="30" xr3:uid="{B0D294D7-A58B-4F19-AE34-0287811BC5E2}" uniqueName="30" name="Kode PRK SJ" queryTableFieldId="30"/>
    <tableColumn id="31" xr3:uid="{0759D6F2-1563-463F-8AE6-6C0ED4C0A848}" uniqueName="31" name="Kode Job" queryTableFieldId="31"/>
    <tableColumn id="32" xr3:uid="{7DA2D50E-4059-4E68-BDF6-321C949619F4}" uniqueName="32" name="Approval" queryTableField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75F8DE-CB7C-4308-A691-9E3941D53B3E}" name="Table6" displayName="Table6" ref="A1:F30" totalsRowShown="0" headerRowDxfId="17">
  <autoFilter ref="A1:F30" xr:uid="{F875F8DE-CB7C-4308-A691-9E3941D53B3E}"/>
  <tableColumns count="6">
    <tableColumn id="6" xr3:uid="{57DA8C82-ABFB-4A34-9B5F-44B7F0DAEC8F}" name="NO." dataDxfId="16"/>
    <tableColumn id="1" xr3:uid="{B77CF1CA-DDD6-404E-9FD8-B5C684B9DF8E}" name="SM" dataDxfId="15"/>
    <tableColumn id="2" xr3:uid="{58D54B12-50C5-4B06-833A-679BA1CA60EC}" name="GOLONGAN" dataDxfId="14"/>
    <tableColumn id="3" xr3:uid="{87474CC8-BA21-433D-889A-232E06A10667}" name="PRINCIPAL"/>
    <tableColumn id="4" xr3:uid="{D0F69691-FD9B-4704-A53F-FBD77C8C83F9}" name="Nama Pcpl                   " dataDxfId="13"/>
    <tableColumn id="5" xr3:uid="{4098D521-36EB-4C06-8659-70F47E137D16}" name="kode  2 Digit                (hrf+No)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B64-E8D9-4959-8201-E20D943A4964}">
  <dimension ref="A3:G149"/>
  <sheetViews>
    <sheetView topLeftCell="A34" workbookViewId="0">
      <selection activeCell="A4" sqref="A4:D149"/>
    </sheetView>
  </sheetViews>
  <sheetFormatPr defaultRowHeight="15"/>
  <cols>
    <col min="1" max="1" width="23.85546875" bestFit="1" customWidth="1"/>
    <col min="2" max="2" width="15.28515625" customWidth="1"/>
    <col min="3" max="3" width="61.42578125" bestFit="1" customWidth="1"/>
    <col min="4" max="4" width="12.140625" bestFit="1" customWidth="1"/>
    <col min="5" max="5" width="13" bestFit="1" customWidth="1"/>
    <col min="6" max="6" width="13.28515625" style="39" customWidth="1"/>
    <col min="7" max="7" width="16.5703125" style="39" bestFit="1" customWidth="1"/>
  </cols>
  <sheetData>
    <row r="3" spans="1:7" ht="40.15" customHeight="1">
      <c r="A3" s="29" t="s">
        <v>148</v>
      </c>
      <c r="B3" s="29" t="s">
        <v>2</v>
      </c>
      <c r="C3" s="29" t="s">
        <v>3</v>
      </c>
      <c r="D3" s="29" t="s">
        <v>4</v>
      </c>
      <c r="E3" s="29" t="s">
        <v>1</v>
      </c>
      <c r="F3" s="40" t="s">
        <v>5</v>
      </c>
      <c r="G3" s="40" t="s">
        <v>6</v>
      </c>
    </row>
    <row r="4" spans="1:7">
      <c r="A4" t="s">
        <v>191</v>
      </c>
      <c r="B4">
        <v>10002</v>
      </c>
      <c r="C4" t="s">
        <v>207</v>
      </c>
      <c r="D4">
        <v>1000</v>
      </c>
      <c r="E4" t="s">
        <v>353</v>
      </c>
      <c r="F4" s="39">
        <v>3210000</v>
      </c>
      <c r="G4" s="39">
        <f t="shared" ref="G4:G14" si="0">F4/D4</f>
        <v>3210</v>
      </c>
    </row>
    <row r="5" spans="1:7">
      <c r="A5" t="s">
        <v>191</v>
      </c>
      <c r="B5">
        <v>10063</v>
      </c>
      <c r="C5" t="s">
        <v>208</v>
      </c>
      <c r="D5">
        <v>300</v>
      </c>
      <c r="E5" t="s">
        <v>354</v>
      </c>
      <c r="F5" s="39">
        <v>600000</v>
      </c>
      <c r="G5" s="39">
        <f t="shared" si="0"/>
        <v>2000</v>
      </c>
    </row>
    <row r="6" spans="1:7">
      <c r="A6" t="s">
        <v>191</v>
      </c>
      <c r="B6">
        <v>10074</v>
      </c>
      <c r="C6" t="s">
        <v>209</v>
      </c>
      <c r="D6">
        <v>360</v>
      </c>
      <c r="E6" t="s">
        <v>354</v>
      </c>
      <c r="F6" s="39">
        <v>1116000</v>
      </c>
      <c r="G6" s="39">
        <f t="shared" si="0"/>
        <v>3100</v>
      </c>
    </row>
    <row r="7" spans="1:7">
      <c r="A7" t="s">
        <v>191</v>
      </c>
      <c r="B7">
        <v>10075</v>
      </c>
      <c r="C7" t="s">
        <v>210</v>
      </c>
      <c r="D7">
        <v>360</v>
      </c>
      <c r="E7" t="s">
        <v>354</v>
      </c>
      <c r="F7" s="39">
        <v>1116000</v>
      </c>
      <c r="G7" s="39">
        <f t="shared" si="0"/>
        <v>3100</v>
      </c>
    </row>
    <row r="8" spans="1:7">
      <c r="A8" t="s">
        <v>191</v>
      </c>
      <c r="B8">
        <v>10077</v>
      </c>
      <c r="C8" t="s">
        <v>211</v>
      </c>
      <c r="D8">
        <v>300</v>
      </c>
      <c r="E8" t="s">
        <v>354</v>
      </c>
      <c r="F8" s="39">
        <v>930000</v>
      </c>
      <c r="G8" s="39">
        <f t="shared" si="0"/>
        <v>3100</v>
      </c>
    </row>
    <row r="9" spans="1:7">
      <c r="A9" t="s">
        <v>191</v>
      </c>
      <c r="B9">
        <v>10110</v>
      </c>
      <c r="C9" t="s">
        <v>212</v>
      </c>
      <c r="D9">
        <v>1000</v>
      </c>
      <c r="E9" t="s">
        <v>353</v>
      </c>
      <c r="F9" s="39">
        <v>4036000</v>
      </c>
      <c r="G9" s="39">
        <f t="shared" si="0"/>
        <v>4036</v>
      </c>
    </row>
    <row r="10" spans="1:7">
      <c r="A10" t="s">
        <v>191</v>
      </c>
      <c r="B10">
        <v>10112</v>
      </c>
      <c r="C10" t="s">
        <v>213</v>
      </c>
      <c r="D10">
        <v>360</v>
      </c>
      <c r="E10" t="s">
        <v>354</v>
      </c>
      <c r="F10" s="39">
        <v>1116000</v>
      </c>
      <c r="G10" s="39">
        <f t="shared" si="0"/>
        <v>3100</v>
      </c>
    </row>
    <row r="11" spans="1:7">
      <c r="A11" t="s">
        <v>191</v>
      </c>
      <c r="B11">
        <v>10134</v>
      </c>
      <c r="C11" t="s">
        <v>214</v>
      </c>
      <c r="D11">
        <v>420</v>
      </c>
      <c r="E11" t="s">
        <v>354</v>
      </c>
      <c r="F11" s="39">
        <v>1115998.8</v>
      </c>
      <c r="G11" s="39">
        <f t="shared" si="0"/>
        <v>2657.1400000000003</v>
      </c>
    </row>
    <row r="12" spans="1:7">
      <c r="A12" t="s">
        <v>191</v>
      </c>
      <c r="B12">
        <v>10135</v>
      </c>
      <c r="C12" t="s">
        <v>215</v>
      </c>
      <c r="D12">
        <v>420</v>
      </c>
      <c r="E12" t="s">
        <v>354</v>
      </c>
      <c r="F12" s="39">
        <v>1115998.8</v>
      </c>
      <c r="G12" s="39">
        <f t="shared" si="0"/>
        <v>2657.1400000000003</v>
      </c>
    </row>
    <row r="13" spans="1:7">
      <c r="A13" t="s">
        <v>192</v>
      </c>
      <c r="B13">
        <v>10039</v>
      </c>
      <c r="C13" t="s">
        <v>216</v>
      </c>
      <c r="D13">
        <v>270</v>
      </c>
      <c r="E13" t="s">
        <v>354</v>
      </c>
      <c r="F13" s="39">
        <v>558090</v>
      </c>
      <c r="G13" s="39">
        <f t="shared" si="0"/>
        <v>2067</v>
      </c>
    </row>
    <row r="14" spans="1:7">
      <c r="A14" t="s">
        <v>192</v>
      </c>
      <c r="B14">
        <v>10048</v>
      </c>
      <c r="C14" t="s">
        <v>217</v>
      </c>
      <c r="D14">
        <v>180</v>
      </c>
      <c r="E14" t="s">
        <v>354</v>
      </c>
      <c r="F14" s="39">
        <v>372060</v>
      </c>
      <c r="G14" s="39">
        <f t="shared" si="0"/>
        <v>2067</v>
      </c>
    </row>
    <row r="15" spans="1:7">
      <c r="A15" t="s">
        <v>192</v>
      </c>
      <c r="B15">
        <v>10067</v>
      </c>
      <c r="C15" t="s">
        <v>218</v>
      </c>
      <c r="D15">
        <v>6</v>
      </c>
      <c r="E15" t="s">
        <v>355</v>
      </c>
      <c r="F15" s="39">
        <v>213666</v>
      </c>
      <c r="G15" s="39">
        <f t="shared" ref="G15:G46" si="1">F15/D15</f>
        <v>35611</v>
      </c>
    </row>
    <row r="16" spans="1:7">
      <c r="A16" t="s">
        <v>192</v>
      </c>
      <c r="B16">
        <v>10081</v>
      </c>
      <c r="C16" t="s">
        <v>219</v>
      </c>
      <c r="D16">
        <v>6</v>
      </c>
      <c r="E16" t="s">
        <v>355</v>
      </c>
      <c r="F16" s="39">
        <v>121554</v>
      </c>
      <c r="G16" s="39">
        <f t="shared" si="1"/>
        <v>20259</v>
      </c>
    </row>
    <row r="17" spans="1:7">
      <c r="A17" t="s">
        <v>192</v>
      </c>
      <c r="B17">
        <v>10089</v>
      </c>
      <c r="C17" t="s">
        <v>220</v>
      </c>
      <c r="D17">
        <v>25</v>
      </c>
      <c r="E17" t="s">
        <v>356</v>
      </c>
      <c r="F17" s="39">
        <v>152275</v>
      </c>
      <c r="G17" s="39">
        <f t="shared" si="1"/>
        <v>6091</v>
      </c>
    </row>
    <row r="18" spans="1:7">
      <c r="A18" t="s">
        <v>192</v>
      </c>
      <c r="B18">
        <v>10090</v>
      </c>
      <c r="C18" t="s">
        <v>221</v>
      </c>
      <c r="D18">
        <v>6</v>
      </c>
      <c r="E18" t="s">
        <v>355</v>
      </c>
      <c r="F18" s="39">
        <v>121554</v>
      </c>
      <c r="G18" s="39">
        <f t="shared" si="1"/>
        <v>20259</v>
      </c>
    </row>
    <row r="19" spans="1:7">
      <c r="A19" t="s">
        <v>192</v>
      </c>
      <c r="B19">
        <v>10092</v>
      </c>
      <c r="C19" t="s">
        <v>222</v>
      </c>
      <c r="D19">
        <v>25</v>
      </c>
      <c r="E19" t="s">
        <v>356</v>
      </c>
      <c r="F19" s="39">
        <v>152275</v>
      </c>
      <c r="G19" s="39">
        <f t="shared" si="1"/>
        <v>6091</v>
      </c>
    </row>
    <row r="20" spans="1:7">
      <c r="A20" t="s">
        <v>192</v>
      </c>
      <c r="B20">
        <v>10094</v>
      </c>
      <c r="C20" t="s">
        <v>223</v>
      </c>
      <c r="D20">
        <v>6</v>
      </c>
      <c r="E20" t="s">
        <v>355</v>
      </c>
      <c r="F20" s="39">
        <v>213666</v>
      </c>
      <c r="G20" s="39">
        <f t="shared" si="1"/>
        <v>35611</v>
      </c>
    </row>
    <row r="21" spans="1:7">
      <c r="A21" t="s">
        <v>192</v>
      </c>
      <c r="B21">
        <v>10096</v>
      </c>
      <c r="C21" t="s">
        <v>224</v>
      </c>
      <c r="D21">
        <v>25</v>
      </c>
      <c r="E21" t="s">
        <v>356</v>
      </c>
      <c r="F21" s="39">
        <v>152275</v>
      </c>
      <c r="G21" s="39">
        <f t="shared" si="1"/>
        <v>6091</v>
      </c>
    </row>
    <row r="22" spans="1:7">
      <c r="A22" t="s">
        <v>192</v>
      </c>
      <c r="B22">
        <v>10097</v>
      </c>
      <c r="C22" t="s">
        <v>225</v>
      </c>
      <c r="D22">
        <v>25</v>
      </c>
      <c r="E22" t="s">
        <v>356</v>
      </c>
      <c r="F22" s="39">
        <v>152275</v>
      </c>
      <c r="G22" s="39">
        <f t="shared" si="1"/>
        <v>6091</v>
      </c>
    </row>
    <row r="23" spans="1:7">
      <c r="A23" t="s">
        <v>192</v>
      </c>
      <c r="B23">
        <v>10098</v>
      </c>
      <c r="C23" t="s">
        <v>226</v>
      </c>
      <c r="D23">
        <v>6</v>
      </c>
      <c r="E23" t="s">
        <v>355</v>
      </c>
      <c r="F23" s="39">
        <v>121554</v>
      </c>
      <c r="G23" s="39">
        <f t="shared" si="1"/>
        <v>20259</v>
      </c>
    </row>
    <row r="24" spans="1:7">
      <c r="A24" t="s">
        <v>192</v>
      </c>
      <c r="B24">
        <v>10107</v>
      </c>
      <c r="C24" t="s">
        <v>227</v>
      </c>
      <c r="D24">
        <v>270</v>
      </c>
      <c r="E24" t="s">
        <v>354</v>
      </c>
      <c r="F24" s="39">
        <v>558090</v>
      </c>
      <c r="G24" s="39">
        <f t="shared" si="1"/>
        <v>2067</v>
      </c>
    </row>
    <row r="25" spans="1:7">
      <c r="A25" t="s">
        <v>192</v>
      </c>
      <c r="B25">
        <v>10114</v>
      </c>
      <c r="C25" t="s">
        <v>228</v>
      </c>
      <c r="D25">
        <v>25</v>
      </c>
      <c r="E25" t="s">
        <v>356</v>
      </c>
      <c r="F25" s="39">
        <v>164000</v>
      </c>
      <c r="G25" s="39">
        <f t="shared" si="1"/>
        <v>6560</v>
      </c>
    </row>
    <row r="26" spans="1:7">
      <c r="A26" t="s">
        <v>192</v>
      </c>
      <c r="B26">
        <v>10115</v>
      </c>
      <c r="C26" t="s">
        <v>229</v>
      </c>
      <c r="D26">
        <v>270</v>
      </c>
      <c r="E26" t="s">
        <v>354</v>
      </c>
      <c r="F26" s="39">
        <v>748170</v>
      </c>
      <c r="G26" s="39">
        <f t="shared" si="1"/>
        <v>2771</v>
      </c>
    </row>
    <row r="27" spans="1:7">
      <c r="A27" t="s">
        <v>192</v>
      </c>
      <c r="B27">
        <v>10117</v>
      </c>
      <c r="C27" t="s">
        <v>230</v>
      </c>
      <c r="D27">
        <v>25</v>
      </c>
      <c r="E27" t="s">
        <v>356</v>
      </c>
      <c r="F27" s="39">
        <v>164000</v>
      </c>
      <c r="G27" s="39">
        <f t="shared" si="1"/>
        <v>6560</v>
      </c>
    </row>
    <row r="28" spans="1:7">
      <c r="A28" t="s">
        <v>192</v>
      </c>
      <c r="B28">
        <v>10123</v>
      </c>
      <c r="C28" t="s">
        <v>231</v>
      </c>
      <c r="D28">
        <v>25</v>
      </c>
      <c r="E28" t="s">
        <v>356</v>
      </c>
      <c r="F28" s="39">
        <v>152275</v>
      </c>
      <c r="G28" s="39">
        <f t="shared" si="1"/>
        <v>6091</v>
      </c>
    </row>
    <row r="29" spans="1:7">
      <c r="A29" t="s">
        <v>192</v>
      </c>
      <c r="B29">
        <v>600001</v>
      </c>
      <c r="C29" t="s">
        <v>232</v>
      </c>
      <c r="D29">
        <v>25</v>
      </c>
      <c r="E29" t="s">
        <v>357</v>
      </c>
      <c r="F29" s="39">
        <v>152275</v>
      </c>
      <c r="G29" s="39">
        <f t="shared" si="1"/>
        <v>6091</v>
      </c>
    </row>
    <row r="30" spans="1:7">
      <c r="A30" t="s">
        <v>193</v>
      </c>
      <c r="B30">
        <v>10106</v>
      </c>
      <c r="C30" t="s">
        <v>233</v>
      </c>
      <c r="D30">
        <v>60</v>
      </c>
      <c r="E30" t="s">
        <v>358</v>
      </c>
      <c r="F30" s="39">
        <v>1525740</v>
      </c>
      <c r="G30" s="39">
        <f t="shared" si="1"/>
        <v>25429</v>
      </c>
    </row>
    <row r="31" spans="1:7">
      <c r="A31" t="s">
        <v>194</v>
      </c>
      <c r="B31">
        <v>10102</v>
      </c>
      <c r="C31" t="s">
        <v>234</v>
      </c>
      <c r="D31">
        <v>300</v>
      </c>
      <c r="E31" t="s">
        <v>354</v>
      </c>
      <c r="F31" s="39">
        <v>832500</v>
      </c>
      <c r="G31" s="39">
        <f t="shared" si="1"/>
        <v>2775</v>
      </c>
    </row>
    <row r="32" spans="1:7">
      <c r="A32" t="s">
        <v>194</v>
      </c>
      <c r="B32">
        <v>10108</v>
      </c>
      <c r="C32" t="s">
        <v>235</v>
      </c>
      <c r="D32">
        <v>24</v>
      </c>
      <c r="E32" t="s">
        <v>359</v>
      </c>
      <c r="F32" s="39">
        <v>484368</v>
      </c>
      <c r="G32" s="39">
        <f t="shared" si="1"/>
        <v>20182</v>
      </c>
    </row>
    <row r="33" spans="1:7">
      <c r="A33" t="s">
        <v>194</v>
      </c>
      <c r="B33">
        <v>10109</v>
      </c>
      <c r="C33" t="s">
        <v>236</v>
      </c>
      <c r="D33">
        <v>300</v>
      </c>
      <c r="E33" t="s">
        <v>354</v>
      </c>
      <c r="F33" s="39">
        <v>832500</v>
      </c>
      <c r="G33" s="39">
        <f t="shared" si="1"/>
        <v>2775</v>
      </c>
    </row>
    <row r="34" spans="1:7">
      <c r="A34" t="s">
        <v>194</v>
      </c>
      <c r="B34">
        <v>10113</v>
      </c>
      <c r="C34" t="s">
        <v>237</v>
      </c>
      <c r="D34">
        <v>24</v>
      </c>
      <c r="E34" t="s">
        <v>359</v>
      </c>
      <c r="F34" s="39">
        <v>348744</v>
      </c>
      <c r="G34" s="39">
        <f t="shared" si="1"/>
        <v>14531</v>
      </c>
    </row>
    <row r="35" spans="1:7">
      <c r="A35" t="s">
        <v>195</v>
      </c>
      <c r="B35">
        <v>10066</v>
      </c>
      <c r="C35" t="s">
        <v>238</v>
      </c>
      <c r="D35">
        <v>1000</v>
      </c>
      <c r="E35" t="s">
        <v>353</v>
      </c>
      <c r="F35" s="39">
        <v>2400000</v>
      </c>
      <c r="G35" s="39">
        <f t="shared" si="1"/>
        <v>2400</v>
      </c>
    </row>
    <row r="36" spans="1:7">
      <c r="A36" t="s">
        <v>195</v>
      </c>
      <c r="B36">
        <v>10099</v>
      </c>
      <c r="C36" t="s">
        <v>239</v>
      </c>
      <c r="D36">
        <v>300</v>
      </c>
      <c r="E36" t="s">
        <v>360</v>
      </c>
      <c r="F36" s="39">
        <v>720000</v>
      </c>
      <c r="G36" s="39">
        <f t="shared" si="1"/>
        <v>2400</v>
      </c>
    </row>
    <row r="37" spans="1:7">
      <c r="A37" t="s">
        <v>196</v>
      </c>
      <c r="B37">
        <v>10004</v>
      </c>
      <c r="C37" t="s">
        <v>240</v>
      </c>
      <c r="D37">
        <v>1000</v>
      </c>
      <c r="E37" t="s">
        <v>353</v>
      </c>
      <c r="F37" s="39">
        <v>1875000</v>
      </c>
      <c r="G37" s="39">
        <f t="shared" si="1"/>
        <v>1875</v>
      </c>
    </row>
    <row r="38" spans="1:7">
      <c r="A38" t="s">
        <v>196</v>
      </c>
      <c r="B38">
        <v>10042</v>
      </c>
      <c r="C38" t="s">
        <v>241</v>
      </c>
      <c r="D38">
        <v>1000</v>
      </c>
      <c r="E38" t="s">
        <v>353</v>
      </c>
      <c r="F38" s="39">
        <v>1400000</v>
      </c>
      <c r="G38" s="39">
        <f t="shared" si="1"/>
        <v>1400</v>
      </c>
    </row>
    <row r="39" spans="1:7">
      <c r="A39" t="s">
        <v>197</v>
      </c>
      <c r="B39">
        <v>10029</v>
      </c>
      <c r="C39" t="s">
        <v>242</v>
      </c>
      <c r="D39">
        <v>48</v>
      </c>
      <c r="E39" t="s">
        <v>359</v>
      </c>
      <c r="F39" s="39">
        <v>1037232</v>
      </c>
      <c r="G39" s="39">
        <f t="shared" si="1"/>
        <v>21609</v>
      </c>
    </row>
    <row r="40" spans="1:7">
      <c r="A40" t="s">
        <v>197</v>
      </c>
      <c r="B40">
        <v>10030</v>
      </c>
      <c r="C40" t="s">
        <v>243</v>
      </c>
      <c r="D40">
        <v>48</v>
      </c>
      <c r="E40" t="s">
        <v>359</v>
      </c>
      <c r="F40" s="39">
        <v>711120</v>
      </c>
      <c r="G40" s="39">
        <f t="shared" si="1"/>
        <v>14815</v>
      </c>
    </row>
    <row r="41" spans="1:7">
      <c r="A41" t="s">
        <v>197</v>
      </c>
      <c r="B41">
        <v>10031</v>
      </c>
      <c r="C41" t="s">
        <v>244</v>
      </c>
      <c r="D41">
        <v>300</v>
      </c>
      <c r="E41" t="s">
        <v>354</v>
      </c>
      <c r="F41" s="39">
        <v>826500</v>
      </c>
      <c r="G41" s="39">
        <f t="shared" si="1"/>
        <v>2755</v>
      </c>
    </row>
    <row r="42" spans="1:7">
      <c r="A42" t="s">
        <v>197</v>
      </c>
      <c r="B42">
        <v>10061</v>
      </c>
      <c r="C42" t="s">
        <v>245</v>
      </c>
      <c r="D42">
        <v>48</v>
      </c>
      <c r="E42" t="s">
        <v>359</v>
      </c>
      <c r="F42" s="39">
        <v>711120</v>
      </c>
      <c r="G42" s="39">
        <f t="shared" si="1"/>
        <v>14815</v>
      </c>
    </row>
    <row r="43" spans="1:7">
      <c r="A43" t="s">
        <v>197</v>
      </c>
      <c r="B43">
        <v>10086</v>
      </c>
      <c r="C43" t="s">
        <v>246</v>
      </c>
      <c r="D43">
        <v>300</v>
      </c>
      <c r="E43" t="s">
        <v>354</v>
      </c>
      <c r="F43" s="39">
        <v>826500</v>
      </c>
      <c r="G43" s="39">
        <f t="shared" si="1"/>
        <v>2755</v>
      </c>
    </row>
    <row r="44" spans="1:7">
      <c r="A44" t="s">
        <v>197</v>
      </c>
      <c r="B44">
        <v>10100</v>
      </c>
      <c r="C44" t="s">
        <v>247</v>
      </c>
      <c r="D44">
        <v>48</v>
      </c>
      <c r="E44" t="s">
        <v>359</v>
      </c>
      <c r="F44" s="39">
        <v>362880</v>
      </c>
      <c r="G44" s="39">
        <f t="shared" si="1"/>
        <v>7560</v>
      </c>
    </row>
    <row r="45" spans="1:7">
      <c r="A45" t="s">
        <v>197</v>
      </c>
      <c r="B45">
        <v>10101</v>
      </c>
      <c r="C45" t="s">
        <v>248</v>
      </c>
      <c r="D45">
        <v>48</v>
      </c>
      <c r="E45" t="s">
        <v>359</v>
      </c>
      <c r="F45" s="39">
        <v>362880</v>
      </c>
      <c r="G45" s="39">
        <f t="shared" si="1"/>
        <v>7560</v>
      </c>
    </row>
    <row r="46" spans="1:7">
      <c r="A46" t="s">
        <v>197</v>
      </c>
      <c r="B46">
        <v>10120</v>
      </c>
      <c r="C46" t="s">
        <v>249</v>
      </c>
      <c r="D46">
        <v>48</v>
      </c>
      <c r="E46" t="s">
        <v>359</v>
      </c>
      <c r="F46" s="39">
        <v>711120</v>
      </c>
      <c r="G46" s="39">
        <f t="shared" si="1"/>
        <v>14815</v>
      </c>
    </row>
    <row r="47" spans="1:7">
      <c r="A47" t="s">
        <v>197</v>
      </c>
      <c r="B47">
        <v>10132</v>
      </c>
      <c r="C47" t="s">
        <v>250</v>
      </c>
      <c r="D47">
        <v>264</v>
      </c>
      <c r="E47" t="s">
        <v>354</v>
      </c>
      <c r="F47" s="39">
        <v>606408</v>
      </c>
      <c r="G47" s="39">
        <f t="shared" ref="G47:G78" si="2">F47/D47</f>
        <v>2297</v>
      </c>
    </row>
    <row r="48" spans="1:7">
      <c r="A48" t="s">
        <v>197</v>
      </c>
      <c r="B48">
        <v>10133</v>
      </c>
      <c r="C48" t="s">
        <v>251</v>
      </c>
      <c r="D48">
        <v>330</v>
      </c>
      <c r="E48" t="s">
        <v>354</v>
      </c>
      <c r="F48" s="39">
        <v>826650</v>
      </c>
      <c r="G48" s="39">
        <f t="shared" si="2"/>
        <v>2505</v>
      </c>
    </row>
    <row r="49" spans="1:7">
      <c r="A49" t="s">
        <v>198</v>
      </c>
      <c r="B49">
        <v>10018</v>
      </c>
      <c r="C49" t="s">
        <v>252</v>
      </c>
      <c r="D49">
        <v>144</v>
      </c>
      <c r="E49" t="s">
        <v>353</v>
      </c>
      <c r="F49" s="39">
        <v>2203200</v>
      </c>
      <c r="G49" s="39">
        <f t="shared" si="2"/>
        <v>15300</v>
      </c>
    </row>
    <row r="50" spans="1:7">
      <c r="A50" t="s">
        <v>198</v>
      </c>
      <c r="B50">
        <v>10082</v>
      </c>
      <c r="C50" t="s">
        <v>253</v>
      </c>
      <c r="D50">
        <v>100</v>
      </c>
      <c r="E50" t="s">
        <v>358</v>
      </c>
      <c r="F50" s="39">
        <v>1062500</v>
      </c>
      <c r="G50" s="39">
        <f t="shared" si="2"/>
        <v>10625</v>
      </c>
    </row>
    <row r="51" spans="1:7">
      <c r="A51" t="s">
        <v>198</v>
      </c>
      <c r="B51">
        <v>10083</v>
      </c>
      <c r="C51" t="s">
        <v>254</v>
      </c>
      <c r="D51">
        <v>100</v>
      </c>
      <c r="E51" t="s">
        <v>358</v>
      </c>
      <c r="F51" s="39">
        <v>1062500</v>
      </c>
      <c r="G51" s="39">
        <f t="shared" si="2"/>
        <v>10625</v>
      </c>
    </row>
    <row r="52" spans="1:7">
      <c r="A52" t="s">
        <v>199</v>
      </c>
      <c r="B52">
        <v>12001</v>
      </c>
      <c r="C52" t="s">
        <v>255</v>
      </c>
      <c r="D52">
        <v>1000</v>
      </c>
      <c r="E52" t="s">
        <v>353</v>
      </c>
      <c r="F52" s="39">
        <v>1980000</v>
      </c>
      <c r="G52" s="39">
        <f t="shared" si="2"/>
        <v>1980</v>
      </c>
    </row>
    <row r="53" spans="1:7">
      <c r="A53" t="s">
        <v>199</v>
      </c>
      <c r="B53">
        <v>12009</v>
      </c>
      <c r="C53" t="s">
        <v>256</v>
      </c>
      <c r="D53">
        <v>360</v>
      </c>
      <c r="E53" t="s">
        <v>354</v>
      </c>
      <c r="F53" s="39">
        <v>720000</v>
      </c>
      <c r="G53" s="39">
        <f t="shared" si="2"/>
        <v>2000</v>
      </c>
    </row>
    <row r="54" spans="1:7">
      <c r="A54" t="s">
        <v>200</v>
      </c>
      <c r="B54">
        <v>60001</v>
      </c>
      <c r="C54" t="s">
        <v>257</v>
      </c>
      <c r="D54">
        <v>144</v>
      </c>
      <c r="E54" t="s">
        <v>359</v>
      </c>
      <c r="F54" s="39">
        <v>1570587.84</v>
      </c>
      <c r="G54" s="39">
        <f t="shared" si="2"/>
        <v>10906.86</v>
      </c>
    </row>
    <row r="55" spans="1:7">
      <c r="A55" t="s">
        <v>200</v>
      </c>
      <c r="B55">
        <v>60002</v>
      </c>
      <c r="C55" t="s">
        <v>258</v>
      </c>
      <c r="D55">
        <v>144</v>
      </c>
      <c r="E55" t="s">
        <v>359</v>
      </c>
      <c r="F55" s="39">
        <v>1570587.84</v>
      </c>
      <c r="G55" s="39">
        <f t="shared" si="2"/>
        <v>10906.86</v>
      </c>
    </row>
    <row r="56" spans="1:7">
      <c r="A56" t="s">
        <v>200</v>
      </c>
      <c r="B56">
        <v>60003</v>
      </c>
      <c r="C56" t="s">
        <v>259</v>
      </c>
      <c r="D56">
        <v>144</v>
      </c>
      <c r="E56" t="s">
        <v>359</v>
      </c>
      <c r="F56" s="39">
        <v>1570587.84</v>
      </c>
      <c r="G56" s="39">
        <f t="shared" si="2"/>
        <v>10906.86</v>
      </c>
    </row>
    <row r="57" spans="1:7">
      <c r="A57" t="s">
        <v>200</v>
      </c>
      <c r="B57">
        <v>60004</v>
      </c>
      <c r="C57" t="s">
        <v>260</v>
      </c>
      <c r="D57">
        <v>144</v>
      </c>
      <c r="E57" t="s">
        <v>359</v>
      </c>
      <c r="F57" s="39">
        <v>1570587.84</v>
      </c>
      <c r="G57" s="39">
        <f t="shared" si="2"/>
        <v>10906.86</v>
      </c>
    </row>
    <row r="58" spans="1:7">
      <c r="A58" t="s">
        <v>200</v>
      </c>
      <c r="B58">
        <v>60006</v>
      </c>
      <c r="C58" t="s">
        <v>261</v>
      </c>
      <c r="D58">
        <v>144</v>
      </c>
      <c r="E58" t="s">
        <v>359</v>
      </c>
      <c r="F58" s="39">
        <v>1570587.84</v>
      </c>
      <c r="G58" s="39">
        <f t="shared" si="2"/>
        <v>10906.86</v>
      </c>
    </row>
    <row r="59" spans="1:7">
      <c r="A59" t="s">
        <v>200</v>
      </c>
      <c r="B59">
        <v>60013</v>
      </c>
      <c r="C59" t="s">
        <v>262</v>
      </c>
      <c r="D59">
        <v>144</v>
      </c>
      <c r="E59" t="s">
        <v>359</v>
      </c>
      <c r="F59" s="39">
        <v>1570587.84</v>
      </c>
      <c r="G59" s="39">
        <f t="shared" si="2"/>
        <v>10906.86</v>
      </c>
    </row>
    <row r="60" spans="1:7">
      <c r="A60" t="s">
        <v>200</v>
      </c>
      <c r="B60">
        <v>60014</v>
      </c>
      <c r="C60" t="s">
        <v>263</v>
      </c>
      <c r="D60">
        <v>144</v>
      </c>
      <c r="E60" t="s">
        <v>359</v>
      </c>
      <c r="F60" s="39">
        <v>1570587.84</v>
      </c>
      <c r="G60" s="39">
        <f t="shared" si="2"/>
        <v>10906.86</v>
      </c>
    </row>
    <row r="61" spans="1:7">
      <c r="A61" t="s">
        <v>200</v>
      </c>
      <c r="B61">
        <v>60015</v>
      </c>
      <c r="C61" t="s">
        <v>264</v>
      </c>
      <c r="D61">
        <v>144</v>
      </c>
      <c r="E61" t="s">
        <v>359</v>
      </c>
      <c r="F61" s="39">
        <v>1255383.3600000001</v>
      </c>
      <c r="G61" s="39">
        <f t="shared" si="2"/>
        <v>8717.94</v>
      </c>
    </row>
    <row r="62" spans="1:7">
      <c r="A62" t="s">
        <v>200</v>
      </c>
      <c r="B62">
        <v>60016</v>
      </c>
      <c r="C62" t="s">
        <v>265</v>
      </c>
      <c r="D62">
        <v>144</v>
      </c>
      <c r="E62" t="s">
        <v>359</v>
      </c>
      <c r="F62" s="39">
        <v>1255383.3600000001</v>
      </c>
      <c r="G62" s="39">
        <f t="shared" si="2"/>
        <v>8717.94</v>
      </c>
    </row>
    <row r="63" spans="1:7">
      <c r="A63" t="s">
        <v>200</v>
      </c>
      <c r="B63">
        <v>60017</v>
      </c>
      <c r="C63" t="s">
        <v>266</v>
      </c>
      <c r="D63">
        <v>144</v>
      </c>
      <c r="E63" t="s">
        <v>359</v>
      </c>
      <c r="F63" s="39">
        <v>1255383.3600000001</v>
      </c>
      <c r="G63" s="39">
        <f t="shared" si="2"/>
        <v>8717.94</v>
      </c>
    </row>
    <row r="64" spans="1:7">
      <c r="A64" t="s">
        <v>200</v>
      </c>
      <c r="B64">
        <v>60062</v>
      </c>
      <c r="C64" t="s">
        <v>267</v>
      </c>
      <c r="D64">
        <v>144</v>
      </c>
      <c r="E64" t="s">
        <v>359</v>
      </c>
      <c r="F64" s="39">
        <v>1570587.84</v>
      </c>
      <c r="G64" s="39">
        <f t="shared" si="2"/>
        <v>10906.86</v>
      </c>
    </row>
    <row r="65" spans="1:7">
      <c r="A65" t="s">
        <v>200</v>
      </c>
      <c r="B65">
        <v>60076</v>
      </c>
      <c r="C65" t="s">
        <v>268</v>
      </c>
      <c r="D65">
        <v>144</v>
      </c>
      <c r="E65" t="s">
        <v>359</v>
      </c>
      <c r="F65" s="39">
        <v>1570587.84</v>
      </c>
      <c r="G65" s="39">
        <f t="shared" si="2"/>
        <v>10906.86</v>
      </c>
    </row>
    <row r="66" spans="1:7">
      <c r="A66" t="s">
        <v>200</v>
      </c>
      <c r="B66">
        <v>60080</v>
      </c>
      <c r="C66" t="s">
        <v>269</v>
      </c>
      <c r="D66">
        <v>144</v>
      </c>
      <c r="E66" t="s">
        <v>359</v>
      </c>
      <c r="F66" s="39">
        <v>1570587.84</v>
      </c>
      <c r="G66" s="39">
        <f t="shared" si="2"/>
        <v>10906.86</v>
      </c>
    </row>
    <row r="67" spans="1:7">
      <c r="A67" t="s">
        <v>200</v>
      </c>
      <c r="B67">
        <v>60088</v>
      </c>
      <c r="C67" t="s">
        <v>270</v>
      </c>
      <c r="D67">
        <v>144</v>
      </c>
      <c r="E67" t="s">
        <v>359</v>
      </c>
      <c r="F67" s="39">
        <v>1570587.84</v>
      </c>
      <c r="G67" s="39">
        <f t="shared" si="2"/>
        <v>10906.86</v>
      </c>
    </row>
    <row r="68" spans="1:7">
      <c r="A68" t="s">
        <v>200</v>
      </c>
      <c r="B68">
        <v>60095</v>
      </c>
      <c r="C68" t="s">
        <v>271</v>
      </c>
      <c r="D68">
        <v>144</v>
      </c>
      <c r="E68" t="s">
        <v>359</v>
      </c>
      <c r="F68" s="39">
        <v>1570587.84</v>
      </c>
      <c r="G68" s="39">
        <f t="shared" si="2"/>
        <v>10906.86</v>
      </c>
    </row>
    <row r="69" spans="1:7">
      <c r="A69" t="s">
        <v>200</v>
      </c>
      <c r="B69">
        <v>60097</v>
      </c>
      <c r="C69" t="s">
        <v>272</v>
      </c>
      <c r="D69">
        <v>576</v>
      </c>
      <c r="E69" t="s">
        <v>354</v>
      </c>
      <c r="F69" s="39">
        <v>3804192</v>
      </c>
      <c r="G69" s="39">
        <f t="shared" si="2"/>
        <v>6604.5</v>
      </c>
    </row>
    <row r="70" spans="1:7">
      <c r="A70" t="s">
        <v>200</v>
      </c>
      <c r="B70">
        <v>60109</v>
      </c>
      <c r="C70" t="s">
        <v>273</v>
      </c>
      <c r="D70">
        <v>576</v>
      </c>
      <c r="E70" t="s">
        <v>354</v>
      </c>
      <c r="F70" s="39">
        <v>3804192</v>
      </c>
      <c r="G70" s="39">
        <f t="shared" si="2"/>
        <v>6604.5</v>
      </c>
    </row>
    <row r="71" spans="1:7">
      <c r="A71" t="s">
        <v>200</v>
      </c>
      <c r="B71">
        <v>60120</v>
      </c>
      <c r="C71" t="s">
        <v>274</v>
      </c>
      <c r="D71">
        <v>144</v>
      </c>
      <c r="E71" t="s">
        <v>359</v>
      </c>
      <c r="F71" s="39">
        <v>1570608</v>
      </c>
      <c r="G71" s="39">
        <f t="shared" si="2"/>
        <v>10907</v>
      </c>
    </row>
    <row r="72" spans="1:7">
      <c r="A72" t="s">
        <v>200</v>
      </c>
      <c r="B72">
        <v>60121</v>
      </c>
      <c r="C72" t="s">
        <v>275</v>
      </c>
      <c r="D72">
        <v>144</v>
      </c>
      <c r="E72" t="s">
        <v>359</v>
      </c>
      <c r="F72" s="39">
        <v>1570608</v>
      </c>
      <c r="G72" s="39">
        <f t="shared" si="2"/>
        <v>10907</v>
      </c>
    </row>
    <row r="73" spans="1:7">
      <c r="A73" t="s">
        <v>200</v>
      </c>
      <c r="B73">
        <v>60124</v>
      </c>
      <c r="C73" t="s">
        <v>276</v>
      </c>
      <c r="D73">
        <v>144</v>
      </c>
      <c r="E73" t="s">
        <v>359</v>
      </c>
      <c r="F73" s="39">
        <v>2065104</v>
      </c>
      <c r="G73" s="39">
        <f t="shared" si="2"/>
        <v>14341</v>
      </c>
    </row>
    <row r="74" spans="1:7">
      <c r="A74" t="s">
        <v>201</v>
      </c>
      <c r="B74">
        <v>60099</v>
      </c>
      <c r="C74" t="s">
        <v>277</v>
      </c>
      <c r="D74">
        <v>144</v>
      </c>
      <c r="E74" t="s">
        <v>359</v>
      </c>
      <c r="F74" s="39">
        <v>4891104</v>
      </c>
      <c r="G74" s="39">
        <f t="shared" si="2"/>
        <v>33966</v>
      </c>
    </row>
    <row r="75" spans="1:7">
      <c r="A75" t="s">
        <v>201</v>
      </c>
      <c r="B75">
        <v>60100</v>
      </c>
      <c r="C75" t="s">
        <v>278</v>
      </c>
      <c r="D75">
        <v>144</v>
      </c>
      <c r="E75" t="s">
        <v>359</v>
      </c>
      <c r="F75" s="39">
        <v>4891104</v>
      </c>
      <c r="G75" s="39">
        <f t="shared" si="2"/>
        <v>33966</v>
      </c>
    </row>
    <row r="76" spans="1:7">
      <c r="A76" t="s">
        <v>201</v>
      </c>
      <c r="B76">
        <v>60101</v>
      </c>
      <c r="C76" t="s">
        <v>279</v>
      </c>
      <c r="D76">
        <v>144</v>
      </c>
      <c r="E76" t="s">
        <v>359</v>
      </c>
      <c r="F76" s="39">
        <v>4891104</v>
      </c>
      <c r="G76" s="39">
        <f t="shared" si="2"/>
        <v>33966</v>
      </c>
    </row>
    <row r="77" spans="1:7">
      <c r="A77" t="s">
        <v>201</v>
      </c>
      <c r="B77">
        <v>60102</v>
      </c>
      <c r="C77" t="s">
        <v>280</v>
      </c>
      <c r="D77">
        <v>72</v>
      </c>
      <c r="E77" t="s">
        <v>359</v>
      </c>
      <c r="F77" s="39">
        <v>652147.20000000007</v>
      </c>
      <c r="G77" s="39">
        <f t="shared" si="2"/>
        <v>9057.6</v>
      </c>
    </row>
    <row r="78" spans="1:7">
      <c r="A78" t="s">
        <v>201</v>
      </c>
      <c r="B78">
        <v>60103</v>
      </c>
      <c r="C78" t="s">
        <v>281</v>
      </c>
      <c r="D78">
        <v>72</v>
      </c>
      <c r="E78" t="s">
        <v>359</v>
      </c>
      <c r="F78" s="39">
        <v>873605.52</v>
      </c>
      <c r="G78" s="39">
        <f t="shared" si="2"/>
        <v>12133.41</v>
      </c>
    </row>
    <row r="79" spans="1:7">
      <c r="A79" t="s">
        <v>201</v>
      </c>
      <c r="B79">
        <v>60111</v>
      </c>
      <c r="C79" t="s">
        <v>282</v>
      </c>
      <c r="D79">
        <v>288</v>
      </c>
      <c r="E79" t="s">
        <v>354</v>
      </c>
      <c r="F79" s="39">
        <v>1902240</v>
      </c>
      <c r="G79" s="39">
        <f t="shared" ref="G79:G110" si="3">F79/D79</f>
        <v>6605</v>
      </c>
    </row>
    <row r="80" spans="1:7">
      <c r="A80" t="s">
        <v>201</v>
      </c>
      <c r="B80">
        <v>60117</v>
      </c>
      <c r="C80" t="s">
        <v>283</v>
      </c>
      <c r="D80">
        <v>144</v>
      </c>
      <c r="E80" t="s">
        <v>359</v>
      </c>
      <c r="F80" s="39">
        <v>2921038.56</v>
      </c>
      <c r="G80" s="39">
        <f t="shared" si="3"/>
        <v>20284.990000000002</v>
      </c>
    </row>
    <row r="81" spans="1:7">
      <c r="A81" t="s">
        <v>201</v>
      </c>
      <c r="B81">
        <v>60118</v>
      </c>
      <c r="C81" t="s">
        <v>284</v>
      </c>
      <c r="D81">
        <v>144</v>
      </c>
      <c r="E81" t="s">
        <v>359</v>
      </c>
      <c r="F81" s="39">
        <v>2921038.56</v>
      </c>
      <c r="G81" s="39">
        <f t="shared" si="3"/>
        <v>20284.990000000002</v>
      </c>
    </row>
    <row r="82" spans="1:7">
      <c r="A82" t="s">
        <v>201</v>
      </c>
      <c r="B82">
        <v>60119</v>
      </c>
      <c r="C82" t="s">
        <v>285</v>
      </c>
      <c r="D82">
        <v>144</v>
      </c>
      <c r="E82" t="s">
        <v>359</v>
      </c>
      <c r="F82" s="39">
        <v>2921038.56</v>
      </c>
      <c r="G82" s="39">
        <f t="shared" si="3"/>
        <v>20284.990000000002</v>
      </c>
    </row>
    <row r="83" spans="1:7">
      <c r="A83" t="s">
        <v>202</v>
      </c>
      <c r="B83">
        <v>60114</v>
      </c>
      <c r="C83" t="s">
        <v>286</v>
      </c>
      <c r="D83">
        <v>100</v>
      </c>
      <c r="E83" t="s">
        <v>359</v>
      </c>
      <c r="F83" s="39">
        <v>1792700</v>
      </c>
      <c r="G83" s="39">
        <f t="shared" si="3"/>
        <v>17927</v>
      </c>
    </row>
    <row r="84" spans="1:7">
      <c r="A84" t="s">
        <v>203</v>
      </c>
      <c r="B84">
        <v>60030</v>
      </c>
      <c r="C84" t="s">
        <v>287</v>
      </c>
      <c r="D84">
        <v>100</v>
      </c>
      <c r="E84" t="s">
        <v>359</v>
      </c>
      <c r="F84" s="39">
        <v>2537999</v>
      </c>
      <c r="G84" s="39">
        <f t="shared" si="3"/>
        <v>25379.99</v>
      </c>
    </row>
    <row r="85" spans="1:7">
      <c r="A85" t="s">
        <v>203</v>
      </c>
      <c r="B85">
        <v>60037</v>
      </c>
      <c r="C85" t="s">
        <v>288</v>
      </c>
      <c r="D85">
        <v>100</v>
      </c>
      <c r="E85" t="s">
        <v>359</v>
      </c>
      <c r="F85" s="39">
        <v>2537999</v>
      </c>
      <c r="G85" s="39">
        <f t="shared" si="3"/>
        <v>25379.99</v>
      </c>
    </row>
    <row r="86" spans="1:7">
      <c r="A86" t="s">
        <v>203</v>
      </c>
      <c r="B86">
        <v>60042</v>
      </c>
      <c r="C86" t="s">
        <v>289</v>
      </c>
      <c r="D86">
        <v>100</v>
      </c>
      <c r="E86" t="s">
        <v>359</v>
      </c>
      <c r="F86" s="39">
        <v>2830500</v>
      </c>
      <c r="G86" s="39">
        <f t="shared" si="3"/>
        <v>28305</v>
      </c>
    </row>
    <row r="87" spans="1:7">
      <c r="A87" t="s">
        <v>203</v>
      </c>
      <c r="B87">
        <v>60043</v>
      </c>
      <c r="C87" t="s">
        <v>290</v>
      </c>
      <c r="D87">
        <v>100</v>
      </c>
      <c r="E87" t="s">
        <v>359</v>
      </c>
      <c r="F87" s="39">
        <v>2830500</v>
      </c>
      <c r="G87" s="39">
        <f t="shared" si="3"/>
        <v>28305</v>
      </c>
    </row>
    <row r="88" spans="1:7">
      <c r="A88" t="s">
        <v>203</v>
      </c>
      <c r="B88">
        <v>60046</v>
      </c>
      <c r="C88" t="s">
        <v>291</v>
      </c>
      <c r="D88">
        <v>100</v>
      </c>
      <c r="E88" t="s">
        <v>359</v>
      </c>
      <c r="F88" s="39">
        <v>1339800</v>
      </c>
      <c r="G88" s="39">
        <f t="shared" si="3"/>
        <v>13398</v>
      </c>
    </row>
    <row r="89" spans="1:7">
      <c r="A89" t="s">
        <v>203</v>
      </c>
      <c r="B89">
        <v>60047</v>
      </c>
      <c r="C89" t="s">
        <v>292</v>
      </c>
      <c r="D89">
        <v>100</v>
      </c>
      <c r="E89" t="s">
        <v>359</v>
      </c>
      <c r="F89" s="39">
        <v>1339800</v>
      </c>
      <c r="G89" s="39">
        <f t="shared" si="3"/>
        <v>13398</v>
      </c>
    </row>
    <row r="90" spans="1:7">
      <c r="A90" t="s">
        <v>203</v>
      </c>
      <c r="B90">
        <v>60048</v>
      </c>
      <c r="C90" t="s">
        <v>293</v>
      </c>
      <c r="D90">
        <v>100</v>
      </c>
      <c r="E90" t="s">
        <v>362</v>
      </c>
      <c r="F90" s="39">
        <v>1698300</v>
      </c>
      <c r="G90" s="39">
        <f t="shared" si="3"/>
        <v>16983</v>
      </c>
    </row>
    <row r="91" spans="1:7">
      <c r="A91" t="s">
        <v>203</v>
      </c>
      <c r="B91">
        <v>60049</v>
      </c>
      <c r="C91" t="s">
        <v>294</v>
      </c>
      <c r="D91">
        <v>100</v>
      </c>
      <c r="E91" t="s">
        <v>362</v>
      </c>
      <c r="F91" s="39">
        <v>2830500</v>
      </c>
      <c r="G91" s="39">
        <f t="shared" si="3"/>
        <v>28305</v>
      </c>
    </row>
    <row r="92" spans="1:7">
      <c r="A92" t="s">
        <v>203</v>
      </c>
      <c r="B92">
        <v>60050</v>
      </c>
      <c r="C92" t="s">
        <v>295</v>
      </c>
      <c r="D92">
        <v>100</v>
      </c>
      <c r="E92" t="s">
        <v>362</v>
      </c>
      <c r="F92" s="39">
        <v>1698300</v>
      </c>
      <c r="G92" s="39">
        <f t="shared" si="3"/>
        <v>16983</v>
      </c>
    </row>
    <row r="93" spans="1:7">
      <c r="A93" t="s">
        <v>203</v>
      </c>
      <c r="B93">
        <v>60051</v>
      </c>
      <c r="C93" t="s">
        <v>296</v>
      </c>
      <c r="D93">
        <v>100</v>
      </c>
      <c r="E93" t="s">
        <v>362</v>
      </c>
      <c r="F93" s="39">
        <v>2830500</v>
      </c>
      <c r="G93" s="39">
        <f t="shared" si="3"/>
        <v>28305</v>
      </c>
    </row>
    <row r="94" spans="1:7">
      <c r="A94" t="s">
        <v>203</v>
      </c>
      <c r="B94">
        <v>60060</v>
      </c>
      <c r="C94" t="s">
        <v>297</v>
      </c>
      <c r="D94">
        <v>100</v>
      </c>
      <c r="E94" t="s">
        <v>362</v>
      </c>
      <c r="F94" s="39">
        <v>1698300</v>
      </c>
      <c r="G94" s="39">
        <f t="shared" si="3"/>
        <v>16983</v>
      </c>
    </row>
    <row r="95" spans="1:7">
      <c r="A95" t="s">
        <v>203</v>
      </c>
      <c r="B95">
        <v>60061</v>
      </c>
      <c r="C95" t="s">
        <v>298</v>
      </c>
      <c r="D95">
        <v>100</v>
      </c>
      <c r="E95" t="s">
        <v>359</v>
      </c>
      <c r="F95" s="39">
        <v>2537999</v>
      </c>
      <c r="G95" s="39">
        <f t="shared" si="3"/>
        <v>25379.99</v>
      </c>
    </row>
    <row r="96" spans="1:7">
      <c r="A96" t="s">
        <v>203</v>
      </c>
      <c r="B96">
        <v>60063</v>
      </c>
      <c r="C96" t="s">
        <v>299</v>
      </c>
      <c r="D96">
        <v>144</v>
      </c>
      <c r="E96" t="s">
        <v>354</v>
      </c>
      <c r="F96" s="39">
        <v>1611216</v>
      </c>
      <c r="G96" s="39">
        <f t="shared" si="3"/>
        <v>11189</v>
      </c>
    </row>
    <row r="97" spans="1:7">
      <c r="A97" t="s">
        <v>203</v>
      </c>
      <c r="B97">
        <v>60078</v>
      </c>
      <c r="C97" t="s">
        <v>300</v>
      </c>
      <c r="D97">
        <v>100</v>
      </c>
      <c r="E97" t="s">
        <v>362</v>
      </c>
      <c r="F97" s="39">
        <v>2830500</v>
      </c>
      <c r="G97" s="39">
        <f t="shared" si="3"/>
        <v>28305</v>
      </c>
    </row>
    <row r="98" spans="1:7">
      <c r="A98" t="s">
        <v>203</v>
      </c>
      <c r="B98">
        <v>60081</v>
      </c>
      <c r="C98" t="s">
        <v>301</v>
      </c>
      <c r="D98">
        <v>100</v>
      </c>
      <c r="E98" t="s">
        <v>363</v>
      </c>
      <c r="F98" s="39">
        <v>1094500</v>
      </c>
      <c r="G98" s="39">
        <f t="shared" si="3"/>
        <v>10945</v>
      </c>
    </row>
    <row r="99" spans="1:7">
      <c r="A99" t="s">
        <v>203</v>
      </c>
      <c r="B99">
        <v>60098</v>
      </c>
      <c r="C99" t="s">
        <v>302</v>
      </c>
      <c r="D99">
        <v>100</v>
      </c>
      <c r="E99" t="s">
        <v>359</v>
      </c>
      <c r="F99" s="39">
        <v>1339800</v>
      </c>
      <c r="G99" s="39">
        <f t="shared" si="3"/>
        <v>13398</v>
      </c>
    </row>
    <row r="100" spans="1:7">
      <c r="A100" t="s">
        <v>203</v>
      </c>
      <c r="B100">
        <v>60112</v>
      </c>
      <c r="C100" t="s">
        <v>303</v>
      </c>
      <c r="D100">
        <v>100</v>
      </c>
      <c r="E100" t="s">
        <v>359</v>
      </c>
      <c r="F100" s="39">
        <v>2537999</v>
      </c>
      <c r="G100" s="39">
        <f t="shared" si="3"/>
        <v>25379.99</v>
      </c>
    </row>
    <row r="101" spans="1:7">
      <c r="A101" t="s">
        <v>203</v>
      </c>
      <c r="B101">
        <v>60113</v>
      </c>
      <c r="C101" t="s">
        <v>304</v>
      </c>
      <c r="D101">
        <v>100</v>
      </c>
      <c r="E101" t="s">
        <v>359</v>
      </c>
      <c r="F101" s="39">
        <v>2537999</v>
      </c>
      <c r="G101" s="39">
        <f t="shared" si="3"/>
        <v>25379.99</v>
      </c>
    </row>
    <row r="102" spans="1:7">
      <c r="A102" t="s">
        <v>203</v>
      </c>
      <c r="B102">
        <v>60115</v>
      </c>
      <c r="C102" t="s">
        <v>305</v>
      </c>
      <c r="D102">
        <v>100</v>
      </c>
      <c r="E102" t="s">
        <v>359</v>
      </c>
      <c r="F102" s="39">
        <v>1698300</v>
      </c>
      <c r="G102" s="39">
        <f t="shared" si="3"/>
        <v>16983</v>
      </c>
    </row>
    <row r="103" spans="1:7">
      <c r="A103" t="s">
        <v>203</v>
      </c>
      <c r="B103">
        <v>60116</v>
      </c>
      <c r="C103" t="s">
        <v>306</v>
      </c>
      <c r="D103">
        <v>100</v>
      </c>
      <c r="E103" t="s">
        <v>359</v>
      </c>
      <c r="F103" s="39">
        <v>1698300</v>
      </c>
      <c r="G103" s="39">
        <f t="shared" si="3"/>
        <v>16983</v>
      </c>
    </row>
    <row r="104" spans="1:7">
      <c r="A104" t="s">
        <v>204</v>
      </c>
      <c r="B104">
        <v>60009</v>
      </c>
      <c r="C104" t="s">
        <v>307</v>
      </c>
      <c r="D104">
        <v>48</v>
      </c>
      <c r="E104" t="s">
        <v>359</v>
      </c>
      <c r="F104" s="39">
        <v>869529.60000000009</v>
      </c>
      <c r="G104" s="39">
        <f t="shared" si="3"/>
        <v>18115.2</v>
      </c>
    </row>
    <row r="105" spans="1:7">
      <c r="A105" t="s">
        <v>204</v>
      </c>
      <c r="B105">
        <v>60010</v>
      </c>
      <c r="C105" t="s">
        <v>308</v>
      </c>
      <c r="D105">
        <v>48</v>
      </c>
      <c r="E105" t="s">
        <v>359</v>
      </c>
      <c r="F105" s="39">
        <v>987278.39999999991</v>
      </c>
      <c r="G105" s="39">
        <f t="shared" si="3"/>
        <v>20568.3</v>
      </c>
    </row>
    <row r="106" spans="1:7">
      <c r="A106" t="s">
        <v>204</v>
      </c>
      <c r="B106">
        <v>60028</v>
      </c>
      <c r="C106" t="s">
        <v>309</v>
      </c>
      <c r="D106">
        <v>24</v>
      </c>
      <c r="E106" t="s">
        <v>359</v>
      </c>
      <c r="F106" s="39">
        <v>667999.44000000006</v>
      </c>
      <c r="G106" s="39">
        <f t="shared" si="3"/>
        <v>27833.31</v>
      </c>
    </row>
    <row r="107" spans="1:7">
      <c r="A107" t="s">
        <v>204</v>
      </c>
      <c r="B107">
        <v>60029</v>
      </c>
      <c r="C107" t="s">
        <v>310</v>
      </c>
      <c r="D107">
        <v>24</v>
      </c>
      <c r="E107" t="s">
        <v>359</v>
      </c>
      <c r="F107" s="39">
        <v>740460.24</v>
      </c>
      <c r="G107" s="39">
        <f t="shared" si="3"/>
        <v>30852.51</v>
      </c>
    </row>
    <row r="108" spans="1:7">
      <c r="A108" t="s">
        <v>204</v>
      </c>
      <c r="B108">
        <v>60035</v>
      </c>
      <c r="C108" t="s">
        <v>311</v>
      </c>
      <c r="D108">
        <v>48</v>
      </c>
      <c r="E108" t="s">
        <v>359</v>
      </c>
      <c r="F108" s="39">
        <v>869529.60000000009</v>
      </c>
      <c r="G108" s="39">
        <f t="shared" si="3"/>
        <v>18115.2</v>
      </c>
    </row>
    <row r="109" spans="1:7">
      <c r="A109" t="s">
        <v>204</v>
      </c>
      <c r="B109">
        <v>60038</v>
      </c>
      <c r="C109" t="s">
        <v>312</v>
      </c>
      <c r="D109">
        <v>12</v>
      </c>
      <c r="E109" t="s">
        <v>359</v>
      </c>
      <c r="F109" s="39">
        <v>617049.72</v>
      </c>
      <c r="G109" s="39">
        <f t="shared" si="3"/>
        <v>51420.81</v>
      </c>
    </row>
    <row r="110" spans="1:7">
      <c r="A110" t="s">
        <v>204</v>
      </c>
      <c r="B110">
        <v>60039</v>
      </c>
      <c r="C110" t="s">
        <v>313</v>
      </c>
      <c r="D110">
        <v>12</v>
      </c>
      <c r="E110" t="s">
        <v>359</v>
      </c>
      <c r="F110" s="39">
        <v>657808.92000000004</v>
      </c>
      <c r="G110" s="39">
        <f t="shared" si="3"/>
        <v>54817.41</v>
      </c>
    </row>
    <row r="111" spans="1:7">
      <c r="A111" t="s">
        <v>204</v>
      </c>
      <c r="B111">
        <v>60040</v>
      </c>
      <c r="C111" t="s">
        <v>314</v>
      </c>
      <c r="D111">
        <v>24</v>
      </c>
      <c r="E111" t="s">
        <v>359</v>
      </c>
      <c r="F111" s="39">
        <v>667999.44000000006</v>
      </c>
      <c r="G111" s="39">
        <f t="shared" ref="G111:G142" si="4">F111/D111</f>
        <v>27833.31</v>
      </c>
    </row>
    <row r="112" spans="1:7">
      <c r="A112" t="s">
        <v>204</v>
      </c>
      <c r="B112">
        <v>60052</v>
      </c>
      <c r="C112" t="s">
        <v>315</v>
      </c>
      <c r="D112">
        <v>24</v>
      </c>
      <c r="E112" t="s">
        <v>359</v>
      </c>
      <c r="F112" s="39">
        <v>298896</v>
      </c>
      <c r="G112" s="39">
        <f t="shared" si="4"/>
        <v>12454</v>
      </c>
    </row>
    <row r="113" spans="1:7">
      <c r="A113" t="s">
        <v>204</v>
      </c>
      <c r="B113">
        <v>60057</v>
      </c>
      <c r="C113" t="s">
        <v>316</v>
      </c>
      <c r="D113">
        <v>24</v>
      </c>
      <c r="E113" t="s">
        <v>359</v>
      </c>
      <c r="F113" s="39">
        <v>298896</v>
      </c>
      <c r="G113" s="39">
        <f t="shared" si="4"/>
        <v>12454</v>
      </c>
    </row>
    <row r="114" spans="1:7">
      <c r="A114" t="s">
        <v>204</v>
      </c>
      <c r="B114">
        <v>60065</v>
      </c>
      <c r="C114" t="s">
        <v>317</v>
      </c>
      <c r="D114">
        <v>24</v>
      </c>
      <c r="E114" t="s">
        <v>359</v>
      </c>
      <c r="F114" s="39">
        <v>298896</v>
      </c>
      <c r="G114" s="39">
        <f t="shared" si="4"/>
        <v>12454</v>
      </c>
    </row>
    <row r="115" spans="1:7">
      <c r="A115" t="s">
        <v>204</v>
      </c>
      <c r="B115">
        <v>60067</v>
      </c>
      <c r="C115" t="s">
        <v>318</v>
      </c>
      <c r="D115">
        <v>48</v>
      </c>
      <c r="E115" t="s">
        <v>359</v>
      </c>
      <c r="F115" s="39">
        <v>987278.39999999991</v>
      </c>
      <c r="G115" s="39">
        <f t="shared" si="4"/>
        <v>20568.3</v>
      </c>
    </row>
    <row r="116" spans="1:7">
      <c r="A116" t="s">
        <v>204</v>
      </c>
      <c r="B116">
        <v>60070</v>
      </c>
      <c r="C116" t="s">
        <v>319</v>
      </c>
      <c r="D116">
        <v>24</v>
      </c>
      <c r="E116" t="s">
        <v>359</v>
      </c>
      <c r="F116" s="39">
        <v>520824</v>
      </c>
      <c r="G116" s="39">
        <f t="shared" si="4"/>
        <v>21701</v>
      </c>
    </row>
    <row r="117" spans="1:7">
      <c r="A117" t="s">
        <v>204</v>
      </c>
      <c r="B117">
        <v>60071</v>
      </c>
      <c r="C117" t="s">
        <v>320</v>
      </c>
      <c r="D117">
        <v>24</v>
      </c>
      <c r="E117" t="s">
        <v>359</v>
      </c>
      <c r="F117" s="39">
        <v>434764.80000000005</v>
      </c>
      <c r="G117" s="39">
        <f t="shared" si="4"/>
        <v>18115.2</v>
      </c>
    </row>
    <row r="118" spans="1:7">
      <c r="A118" t="s">
        <v>204</v>
      </c>
      <c r="B118">
        <v>60072</v>
      </c>
      <c r="C118" t="s">
        <v>321</v>
      </c>
      <c r="D118">
        <v>48</v>
      </c>
      <c r="E118" t="s">
        <v>359</v>
      </c>
      <c r="F118" s="39">
        <v>869529.60000000009</v>
      </c>
      <c r="G118" s="39">
        <f t="shared" si="4"/>
        <v>18115.2</v>
      </c>
    </row>
    <row r="119" spans="1:7">
      <c r="A119" t="s">
        <v>204</v>
      </c>
      <c r="B119">
        <v>60075</v>
      </c>
      <c r="C119" t="s">
        <v>322</v>
      </c>
      <c r="D119">
        <v>60</v>
      </c>
      <c r="E119" t="s">
        <v>357</v>
      </c>
      <c r="F119" s="39">
        <v>407580</v>
      </c>
      <c r="G119" s="39">
        <f t="shared" si="4"/>
        <v>6793</v>
      </c>
    </row>
    <row r="120" spans="1:7">
      <c r="A120" t="s">
        <v>204</v>
      </c>
      <c r="B120">
        <v>60083</v>
      </c>
      <c r="C120" t="s">
        <v>323</v>
      </c>
      <c r="D120">
        <v>48</v>
      </c>
      <c r="E120" t="s">
        <v>361</v>
      </c>
      <c r="F120" s="39">
        <v>557039.52</v>
      </c>
      <c r="G120" s="39">
        <f t="shared" si="4"/>
        <v>11604.99</v>
      </c>
    </row>
    <row r="121" spans="1:7">
      <c r="A121" t="s">
        <v>204</v>
      </c>
      <c r="B121">
        <v>60084</v>
      </c>
      <c r="C121" t="s">
        <v>324</v>
      </c>
      <c r="D121">
        <v>48</v>
      </c>
      <c r="E121" t="s">
        <v>359</v>
      </c>
      <c r="F121" s="39">
        <v>987278.39999999991</v>
      </c>
      <c r="G121" s="39">
        <f t="shared" si="4"/>
        <v>20568.3</v>
      </c>
    </row>
    <row r="122" spans="1:7">
      <c r="A122" t="s">
        <v>204</v>
      </c>
      <c r="B122">
        <v>60091</v>
      </c>
      <c r="C122" t="s">
        <v>325</v>
      </c>
      <c r="D122">
        <v>24</v>
      </c>
      <c r="E122" t="s">
        <v>359</v>
      </c>
      <c r="F122" s="39">
        <v>740460.24</v>
      </c>
      <c r="G122" s="39">
        <f t="shared" si="4"/>
        <v>30852.51</v>
      </c>
    </row>
    <row r="123" spans="1:7">
      <c r="A123" t="s">
        <v>204</v>
      </c>
      <c r="B123">
        <v>60092</v>
      </c>
      <c r="C123" t="s">
        <v>326</v>
      </c>
      <c r="D123">
        <v>12</v>
      </c>
      <c r="E123" t="s">
        <v>359</v>
      </c>
      <c r="F123" s="39">
        <v>617049.72</v>
      </c>
      <c r="G123" s="39">
        <f t="shared" si="4"/>
        <v>51420.81</v>
      </c>
    </row>
    <row r="124" spans="1:7">
      <c r="A124" t="s">
        <v>204</v>
      </c>
      <c r="B124">
        <v>60093</v>
      </c>
      <c r="C124" t="s">
        <v>327</v>
      </c>
      <c r="D124">
        <v>24</v>
      </c>
      <c r="E124" t="s">
        <v>359</v>
      </c>
      <c r="F124" s="39">
        <v>740447.76</v>
      </c>
      <c r="G124" s="39">
        <f t="shared" si="4"/>
        <v>30851.99</v>
      </c>
    </row>
    <row r="125" spans="1:7">
      <c r="A125" t="s">
        <v>204</v>
      </c>
      <c r="B125">
        <v>60094</v>
      </c>
      <c r="C125" t="s">
        <v>328</v>
      </c>
      <c r="D125">
        <v>12</v>
      </c>
      <c r="E125" t="s">
        <v>359</v>
      </c>
      <c r="F125" s="39">
        <v>657808.92000000004</v>
      </c>
      <c r="G125" s="39">
        <f t="shared" si="4"/>
        <v>54817.41</v>
      </c>
    </row>
    <row r="126" spans="1:7">
      <c r="A126" t="s">
        <v>204</v>
      </c>
      <c r="B126">
        <v>60096</v>
      </c>
      <c r="C126" t="s">
        <v>329</v>
      </c>
      <c r="D126">
        <v>12</v>
      </c>
      <c r="E126" t="s">
        <v>359</v>
      </c>
      <c r="F126" s="39">
        <v>994068</v>
      </c>
      <c r="G126" s="39">
        <f t="shared" si="4"/>
        <v>82839</v>
      </c>
    </row>
    <row r="127" spans="1:7">
      <c r="A127" t="s">
        <v>204</v>
      </c>
      <c r="B127">
        <v>60104</v>
      </c>
      <c r="C127" t="s">
        <v>330</v>
      </c>
      <c r="D127">
        <v>12</v>
      </c>
      <c r="E127" t="s">
        <v>364</v>
      </c>
      <c r="F127" s="39">
        <v>493644</v>
      </c>
      <c r="G127" s="39">
        <f t="shared" si="4"/>
        <v>41137</v>
      </c>
    </row>
    <row r="128" spans="1:7">
      <c r="A128" t="s">
        <v>204</v>
      </c>
      <c r="B128">
        <v>60105</v>
      </c>
      <c r="C128" t="s">
        <v>331</v>
      </c>
      <c r="D128">
        <v>144</v>
      </c>
      <c r="E128" t="s">
        <v>365</v>
      </c>
      <c r="F128" s="39">
        <v>1046161.4400000001</v>
      </c>
      <c r="G128" s="39">
        <f t="shared" si="4"/>
        <v>7265.01</v>
      </c>
    </row>
    <row r="129" spans="1:7">
      <c r="A129" t="s">
        <v>204</v>
      </c>
      <c r="B129">
        <v>60110</v>
      </c>
      <c r="C129" t="s">
        <v>332</v>
      </c>
      <c r="D129">
        <v>12</v>
      </c>
      <c r="E129" t="s">
        <v>359</v>
      </c>
      <c r="F129" s="39">
        <v>571764.12</v>
      </c>
      <c r="G129" s="39">
        <f t="shared" si="4"/>
        <v>47647.01</v>
      </c>
    </row>
    <row r="130" spans="1:7">
      <c r="A130" t="s">
        <v>205</v>
      </c>
      <c r="B130">
        <v>60054</v>
      </c>
      <c r="C130" t="s">
        <v>333</v>
      </c>
      <c r="D130">
        <v>144</v>
      </c>
      <c r="E130" t="s">
        <v>353</v>
      </c>
      <c r="F130" s="39">
        <v>2241756</v>
      </c>
      <c r="G130" s="39">
        <f t="shared" si="4"/>
        <v>15567.75</v>
      </c>
    </row>
    <row r="131" spans="1:7">
      <c r="A131" t="s">
        <v>205</v>
      </c>
      <c r="B131">
        <v>60055</v>
      </c>
      <c r="C131" t="s">
        <v>334</v>
      </c>
      <c r="D131">
        <v>48</v>
      </c>
      <c r="E131" t="s">
        <v>359</v>
      </c>
      <c r="F131" s="39">
        <v>2554224</v>
      </c>
      <c r="G131" s="39">
        <f t="shared" si="4"/>
        <v>53213</v>
      </c>
    </row>
    <row r="132" spans="1:7">
      <c r="A132" t="s">
        <v>205</v>
      </c>
      <c r="B132">
        <v>60056</v>
      </c>
      <c r="C132" t="s">
        <v>335</v>
      </c>
      <c r="D132">
        <v>24</v>
      </c>
      <c r="E132" t="s">
        <v>359</v>
      </c>
      <c r="F132" s="39">
        <v>2255352</v>
      </c>
      <c r="G132" s="39">
        <f t="shared" si="4"/>
        <v>93973</v>
      </c>
    </row>
    <row r="133" spans="1:7">
      <c r="A133" t="s">
        <v>205</v>
      </c>
      <c r="B133">
        <v>60068</v>
      </c>
      <c r="C133" t="s">
        <v>336</v>
      </c>
      <c r="D133">
        <v>144</v>
      </c>
      <c r="E133" t="s">
        <v>365</v>
      </c>
      <c r="F133" s="39">
        <v>2228169.6</v>
      </c>
      <c r="G133" s="39">
        <f t="shared" si="4"/>
        <v>15473.400000000001</v>
      </c>
    </row>
    <row r="134" spans="1:7">
      <c r="A134" t="s">
        <v>205</v>
      </c>
      <c r="B134">
        <v>60082</v>
      </c>
      <c r="C134" t="s">
        <v>337</v>
      </c>
      <c r="D134">
        <v>144</v>
      </c>
      <c r="E134" t="s">
        <v>365</v>
      </c>
      <c r="F134" s="39">
        <v>2241756</v>
      </c>
      <c r="G134" s="39">
        <f t="shared" si="4"/>
        <v>15567.75</v>
      </c>
    </row>
    <row r="135" spans="1:7">
      <c r="A135" t="s">
        <v>205</v>
      </c>
      <c r="B135">
        <v>60086</v>
      </c>
      <c r="C135" t="s">
        <v>338</v>
      </c>
      <c r="D135">
        <v>144</v>
      </c>
      <c r="E135" t="s">
        <v>365</v>
      </c>
      <c r="F135" s="39">
        <v>815184</v>
      </c>
      <c r="G135" s="39">
        <f t="shared" si="4"/>
        <v>5661</v>
      </c>
    </row>
    <row r="136" spans="1:7">
      <c r="A136" t="s">
        <v>205</v>
      </c>
      <c r="B136">
        <v>60090</v>
      </c>
      <c r="C136" t="s">
        <v>339</v>
      </c>
      <c r="D136">
        <v>72</v>
      </c>
      <c r="E136" t="s">
        <v>359</v>
      </c>
      <c r="F136" s="39">
        <v>1018980</v>
      </c>
      <c r="G136" s="39">
        <f t="shared" si="4"/>
        <v>14152.5</v>
      </c>
    </row>
    <row r="137" spans="1:7">
      <c r="A137" t="s">
        <v>206</v>
      </c>
      <c r="B137">
        <v>60020</v>
      </c>
      <c r="C137" t="s">
        <v>340</v>
      </c>
      <c r="D137">
        <v>240</v>
      </c>
      <c r="E137" t="s">
        <v>359</v>
      </c>
      <c r="F137" s="39">
        <v>2807856</v>
      </c>
      <c r="G137" s="39">
        <f t="shared" si="4"/>
        <v>11699.4</v>
      </c>
    </row>
    <row r="138" spans="1:7">
      <c r="A138" t="s">
        <v>206</v>
      </c>
      <c r="B138">
        <v>60021</v>
      </c>
      <c r="C138" t="s">
        <v>341</v>
      </c>
      <c r="D138">
        <v>120</v>
      </c>
      <c r="E138" t="s">
        <v>359</v>
      </c>
      <c r="F138" s="39">
        <v>2332332</v>
      </c>
      <c r="G138" s="39">
        <f t="shared" si="4"/>
        <v>19436.099999999999</v>
      </c>
    </row>
    <row r="139" spans="1:7">
      <c r="A139" t="s">
        <v>206</v>
      </c>
      <c r="B139">
        <v>60022</v>
      </c>
      <c r="C139" t="s">
        <v>342</v>
      </c>
      <c r="D139">
        <v>288</v>
      </c>
      <c r="E139" t="s">
        <v>363</v>
      </c>
      <c r="F139" s="39">
        <v>2037960</v>
      </c>
      <c r="G139" s="39">
        <f t="shared" si="4"/>
        <v>7076.25</v>
      </c>
    </row>
    <row r="140" spans="1:7">
      <c r="A140" t="s">
        <v>206</v>
      </c>
      <c r="B140">
        <v>60023</v>
      </c>
      <c r="C140" t="s">
        <v>343</v>
      </c>
      <c r="D140">
        <v>144</v>
      </c>
      <c r="E140" t="s">
        <v>363</v>
      </c>
      <c r="F140" s="39">
        <v>1874923.2</v>
      </c>
      <c r="G140" s="39">
        <f t="shared" si="4"/>
        <v>13020.3</v>
      </c>
    </row>
    <row r="141" spans="1:7">
      <c r="A141" t="s">
        <v>206</v>
      </c>
      <c r="B141">
        <v>60025</v>
      </c>
      <c r="C141" t="s">
        <v>344</v>
      </c>
      <c r="D141">
        <v>240</v>
      </c>
      <c r="E141" t="s">
        <v>359</v>
      </c>
      <c r="F141" s="39">
        <v>2989008</v>
      </c>
      <c r="G141" s="39">
        <f t="shared" si="4"/>
        <v>12454.2</v>
      </c>
    </row>
    <row r="142" spans="1:7">
      <c r="A142" t="s">
        <v>206</v>
      </c>
      <c r="B142">
        <v>60027</v>
      </c>
      <c r="C142" t="s">
        <v>345</v>
      </c>
      <c r="D142">
        <v>120</v>
      </c>
      <c r="E142" t="s">
        <v>359</v>
      </c>
      <c r="F142" s="39">
        <v>2717280</v>
      </c>
      <c r="G142" s="39">
        <f t="shared" si="4"/>
        <v>22644</v>
      </c>
    </row>
    <row r="143" spans="1:7">
      <c r="A143" t="s">
        <v>206</v>
      </c>
      <c r="B143">
        <v>60031</v>
      </c>
      <c r="C143" t="s">
        <v>346</v>
      </c>
      <c r="D143">
        <v>240</v>
      </c>
      <c r="E143" t="s">
        <v>359</v>
      </c>
      <c r="F143" s="39">
        <v>3623040</v>
      </c>
      <c r="G143" s="39">
        <f t="shared" ref="G143:G149" si="5">F143/D143</f>
        <v>15096</v>
      </c>
    </row>
    <row r="144" spans="1:7">
      <c r="A144" t="s">
        <v>206</v>
      </c>
      <c r="B144">
        <v>60053</v>
      </c>
      <c r="C144" t="s">
        <v>347</v>
      </c>
      <c r="D144">
        <v>72</v>
      </c>
      <c r="E144" t="s">
        <v>359</v>
      </c>
      <c r="F144" s="39">
        <v>733665.6</v>
      </c>
      <c r="G144" s="39">
        <f t="shared" si="5"/>
        <v>10189.799999999999</v>
      </c>
    </row>
    <row r="145" spans="1:7">
      <c r="A145" t="s">
        <v>206</v>
      </c>
      <c r="B145">
        <v>60079</v>
      </c>
      <c r="C145" t="s">
        <v>348</v>
      </c>
      <c r="D145">
        <v>60</v>
      </c>
      <c r="E145" t="s">
        <v>359</v>
      </c>
      <c r="F145" s="39">
        <v>1358640</v>
      </c>
      <c r="G145" s="39">
        <f t="shared" si="5"/>
        <v>22644</v>
      </c>
    </row>
    <row r="146" spans="1:7">
      <c r="A146" t="s">
        <v>206</v>
      </c>
      <c r="B146">
        <v>60089</v>
      </c>
      <c r="C146" t="s">
        <v>349</v>
      </c>
      <c r="D146">
        <v>144</v>
      </c>
      <c r="E146" t="s">
        <v>359</v>
      </c>
      <c r="F146" s="39">
        <v>4075920</v>
      </c>
      <c r="G146" s="39">
        <f t="shared" si="5"/>
        <v>28305</v>
      </c>
    </row>
    <row r="147" spans="1:7">
      <c r="A147" t="s">
        <v>204</v>
      </c>
      <c r="B147">
        <v>60106</v>
      </c>
      <c r="C147" t="s">
        <v>350</v>
      </c>
      <c r="D147">
        <v>24</v>
      </c>
      <c r="E147" t="s">
        <v>361</v>
      </c>
      <c r="F147" s="39">
        <v>201531.60000000003</v>
      </c>
      <c r="G147" s="39">
        <f t="shared" si="5"/>
        <v>8397.1500000000015</v>
      </c>
    </row>
    <row r="148" spans="1:7">
      <c r="A148" t="s">
        <v>204</v>
      </c>
      <c r="B148">
        <v>60107</v>
      </c>
      <c r="C148" t="s">
        <v>351</v>
      </c>
      <c r="D148">
        <v>24</v>
      </c>
      <c r="E148" t="s">
        <v>361</v>
      </c>
      <c r="F148" s="39">
        <v>201531.60000000003</v>
      </c>
      <c r="G148" s="39">
        <f t="shared" si="5"/>
        <v>8397.1500000000015</v>
      </c>
    </row>
    <row r="149" spans="1:7">
      <c r="A149" t="s">
        <v>204</v>
      </c>
      <c r="B149">
        <v>60108</v>
      </c>
      <c r="C149" t="s">
        <v>352</v>
      </c>
      <c r="D149">
        <v>24</v>
      </c>
      <c r="E149" t="s">
        <v>361</v>
      </c>
      <c r="F149" s="39">
        <v>201531.60000000003</v>
      </c>
      <c r="G149" s="39">
        <f t="shared" si="5"/>
        <v>8397.1500000000015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814-B209-4CEF-AF20-B062D63632E1}">
  <sheetPr codeName="Sheet2">
    <tabColor rgb="FF00B050"/>
  </sheetPr>
  <dimension ref="A3:G149"/>
  <sheetViews>
    <sheetView topLeftCell="A125" workbookViewId="0">
      <selection activeCell="A4" sqref="A4:D149"/>
    </sheetView>
  </sheetViews>
  <sheetFormatPr defaultRowHeight="15"/>
  <cols>
    <col min="1" max="1" width="18.5703125" style="4" bestFit="1" customWidth="1"/>
    <col min="2" max="2" width="23.85546875" style="4" bestFit="1" customWidth="1"/>
    <col min="3" max="3" width="45.42578125" style="4" bestFit="1" customWidth="1"/>
    <col min="4" max="5" width="9.140625" style="4"/>
    <col min="6" max="6" width="20.7109375" style="3" bestFit="1" customWidth="1"/>
    <col min="7" max="7" width="16.140625" style="3" bestFit="1" customWidth="1"/>
  </cols>
  <sheetData>
    <row r="3" spans="1:7" ht="40.15" customHeight="1">
      <c r="A3" s="1" t="s">
        <v>2</v>
      </c>
      <c r="B3" s="1" t="s">
        <v>144</v>
      </c>
      <c r="C3" s="1" t="s">
        <v>3</v>
      </c>
      <c r="D3" s="1" t="s">
        <v>4</v>
      </c>
      <c r="E3" s="1" t="s">
        <v>1</v>
      </c>
      <c r="F3" s="2" t="s">
        <v>5</v>
      </c>
      <c r="G3" s="25" t="s">
        <v>6</v>
      </c>
    </row>
    <row r="4" spans="1:7">
      <c r="A4" s="26">
        <v>10002</v>
      </c>
      <c r="B4" s="26" t="s">
        <v>191</v>
      </c>
      <c r="C4" s="26" t="s">
        <v>207</v>
      </c>
      <c r="D4" s="26">
        <v>1000</v>
      </c>
      <c r="E4" s="26" t="s">
        <v>353</v>
      </c>
      <c r="F4" s="3">
        <v>3563100.0000000005</v>
      </c>
      <c r="G4" s="3">
        <f>F4/D4</f>
        <v>3563.1000000000004</v>
      </c>
    </row>
    <row r="5" spans="1:7">
      <c r="A5" s="26">
        <v>10063</v>
      </c>
      <c r="B5" s="26" t="s">
        <v>191</v>
      </c>
      <c r="C5" s="26" t="s">
        <v>208</v>
      </c>
      <c r="D5" s="26">
        <v>300</v>
      </c>
      <c r="E5" s="26" t="s">
        <v>354</v>
      </c>
      <c r="F5" s="3">
        <v>666000.00000000012</v>
      </c>
      <c r="G5" s="3">
        <f t="shared" ref="G5:G68" si="0">F5/D5</f>
        <v>2220.0000000000005</v>
      </c>
    </row>
    <row r="6" spans="1:7">
      <c r="A6" s="26">
        <v>10074</v>
      </c>
      <c r="B6" s="26" t="s">
        <v>191</v>
      </c>
      <c r="C6" s="26" t="s">
        <v>209</v>
      </c>
      <c r="D6" s="26">
        <v>360</v>
      </c>
      <c r="E6" s="26" t="s">
        <v>354</v>
      </c>
      <c r="F6" s="3">
        <v>1238760</v>
      </c>
      <c r="G6" s="3">
        <f t="shared" si="0"/>
        <v>3441</v>
      </c>
    </row>
    <row r="7" spans="1:7">
      <c r="A7" s="26">
        <v>10075</v>
      </c>
      <c r="B7" s="26" t="s">
        <v>191</v>
      </c>
      <c r="C7" s="26" t="s">
        <v>210</v>
      </c>
      <c r="D7" s="26">
        <v>360</v>
      </c>
      <c r="E7" s="26" t="s">
        <v>354</v>
      </c>
      <c r="F7" s="3">
        <v>1238760</v>
      </c>
      <c r="G7" s="3">
        <f t="shared" si="0"/>
        <v>3441</v>
      </c>
    </row>
    <row r="8" spans="1:7">
      <c r="A8" s="26">
        <v>10077</v>
      </c>
      <c r="B8" s="26" t="s">
        <v>191</v>
      </c>
      <c r="C8" s="26" t="s">
        <v>211</v>
      </c>
      <c r="D8" s="26">
        <v>300</v>
      </c>
      <c r="E8" s="26" t="s">
        <v>354</v>
      </c>
      <c r="F8" s="3">
        <v>1032300.0000000001</v>
      </c>
      <c r="G8" s="3">
        <f t="shared" si="0"/>
        <v>3441.0000000000005</v>
      </c>
    </row>
    <row r="9" spans="1:7">
      <c r="A9" s="26">
        <v>10110</v>
      </c>
      <c r="B9" s="26" t="s">
        <v>191</v>
      </c>
      <c r="C9" s="26" t="s">
        <v>212</v>
      </c>
      <c r="D9" s="26">
        <v>1000</v>
      </c>
      <c r="E9" s="26" t="s">
        <v>353</v>
      </c>
      <c r="F9" s="3">
        <v>4479960</v>
      </c>
      <c r="G9" s="3">
        <f t="shared" si="0"/>
        <v>4479.96</v>
      </c>
    </row>
    <row r="10" spans="1:7">
      <c r="A10" s="26">
        <v>10112</v>
      </c>
      <c r="B10" s="26" t="s">
        <v>191</v>
      </c>
      <c r="C10" s="26" t="s">
        <v>213</v>
      </c>
      <c r="D10" s="26">
        <v>360</v>
      </c>
      <c r="E10" s="26" t="s">
        <v>354</v>
      </c>
      <c r="F10" s="3">
        <v>1238760</v>
      </c>
      <c r="G10" s="3">
        <f t="shared" si="0"/>
        <v>3441</v>
      </c>
    </row>
    <row r="11" spans="1:7">
      <c r="A11" s="26">
        <v>10134</v>
      </c>
      <c r="B11" s="26" t="s">
        <v>191</v>
      </c>
      <c r="C11" s="26" t="s">
        <v>214</v>
      </c>
      <c r="D11" s="26">
        <v>420</v>
      </c>
      <c r="E11" s="26" t="s">
        <v>354</v>
      </c>
      <c r="F11" s="3">
        <v>1238758.6680000001</v>
      </c>
      <c r="G11" s="3">
        <f t="shared" si="0"/>
        <v>2949.4254000000001</v>
      </c>
    </row>
    <row r="12" spans="1:7">
      <c r="A12" s="26">
        <v>10135</v>
      </c>
      <c r="B12" s="26" t="s">
        <v>191</v>
      </c>
      <c r="C12" s="26" t="s">
        <v>215</v>
      </c>
      <c r="D12" s="26">
        <v>420</v>
      </c>
      <c r="E12" s="26" t="s">
        <v>354</v>
      </c>
      <c r="F12" s="3">
        <v>1238758.6680000001</v>
      </c>
      <c r="G12" s="3">
        <f t="shared" si="0"/>
        <v>2949.4254000000001</v>
      </c>
    </row>
    <row r="13" spans="1:7">
      <c r="A13" s="26">
        <v>10039</v>
      </c>
      <c r="B13" s="26" t="s">
        <v>192</v>
      </c>
      <c r="C13" s="26" t="s">
        <v>216</v>
      </c>
      <c r="D13" s="26">
        <v>270</v>
      </c>
      <c r="E13" s="26" t="s">
        <v>354</v>
      </c>
      <c r="F13" s="3">
        <v>619479.9</v>
      </c>
      <c r="G13" s="3">
        <f t="shared" si="0"/>
        <v>2294.37</v>
      </c>
    </row>
    <row r="14" spans="1:7">
      <c r="A14" s="26">
        <v>10048</v>
      </c>
      <c r="B14" s="26" t="s">
        <v>192</v>
      </c>
      <c r="C14" s="26" t="s">
        <v>217</v>
      </c>
      <c r="D14" s="26">
        <v>180</v>
      </c>
      <c r="E14" s="26" t="s">
        <v>354</v>
      </c>
      <c r="F14" s="3">
        <v>412986.60000000003</v>
      </c>
      <c r="G14" s="3">
        <f t="shared" si="0"/>
        <v>2294.3700000000003</v>
      </c>
    </row>
    <row r="15" spans="1:7">
      <c r="A15" s="26">
        <v>10067</v>
      </c>
      <c r="B15" s="26" t="s">
        <v>192</v>
      </c>
      <c r="C15" s="26" t="s">
        <v>218</v>
      </c>
      <c r="D15" s="26">
        <v>6</v>
      </c>
      <c r="E15" s="26" t="s">
        <v>355</v>
      </c>
      <c r="F15" s="3">
        <v>237169.26</v>
      </c>
      <c r="G15" s="3">
        <f t="shared" si="0"/>
        <v>39528.21</v>
      </c>
    </row>
    <row r="16" spans="1:7">
      <c r="A16" s="26">
        <v>10081</v>
      </c>
      <c r="B16" s="26" t="s">
        <v>192</v>
      </c>
      <c r="C16" s="26" t="s">
        <v>219</v>
      </c>
      <c r="D16" s="26">
        <v>6</v>
      </c>
      <c r="E16" s="26" t="s">
        <v>355</v>
      </c>
      <c r="F16" s="3">
        <v>134924.94</v>
      </c>
      <c r="G16" s="3">
        <f t="shared" si="0"/>
        <v>22487.49</v>
      </c>
    </row>
    <row r="17" spans="1:7">
      <c r="A17" s="26">
        <v>10089</v>
      </c>
      <c r="B17" s="26" t="s">
        <v>192</v>
      </c>
      <c r="C17" s="26" t="s">
        <v>220</v>
      </c>
      <c r="D17" s="26">
        <v>25</v>
      </c>
      <c r="E17" s="26" t="s">
        <v>356</v>
      </c>
      <c r="F17" s="3">
        <v>169025.25000000003</v>
      </c>
      <c r="G17" s="3">
        <f t="shared" si="0"/>
        <v>6761.0100000000011</v>
      </c>
    </row>
    <row r="18" spans="1:7">
      <c r="A18" s="26">
        <v>10090</v>
      </c>
      <c r="B18" s="26" t="s">
        <v>192</v>
      </c>
      <c r="C18" s="26" t="s">
        <v>221</v>
      </c>
      <c r="D18" s="26">
        <v>6</v>
      </c>
      <c r="E18" s="26" t="s">
        <v>355</v>
      </c>
      <c r="F18" s="3">
        <v>134924.94</v>
      </c>
      <c r="G18" s="3">
        <f t="shared" si="0"/>
        <v>22487.49</v>
      </c>
    </row>
    <row r="19" spans="1:7">
      <c r="A19" s="26">
        <v>10092</v>
      </c>
      <c r="B19" s="26" t="s">
        <v>192</v>
      </c>
      <c r="C19" s="26" t="s">
        <v>222</v>
      </c>
      <c r="D19" s="26">
        <v>25</v>
      </c>
      <c r="E19" s="26" t="s">
        <v>356</v>
      </c>
      <c r="F19" s="3">
        <v>169025.25000000003</v>
      </c>
      <c r="G19" s="3">
        <f t="shared" si="0"/>
        <v>6761.0100000000011</v>
      </c>
    </row>
    <row r="20" spans="1:7">
      <c r="A20" s="26">
        <v>10094</v>
      </c>
      <c r="B20" s="26" t="s">
        <v>192</v>
      </c>
      <c r="C20" s="26" t="s">
        <v>223</v>
      </c>
      <c r="D20" s="26">
        <v>6</v>
      </c>
      <c r="E20" s="26" t="s">
        <v>355</v>
      </c>
      <c r="F20" s="3">
        <v>237169.26</v>
      </c>
      <c r="G20" s="3">
        <f t="shared" si="0"/>
        <v>39528.21</v>
      </c>
    </row>
    <row r="21" spans="1:7">
      <c r="A21" s="26">
        <v>10096</v>
      </c>
      <c r="B21" s="26" t="s">
        <v>192</v>
      </c>
      <c r="C21" s="26" t="s">
        <v>224</v>
      </c>
      <c r="D21" s="26">
        <v>25</v>
      </c>
      <c r="E21" s="26" t="s">
        <v>356</v>
      </c>
      <c r="F21" s="3">
        <v>169025.25000000003</v>
      </c>
      <c r="G21" s="3">
        <f t="shared" si="0"/>
        <v>6761.0100000000011</v>
      </c>
    </row>
    <row r="22" spans="1:7">
      <c r="A22" s="26">
        <v>10097</v>
      </c>
      <c r="B22" s="26" t="s">
        <v>192</v>
      </c>
      <c r="C22" s="26" t="s">
        <v>225</v>
      </c>
      <c r="D22" s="26">
        <v>25</v>
      </c>
      <c r="E22" s="26" t="s">
        <v>356</v>
      </c>
      <c r="F22" s="3">
        <v>169025.25000000003</v>
      </c>
      <c r="G22" s="3">
        <f t="shared" si="0"/>
        <v>6761.0100000000011</v>
      </c>
    </row>
    <row r="23" spans="1:7">
      <c r="A23" s="26">
        <v>10098</v>
      </c>
      <c r="B23" s="26" t="s">
        <v>192</v>
      </c>
      <c r="C23" s="26" t="s">
        <v>226</v>
      </c>
      <c r="D23" s="26">
        <v>6</v>
      </c>
      <c r="E23" s="26" t="s">
        <v>355</v>
      </c>
      <c r="F23" s="3">
        <v>134924.94</v>
      </c>
      <c r="G23" s="3">
        <f t="shared" si="0"/>
        <v>22487.49</v>
      </c>
    </row>
    <row r="24" spans="1:7">
      <c r="A24" s="26">
        <v>10107</v>
      </c>
      <c r="B24" s="26" t="s">
        <v>192</v>
      </c>
      <c r="C24" s="26" t="s">
        <v>227</v>
      </c>
      <c r="D24" s="26">
        <v>270</v>
      </c>
      <c r="E24" s="26" t="s">
        <v>354</v>
      </c>
      <c r="F24" s="3">
        <v>619479.9</v>
      </c>
      <c r="G24" s="3">
        <f t="shared" si="0"/>
        <v>2294.37</v>
      </c>
    </row>
    <row r="25" spans="1:7">
      <c r="A25" s="26">
        <v>10114</v>
      </c>
      <c r="B25" s="26" t="s">
        <v>192</v>
      </c>
      <c r="C25" s="26" t="s">
        <v>228</v>
      </c>
      <c r="D25" s="26">
        <v>25</v>
      </c>
      <c r="E25" s="26" t="s">
        <v>356</v>
      </c>
      <c r="F25" s="3">
        <v>182040.00000000003</v>
      </c>
      <c r="G25" s="3">
        <f t="shared" si="0"/>
        <v>7281.6000000000013</v>
      </c>
    </row>
    <row r="26" spans="1:7">
      <c r="A26" s="26">
        <v>10115</v>
      </c>
      <c r="B26" s="26" t="s">
        <v>192</v>
      </c>
      <c r="C26" s="26" t="s">
        <v>229</v>
      </c>
      <c r="D26" s="26">
        <v>270</v>
      </c>
      <c r="E26" s="26" t="s">
        <v>354</v>
      </c>
      <c r="F26" s="3">
        <v>830468.70000000007</v>
      </c>
      <c r="G26" s="3">
        <f t="shared" si="0"/>
        <v>3075.8100000000004</v>
      </c>
    </row>
    <row r="27" spans="1:7">
      <c r="A27" s="26">
        <v>10117</v>
      </c>
      <c r="B27" s="26" t="s">
        <v>192</v>
      </c>
      <c r="C27" s="26" t="s">
        <v>230</v>
      </c>
      <c r="D27" s="26">
        <v>25</v>
      </c>
      <c r="E27" s="26" t="s">
        <v>356</v>
      </c>
      <c r="F27" s="3">
        <v>182040.00000000003</v>
      </c>
      <c r="G27" s="3">
        <f t="shared" si="0"/>
        <v>7281.6000000000013</v>
      </c>
    </row>
    <row r="28" spans="1:7">
      <c r="A28" s="26">
        <v>10123</v>
      </c>
      <c r="B28" s="26" t="s">
        <v>192</v>
      </c>
      <c r="C28" s="26" t="s">
        <v>231</v>
      </c>
      <c r="D28" s="26">
        <v>25</v>
      </c>
      <c r="E28" s="26" t="s">
        <v>356</v>
      </c>
      <c r="F28" s="3">
        <v>169025.25000000003</v>
      </c>
      <c r="G28" s="3">
        <f t="shared" si="0"/>
        <v>6761.0100000000011</v>
      </c>
    </row>
    <row r="29" spans="1:7">
      <c r="A29" s="26">
        <v>600001</v>
      </c>
      <c r="B29" s="26" t="s">
        <v>192</v>
      </c>
      <c r="C29" s="26" t="s">
        <v>232</v>
      </c>
      <c r="D29" s="26">
        <v>25</v>
      </c>
      <c r="E29" s="26" t="s">
        <v>357</v>
      </c>
      <c r="F29" s="3">
        <v>169025.25000000003</v>
      </c>
      <c r="G29" s="3">
        <f t="shared" si="0"/>
        <v>6761.0100000000011</v>
      </c>
    </row>
    <row r="30" spans="1:7">
      <c r="A30" s="26">
        <v>10106</v>
      </c>
      <c r="B30" s="26" t="s">
        <v>193</v>
      </c>
      <c r="C30" s="26" t="s">
        <v>233</v>
      </c>
      <c r="D30" s="26">
        <v>60</v>
      </c>
      <c r="E30" s="26" t="s">
        <v>358</v>
      </c>
      <c r="F30" s="3">
        <v>1693571.4000000001</v>
      </c>
      <c r="G30" s="3">
        <f t="shared" si="0"/>
        <v>28226.190000000002</v>
      </c>
    </row>
    <row r="31" spans="1:7">
      <c r="A31" s="26">
        <v>10102</v>
      </c>
      <c r="B31" s="26" t="s">
        <v>194</v>
      </c>
      <c r="C31" s="26" t="s">
        <v>234</v>
      </c>
      <c r="D31" s="26">
        <v>300</v>
      </c>
      <c r="E31" s="26" t="s">
        <v>354</v>
      </c>
      <c r="F31" s="3">
        <v>924075.00000000012</v>
      </c>
      <c r="G31" s="3">
        <f t="shared" si="0"/>
        <v>3080.2500000000005</v>
      </c>
    </row>
    <row r="32" spans="1:7">
      <c r="A32" s="26">
        <v>10108</v>
      </c>
      <c r="B32" s="26" t="s">
        <v>194</v>
      </c>
      <c r="C32" s="26" t="s">
        <v>235</v>
      </c>
      <c r="D32" s="26">
        <v>24</v>
      </c>
      <c r="E32" s="26" t="s">
        <v>359</v>
      </c>
      <c r="F32" s="3">
        <v>537648.4800000001</v>
      </c>
      <c r="G32" s="3">
        <f t="shared" si="0"/>
        <v>22402.020000000004</v>
      </c>
    </row>
    <row r="33" spans="1:7">
      <c r="A33" s="26">
        <v>10109</v>
      </c>
      <c r="B33" s="26" t="s">
        <v>194</v>
      </c>
      <c r="C33" s="26" t="s">
        <v>236</v>
      </c>
      <c r="D33" s="26">
        <v>300</v>
      </c>
      <c r="E33" s="26" t="s">
        <v>354</v>
      </c>
      <c r="F33" s="3">
        <v>924075.00000000012</v>
      </c>
      <c r="G33" s="3">
        <f t="shared" si="0"/>
        <v>3080.2500000000005</v>
      </c>
    </row>
    <row r="34" spans="1:7">
      <c r="A34" s="26">
        <v>10113</v>
      </c>
      <c r="B34" s="26" t="s">
        <v>194</v>
      </c>
      <c r="C34" s="26" t="s">
        <v>237</v>
      </c>
      <c r="D34" s="26">
        <v>24</v>
      </c>
      <c r="E34" s="26" t="s">
        <v>359</v>
      </c>
      <c r="F34" s="3">
        <v>387105.84</v>
      </c>
      <c r="G34" s="3">
        <f t="shared" si="0"/>
        <v>16129.410000000002</v>
      </c>
    </row>
    <row r="35" spans="1:7">
      <c r="A35" s="26">
        <v>10066</v>
      </c>
      <c r="B35" s="26" t="s">
        <v>195</v>
      </c>
      <c r="C35" s="26" t="s">
        <v>238</v>
      </c>
      <c r="D35" s="26">
        <v>1000</v>
      </c>
      <c r="E35" s="26" t="s">
        <v>353</v>
      </c>
      <c r="F35" s="3">
        <v>2664000.0000000005</v>
      </c>
      <c r="G35" s="3">
        <f t="shared" si="0"/>
        <v>2664.0000000000005</v>
      </c>
    </row>
    <row r="36" spans="1:7">
      <c r="A36" s="26">
        <v>10099</v>
      </c>
      <c r="B36" s="26" t="s">
        <v>195</v>
      </c>
      <c r="C36" s="26" t="s">
        <v>239</v>
      </c>
      <c r="D36" s="26">
        <v>300</v>
      </c>
      <c r="E36" s="26" t="s">
        <v>360</v>
      </c>
      <c r="F36" s="3">
        <v>799200.00000000012</v>
      </c>
      <c r="G36" s="3">
        <f t="shared" si="0"/>
        <v>2664.0000000000005</v>
      </c>
    </row>
    <row r="37" spans="1:7">
      <c r="A37" s="26">
        <v>10004</v>
      </c>
      <c r="B37" s="26" t="s">
        <v>196</v>
      </c>
      <c r="C37" s="26" t="s">
        <v>240</v>
      </c>
      <c r="D37" s="26">
        <v>1000</v>
      </c>
      <c r="E37" s="26" t="s">
        <v>353</v>
      </c>
      <c r="F37" s="3">
        <v>2081250.0000000002</v>
      </c>
      <c r="G37" s="3">
        <f t="shared" si="0"/>
        <v>2081.2500000000005</v>
      </c>
    </row>
    <row r="38" spans="1:7">
      <c r="A38" s="26">
        <v>10042</v>
      </c>
      <c r="B38" s="26" t="s">
        <v>196</v>
      </c>
      <c r="C38" s="26" t="s">
        <v>241</v>
      </c>
      <c r="D38" s="26">
        <v>1000</v>
      </c>
      <c r="E38" s="26" t="s">
        <v>353</v>
      </c>
      <c r="F38" s="3">
        <v>1554000.0000000002</v>
      </c>
      <c r="G38" s="3">
        <f t="shared" si="0"/>
        <v>1554.0000000000002</v>
      </c>
    </row>
    <row r="39" spans="1:7">
      <c r="A39" s="26">
        <v>10029</v>
      </c>
      <c r="B39" s="26" t="s">
        <v>197</v>
      </c>
      <c r="C39" s="26" t="s">
        <v>242</v>
      </c>
      <c r="D39" s="26">
        <v>48</v>
      </c>
      <c r="E39" s="26" t="s">
        <v>359</v>
      </c>
      <c r="F39" s="3">
        <v>1151327.52</v>
      </c>
      <c r="G39" s="3">
        <f t="shared" si="0"/>
        <v>23985.99</v>
      </c>
    </row>
    <row r="40" spans="1:7">
      <c r="A40" s="26">
        <v>10030</v>
      </c>
      <c r="B40" s="26" t="s">
        <v>197</v>
      </c>
      <c r="C40" s="26" t="s">
        <v>243</v>
      </c>
      <c r="D40" s="26">
        <v>48</v>
      </c>
      <c r="E40" s="26" t="s">
        <v>359</v>
      </c>
      <c r="F40" s="3">
        <v>789343.20000000007</v>
      </c>
      <c r="G40" s="3">
        <f t="shared" si="0"/>
        <v>16444.650000000001</v>
      </c>
    </row>
    <row r="41" spans="1:7">
      <c r="A41" s="26">
        <v>10031</v>
      </c>
      <c r="B41" s="26" t="s">
        <v>197</v>
      </c>
      <c r="C41" s="26" t="s">
        <v>244</v>
      </c>
      <c r="D41" s="26">
        <v>300</v>
      </c>
      <c r="E41" s="26" t="s">
        <v>354</v>
      </c>
      <c r="F41" s="3">
        <v>917415.00000000012</v>
      </c>
      <c r="G41" s="3">
        <f t="shared" si="0"/>
        <v>3058.05</v>
      </c>
    </row>
    <row r="42" spans="1:7">
      <c r="A42" s="26">
        <v>10061</v>
      </c>
      <c r="B42" s="26" t="s">
        <v>197</v>
      </c>
      <c r="C42" s="26" t="s">
        <v>245</v>
      </c>
      <c r="D42" s="26">
        <v>48</v>
      </c>
      <c r="E42" s="26" t="s">
        <v>359</v>
      </c>
      <c r="F42" s="3">
        <v>789343.20000000007</v>
      </c>
      <c r="G42" s="3">
        <f t="shared" si="0"/>
        <v>16444.650000000001</v>
      </c>
    </row>
    <row r="43" spans="1:7">
      <c r="A43" s="26">
        <v>10086</v>
      </c>
      <c r="B43" s="26" t="s">
        <v>197</v>
      </c>
      <c r="C43" s="26" t="s">
        <v>246</v>
      </c>
      <c r="D43" s="26">
        <v>300</v>
      </c>
      <c r="E43" s="26" t="s">
        <v>354</v>
      </c>
      <c r="F43" s="3">
        <v>917415.00000000012</v>
      </c>
      <c r="G43" s="3">
        <f t="shared" si="0"/>
        <v>3058.05</v>
      </c>
    </row>
    <row r="44" spans="1:7">
      <c r="A44" s="26">
        <v>10100</v>
      </c>
      <c r="B44" s="26" t="s">
        <v>197</v>
      </c>
      <c r="C44" s="26" t="s">
        <v>247</v>
      </c>
      <c r="D44" s="26">
        <v>48</v>
      </c>
      <c r="E44" s="26" t="s">
        <v>359</v>
      </c>
      <c r="F44" s="3">
        <v>402796.80000000005</v>
      </c>
      <c r="G44" s="3">
        <f t="shared" si="0"/>
        <v>8391.6</v>
      </c>
    </row>
    <row r="45" spans="1:7">
      <c r="A45" s="26">
        <v>10101</v>
      </c>
      <c r="B45" s="26" t="s">
        <v>197</v>
      </c>
      <c r="C45" s="26" t="s">
        <v>248</v>
      </c>
      <c r="D45" s="26">
        <v>48</v>
      </c>
      <c r="E45" s="26" t="s">
        <v>359</v>
      </c>
      <c r="F45" s="3">
        <v>402796.80000000005</v>
      </c>
      <c r="G45" s="3">
        <f t="shared" si="0"/>
        <v>8391.6</v>
      </c>
    </row>
    <row r="46" spans="1:7">
      <c r="A46" s="26">
        <v>10120</v>
      </c>
      <c r="B46" s="26" t="s">
        <v>197</v>
      </c>
      <c r="C46" s="26" t="s">
        <v>249</v>
      </c>
      <c r="D46" s="26">
        <v>48</v>
      </c>
      <c r="E46" s="26" t="s">
        <v>359</v>
      </c>
      <c r="F46" s="3">
        <v>789343.20000000007</v>
      </c>
      <c r="G46" s="3">
        <f t="shared" si="0"/>
        <v>16444.650000000001</v>
      </c>
    </row>
    <row r="47" spans="1:7">
      <c r="A47" s="26">
        <v>10132</v>
      </c>
      <c r="B47" s="26" t="s">
        <v>197</v>
      </c>
      <c r="C47" s="26" t="s">
        <v>250</v>
      </c>
      <c r="D47" s="26">
        <v>264</v>
      </c>
      <c r="E47" s="26" t="s">
        <v>354</v>
      </c>
      <c r="F47" s="3">
        <v>673112.88</v>
      </c>
      <c r="G47" s="3">
        <f t="shared" si="0"/>
        <v>2549.67</v>
      </c>
    </row>
    <row r="48" spans="1:7">
      <c r="A48" s="26">
        <v>10133</v>
      </c>
      <c r="B48" s="26" t="s">
        <v>197</v>
      </c>
      <c r="C48" s="26" t="s">
        <v>251</v>
      </c>
      <c r="D48" s="26">
        <v>330</v>
      </c>
      <c r="E48" s="26" t="s">
        <v>354</v>
      </c>
      <c r="F48" s="3">
        <v>917581.50000000012</v>
      </c>
      <c r="G48" s="3">
        <f t="shared" si="0"/>
        <v>2780.55</v>
      </c>
    </row>
    <row r="49" spans="1:7">
      <c r="A49" s="26">
        <v>10018</v>
      </c>
      <c r="B49" s="26" t="s">
        <v>198</v>
      </c>
      <c r="C49" s="26" t="s">
        <v>252</v>
      </c>
      <c r="D49" s="26">
        <v>144</v>
      </c>
      <c r="E49" s="26" t="s">
        <v>353</v>
      </c>
      <c r="F49" s="3">
        <v>2445552</v>
      </c>
      <c r="G49" s="3">
        <f t="shared" si="0"/>
        <v>16983</v>
      </c>
    </row>
    <row r="50" spans="1:7">
      <c r="A50" s="26">
        <v>10082</v>
      </c>
      <c r="B50" s="26" t="s">
        <v>198</v>
      </c>
      <c r="C50" s="26" t="s">
        <v>253</v>
      </c>
      <c r="D50" s="26">
        <v>100</v>
      </c>
      <c r="E50" s="26" t="s">
        <v>358</v>
      </c>
      <c r="F50" s="3">
        <v>1179375</v>
      </c>
      <c r="G50" s="3">
        <f t="shared" si="0"/>
        <v>11793.75</v>
      </c>
    </row>
    <row r="51" spans="1:7">
      <c r="A51" s="26">
        <v>10083</v>
      </c>
      <c r="B51" s="26" t="s">
        <v>198</v>
      </c>
      <c r="C51" s="26" t="s">
        <v>254</v>
      </c>
      <c r="D51" s="26">
        <v>100</v>
      </c>
      <c r="E51" s="26" t="s">
        <v>358</v>
      </c>
      <c r="F51" s="3">
        <v>1179375</v>
      </c>
      <c r="G51" s="3">
        <f t="shared" si="0"/>
        <v>11793.75</v>
      </c>
    </row>
    <row r="52" spans="1:7">
      <c r="A52" s="26">
        <v>12001</v>
      </c>
      <c r="B52" s="26" t="s">
        <v>199</v>
      </c>
      <c r="C52" s="26" t="s">
        <v>255</v>
      </c>
      <c r="D52" s="26">
        <v>1000</v>
      </c>
      <c r="E52" s="26" t="s">
        <v>353</v>
      </c>
      <c r="F52" s="3">
        <v>2197800</v>
      </c>
      <c r="G52" s="3">
        <f t="shared" si="0"/>
        <v>2197.8000000000002</v>
      </c>
    </row>
    <row r="53" spans="1:7">
      <c r="A53" s="26">
        <v>12009</v>
      </c>
      <c r="B53" s="26" t="s">
        <v>199</v>
      </c>
      <c r="C53" s="26" t="s">
        <v>256</v>
      </c>
      <c r="D53" s="26">
        <v>360</v>
      </c>
      <c r="E53" s="26" t="s">
        <v>354</v>
      </c>
      <c r="F53" s="3">
        <v>799200.00000000012</v>
      </c>
      <c r="G53" s="3">
        <f t="shared" si="0"/>
        <v>2220.0000000000005</v>
      </c>
    </row>
    <row r="54" spans="1:7">
      <c r="A54" s="26">
        <v>60001</v>
      </c>
      <c r="B54" s="26" t="s">
        <v>200</v>
      </c>
      <c r="C54" s="26" t="s">
        <v>257</v>
      </c>
      <c r="D54" s="26">
        <v>144</v>
      </c>
      <c r="E54" s="26" t="s">
        <v>359</v>
      </c>
      <c r="F54" s="3">
        <v>1743352.5024000003</v>
      </c>
      <c r="G54" s="3">
        <f t="shared" si="0"/>
        <v>12106.614600000003</v>
      </c>
    </row>
    <row r="55" spans="1:7">
      <c r="A55" s="26">
        <v>60002</v>
      </c>
      <c r="B55" s="26" t="s">
        <v>200</v>
      </c>
      <c r="C55" s="26" t="s">
        <v>258</v>
      </c>
      <c r="D55" s="26">
        <v>144</v>
      </c>
      <c r="E55" s="26" t="s">
        <v>359</v>
      </c>
      <c r="F55" s="3">
        <v>1743352.5024000003</v>
      </c>
      <c r="G55" s="3">
        <f t="shared" si="0"/>
        <v>12106.614600000003</v>
      </c>
    </row>
    <row r="56" spans="1:7">
      <c r="A56" s="26">
        <v>60003</v>
      </c>
      <c r="B56" s="26" t="s">
        <v>200</v>
      </c>
      <c r="C56" s="26" t="s">
        <v>259</v>
      </c>
      <c r="D56" s="26">
        <v>144</v>
      </c>
      <c r="E56" s="26" t="s">
        <v>359</v>
      </c>
      <c r="F56" s="3">
        <v>1743352.5024000003</v>
      </c>
      <c r="G56" s="3">
        <f t="shared" si="0"/>
        <v>12106.614600000003</v>
      </c>
    </row>
    <row r="57" spans="1:7">
      <c r="A57" s="26">
        <v>60004</v>
      </c>
      <c r="B57" s="26" t="s">
        <v>200</v>
      </c>
      <c r="C57" s="26" t="s">
        <v>260</v>
      </c>
      <c r="D57" s="26">
        <v>144</v>
      </c>
      <c r="E57" s="26" t="s">
        <v>359</v>
      </c>
      <c r="F57" s="3">
        <v>1743352.5024000003</v>
      </c>
      <c r="G57" s="3">
        <f t="shared" si="0"/>
        <v>12106.614600000003</v>
      </c>
    </row>
    <row r="58" spans="1:7">
      <c r="A58" s="26">
        <v>60006</v>
      </c>
      <c r="B58" s="26" t="s">
        <v>200</v>
      </c>
      <c r="C58" s="26" t="s">
        <v>261</v>
      </c>
      <c r="D58" s="26">
        <v>144</v>
      </c>
      <c r="E58" s="26" t="s">
        <v>359</v>
      </c>
      <c r="F58" s="3">
        <v>1743352.5024000003</v>
      </c>
      <c r="G58" s="3">
        <f t="shared" si="0"/>
        <v>12106.614600000003</v>
      </c>
    </row>
    <row r="59" spans="1:7">
      <c r="A59" s="26">
        <v>60013</v>
      </c>
      <c r="B59" s="26" t="s">
        <v>200</v>
      </c>
      <c r="C59" s="26" t="s">
        <v>262</v>
      </c>
      <c r="D59" s="26">
        <v>144</v>
      </c>
      <c r="E59" s="26" t="s">
        <v>359</v>
      </c>
      <c r="F59" s="3">
        <v>1743352.5024000003</v>
      </c>
      <c r="G59" s="3">
        <f t="shared" si="0"/>
        <v>12106.614600000003</v>
      </c>
    </row>
    <row r="60" spans="1:7">
      <c r="A60" s="26">
        <v>60014</v>
      </c>
      <c r="B60" s="26" t="s">
        <v>200</v>
      </c>
      <c r="C60" s="26" t="s">
        <v>263</v>
      </c>
      <c r="D60" s="26">
        <v>144</v>
      </c>
      <c r="E60" s="26" t="s">
        <v>359</v>
      </c>
      <c r="F60" s="3">
        <v>1743352.5024000003</v>
      </c>
      <c r="G60" s="3">
        <f t="shared" si="0"/>
        <v>12106.614600000003</v>
      </c>
    </row>
    <row r="61" spans="1:7">
      <c r="A61" s="26">
        <v>60015</v>
      </c>
      <c r="B61" s="26" t="s">
        <v>200</v>
      </c>
      <c r="C61" s="26" t="s">
        <v>264</v>
      </c>
      <c r="D61" s="26">
        <v>144</v>
      </c>
      <c r="E61" s="26" t="s">
        <v>359</v>
      </c>
      <c r="F61" s="3">
        <v>1393475.5296000002</v>
      </c>
      <c r="G61" s="3">
        <f t="shared" si="0"/>
        <v>9676.9134000000013</v>
      </c>
    </row>
    <row r="62" spans="1:7">
      <c r="A62" s="26">
        <v>60016</v>
      </c>
      <c r="B62" s="26" t="s">
        <v>200</v>
      </c>
      <c r="C62" s="26" t="s">
        <v>265</v>
      </c>
      <c r="D62" s="26">
        <v>144</v>
      </c>
      <c r="E62" s="26" t="s">
        <v>359</v>
      </c>
      <c r="F62" s="3">
        <v>1393475.5296000002</v>
      </c>
      <c r="G62" s="3">
        <f t="shared" si="0"/>
        <v>9676.9134000000013</v>
      </c>
    </row>
    <row r="63" spans="1:7">
      <c r="A63" s="26">
        <v>60017</v>
      </c>
      <c r="B63" s="26" t="s">
        <v>200</v>
      </c>
      <c r="C63" s="26" t="s">
        <v>266</v>
      </c>
      <c r="D63" s="26">
        <v>144</v>
      </c>
      <c r="E63" s="26" t="s">
        <v>359</v>
      </c>
      <c r="F63" s="3">
        <v>1393475.5296000002</v>
      </c>
      <c r="G63" s="3">
        <f t="shared" si="0"/>
        <v>9676.9134000000013</v>
      </c>
    </row>
    <row r="64" spans="1:7">
      <c r="A64" s="26">
        <v>60062</v>
      </c>
      <c r="B64" s="26" t="s">
        <v>200</v>
      </c>
      <c r="C64" s="26" t="s">
        <v>267</v>
      </c>
      <c r="D64" s="26">
        <v>144</v>
      </c>
      <c r="E64" s="26" t="s">
        <v>359</v>
      </c>
      <c r="F64" s="3">
        <v>1743352.5024000003</v>
      </c>
      <c r="G64" s="3">
        <f t="shared" si="0"/>
        <v>12106.614600000003</v>
      </c>
    </row>
    <row r="65" spans="1:7">
      <c r="A65" s="26">
        <v>60076</v>
      </c>
      <c r="B65" s="26" t="s">
        <v>200</v>
      </c>
      <c r="C65" s="26" t="s">
        <v>268</v>
      </c>
      <c r="D65" s="26">
        <v>144</v>
      </c>
      <c r="E65" s="26" t="s">
        <v>359</v>
      </c>
      <c r="F65" s="3">
        <v>1743352.5024000003</v>
      </c>
      <c r="G65" s="3">
        <f t="shared" si="0"/>
        <v>12106.614600000003</v>
      </c>
    </row>
    <row r="66" spans="1:7">
      <c r="A66" s="26">
        <v>60080</v>
      </c>
      <c r="B66" s="26" t="s">
        <v>200</v>
      </c>
      <c r="C66" s="26" t="s">
        <v>269</v>
      </c>
      <c r="D66" s="26">
        <v>144</v>
      </c>
      <c r="E66" s="26" t="s">
        <v>359</v>
      </c>
      <c r="F66" s="3">
        <v>1743352.5024000003</v>
      </c>
      <c r="G66" s="3">
        <f t="shared" si="0"/>
        <v>12106.614600000003</v>
      </c>
    </row>
    <row r="67" spans="1:7">
      <c r="A67" s="26">
        <v>60088</v>
      </c>
      <c r="B67" s="26" t="s">
        <v>200</v>
      </c>
      <c r="C67" s="26" t="s">
        <v>270</v>
      </c>
      <c r="D67" s="26">
        <v>144</v>
      </c>
      <c r="E67" s="26" t="s">
        <v>359</v>
      </c>
      <c r="F67" s="3">
        <v>1743352.5024000003</v>
      </c>
      <c r="G67" s="3">
        <f t="shared" si="0"/>
        <v>12106.614600000003</v>
      </c>
    </row>
    <row r="68" spans="1:7">
      <c r="A68" s="26">
        <v>60095</v>
      </c>
      <c r="B68" s="26" t="s">
        <v>200</v>
      </c>
      <c r="C68" s="26" t="s">
        <v>271</v>
      </c>
      <c r="D68" s="26">
        <v>144</v>
      </c>
      <c r="E68" s="26" t="s">
        <v>359</v>
      </c>
      <c r="F68" s="3">
        <v>1743352.5024000003</v>
      </c>
      <c r="G68" s="3">
        <f t="shared" si="0"/>
        <v>12106.614600000003</v>
      </c>
    </row>
    <row r="69" spans="1:7">
      <c r="A69" s="26">
        <v>60097</v>
      </c>
      <c r="B69" s="26" t="s">
        <v>200</v>
      </c>
      <c r="C69" s="26" t="s">
        <v>272</v>
      </c>
      <c r="D69" s="26">
        <v>576</v>
      </c>
      <c r="E69" s="26" t="s">
        <v>354</v>
      </c>
      <c r="F69" s="3">
        <v>4222653.12</v>
      </c>
      <c r="G69" s="3">
        <f t="shared" ref="G69:G132" si="1">F69/D69</f>
        <v>7330.9949999999999</v>
      </c>
    </row>
    <row r="70" spans="1:7">
      <c r="A70" s="26">
        <v>60109</v>
      </c>
      <c r="B70" s="26" t="s">
        <v>200</v>
      </c>
      <c r="C70" s="26" t="s">
        <v>273</v>
      </c>
      <c r="D70" s="26">
        <v>576</v>
      </c>
      <c r="E70" s="26" t="s">
        <v>354</v>
      </c>
      <c r="F70" s="3">
        <v>4222653.12</v>
      </c>
      <c r="G70" s="3">
        <f t="shared" si="1"/>
        <v>7330.9949999999999</v>
      </c>
    </row>
    <row r="71" spans="1:7">
      <c r="A71" s="26">
        <v>60120</v>
      </c>
      <c r="B71" s="26" t="s">
        <v>200</v>
      </c>
      <c r="C71" s="26" t="s">
        <v>274</v>
      </c>
      <c r="D71" s="26">
        <v>144</v>
      </c>
      <c r="E71" s="26" t="s">
        <v>359</v>
      </c>
      <c r="F71" s="3">
        <v>1743374.8800000001</v>
      </c>
      <c r="G71" s="3">
        <f t="shared" si="1"/>
        <v>12106.77</v>
      </c>
    </row>
    <row r="72" spans="1:7">
      <c r="A72" s="26">
        <v>60121</v>
      </c>
      <c r="B72" s="26" t="s">
        <v>200</v>
      </c>
      <c r="C72" s="26" t="s">
        <v>275</v>
      </c>
      <c r="D72" s="26">
        <v>144</v>
      </c>
      <c r="E72" s="26" t="s">
        <v>359</v>
      </c>
      <c r="F72" s="3">
        <v>1743374.8800000001</v>
      </c>
      <c r="G72" s="3">
        <f t="shared" si="1"/>
        <v>12106.77</v>
      </c>
    </row>
    <row r="73" spans="1:7">
      <c r="A73" s="26">
        <v>60124</v>
      </c>
      <c r="B73" s="26" t="s">
        <v>200</v>
      </c>
      <c r="C73" s="26" t="s">
        <v>276</v>
      </c>
      <c r="D73" s="26">
        <v>144</v>
      </c>
      <c r="E73" s="26" t="s">
        <v>359</v>
      </c>
      <c r="F73" s="3">
        <v>2292265.4400000004</v>
      </c>
      <c r="G73" s="3">
        <f t="shared" si="1"/>
        <v>15918.510000000002</v>
      </c>
    </row>
    <row r="74" spans="1:7">
      <c r="A74" s="26">
        <v>60099</v>
      </c>
      <c r="B74" s="26" t="s">
        <v>201</v>
      </c>
      <c r="C74" s="26" t="s">
        <v>277</v>
      </c>
      <c r="D74" s="26">
        <v>144</v>
      </c>
      <c r="E74" s="26" t="s">
        <v>359</v>
      </c>
      <c r="F74" s="3">
        <v>5429125.4400000004</v>
      </c>
      <c r="G74" s="3">
        <f t="shared" si="1"/>
        <v>37702.26</v>
      </c>
    </row>
    <row r="75" spans="1:7">
      <c r="A75" s="26">
        <v>60100</v>
      </c>
      <c r="B75" s="26" t="s">
        <v>201</v>
      </c>
      <c r="C75" s="26" t="s">
        <v>278</v>
      </c>
      <c r="D75" s="26">
        <v>144</v>
      </c>
      <c r="E75" s="26" t="s">
        <v>359</v>
      </c>
      <c r="F75" s="3">
        <v>5429125.4400000004</v>
      </c>
      <c r="G75" s="3">
        <f t="shared" si="1"/>
        <v>37702.26</v>
      </c>
    </row>
    <row r="76" spans="1:7">
      <c r="A76" s="26">
        <v>60101</v>
      </c>
      <c r="B76" s="26" t="s">
        <v>201</v>
      </c>
      <c r="C76" s="26" t="s">
        <v>279</v>
      </c>
      <c r="D76" s="26">
        <v>144</v>
      </c>
      <c r="E76" s="26" t="s">
        <v>359</v>
      </c>
      <c r="F76" s="3">
        <v>5429125.4400000004</v>
      </c>
      <c r="G76" s="3">
        <f t="shared" si="1"/>
        <v>37702.26</v>
      </c>
    </row>
    <row r="77" spans="1:7">
      <c r="A77" s="26">
        <v>60102</v>
      </c>
      <c r="B77" s="26" t="s">
        <v>201</v>
      </c>
      <c r="C77" s="26" t="s">
        <v>280</v>
      </c>
      <c r="D77" s="26">
        <v>72</v>
      </c>
      <c r="E77" s="26" t="s">
        <v>359</v>
      </c>
      <c r="F77" s="3">
        <v>723883.39200000011</v>
      </c>
      <c r="G77" s="3">
        <f t="shared" si="1"/>
        <v>10053.936000000002</v>
      </c>
    </row>
    <row r="78" spans="1:7">
      <c r="A78" s="26">
        <v>60103</v>
      </c>
      <c r="B78" s="26" t="s">
        <v>201</v>
      </c>
      <c r="C78" s="26" t="s">
        <v>281</v>
      </c>
      <c r="D78" s="26">
        <v>72</v>
      </c>
      <c r="E78" s="26" t="s">
        <v>359</v>
      </c>
      <c r="F78" s="3">
        <v>969702.1272000001</v>
      </c>
      <c r="G78" s="3">
        <f t="shared" si="1"/>
        <v>13468.085100000002</v>
      </c>
    </row>
    <row r="79" spans="1:7">
      <c r="A79" s="26">
        <v>60111</v>
      </c>
      <c r="B79" s="26" t="s">
        <v>201</v>
      </c>
      <c r="C79" s="26" t="s">
        <v>282</v>
      </c>
      <c r="D79" s="26">
        <v>288</v>
      </c>
      <c r="E79" s="26" t="s">
        <v>354</v>
      </c>
      <c r="F79" s="3">
        <v>2111486.4000000004</v>
      </c>
      <c r="G79" s="3">
        <f t="shared" si="1"/>
        <v>7331.5500000000011</v>
      </c>
    </row>
    <row r="80" spans="1:7">
      <c r="A80" s="26">
        <v>60117</v>
      </c>
      <c r="B80" s="26" t="s">
        <v>201</v>
      </c>
      <c r="C80" s="26" t="s">
        <v>283</v>
      </c>
      <c r="D80" s="26">
        <v>144</v>
      </c>
      <c r="E80" s="26" t="s">
        <v>359</v>
      </c>
      <c r="F80" s="3">
        <v>3242352.8016000004</v>
      </c>
      <c r="G80" s="3">
        <f t="shared" si="1"/>
        <v>22516.338900000002</v>
      </c>
    </row>
    <row r="81" spans="1:7">
      <c r="A81" s="26">
        <v>60118</v>
      </c>
      <c r="B81" s="26" t="s">
        <v>201</v>
      </c>
      <c r="C81" s="26" t="s">
        <v>284</v>
      </c>
      <c r="D81" s="26">
        <v>144</v>
      </c>
      <c r="E81" s="26" t="s">
        <v>359</v>
      </c>
      <c r="F81" s="3">
        <v>3242352.8016000004</v>
      </c>
      <c r="G81" s="3">
        <f t="shared" si="1"/>
        <v>22516.338900000002</v>
      </c>
    </row>
    <row r="82" spans="1:7">
      <c r="A82" s="26">
        <v>60119</v>
      </c>
      <c r="B82" s="26" t="s">
        <v>201</v>
      </c>
      <c r="C82" s="26" t="s">
        <v>285</v>
      </c>
      <c r="D82" s="26">
        <v>144</v>
      </c>
      <c r="E82" s="26" t="s">
        <v>359</v>
      </c>
      <c r="F82" s="3">
        <v>3242352.8016000004</v>
      </c>
      <c r="G82" s="3">
        <f t="shared" si="1"/>
        <v>22516.338900000002</v>
      </c>
    </row>
    <row r="83" spans="1:7">
      <c r="A83" s="26">
        <v>60114</v>
      </c>
      <c r="B83" s="26" t="s">
        <v>202</v>
      </c>
      <c r="C83" s="26" t="s">
        <v>286</v>
      </c>
      <c r="D83" s="26">
        <v>100</v>
      </c>
      <c r="E83" s="26" t="s">
        <v>359</v>
      </c>
      <c r="F83" s="3">
        <v>1989897.0000000002</v>
      </c>
      <c r="G83" s="3">
        <f t="shared" si="1"/>
        <v>19898.97</v>
      </c>
    </row>
    <row r="84" spans="1:7">
      <c r="A84" s="26">
        <v>60030</v>
      </c>
      <c r="B84" s="26" t="s">
        <v>203</v>
      </c>
      <c r="C84" s="26" t="s">
        <v>287</v>
      </c>
      <c r="D84" s="26">
        <v>100</v>
      </c>
      <c r="E84" s="26" t="s">
        <v>359</v>
      </c>
      <c r="F84" s="3">
        <v>2817178.89</v>
      </c>
      <c r="G84" s="3">
        <f t="shared" si="1"/>
        <v>28171.7889</v>
      </c>
    </row>
    <row r="85" spans="1:7">
      <c r="A85" s="26">
        <v>60037</v>
      </c>
      <c r="B85" s="26" t="s">
        <v>203</v>
      </c>
      <c r="C85" s="26" t="s">
        <v>288</v>
      </c>
      <c r="D85" s="26">
        <v>100</v>
      </c>
      <c r="E85" s="26" t="s">
        <v>359</v>
      </c>
      <c r="F85" s="3">
        <v>2817178.89</v>
      </c>
      <c r="G85" s="3">
        <f t="shared" si="1"/>
        <v>28171.7889</v>
      </c>
    </row>
    <row r="86" spans="1:7">
      <c r="A86" s="26">
        <v>60042</v>
      </c>
      <c r="B86" s="26" t="s">
        <v>203</v>
      </c>
      <c r="C86" s="26" t="s">
        <v>289</v>
      </c>
      <c r="D86" s="26">
        <v>100</v>
      </c>
      <c r="E86" s="26" t="s">
        <v>359</v>
      </c>
      <c r="F86" s="3">
        <v>3141855.0000000005</v>
      </c>
      <c r="G86" s="3">
        <f t="shared" si="1"/>
        <v>31418.550000000003</v>
      </c>
    </row>
    <row r="87" spans="1:7">
      <c r="A87" s="26">
        <v>60043</v>
      </c>
      <c r="B87" s="26" t="s">
        <v>203</v>
      </c>
      <c r="C87" s="26" t="s">
        <v>290</v>
      </c>
      <c r="D87" s="26">
        <v>100</v>
      </c>
      <c r="E87" s="26" t="s">
        <v>359</v>
      </c>
      <c r="F87" s="3">
        <v>3141855.0000000005</v>
      </c>
      <c r="G87" s="3">
        <f t="shared" si="1"/>
        <v>31418.550000000003</v>
      </c>
    </row>
    <row r="88" spans="1:7">
      <c r="A88" s="26">
        <v>60046</v>
      </c>
      <c r="B88" s="26" t="s">
        <v>203</v>
      </c>
      <c r="C88" s="26" t="s">
        <v>291</v>
      </c>
      <c r="D88" s="26">
        <v>100</v>
      </c>
      <c r="E88" s="26" t="s">
        <v>359</v>
      </c>
      <c r="F88" s="3">
        <v>1487178.0000000002</v>
      </c>
      <c r="G88" s="3">
        <f t="shared" si="1"/>
        <v>14871.780000000002</v>
      </c>
    </row>
    <row r="89" spans="1:7">
      <c r="A89" s="26">
        <v>60047</v>
      </c>
      <c r="B89" s="26" t="s">
        <v>203</v>
      </c>
      <c r="C89" s="26" t="s">
        <v>292</v>
      </c>
      <c r="D89" s="26">
        <v>100</v>
      </c>
      <c r="E89" s="26" t="s">
        <v>359</v>
      </c>
      <c r="F89" s="3">
        <v>1487178.0000000002</v>
      </c>
      <c r="G89" s="3">
        <f t="shared" si="1"/>
        <v>14871.780000000002</v>
      </c>
    </row>
    <row r="90" spans="1:7">
      <c r="A90" s="26">
        <v>60048</v>
      </c>
      <c r="B90" s="26" t="s">
        <v>203</v>
      </c>
      <c r="C90" s="26" t="s">
        <v>293</v>
      </c>
      <c r="D90" s="26">
        <v>100</v>
      </c>
      <c r="E90" s="26" t="s">
        <v>362</v>
      </c>
      <c r="F90" s="3">
        <v>1885113.0000000002</v>
      </c>
      <c r="G90" s="3">
        <f t="shared" si="1"/>
        <v>18851.13</v>
      </c>
    </row>
    <row r="91" spans="1:7">
      <c r="A91" s="26">
        <v>60049</v>
      </c>
      <c r="B91" s="26" t="s">
        <v>203</v>
      </c>
      <c r="C91" s="26" t="s">
        <v>294</v>
      </c>
      <c r="D91" s="26">
        <v>100</v>
      </c>
      <c r="E91" s="26" t="s">
        <v>362</v>
      </c>
      <c r="F91" s="3">
        <v>3141855.0000000005</v>
      </c>
      <c r="G91" s="3">
        <f t="shared" si="1"/>
        <v>31418.550000000003</v>
      </c>
    </row>
    <row r="92" spans="1:7">
      <c r="A92" s="26">
        <v>60050</v>
      </c>
      <c r="B92" s="26" t="s">
        <v>203</v>
      </c>
      <c r="C92" s="26" t="s">
        <v>295</v>
      </c>
      <c r="D92" s="26">
        <v>100</v>
      </c>
      <c r="E92" s="26" t="s">
        <v>362</v>
      </c>
      <c r="F92" s="3">
        <v>1885113.0000000002</v>
      </c>
      <c r="G92" s="3">
        <f t="shared" si="1"/>
        <v>18851.13</v>
      </c>
    </row>
    <row r="93" spans="1:7">
      <c r="A93" s="26">
        <v>60051</v>
      </c>
      <c r="B93" s="26" t="s">
        <v>203</v>
      </c>
      <c r="C93" s="26" t="s">
        <v>296</v>
      </c>
      <c r="D93" s="26">
        <v>100</v>
      </c>
      <c r="E93" s="26" t="s">
        <v>362</v>
      </c>
      <c r="F93" s="3">
        <v>3141855.0000000005</v>
      </c>
      <c r="G93" s="3">
        <f t="shared" si="1"/>
        <v>31418.550000000003</v>
      </c>
    </row>
    <row r="94" spans="1:7">
      <c r="A94" s="26">
        <v>60060</v>
      </c>
      <c r="B94" s="26" t="s">
        <v>203</v>
      </c>
      <c r="C94" s="26" t="s">
        <v>297</v>
      </c>
      <c r="D94" s="26">
        <v>100</v>
      </c>
      <c r="E94" s="26" t="s">
        <v>362</v>
      </c>
      <c r="F94" s="3">
        <v>1885113.0000000002</v>
      </c>
      <c r="G94" s="3">
        <f t="shared" si="1"/>
        <v>18851.13</v>
      </c>
    </row>
    <row r="95" spans="1:7">
      <c r="A95" s="26">
        <v>60061</v>
      </c>
      <c r="B95" s="26" t="s">
        <v>203</v>
      </c>
      <c r="C95" s="26" t="s">
        <v>298</v>
      </c>
      <c r="D95" s="26">
        <v>100</v>
      </c>
      <c r="E95" s="26" t="s">
        <v>359</v>
      </c>
      <c r="F95" s="3">
        <v>2817178.89</v>
      </c>
      <c r="G95" s="3">
        <f t="shared" si="1"/>
        <v>28171.7889</v>
      </c>
    </row>
    <row r="96" spans="1:7">
      <c r="A96" s="26">
        <v>60063</v>
      </c>
      <c r="B96" s="26" t="s">
        <v>203</v>
      </c>
      <c r="C96" s="26" t="s">
        <v>299</v>
      </c>
      <c r="D96" s="26">
        <v>144</v>
      </c>
      <c r="E96" s="26" t="s">
        <v>354</v>
      </c>
      <c r="F96" s="3">
        <v>1788449.7600000002</v>
      </c>
      <c r="G96" s="3">
        <f t="shared" si="1"/>
        <v>12419.79</v>
      </c>
    </row>
    <row r="97" spans="1:7">
      <c r="A97" s="26">
        <v>60078</v>
      </c>
      <c r="B97" s="26" t="s">
        <v>203</v>
      </c>
      <c r="C97" s="26" t="s">
        <v>300</v>
      </c>
      <c r="D97" s="26">
        <v>100</v>
      </c>
      <c r="E97" s="26" t="s">
        <v>362</v>
      </c>
      <c r="F97" s="3">
        <v>3141855.0000000005</v>
      </c>
      <c r="G97" s="3">
        <f t="shared" si="1"/>
        <v>31418.550000000003</v>
      </c>
    </row>
    <row r="98" spans="1:7">
      <c r="A98" s="26">
        <v>60081</v>
      </c>
      <c r="B98" s="26" t="s">
        <v>203</v>
      </c>
      <c r="C98" s="26" t="s">
        <v>301</v>
      </c>
      <c r="D98" s="26">
        <v>100</v>
      </c>
      <c r="E98" s="26" t="s">
        <v>363</v>
      </c>
      <c r="F98" s="3">
        <v>1214895</v>
      </c>
      <c r="G98" s="3">
        <f t="shared" si="1"/>
        <v>12148.95</v>
      </c>
    </row>
    <row r="99" spans="1:7">
      <c r="A99" s="26">
        <v>60098</v>
      </c>
      <c r="B99" s="26" t="s">
        <v>203</v>
      </c>
      <c r="C99" s="26" t="s">
        <v>302</v>
      </c>
      <c r="D99" s="26">
        <v>100</v>
      </c>
      <c r="E99" s="26" t="s">
        <v>359</v>
      </c>
      <c r="F99" s="3">
        <v>1487178.0000000002</v>
      </c>
      <c r="G99" s="3">
        <f t="shared" si="1"/>
        <v>14871.780000000002</v>
      </c>
    </row>
    <row r="100" spans="1:7">
      <c r="A100" s="26">
        <v>60112</v>
      </c>
      <c r="B100" s="26" t="s">
        <v>203</v>
      </c>
      <c r="C100" s="26" t="s">
        <v>303</v>
      </c>
      <c r="D100" s="26">
        <v>100</v>
      </c>
      <c r="E100" s="26" t="s">
        <v>359</v>
      </c>
      <c r="F100" s="3">
        <v>2817178.89</v>
      </c>
      <c r="G100" s="3">
        <f t="shared" si="1"/>
        <v>28171.7889</v>
      </c>
    </row>
    <row r="101" spans="1:7">
      <c r="A101" s="26">
        <v>60113</v>
      </c>
      <c r="B101" s="26" t="s">
        <v>203</v>
      </c>
      <c r="C101" s="26" t="s">
        <v>304</v>
      </c>
      <c r="D101" s="26">
        <v>100</v>
      </c>
      <c r="E101" s="26" t="s">
        <v>359</v>
      </c>
      <c r="F101" s="3">
        <v>2817178.89</v>
      </c>
      <c r="G101" s="3">
        <f t="shared" si="1"/>
        <v>28171.7889</v>
      </c>
    </row>
    <row r="102" spans="1:7">
      <c r="A102" s="26">
        <v>60115</v>
      </c>
      <c r="B102" s="26" t="s">
        <v>203</v>
      </c>
      <c r="C102" s="26" t="s">
        <v>305</v>
      </c>
      <c r="D102" s="26">
        <v>100</v>
      </c>
      <c r="E102" s="26" t="s">
        <v>359</v>
      </c>
      <c r="F102" s="3">
        <v>1885113.0000000002</v>
      </c>
      <c r="G102" s="3">
        <f t="shared" si="1"/>
        <v>18851.13</v>
      </c>
    </row>
    <row r="103" spans="1:7">
      <c r="A103" s="26">
        <v>60116</v>
      </c>
      <c r="B103" s="26" t="s">
        <v>203</v>
      </c>
      <c r="C103" s="26" t="s">
        <v>306</v>
      </c>
      <c r="D103" s="26">
        <v>100</v>
      </c>
      <c r="E103" s="26" t="s">
        <v>359</v>
      </c>
      <c r="F103" s="3">
        <v>1885113.0000000002</v>
      </c>
      <c r="G103" s="3">
        <f t="shared" si="1"/>
        <v>18851.13</v>
      </c>
    </row>
    <row r="104" spans="1:7">
      <c r="A104" s="26">
        <v>60009</v>
      </c>
      <c r="B104" s="26" t="s">
        <v>204</v>
      </c>
      <c r="C104" s="26" t="s">
        <v>307</v>
      </c>
      <c r="D104" s="26">
        <v>48</v>
      </c>
      <c r="E104" s="26" t="s">
        <v>359</v>
      </c>
      <c r="F104" s="3">
        <v>965177.85600000015</v>
      </c>
      <c r="G104" s="3">
        <f t="shared" si="1"/>
        <v>20107.872000000003</v>
      </c>
    </row>
    <row r="105" spans="1:7">
      <c r="A105" s="26">
        <v>60010</v>
      </c>
      <c r="B105" s="26" t="s">
        <v>204</v>
      </c>
      <c r="C105" s="26" t="s">
        <v>308</v>
      </c>
      <c r="D105" s="26">
        <v>48</v>
      </c>
      <c r="E105" s="26" t="s">
        <v>359</v>
      </c>
      <c r="F105" s="3">
        <v>1095879.024</v>
      </c>
      <c r="G105" s="3">
        <f t="shared" si="1"/>
        <v>22830.812999999998</v>
      </c>
    </row>
    <row r="106" spans="1:7">
      <c r="A106" s="26">
        <v>60028</v>
      </c>
      <c r="B106" s="26" t="s">
        <v>204</v>
      </c>
      <c r="C106" s="26" t="s">
        <v>309</v>
      </c>
      <c r="D106" s="26">
        <v>24</v>
      </c>
      <c r="E106" s="26" t="s">
        <v>359</v>
      </c>
      <c r="F106" s="3">
        <v>741479.37840000016</v>
      </c>
      <c r="G106" s="3">
        <f t="shared" si="1"/>
        <v>30894.974100000007</v>
      </c>
    </row>
    <row r="107" spans="1:7">
      <c r="A107" s="26">
        <v>60029</v>
      </c>
      <c r="B107" s="26" t="s">
        <v>204</v>
      </c>
      <c r="C107" s="26" t="s">
        <v>310</v>
      </c>
      <c r="D107" s="26">
        <v>24</v>
      </c>
      <c r="E107" s="26" t="s">
        <v>359</v>
      </c>
      <c r="F107" s="3">
        <v>821910.86640000006</v>
      </c>
      <c r="G107" s="3">
        <f t="shared" si="1"/>
        <v>34246.286100000005</v>
      </c>
    </row>
    <row r="108" spans="1:7">
      <c r="A108" s="26">
        <v>60035</v>
      </c>
      <c r="B108" s="26" t="s">
        <v>204</v>
      </c>
      <c r="C108" s="26" t="s">
        <v>311</v>
      </c>
      <c r="D108" s="26">
        <v>48</v>
      </c>
      <c r="E108" s="26" t="s">
        <v>359</v>
      </c>
      <c r="F108" s="3">
        <v>965177.85600000015</v>
      </c>
      <c r="G108" s="3">
        <f t="shared" si="1"/>
        <v>20107.872000000003</v>
      </c>
    </row>
    <row r="109" spans="1:7">
      <c r="A109" s="26">
        <v>60038</v>
      </c>
      <c r="B109" s="26" t="s">
        <v>204</v>
      </c>
      <c r="C109" s="26" t="s">
        <v>312</v>
      </c>
      <c r="D109" s="26">
        <v>12</v>
      </c>
      <c r="E109" s="26" t="s">
        <v>359</v>
      </c>
      <c r="F109" s="3">
        <v>684925.18920000002</v>
      </c>
      <c r="G109" s="3">
        <f t="shared" si="1"/>
        <v>57077.099099999999</v>
      </c>
    </row>
    <row r="110" spans="1:7">
      <c r="A110" s="26">
        <v>60039</v>
      </c>
      <c r="B110" s="26" t="s">
        <v>204</v>
      </c>
      <c r="C110" s="26" t="s">
        <v>313</v>
      </c>
      <c r="D110" s="26">
        <v>12</v>
      </c>
      <c r="E110" s="26" t="s">
        <v>359</v>
      </c>
      <c r="F110" s="3">
        <v>730167.90120000008</v>
      </c>
      <c r="G110" s="3">
        <f t="shared" si="1"/>
        <v>60847.325100000009</v>
      </c>
    </row>
    <row r="111" spans="1:7">
      <c r="A111" s="26">
        <v>60040</v>
      </c>
      <c r="B111" s="26" t="s">
        <v>204</v>
      </c>
      <c r="C111" s="26" t="s">
        <v>314</v>
      </c>
      <c r="D111" s="26">
        <v>24</v>
      </c>
      <c r="E111" s="26" t="s">
        <v>359</v>
      </c>
      <c r="F111" s="3">
        <v>741479.37840000016</v>
      </c>
      <c r="G111" s="3">
        <f t="shared" si="1"/>
        <v>30894.974100000007</v>
      </c>
    </row>
    <row r="112" spans="1:7">
      <c r="A112" s="26">
        <v>60052</v>
      </c>
      <c r="B112" s="26" t="s">
        <v>204</v>
      </c>
      <c r="C112" s="26" t="s">
        <v>315</v>
      </c>
      <c r="D112" s="26">
        <v>24</v>
      </c>
      <c r="E112" s="26" t="s">
        <v>359</v>
      </c>
      <c r="F112" s="3">
        <v>331774.56000000006</v>
      </c>
      <c r="G112" s="3">
        <f t="shared" si="1"/>
        <v>13823.940000000002</v>
      </c>
    </row>
    <row r="113" spans="1:7">
      <c r="A113" s="26">
        <v>60057</v>
      </c>
      <c r="B113" s="26" t="s">
        <v>204</v>
      </c>
      <c r="C113" s="26" t="s">
        <v>316</v>
      </c>
      <c r="D113" s="26">
        <v>24</v>
      </c>
      <c r="E113" s="26" t="s">
        <v>359</v>
      </c>
      <c r="F113" s="3">
        <v>331774.56000000006</v>
      </c>
      <c r="G113" s="3">
        <f t="shared" si="1"/>
        <v>13823.940000000002</v>
      </c>
    </row>
    <row r="114" spans="1:7">
      <c r="A114" s="26">
        <v>60065</v>
      </c>
      <c r="B114" s="26" t="s">
        <v>204</v>
      </c>
      <c r="C114" s="26" t="s">
        <v>317</v>
      </c>
      <c r="D114" s="26">
        <v>24</v>
      </c>
      <c r="E114" s="26" t="s">
        <v>359</v>
      </c>
      <c r="F114" s="3">
        <v>331774.56000000006</v>
      </c>
      <c r="G114" s="3">
        <f t="shared" si="1"/>
        <v>13823.940000000002</v>
      </c>
    </row>
    <row r="115" spans="1:7">
      <c r="A115" s="26">
        <v>60067</v>
      </c>
      <c r="B115" s="26" t="s">
        <v>204</v>
      </c>
      <c r="C115" s="26" t="s">
        <v>318</v>
      </c>
      <c r="D115" s="26">
        <v>48</v>
      </c>
      <c r="E115" s="26" t="s">
        <v>359</v>
      </c>
      <c r="F115" s="3">
        <v>1095879.024</v>
      </c>
      <c r="G115" s="3">
        <f t="shared" si="1"/>
        <v>22830.812999999998</v>
      </c>
    </row>
    <row r="116" spans="1:7">
      <c r="A116" s="26">
        <v>60070</v>
      </c>
      <c r="B116" s="26" t="s">
        <v>204</v>
      </c>
      <c r="C116" s="26" t="s">
        <v>319</v>
      </c>
      <c r="D116" s="27">
        <v>24</v>
      </c>
      <c r="E116" s="28" t="s">
        <v>359</v>
      </c>
      <c r="F116" s="3">
        <v>578114.64</v>
      </c>
      <c r="G116" s="3">
        <f t="shared" si="1"/>
        <v>24088.11</v>
      </c>
    </row>
    <row r="117" spans="1:7">
      <c r="A117" s="26">
        <v>60071</v>
      </c>
      <c r="B117" s="26" t="s">
        <v>204</v>
      </c>
      <c r="C117" s="26" t="s">
        <v>320</v>
      </c>
      <c r="D117" s="26">
        <v>24</v>
      </c>
      <c r="E117" s="26" t="s">
        <v>359</v>
      </c>
      <c r="F117" s="3">
        <v>482588.92800000007</v>
      </c>
      <c r="G117" s="3">
        <f t="shared" si="1"/>
        <v>20107.872000000003</v>
      </c>
    </row>
    <row r="118" spans="1:7">
      <c r="A118" s="26">
        <v>60072</v>
      </c>
      <c r="B118" s="26" t="s">
        <v>204</v>
      </c>
      <c r="C118" s="26" t="s">
        <v>321</v>
      </c>
      <c r="D118" s="26">
        <v>48</v>
      </c>
      <c r="E118" s="26" t="s">
        <v>359</v>
      </c>
      <c r="F118" s="3">
        <v>965177.85600000015</v>
      </c>
      <c r="G118" s="3">
        <f t="shared" si="1"/>
        <v>20107.872000000003</v>
      </c>
    </row>
    <row r="119" spans="1:7">
      <c r="A119" s="26">
        <v>60075</v>
      </c>
      <c r="B119" s="26" t="s">
        <v>204</v>
      </c>
      <c r="C119" s="26" t="s">
        <v>322</v>
      </c>
      <c r="D119" s="26">
        <v>60</v>
      </c>
      <c r="E119" s="26" t="s">
        <v>357</v>
      </c>
      <c r="F119" s="3">
        <v>452413.80000000005</v>
      </c>
      <c r="G119" s="3">
        <f t="shared" si="1"/>
        <v>7540.2300000000005</v>
      </c>
    </row>
    <row r="120" spans="1:7">
      <c r="A120" s="26">
        <v>60083</v>
      </c>
      <c r="B120" s="26" t="s">
        <v>204</v>
      </c>
      <c r="C120" s="26" t="s">
        <v>323</v>
      </c>
      <c r="D120" s="26">
        <v>48</v>
      </c>
      <c r="E120" s="26" t="s">
        <v>361</v>
      </c>
      <c r="F120" s="3">
        <v>618313.8672000001</v>
      </c>
      <c r="G120" s="3">
        <f t="shared" si="1"/>
        <v>12881.538900000001</v>
      </c>
    </row>
    <row r="121" spans="1:7">
      <c r="A121" s="26">
        <v>60084</v>
      </c>
      <c r="B121" s="26" t="s">
        <v>204</v>
      </c>
      <c r="C121" s="26" t="s">
        <v>324</v>
      </c>
      <c r="D121" s="26">
        <v>48</v>
      </c>
      <c r="E121" s="26" t="s">
        <v>359</v>
      </c>
      <c r="F121" s="3">
        <v>1095879.024</v>
      </c>
      <c r="G121" s="3">
        <f t="shared" si="1"/>
        <v>22830.812999999998</v>
      </c>
    </row>
    <row r="122" spans="1:7">
      <c r="A122" s="26">
        <v>60091</v>
      </c>
      <c r="B122" s="26" t="s">
        <v>204</v>
      </c>
      <c r="C122" s="26" t="s">
        <v>325</v>
      </c>
      <c r="D122" s="26">
        <v>24</v>
      </c>
      <c r="E122" s="26" t="s">
        <v>359</v>
      </c>
      <c r="F122" s="3">
        <v>821910.86640000006</v>
      </c>
      <c r="G122" s="3">
        <f t="shared" si="1"/>
        <v>34246.286100000005</v>
      </c>
    </row>
    <row r="123" spans="1:7">
      <c r="A123" s="26">
        <v>60092</v>
      </c>
      <c r="B123" s="26" t="s">
        <v>204</v>
      </c>
      <c r="C123" s="26" t="s">
        <v>326</v>
      </c>
      <c r="D123" s="26">
        <v>12</v>
      </c>
      <c r="E123" s="26" t="s">
        <v>359</v>
      </c>
      <c r="F123" s="3">
        <v>684925.18920000002</v>
      </c>
      <c r="G123" s="3">
        <f t="shared" si="1"/>
        <v>57077.099099999999</v>
      </c>
    </row>
    <row r="124" spans="1:7">
      <c r="A124" s="26">
        <v>60093</v>
      </c>
      <c r="B124" s="26" t="s">
        <v>204</v>
      </c>
      <c r="C124" s="26" t="s">
        <v>327</v>
      </c>
      <c r="D124" s="26">
        <v>24</v>
      </c>
      <c r="E124" s="26" t="s">
        <v>359</v>
      </c>
      <c r="F124" s="3">
        <v>821897.01360000006</v>
      </c>
      <c r="G124" s="3">
        <f t="shared" si="1"/>
        <v>34245.708900000005</v>
      </c>
    </row>
    <row r="125" spans="1:7">
      <c r="A125" s="26">
        <v>60094</v>
      </c>
      <c r="B125" s="26" t="s">
        <v>204</v>
      </c>
      <c r="C125" s="26" t="s">
        <v>328</v>
      </c>
      <c r="D125" s="26">
        <v>12</v>
      </c>
      <c r="E125" s="26" t="s">
        <v>359</v>
      </c>
      <c r="F125" s="3">
        <v>730167.90120000008</v>
      </c>
      <c r="G125" s="3">
        <f t="shared" si="1"/>
        <v>60847.325100000009</v>
      </c>
    </row>
    <row r="126" spans="1:7">
      <c r="A126" s="26">
        <v>60096</v>
      </c>
      <c r="B126" s="26" t="s">
        <v>204</v>
      </c>
      <c r="C126" s="26" t="s">
        <v>329</v>
      </c>
      <c r="D126" s="26">
        <v>12</v>
      </c>
      <c r="E126" s="26" t="s">
        <v>359</v>
      </c>
      <c r="F126" s="3">
        <v>1103415.48</v>
      </c>
      <c r="G126" s="3">
        <f t="shared" si="1"/>
        <v>91951.29</v>
      </c>
    </row>
    <row r="127" spans="1:7">
      <c r="A127" s="26">
        <v>60104</v>
      </c>
      <c r="B127" s="26" t="s">
        <v>204</v>
      </c>
      <c r="C127" s="26" t="s">
        <v>330</v>
      </c>
      <c r="D127" s="26">
        <v>12</v>
      </c>
      <c r="E127" s="26" t="s">
        <v>364</v>
      </c>
      <c r="F127" s="3">
        <v>547944.84000000008</v>
      </c>
      <c r="G127" s="3">
        <f t="shared" si="1"/>
        <v>45662.070000000007</v>
      </c>
    </row>
    <row r="128" spans="1:7">
      <c r="A128" s="26">
        <v>60105</v>
      </c>
      <c r="B128" s="26" t="s">
        <v>204</v>
      </c>
      <c r="C128" s="26" t="s">
        <v>331</v>
      </c>
      <c r="D128" s="26">
        <v>144</v>
      </c>
      <c r="E128" s="26" t="s">
        <v>365</v>
      </c>
      <c r="F128" s="3">
        <v>1161239.1984000001</v>
      </c>
      <c r="G128" s="3">
        <f t="shared" si="1"/>
        <v>8064.1611000000012</v>
      </c>
    </row>
    <row r="129" spans="1:7">
      <c r="A129" s="26">
        <v>60110</v>
      </c>
      <c r="B129" s="26" t="s">
        <v>204</v>
      </c>
      <c r="C129" s="26" t="s">
        <v>332</v>
      </c>
      <c r="D129" s="26">
        <v>12</v>
      </c>
      <c r="E129" s="26" t="s">
        <v>359</v>
      </c>
      <c r="F129" s="3">
        <v>634658.17320000008</v>
      </c>
      <c r="G129" s="3">
        <f t="shared" si="1"/>
        <v>52888.181100000009</v>
      </c>
    </row>
    <row r="130" spans="1:7">
      <c r="A130" s="26">
        <v>60054</v>
      </c>
      <c r="B130" s="26" t="s">
        <v>205</v>
      </c>
      <c r="C130" s="26" t="s">
        <v>333</v>
      </c>
      <c r="D130" s="26">
        <v>144</v>
      </c>
      <c r="E130" s="26" t="s">
        <v>353</v>
      </c>
      <c r="F130" s="3">
        <v>2488349.16</v>
      </c>
      <c r="G130" s="3">
        <f t="shared" si="1"/>
        <v>17280.202499999999</v>
      </c>
    </row>
    <row r="131" spans="1:7">
      <c r="A131" s="26">
        <v>60055</v>
      </c>
      <c r="B131" s="26" t="s">
        <v>205</v>
      </c>
      <c r="C131" s="26" t="s">
        <v>334</v>
      </c>
      <c r="D131" s="26">
        <v>48</v>
      </c>
      <c r="E131" s="26" t="s">
        <v>359</v>
      </c>
      <c r="F131" s="3">
        <v>2835188.64</v>
      </c>
      <c r="G131" s="3">
        <f t="shared" si="1"/>
        <v>59066.43</v>
      </c>
    </row>
    <row r="132" spans="1:7">
      <c r="A132" s="26">
        <v>60056</v>
      </c>
      <c r="B132" s="26" t="s">
        <v>205</v>
      </c>
      <c r="C132" s="26" t="s">
        <v>335</v>
      </c>
      <c r="D132" s="26">
        <v>24</v>
      </c>
      <c r="E132" s="26" t="s">
        <v>359</v>
      </c>
      <c r="F132" s="3">
        <v>2503440.7200000002</v>
      </c>
      <c r="G132" s="3">
        <f t="shared" si="1"/>
        <v>104310.03000000001</v>
      </c>
    </row>
    <row r="133" spans="1:7">
      <c r="A133" s="26">
        <v>60068</v>
      </c>
      <c r="B133" s="26" t="s">
        <v>205</v>
      </c>
      <c r="C133" s="26" t="s">
        <v>336</v>
      </c>
      <c r="D133" s="26">
        <v>144</v>
      </c>
      <c r="E133" s="26" t="s">
        <v>365</v>
      </c>
      <c r="F133" s="3">
        <v>2473268.2560000005</v>
      </c>
      <c r="G133" s="3">
        <f t="shared" ref="G133:G149" si="2">F133/D133</f>
        <v>17175.474000000002</v>
      </c>
    </row>
    <row r="134" spans="1:7">
      <c r="A134" s="26">
        <v>60082</v>
      </c>
      <c r="B134" s="26" t="s">
        <v>205</v>
      </c>
      <c r="C134" s="26" t="s">
        <v>337</v>
      </c>
      <c r="D134" s="26">
        <v>144</v>
      </c>
      <c r="E134" s="26" t="s">
        <v>365</v>
      </c>
      <c r="F134" s="3">
        <v>2488349.16</v>
      </c>
      <c r="G134" s="3">
        <f t="shared" si="2"/>
        <v>17280.202499999999</v>
      </c>
    </row>
    <row r="135" spans="1:7">
      <c r="A135" s="26">
        <v>60086</v>
      </c>
      <c r="B135" s="26" t="s">
        <v>205</v>
      </c>
      <c r="C135" s="26" t="s">
        <v>338</v>
      </c>
      <c r="D135" s="26">
        <v>144</v>
      </c>
      <c r="E135" s="26" t="s">
        <v>365</v>
      </c>
      <c r="F135" s="3">
        <v>904854.24000000011</v>
      </c>
      <c r="G135" s="3">
        <f t="shared" si="2"/>
        <v>6283.7100000000009</v>
      </c>
    </row>
    <row r="136" spans="1:7">
      <c r="A136" s="26">
        <v>60090</v>
      </c>
      <c r="B136" s="26" t="s">
        <v>205</v>
      </c>
      <c r="C136" s="26" t="s">
        <v>339</v>
      </c>
      <c r="D136" s="26">
        <v>72</v>
      </c>
      <c r="E136" s="26" t="s">
        <v>359</v>
      </c>
      <c r="F136" s="3">
        <v>1131067.8</v>
      </c>
      <c r="G136" s="3">
        <f t="shared" si="2"/>
        <v>15709.275000000001</v>
      </c>
    </row>
    <row r="137" spans="1:7">
      <c r="A137" s="26">
        <v>60020</v>
      </c>
      <c r="B137" s="26" t="s">
        <v>206</v>
      </c>
      <c r="C137" s="26" t="s">
        <v>340</v>
      </c>
      <c r="D137" s="26">
        <v>240</v>
      </c>
      <c r="E137" s="26" t="s">
        <v>359</v>
      </c>
      <c r="F137" s="3">
        <v>3116720.16</v>
      </c>
      <c r="G137" s="3">
        <f t="shared" si="2"/>
        <v>12986.334000000001</v>
      </c>
    </row>
    <row r="138" spans="1:7">
      <c r="A138" s="26">
        <v>60021</v>
      </c>
      <c r="B138" s="26" t="s">
        <v>206</v>
      </c>
      <c r="C138" s="26" t="s">
        <v>341</v>
      </c>
      <c r="D138" s="26">
        <v>120</v>
      </c>
      <c r="E138" s="26" t="s">
        <v>359</v>
      </c>
      <c r="F138" s="3">
        <v>2588888.52</v>
      </c>
      <c r="G138" s="3">
        <f t="shared" si="2"/>
        <v>21574.071</v>
      </c>
    </row>
    <row r="139" spans="1:7">
      <c r="A139" s="26">
        <v>60022</v>
      </c>
      <c r="B139" s="26" t="s">
        <v>206</v>
      </c>
      <c r="C139" s="26" t="s">
        <v>342</v>
      </c>
      <c r="D139" s="26">
        <v>288</v>
      </c>
      <c r="E139" s="26" t="s">
        <v>363</v>
      </c>
      <c r="F139" s="3">
        <v>2262135.6</v>
      </c>
      <c r="G139" s="3">
        <f t="shared" si="2"/>
        <v>7854.6375000000007</v>
      </c>
    </row>
    <row r="140" spans="1:7">
      <c r="A140" s="26">
        <v>60023</v>
      </c>
      <c r="B140" s="26" t="s">
        <v>206</v>
      </c>
      <c r="C140" s="26" t="s">
        <v>343</v>
      </c>
      <c r="D140" s="26">
        <v>144</v>
      </c>
      <c r="E140" s="26" t="s">
        <v>363</v>
      </c>
      <c r="F140" s="3">
        <v>2081164.7520000001</v>
      </c>
      <c r="G140" s="3">
        <f t="shared" si="2"/>
        <v>14452.533000000001</v>
      </c>
    </row>
    <row r="141" spans="1:7">
      <c r="A141" s="26">
        <v>60025</v>
      </c>
      <c r="B141" s="26" t="s">
        <v>206</v>
      </c>
      <c r="C141" s="26" t="s">
        <v>344</v>
      </c>
      <c r="D141" s="26">
        <v>240</v>
      </c>
      <c r="E141" s="26" t="s">
        <v>359</v>
      </c>
      <c r="F141" s="3">
        <v>3317798.8800000004</v>
      </c>
      <c r="G141" s="3">
        <f t="shared" si="2"/>
        <v>13824.162000000002</v>
      </c>
    </row>
    <row r="142" spans="1:7">
      <c r="A142" s="26">
        <v>60027</v>
      </c>
      <c r="B142" s="26" t="s">
        <v>206</v>
      </c>
      <c r="C142" s="26" t="s">
        <v>345</v>
      </c>
      <c r="D142" s="26">
        <v>120</v>
      </c>
      <c r="E142" s="26" t="s">
        <v>359</v>
      </c>
      <c r="F142" s="3">
        <v>3016180.8000000003</v>
      </c>
      <c r="G142" s="3">
        <f t="shared" si="2"/>
        <v>25134.840000000004</v>
      </c>
    </row>
    <row r="143" spans="1:7">
      <c r="A143" s="26">
        <v>60031</v>
      </c>
      <c r="B143" s="26" t="s">
        <v>206</v>
      </c>
      <c r="C143" s="26" t="s">
        <v>346</v>
      </c>
      <c r="D143" s="26">
        <v>240</v>
      </c>
      <c r="E143" s="26" t="s">
        <v>359</v>
      </c>
      <c r="F143" s="3">
        <v>4021574.4000000004</v>
      </c>
      <c r="G143" s="3">
        <f t="shared" si="2"/>
        <v>16756.560000000001</v>
      </c>
    </row>
    <row r="144" spans="1:7">
      <c r="A144" s="26">
        <v>60053</v>
      </c>
      <c r="B144" s="26" t="s">
        <v>206</v>
      </c>
      <c r="C144" s="26" t="s">
        <v>347</v>
      </c>
      <c r="D144" s="26">
        <v>72</v>
      </c>
      <c r="E144" s="26" t="s">
        <v>359</v>
      </c>
      <c r="F144" s="3">
        <v>814368.81599999999</v>
      </c>
      <c r="G144" s="3">
        <f t="shared" si="2"/>
        <v>11310.678</v>
      </c>
    </row>
    <row r="145" spans="1:7">
      <c r="A145" s="26">
        <v>60079</v>
      </c>
      <c r="B145" s="26" t="s">
        <v>206</v>
      </c>
      <c r="C145" s="26" t="s">
        <v>348</v>
      </c>
      <c r="D145" s="26">
        <v>60</v>
      </c>
      <c r="E145" s="26" t="s">
        <v>359</v>
      </c>
      <c r="F145" s="3">
        <v>1508090.4000000001</v>
      </c>
      <c r="G145" s="3">
        <f t="shared" si="2"/>
        <v>25134.840000000004</v>
      </c>
    </row>
    <row r="146" spans="1:7">
      <c r="A146" s="26">
        <v>60089</v>
      </c>
      <c r="B146" s="26" t="s">
        <v>206</v>
      </c>
      <c r="C146" s="26" t="s">
        <v>349</v>
      </c>
      <c r="D146" s="26">
        <v>144</v>
      </c>
      <c r="E146" s="26" t="s">
        <v>359</v>
      </c>
      <c r="F146" s="3">
        <v>4524271.2</v>
      </c>
      <c r="G146" s="3">
        <f t="shared" si="2"/>
        <v>31418.550000000003</v>
      </c>
    </row>
    <row r="147" spans="1:7">
      <c r="A147" s="26">
        <v>60106</v>
      </c>
      <c r="B147" s="26" t="s">
        <v>204</v>
      </c>
      <c r="C147" s="26" t="s">
        <v>350</v>
      </c>
      <c r="D147" s="26">
        <v>24</v>
      </c>
      <c r="E147" s="26" t="s">
        <v>361</v>
      </c>
      <c r="F147" s="3">
        <v>223700.07600000006</v>
      </c>
      <c r="G147" s="3">
        <f t="shared" si="2"/>
        <v>9320.8365000000031</v>
      </c>
    </row>
    <row r="148" spans="1:7">
      <c r="A148" s="26">
        <v>60107</v>
      </c>
      <c r="B148" s="26" t="s">
        <v>204</v>
      </c>
      <c r="C148" s="26" t="s">
        <v>351</v>
      </c>
      <c r="D148" s="26">
        <v>24</v>
      </c>
      <c r="E148" s="26" t="s">
        <v>361</v>
      </c>
      <c r="F148" s="3">
        <v>223700.07600000006</v>
      </c>
      <c r="G148" s="3">
        <f t="shared" si="2"/>
        <v>9320.8365000000031</v>
      </c>
    </row>
    <row r="149" spans="1:7">
      <c r="A149" s="26">
        <v>60108</v>
      </c>
      <c r="B149" s="26" t="s">
        <v>204</v>
      </c>
      <c r="C149" s="26" t="s">
        <v>352</v>
      </c>
      <c r="D149" s="26">
        <v>24</v>
      </c>
      <c r="E149" s="26" t="s">
        <v>361</v>
      </c>
      <c r="F149" s="3">
        <v>223700.07600000006</v>
      </c>
      <c r="G149" s="3">
        <f t="shared" si="2"/>
        <v>9320.8365000000031</v>
      </c>
    </row>
  </sheetData>
  <autoFilter ref="A3:G3" xr:uid="{F9A51814-B209-4CEF-AF20-B062D63632E1}"/>
  <conditionalFormatting sqref="A4:A149">
    <cfRule type="duplicateValues" dxfId="11" priority="534"/>
    <cfRule type="duplicateValues" dxfId="10" priority="53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7A8-DBE3-4A8A-930D-6B4AEFB2741D}">
  <sheetPr codeName="Sheet3">
    <tabColor rgb="FFFF0000"/>
  </sheetPr>
  <dimension ref="A3:E5"/>
  <sheetViews>
    <sheetView workbookViewId="0">
      <selection activeCell="B5" sqref="B5"/>
    </sheetView>
  </sheetViews>
  <sheetFormatPr defaultRowHeight="15"/>
  <cols>
    <col min="2" max="2" width="64.85546875" bestFit="1" customWidth="1"/>
  </cols>
  <sheetData>
    <row r="3" spans="1:5">
      <c r="A3">
        <v>1</v>
      </c>
      <c r="B3" t="s">
        <v>9</v>
      </c>
      <c r="D3">
        <v>1</v>
      </c>
      <c r="E3" t="s">
        <v>159</v>
      </c>
    </row>
    <row r="4" spans="1:5">
      <c r="A4">
        <v>2</v>
      </c>
      <c r="B4" t="s">
        <v>10</v>
      </c>
      <c r="D4">
        <v>2</v>
      </c>
      <c r="E4" t="s">
        <v>160</v>
      </c>
    </row>
    <row r="5" spans="1:5">
      <c r="A5">
        <v>3</v>
      </c>
      <c r="B5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C33-9341-4B2D-BCFB-BB0409EAE817}">
  <sheetPr codeName="Sheet5">
    <tabColor rgb="FFFFFF00"/>
  </sheetPr>
  <dimension ref="A3:E656"/>
  <sheetViews>
    <sheetView topLeftCell="A624" workbookViewId="0">
      <selection activeCell="C648" sqref="C648"/>
    </sheetView>
  </sheetViews>
  <sheetFormatPr defaultRowHeight="15"/>
  <cols>
    <col min="1" max="1" width="20.28515625" bestFit="1" customWidth="1"/>
    <col min="2" max="2" width="11.5703125" bestFit="1" customWidth="1"/>
    <col min="3" max="3" width="21.28515625" bestFit="1" customWidth="1"/>
    <col min="4" max="4" width="9.85546875" bestFit="1" customWidth="1"/>
    <col min="5" max="5" width="26.140625" bestFit="1" customWidth="1"/>
    <col min="6" max="6" width="20.7109375" bestFit="1" customWidth="1"/>
    <col min="7" max="7" width="10.7109375" bestFit="1" customWidth="1"/>
    <col min="8" max="10" width="7" bestFit="1" customWidth="1"/>
    <col min="11" max="24" width="8" bestFit="1" customWidth="1"/>
    <col min="25" max="30" width="18.42578125" bestFit="1" customWidth="1"/>
    <col min="31" max="31" width="18.140625" bestFit="1" customWidth="1"/>
    <col min="32" max="45" width="18.42578125" bestFit="1" customWidth="1"/>
    <col min="46" max="49" width="11.5703125" bestFit="1" customWidth="1"/>
    <col min="50" max="50" width="6.7109375" bestFit="1" customWidth="1"/>
    <col min="51" max="51" width="7" bestFit="1" customWidth="1"/>
    <col min="52" max="52" width="6.7109375" bestFit="1" customWidth="1"/>
    <col min="53" max="53" width="10.7109375" bestFit="1" customWidth="1"/>
  </cols>
  <sheetData>
    <row r="3" spans="1:5">
      <c r="A3" s="16" t="s">
        <v>29</v>
      </c>
      <c r="B3" s="16" t="s">
        <v>12</v>
      </c>
      <c r="C3" s="16" t="s">
        <v>0</v>
      </c>
      <c r="D3" s="16" t="s">
        <v>4</v>
      </c>
      <c r="E3" t="s">
        <v>149</v>
      </c>
    </row>
    <row r="4" spans="1:5">
      <c r="A4" t="s">
        <v>2657</v>
      </c>
      <c r="B4" t="s">
        <v>659</v>
      </c>
      <c r="C4">
        <v>40008216</v>
      </c>
      <c r="D4">
        <v>144</v>
      </c>
    </row>
    <row r="5" spans="1:5">
      <c r="A5" t="s">
        <v>2658</v>
      </c>
      <c r="B5" t="s">
        <v>659</v>
      </c>
      <c r="C5">
        <v>40008217</v>
      </c>
      <c r="D5">
        <v>48</v>
      </c>
    </row>
    <row r="6" spans="1:5">
      <c r="A6" t="s">
        <v>2659</v>
      </c>
      <c r="B6" t="s">
        <v>664</v>
      </c>
      <c r="C6">
        <v>40014370</v>
      </c>
      <c r="D6">
        <v>144</v>
      </c>
    </row>
    <row r="7" spans="1:5">
      <c r="A7" t="s">
        <v>2659</v>
      </c>
      <c r="B7" t="s">
        <v>664</v>
      </c>
      <c r="C7">
        <v>40035630</v>
      </c>
      <c r="D7">
        <v>144</v>
      </c>
    </row>
    <row r="8" spans="1:5">
      <c r="A8" t="s">
        <v>2660</v>
      </c>
      <c r="B8" t="s">
        <v>636</v>
      </c>
      <c r="C8">
        <v>40056288</v>
      </c>
      <c r="D8">
        <v>6</v>
      </c>
    </row>
    <row r="9" spans="1:5">
      <c r="A9" t="s">
        <v>2661</v>
      </c>
      <c r="B9" t="s">
        <v>636</v>
      </c>
      <c r="C9">
        <v>40008247</v>
      </c>
      <c r="D9">
        <v>12</v>
      </c>
    </row>
    <row r="10" spans="1:5">
      <c r="A10" t="s">
        <v>2662</v>
      </c>
      <c r="B10" t="s">
        <v>636</v>
      </c>
      <c r="C10">
        <v>40056289</v>
      </c>
      <c r="D10">
        <v>6</v>
      </c>
    </row>
    <row r="11" spans="1:5">
      <c r="A11" t="s">
        <v>2662</v>
      </c>
      <c r="B11" t="s">
        <v>636</v>
      </c>
      <c r="C11">
        <v>40063060</v>
      </c>
      <c r="D11">
        <v>6</v>
      </c>
    </row>
    <row r="12" spans="1:5">
      <c r="A12" t="s">
        <v>2663</v>
      </c>
      <c r="B12" t="s">
        <v>636</v>
      </c>
      <c r="C12">
        <v>40013979</v>
      </c>
      <c r="D12">
        <v>12</v>
      </c>
    </row>
    <row r="13" spans="1:5">
      <c r="A13" t="s">
        <v>2664</v>
      </c>
      <c r="B13" t="s">
        <v>185</v>
      </c>
      <c r="C13">
        <v>40008387</v>
      </c>
      <c r="D13">
        <v>72</v>
      </c>
    </row>
    <row r="14" spans="1:5">
      <c r="A14" t="s">
        <v>2665</v>
      </c>
      <c r="B14" t="s">
        <v>185</v>
      </c>
      <c r="C14">
        <v>40008390</v>
      </c>
      <c r="D14">
        <v>120</v>
      </c>
    </row>
    <row r="15" spans="1:5">
      <c r="A15" t="s">
        <v>2666</v>
      </c>
      <c r="B15" t="s">
        <v>185</v>
      </c>
      <c r="C15">
        <v>40034355</v>
      </c>
      <c r="D15">
        <v>12</v>
      </c>
    </row>
    <row r="16" spans="1:5">
      <c r="A16" t="s">
        <v>2667</v>
      </c>
      <c r="B16" t="s">
        <v>185</v>
      </c>
      <c r="C16">
        <v>40039248</v>
      </c>
      <c r="D16">
        <v>72</v>
      </c>
    </row>
    <row r="17" spans="1:4">
      <c r="A17" t="s">
        <v>2667</v>
      </c>
      <c r="B17" t="s">
        <v>185</v>
      </c>
      <c r="C17">
        <v>40029423</v>
      </c>
      <c r="D17">
        <v>72</v>
      </c>
    </row>
    <row r="18" spans="1:4">
      <c r="A18" t="s">
        <v>2668</v>
      </c>
      <c r="B18" t="s">
        <v>185</v>
      </c>
      <c r="C18">
        <v>40017673</v>
      </c>
      <c r="D18">
        <v>72</v>
      </c>
    </row>
    <row r="19" spans="1:4">
      <c r="A19" t="s">
        <v>2669</v>
      </c>
      <c r="B19" t="s">
        <v>659</v>
      </c>
      <c r="C19">
        <v>40057428</v>
      </c>
      <c r="D19">
        <v>144</v>
      </c>
    </row>
    <row r="20" spans="1:4">
      <c r="A20" t="s">
        <v>2670</v>
      </c>
      <c r="B20" t="s">
        <v>659</v>
      </c>
      <c r="C20">
        <v>40008380</v>
      </c>
      <c r="D20">
        <v>144</v>
      </c>
    </row>
    <row r="21" spans="1:4">
      <c r="A21" t="s">
        <v>2671</v>
      </c>
      <c r="B21" t="s">
        <v>647</v>
      </c>
      <c r="C21">
        <v>40008251</v>
      </c>
      <c r="D21">
        <v>12</v>
      </c>
    </row>
    <row r="22" spans="1:4">
      <c r="A22" t="s">
        <v>2672</v>
      </c>
      <c r="B22" t="s">
        <v>647</v>
      </c>
      <c r="C22">
        <v>40008813</v>
      </c>
      <c r="D22">
        <v>12</v>
      </c>
    </row>
    <row r="23" spans="1:4">
      <c r="A23" t="s">
        <v>2673</v>
      </c>
      <c r="B23" t="s">
        <v>647</v>
      </c>
      <c r="C23">
        <v>40008279</v>
      </c>
      <c r="D23">
        <v>12</v>
      </c>
    </row>
    <row r="24" spans="1:4">
      <c r="A24" t="s">
        <v>2674</v>
      </c>
      <c r="B24" t="s">
        <v>636</v>
      </c>
      <c r="C24">
        <v>40008275</v>
      </c>
      <c r="D24">
        <v>48</v>
      </c>
    </row>
    <row r="25" spans="1:4">
      <c r="A25" t="s">
        <v>2675</v>
      </c>
      <c r="B25" t="s">
        <v>647</v>
      </c>
      <c r="C25">
        <v>40014989</v>
      </c>
      <c r="D25">
        <v>12</v>
      </c>
    </row>
    <row r="26" spans="1:4">
      <c r="A26" t="s">
        <v>2676</v>
      </c>
      <c r="B26" t="s">
        <v>657</v>
      </c>
      <c r="C26">
        <v>40009093</v>
      </c>
      <c r="D26">
        <v>24</v>
      </c>
    </row>
    <row r="27" spans="1:4">
      <c r="A27" t="s">
        <v>2677</v>
      </c>
      <c r="B27" t="s">
        <v>636</v>
      </c>
      <c r="C27">
        <v>40008273</v>
      </c>
      <c r="D27">
        <v>12</v>
      </c>
    </row>
    <row r="28" spans="1:4">
      <c r="A28" t="s">
        <v>2678</v>
      </c>
      <c r="B28" t="s">
        <v>636</v>
      </c>
      <c r="C28">
        <v>40008267</v>
      </c>
      <c r="D28">
        <v>12</v>
      </c>
    </row>
    <row r="29" spans="1:4">
      <c r="A29" t="s">
        <v>2679</v>
      </c>
      <c r="B29" t="s">
        <v>636</v>
      </c>
      <c r="C29">
        <v>40008266</v>
      </c>
      <c r="D29">
        <v>12</v>
      </c>
    </row>
    <row r="30" spans="1:4">
      <c r="A30" t="s">
        <v>2680</v>
      </c>
      <c r="B30" t="s">
        <v>185</v>
      </c>
      <c r="C30">
        <v>40009997</v>
      </c>
      <c r="D30">
        <v>144</v>
      </c>
    </row>
    <row r="31" spans="1:4">
      <c r="A31" t="s">
        <v>2681</v>
      </c>
      <c r="B31" t="s">
        <v>185</v>
      </c>
      <c r="C31">
        <v>40007529</v>
      </c>
      <c r="D31">
        <v>24</v>
      </c>
    </row>
    <row r="32" spans="1:4">
      <c r="A32" t="s">
        <v>2682</v>
      </c>
      <c r="B32" t="s">
        <v>185</v>
      </c>
      <c r="C32">
        <v>40008280</v>
      </c>
      <c r="D32">
        <v>144</v>
      </c>
    </row>
    <row r="33" spans="1:4">
      <c r="A33" t="s">
        <v>2683</v>
      </c>
      <c r="B33" t="s">
        <v>185</v>
      </c>
      <c r="C33">
        <v>40007530</v>
      </c>
      <c r="D33">
        <v>24</v>
      </c>
    </row>
    <row r="34" spans="1:4">
      <c r="A34" t="s">
        <v>2684</v>
      </c>
      <c r="B34" t="s">
        <v>647</v>
      </c>
      <c r="C34">
        <v>40008271</v>
      </c>
      <c r="D34">
        <v>12</v>
      </c>
    </row>
    <row r="35" spans="1:4">
      <c r="A35" t="s">
        <v>2685</v>
      </c>
      <c r="B35" t="s">
        <v>185</v>
      </c>
      <c r="C35">
        <v>40008198</v>
      </c>
      <c r="D35">
        <v>72</v>
      </c>
    </row>
    <row r="36" spans="1:4">
      <c r="A36" t="s">
        <v>2686</v>
      </c>
      <c r="B36" t="s">
        <v>185</v>
      </c>
      <c r="C36">
        <v>40008199</v>
      </c>
      <c r="D36">
        <v>72</v>
      </c>
    </row>
    <row r="37" spans="1:4">
      <c r="A37" t="s">
        <v>2687</v>
      </c>
      <c r="B37" t="s">
        <v>185</v>
      </c>
      <c r="C37">
        <v>40008200</v>
      </c>
      <c r="D37">
        <v>72</v>
      </c>
    </row>
    <row r="38" spans="1:4">
      <c r="A38" t="s">
        <v>2688</v>
      </c>
      <c r="B38" t="s">
        <v>185</v>
      </c>
      <c r="C38">
        <v>40014892</v>
      </c>
      <c r="D38">
        <v>72</v>
      </c>
    </row>
    <row r="39" spans="1:4">
      <c r="A39" t="s">
        <v>2689</v>
      </c>
      <c r="B39" t="s">
        <v>2221</v>
      </c>
      <c r="C39">
        <v>40007868</v>
      </c>
      <c r="D39">
        <v>12</v>
      </c>
    </row>
    <row r="40" spans="1:4">
      <c r="A40" t="s">
        <v>2690</v>
      </c>
      <c r="B40" t="s">
        <v>2221</v>
      </c>
      <c r="C40">
        <v>40034832</v>
      </c>
      <c r="D40">
        <v>12</v>
      </c>
    </row>
    <row r="41" spans="1:4">
      <c r="A41" t="s">
        <v>2691</v>
      </c>
      <c r="B41" t="s">
        <v>2221</v>
      </c>
      <c r="C41">
        <v>40037980</v>
      </c>
      <c r="D41">
        <v>12</v>
      </c>
    </row>
    <row r="42" spans="1:4">
      <c r="A42" t="s">
        <v>2692</v>
      </c>
      <c r="B42" t="s">
        <v>2221</v>
      </c>
      <c r="C42">
        <v>40060008</v>
      </c>
      <c r="D42">
        <v>12</v>
      </c>
    </row>
    <row r="43" spans="1:4">
      <c r="A43" t="s">
        <v>2692</v>
      </c>
      <c r="B43" t="s">
        <v>2221</v>
      </c>
      <c r="C43">
        <v>40058477</v>
      </c>
      <c r="D43">
        <v>12</v>
      </c>
    </row>
    <row r="44" spans="1:4">
      <c r="A44" t="s">
        <v>2693</v>
      </c>
      <c r="B44" t="s">
        <v>2221</v>
      </c>
      <c r="C44">
        <v>40060009</v>
      </c>
      <c r="D44">
        <v>12</v>
      </c>
    </row>
    <row r="45" spans="1:4">
      <c r="A45" t="s">
        <v>2693</v>
      </c>
      <c r="B45" t="s">
        <v>2221</v>
      </c>
      <c r="C45">
        <v>40058478</v>
      </c>
      <c r="D45">
        <v>12</v>
      </c>
    </row>
    <row r="46" spans="1:4">
      <c r="A46" t="s">
        <v>2694</v>
      </c>
      <c r="B46" t="s">
        <v>2221</v>
      </c>
      <c r="C46">
        <v>40060525</v>
      </c>
      <c r="D46">
        <v>12</v>
      </c>
    </row>
    <row r="47" spans="1:4">
      <c r="A47" t="s">
        <v>2695</v>
      </c>
      <c r="B47" t="s">
        <v>2221</v>
      </c>
      <c r="C47">
        <v>40059924</v>
      </c>
      <c r="D47">
        <v>12</v>
      </c>
    </row>
    <row r="48" spans="1:4">
      <c r="A48" t="s">
        <v>2695</v>
      </c>
      <c r="B48" t="s">
        <v>2221</v>
      </c>
      <c r="C48">
        <v>40039290</v>
      </c>
      <c r="D48">
        <v>12</v>
      </c>
    </row>
    <row r="49" spans="1:4">
      <c r="A49" t="s">
        <v>2696</v>
      </c>
      <c r="B49" t="s">
        <v>2221</v>
      </c>
      <c r="C49">
        <v>40060013</v>
      </c>
      <c r="D49">
        <v>12</v>
      </c>
    </row>
    <row r="50" spans="1:4">
      <c r="A50" t="s">
        <v>2696</v>
      </c>
      <c r="B50" t="s">
        <v>2221</v>
      </c>
      <c r="C50">
        <v>40039286</v>
      </c>
      <c r="D50">
        <v>12</v>
      </c>
    </row>
    <row r="51" spans="1:4">
      <c r="A51" t="s">
        <v>2696</v>
      </c>
      <c r="B51" t="s">
        <v>2221</v>
      </c>
      <c r="C51">
        <v>40039442</v>
      </c>
      <c r="D51">
        <v>12</v>
      </c>
    </row>
    <row r="52" spans="1:4">
      <c r="A52" t="s">
        <v>2697</v>
      </c>
      <c r="B52" t="s">
        <v>2221</v>
      </c>
      <c r="C52">
        <v>40060021</v>
      </c>
      <c r="D52">
        <v>12</v>
      </c>
    </row>
    <row r="53" spans="1:4">
      <c r="A53" t="s">
        <v>2697</v>
      </c>
      <c r="B53" t="s">
        <v>2221</v>
      </c>
      <c r="C53">
        <v>40049657</v>
      </c>
      <c r="D53">
        <v>12</v>
      </c>
    </row>
    <row r="54" spans="1:4">
      <c r="A54" t="s">
        <v>2698</v>
      </c>
      <c r="B54" t="s">
        <v>2221</v>
      </c>
      <c r="C54">
        <v>40060006</v>
      </c>
      <c r="D54">
        <v>12</v>
      </c>
    </row>
    <row r="55" spans="1:4">
      <c r="A55" t="s">
        <v>2698</v>
      </c>
      <c r="B55" t="s">
        <v>2221</v>
      </c>
      <c r="C55">
        <v>40039317</v>
      </c>
      <c r="D55">
        <v>12</v>
      </c>
    </row>
    <row r="56" spans="1:4">
      <c r="A56" t="s">
        <v>2698</v>
      </c>
      <c r="B56" t="s">
        <v>2221</v>
      </c>
      <c r="C56">
        <v>40039469</v>
      </c>
      <c r="D56">
        <v>12</v>
      </c>
    </row>
    <row r="57" spans="1:4">
      <c r="A57" t="s">
        <v>2699</v>
      </c>
      <c r="B57" t="s">
        <v>2221</v>
      </c>
      <c r="C57">
        <v>40060015</v>
      </c>
      <c r="D57">
        <v>12</v>
      </c>
    </row>
    <row r="58" spans="1:4">
      <c r="A58" t="s">
        <v>2699</v>
      </c>
      <c r="B58" t="s">
        <v>2221</v>
      </c>
      <c r="C58">
        <v>40039318</v>
      </c>
      <c r="D58">
        <v>12</v>
      </c>
    </row>
    <row r="59" spans="1:4">
      <c r="A59" t="s">
        <v>2699</v>
      </c>
      <c r="B59" t="s">
        <v>2221</v>
      </c>
      <c r="C59">
        <v>40039444</v>
      </c>
      <c r="D59">
        <v>12</v>
      </c>
    </row>
    <row r="60" spans="1:4">
      <c r="A60" t="s">
        <v>2700</v>
      </c>
      <c r="B60" t="s">
        <v>2221</v>
      </c>
      <c r="C60">
        <v>40050816</v>
      </c>
      <c r="D60">
        <v>12</v>
      </c>
    </row>
    <row r="61" spans="1:4">
      <c r="A61" t="s">
        <v>2700</v>
      </c>
      <c r="B61" t="s">
        <v>2221</v>
      </c>
      <c r="C61">
        <v>40060007</v>
      </c>
      <c r="D61">
        <v>12</v>
      </c>
    </row>
    <row r="62" spans="1:4">
      <c r="A62" t="s">
        <v>2701</v>
      </c>
      <c r="B62" t="s">
        <v>2221</v>
      </c>
      <c r="C62">
        <v>40050322</v>
      </c>
      <c r="D62">
        <v>12</v>
      </c>
    </row>
    <row r="63" spans="1:4">
      <c r="A63" t="s">
        <v>2701</v>
      </c>
      <c r="B63" t="s">
        <v>2221</v>
      </c>
      <c r="C63">
        <v>40060010</v>
      </c>
      <c r="D63">
        <v>12</v>
      </c>
    </row>
    <row r="64" spans="1:4">
      <c r="A64" t="s">
        <v>2702</v>
      </c>
      <c r="B64" t="s">
        <v>2221</v>
      </c>
      <c r="C64">
        <v>40057355</v>
      </c>
      <c r="D64">
        <v>12</v>
      </c>
    </row>
    <row r="65" spans="1:4">
      <c r="A65" t="s">
        <v>2703</v>
      </c>
      <c r="B65" t="s">
        <v>2221</v>
      </c>
      <c r="C65">
        <v>40060017</v>
      </c>
      <c r="D65">
        <v>24</v>
      </c>
    </row>
    <row r="66" spans="1:4">
      <c r="A66" t="s">
        <v>2703</v>
      </c>
      <c r="B66" t="s">
        <v>2221</v>
      </c>
      <c r="C66">
        <v>40057866</v>
      </c>
      <c r="D66">
        <v>24</v>
      </c>
    </row>
    <row r="67" spans="1:4">
      <c r="A67" t="s">
        <v>2703</v>
      </c>
      <c r="B67" t="s">
        <v>2221</v>
      </c>
      <c r="C67">
        <v>40043133</v>
      </c>
      <c r="D67">
        <v>24</v>
      </c>
    </row>
    <row r="68" spans="1:4">
      <c r="A68" t="s">
        <v>2703</v>
      </c>
      <c r="B68" t="s">
        <v>2221</v>
      </c>
      <c r="C68">
        <v>40044130</v>
      </c>
      <c r="D68">
        <v>24</v>
      </c>
    </row>
    <row r="69" spans="1:4">
      <c r="A69" t="s">
        <v>2703</v>
      </c>
      <c r="B69" t="s">
        <v>2221</v>
      </c>
      <c r="C69">
        <v>40035894</v>
      </c>
      <c r="D69">
        <v>24</v>
      </c>
    </row>
    <row r="70" spans="1:4">
      <c r="A70" t="s">
        <v>2704</v>
      </c>
      <c r="B70" t="s">
        <v>2221</v>
      </c>
      <c r="C70">
        <v>40049644</v>
      </c>
      <c r="D70">
        <v>12</v>
      </c>
    </row>
    <row r="71" spans="1:4">
      <c r="A71" t="s">
        <v>2704</v>
      </c>
      <c r="B71" t="s">
        <v>2221</v>
      </c>
      <c r="C71">
        <v>40060019</v>
      </c>
      <c r="D71">
        <v>12</v>
      </c>
    </row>
    <row r="72" spans="1:4">
      <c r="A72" t="s">
        <v>2704</v>
      </c>
      <c r="B72" t="s">
        <v>2221</v>
      </c>
      <c r="C72">
        <v>40038010</v>
      </c>
      <c r="D72">
        <v>12</v>
      </c>
    </row>
    <row r="73" spans="1:4">
      <c r="A73" t="s">
        <v>2704</v>
      </c>
      <c r="B73" t="s">
        <v>2221</v>
      </c>
      <c r="C73">
        <v>40023905</v>
      </c>
      <c r="D73">
        <v>12</v>
      </c>
    </row>
    <row r="74" spans="1:4">
      <c r="A74" t="s">
        <v>2704</v>
      </c>
      <c r="B74" t="s">
        <v>2221</v>
      </c>
      <c r="C74">
        <v>40039292</v>
      </c>
      <c r="D74">
        <v>12</v>
      </c>
    </row>
    <row r="75" spans="1:4">
      <c r="A75" t="s">
        <v>2705</v>
      </c>
      <c r="B75" t="s">
        <v>2221</v>
      </c>
      <c r="C75">
        <v>40059922</v>
      </c>
      <c r="D75">
        <v>12</v>
      </c>
    </row>
    <row r="76" spans="1:4">
      <c r="A76" t="s">
        <v>2705</v>
      </c>
      <c r="B76" t="s">
        <v>2221</v>
      </c>
      <c r="C76">
        <v>40039288</v>
      </c>
      <c r="D76">
        <v>12</v>
      </c>
    </row>
    <row r="77" spans="1:4">
      <c r="A77" t="s">
        <v>2705</v>
      </c>
      <c r="B77" t="s">
        <v>2221</v>
      </c>
      <c r="C77">
        <v>40038011</v>
      </c>
      <c r="D77">
        <v>12</v>
      </c>
    </row>
    <row r="78" spans="1:4">
      <c r="A78" t="s">
        <v>2706</v>
      </c>
      <c r="B78" t="s">
        <v>2221</v>
      </c>
      <c r="C78">
        <v>40060011</v>
      </c>
      <c r="D78">
        <v>12</v>
      </c>
    </row>
    <row r="79" spans="1:4">
      <c r="A79" t="s">
        <v>2706</v>
      </c>
      <c r="B79" t="s">
        <v>2221</v>
      </c>
      <c r="C79">
        <v>40039274</v>
      </c>
      <c r="D79">
        <v>12</v>
      </c>
    </row>
    <row r="80" spans="1:4">
      <c r="A80" t="s">
        <v>2707</v>
      </c>
      <c r="B80" t="s">
        <v>2221</v>
      </c>
      <c r="C80">
        <v>40043770</v>
      </c>
      <c r="D80">
        <v>12</v>
      </c>
    </row>
    <row r="81" spans="1:4">
      <c r="A81" t="s">
        <v>2708</v>
      </c>
      <c r="B81" t="s">
        <v>2221</v>
      </c>
      <c r="C81">
        <v>40060018</v>
      </c>
      <c r="D81">
        <v>24</v>
      </c>
    </row>
    <row r="82" spans="1:4">
      <c r="A82" t="s">
        <v>2708</v>
      </c>
      <c r="B82" t="s">
        <v>2221</v>
      </c>
      <c r="C82">
        <v>40057867</v>
      </c>
      <c r="D82">
        <v>24</v>
      </c>
    </row>
    <row r="83" spans="1:4">
      <c r="A83" t="s">
        <v>2708</v>
      </c>
      <c r="B83" t="s">
        <v>2221</v>
      </c>
      <c r="C83">
        <v>40043134</v>
      </c>
      <c r="D83">
        <v>24</v>
      </c>
    </row>
    <row r="84" spans="1:4">
      <c r="A84" t="s">
        <v>2708</v>
      </c>
      <c r="B84" t="s">
        <v>2221</v>
      </c>
      <c r="C84">
        <v>40044131</v>
      </c>
      <c r="D84">
        <v>24</v>
      </c>
    </row>
    <row r="85" spans="1:4">
      <c r="A85" t="s">
        <v>2709</v>
      </c>
      <c r="B85" t="s">
        <v>2221</v>
      </c>
      <c r="C85">
        <v>40060020</v>
      </c>
      <c r="D85">
        <v>12</v>
      </c>
    </row>
    <row r="86" spans="1:4">
      <c r="A86" t="s">
        <v>2709</v>
      </c>
      <c r="B86" t="s">
        <v>2221</v>
      </c>
      <c r="C86">
        <v>40049655</v>
      </c>
      <c r="D86">
        <v>12</v>
      </c>
    </row>
    <row r="87" spans="1:4">
      <c r="A87" t="s">
        <v>2709</v>
      </c>
      <c r="B87" t="s">
        <v>2221</v>
      </c>
      <c r="C87">
        <v>40038014</v>
      </c>
      <c r="D87">
        <v>12</v>
      </c>
    </row>
    <row r="88" spans="1:4">
      <c r="A88" t="s">
        <v>2709</v>
      </c>
      <c r="B88" t="s">
        <v>2221</v>
      </c>
      <c r="C88">
        <v>40039293</v>
      </c>
      <c r="D88">
        <v>12</v>
      </c>
    </row>
    <row r="89" spans="1:4">
      <c r="A89" t="s">
        <v>2710</v>
      </c>
      <c r="B89" t="s">
        <v>2221</v>
      </c>
      <c r="C89">
        <v>40059923</v>
      </c>
      <c r="D89">
        <v>12</v>
      </c>
    </row>
    <row r="90" spans="1:4">
      <c r="A90" t="s">
        <v>2710</v>
      </c>
      <c r="B90" t="s">
        <v>2221</v>
      </c>
      <c r="C90">
        <v>40039289</v>
      </c>
      <c r="D90">
        <v>12</v>
      </c>
    </row>
    <row r="91" spans="1:4">
      <c r="A91" t="s">
        <v>2710</v>
      </c>
      <c r="B91" t="s">
        <v>2221</v>
      </c>
      <c r="C91">
        <v>40038015</v>
      </c>
      <c r="D91">
        <v>12</v>
      </c>
    </row>
    <row r="92" spans="1:4">
      <c r="A92" t="s">
        <v>2711</v>
      </c>
      <c r="B92" t="s">
        <v>2221</v>
      </c>
      <c r="C92">
        <v>40060012</v>
      </c>
      <c r="D92">
        <v>12</v>
      </c>
    </row>
    <row r="93" spans="1:4">
      <c r="A93" t="s">
        <v>2711</v>
      </c>
      <c r="B93" t="s">
        <v>2221</v>
      </c>
      <c r="C93">
        <v>40039285</v>
      </c>
      <c r="D93">
        <v>12</v>
      </c>
    </row>
    <row r="94" spans="1:4">
      <c r="A94" t="s">
        <v>2711</v>
      </c>
      <c r="B94" t="s">
        <v>2221</v>
      </c>
      <c r="C94">
        <v>40038016</v>
      </c>
      <c r="D94">
        <v>12</v>
      </c>
    </row>
    <row r="95" spans="1:4">
      <c r="A95" t="s">
        <v>2712</v>
      </c>
      <c r="B95" t="s">
        <v>2221</v>
      </c>
      <c r="C95">
        <v>40043771</v>
      </c>
      <c r="D95">
        <v>12</v>
      </c>
    </row>
    <row r="96" spans="1:4">
      <c r="A96" t="s">
        <v>2713</v>
      </c>
      <c r="B96" t="s">
        <v>2221</v>
      </c>
      <c r="C96">
        <v>40060016</v>
      </c>
      <c r="D96">
        <v>24</v>
      </c>
    </row>
    <row r="97" spans="1:4">
      <c r="A97" t="s">
        <v>2713</v>
      </c>
      <c r="B97" t="s">
        <v>2221</v>
      </c>
      <c r="C97">
        <v>40057865</v>
      </c>
      <c r="D97">
        <v>24</v>
      </c>
    </row>
    <row r="98" spans="1:4">
      <c r="A98" t="s">
        <v>2713</v>
      </c>
      <c r="B98" t="s">
        <v>2221</v>
      </c>
      <c r="C98">
        <v>40044129</v>
      </c>
      <c r="D98">
        <v>24</v>
      </c>
    </row>
    <row r="99" spans="1:4">
      <c r="A99" t="s">
        <v>2713</v>
      </c>
      <c r="B99" t="s">
        <v>2221</v>
      </c>
      <c r="C99">
        <v>40043130</v>
      </c>
      <c r="D99">
        <v>24</v>
      </c>
    </row>
    <row r="100" spans="1:4">
      <c r="A100" t="s">
        <v>2714</v>
      </c>
      <c r="B100" t="s">
        <v>2221</v>
      </c>
      <c r="C100">
        <v>40060053</v>
      </c>
      <c r="D100">
        <v>12</v>
      </c>
    </row>
    <row r="101" spans="1:4">
      <c r="A101" t="s">
        <v>2714</v>
      </c>
      <c r="B101" t="s">
        <v>2221</v>
      </c>
      <c r="C101">
        <v>40049656</v>
      </c>
      <c r="D101">
        <v>12</v>
      </c>
    </row>
    <row r="102" spans="1:4">
      <c r="A102" t="s">
        <v>2714</v>
      </c>
      <c r="B102" t="s">
        <v>2221</v>
      </c>
      <c r="C102">
        <v>40043544</v>
      </c>
      <c r="D102">
        <v>12</v>
      </c>
    </row>
    <row r="103" spans="1:4">
      <c r="A103" t="s">
        <v>2715</v>
      </c>
      <c r="B103" t="s">
        <v>2221</v>
      </c>
      <c r="C103">
        <v>40060005</v>
      </c>
      <c r="D103">
        <v>12</v>
      </c>
    </row>
    <row r="104" spans="1:4">
      <c r="A104" t="s">
        <v>2715</v>
      </c>
      <c r="B104" t="s">
        <v>2221</v>
      </c>
      <c r="C104">
        <v>40039291</v>
      </c>
      <c r="D104">
        <v>12</v>
      </c>
    </row>
    <row r="105" spans="1:4">
      <c r="A105" t="s">
        <v>2716</v>
      </c>
      <c r="B105" t="s">
        <v>2221</v>
      </c>
      <c r="C105">
        <v>40060014</v>
      </c>
      <c r="D105">
        <v>12</v>
      </c>
    </row>
    <row r="106" spans="1:4">
      <c r="A106" t="s">
        <v>2716</v>
      </c>
      <c r="B106" t="s">
        <v>2221</v>
      </c>
      <c r="C106">
        <v>40039287</v>
      </c>
      <c r="D106">
        <v>12</v>
      </c>
    </row>
    <row r="107" spans="1:4">
      <c r="A107" t="s">
        <v>2716</v>
      </c>
      <c r="B107" t="s">
        <v>2221</v>
      </c>
      <c r="C107">
        <v>40037982</v>
      </c>
      <c r="D107">
        <v>12</v>
      </c>
    </row>
    <row r="108" spans="1:4">
      <c r="A108" t="s">
        <v>2717</v>
      </c>
      <c r="B108" t="s">
        <v>185</v>
      </c>
      <c r="C108">
        <v>40026239</v>
      </c>
      <c r="D108">
        <v>12</v>
      </c>
    </row>
    <row r="109" spans="1:4">
      <c r="A109" t="s">
        <v>2717</v>
      </c>
      <c r="B109" t="s">
        <v>185</v>
      </c>
      <c r="C109">
        <v>40056830</v>
      </c>
      <c r="D109">
        <v>12</v>
      </c>
    </row>
    <row r="110" spans="1:4">
      <c r="A110" t="s">
        <v>2718</v>
      </c>
      <c r="B110" t="s">
        <v>2221</v>
      </c>
      <c r="C110">
        <v>40057598</v>
      </c>
      <c r="D110">
        <v>12</v>
      </c>
    </row>
    <row r="111" spans="1:4">
      <c r="A111" t="s">
        <v>2719</v>
      </c>
      <c r="B111" t="s">
        <v>185</v>
      </c>
      <c r="C111">
        <v>40007533</v>
      </c>
      <c r="D111">
        <v>48</v>
      </c>
    </row>
    <row r="112" spans="1:4">
      <c r="A112" t="s">
        <v>2720</v>
      </c>
      <c r="B112" t="s">
        <v>185</v>
      </c>
      <c r="C112">
        <v>40007531</v>
      </c>
      <c r="D112">
        <v>48</v>
      </c>
    </row>
    <row r="113" spans="1:4">
      <c r="A113" t="s">
        <v>2720</v>
      </c>
      <c r="B113" t="s">
        <v>185</v>
      </c>
      <c r="C113">
        <v>40050006</v>
      </c>
      <c r="D113">
        <v>48</v>
      </c>
    </row>
    <row r="114" spans="1:4">
      <c r="A114" t="s">
        <v>2720</v>
      </c>
      <c r="B114" t="s">
        <v>185</v>
      </c>
      <c r="C114">
        <v>40058771</v>
      </c>
      <c r="D114">
        <v>48</v>
      </c>
    </row>
    <row r="115" spans="1:4">
      <c r="A115" t="s">
        <v>2720</v>
      </c>
      <c r="B115" t="s">
        <v>185</v>
      </c>
      <c r="C115">
        <v>40060793</v>
      </c>
      <c r="D115">
        <v>48</v>
      </c>
    </row>
    <row r="116" spans="1:4">
      <c r="A116" t="s">
        <v>2720</v>
      </c>
      <c r="B116" t="s">
        <v>185</v>
      </c>
      <c r="C116">
        <v>40017605</v>
      </c>
      <c r="D116">
        <v>48</v>
      </c>
    </row>
    <row r="117" spans="1:4">
      <c r="A117" t="s">
        <v>2721</v>
      </c>
      <c r="B117" t="s">
        <v>662</v>
      </c>
      <c r="C117">
        <v>40036248</v>
      </c>
      <c r="D117">
        <v>144</v>
      </c>
    </row>
    <row r="118" spans="1:4">
      <c r="A118" t="s">
        <v>2721</v>
      </c>
      <c r="B118" t="s">
        <v>662</v>
      </c>
      <c r="C118">
        <v>40057201</v>
      </c>
      <c r="D118">
        <v>144</v>
      </c>
    </row>
    <row r="119" spans="1:4">
      <c r="A119" t="s">
        <v>2721</v>
      </c>
      <c r="B119" t="s">
        <v>662</v>
      </c>
      <c r="C119">
        <v>40061095</v>
      </c>
      <c r="D119" t="s">
        <v>1008</v>
      </c>
    </row>
    <row r="120" spans="1:4">
      <c r="A120" t="s">
        <v>2722</v>
      </c>
      <c r="B120" t="s">
        <v>662</v>
      </c>
      <c r="C120">
        <v>40059201</v>
      </c>
      <c r="D120">
        <v>144</v>
      </c>
    </row>
    <row r="121" spans="1:4">
      <c r="A121" t="s">
        <v>2723</v>
      </c>
      <c r="B121" t="s">
        <v>662</v>
      </c>
      <c r="C121">
        <v>40036249</v>
      </c>
      <c r="D121">
        <v>144</v>
      </c>
    </row>
    <row r="122" spans="1:4">
      <c r="A122" t="s">
        <v>2723</v>
      </c>
      <c r="B122" t="s">
        <v>662</v>
      </c>
      <c r="C122">
        <v>40057203</v>
      </c>
      <c r="D122">
        <v>144</v>
      </c>
    </row>
    <row r="123" spans="1:4">
      <c r="A123" t="s">
        <v>2723</v>
      </c>
      <c r="B123" t="s">
        <v>662</v>
      </c>
      <c r="C123">
        <v>40061096</v>
      </c>
      <c r="D123">
        <v>144</v>
      </c>
    </row>
    <row r="124" spans="1:4">
      <c r="A124" t="s">
        <v>2724</v>
      </c>
      <c r="B124" t="s">
        <v>662</v>
      </c>
      <c r="C124">
        <v>40057315</v>
      </c>
      <c r="D124">
        <v>144</v>
      </c>
    </row>
    <row r="125" spans="1:4">
      <c r="A125" t="s">
        <v>2724</v>
      </c>
      <c r="B125" t="s">
        <v>662</v>
      </c>
      <c r="C125">
        <v>40061097</v>
      </c>
      <c r="D125">
        <v>144</v>
      </c>
    </row>
    <row r="126" spans="1:4">
      <c r="A126" t="s">
        <v>2725</v>
      </c>
      <c r="B126" t="s">
        <v>2222</v>
      </c>
      <c r="C126">
        <v>40036247</v>
      </c>
      <c r="D126">
        <v>24</v>
      </c>
    </row>
    <row r="127" spans="1:4">
      <c r="A127" t="s">
        <v>2725</v>
      </c>
      <c r="B127" t="s">
        <v>2222</v>
      </c>
      <c r="C127">
        <v>40057200</v>
      </c>
      <c r="D127">
        <v>24</v>
      </c>
    </row>
    <row r="128" spans="1:4">
      <c r="A128" t="s">
        <v>2725</v>
      </c>
      <c r="B128" t="s">
        <v>2222</v>
      </c>
      <c r="C128">
        <v>40028235</v>
      </c>
      <c r="D128">
        <v>24</v>
      </c>
    </row>
    <row r="129" spans="1:4">
      <c r="A129" t="s">
        <v>2726</v>
      </c>
      <c r="B129" t="s">
        <v>662</v>
      </c>
      <c r="C129">
        <v>40036708</v>
      </c>
      <c r="D129">
        <v>144</v>
      </c>
    </row>
    <row r="130" spans="1:4">
      <c r="A130" t="s">
        <v>2726</v>
      </c>
      <c r="B130" t="s">
        <v>662</v>
      </c>
      <c r="C130">
        <v>40057318</v>
      </c>
      <c r="D130">
        <v>144</v>
      </c>
    </row>
    <row r="131" spans="1:4">
      <c r="A131" t="s">
        <v>2727</v>
      </c>
      <c r="B131" t="s">
        <v>662</v>
      </c>
      <c r="C131">
        <v>40036709</v>
      </c>
      <c r="D131">
        <v>144</v>
      </c>
    </row>
    <row r="132" spans="1:4">
      <c r="A132" t="s">
        <v>2727</v>
      </c>
      <c r="B132" t="s">
        <v>662</v>
      </c>
      <c r="C132">
        <v>40057317</v>
      </c>
      <c r="D132">
        <v>144</v>
      </c>
    </row>
    <row r="133" spans="1:4">
      <c r="A133" t="s">
        <v>2728</v>
      </c>
      <c r="B133" t="s">
        <v>2222</v>
      </c>
      <c r="C133">
        <v>40036707</v>
      </c>
      <c r="D133">
        <v>24</v>
      </c>
    </row>
    <row r="134" spans="1:4">
      <c r="A134" t="s">
        <v>2728</v>
      </c>
      <c r="B134" t="s">
        <v>2222</v>
      </c>
      <c r="C134">
        <v>40057316</v>
      </c>
      <c r="D134">
        <v>24</v>
      </c>
    </row>
    <row r="135" spans="1:4">
      <c r="A135" t="s">
        <v>2728</v>
      </c>
      <c r="B135" t="s">
        <v>2222</v>
      </c>
      <c r="C135">
        <v>40028228</v>
      </c>
      <c r="D135">
        <v>24</v>
      </c>
    </row>
    <row r="136" spans="1:4">
      <c r="A136" t="s">
        <v>2729</v>
      </c>
      <c r="B136" t="s">
        <v>662</v>
      </c>
      <c r="C136">
        <v>40059202</v>
      </c>
      <c r="D136">
        <v>144</v>
      </c>
    </row>
    <row r="137" spans="1:4">
      <c r="A137" t="s">
        <v>2730</v>
      </c>
      <c r="B137" t="s">
        <v>636</v>
      </c>
      <c r="C137">
        <v>40049640</v>
      </c>
      <c r="D137">
        <v>24</v>
      </c>
    </row>
    <row r="138" spans="1:4">
      <c r="A138" t="s">
        <v>2731</v>
      </c>
      <c r="B138" t="s">
        <v>636</v>
      </c>
      <c r="C138">
        <v>40016505</v>
      </c>
      <c r="D138">
        <v>12</v>
      </c>
    </row>
    <row r="139" spans="1:4">
      <c r="A139" t="s">
        <v>2732</v>
      </c>
      <c r="B139" t="s">
        <v>636</v>
      </c>
      <c r="C139">
        <v>40016506</v>
      </c>
      <c r="D139">
        <v>12</v>
      </c>
    </row>
    <row r="140" spans="1:4">
      <c r="A140" t="s">
        <v>2732</v>
      </c>
      <c r="B140" t="s">
        <v>636</v>
      </c>
      <c r="C140">
        <v>40049643</v>
      </c>
      <c r="D140" t="s">
        <v>1008</v>
      </c>
    </row>
    <row r="141" spans="1:4">
      <c r="A141" t="s">
        <v>2733</v>
      </c>
      <c r="B141" t="s">
        <v>636</v>
      </c>
      <c r="C141">
        <v>40012018</v>
      </c>
      <c r="D141">
        <v>12</v>
      </c>
    </row>
    <row r="142" spans="1:4">
      <c r="A142" t="s">
        <v>2734</v>
      </c>
      <c r="B142" t="s">
        <v>636</v>
      </c>
      <c r="C142">
        <v>40008190</v>
      </c>
      <c r="D142">
        <v>12</v>
      </c>
    </row>
    <row r="143" spans="1:4">
      <c r="A143" t="s">
        <v>2735</v>
      </c>
      <c r="B143" t="s">
        <v>636</v>
      </c>
      <c r="C143">
        <v>40049642</v>
      </c>
      <c r="D143">
        <v>12</v>
      </c>
    </row>
    <row r="144" spans="1:4">
      <c r="A144" t="s">
        <v>2735</v>
      </c>
      <c r="B144" t="s">
        <v>636</v>
      </c>
      <c r="C144">
        <v>40049643</v>
      </c>
      <c r="D144">
        <v>12</v>
      </c>
    </row>
    <row r="145" spans="1:4">
      <c r="A145" t="s">
        <v>2736</v>
      </c>
      <c r="B145" t="s">
        <v>636</v>
      </c>
      <c r="C145">
        <v>40008191</v>
      </c>
      <c r="D145">
        <v>12</v>
      </c>
    </row>
    <row r="146" spans="1:4">
      <c r="A146" t="s">
        <v>2737</v>
      </c>
      <c r="B146" t="s">
        <v>636</v>
      </c>
      <c r="C146">
        <v>40049641</v>
      </c>
      <c r="D146">
        <v>12</v>
      </c>
    </row>
    <row r="147" spans="1:4">
      <c r="A147" t="s">
        <v>2737</v>
      </c>
      <c r="B147" t="s">
        <v>636</v>
      </c>
      <c r="C147">
        <v>40008192</v>
      </c>
      <c r="D147">
        <v>12</v>
      </c>
    </row>
    <row r="148" spans="1:4">
      <c r="A148" t="s">
        <v>2738</v>
      </c>
      <c r="B148" t="s">
        <v>185</v>
      </c>
      <c r="C148">
        <v>40043776</v>
      </c>
      <c r="D148">
        <v>120</v>
      </c>
    </row>
    <row r="149" spans="1:4">
      <c r="A149" t="s">
        <v>2738</v>
      </c>
      <c r="B149" t="s">
        <v>185</v>
      </c>
      <c r="C149">
        <v>40029462</v>
      </c>
      <c r="D149">
        <v>120</v>
      </c>
    </row>
    <row r="150" spans="1:4">
      <c r="A150" t="s">
        <v>2739</v>
      </c>
      <c r="B150" t="s">
        <v>185</v>
      </c>
      <c r="C150">
        <v>40028914</v>
      </c>
      <c r="D150">
        <v>576</v>
      </c>
    </row>
    <row r="151" spans="1:4">
      <c r="A151" t="s">
        <v>2740</v>
      </c>
      <c r="B151" t="s">
        <v>185</v>
      </c>
      <c r="C151">
        <v>40043777</v>
      </c>
      <c r="D151">
        <v>120</v>
      </c>
    </row>
    <row r="152" spans="1:4">
      <c r="A152" t="s">
        <v>2740</v>
      </c>
      <c r="B152" t="s">
        <v>185</v>
      </c>
      <c r="C152">
        <v>40029461</v>
      </c>
      <c r="D152">
        <v>120</v>
      </c>
    </row>
    <row r="153" spans="1:4">
      <c r="A153" t="s">
        <v>2740</v>
      </c>
      <c r="B153" t="s">
        <v>185</v>
      </c>
      <c r="C153">
        <v>40024946</v>
      </c>
      <c r="D153">
        <v>120</v>
      </c>
    </row>
    <row r="154" spans="1:4">
      <c r="A154" t="s">
        <v>2741</v>
      </c>
      <c r="B154" t="s">
        <v>185</v>
      </c>
      <c r="C154">
        <v>40043779</v>
      </c>
      <c r="D154">
        <v>36</v>
      </c>
    </row>
    <row r="155" spans="1:4">
      <c r="A155" t="s">
        <v>2742</v>
      </c>
      <c r="B155" t="s">
        <v>185</v>
      </c>
      <c r="C155">
        <v>40043778</v>
      </c>
      <c r="D155">
        <v>36</v>
      </c>
    </row>
    <row r="156" spans="1:4">
      <c r="A156" t="s">
        <v>2743</v>
      </c>
      <c r="B156" t="s">
        <v>185</v>
      </c>
      <c r="C156">
        <v>40029541</v>
      </c>
      <c r="D156">
        <v>576</v>
      </c>
    </row>
    <row r="157" spans="1:4">
      <c r="A157" t="s">
        <v>2744</v>
      </c>
      <c r="B157" t="s">
        <v>185</v>
      </c>
      <c r="C157">
        <v>40015298</v>
      </c>
      <c r="D157">
        <v>144</v>
      </c>
    </row>
    <row r="158" spans="1:4">
      <c r="A158" t="s">
        <v>2745</v>
      </c>
      <c r="B158" t="s">
        <v>185</v>
      </c>
      <c r="C158">
        <v>40043780</v>
      </c>
      <c r="D158">
        <v>576</v>
      </c>
    </row>
    <row r="159" spans="1:4">
      <c r="A159" t="s">
        <v>2745</v>
      </c>
      <c r="B159" t="s">
        <v>185</v>
      </c>
      <c r="C159">
        <v>40023911</v>
      </c>
      <c r="D159">
        <v>576</v>
      </c>
    </row>
    <row r="160" spans="1:4">
      <c r="A160" t="s">
        <v>2745</v>
      </c>
      <c r="B160" t="s">
        <v>185</v>
      </c>
      <c r="C160">
        <v>40031134</v>
      </c>
      <c r="D160">
        <v>576</v>
      </c>
    </row>
    <row r="161" spans="1:5">
      <c r="A161" t="s">
        <v>2746</v>
      </c>
      <c r="B161" t="s">
        <v>185</v>
      </c>
      <c r="C161">
        <v>40043783</v>
      </c>
      <c r="D161">
        <v>144</v>
      </c>
    </row>
    <row r="162" spans="1:5">
      <c r="A162" t="s">
        <v>2747</v>
      </c>
      <c r="B162" t="s">
        <v>185</v>
      </c>
      <c r="C162">
        <v>40007576</v>
      </c>
      <c r="D162">
        <v>576</v>
      </c>
    </row>
    <row r="163" spans="1:5">
      <c r="A163" t="s">
        <v>2748</v>
      </c>
      <c r="B163" t="s">
        <v>185</v>
      </c>
      <c r="C163">
        <v>40043781</v>
      </c>
      <c r="D163">
        <v>576</v>
      </c>
    </row>
    <row r="164" spans="1:5">
      <c r="A164" t="s">
        <v>2748</v>
      </c>
      <c r="B164" t="s">
        <v>185</v>
      </c>
      <c r="C164">
        <v>40023912</v>
      </c>
      <c r="D164">
        <v>576</v>
      </c>
    </row>
    <row r="165" spans="1:5">
      <c r="A165" t="s">
        <v>2748</v>
      </c>
      <c r="B165" t="s">
        <v>185</v>
      </c>
      <c r="C165">
        <v>40031155</v>
      </c>
      <c r="D165">
        <v>576</v>
      </c>
    </row>
    <row r="166" spans="1:5">
      <c r="A166" t="s">
        <v>2749</v>
      </c>
      <c r="B166" t="s">
        <v>185</v>
      </c>
      <c r="C166">
        <v>40031159</v>
      </c>
      <c r="D166">
        <v>144</v>
      </c>
    </row>
    <row r="167" spans="1:5">
      <c r="A167" t="s">
        <v>2750</v>
      </c>
      <c r="B167" t="s">
        <v>185</v>
      </c>
      <c r="C167">
        <v>40049994</v>
      </c>
      <c r="D167">
        <v>144</v>
      </c>
    </row>
    <row r="168" spans="1:5">
      <c r="A168" t="s">
        <v>2751</v>
      </c>
      <c r="B168" t="s">
        <v>185</v>
      </c>
      <c r="C168">
        <v>40056226</v>
      </c>
      <c r="D168">
        <v>144</v>
      </c>
      <c r="E168">
        <v>1</v>
      </c>
    </row>
    <row r="169" spans="1:5">
      <c r="A169" t="s">
        <v>2751</v>
      </c>
      <c r="B169" t="s">
        <v>185</v>
      </c>
      <c r="C169">
        <v>40023556</v>
      </c>
      <c r="D169">
        <v>144</v>
      </c>
      <c r="E169">
        <v>2</v>
      </c>
    </row>
    <row r="170" spans="1:5">
      <c r="A170" t="s">
        <v>2751</v>
      </c>
      <c r="B170" t="s">
        <v>185</v>
      </c>
      <c r="C170">
        <v>40026337</v>
      </c>
      <c r="D170">
        <v>144</v>
      </c>
    </row>
    <row r="171" spans="1:5">
      <c r="A171" t="s">
        <v>2751</v>
      </c>
      <c r="B171" t="s">
        <v>185</v>
      </c>
      <c r="C171">
        <v>40060800</v>
      </c>
      <c r="D171">
        <v>144</v>
      </c>
      <c r="E171">
        <v>3</v>
      </c>
    </row>
    <row r="172" spans="1:5">
      <c r="A172" t="s">
        <v>2752</v>
      </c>
      <c r="B172" t="s">
        <v>185</v>
      </c>
      <c r="C172">
        <v>40056228</v>
      </c>
      <c r="D172">
        <v>72</v>
      </c>
      <c r="E172">
        <v>1</v>
      </c>
    </row>
    <row r="173" spans="1:5">
      <c r="A173" t="s">
        <v>2752</v>
      </c>
      <c r="B173" t="s">
        <v>185</v>
      </c>
      <c r="C173">
        <v>40023559</v>
      </c>
      <c r="D173">
        <v>72</v>
      </c>
      <c r="E173">
        <v>2</v>
      </c>
    </row>
    <row r="174" spans="1:5">
      <c r="A174" t="s">
        <v>2752</v>
      </c>
      <c r="B174" t="s">
        <v>185</v>
      </c>
      <c r="C174">
        <v>40060798</v>
      </c>
      <c r="D174">
        <v>72</v>
      </c>
      <c r="E174">
        <v>3</v>
      </c>
    </row>
    <row r="175" spans="1:5">
      <c r="A175" t="s">
        <v>2753</v>
      </c>
      <c r="B175" t="s">
        <v>185</v>
      </c>
      <c r="C175">
        <v>40056227</v>
      </c>
      <c r="D175">
        <v>144</v>
      </c>
    </row>
    <row r="176" spans="1:5">
      <c r="A176" t="s">
        <v>2753</v>
      </c>
      <c r="B176" t="s">
        <v>185</v>
      </c>
      <c r="C176">
        <v>40023534</v>
      </c>
      <c r="D176">
        <v>144</v>
      </c>
    </row>
    <row r="177" spans="1:4">
      <c r="A177" t="s">
        <v>2753</v>
      </c>
      <c r="B177" t="s">
        <v>185</v>
      </c>
      <c r="C177">
        <v>40060797</v>
      </c>
      <c r="D177">
        <v>144</v>
      </c>
    </row>
    <row r="178" spans="1:4">
      <c r="A178" t="s">
        <v>2754</v>
      </c>
      <c r="B178" t="s">
        <v>185</v>
      </c>
      <c r="C178">
        <v>40007562</v>
      </c>
      <c r="D178">
        <v>144</v>
      </c>
    </row>
    <row r="179" spans="1:4">
      <c r="A179" t="s">
        <v>2755</v>
      </c>
      <c r="B179" t="s">
        <v>185</v>
      </c>
      <c r="C179">
        <v>40056229</v>
      </c>
      <c r="D179">
        <v>72</v>
      </c>
    </row>
    <row r="180" spans="1:4">
      <c r="A180" t="s">
        <v>2755</v>
      </c>
      <c r="B180" t="s">
        <v>185</v>
      </c>
      <c r="C180">
        <v>40060796</v>
      </c>
      <c r="D180">
        <v>72</v>
      </c>
    </row>
    <row r="181" spans="1:4">
      <c r="A181" t="s">
        <v>2755</v>
      </c>
      <c r="B181" t="s">
        <v>185</v>
      </c>
      <c r="C181">
        <v>40023557</v>
      </c>
      <c r="D181">
        <v>72</v>
      </c>
    </row>
    <row r="182" spans="1:4">
      <c r="A182" t="s">
        <v>2755</v>
      </c>
      <c r="B182" t="s">
        <v>185</v>
      </c>
      <c r="C182">
        <v>40007561</v>
      </c>
      <c r="D182">
        <v>72</v>
      </c>
    </row>
    <row r="183" spans="1:4">
      <c r="A183" t="s">
        <v>2756</v>
      </c>
      <c r="B183" t="s">
        <v>185</v>
      </c>
      <c r="C183">
        <v>40007556</v>
      </c>
      <c r="D183">
        <v>864</v>
      </c>
    </row>
    <row r="184" spans="1:4">
      <c r="A184" t="s">
        <v>2756</v>
      </c>
      <c r="B184" t="s">
        <v>185</v>
      </c>
      <c r="C184">
        <v>40035625</v>
      </c>
      <c r="D184">
        <v>864</v>
      </c>
    </row>
    <row r="185" spans="1:4">
      <c r="A185" t="s">
        <v>2757</v>
      </c>
      <c r="B185" t="s">
        <v>185</v>
      </c>
      <c r="C185">
        <v>40007572</v>
      </c>
      <c r="D185">
        <v>144</v>
      </c>
    </row>
    <row r="186" spans="1:4">
      <c r="A186" t="s">
        <v>2758</v>
      </c>
      <c r="B186" t="s">
        <v>185</v>
      </c>
      <c r="C186">
        <v>40017204</v>
      </c>
      <c r="D186">
        <v>864</v>
      </c>
    </row>
    <row r="187" spans="1:4">
      <c r="A187" t="s">
        <v>2758</v>
      </c>
      <c r="B187" t="s">
        <v>185</v>
      </c>
      <c r="C187">
        <v>40062941</v>
      </c>
      <c r="D187">
        <v>864</v>
      </c>
    </row>
    <row r="188" spans="1:4">
      <c r="A188" t="s">
        <v>2759</v>
      </c>
      <c r="B188" t="s">
        <v>185</v>
      </c>
      <c r="C188">
        <v>40050005</v>
      </c>
      <c r="D188">
        <v>48</v>
      </c>
    </row>
    <row r="189" spans="1:4">
      <c r="A189" t="s">
        <v>2760</v>
      </c>
      <c r="B189" t="s">
        <v>185</v>
      </c>
      <c r="C189">
        <v>40057199</v>
      </c>
      <c r="D189">
        <v>144</v>
      </c>
    </row>
    <row r="190" spans="1:4">
      <c r="A190" t="s">
        <v>2760</v>
      </c>
      <c r="B190" t="s">
        <v>185</v>
      </c>
      <c r="C190">
        <v>40062317</v>
      </c>
      <c r="D190">
        <v>144</v>
      </c>
    </row>
    <row r="191" spans="1:4">
      <c r="A191" t="s">
        <v>2761</v>
      </c>
      <c r="B191" t="s">
        <v>185</v>
      </c>
      <c r="C191">
        <v>40057198</v>
      </c>
      <c r="D191">
        <v>72</v>
      </c>
    </row>
    <row r="192" spans="1:4">
      <c r="A192" t="s">
        <v>2761</v>
      </c>
      <c r="B192" t="s">
        <v>185</v>
      </c>
      <c r="C192">
        <v>40062316</v>
      </c>
      <c r="D192">
        <v>72</v>
      </c>
    </row>
    <row r="193" spans="1:4">
      <c r="A193" t="s">
        <v>2762</v>
      </c>
      <c r="B193" t="s">
        <v>185</v>
      </c>
      <c r="C193">
        <v>40034916</v>
      </c>
      <c r="D193">
        <v>48</v>
      </c>
    </row>
    <row r="194" spans="1:4">
      <c r="A194" t="s">
        <v>2762</v>
      </c>
      <c r="B194" t="s">
        <v>185</v>
      </c>
      <c r="C194">
        <v>40028471</v>
      </c>
      <c r="D194">
        <v>48</v>
      </c>
    </row>
    <row r="195" spans="1:4">
      <c r="A195" t="s">
        <v>2763</v>
      </c>
      <c r="B195" t="s">
        <v>185</v>
      </c>
      <c r="C195">
        <v>40034915</v>
      </c>
      <c r="D195">
        <v>48</v>
      </c>
    </row>
    <row r="196" spans="1:4">
      <c r="A196" t="s">
        <v>2764</v>
      </c>
      <c r="B196" t="s">
        <v>185</v>
      </c>
      <c r="C196">
        <v>40020719</v>
      </c>
      <c r="D196">
        <v>48</v>
      </c>
    </row>
    <row r="197" spans="1:4">
      <c r="A197" t="s">
        <v>2765</v>
      </c>
      <c r="B197" t="s">
        <v>185</v>
      </c>
      <c r="C197">
        <v>40049639</v>
      </c>
      <c r="D197">
        <v>120</v>
      </c>
    </row>
    <row r="198" spans="1:4">
      <c r="A198" t="s">
        <v>2765</v>
      </c>
      <c r="B198" t="s">
        <v>185</v>
      </c>
      <c r="C198">
        <v>40007596</v>
      </c>
      <c r="D198">
        <v>120</v>
      </c>
    </row>
    <row r="199" spans="1:4">
      <c r="A199" t="s">
        <v>2766</v>
      </c>
      <c r="B199" t="s">
        <v>185</v>
      </c>
      <c r="C199">
        <v>40008321</v>
      </c>
      <c r="D199">
        <v>24</v>
      </c>
    </row>
    <row r="200" spans="1:4">
      <c r="A200" t="s">
        <v>2767</v>
      </c>
      <c r="B200" t="s">
        <v>185</v>
      </c>
      <c r="C200">
        <v>40008323</v>
      </c>
      <c r="D200">
        <v>24</v>
      </c>
    </row>
    <row r="201" spans="1:4">
      <c r="A201" t="s">
        <v>2768</v>
      </c>
      <c r="B201" t="s">
        <v>185</v>
      </c>
      <c r="C201">
        <v>40049588</v>
      </c>
      <c r="D201">
        <v>12</v>
      </c>
    </row>
    <row r="202" spans="1:4">
      <c r="A202" t="s">
        <v>2769</v>
      </c>
      <c r="B202" t="s">
        <v>185</v>
      </c>
      <c r="C202">
        <v>40008320</v>
      </c>
      <c r="D202">
        <v>12</v>
      </c>
    </row>
    <row r="203" spans="1:4">
      <c r="A203" t="s">
        <v>2770</v>
      </c>
      <c r="B203" t="s">
        <v>185</v>
      </c>
      <c r="C203">
        <v>40008322</v>
      </c>
      <c r="D203">
        <v>12</v>
      </c>
    </row>
    <row r="204" spans="1:4">
      <c r="A204" t="s">
        <v>2771</v>
      </c>
      <c r="B204" t="s">
        <v>185</v>
      </c>
      <c r="C204">
        <v>40008328</v>
      </c>
      <c r="D204">
        <v>24</v>
      </c>
    </row>
    <row r="205" spans="1:4">
      <c r="A205" t="s">
        <v>2772</v>
      </c>
      <c r="B205" t="s">
        <v>185</v>
      </c>
      <c r="C205">
        <v>40008326</v>
      </c>
      <c r="D205">
        <v>24</v>
      </c>
    </row>
    <row r="206" spans="1:4">
      <c r="A206" t="s">
        <v>2773</v>
      </c>
      <c r="B206" t="s">
        <v>185</v>
      </c>
      <c r="C206">
        <v>40008330</v>
      </c>
      <c r="D206">
        <v>6</v>
      </c>
    </row>
    <row r="207" spans="1:4">
      <c r="A207" t="s">
        <v>2774</v>
      </c>
      <c r="B207" t="s">
        <v>185</v>
      </c>
      <c r="C207">
        <v>40008327</v>
      </c>
      <c r="D207">
        <v>12</v>
      </c>
    </row>
    <row r="208" spans="1:4">
      <c r="A208" t="s">
        <v>2775</v>
      </c>
      <c r="B208" t="s">
        <v>185</v>
      </c>
      <c r="C208">
        <v>40008325</v>
      </c>
      <c r="D208">
        <v>12</v>
      </c>
    </row>
    <row r="209" spans="1:4">
      <c r="A209" t="s">
        <v>2776</v>
      </c>
      <c r="B209" t="s">
        <v>185</v>
      </c>
      <c r="C209">
        <v>40008340</v>
      </c>
      <c r="D209">
        <v>24</v>
      </c>
    </row>
    <row r="210" spans="1:4">
      <c r="A210" t="s">
        <v>2777</v>
      </c>
      <c r="B210" t="s">
        <v>185</v>
      </c>
      <c r="C210">
        <v>40008338</v>
      </c>
      <c r="D210">
        <v>24</v>
      </c>
    </row>
    <row r="211" spans="1:4">
      <c r="A211" t="s">
        <v>2778</v>
      </c>
      <c r="B211" t="s">
        <v>185</v>
      </c>
      <c r="C211">
        <v>40008339</v>
      </c>
      <c r="D211">
        <v>24</v>
      </c>
    </row>
    <row r="212" spans="1:4">
      <c r="A212" t="s">
        <v>2779</v>
      </c>
      <c r="B212" t="s">
        <v>185</v>
      </c>
      <c r="C212">
        <v>40008336</v>
      </c>
      <c r="D212">
        <v>24</v>
      </c>
    </row>
    <row r="213" spans="1:4">
      <c r="A213" t="s">
        <v>2780</v>
      </c>
      <c r="B213" t="s">
        <v>185</v>
      </c>
      <c r="C213">
        <v>40008337</v>
      </c>
      <c r="D213">
        <v>24</v>
      </c>
    </row>
    <row r="214" spans="1:4">
      <c r="A214" t="s">
        <v>2781</v>
      </c>
      <c r="B214" t="s">
        <v>185</v>
      </c>
      <c r="C214">
        <v>40027244</v>
      </c>
      <c r="D214">
        <v>24</v>
      </c>
    </row>
    <row r="215" spans="1:4">
      <c r="A215" t="s">
        <v>2782</v>
      </c>
      <c r="B215" t="s">
        <v>185</v>
      </c>
      <c r="C215">
        <v>40027245</v>
      </c>
      <c r="D215">
        <v>24</v>
      </c>
    </row>
    <row r="216" spans="1:4">
      <c r="A216" t="s">
        <v>2783</v>
      </c>
      <c r="B216" t="s">
        <v>185</v>
      </c>
      <c r="C216">
        <v>40027246</v>
      </c>
      <c r="D216">
        <v>24</v>
      </c>
    </row>
    <row r="217" spans="1:4">
      <c r="A217" t="s">
        <v>2784</v>
      </c>
      <c r="B217" t="s">
        <v>185</v>
      </c>
      <c r="C217">
        <v>40027248</v>
      </c>
      <c r="D217">
        <v>24</v>
      </c>
    </row>
    <row r="218" spans="1:4">
      <c r="A218" t="s">
        <v>2785</v>
      </c>
      <c r="B218" t="s">
        <v>663</v>
      </c>
      <c r="C218">
        <v>40050291</v>
      </c>
      <c r="D218">
        <v>24</v>
      </c>
    </row>
    <row r="219" spans="1:4">
      <c r="A219" t="s">
        <v>2786</v>
      </c>
      <c r="B219" t="s">
        <v>663</v>
      </c>
      <c r="C219">
        <v>40050313</v>
      </c>
      <c r="D219">
        <v>6</v>
      </c>
    </row>
    <row r="220" spans="1:4">
      <c r="A220" t="s">
        <v>2787</v>
      </c>
      <c r="B220" t="s">
        <v>662</v>
      </c>
      <c r="C220">
        <v>40035995</v>
      </c>
      <c r="D220">
        <v>12</v>
      </c>
    </row>
    <row r="221" spans="1:4">
      <c r="A221" t="s">
        <v>2788</v>
      </c>
      <c r="B221" t="s">
        <v>185</v>
      </c>
      <c r="C221">
        <v>40028012</v>
      </c>
      <c r="D221">
        <v>48</v>
      </c>
    </row>
    <row r="222" spans="1:4">
      <c r="A222" t="s">
        <v>2788</v>
      </c>
      <c r="B222" t="s">
        <v>185</v>
      </c>
      <c r="C222">
        <v>40058790</v>
      </c>
      <c r="D222">
        <v>48</v>
      </c>
    </row>
    <row r="223" spans="1:4">
      <c r="A223" t="s">
        <v>2789</v>
      </c>
      <c r="B223" t="s">
        <v>185</v>
      </c>
      <c r="C223">
        <v>40028274</v>
      </c>
      <c r="D223">
        <v>48</v>
      </c>
    </row>
    <row r="224" spans="1:4">
      <c r="A224" t="s">
        <v>2790</v>
      </c>
      <c r="B224" t="s">
        <v>185</v>
      </c>
      <c r="C224">
        <v>40058791</v>
      </c>
      <c r="D224">
        <v>48</v>
      </c>
    </row>
    <row r="225" spans="1:5">
      <c r="A225" t="s">
        <v>2790</v>
      </c>
      <c r="B225" t="s">
        <v>185</v>
      </c>
      <c r="C225">
        <v>40028013</v>
      </c>
      <c r="D225">
        <v>48</v>
      </c>
    </row>
    <row r="226" spans="1:5">
      <c r="A226" t="s">
        <v>2791</v>
      </c>
      <c r="B226" t="s">
        <v>185</v>
      </c>
      <c r="C226">
        <v>40028285</v>
      </c>
      <c r="D226">
        <v>48</v>
      </c>
    </row>
    <row r="227" spans="1:5">
      <c r="A227" t="s">
        <v>2792</v>
      </c>
      <c r="B227" t="s">
        <v>185</v>
      </c>
      <c r="C227">
        <v>40028137</v>
      </c>
      <c r="D227">
        <v>48</v>
      </c>
    </row>
    <row r="228" spans="1:5">
      <c r="A228" t="s">
        <v>2793</v>
      </c>
      <c r="B228" t="s">
        <v>636</v>
      </c>
      <c r="C228">
        <v>40027994</v>
      </c>
      <c r="D228">
        <v>12</v>
      </c>
    </row>
    <row r="229" spans="1:5">
      <c r="A229" t="s">
        <v>2794</v>
      </c>
      <c r="B229" t="s">
        <v>647</v>
      </c>
      <c r="C229">
        <v>40027992</v>
      </c>
      <c r="D229">
        <v>24</v>
      </c>
    </row>
    <row r="230" spans="1:5">
      <c r="A230" t="s">
        <v>2795</v>
      </c>
      <c r="B230" t="s">
        <v>647</v>
      </c>
      <c r="C230">
        <v>40028073</v>
      </c>
      <c r="D230">
        <v>48</v>
      </c>
    </row>
    <row r="231" spans="1:5">
      <c r="A231" t="s">
        <v>2796</v>
      </c>
      <c r="B231" t="s">
        <v>647</v>
      </c>
      <c r="C231">
        <v>40028271</v>
      </c>
      <c r="D231">
        <v>36</v>
      </c>
    </row>
    <row r="232" spans="1:5">
      <c r="A232" t="s">
        <v>2797</v>
      </c>
      <c r="B232" t="s">
        <v>647</v>
      </c>
      <c r="C232">
        <v>40028273</v>
      </c>
      <c r="D232">
        <v>36</v>
      </c>
    </row>
    <row r="233" spans="1:5">
      <c r="A233" t="s">
        <v>2798</v>
      </c>
      <c r="B233" t="s">
        <v>647</v>
      </c>
      <c r="C233">
        <v>40028269</v>
      </c>
      <c r="D233">
        <v>36</v>
      </c>
    </row>
    <row r="234" spans="1:5">
      <c r="A234" t="s">
        <v>2799</v>
      </c>
      <c r="B234" t="s">
        <v>647</v>
      </c>
      <c r="C234">
        <v>40028270</v>
      </c>
      <c r="D234">
        <v>36</v>
      </c>
    </row>
    <row r="235" spans="1:5">
      <c r="A235" t="s">
        <v>2800</v>
      </c>
      <c r="B235" t="s">
        <v>647</v>
      </c>
      <c r="C235">
        <v>40028272</v>
      </c>
      <c r="D235">
        <v>36</v>
      </c>
    </row>
    <row r="236" spans="1:5">
      <c r="A236" t="s">
        <v>2801</v>
      </c>
      <c r="B236" t="s">
        <v>647</v>
      </c>
      <c r="C236">
        <v>40028268</v>
      </c>
      <c r="D236">
        <v>36</v>
      </c>
    </row>
    <row r="237" spans="1:5">
      <c r="A237" t="s">
        <v>2802</v>
      </c>
      <c r="B237" t="s">
        <v>636</v>
      </c>
      <c r="C237">
        <v>40027990</v>
      </c>
      <c r="D237">
        <v>36</v>
      </c>
    </row>
    <row r="238" spans="1:5">
      <c r="A238" t="s">
        <v>2803</v>
      </c>
      <c r="B238" t="s">
        <v>636</v>
      </c>
      <c r="C238">
        <v>40027991</v>
      </c>
      <c r="D238">
        <v>12</v>
      </c>
    </row>
    <row r="239" spans="1:5">
      <c r="A239" t="s">
        <v>2804</v>
      </c>
      <c r="B239" t="s">
        <v>647</v>
      </c>
      <c r="C239">
        <v>40027989</v>
      </c>
      <c r="D239">
        <v>36</v>
      </c>
    </row>
    <row r="240" spans="1:5">
      <c r="A240" t="s">
        <v>2805</v>
      </c>
      <c r="B240" t="s">
        <v>636</v>
      </c>
      <c r="C240">
        <v>40027883</v>
      </c>
      <c r="D240">
        <v>12</v>
      </c>
      <c r="E240">
        <v>1</v>
      </c>
    </row>
    <row r="241" spans="1:5">
      <c r="A241" t="s">
        <v>2805</v>
      </c>
      <c r="B241" t="s">
        <v>636</v>
      </c>
      <c r="C241">
        <v>40009897</v>
      </c>
      <c r="D241">
        <v>12</v>
      </c>
      <c r="E241">
        <v>2</v>
      </c>
    </row>
    <row r="242" spans="1:5">
      <c r="A242" t="s">
        <v>2806</v>
      </c>
      <c r="B242" t="s">
        <v>647</v>
      </c>
      <c r="C242">
        <v>40028065</v>
      </c>
      <c r="D242">
        <v>36</v>
      </c>
    </row>
    <row r="243" spans="1:5">
      <c r="A243" t="s">
        <v>2806</v>
      </c>
      <c r="B243" t="s">
        <v>647</v>
      </c>
      <c r="C243">
        <v>40016503</v>
      </c>
      <c r="D243">
        <v>36</v>
      </c>
    </row>
    <row r="244" spans="1:5">
      <c r="A244" t="s">
        <v>2807</v>
      </c>
      <c r="B244" t="s">
        <v>185</v>
      </c>
      <c r="C244">
        <v>40043531</v>
      </c>
      <c r="D244">
        <v>24</v>
      </c>
    </row>
    <row r="245" spans="1:5">
      <c r="A245" t="s">
        <v>2808</v>
      </c>
      <c r="B245" t="s">
        <v>185</v>
      </c>
      <c r="C245">
        <v>40027228</v>
      </c>
      <c r="D245">
        <v>144</v>
      </c>
    </row>
    <row r="246" spans="1:5">
      <c r="A246" t="s">
        <v>2808</v>
      </c>
      <c r="B246" t="s">
        <v>185</v>
      </c>
      <c r="C246">
        <v>40008112</v>
      </c>
      <c r="D246">
        <v>144</v>
      </c>
    </row>
    <row r="247" spans="1:5">
      <c r="A247" t="s">
        <v>2809</v>
      </c>
      <c r="B247" t="s">
        <v>185</v>
      </c>
      <c r="C247">
        <v>40058367</v>
      </c>
      <c r="D247">
        <v>288</v>
      </c>
    </row>
    <row r="248" spans="1:5">
      <c r="A248" t="s">
        <v>2809</v>
      </c>
      <c r="B248" t="s">
        <v>185</v>
      </c>
      <c r="C248">
        <v>40027227</v>
      </c>
      <c r="D248">
        <v>288</v>
      </c>
    </row>
    <row r="249" spans="1:5">
      <c r="A249" t="s">
        <v>2810</v>
      </c>
      <c r="B249" t="s">
        <v>2654</v>
      </c>
      <c r="C249">
        <v>40049678</v>
      </c>
      <c r="D249">
        <v>72</v>
      </c>
    </row>
    <row r="250" spans="1:5">
      <c r="A250" t="s">
        <v>2811</v>
      </c>
      <c r="B250" t="s">
        <v>185</v>
      </c>
      <c r="C250">
        <v>40049679</v>
      </c>
      <c r="D250">
        <v>72</v>
      </c>
    </row>
    <row r="251" spans="1:5">
      <c r="A251" t="s">
        <v>2812</v>
      </c>
      <c r="B251" t="s">
        <v>185</v>
      </c>
      <c r="C251">
        <v>40039096</v>
      </c>
      <c r="D251">
        <v>72</v>
      </c>
    </row>
    <row r="252" spans="1:5">
      <c r="A252" t="s">
        <v>2813</v>
      </c>
      <c r="B252" t="s">
        <v>185</v>
      </c>
      <c r="C252">
        <v>40058366</v>
      </c>
      <c r="D252">
        <v>288</v>
      </c>
    </row>
    <row r="253" spans="1:5">
      <c r="A253" t="s">
        <v>2813</v>
      </c>
      <c r="B253" t="s">
        <v>185</v>
      </c>
      <c r="C253">
        <v>40027230</v>
      </c>
      <c r="D253">
        <v>288</v>
      </c>
    </row>
    <row r="254" spans="1:5">
      <c r="A254" t="s">
        <v>2814</v>
      </c>
      <c r="B254" t="s">
        <v>185</v>
      </c>
      <c r="C254">
        <v>40027233</v>
      </c>
      <c r="D254">
        <v>144</v>
      </c>
    </row>
    <row r="255" spans="1:5">
      <c r="A255" t="s">
        <v>2815</v>
      </c>
      <c r="B255" t="s">
        <v>185</v>
      </c>
      <c r="C255">
        <v>40027235</v>
      </c>
      <c r="D255">
        <v>72</v>
      </c>
    </row>
    <row r="256" spans="1:5">
      <c r="A256" t="s">
        <v>2816</v>
      </c>
      <c r="B256" t="s">
        <v>185</v>
      </c>
      <c r="C256">
        <v>40027237</v>
      </c>
      <c r="D256">
        <v>36</v>
      </c>
    </row>
    <row r="257" spans="1:4">
      <c r="A257" t="s">
        <v>2817</v>
      </c>
      <c r="B257" t="s">
        <v>185</v>
      </c>
      <c r="C257">
        <v>40049680</v>
      </c>
      <c r="D257">
        <v>72</v>
      </c>
    </row>
    <row r="258" spans="1:4">
      <c r="A258" t="s">
        <v>2818</v>
      </c>
      <c r="B258" t="s">
        <v>185</v>
      </c>
      <c r="C258">
        <v>40031569</v>
      </c>
      <c r="D258">
        <v>24</v>
      </c>
    </row>
    <row r="259" spans="1:4">
      <c r="A259" t="s">
        <v>2818</v>
      </c>
      <c r="B259" t="s">
        <v>185</v>
      </c>
      <c r="C259">
        <v>40027239</v>
      </c>
      <c r="D259">
        <v>24</v>
      </c>
    </row>
    <row r="260" spans="1:4">
      <c r="A260" t="s">
        <v>2819</v>
      </c>
      <c r="B260" t="s">
        <v>185</v>
      </c>
      <c r="C260">
        <v>40027231</v>
      </c>
      <c r="D260">
        <v>288</v>
      </c>
    </row>
    <row r="261" spans="1:4">
      <c r="A261" t="s">
        <v>2819</v>
      </c>
      <c r="B261" t="s">
        <v>185</v>
      </c>
      <c r="C261">
        <v>40058365</v>
      </c>
      <c r="D261">
        <v>288</v>
      </c>
    </row>
    <row r="262" spans="1:4">
      <c r="A262" t="s">
        <v>2820</v>
      </c>
      <c r="B262" t="s">
        <v>185</v>
      </c>
      <c r="C262">
        <v>40027243</v>
      </c>
      <c r="D262">
        <v>24</v>
      </c>
    </row>
    <row r="263" spans="1:4">
      <c r="A263" t="s">
        <v>2821</v>
      </c>
      <c r="B263" t="s">
        <v>647</v>
      </c>
      <c r="C263">
        <v>40027241</v>
      </c>
      <c r="D263">
        <v>24</v>
      </c>
    </row>
    <row r="264" spans="1:4">
      <c r="A264" t="s">
        <v>2822</v>
      </c>
      <c r="B264" t="s">
        <v>185</v>
      </c>
      <c r="C264">
        <v>40027232</v>
      </c>
      <c r="D264">
        <v>144</v>
      </c>
    </row>
    <row r="265" spans="1:4">
      <c r="A265" t="s">
        <v>2823</v>
      </c>
      <c r="B265" t="s">
        <v>185</v>
      </c>
      <c r="C265">
        <v>40027234</v>
      </c>
      <c r="D265">
        <v>72</v>
      </c>
    </row>
    <row r="266" spans="1:4">
      <c r="A266" t="s">
        <v>2824</v>
      </c>
      <c r="B266" t="s">
        <v>185</v>
      </c>
      <c r="C266">
        <v>40027236</v>
      </c>
      <c r="D266">
        <v>36</v>
      </c>
    </row>
    <row r="267" spans="1:4">
      <c r="A267" t="s">
        <v>2825</v>
      </c>
      <c r="B267" t="s">
        <v>185</v>
      </c>
      <c r="C267">
        <v>40031568</v>
      </c>
      <c r="D267">
        <v>24</v>
      </c>
    </row>
    <row r="268" spans="1:4">
      <c r="A268" t="s">
        <v>2826</v>
      </c>
      <c r="B268" t="s">
        <v>647</v>
      </c>
      <c r="C268">
        <v>40027240</v>
      </c>
      <c r="D268">
        <v>24</v>
      </c>
    </row>
    <row r="269" spans="1:4">
      <c r="A269" t="s">
        <v>2827</v>
      </c>
      <c r="B269" t="s">
        <v>663</v>
      </c>
      <c r="C269">
        <v>40018118</v>
      </c>
      <c r="D269">
        <v>36</v>
      </c>
    </row>
    <row r="270" spans="1:4">
      <c r="A270" t="s">
        <v>2828</v>
      </c>
      <c r="B270" t="s">
        <v>185</v>
      </c>
      <c r="C270">
        <v>40012842</v>
      </c>
      <c r="D270">
        <v>24</v>
      </c>
    </row>
    <row r="271" spans="1:4">
      <c r="A271" t="s">
        <v>2829</v>
      </c>
      <c r="B271" t="s">
        <v>647</v>
      </c>
      <c r="C271">
        <v>40012840</v>
      </c>
      <c r="D271">
        <v>24</v>
      </c>
    </row>
    <row r="272" spans="1:4">
      <c r="A272" t="s">
        <v>2830</v>
      </c>
      <c r="B272" t="s">
        <v>663</v>
      </c>
      <c r="C272">
        <v>40008106</v>
      </c>
      <c r="D272">
        <v>144</v>
      </c>
    </row>
    <row r="273" spans="1:4">
      <c r="A273" t="s">
        <v>2831</v>
      </c>
      <c r="B273" t="s">
        <v>663</v>
      </c>
      <c r="C273">
        <v>40008104</v>
      </c>
      <c r="D273">
        <v>144</v>
      </c>
    </row>
    <row r="274" spans="1:4">
      <c r="A274" t="s">
        <v>2832</v>
      </c>
      <c r="B274" t="s">
        <v>185</v>
      </c>
      <c r="C274">
        <v>40012843</v>
      </c>
      <c r="D274">
        <v>24</v>
      </c>
    </row>
    <row r="275" spans="1:4">
      <c r="A275" t="s">
        <v>2833</v>
      </c>
      <c r="B275" t="s">
        <v>647</v>
      </c>
      <c r="C275">
        <v>40012841</v>
      </c>
      <c r="D275">
        <v>24</v>
      </c>
    </row>
    <row r="276" spans="1:4">
      <c r="A276" t="s">
        <v>2834</v>
      </c>
      <c r="B276" t="s">
        <v>662</v>
      </c>
      <c r="C276">
        <v>40049695</v>
      </c>
      <c r="D276">
        <v>24</v>
      </c>
    </row>
    <row r="277" spans="1:4">
      <c r="A277" t="s">
        <v>2835</v>
      </c>
      <c r="B277" t="s">
        <v>662</v>
      </c>
      <c r="C277">
        <v>40059819</v>
      </c>
      <c r="D277">
        <v>24</v>
      </c>
    </row>
    <row r="278" spans="1:4">
      <c r="A278" t="s">
        <v>2836</v>
      </c>
      <c r="B278" t="s">
        <v>664</v>
      </c>
      <c r="C278">
        <v>40060485</v>
      </c>
      <c r="D278">
        <v>144</v>
      </c>
    </row>
    <row r="279" spans="1:4">
      <c r="A279" t="s">
        <v>2837</v>
      </c>
      <c r="B279" t="s">
        <v>662</v>
      </c>
      <c r="C279">
        <v>40020677</v>
      </c>
      <c r="D279">
        <v>24</v>
      </c>
    </row>
    <row r="280" spans="1:4">
      <c r="A280" t="s">
        <v>2838</v>
      </c>
      <c r="B280" t="s">
        <v>662</v>
      </c>
      <c r="C280">
        <v>40023335</v>
      </c>
      <c r="D280">
        <v>24</v>
      </c>
    </row>
    <row r="281" spans="1:4">
      <c r="A281" t="s">
        <v>2838</v>
      </c>
      <c r="B281" t="s">
        <v>662</v>
      </c>
      <c r="C281">
        <v>40017289</v>
      </c>
      <c r="D281">
        <v>24</v>
      </c>
    </row>
    <row r="282" spans="1:4">
      <c r="A282" t="s">
        <v>2839</v>
      </c>
      <c r="B282" t="s">
        <v>662</v>
      </c>
      <c r="C282">
        <v>40058723</v>
      </c>
      <c r="D282">
        <v>24</v>
      </c>
    </row>
    <row r="283" spans="1:4">
      <c r="A283" t="s">
        <v>2840</v>
      </c>
      <c r="B283" t="s">
        <v>662</v>
      </c>
      <c r="C283">
        <v>40023337</v>
      </c>
      <c r="D283">
        <v>24</v>
      </c>
    </row>
    <row r="284" spans="1:4">
      <c r="A284" t="s">
        <v>2840</v>
      </c>
      <c r="B284" t="s">
        <v>662</v>
      </c>
      <c r="C284">
        <v>40017268</v>
      </c>
      <c r="D284">
        <v>24</v>
      </c>
    </row>
    <row r="285" spans="1:4">
      <c r="A285" t="s">
        <v>2841</v>
      </c>
      <c r="B285" t="s">
        <v>662</v>
      </c>
      <c r="C285">
        <v>40058724</v>
      </c>
      <c r="D285">
        <v>24</v>
      </c>
    </row>
    <row r="286" spans="1:4">
      <c r="A286" t="s">
        <v>2842</v>
      </c>
      <c r="B286" t="s">
        <v>662</v>
      </c>
      <c r="C286">
        <v>40061151</v>
      </c>
      <c r="D286">
        <v>24</v>
      </c>
    </row>
    <row r="287" spans="1:4">
      <c r="A287" t="s">
        <v>2843</v>
      </c>
      <c r="B287" t="s">
        <v>662</v>
      </c>
      <c r="C287">
        <v>40027283</v>
      </c>
      <c r="D287">
        <v>24</v>
      </c>
    </row>
    <row r="288" spans="1:4">
      <c r="A288" t="s">
        <v>2844</v>
      </c>
      <c r="B288" t="s">
        <v>662</v>
      </c>
      <c r="C288">
        <v>40058722</v>
      </c>
      <c r="D288">
        <v>24</v>
      </c>
    </row>
    <row r="289" spans="1:4">
      <c r="A289" t="s">
        <v>2845</v>
      </c>
      <c r="B289" t="s">
        <v>662</v>
      </c>
      <c r="C289">
        <v>40023336</v>
      </c>
      <c r="D289">
        <v>24</v>
      </c>
    </row>
    <row r="290" spans="1:4">
      <c r="A290" t="s">
        <v>2845</v>
      </c>
      <c r="B290" t="s">
        <v>662</v>
      </c>
      <c r="C290">
        <v>40017267</v>
      </c>
      <c r="D290">
        <v>24</v>
      </c>
    </row>
    <row r="291" spans="1:4">
      <c r="A291" t="s">
        <v>2846</v>
      </c>
      <c r="B291" t="s">
        <v>664</v>
      </c>
      <c r="C291">
        <v>40020112</v>
      </c>
      <c r="D291">
        <v>144</v>
      </c>
    </row>
    <row r="292" spans="1:4">
      <c r="A292" t="s">
        <v>2847</v>
      </c>
      <c r="B292" t="s">
        <v>662</v>
      </c>
      <c r="C292">
        <v>40058765</v>
      </c>
      <c r="D292">
        <v>24</v>
      </c>
    </row>
    <row r="293" spans="1:4">
      <c r="A293" t="s">
        <v>2848</v>
      </c>
      <c r="B293" t="s">
        <v>662</v>
      </c>
      <c r="C293">
        <v>40033215</v>
      </c>
      <c r="D293">
        <v>24</v>
      </c>
    </row>
    <row r="294" spans="1:4">
      <c r="A294" t="s">
        <v>2849</v>
      </c>
      <c r="B294" t="s">
        <v>662</v>
      </c>
      <c r="C294">
        <v>40056280</v>
      </c>
      <c r="D294">
        <v>24</v>
      </c>
    </row>
    <row r="295" spans="1:4">
      <c r="A295" t="s">
        <v>2850</v>
      </c>
      <c r="B295" t="s">
        <v>664</v>
      </c>
      <c r="C295">
        <v>40060394</v>
      </c>
      <c r="D295">
        <v>144</v>
      </c>
    </row>
    <row r="296" spans="1:4">
      <c r="A296" t="s">
        <v>2851</v>
      </c>
      <c r="B296" t="s">
        <v>662</v>
      </c>
      <c r="C296">
        <v>40058766</v>
      </c>
      <c r="D296">
        <v>24</v>
      </c>
    </row>
    <row r="297" spans="1:4">
      <c r="A297" t="s">
        <v>2852</v>
      </c>
      <c r="B297" t="s">
        <v>664</v>
      </c>
      <c r="C297">
        <v>40037720</v>
      </c>
      <c r="D297">
        <v>144</v>
      </c>
    </row>
    <row r="298" spans="1:4">
      <c r="A298" t="s">
        <v>2852</v>
      </c>
      <c r="B298" t="s">
        <v>664</v>
      </c>
      <c r="C298">
        <v>40060392</v>
      </c>
      <c r="D298">
        <v>144</v>
      </c>
    </row>
    <row r="299" spans="1:4">
      <c r="A299" t="s">
        <v>2853</v>
      </c>
      <c r="B299" t="s">
        <v>662</v>
      </c>
      <c r="C299">
        <v>40023333</v>
      </c>
      <c r="D299">
        <v>24</v>
      </c>
    </row>
    <row r="300" spans="1:4">
      <c r="A300" t="s">
        <v>2853</v>
      </c>
      <c r="B300" t="s">
        <v>662</v>
      </c>
      <c r="C300">
        <v>40017265</v>
      </c>
      <c r="D300">
        <v>24</v>
      </c>
    </row>
    <row r="301" spans="1:4">
      <c r="A301" t="s">
        <v>2854</v>
      </c>
      <c r="B301" t="s">
        <v>662</v>
      </c>
      <c r="C301">
        <v>40028482</v>
      </c>
      <c r="D301">
        <v>24</v>
      </c>
    </row>
    <row r="302" spans="1:4">
      <c r="A302" t="s">
        <v>2855</v>
      </c>
      <c r="B302" t="s">
        <v>664</v>
      </c>
      <c r="C302">
        <v>40037721</v>
      </c>
      <c r="D302">
        <v>144</v>
      </c>
    </row>
    <row r="303" spans="1:4">
      <c r="A303" t="s">
        <v>2856</v>
      </c>
      <c r="B303" t="s">
        <v>662</v>
      </c>
      <c r="C303">
        <v>40023334</v>
      </c>
      <c r="D303">
        <v>24</v>
      </c>
    </row>
    <row r="304" spans="1:4">
      <c r="A304" t="s">
        <v>2856</v>
      </c>
      <c r="B304" t="s">
        <v>662</v>
      </c>
      <c r="C304">
        <v>40017266</v>
      </c>
      <c r="D304">
        <v>24</v>
      </c>
    </row>
    <row r="305" spans="1:4">
      <c r="A305" t="s">
        <v>2857</v>
      </c>
      <c r="B305" t="s">
        <v>185</v>
      </c>
      <c r="C305">
        <v>40049694</v>
      </c>
      <c r="D305">
        <v>72</v>
      </c>
    </row>
    <row r="306" spans="1:4">
      <c r="A306" t="s">
        <v>2858</v>
      </c>
      <c r="B306" t="s">
        <v>185</v>
      </c>
      <c r="C306">
        <v>40035898</v>
      </c>
      <c r="D306">
        <v>72</v>
      </c>
    </row>
    <row r="307" spans="1:4">
      <c r="A307" t="s">
        <v>2858</v>
      </c>
      <c r="B307" t="s">
        <v>185</v>
      </c>
      <c r="C307">
        <v>40057115</v>
      </c>
      <c r="D307">
        <v>72</v>
      </c>
    </row>
    <row r="308" spans="1:4">
      <c r="A308" t="s">
        <v>2858</v>
      </c>
      <c r="B308" t="s">
        <v>185</v>
      </c>
      <c r="C308">
        <v>40031265</v>
      </c>
      <c r="D308">
        <v>72</v>
      </c>
    </row>
    <row r="309" spans="1:4">
      <c r="A309" t="s">
        <v>2859</v>
      </c>
      <c r="B309" t="s">
        <v>185</v>
      </c>
      <c r="C309">
        <v>40057116</v>
      </c>
      <c r="D309">
        <v>72</v>
      </c>
    </row>
    <row r="310" spans="1:4">
      <c r="A310" t="s">
        <v>2859</v>
      </c>
      <c r="B310" t="s">
        <v>185</v>
      </c>
      <c r="C310">
        <v>40035899</v>
      </c>
      <c r="D310">
        <v>72</v>
      </c>
    </row>
    <row r="311" spans="1:4">
      <c r="A311" t="s">
        <v>2859</v>
      </c>
      <c r="B311" t="s">
        <v>185</v>
      </c>
      <c r="C311">
        <v>40031266</v>
      </c>
      <c r="D311">
        <v>72</v>
      </c>
    </row>
    <row r="312" spans="1:4">
      <c r="A312" t="s">
        <v>2860</v>
      </c>
      <c r="B312" t="s">
        <v>185</v>
      </c>
      <c r="C312">
        <v>40057117</v>
      </c>
      <c r="D312">
        <v>72</v>
      </c>
    </row>
    <row r="313" spans="1:4">
      <c r="A313" t="s">
        <v>2860</v>
      </c>
      <c r="B313" t="s">
        <v>185</v>
      </c>
      <c r="C313">
        <v>40035900</v>
      </c>
      <c r="D313">
        <v>72</v>
      </c>
    </row>
    <row r="314" spans="1:4">
      <c r="A314" t="s">
        <v>2860</v>
      </c>
      <c r="B314" t="s">
        <v>185</v>
      </c>
      <c r="C314">
        <v>40031267</v>
      </c>
      <c r="D314">
        <v>72</v>
      </c>
    </row>
    <row r="315" spans="1:4">
      <c r="A315" t="s">
        <v>2861</v>
      </c>
      <c r="B315" t="s">
        <v>185</v>
      </c>
      <c r="C315">
        <v>40039309</v>
      </c>
      <c r="D315">
        <v>24</v>
      </c>
    </row>
    <row r="316" spans="1:4">
      <c r="A316" t="s">
        <v>2862</v>
      </c>
      <c r="B316" t="s">
        <v>185</v>
      </c>
      <c r="C316">
        <v>40039308</v>
      </c>
      <c r="D316">
        <v>24</v>
      </c>
    </row>
    <row r="317" spans="1:4">
      <c r="A317" t="s">
        <v>2863</v>
      </c>
      <c r="B317" t="s">
        <v>185</v>
      </c>
      <c r="C317">
        <v>40039310</v>
      </c>
      <c r="D317">
        <v>24</v>
      </c>
    </row>
    <row r="318" spans="1:4">
      <c r="A318" t="s">
        <v>2864</v>
      </c>
      <c r="B318" t="s">
        <v>185</v>
      </c>
      <c r="C318">
        <v>40031382</v>
      </c>
      <c r="D318">
        <v>72</v>
      </c>
    </row>
    <row r="319" spans="1:4">
      <c r="A319" t="s">
        <v>2865</v>
      </c>
      <c r="B319" t="s">
        <v>185</v>
      </c>
      <c r="C319">
        <v>40031383</v>
      </c>
      <c r="D319">
        <v>72</v>
      </c>
    </row>
    <row r="320" spans="1:4">
      <c r="A320" t="s">
        <v>2866</v>
      </c>
      <c r="B320" t="s">
        <v>185</v>
      </c>
      <c r="C320">
        <v>40059999</v>
      </c>
      <c r="D320">
        <v>24</v>
      </c>
    </row>
    <row r="321" spans="1:4">
      <c r="A321" t="s">
        <v>2866</v>
      </c>
      <c r="B321" t="s">
        <v>185</v>
      </c>
      <c r="C321">
        <v>40050348</v>
      </c>
      <c r="D321">
        <v>24</v>
      </c>
    </row>
    <row r="322" spans="1:4">
      <c r="A322" t="s">
        <v>2867</v>
      </c>
      <c r="B322" t="s">
        <v>185</v>
      </c>
      <c r="C322">
        <v>40058057</v>
      </c>
      <c r="D322">
        <v>48</v>
      </c>
    </row>
    <row r="323" spans="1:4">
      <c r="A323" t="s">
        <v>2867</v>
      </c>
      <c r="B323" t="s">
        <v>185</v>
      </c>
      <c r="C323">
        <v>40031391</v>
      </c>
      <c r="D323">
        <v>48</v>
      </c>
    </row>
    <row r="324" spans="1:4">
      <c r="A324" t="s">
        <v>2868</v>
      </c>
      <c r="B324" t="s">
        <v>185</v>
      </c>
      <c r="C324">
        <v>40031392</v>
      </c>
      <c r="D324">
        <v>72</v>
      </c>
    </row>
    <row r="325" spans="1:4">
      <c r="A325" t="s">
        <v>2868</v>
      </c>
      <c r="B325" t="s">
        <v>185</v>
      </c>
      <c r="C325">
        <v>40008524</v>
      </c>
      <c r="D325">
        <v>72</v>
      </c>
    </row>
    <row r="326" spans="1:4">
      <c r="A326" t="s">
        <v>2869</v>
      </c>
      <c r="B326" t="s">
        <v>185</v>
      </c>
      <c r="C326">
        <v>40031385</v>
      </c>
      <c r="D326">
        <v>72</v>
      </c>
    </row>
    <row r="327" spans="1:4">
      <c r="A327" t="s">
        <v>2870</v>
      </c>
      <c r="B327" t="s">
        <v>185</v>
      </c>
      <c r="C327">
        <v>40031623</v>
      </c>
      <c r="D327">
        <v>72</v>
      </c>
    </row>
    <row r="328" spans="1:4">
      <c r="A328" t="s">
        <v>2870</v>
      </c>
      <c r="B328" t="s">
        <v>185</v>
      </c>
      <c r="C328">
        <v>40060134</v>
      </c>
      <c r="D328">
        <v>72</v>
      </c>
    </row>
    <row r="329" spans="1:4">
      <c r="A329" t="s">
        <v>2871</v>
      </c>
      <c r="B329" t="s">
        <v>185</v>
      </c>
      <c r="C329">
        <v>40050292</v>
      </c>
      <c r="D329">
        <v>72</v>
      </c>
    </row>
    <row r="330" spans="1:4">
      <c r="A330" t="s">
        <v>2872</v>
      </c>
      <c r="B330" t="s">
        <v>185</v>
      </c>
      <c r="C330">
        <v>40031393</v>
      </c>
      <c r="D330">
        <v>576</v>
      </c>
    </row>
    <row r="331" spans="1:4">
      <c r="A331" t="s">
        <v>2872</v>
      </c>
      <c r="B331" t="s">
        <v>185</v>
      </c>
      <c r="C331">
        <v>40008448</v>
      </c>
      <c r="D331">
        <v>576</v>
      </c>
    </row>
    <row r="332" spans="1:4">
      <c r="A332" t="s">
        <v>2873</v>
      </c>
      <c r="B332" t="s">
        <v>185</v>
      </c>
      <c r="C332">
        <v>40031387</v>
      </c>
      <c r="D332">
        <v>288</v>
      </c>
    </row>
    <row r="333" spans="1:4">
      <c r="A333" t="s">
        <v>2874</v>
      </c>
      <c r="B333" t="s">
        <v>185</v>
      </c>
      <c r="C333">
        <v>40031386</v>
      </c>
      <c r="D333">
        <v>288</v>
      </c>
    </row>
    <row r="334" spans="1:4">
      <c r="A334" t="s">
        <v>2875</v>
      </c>
      <c r="B334" t="s">
        <v>185</v>
      </c>
      <c r="C334">
        <v>40057615</v>
      </c>
      <c r="D334">
        <v>288</v>
      </c>
    </row>
    <row r="335" spans="1:4">
      <c r="A335" t="s">
        <v>2875</v>
      </c>
      <c r="B335" t="s">
        <v>185</v>
      </c>
      <c r="C335">
        <v>40059659</v>
      </c>
      <c r="D335">
        <v>288</v>
      </c>
    </row>
    <row r="336" spans="1:4">
      <c r="A336" t="s">
        <v>2875</v>
      </c>
      <c r="B336" t="s">
        <v>185</v>
      </c>
      <c r="C336">
        <v>40031394</v>
      </c>
      <c r="D336">
        <v>288</v>
      </c>
    </row>
    <row r="337" spans="1:4">
      <c r="A337" t="s">
        <v>2876</v>
      </c>
      <c r="B337" t="s">
        <v>185</v>
      </c>
      <c r="C337">
        <v>40031566</v>
      </c>
      <c r="D337">
        <v>120</v>
      </c>
    </row>
    <row r="338" spans="1:4">
      <c r="A338" t="s">
        <v>2876</v>
      </c>
      <c r="B338" t="s">
        <v>185</v>
      </c>
      <c r="C338">
        <v>40058056</v>
      </c>
      <c r="D338">
        <v>120</v>
      </c>
    </row>
    <row r="339" spans="1:4">
      <c r="A339" t="s">
        <v>2877</v>
      </c>
      <c r="B339" t="s">
        <v>185</v>
      </c>
      <c r="C339">
        <v>40050345</v>
      </c>
      <c r="D339">
        <v>80</v>
      </c>
    </row>
    <row r="340" spans="1:4">
      <c r="A340" t="s">
        <v>2878</v>
      </c>
      <c r="B340" t="s">
        <v>185</v>
      </c>
      <c r="C340">
        <v>40050347</v>
      </c>
      <c r="D340">
        <v>48</v>
      </c>
    </row>
    <row r="341" spans="1:4">
      <c r="A341" t="s">
        <v>2878</v>
      </c>
      <c r="B341" t="s">
        <v>185</v>
      </c>
      <c r="C341">
        <v>40059998</v>
      </c>
      <c r="D341">
        <v>48</v>
      </c>
    </row>
    <row r="342" spans="1:4">
      <c r="A342" t="s">
        <v>2879</v>
      </c>
      <c r="B342" t="s">
        <v>185</v>
      </c>
      <c r="C342">
        <v>40058055</v>
      </c>
      <c r="D342">
        <v>120</v>
      </c>
    </row>
    <row r="343" spans="1:4">
      <c r="A343" t="s">
        <v>2879</v>
      </c>
      <c r="B343" t="s">
        <v>185</v>
      </c>
      <c r="C343">
        <v>40031567</v>
      </c>
      <c r="D343">
        <v>120</v>
      </c>
    </row>
    <row r="344" spans="1:4">
      <c r="A344" t="s">
        <v>2880</v>
      </c>
      <c r="B344" t="s">
        <v>185</v>
      </c>
      <c r="C344">
        <v>40049586</v>
      </c>
      <c r="D344">
        <v>72</v>
      </c>
    </row>
    <row r="345" spans="1:4">
      <c r="A345" t="s">
        <v>2881</v>
      </c>
      <c r="B345" t="s">
        <v>185</v>
      </c>
      <c r="C345">
        <v>40031389</v>
      </c>
      <c r="D345">
        <v>72</v>
      </c>
    </row>
    <row r="346" spans="1:4">
      <c r="A346" t="s">
        <v>2882</v>
      </c>
      <c r="B346" t="s">
        <v>185</v>
      </c>
      <c r="C346">
        <v>40031388</v>
      </c>
      <c r="D346">
        <v>72</v>
      </c>
    </row>
    <row r="347" spans="1:4">
      <c r="A347" t="s">
        <v>2882</v>
      </c>
      <c r="B347" t="s">
        <v>185</v>
      </c>
      <c r="C347">
        <v>40060135</v>
      </c>
      <c r="D347">
        <v>72</v>
      </c>
    </row>
    <row r="348" spans="1:4">
      <c r="A348" t="s">
        <v>2883</v>
      </c>
      <c r="B348" t="s">
        <v>185</v>
      </c>
      <c r="C348">
        <v>40031384</v>
      </c>
      <c r="D348">
        <v>72</v>
      </c>
    </row>
    <row r="349" spans="1:4">
      <c r="A349" t="s">
        <v>2884</v>
      </c>
      <c r="B349" t="s">
        <v>185</v>
      </c>
      <c r="C349">
        <v>40057762</v>
      </c>
      <c r="D349">
        <v>48</v>
      </c>
    </row>
    <row r="350" spans="1:4">
      <c r="A350" t="s">
        <v>2885</v>
      </c>
      <c r="B350" t="s">
        <v>185</v>
      </c>
      <c r="C350">
        <v>40031390</v>
      </c>
      <c r="D350">
        <v>144</v>
      </c>
    </row>
    <row r="351" spans="1:4">
      <c r="A351" t="s">
        <v>2886</v>
      </c>
      <c r="B351" t="s">
        <v>185</v>
      </c>
      <c r="C351">
        <v>40029118</v>
      </c>
      <c r="D351">
        <v>24</v>
      </c>
    </row>
    <row r="352" spans="1:4">
      <c r="A352" t="s">
        <v>2887</v>
      </c>
      <c r="B352" t="s">
        <v>636</v>
      </c>
      <c r="C352">
        <v>40025913</v>
      </c>
      <c r="D352">
        <v>12</v>
      </c>
    </row>
    <row r="353" spans="1:4">
      <c r="A353" t="s">
        <v>2888</v>
      </c>
      <c r="B353" t="s">
        <v>636</v>
      </c>
      <c r="C353">
        <v>40042168</v>
      </c>
      <c r="D353">
        <v>24</v>
      </c>
    </row>
    <row r="354" spans="1:4">
      <c r="A354" t="s">
        <v>2888</v>
      </c>
      <c r="B354" t="s">
        <v>636</v>
      </c>
      <c r="C354">
        <v>40032016</v>
      </c>
      <c r="D354">
        <v>24</v>
      </c>
    </row>
    <row r="355" spans="1:4">
      <c r="A355" t="s">
        <v>2889</v>
      </c>
      <c r="B355" t="s">
        <v>647</v>
      </c>
      <c r="C355">
        <v>40031984</v>
      </c>
      <c r="D355">
        <v>24</v>
      </c>
    </row>
    <row r="356" spans="1:4">
      <c r="A356" t="s">
        <v>2890</v>
      </c>
      <c r="B356" t="s">
        <v>664</v>
      </c>
      <c r="C356">
        <v>40058815</v>
      </c>
      <c r="D356">
        <v>144</v>
      </c>
    </row>
    <row r="357" spans="1:4">
      <c r="A357" t="s">
        <v>2890</v>
      </c>
      <c r="B357" t="s">
        <v>664</v>
      </c>
      <c r="C357">
        <v>40042167</v>
      </c>
      <c r="D357">
        <v>144</v>
      </c>
    </row>
    <row r="358" spans="1:4">
      <c r="A358" t="s">
        <v>2890</v>
      </c>
      <c r="B358" t="s">
        <v>664</v>
      </c>
      <c r="C358">
        <v>40026441</v>
      </c>
      <c r="D358">
        <v>144</v>
      </c>
    </row>
    <row r="359" spans="1:4">
      <c r="A359" t="s">
        <v>2890</v>
      </c>
      <c r="B359" t="s">
        <v>664</v>
      </c>
      <c r="C359">
        <v>40032019</v>
      </c>
      <c r="D359">
        <v>144</v>
      </c>
    </row>
    <row r="360" spans="1:4">
      <c r="A360" t="s">
        <v>2891</v>
      </c>
      <c r="B360" t="s">
        <v>636</v>
      </c>
      <c r="C360">
        <v>40060390</v>
      </c>
      <c r="D360">
        <v>12</v>
      </c>
    </row>
    <row r="361" spans="1:4">
      <c r="A361" t="s">
        <v>2891</v>
      </c>
      <c r="B361" t="s">
        <v>636</v>
      </c>
      <c r="C361">
        <v>40041771</v>
      </c>
      <c r="D361">
        <v>12</v>
      </c>
    </row>
    <row r="362" spans="1:4">
      <c r="A362" t="s">
        <v>2891</v>
      </c>
      <c r="B362" t="s">
        <v>636</v>
      </c>
      <c r="C362">
        <v>40019547</v>
      </c>
      <c r="D362">
        <v>12</v>
      </c>
    </row>
    <row r="363" spans="1:4">
      <c r="A363" t="s">
        <v>2892</v>
      </c>
      <c r="B363" t="s">
        <v>636</v>
      </c>
      <c r="C363">
        <v>40058787</v>
      </c>
      <c r="D363">
        <v>12</v>
      </c>
    </row>
    <row r="364" spans="1:4">
      <c r="A364" t="s">
        <v>2892</v>
      </c>
      <c r="B364" t="s">
        <v>636</v>
      </c>
      <c r="C364">
        <v>40057197</v>
      </c>
      <c r="D364">
        <v>12</v>
      </c>
    </row>
    <row r="365" spans="1:4">
      <c r="A365" t="s">
        <v>2893</v>
      </c>
      <c r="B365" t="s">
        <v>647</v>
      </c>
      <c r="C365">
        <v>40019545</v>
      </c>
      <c r="D365">
        <v>24</v>
      </c>
    </row>
    <row r="366" spans="1:4">
      <c r="A366" t="s">
        <v>2894</v>
      </c>
      <c r="B366" t="s">
        <v>636</v>
      </c>
      <c r="C366" t="s">
        <v>1008</v>
      </c>
      <c r="D366" t="s">
        <v>1008</v>
      </c>
    </row>
    <row r="367" spans="1:4">
      <c r="A367" t="s">
        <v>2895</v>
      </c>
      <c r="B367" t="s">
        <v>636</v>
      </c>
      <c r="C367">
        <v>40058788</v>
      </c>
      <c r="D367">
        <v>12</v>
      </c>
    </row>
    <row r="368" spans="1:4">
      <c r="A368" t="s">
        <v>2895</v>
      </c>
      <c r="B368" t="s">
        <v>636</v>
      </c>
      <c r="C368">
        <v>40042169</v>
      </c>
      <c r="D368">
        <v>12</v>
      </c>
    </row>
    <row r="369" spans="1:4">
      <c r="A369" t="s">
        <v>2895</v>
      </c>
      <c r="B369" t="s">
        <v>636</v>
      </c>
      <c r="C369">
        <v>40032018</v>
      </c>
      <c r="D369">
        <v>12</v>
      </c>
    </row>
    <row r="370" spans="1:4">
      <c r="A370" t="s">
        <v>2896</v>
      </c>
      <c r="B370" t="s">
        <v>647</v>
      </c>
      <c r="C370">
        <v>40008238</v>
      </c>
      <c r="D370">
        <v>12</v>
      </c>
    </row>
    <row r="371" spans="1:4">
      <c r="A371" t="s">
        <v>2897</v>
      </c>
      <c r="B371" t="s">
        <v>647</v>
      </c>
      <c r="C371">
        <v>40008233</v>
      </c>
      <c r="D371">
        <v>48</v>
      </c>
    </row>
    <row r="372" spans="1:4">
      <c r="A372" t="s">
        <v>2898</v>
      </c>
      <c r="B372" t="s">
        <v>185</v>
      </c>
      <c r="C372">
        <v>40035631</v>
      </c>
      <c r="D372">
        <v>144</v>
      </c>
    </row>
    <row r="373" spans="1:4">
      <c r="A373" t="s">
        <v>2898</v>
      </c>
      <c r="B373" t="s">
        <v>185</v>
      </c>
      <c r="C373">
        <v>40013424</v>
      </c>
      <c r="D373">
        <v>144</v>
      </c>
    </row>
    <row r="374" spans="1:4">
      <c r="A374" t="s">
        <v>2899</v>
      </c>
      <c r="B374" t="s">
        <v>2224</v>
      </c>
      <c r="C374">
        <v>40035632</v>
      </c>
      <c r="D374">
        <v>4</v>
      </c>
    </row>
    <row r="375" spans="1:4">
      <c r="A375" t="s">
        <v>2900</v>
      </c>
      <c r="B375" t="s">
        <v>647</v>
      </c>
      <c r="C375">
        <v>40008237</v>
      </c>
      <c r="D375">
        <v>24</v>
      </c>
    </row>
    <row r="376" spans="1:4">
      <c r="A376" t="s">
        <v>2901</v>
      </c>
      <c r="B376" t="s">
        <v>2221</v>
      </c>
      <c r="C376">
        <v>40057947</v>
      </c>
      <c r="D376">
        <v>12</v>
      </c>
    </row>
    <row r="377" spans="1:4">
      <c r="A377" t="s">
        <v>2902</v>
      </c>
      <c r="B377" t="s">
        <v>636</v>
      </c>
      <c r="C377">
        <v>40029967</v>
      </c>
      <c r="D377">
        <v>24</v>
      </c>
    </row>
    <row r="378" spans="1:4">
      <c r="A378" t="s">
        <v>2903</v>
      </c>
      <c r="B378" t="s">
        <v>657</v>
      </c>
      <c r="C378">
        <v>40029583</v>
      </c>
      <c r="D378">
        <v>12</v>
      </c>
    </row>
    <row r="379" spans="1:4">
      <c r="A379" t="s">
        <v>2904</v>
      </c>
      <c r="B379" t="s">
        <v>647</v>
      </c>
      <c r="C379">
        <v>40042844</v>
      </c>
      <c r="D379">
        <v>24</v>
      </c>
    </row>
    <row r="380" spans="1:4">
      <c r="A380" t="s">
        <v>2905</v>
      </c>
      <c r="B380" t="s">
        <v>185</v>
      </c>
      <c r="C380">
        <v>40030007</v>
      </c>
      <c r="D380">
        <v>12</v>
      </c>
    </row>
    <row r="381" spans="1:4">
      <c r="A381" t="s">
        <v>2905</v>
      </c>
      <c r="B381" t="s">
        <v>185</v>
      </c>
      <c r="C381">
        <v>40026846</v>
      </c>
      <c r="D381" t="s">
        <v>1008</v>
      </c>
    </row>
    <row r="382" spans="1:4">
      <c r="A382" t="s">
        <v>2906</v>
      </c>
      <c r="B382" t="s">
        <v>2221</v>
      </c>
      <c r="C382">
        <v>40030010</v>
      </c>
      <c r="D382">
        <v>12</v>
      </c>
    </row>
    <row r="383" spans="1:4">
      <c r="A383" t="s">
        <v>2907</v>
      </c>
      <c r="B383" t="s">
        <v>2221</v>
      </c>
      <c r="C383">
        <v>40030009</v>
      </c>
      <c r="D383">
        <v>12</v>
      </c>
    </row>
    <row r="384" spans="1:4">
      <c r="A384" t="s">
        <v>2908</v>
      </c>
      <c r="B384" t="s">
        <v>185</v>
      </c>
      <c r="C384">
        <v>40030008</v>
      </c>
      <c r="D384">
        <v>12</v>
      </c>
    </row>
    <row r="385" spans="1:4">
      <c r="A385" t="s">
        <v>2908</v>
      </c>
      <c r="B385" t="s">
        <v>185</v>
      </c>
      <c r="C385">
        <v>40026845</v>
      </c>
      <c r="D385">
        <v>12</v>
      </c>
    </row>
    <row r="386" spans="1:4">
      <c r="A386" t="s">
        <v>2909</v>
      </c>
      <c r="B386" t="s">
        <v>2221</v>
      </c>
      <c r="C386">
        <v>40057616</v>
      </c>
      <c r="D386">
        <v>6</v>
      </c>
    </row>
    <row r="387" spans="1:4">
      <c r="A387" t="s">
        <v>2909</v>
      </c>
      <c r="B387" t="s">
        <v>2221</v>
      </c>
      <c r="C387">
        <v>40043467</v>
      </c>
      <c r="D387">
        <v>6</v>
      </c>
    </row>
    <row r="388" spans="1:4">
      <c r="A388" t="s">
        <v>2909</v>
      </c>
      <c r="B388" t="s">
        <v>2221</v>
      </c>
      <c r="C388">
        <v>40059936</v>
      </c>
      <c r="D388">
        <v>6</v>
      </c>
    </row>
    <row r="389" spans="1:4">
      <c r="A389" t="s">
        <v>2910</v>
      </c>
      <c r="B389" t="s">
        <v>2221</v>
      </c>
      <c r="C389">
        <v>40057617</v>
      </c>
      <c r="D389">
        <v>6</v>
      </c>
    </row>
    <row r="390" spans="1:4">
      <c r="A390" t="s">
        <v>2910</v>
      </c>
      <c r="B390" t="s">
        <v>2221</v>
      </c>
      <c r="C390">
        <v>40059937</v>
      </c>
      <c r="D390">
        <v>6</v>
      </c>
    </row>
    <row r="391" spans="1:4">
      <c r="A391" t="s">
        <v>2911</v>
      </c>
      <c r="B391" t="s">
        <v>2221</v>
      </c>
      <c r="C391">
        <v>40059911</v>
      </c>
      <c r="D391">
        <v>12</v>
      </c>
    </row>
    <row r="392" spans="1:4">
      <c r="A392" t="s">
        <v>2911</v>
      </c>
      <c r="B392" t="s">
        <v>2221</v>
      </c>
      <c r="C392">
        <v>40057475</v>
      </c>
      <c r="D392">
        <v>12</v>
      </c>
    </row>
    <row r="393" spans="1:4">
      <c r="A393" t="s">
        <v>2911</v>
      </c>
      <c r="B393" t="s">
        <v>2221</v>
      </c>
      <c r="C393">
        <v>40043470</v>
      </c>
      <c r="D393">
        <v>12</v>
      </c>
    </row>
    <row r="394" spans="1:4">
      <c r="A394" t="s">
        <v>2912</v>
      </c>
      <c r="B394" t="s">
        <v>2221</v>
      </c>
      <c r="C394">
        <v>40059927</v>
      </c>
      <c r="D394">
        <v>12</v>
      </c>
    </row>
    <row r="395" spans="1:4">
      <c r="A395" t="s">
        <v>2912</v>
      </c>
      <c r="B395" t="s">
        <v>2221</v>
      </c>
      <c r="C395">
        <v>40057465</v>
      </c>
      <c r="D395">
        <v>12</v>
      </c>
    </row>
    <row r="396" spans="1:4">
      <c r="A396" t="s">
        <v>2912</v>
      </c>
      <c r="B396" t="s">
        <v>2221</v>
      </c>
      <c r="C396">
        <v>40043464</v>
      </c>
      <c r="D396">
        <v>12</v>
      </c>
    </row>
    <row r="397" spans="1:4">
      <c r="A397" t="s">
        <v>2912</v>
      </c>
      <c r="B397" t="s">
        <v>2221</v>
      </c>
      <c r="C397">
        <v>40030000</v>
      </c>
      <c r="D397">
        <v>12</v>
      </c>
    </row>
    <row r="398" spans="1:4">
      <c r="A398" t="s">
        <v>2913</v>
      </c>
      <c r="B398" t="s">
        <v>2221</v>
      </c>
      <c r="C398">
        <v>40057477</v>
      </c>
      <c r="D398">
        <v>12</v>
      </c>
    </row>
    <row r="399" spans="1:4">
      <c r="A399" t="s">
        <v>2913</v>
      </c>
      <c r="B399" t="s">
        <v>2221</v>
      </c>
      <c r="C399">
        <v>40059912</v>
      </c>
      <c r="D399">
        <v>12</v>
      </c>
    </row>
    <row r="400" spans="1:4">
      <c r="A400" t="s">
        <v>2913</v>
      </c>
      <c r="B400" t="s">
        <v>2221</v>
      </c>
      <c r="C400">
        <v>40049965</v>
      </c>
      <c r="D400">
        <v>12</v>
      </c>
    </row>
    <row r="401" spans="1:4">
      <c r="A401" t="s">
        <v>2914</v>
      </c>
      <c r="B401" t="s">
        <v>2221</v>
      </c>
      <c r="C401">
        <v>40059934</v>
      </c>
      <c r="D401">
        <v>12</v>
      </c>
    </row>
    <row r="402" spans="1:4">
      <c r="A402" t="s">
        <v>2914</v>
      </c>
      <c r="B402" t="s">
        <v>2221</v>
      </c>
      <c r="C402">
        <v>40057472</v>
      </c>
      <c r="D402">
        <v>12</v>
      </c>
    </row>
    <row r="403" spans="1:4">
      <c r="A403" t="s">
        <v>2914</v>
      </c>
      <c r="B403" t="s">
        <v>2221</v>
      </c>
      <c r="C403">
        <v>40049966</v>
      </c>
      <c r="D403">
        <v>12</v>
      </c>
    </row>
    <row r="404" spans="1:4">
      <c r="A404" t="s">
        <v>2915</v>
      </c>
      <c r="B404" t="s">
        <v>2221</v>
      </c>
      <c r="C404">
        <v>40057480</v>
      </c>
      <c r="D404">
        <v>12</v>
      </c>
    </row>
    <row r="405" spans="1:4">
      <c r="A405" t="s">
        <v>2915</v>
      </c>
      <c r="B405" t="s">
        <v>2221</v>
      </c>
      <c r="C405">
        <v>40059925</v>
      </c>
      <c r="D405">
        <v>12</v>
      </c>
    </row>
    <row r="406" spans="1:4">
      <c r="A406" t="s">
        <v>2915</v>
      </c>
      <c r="B406" t="s">
        <v>2221</v>
      </c>
      <c r="C406">
        <v>40029996</v>
      </c>
      <c r="D406">
        <v>12</v>
      </c>
    </row>
    <row r="407" spans="1:4">
      <c r="A407" t="s">
        <v>2916</v>
      </c>
      <c r="B407" t="s">
        <v>2221</v>
      </c>
      <c r="C407">
        <v>40059929</v>
      </c>
      <c r="D407">
        <v>12</v>
      </c>
    </row>
    <row r="408" spans="1:4">
      <c r="A408" t="s">
        <v>2916</v>
      </c>
      <c r="B408" t="s">
        <v>2221</v>
      </c>
      <c r="C408">
        <v>40057467</v>
      </c>
      <c r="D408">
        <v>12</v>
      </c>
    </row>
    <row r="409" spans="1:4">
      <c r="A409" t="s">
        <v>2916</v>
      </c>
      <c r="B409" t="s">
        <v>2221</v>
      </c>
      <c r="C409">
        <v>40030005</v>
      </c>
      <c r="D409">
        <v>12</v>
      </c>
    </row>
    <row r="410" spans="1:4">
      <c r="A410" t="s">
        <v>2916</v>
      </c>
      <c r="B410" t="s">
        <v>2221</v>
      </c>
      <c r="C410">
        <v>40043454</v>
      </c>
      <c r="D410">
        <v>12</v>
      </c>
    </row>
    <row r="411" spans="1:4">
      <c r="A411" t="s">
        <v>2917</v>
      </c>
      <c r="B411" t="s">
        <v>2221</v>
      </c>
      <c r="C411">
        <v>40059914</v>
      </c>
      <c r="D411">
        <v>12</v>
      </c>
    </row>
    <row r="412" spans="1:4">
      <c r="A412" t="s">
        <v>2917</v>
      </c>
      <c r="B412" t="s">
        <v>2221</v>
      </c>
      <c r="C412">
        <v>40057479</v>
      </c>
      <c r="D412">
        <v>12</v>
      </c>
    </row>
    <row r="413" spans="1:4">
      <c r="A413" t="s">
        <v>2918</v>
      </c>
      <c r="B413" t="s">
        <v>2221</v>
      </c>
      <c r="C413">
        <v>40059931</v>
      </c>
      <c r="D413">
        <v>12</v>
      </c>
    </row>
    <row r="414" spans="1:4">
      <c r="A414" t="s">
        <v>2918</v>
      </c>
      <c r="B414" t="s">
        <v>2221</v>
      </c>
      <c r="C414">
        <v>40057469</v>
      </c>
      <c r="D414">
        <v>12</v>
      </c>
    </row>
    <row r="415" spans="1:4">
      <c r="A415" t="s">
        <v>2918</v>
      </c>
      <c r="B415" t="s">
        <v>2221</v>
      </c>
      <c r="C415">
        <v>40043452</v>
      </c>
      <c r="D415">
        <v>12</v>
      </c>
    </row>
    <row r="416" spans="1:4">
      <c r="A416" t="s">
        <v>2919</v>
      </c>
      <c r="B416" t="s">
        <v>2221</v>
      </c>
      <c r="C416">
        <v>40057478</v>
      </c>
      <c r="D416">
        <v>12</v>
      </c>
    </row>
    <row r="417" spans="1:4">
      <c r="A417" t="s">
        <v>2919</v>
      </c>
      <c r="B417" t="s">
        <v>2221</v>
      </c>
      <c r="C417">
        <v>40059913</v>
      </c>
      <c r="D417">
        <v>12</v>
      </c>
    </row>
    <row r="418" spans="1:4">
      <c r="A418" t="s">
        <v>2919</v>
      </c>
      <c r="B418" t="s">
        <v>2221</v>
      </c>
      <c r="C418">
        <v>40029148</v>
      </c>
      <c r="D418">
        <v>12</v>
      </c>
    </row>
    <row r="419" spans="1:4">
      <c r="A419" t="s">
        <v>2920</v>
      </c>
      <c r="B419" t="s">
        <v>2221</v>
      </c>
      <c r="C419">
        <v>40059930</v>
      </c>
      <c r="D419">
        <v>12</v>
      </c>
    </row>
    <row r="420" spans="1:4">
      <c r="A420" t="s">
        <v>2920</v>
      </c>
      <c r="B420" t="s">
        <v>2221</v>
      </c>
      <c r="C420">
        <v>40057468</v>
      </c>
      <c r="D420">
        <v>12</v>
      </c>
    </row>
    <row r="421" spans="1:4">
      <c r="A421" t="s">
        <v>2920</v>
      </c>
      <c r="B421" t="s">
        <v>2221</v>
      </c>
      <c r="C421">
        <v>40043453</v>
      </c>
      <c r="D421">
        <v>12</v>
      </c>
    </row>
    <row r="422" spans="1:4">
      <c r="A422" t="s">
        <v>2921</v>
      </c>
      <c r="B422" t="s">
        <v>2221</v>
      </c>
      <c r="C422">
        <v>40059910</v>
      </c>
      <c r="D422">
        <v>12</v>
      </c>
    </row>
    <row r="423" spans="1:4">
      <c r="A423" t="s">
        <v>2921</v>
      </c>
      <c r="B423" t="s">
        <v>2221</v>
      </c>
      <c r="C423">
        <v>40057474</v>
      </c>
      <c r="D423">
        <v>12</v>
      </c>
    </row>
    <row r="424" spans="1:4">
      <c r="A424" t="s">
        <v>2921</v>
      </c>
      <c r="B424" t="s">
        <v>2221</v>
      </c>
      <c r="C424">
        <v>40029993</v>
      </c>
      <c r="D424">
        <v>12</v>
      </c>
    </row>
    <row r="425" spans="1:4">
      <c r="A425" t="s">
        <v>2921</v>
      </c>
      <c r="B425" t="s">
        <v>2221</v>
      </c>
      <c r="C425">
        <v>40043471</v>
      </c>
      <c r="D425">
        <v>12</v>
      </c>
    </row>
    <row r="426" spans="1:4">
      <c r="A426" t="s">
        <v>2922</v>
      </c>
      <c r="B426" t="s">
        <v>2221</v>
      </c>
      <c r="C426">
        <v>40059928</v>
      </c>
      <c r="D426">
        <v>12</v>
      </c>
    </row>
    <row r="427" spans="1:4">
      <c r="A427" t="s">
        <v>2922</v>
      </c>
      <c r="B427" t="s">
        <v>2221</v>
      </c>
      <c r="C427">
        <v>40057466</v>
      </c>
      <c r="D427">
        <v>12</v>
      </c>
    </row>
    <row r="428" spans="1:4">
      <c r="A428" t="s">
        <v>2922</v>
      </c>
      <c r="B428" t="s">
        <v>2221</v>
      </c>
      <c r="C428">
        <v>40029998</v>
      </c>
      <c r="D428">
        <v>12</v>
      </c>
    </row>
    <row r="429" spans="1:4">
      <c r="A429" t="s">
        <v>2922</v>
      </c>
      <c r="B429" t="s">
        <v>2221</v>
      </c>
      <c r="C429">
        <v>40043463</v>
      </c>
      <c r="D429">
        <v>12</v>
      </c>
    </row>
    <row r="430" spans="1:4">
      <c r="A430" t="s">
        <v>2923</v>
      </c>
      <c r="B430" t="s">
        <v>2221</v>
      </c>
      <c r="C430">
        <v>40030002</v>
      </c>
      <c r="D430">
        <v>12</v>
      </c>
    </row>
    <row r="431" spans="1:4">
      <c r="A431" t="s">
        <v>2924</v>
      </c>
      <c r="B431" t="s">
        <v>2221</v>
      </c>
      <c r="C431">
        <v>40043449</v>
      </c>
      <c r="D431">
        <v>12</v>
      </c>
    </row>
    <row r="432" spans="1:4">
      <c r="A432" t="s">
        <v>2924</v>
      </c>
      <c r="B432" t="s">
        <v>2221</v>
      </c>
      <c r="C432">
        <v>40057843</v>
      </c>
      <c r="D432">
        <v>12</v>
      </c>
    </row>
    <row r="433" spans="1:4">
      <c r="A433" t="s">
        <v>2924</v>
      </c>
      <c r="B433" t="s">
        <v>2221</v>
      </c>
      <c r="C433">
        <v>40017262</v>
      </c>
      <c r="D433">
        <v>12</v>
      </c>
    </row>
    <row r="434" spans="1:4">
      <c r="A434" t="s">
        <v>2925</v>
      </c>
      <c r="B434" t="s">
        <v>2221</v>
      </c>
      <c r="C434">
        <v>40057842</v>
      </c>
      <c r="D434">
        <v>12</v>
      </c>
    </row>
    <row r="435" spans="1:4">
      <c r="A435" t="s">
        <v>2925</v>
      </c>
      <c r="B435" t="s">
        <v>2221</v>
      </c>
      <c r="C435">
        <v>40057476</v>
      </c>
      <c r="D435">
        <v>12</v>
      </c>
    </row>
    <row r="436" spans="1:4">
      <c r="A436" t="s">
        <v>2925</v>
      </c>
      <c r="B436" t="s">
        <v>2221</v>
      </c>
      <c r="C436">
        <v>40059909</v>
      </c>
      <c r="D436">
        <v>12</v>
      </c>
    </row>
    <row r="437" spans="1:4">
      <c r="A437" t="s">
        <v>2925</v>
      </c>
      <c r="B437" t="s">
        <v>2221</v>
      </c>
      <c r="C437">
        <v>40024822</v>
      </c>
      <c r="D437">
        <v>12</v>
      </c>
    </row>
    <row r="438" spans="1:4">
      <c r="A438" t="s">
        <v>2926</v>
      </c>
      <c r="B438" t="s">
        <v>2221</v>
      </c>
      <c r="C438">
        <v>40059935</v>
      </c>
      <c r="D438">
        <v>12</v>
      </c>
    </row>
    <row r="439" spans="1:4">
      <c r="A439" t="s">
        <v>2926</v>
      </c>
      <c r="B439" t="s">
        <v>2221</v>
      </c>
      <c r="C439">
        <v>40057840</v>
      </c>
      <c r="D439">
        <v>12</v>
      </c>
    </row>
    <row r="440" spans="1:4">
      <c r="A440" t="s">
        <v>2926</v>
      </c>
      <c r="B440" t="s">
        <v>2221</v>
      </c>
      <c r="C440">
        <v>40057473</v>
      </c>
      <c r="D440">
        <v>12</v>
      </c>
    </row>
    <row r="441" spans="1:4">
      <c r="A441" t="s">
        <v>2926</v>
      </c>
      <c r="B441" t="s">
        <v>2221</v>
      </c>
      <c r="C441">
        <v>40060567</v>
      </c>
      <c r="D441">
        <v>12</v>
      </c>
    </row>
    <row r="442" spans="1:4">
      <c r="A442" t="s">
        <v>2926</v>
      </c>
      <c r="B442" t="s">
        <v>2221</v>
      </c>
      <c r="C442">
        <v>40007669</v>
      </c>
      <c r="D442">
        <v>12</v>
      </c>
    </row>
    <row r="443" spans="1:4">
      <c r="A443" t="s">
        <v>2927</v>
      </c>
      <c r="B443" t="s">
        <v>2221</v>
      </c>
      <c r="C443">
        <v>40043466</v>
      </c>
      <c r="D443">
        <v>6</v>
      </c>
    </row>
    <row r="444" spans="1:4">
      <c r="A444" t="s">
        <v>2928</v>
      </c>
      <c r="B444" t="s">
        <v>2221</v>
      </c>
      <c r="C444">
        <v>40059926</v>
      </c>
      <c r="D444">
        <v>12</v>
      </c>
    </row>
    <row r="445" spans="1:4">
      <c r="A445" t="s">
        <v>2929</v>
      </c>
      <c r="B445" t="s">
        <v>2221</v>
      </c>
      <c r="C445">
        <v>40059938</v>
      </c>
      <c r="D445">
        <v>12</v>
      </c>
    </row>
    <row r="446" spans="1:4">
      <c r="A446" t="s">
        <v>2930</v>
      </c>
      <c r="B446" t="s">
        <v>2221</v>
      </c>
      <c r="C446">
        <v>40059932</v>
      </c>
      <c r="D446">
        <v>12</v>
      </c>
    </row>
    <row r="447" spans="1:4">
      <c r="A447" t="s">
        <v>2930</v>
      </c>
      <c r="B447" t="s">
        <v>2221</v>
      </c>
      <c r="C447">
        <v>40057470</v>
      </c>
      <c r="D447">
        <v>12</v>
      </c>
    </row>
    <row r="448" spans="1:4">
      <c r="A448" t="s">
        <v>2930</v>
      </c>
      <c r="B448" t="s">
        <v>2221</v>
      </c>
      <c r="C448">
        <v>40033728</v>
      </c>
      <c r="D448">
        <v>12</v>
      </c>
    </row>
    <row r="449" spans="1:4">
      <c r="A449" t="s">
        <v>2931</v>
      </c>
      <c r="B449" t="s">
        <v>2221</v>
      </c>
      <c r="C449">
        <v>40029992</v>
      </c>
      <c r="D449">
        <v>12</v>
      </c>
    </row>
    <row r="450" spans="1:4">
      <c r="A450" t="s">
        <v>2932</v>
      </c>
      <c r="B450" t="s">
        <v>2221</v>
      </c>
      <c r="C450">
        <v>40029999</v>
      </c>
      <c r="D450">
        <v>12</v>
      </c>
    </row>
    <row r="451" spans="1:4">
      <c r="A451" t="s">
        <v>2933</v>
      </c>
      <c r="B451" t="s">
        <v>2221</v>
      </c>
      <c r="C451">
        <v>40059933</v>
      </c>
      <c r="D451">
        <v>12</v>
      </c>
    </row>
    <row r="452" spans="1:4">
      <c r="A452" t="s">
        <v>2933</v>
      </c>
      <c r="B452" t="s">
        <v>2221</v>
      </c>
      <c r="C452">
        <v>40057471</v>
      </c>
      <c r="D452">
        <v>12</v>
      </c>
    </row>
    <row r="453" spans="1:4">
      <c r="A453" t="s">
        <v>2933</v>
      </c>
      <c r="B453" t="s">
        <v>2221</v>
      </c>
      <c r="C453">
        <v>40033727</v>
      </c>
      <c r="D453">
        <v>12</v>
      </c>
    </row>
    <row r="454" spans="1:4">
      <c r="A454" t="s">
        <v>2933</v>
      </c>
      <c r="B454" t="s">
        <v>2221</v>
      </c>
      <c r="C454">
        <v>40043450</v>
      </c>
      <c r="D454">
        <v>12</v>
      </c>
    </row>
    <row r="455" spans="1:4">
      <c r="A455" t="s">
        <v>2934</v>
      </c>
      <c r="B455" t="s">
        <v>185</v>
      </c>
      <c r="C455">
        <v>40043490</v>
      </c>
      <c r="D455">
        <v>18</v>
      </c>
    </row>
    <row r="456" spans="1:4">
      <c r="A456" t="s">
        <v>2934</v>
      </c>
      <c r="B456" t="s">
        <v>185</v>
      </c>
      <c r="C456">
        <v>40033267</v>
      </c>
      <c r="D456">
        <v>18</v>
      </c>
    </row>
    <row r="457" spans="1:4">
      <c r="A457" t="s">
        <v>2935</v>
      </c>
      <c r="B457" t="s">
        <v>185</v>
      </c>
      <c r="C457">
        <v>40043491</v>
      </c>
      <c r="D457">
        <v>18</v>
      </c>
    </row>
    <row r="458" spans="1:4">
      <c r="A458" t="s">
        <v>2935</v>
      </c>
      <c r="B458" t="s">
        <v>185</v>
      </c>
      <c r="C458">
        <v>40061775</v>
      </c>
      <c r="D458">
        <v>18</v>
      </c>
    </row>
    <row r="459" spans="1:4">
      <c r="A459" t="s">
        <v>2936</v>
      </c>
      <c r="B459" t="s">
        <v>185</v>
      </c>
      <c r="C459">
        <v>40043489</v>
      </c>
      <c r="D459">
        <v>18</v>
      </c>
    </row>
    <row r="460" spans="1:4">
      <c r="A460" t="s">
        <v>2936</v>
      </c>
      <c r="B460" t="s">
        <v>185</v>
      </c>
      <c r="C460">
        <v>40033266</v>
      </c>
      <c r="D460">
        <v>18</v>
      </c>
    </row>
    <row r="461" spans="1:4">
      <c r="A461" t="s">
        <v>2936</v>
      </c>
      <c r="B461" t="s">
        <v>185</v>
      </c>
      <c r="C461">
        <v>40061773</v>
      </c>
      <c r="D461">
        <v>18</v>
      </c>
    </row>
    <row r="462" spans="1:4">
      <c r="A462" t="s">
        <v>2936</v>
      </c>
      <c r="B462" t="s">
        <v>185</v>
      </c>
      <c r="C462">
        <v>40028419</v>
      </c>
      <c r="D462">
        <v>18</v>
      </c>
    </row>
    <row r="463" spans="1:4">
      <c r="A463" t="s">
        <v>2937</v>
      </c>
      <c r="B463" t="s">
        <v>185</v>
      </c>
      <c r="C463">
        <v>40058077</v>
      </c>
      <c r="D463">
        <v>18</v>
      </c>
    </row>
    <row r="464" spans="1:4">
      <c r="A464" t="s">
        <v>2937</v>
      </c>
      <c r="B464" t="s">
        <v>185</v>
      </c>
      <c r="C464">
        <v>40043488</v>
      </c>
      <c r="D464">
        <v>18</v>
      </c>
    </row>
    <row r="465" spans="1:4">
      <c r="A465" t="s">
        <v>2937</v>
      </c>
      <c r="B465" t="s">
        <v>185</v>
      </c>
      <c r="C465">
        <v>40033265</v>
      </c>
      <c r="D465">
        <v>18</v>
      </c>
    </row>
    <row r="466" spans="1:4">
      <c r="A466" t="s">
        <v>2937</v>
      </c>
      <c r="B466" t="s">
        <v>185</v>
      </c>
      <c r="C466">
        <v>40061774</v>
      </c>
      <c r="D466">
        <v>18</v>
      </c>
    </row>
    <row r="467" spans="1:4">
      <c r="A467" t="s">
        <v>2938</v>
      </c>
      <c r="B467" t="s">
        <v>185</v>
      </c>
      <c r="C467">
        <v>40057196</v>
      </c>
      <c r="D467">
        <v>18</v>
      </c>
    </row>
    <row r="468" spans="1:4">
      <c r="A468" t="s">
        <v>2939</v>
      </c>
      <c r="B468" t="s">
        <v>185</v>
      </c>
      <c r="C468">
        <v>40049991</v>
      </c>
      <c r="D468">
        <v>72</v>
      </c>
    </row>
    <row r="469" spans="1:4">
      <c r="A469" t="s">
        <v>2940</v>
      </c>
      <c r="B469" t="s">
        <v>185</v>
      </c>
      <c r="C469">
        <v>40043508</v>
      </c>
      <c r="D469">
        <v>72</v>
      </c>
    </row>
    <row r="470" spans="1:4">
      <c r="A470" t="s">
        <v>2940</v>
      </c>
      <c r="B470" t="s">
        <v>185</v>
      </c>
      <c r="C470">
        <v>40033250</v>
      </c>
      <c r="D470">
        <v>72</v>
      </c>
    </row>
    <row r="471" spans="1:4">
      <c r="A471" t="s">
        <v>2940</v>
      </c>
      <c r="B471" t="s">
        <v>185</v>
      </c>
      <c r="C471">
        <v>40061767</v>
      </c>
      <c r="D471" t="s">
        <v>1008</v>
      </c>
    </row>
    <row r="472" spans="1:4">
      <c r="A472" t="s">
        <v>2941</v>
      </c>
      <c r="B472" t="s">
        <v>185</v>
      </c>
      <c r="C472">
        <v>40049974</v>
      </c>
      <c r="D472">
        <v>72</v>
      </c>
    </row>
    <row r="473" spans="1:4">
      <c r="A473" t="s">
        <v>2942</v>
      </c>
      <c r="B473" t="s">
        <v>185</v>
      </c>
      <c r="C473">
        <v>40057312</v>
      </c>
      <c r="D473">
        <v>72</v>
      </c>
    </row>
    <row r="474" spans="1:4">
      <c r="A474" t="s">
        <v>2943</v>
      </c>
      <c r="B474" t="s">
        <v>185</v>
      </c>
      <c r="C474">
        <v>40050038</v>
      </c>
      <c r="D474">
        <v>72</v>
      </c>
    </row>
    <row r="475" spans="1:4">
      <c r="A475" t="s">
        <v>2944</v>
      </c>
      <c r="B475" t="s">
        <v>185</v>
      </c>
      <c r="C475">
        <v>40049992</v>
      </c>
      <c r="D475">
        <v>72</v>
      </c>
    </row>
    <row r="476" spans="1:4">
      <c r="A476" t="s">
        <v>2945</v>
      </c>
      <c r="B476" t="s">
        <v>185</v>
      </c>
      <c r="C476">
        <v>40043509</v>
      </c>
      <c r="D476">
        <v>72</v>
      </c>
    </row>
    <row r="477" spans="1:4">
      <c r="A477" t="s">
        <v>2945</v>
      </c>
      <c r="B477" t="s">
        <v>185</v>
      </c>
      <c r="C477">
        <v>40033311</v>
      </c>
      <c r="D477">
        <v>72</v>
      </c>
    </row>
    <row r="478" spans="1:4">
      <c r="A478" t="s">
        <v>2945</v>
      </c>
      <c r="B478" t="s">
        <v>185</v>
      </c>
      <c r="C478">
        <v>40061772</v>
      </c>
      <c r="D478" t="s">
        <v>1008</v>
      </c>
    </row>
    <row r="479" spans="1:4">
      <c r="A479" t="s">
        <v>2946</v>
      </c>
      <c r="B479" t="s">
        <v>185</v>
      </c>
      <c r="C479">
        <v>40049993</v>
      </c>
      <c r="D479">
        <v>72</v>
      </c>
    </row>
    <row r="480" spans="1:4">
      <c r="A480" t="s">
        <v>2947</v>
      </c>
      <c r="B480" t="s">
        <v>185</v>
      </c>
      <c r="C480">
        <v>40043510</v>
      </c>
      <c r="D480">
        <v>72</v>
      </c>
    </row>
    <row r="481" spans="1:4">
      <c r="A481" t="s">
        <v>2947</v>
      </c>
      <c r="B481" t="s">
        <v>185</v>
      </c>
      <c r="C481">
        <v>40033312</v>
      </c>
      <c r="D481">
        <v>72</v>
      </c>
    </row>
    <row r="482" spans="1:4">
      <c r="A482" t="s">
        <v>2947</v>
      </c>
      <c r="B482" t="s">
        <v>185</v>
      </c>
      <c r="C482">
        <v>40061768</v>
      </c>
      <c r="D482">
        <v>72</v>
      </c>
    </row>
    <row r="483" spans="1:4">
      <c r="A483" t="s">
        <v>2948</v>
      </c>
      <c r="B483" t="s">
        <v>185</v>
      </c>
      <c r="C483">
        <v>40049989</v>
      </c>
      <c r="D483">
        <v>72</v>
      </c>
    </row>
    <row r="484" spans="1:4">
      <c r="A484" t="s">
        <v>2949</v>
      </c>
      <c r="B484" t="s">
        <v>185</v>
      </c>
      <c r="C484">
        <v>40043506</v>
      </c>
      <c r="D484">
        <v>72</v>
      </c>
    </row>
    <row r="485" spans="1:4">
      <c r="A485" t="s">
        <v>2949</v>
      </c>
      <c r="B485" t="s">
        <v>185</v>
      </c>
      <c r="C485">
        <v>40033248</v>
      </c>
      <c r="D485">
        <v>72</v>
      </c>
    </row>
    <row r="486" spans="1:4">
      <c r="A486" t="s">
        <v>2949</v>
      </c>
      <c r="B486" t="s">
        <v>185</v>
      </c>
      <c r="C486">
        <v>40061765</v>
      </c>
      <c r="D486">
        <v>72</v>
      </c>
    </row>
    <row r="487" spans="1:4">
      <c r="A487" t="s">
        <v>2950</v>
      </c>
      <c r="B487" t="s">
        <v>185</v>
      </c>
      <c r="C487">
        <v>40033252</v>
      </c>
      <c r="D487">
        <v>72</v>
      </c>
    </row>
    <row r="488" spans="1:4">
      <c r="A488" t="s">
        <v>2951</v>
      </c>
      <c r="B488" t="s">
        <v>185</v>
      </c>
      <c r="C488">
        <v>40049990</v>
      </c>
      <c r="D488">
        <v>72</v>
      </c>
    </row>
    <row r="489" spans="1:4">
      <c r="A489" t="s">
        <v>2952</v>
      </c>
      <c r="B489" t="s">
        <v>185</v>
      </c>
      <c r="C489">
        <v>40058076</v>
      </c>
      <c r="D489">
        <v>72</v>
      </c>
    </row>
    <row r="490" spans="1:4">
      <c r="A490" t="s">
        <v>2952</v>
      </c>
      <c r="B490" t="s">
        <v>185</v>
      </c>
      <c r="C490">
        <v>40043507</v>
      </c>
      <c r="D490">
        <v>72</v>
      </c>
    </row>
    <row r="491" spans="1:4">
      <c r="A491" t="s">
        <v>2952</v>
      </c>
      <c r="B491" t="s">
        <v>185</v>
      </c>
      <c r="C491">
        <v>40061766</v>
      </c>
      <c r="D491">
        <v>72</v>
      </c>
    </row>
    <row r="492" spans="1:4">
      <c r="A492" t="s">
        <v>2952</v>
      </c>
      <c r="B492" t="s">
        <v>185</v>
      </c>
      <c r="C492">
        <v>40033249</v>
      </c>
      <c r="D492">
        <v>72</v>
      </c>
    </row>
    <row r="493" spans="1:4">
      <c r="A493" t="s">
        <v>2953</v>
      </c>
      <c r="B493" t="s">
        <v>185</v>
      </c>
      <c r="C493">
        <v>40049995</v>
      </c>
      <c r="D493">
        <v>72</v>
      </c>
    </row>
    <row r="494" spans="1:4">
      <c r="A494" t="s">
        <v>2954</v>
      </c>
      <c r="B494" t="s">
        <v>185</v>
      </c>
      <c r="C494">
        <v>40033253</v>
      </c>
      <c r="D494">
        <v>72</v>
      </c>
    </row>
    <row r="495" spans="1:4">
      <c r="A495" t="s">
        <v>2955</v>
      </c>
      <c r="B495" t="s">
        <v>185</v>
      </c>
      <c r="C495">
        <v>40031090</v>
      </c>
      <c r="D495">
        <v>24</v>
      </c>
    </row>
    <row r="496" spans="1:4">
      <c r="A496" t="s">
        <v>2956</v>
      </c>
      <c r="B496" t="s">
        <v>185</v>
      </c>
      <c r="C496">
        <v>40031092</v>
      </c>
      <c r="D496">
        <v>24</v>
      </c>
    </row>
    <row r="497" spans="1:4">
      <c r="A497" t="s">
        <v>2957</v>
      </c>
      <c r="B497" t="s">
        <v>185</v>
      </c>
      <c r="C497">
        <v>40050200</v>
      </c>
      <c r="D497">
        <v>72</v>
      </c>
    </row>
    <row r="498" spans="1:4">
      <c r="A498" t="s">
        <v>2957</v>
      </c>
      <c r="B498" t="s">
        <v>185</v>
      </c>
      <c r="C498">
        <v>40058514</v>
      </c>
      <c r="D498">
        <v>72</v>
      </c>
    </row>
    <row r="499" spans="1:4">
      <c r="A499" t="s">
        <v>2958</v>
      </c>
      <c r="B499" t="s">
        <v>185</v>
      </c>
      <c r="C499">
        <v>40049692</v>
      </c>
      <c r="D499">
        <v>72</v>
      </c>
    </row>
    <row r="500" spans="1:4">
      <c r="A500" t="s">
        <v>2958</v>
      </c>
      <c r="B500" t="s">
        <v>185</v>
      </c>
      <c r="C500">
        <v>40058512</v>
      </c>
      <c r="D500">
        <v>72</v>
      </c>
    </row>
    <row r="501" spans="1:4">
      <c r="A501" t="s">
        <v>2958</v>
      </c>
      <c r="B501" t="s">
        <v>185</v>
      </c>
      <c r="C501">
        <v>40011640</v>
      </c>
      <c r="D501">
        <v>72</v>
      </c>
    </row>
    <row r="502" spans="1:4">
      <c r="A502" t="s">
        <v>2959</v>
      </c>
      <c r="B502" t="s">
        <v>185</v>
      </c>
      <c r="C502">
        <v>40050202</v>
      </c>
      <c r="D502">
        <v>72</v>
      </c>
    </row>
    <row r="503" spans="1:4">
      <c r="A503" t="s">
        <v>2960</v>
      </c>
      <c r="B503" t="s">
        <v>185</v>
      </c>
      <c r="C503">
        <v>40049691</v>
      </c>
      <c r="D503">
        <v>72</v>
      </c>
    </row>
    <row r="504" spans="1:4">
      <c r="A504" t="s">
        <v>2960</v>
      </c>
      <c r="B504" t="s">
        <v>185</v>
      </c>
      <c r="C504">
        <v>40058507</v>
      </c>
      <c r="D504">
        <v>72</v>
      </c>
    </row>
    <row r="505" spans="1:4">
      <c r="A505" t="s">
        <v>2960</v>
      </c>
      <c r="B505" t="s">
        <v>185</v>
      </c>
      <c r="C505">
        <v>40049687</v>
      </c>
      <c r="D505">
        <v>72</v>
      </c>
    </row>
    <row r="506" spans="1:4">
      <c r="A506" t="s">
        <v>2960</v>
      </c>
      <c r="B506" t="s">
        <v>185</v>
      </c>
      <c r="C506">
        <v>40011642</v>
      </c>
      <c r="D506">
        <v>72</v>
      </c>
    </row>
    <row r="507" spans="1:4">
      <c r="A507" t="s">
        <v>2961</v>
      </c>
      <c r="B507" t="s">
        <v>185</v>
      </c>
      <c r="C507">
        <v>40049690</v>
      </c>
      <c r="D507">
        <v>72</v>
      </c>
    </row>
    <row r="508" spans="1:4">
      <c r="A508" t="s">
        <v>2961</v>
      </c>
      <c r="B508" t="s">
        <v>185</v>
      </c>
      <c r="C508">
        <v>40058510</v>
      </c>
      <c r="D508">
        <v>72</v>
      </c>
    </row>
    <row r="509" spans="1:4">
      <c r="A509" t="s">
        <v>2961</v>
      </c>
      <c r="B509" t="s">
        <v>185</v>
      </c>
      <c r="C509">
        <v>40011641</v>
      </c>
      <c r="D509">
        <v>72</v>
      </c>
    </row>
    <row r="510" spans="1:4">
      <c r="A510" t="s">
        <v>2962</v>
      </c>
      <c r="B510" t="s">
        <v>185</v>
      </c>
      <c r="C510">
        <v>40049693</v>
      </c>
      <c r="D510">
        <v>72</v>
      </c>
    </row>
    <row r="511" spans="1:4">
      <c r="A511" t="s">
        <v>2962</v>
      </c>
      <c r="B511" t="s">
        <v>185</v>
      </c>
      <c r="C511">
        <v>40014293</v>
      </c>
      <c r="D511">
        <v>72</v>
      </c>
    </row>
    <row r="512" spans="1:4">
      <c r="A512" t="s">
        <v>2962</v>
      </c>
      <c r="B512" t="s">
        <v>185</v>
      </c>
      <c r="C512">
        <v>40058513</v>
      </c>
      <c r="D512">
        <v>72</v>
      </c>
    </row>
    <row r="513" spans="1:4">
      <c r="A513" t="s">
        <v>2963</v>
      </c>
      <c r="B513" t="s">
        <v>185</v>
      </c>
      <c r="C513">
        <v>40049688</v>
      </c>
      <c r="D513">
        <v>72</v>
      </c>
    </row>
    <row r="514" spans="1:4">
      <c r="A514" t="s">
        <v>2963</v>
      </c>
      <c r="B514" t="s">
        <v>185</v>
      </c>
      <c r="C514">
        <v>40058508</v>
      </c>
      <c r="D514">
        <v>72</v>
      </c>
    </row>
    <row r="515" spans="1:4">
      <c r="A515" t="s">
        <v>2964</v>
      </c>
      <c r="B515" t="s">
        <v>185</v>
      </c>
      <c r="C515">
        <v>40049686</v>
      </c>
      <c r="D515">
        <v>72</v>
      </c>
    </row>
    <row r="516" spans="1:4">
      <c r="A516" t="s">
        <v>2964</v>
      </c>
      <c r="B516" t="s">
        <v>185</v>
      </c>
      <c r="C516">
        <v>40058506</v>
      </c>
      <c r="D516">
        <v>72</v>
      </c>
    </row>
    <row r="517" spans="1:4">
      <c r="A517" t="s">
        <v>2964</v>
      </c>
      <c r="B517" t="s">
        <v>185</v>
      </c>
      <c r="C517">
        <v>40029200</v>
      </c>
      <c r="D517">
        <v>72</v>
      </c>
    </row>
    <row r="518" spans="1:4">
      <c r="A518" t="s">
        <v>2965</v>
      </c>
      <c r="B518" t="s">
        <v>185</v>
      </c>
      <c r="C518">
        <v>40049689</v>
      </c>
      <c r="D518">
        <v>72</v>
      </c>
    </row>
    <row r="519" spans="1:4">
      <c r="A519" t="s">
        <v>2965</v>
      </c>
      <c r="B519" t="s">
        <v>185</v>
      </c>
      <c r="C519">
        <v>40058509</v>
      </c>
      <c r="D519">
        <v>72</v>
      </c>
    </row>
    <row r="520" spans="1:4">
      <c r="A520" t="s">
        <v>2966</v>
      </c>
      <c r="B520" t="s">
        <v>185</v>
      </c>
      <c r="C520">
        <v>40011643</v>
      </c>
      <c r="D520">
        <v>72</v>
      </c>
    </row>
    <row r="521" spans="1:4">
      <c r="A521" t="s">
        <v>2967</v>
      </c>
      <c r="B521" t="s">
        <v>185</v>
      </c>
      <c r="C521">
        <v>40014711</v>
      </c>
      <c r="D521">
        <v>72</v>
      </c>
    </row>
    <row r="522" spans="1:4">
      <c r="A522" t="s">
        <v>2968</v>
      </c>
      <c r="B522" t="s">
        <v>185</v>
      </c>
      <c r="C522">
        <v>40058511</v>
      </c>
      <c r="D522">
        <v>72</v>
      </c>
    </row>
    <row r="523" spans="1:4">
      <c r="A523" t="s">
        <v>2968</v>
      </c>
      <c r="B523" t="s">
        <v>185</v>
      </c>
      <c r="C523">
        <v>40049691</v>
      </c>
      <c r="D523">
        <v>72</v>
      </c>
    </row>
    <row r="524" spans="1:4">
      <c r="A524" t="s">
        <v>2968</v>
      </c>
      <c r="B524" t="s">
        <v>185</v>
      </c>
      <c r="C524">
        <v>40011642</v>
      </c>
      <c r="D524">
        <v>72</v>
      </c>
    </row>
    <row r="525" spans="1:4">
      <c r="A525" t="s">
        <v>2969</v>
      </c>
      <c r="B525" t="s">
        <v>185</v>
      </c>
      <c r="C525">
        <v>40008740</v>
      </c>
      <c r="D525">
        <v>72</v>
      </c>
    </row>
    <row r="526" spans="1:4">
      <c r="A526" t="s">
        <v>2970</v>
      </c>
      <c r="B526" t="s">
        <v>2222</v>
      </c>
      <c r="C526">
        <v>40042087</v>
      </c>
      <c r="D526">
        <v>24</v>
      </c>
    </row>
    <row r="527" spans="1:4">
      <c r="A527" t="s">
        <v>2970</v>
      </c>
      <c r="B527" t="s">
        <v>2222</v>
      </c>
      <c r="C527">
        <v>40059816</v>
      </c>
      <c r="D527">
        <v>24</v>
      </c>
    </row>
    <row r="528" spans="1:4">
      <c r="A528" t="s">
        <v>2971</v>
      </c>
      <c r="B528" t="s">
        <v>185</v>
      </c>
      <c r="C528">
        <v>40042096</v>
      </c>
      <c r="D528">
        <v>144</v>
      </c>
    </row>
    <row r="529" spans="1:4">
      <c r="A529" t="s">
        <v>2972</v>
      </c>
      <c r="B529" t="s">
        <v>185</v>
      </c>
      <c r="C529">
        <v>40059494</v>
      </c>
      <c r="D529">
        <v>144</v>
      </c>
    </row>
    <row r="530" spans="1:4">
      <c r="A530" t="s">
        <v>2972</v>
      </c>
      <c r="B530" t="s">
        <v>185</v>
      </c>
      <c r="C530">
        <v>40042095</v>
      </c>
      <c r="D530">
        <v>144</v>
      </c>
    </row>
    <row r="531" spans="1:4">
      <c r="A531" t="s">
        <v>2973</v>
      </c>
      <c r="B531" t="s">
        <v>185</v>
      </c>
      <c r="C531">
        <v>40028144</v>
      </c>
      <c r="D531">
        <v>144</v>
      </c>
    </row>
    <row r="532" spans="1:4">
      <c r="A532" t="s">
        <v>2974</v>
      </c>
      <c r="B532" t="s">
        <v>185</v>
      </c>
      <c r="C532">
        <v>40028143</v>
      </c>
      <c r="D532">
        <v>144</v>
      </c>
    </row>
    <row r="533" spans="1:4">
      <c r="A533" t="s">
        <v>2975</v>
      </c>
      <c r="B533" t="s">
        <v>185</v>
      </c>
      <c r="C533">
        <v>40028142</v>
      </c>
      <c r="D533">
        <v>144</v>
      </c>
    </row>
    <row r="534" spans="1:4">
      <c r="A534" t="s">
        <v>2976</v>
      </c>
      <c r="B534" t="s">
        <v>185</v>
      </c>
      <c r="C534">
        <v>40028895</v>
      </c>
      <c r="D534">
        <v>144</v>
      </c>
    </row>
    <row r="535" spans="1:4">
      <c r="A535" t="s">
        <v>2977</v>
      </c>
      <c r="B535" t="s">
        <v>185</v>
      </c>
      <c r="C535">
        <v>40050838</v>
      </c>
      <c r="D535">
        <v>144</v>
      </c>
    </row>
    <row r="536" spans="1:4">
      <c r="A536" t="s">
        <v>2977</v>
      </c>
      <c r="B536" t="s">
        <v>185</v>
      </c>
      <c r="C536">
        <v>40024792</v>
      </c>
      <c r="D536">
        <v>144</v>
      </c>
    </row>
    <row r="537" spans="1:4">
      <c r="A537" t="s">
        <v>2978</v>
      </c>
      <c r="B537" t="s">
        <v>185</v>
      </c>
      <c r="C537">
        <v>40044141</v>
      </c>
      <c r="D537">
        <v>144</v>
      </c>
    </row>
    <row r="538" spans="1:4">
      <c r="A538" t="s">
        <v>2978</v>
      </c>
      <c r="B538" t="s">
        <v>185</v>
      </c>
      <c r="C538">
        <v>40026248</v>
      </c>
      <c r="D538">
        <v>144</v>
      </c>
    </row>
    <row r="539" spans="1:4">
      <c r="A539" t="s">
        <v>2979</v>
      </c>
      <c r="B539" t="s">
        <v>185</v>
      </c>
      <c r="C539">
        <v>40044140</v>
      </c>
      <c r="D539">
        <v>144</v>
      </c>
    </row>
    <row r="540" spans="1:4">
      <c r="A540" t="s">
        <v>2980</v>
      </c>
      <c r="B540" t="s">
        <v>185</v>
      </c>
      <c r="C540">
        <v>40057692</v>
      </c>
      <c r="D540">
        <v>144</v>
      </c>
    </row>
    <row r="541" spans="1:4">
      <c r="A541" t="s">
        <v>2981</v>
      </c>
      <c r="B541" t="s">
        <v>185</v>
      </c>
      <c r="C541">
        <v>40050839</v>
      </c>
      <c r="D541">
        <v>144</v>
      </c>
    </row>
    <row r="542" spans="1:4">
      <c r="A542" t="s">
        <v>2982</v>
      </c>
      <c r="B542" t="s">
        <v>185</v>
      </c>
      <c r="C542">
        <v>40057600</v>
      </c>
      <c r="D542">
        <v>24</v>
      </c>
    </row>
    <row r="543" spans="1:4">
      <c r="A543" t="s">
        <v>2982</v>
      </c>
      <c r="B543" t="s">
        <v>185</v>
      </c>
      <c r="C543">
        <v>40058887</v>
      </c>
      <c r="D543">
        <v>24</v>
      </c>
    </row>
    <row r="544" spans="1:4">
      <c r="A544" t="s">
        <v>2983</v>
      </c>
      <c r="B544" t="s">
        <v>185</v>
      </c>
      <c r="C544">
        <v>40057599</v>
      </c>
      <c r="D544">
        <v>24</v>
      </c>
    </row>
    <row r="545" spans="1:4">
      <c r="A545" t="s">
        <v>2983</v>
      </c>
      <c r="B545" t="s">
        <v>185</v>
      </c>
      <c r="C545">
        <v>40058886</v>
      </c>
      <c r="D545">
        <v>24</v>
      </c>
    </row>
    <row r="546" spans="1:4">
      <c r="A546" t="s">
        <v>2984</v>
      </c>
      <c r="B546" t="s">
        <v>185</v>
      </c>
      <c r="C546">
        <v>40007610</v>
      </c>
      <c r="D546">
        <v>24</v>
      </c>
    </row>
    <row r="547" spans="1:4">
      <c r="A547" t="s">
        <v>2985</v>
      </c>
      <c r="B547" t="s">
        <v>662</v>
      </c>
      <c r="C547">
        <v>40056279</v>
      </c>
      <c r="D547">
        <v>18</v>
      </c>
    </row>
    <row r="548" spans="1:4">
      <c r="A548" t="s">
        <v>2986</v>
      </c>
      <c r="B548" t="s">
        <v>185</v>
      </c>
      <c r="C548">
        <v>40043484</v>
      </c>
      <c r="D548">
        <v>72</v>
      </c>
    </row>
    <row r="549" spans="1:4">
      <c r="A549" t="s">
        <v>2986</v>
      </c>
      <c r="B549" t="s">
        <v>185</v>
      </c>
      <c r="C549">
        <v>40033711</v>
      </c>
      <c r="D549">
        <v>72</v>
      </c>
    </row>
    <row r="550" spans="1:4">
      <c r="A550" t="s">
        <v>2987</v>
      </c>
      <c r="B550" t="s">
        <v>185</v>
      </c>
      <c r="C550">
        <v>40050840</v>
      </c>
      <c r="D550">
        <v>72</v>
      </c>
    </row>
    <row r="551" spans="1:4">
      <c r="A551" t="s">
        <v>2988</v>
      </c>
      <c r="B551" t="s">
        <v>185</v>
      </c>
      <c r="C551">
        <v>40043505</v>
      </c>
      <c r="D551">
        <v>72</v>
      </c>
    </row>
    <row r="552" spans="1:4">
      <c r="A552" t="s">
        <v>2988</v>
      </c>
      <c r="B552" t="s">
        <v>185</v>
      </c>
      <c r="C552">
        <v>40033712</v>
      </c>
      <c r="D552">
        <v>72</v>
      </c>
    </row>
    <row r="553" spans="1:4">
      <c r="A553" t="s">
        <v>2989</v>
      </c>
      <c r="B553" t="s">
        <v>185</v>
      </c>
      <c r="C553">
        <v>40050841</v>
      </c>
      <c r="D553">
        <v>72</v>
      </c>
    </row>
    <row r="554" spans="1:4">
      <c r="A554" t="s">
        <v>2990</v>
      </c>
      <c r="B554" t="s">
        <v>185</v>
      </c>
      <c r="C554">
        <v>40043483</v>
      </c>
      <c r="D554">
        <v>72</v>
      </c>
    </row>
    <row r="555" spans="1:4">
      <c r="A555" t="s">
        <v>2990</v>
      </c>
      <c r="B555" t="s">
        <v>185</v>
      </c>
      <c r="C555">
        <v>40033710</v>
      </c>
      <c r="D555">
        <v>72</v>
      </c>
    </row>
    <row r="556" spans="1:4">
      <c r="A556" t="s">
        <v>2991</v>
      </c>
      <c r="B556" t="s">
        <v>185</v>
      </c>
      <c r="C556">
        <v>40043482</v>
      </c>
      <c r="D556">
        <v>72</v>
      </c>
    </row>
    <row r="557" spans="1:4">
      <c r="A557" t="s">
        <v>2991</v>
      </c>
      <c r="B557" t="s">
        <v>185</v>
      </c>
      <c r="C557">
        <v>40033709</v>
      </c>
      <c r="D557">
        <v>72</v>
      </c>
    </row>
    <row r="558" spans="1:4">
      <c r="A558" t="s">
        <v>2991</v>
      </c>
      <c r="B558" t="s">
        <v>185</v>
      </c>
      <c r="C558">
        <v>40018468</v>
      </c>
      <c r="D558">
        <v>72</v>
      </c>
    </row>
    <row r="559" spans="1:4">
      <c r="A559" t="s">
        <v>2992</v>
      </c>
      <c r="B559" t="s">
        <v>185</v>
      </c>
      <c r="C559">
        <v>40033286</v>
      </c>
      <c r="D559">
        <v>72</v>
      </c>
    </row>
    <row r="560" spans="1:4">
      <c r="A560" t="s">
        <v>2993</v>
      </c>
      <c r="B560" t="s">
        <v>2221</v>
      </c>
      <c r="C560">
        <v>40028520</v>
      </c>
      <c r="D560">
        <v>24</v>
      </c>
    </row>
    <row r="561" spans="1:4">
      <c r="A561" t="s">
        <v>2994</v>
      </c>
      <c r="B561" t="s">
        <v>2221</v>
      </c>
      <c r="C561">
        <v>40028519</v>
      </c>
      <c r="D561">
        <v>24</v>
      </c>
    </row>
    <row r="562" spans="1:4">
      <c r="A562" t="s">
        <v>2995</v>
      </c>
      <c r="B562" t="s">
        <v>2221</v>
      </c>
      <c r="C562">
        <v>40007717</v>
      </c>
      <c r="D562">
        <v>24</v>
      </c>
    </row>
    <row r="563" spans="1:4">
      <c r="A563" t="s">
        <v>2996</v>
      </c>
      <c r="B563" t="s">
        <v>2221</v>
      </c>
      <c r="C563">
        <v>40007723</v>
      </c>
      <c r="D563">
        <v>24</v>
      </c>
    </row>
    <row r="564" spans="1:4">
      <c r="A564" t="s">
        <v>2997</v>
      </c>
      <c r="B564" t="s">
        <v>2221</v>
      </c>
      <c r="C564">
        <v>40029249</v>
      </c>
      <c r="D564">
        <v>24</v>
      </c>
    </row>
    <row r="565" spans="1:4">
      <c r="A565" t="s">
        <v>2998</v>
      </c>
      <c r="B565" t="s">
        <v>2221</v>
      </c>
      <c r="C565">
        <v>40028611</v>
      </c>
      <c r="D565">
        <v>24</v>
      </c>
    </row>
    <row r="566" spans="1:4">
      <c r="A566" t="s">
        <v>2999</v>
      </c>
      <c r="B566" t="s">
        <v>185</v>
      </c>
      <c r="C566">
        <v>40029829</v>
      </c>
      <c r="D566">
        <v>12</v>
      </c>
    </row>
    <row r="567" spans="1:4">
      <c r="A567" t="s">
        <v>2999</v>
      </c>
      <c r="B567" t="s">
        <v>185</v>
      </c>
      <c r="C567">
        <v>40060133</v>
      </c>
      <c r="D567">
        <v>12</v>
      </c>
    </row>
    <row r="568" spans="1:4">
      <c r="A568" t="s">
        <v>3000</v>
      </c>
      <c r="B568" t="s">
        <v>2221</v>
      </c>
      <c r="C568">
        <v>40059953</v>
      </c>
      <c r="D568">
        <v>12</v>
      </c>
    </row>
    <row r="569" spans="1:4">
      <c r="A569" t="s">
        <v>3000</v>
      </c>
      <c r="B569" t="s">
        <v>2221</v>
      </c>
      <c r="C569">
        <v>40050031</v>
      </c>
      <c r="D569">
        <v>12</v>
      </c>
    </row>
    <row r="570" spans="1:4">
      <c r="A570" t="s">
        <v>3000</v>
      </c>
      <c r="B570" t="s">
        <v>2221</v>
      </c>
      <c r="C570">
        <v>40023807</v>
      </c>
      <c r="D570">
        <v>12</v>
      </c>
    </row>
    <row r="571" spans="1:4">
      <c r="A571" t="s">
        <v>3000</v>
      </c>
      <c r="B571" t="s">
        <v>2221</v>
      </c>
      <c r="C571">
        <v>40043494</v>
      </c>
      <c r="D571">
        <v>12</v>
      </c>
    </row>
    <row r="572" spans="1:4">
      <c r="A572" t="s">
        <v>3001</v>
      </c>
      <c r="B572" t="s">
        <v>2221</v>
      </c>
      <c r="C572">
        <v>40059951</v>
      </c>
      <c r="D572">
        <v>12</v>
      </c>
    </row>
    <row r="573" spans="1:4">
      <c r="A573" t="s">
        <v>3001</v>
      </c>
      <c r="B573" t="s">
        <v>2221</v>
      </c>
      <c r="C573">
        <v>40049944</v>
      </c>
      <c r="D573">
        <v>12</v>
      </c>
    </row>
    <row r="574" spans="1:4">
      <c r="A574" t="s">
        <v>3002</v>
      </c>
      <c r="B574" t="s">
        <v>2221</v>
      </c>
      <c r="C574">
        <v>40050030</v>
      </c>
      <c r="D574">
        <v>12</v>
      </c>
    </row>
    <row r="575" spans="1:4">
      <c r="A575" t="s">
        <v>3002</v>
      </c>
      <c r="B575" t="s">
        <v>2221</v>
      </c>
      <c r="C575">
        <v>40059949</v>
      </c>
      <c r="D575">
        <v>12</v>
      </c>
    </row>
    <row r="576" spans="1:4">
      <c r="A576" t="s">
        <v>3002</v>
      </c>
      <c r="B576" t="s">
        <v>2221</v>
      </c>
      <c r="C576">
        <v>40018983</v>
      </c>
      <c r="D576">
        <v>12</v>
      </c>
    </row>
    <row r="577" spans="1:4">
      <c r="A577" t="s">
        <v>3003</v>
      </c>
      <c r="B577" t="s">
        <v>2221</v>
      </c>
      <c r="C577">
        <v>40050027</v>
      </c>
      <c r="D577">
        <v>12</v>
      </c>
    </row>
    <row r="578" spans="1:4">
      <c r="A578" t="s">
        <v>3003</v>
      </c>
      <c r="B578" t="s">
        <v>2221</v>
      </c>
      <c r="C578">
        <v>40059947</v>
      </c>
      <c r="D578">
        <v>12</v>
      </c>
    </row>
    <row r="579" spans="1:4">
      <c r="A579" t="s">
        <v>3003</v>
      </c>
      <c r="B579" t="s">
        <v>2221</v>
      </c>
      <c r="C579">
        <v>40007714</v>
      </c>
      <c r="D579">
        <v>12</v>
      </c>
    </row>
    <row r="580" spans="1:4">
      <c r="A580" t="s">
        <v>3003</v>
      </c>
      <c r="B580" t="s">
        <v>2221</v>
      </c>
      <c r="C580">
        <v>40043492</v>
      </c>
      <c r="D580">
        <v>12</v>
      </c>
    </row>
    <row r="581" spans="1:4">
      <c r="A581" t="s">
        <v>3004</v>
      </c>
      <c r="B581" t="s">
        <v>2221</v>
      </c>
      <c r="C581">
        <v>40030573</v>
      </c>
      <c r="D581">
        <v>12</v>
      </c>
    </row>
    <row r="582" spans="1:4">
      <c r="A582" t="s">
        <v>3005</v>
      </c>
      <c r="B582" t="s">
        <v>2221</v>
      </c>
      <c r="C582">
        <v>40050045</v>
      </c>
      <c r="D582">
        <v>12</v>
      </c>
    </row>
    <row r="583" spans="1:4">
      <c r="A583" t="s">
        <v>3005</v>
      </c>
      <c r="B583" t="s">
        <v>2221</v>
      </c>
      <c r="C583">
        <v>40059945</v>
      </c>
      <c r="D583">
        <v>12</v>
      </c>
    </row>
    <row r="584" spans="1:4">
      <c r="A584" t="s">
        <v>3005</v>
      </c>
      <c r="B584" t="s">
        <v>2221</v>
      </c>
      <c r="C584">
        <v>40028689</v>
      </c>
      <c r="D584">
        <v>12</v>
      </c>
    </row>
    <row r="585" spans="1:4">
      <c r="A585" t="s">
        <v>3006</v>
      </c>
      <c r="B585" t="s">
        <v>2221</v>
      </c>
      <c r="C585">
        <v>40059941</v>
      </c>
      <c r="D585">
        <v>12</v>
      </c>
    </row>
    <row r="586" spans="1:4">
      <c r="A586" t="s">
        <v>3006</v>
      </c>
      <c r="B586" t="s">
        <v>2221</v>
      </c>
      <c r="C586">
        <v>40050032</v>
      </c>
      <c r="D586">
        <v>12</v>
      </c>
    </row>
    <row r="587" spans="1:4">
      <c r="A587" t="s">
        <v>3006</v>
      </c>
      <c r="B587" t="s">
        <v>2221</v>
      </c>
      <c r="C587">
        <v>40043515</v>
      </c>
      <c r="D587">
        <v>12</v>
      </c>
    </row>
    <row r="588" spans="1:4">
      <c r="A588" t="s">
        <v>3007</v>
      </c>
      <c r="B588" t="s">
        <v>2221</v>
      </c>
      <c r="C588">
        <v>40059942</v>
      </c>
      <c r="D588">
        <v>6</v>
      </c>
    </row>
    <row r="589" spans="1:4">
      <c r="A589" t="s">
        <v>3007</v>
      </c>
      <c r="B589" t="s">
        <v>2221</v>
      </c>
      <c r="C589">
        <v>40050052</v>
      </c>
      <c r="D589">
        <v>6</v>
      </c>
    </row>
    <row r="590" spans="1:4">
      <c r="A590" t="s">
        <v>3007</v>
      </c>
      <c r="B590" t="s">
        <v>2221</v>
      </c>
      <c r="C590">
        <v>40060566</v>
      </c>
      <c r="D590">
        <v>6</v>
      </c>
    </row>
    <row r="591" spans="1:4">
      <c r="A591" t="s">
        <v>3008</v>
      </c>
      <c r="B591" t="s">
        <v>2221</v>
      </c>
      <c r="C591">
        <v>40059944</v>
      </c>
      <c r="D591">
        <v>12</v>
      </c>
    </row>
    <row r="592" spans="1:4">
      <c r="A592" t="s">
        <v>3008</v>
      </c>
      <c r="B592" t="s">
        <v>2221</v>
      </c>
      <c r="C592">
        <v>40050028</v>
      </c>
      <c r="D592">
        <v>12</v>
      </c>
    </row>
    <row r="593" spans="1:4">
      <c r="A593" t="s">
        <v>3008</v>
      </c>
      <c r="B593" t="s">
        <v>2221</v>
      </c>
      <c r="C593">
        <v>40007711</v>
      </c>
      <c r="D593">
        <v>12</v>
      </c>
    </row>
    <row r="594" spans="1:4">
      <c r="A594" t="s">
        <v>3008</v>
      </c>
      <c r="B594" t="s">
        <v>2221</v>
      </c>
      <c r="C594">
        <v>40043512</v>
      </c>
      <c r="D594">
        <v>12</v>
      </c>
    </row>
    <row r="595" spans="1:4">
      <c r="A595" t="s">
        <v>3009</v>
      </c>
      <c r="B595" t="s">
        <v>2221</v>
      </c>
      <c r="C595">
        <v>40057844</v>
      </c>
      <c r="D595">
        <v>12</v>
      </c>
    </row>
    <row r="596" spans="1:4">
      <c r="A596" t="s">
        <v>3009</v>
      </c>
      <c r="B596" t="s">
        <v>2221</v>
      </c>
      <c r="C596">
        <v>40050029</v>
      </c>
      <c r="D596">
        <v>12</v>
      </c>
    </row>
    <row r="597" spans="1:4">
      <c r="A597" t="s">
        <v>3009</v>
      </c>
      <c r="B597" t="s">
        <v>2221</v>
      </c>
      <c r="C597">
        <v>40060565</v>
      </c>
      <c r="D597">
        <v>12</v>
      </c>
    </row>
    <row r="598" spans="1:4">
      <c r="A598" t="s">
        <v>3009</v>
      </c>
      <c r="B598" t="s">
        <v>2221</v>
      </c>
      <c r="C598">
        <v>40059954</v>
      </c>
      <c r="D598">
        <v>12</v>
      </c>
    </row>
    <row r="599" spans="1:4">
      <c r="A599" t="s">
        <v>3009</v>
      </c>
      <c r="B599" t="s">
        <v>2221</v>
      </c>
      <c r="C599">
        <v>40007712</v>
      </c>
      <c r="D599">
        <v>12</v>
      </c>
    </row>
    <row r="600" spans="1:4">
      <c r="A600" t="s">
        <v>3010</v>
      </c>
      <c r="B600" t="s">
        <v>2221</v>
      </c>
      <c r="C600">
        <v>40059956</v>
      </c>
      <c r="D600">
        <v>12</v>
      </c>
    </row>
    <row r="601" spans="1:4">
      <c r="A601" t="s">
        <v>3010</v>
      </c>
      <c r="B601" t="s">
        <v>2221</v>
      </c>
      <c r="C601">
        <v>40059826</v>
      </c>
      <c r="D601">
        <v>12</v>
      </c>
    </row>
    <row r="602" spans="1:4">
      <c r="A602" t="s">
        <v>3011</v>
      </c>
      <c r="B602" t="s">
        <v>2221</v>
      </c>
      <c r="C602">
        <v>40059943</v>
      </c>
      <c r="D602">
        <v>12</v>
      </c>
    </row>
    <row r="603" spans="1:4">
      <c r="A603" t="s">
        <v>3011</v>
      </c>
      <c r="B603" t="s">
        <v>2221</v>
      </c>
      <c r="C603">
        <v>40050034</v>
      </c>
      <c r="D603">
        <v>12</v>
      </c>
    </row>
    <row r="604" spans="1:4">
      <c r="A604" t="s">
        <v>3012</v>
      </c>
      <c r="B604" t="s">
        <v>2221</v>
      </c>
      <c r="C604">
        <v>40059939</v>
      </c>
      <c r="D604">
        <v>12</v>
      </c>
    </row>
    <row r="605" spans="1:4">
      <c r="A605" t="s">
        <v>3012</v>
      </c>
      <c r="B605" t="s">
        <v>2221</v>
      </c>
      <c r="C605">
        <v>40050033</v>
      </c>
      <c r="D605">
        <v>12</v>
      </c>
    </row>
    <row r="606" spans="1:4">
      <c r="A606" t="s">
        <v>3012</v>
      </c>
      <c r="B606" t="s">
        <v>2221</v>
      </c>
      <c r="C606">
        <v>40033729</v>
      </c>
      <c r="D606">
        <v>12</v>
      </c>
    </row>
    <row r="607" spans="1:4">
      <c r="A607" t="s">
        <v>3013</v>
      </c>
      <c r="B607" t="s">
        <v>2221</v>
      </c>
      <c r="C607">
        <v>40059940</v>
      </c>
      <c r="D607">
        <v>12</v>
      </c>
    </row>
    <row r="608" spans="1:4">
      <c r="A608" t="s">
        <v>3013</v>
      </c>
      <c r="B608" t="s">
        <v>2221</v>
      </c>
      <c r="C608">
        <v>40050046</v>
      </c>
      <c r="D608">
        <v>12</v>
      </c>
    </row>
    <row r="609" spans="1:4">
      <c r="A609" t="s">
        <v>3013</v>
      </c>
      <c r="B609" t="s">
        <v>2221</v>
      </c>
      <c r="C609">
        <v>40043519</v>
      </c>
      <c r="D609">
        <v>12</v>
      </c>
    </row>
    <row r="610" spans="1:4">
      <c r="A610" t="s">
        <v>3013</v>
      </c>
      <c r="B610" t="s">
        <v>2221</v>
      </c>
      <c r="C610">
        <v>40016954</v>
      </c>
      <c r="D610">
        <v>12</v>
      </c>
    </row>
    <row r="611" spans="1:4">
      <c r="A611" t="s">
        <v>3014</v>
      </c>
      <c r="B611" t="s">
        <v>2221</v>
      </c>
      <c r="C611">
        <v>40059952</v>
      </c>
      <c r="D611">
        <v>6</v>
      </c>
    </row>
    <row r="612" spans="1:4">
      <c r="A612" t="s">
        <v>3014</v>
      </c>
      <c r="B612" t="s">
        <v>2221</v>
      </c>
      <c r="C612">
        <v>40050047</v>
      </c>
      <c r="D612">
        <v>6</v>
      </c>
    </row>
    <row r="613" spans="1:4">
      <c r="A613" t="s">
        <v>3015</v>
      </c>
      <c r="B613" t="s">
        <v>2221</v>
      </c>
      <c r="C613">
        <v>40050051</v>
      </c>
      <c r="D613">
        <v>6</v>
      </c>
    </row>
    <row r="614" spans="1:4">
      <c r="A614" t="s">
        <v>3015</v>
      </c>
      <c r="B614" t="s">
        <v>2221</v>
      </c>
      <c r="C614">
        <v>40059950</v>
      </c>
      <c r="D614">
        <v>6</v>
      </c>
    </row>
    <row r="615" spans="1:4">
      <c r="A615" t="s">
        <v>3015</v>
      </c>
      <c r="B615" t="s">
        <v>2221</v>
      </c>
      <c r="C615">
        <v>40026844</v>
      </c>
      <c r="D615">
        <v>6</v>
      </c>
    </row>
    <row r="616" spans="1:4">
      <c r="A616" t="s">
        <v>3016</v>
      </c>
      <c r="B616" t="s">
        <v>2221</v>
      </c>
      <c r="C616">
        <v>40059948</v>
      </c>
      <c r="D616">
        <v>6</v>
      </c>
    </row>
    <row r="617" spans="1:4">
      <c r="A617" t="s">
        <v>3016</v>
      </c>
      <c r="B617" t="s">
        <v>2221</v>
      </c>
      <c r="C617">
        <v>40050049</v>
      </c>
      <c r="D617">
        <v>6</v>
      </c>
    </row>
    <row r="618" spans="1:4">
      <c r="A618" t="s">
        <v>3017</v>
      </c>
      <c r="B618" t="s">
        <v>2221</v>
      </c>
      <c r="C618">
        <v>40059946</v>
      </c>
      <c r="D618">
        <v>6</v>
      </c>
    </row>
    <row r="619" spans="1:4">
      <c r="A619" t="s">
        <v>3017</v>
      </c>
      <c r="B619" t="s">
        <v>2221</v>
      </c>
      <c r="C619">
        <v>40050048</v>
      </c>
      <c r="D619">
        <v>6</v>
      </c>
    </row>
    <row r="620" spans="1:4">
      <c r="A620" t="s">
        <v>3018</v>
      </c>
      <c r="B620" t="s">
        <v>2221</v>
      </c>
      <c r="C620">
        <v>40058075</v>
      </c>
      <c r="D620">
        <v>6</v>
      </c>
    </row>
    <row r="621" spans="1:4">
      <c r="A621" t="s">
        <v>3018</v>
      </c>
      <c r="B621" t="s">
        <v>2221</v>
      </c>
      <c r="C621">
        <v>40050050</v>
      </c>
      <c r="D621">
        <v>6</v>
      </c>
    </row>
    <row r="622" spans="1:4">
      <c r="A622" t="s">
        <v>3018</v>
      </c>
      <c r="B622" t="s">
        <v>2221</v>
      </c>
      <c r="C622">
        <v>40059955</v>
      </c>
      <c r="D622" t="s">
        <v>1008</v>
      </c>
    </row>
    <row r="623" spans="1:4">
      <c r="A623" t="s">
        <v>3019</v>
      </c>
      <c r="B623" t="s">
        <v>662</v>
      </c>
      <c r="C623">
        <v>40024303</v>
      </c>
      <c r="D623">
        <v>12</v>
      </c>
    </row>
    <row r="624" spans="1:4">
      <c r="A624" t="s">
        <v>3019</v>
      </c>
      <c r="B624" t="s">
        <v>662</v>
      </c>
      <c r="C624">
        <v>40058910</v>
      </c>
      <c r="D624">
        <v>12</v>
      </c>
    </row>
    <row r="625" spans="1:4">
      <c r="A625" t="s">
        <v>3019</v>
      </c>
      <c r="B625" t="s">
        <v>662</v>
      </c>
      <c r="C625">
        <v>40057427</v>
      </c>
      <c r="D625">
        <v>12</v>
      </c>
    </row>
    <row r="626" spans="1:4">
      <c r="A626" t="s">
        <v>3019</v>
      </c>
      <c r="B626" t="s">
        <v>662</v>
      </c>
      <c r="C626">
        <v>40060575</v>
      </c>
      <c r="D626">
        <v>12</v>
      </c>
    </row>
    <row r="627" spans="1:4">
      <c r="A627" t="s">
        <v>3019</v>
      </c>
      <c r="B627" t="s">
        <v>662</v>
      </c>
      <c r="C627">
        <v>40057576</v>
      </c>
      <c r="D627">
        <v>12</v>
      </c>
    </row>
    <row r="628" spans="1:4">
      <c r="A628" t="s">
        <v>3019</v>
      </c>
      <c r="B628" t="s">
        <v>662</v>
      </c>
      <c r="C628">
        <v>40060607</v>
      </c>
      <c r="D628">
        <v>12</v>
      </c>
    </row>
    <row r="629" spans="1:4">
      <c r="A629" t="s">
        <v>3019</v>
      </c>
      <c r="B629" t="s">
        <v>662</v>
      </c>
      <c r="C629">
        <v>40060758</v>
      </c>
      <c r="D629">
        <v>12</v>
      </c>
    </row>
    <row r="630" spans="1:4">
      <c r="A630" t="s">
        <v>3019</v>
      </c>
      <c r="B630" t="s">
        <v>662</v>
      </c>
      <c r="C630">
        <v>40013729</v>
      </c>
      <c r="D630">
        <v>12</v>
      </c>
    </row>
    <row r="631" spans="1:4">
      <c r="A631" t="s">
        <v>3020</v>
      </c>
      <c r="B631" t="s">
        <v>185</v>
      </c>
      <c r="C631">
        <v>40034917</v>
      </c>
      <c r="D631">
        <v>12</v>
      </c>
    </row>
    <row r="632" spans="1:4">
      <c r="A632" t="s">
        <v>3021</v>
      </c>
      <c r="B632" t="s">
        <v>185</v>
      </c>
      <c r="C632">
        <v>40034894</v>
      </c>
      <c r="D632">
        <v>6</v>
      </c>
    </row>
    <row r="633" spans="1:4">
      <c r="A633" t="s">
        <v>3022</v>
      </c>
      <c r="B633" t="s">
        <v>185</v>
      </c>
      <c r="C633">
        <v>40008523</v>
      </c>
      <c r="D633">
        <v>576</v>
      </c>
    </row>
    <row r="634" spans="1:4">
      <c r="A634" t="s">
        <v>3023</v>
      </c>
      <c r="B634" t="s">
        <v>185</v>
      </c>
      <c r="C634">
        <v>40008487</v>
      </c>
      <c r="D634">
        <v>288</v>
      </c>
    </row>
    <row r="635" spans="1:4">
      <c r="A635" t="s">
        <v>3024</v>
      </c>
      <c r="B635" t="s">
        <v>185</v>
      </c>
      <c r="C635">
        <v>40018633</v>
      </c>
      <c r="D635">
        <v>72</v>
      </c>
    </row>
    <row r="636" spans="1:4">
      <c r="A636" t="s">
        <v>3025</v>
      </c>
      <c r="B636" t="s">
        <v>185</v>
      </c>
      <c r="C636">
        <v>40008502</v>
      </c>
      <c r="D636">
        <v>432</v>
      </c>
    </row>
    <row r="637" spans="1:4">
      <c r="A637" t="s">
        <v>3407</v>
      </c>
      <c r="B637">
        <v>0</v>
      </c>
      <c r="C637" t="s">
        <v>1008</v>
      </c>
      <c r="D637" t="s">
        <v>1008</v>
      </c>
    </row>
    <row r="638" spans="1:4">
      <c r="A638" t="s">
        <v>3408</v>
      </c>
      <c r="B638" t="s">
        <v>664</v>
      </c>
      <c r="C638">
        <v>40060393</v>
      </c>
      <c r="D638">
        <v>144</v>
      </c>
    </row>
    <row r="639" spans="1:4">
      <c r="A639" t="s">
        <v>3409</v>
      </c>
      <c r="B639" t="s">
        <v>2224</v>
      </c>
      <c r="C639">
        <v>40060609</v>
      </c>
      <c r="D639">
        <v>4</v>
      </c>
    </row>
    <row r="640" spans="1:4">
      <c r="A640" t="s">
        <v>3410</v>
      </c>
      <c r="B640" t="s">
        <v>185</v>
      </c>
      <c r="C640">
        <v>40029590</v>
      </c>
      <c r="D640">
        <v>24</v>
      </c>
    </row>
    <row r="641" spans="1:4">
      <c r="A641" t="s">
        <v>3411</v>
      </c>
      <c r="B641" t="s">
        <v>185</v>
      </c>
      <c r="C641">
        <v>40059815</v>
      </c>
      <c r="D641">
        <v>144</v>
      </c>
    </row>
    <row r="642" spans="1:4">
      <c r="A642" t="s">
        <v>3426</v>
      </c>
      <c r="B642" t="s">
        <v>185</v>
      </c>
      <c r="C642">
        <v>40061769</v>
      </c>
      <c r="D642">
        <v>72</v>
      </c>
    </row>
    <row r="643" spans="1:4">
      <c r="A643" t="s">
        <v>3427</v>
      </c>
      <c r="B643" t="s">
        <v>185</v>
      </c>
      <c r="C643">
        <v>40033254</v>
      </c>
      <c r="D643">
        <v>72</v>
      </c>
    </row>
    <row r="644" spans="1:4">
      <c r="A644" t="s">
        <v>3427</v>
      </c>
      <c r="B644" t="s">
        <v>185</v>
      </c>
      <c r="C644">
        <v>40061771</v>
      </c>
      <c r="D644">
        <v>72</v>
      </c>
    </row>
    <row r="645" spans="1:4">
      <c r="A645" t="s">
        <v>3434</v>
      </c>
      <c r="B645" t="s">
        <v>185</v>
      </c>
      <c r="C645">
        <v>40062940</v>
      </c>
      <c r="D645">
        <v>864</v>
      </c>
    </row>
    <row r="646" spans="1:4">
      <c r="A646" t="s">
        <v>3435</v>
      </c>
      <c r="B646" t="s">
        <v>185</v>
      </c>
      <c r="C646">
        <v>40061770</v>
      </c>
      <c r="D646">
        <v>72</v>
      </c>
    </row>
    <row r="647" spans="1:4">
      <c r="A647" t="s">
        <v>3444</v>
      </c>
      <c r="B647" t="s">
        <v>185</v>
      </c>
      <c r="C647">
        <v>40030673</v>
      </c>
      <c r="D647">
        <v>24</v>
      </c>
    </row>
    <row r="648" spans="1:4">
      <c r="A648" t="s">
        <v>3450</v>
      </c>
      <c r="B648" t="s">
        <v>2221</v>
      </c>
      <c r="C648">
        <v>40037981</v>
      </c>
      <c r="D648">
        <v>12</v>
      </c>
    </row>
    <row r="649" spans="1:4">
      <c r="A649" t="s">
        <v>3450</v>
      </c>
      <c r="B649" t="s">
        <v>2221</v>
      </c>
      <c r="C649">
        <v>40028383</v>
      </c>
      <c r="D649">
        <v>12</v>
      </c>
    </row>
    <row r="650" spans="1:4">
      <c r="A650" t="s">
        <v>3451</v>
      </c>
      <c r="B650" t="s">
        <v>663</v>
      </c>
      <c r="C650">
        <v>40008107</v>
      </c>
      <c r="D650">
        <v>144</v>
      </c>
    </row>
    <row r="651" spans="1:4">
      <c r="A651" t="s">
        <v>3465</v>
      </c>
      <c r="B651" t="s">
        <v>185</v>
      </c>
      <c r="C651">
        <v>40062467</v>
      </c>
      <c r="D651">
        <v>24</v>
      </c>
    </row>
    <row r="652" spans="1:4">
      <c r="A652" t="s">
        <v>3466</v>
      </c>
      <c r="B652" t="s">
        <v>185</v>
      </c>
      <c r="C652">
        <v>40062468</v>
      </c>
      <c r="D652">
        <v>24</v>
      </c>
    </row>
    <row r="653" spans="1:4">
      <c r="A653" t="s">
        <v>3480</v>
      </c>
      <c r="B653" t="s">
        <v>2224</v>
      </c>
      <c r="C653">
        <v>40058248</v>
      </c>
      <c r="D653">
        <v>24</v>
      </c>
    </row>
    <row r="654" spans="1:4">
      <c r="A654" t="s">
        <v>3485</v>
      </c>
      <c r="B654" t="s">
        <v>185</v>
      </c>
      <c r="C654">
        <v>40028603</v>
      </c>
      <c r="D654">
        <v>12</v>
      </c>
    </row>
    <row r="655" spans="1:4">
      <c r="A655" t="s">
        <v>3488</v>
      </c>
      <c r="B655" t="s">
        <v>2221</v>
      </c>
      <c r="C655">
        <v>40007683</v>
      </c>
      <c r="D655">
        <v>12</v>
      </c>
    </row>
    <row r="656" spans="1:4">
      <c r="A656" t="s">
        <v>3492</v>
      </c>
      <c r="B656" t="s">
        <v>185</v>
      </c>
      <c r="C656">
        <v>40028405</v>
      </c>
      <c r="D656">
        <v>12</v>
      </c>
    </row>
  </sheetData>
  <conditionalFormatting sqref="A1:A1048576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3788-73D9-44DC-993A-5237164DC59A}">
  <sheetPr>
    <tabColor rgb="FFFFFF00"/>
  </sheetPr>
  <dimension ref="A1:F193"/>
  <sheetViews>
    <sheetView workbookViewId="0">
      <selection activeCell="C28" sqref="C28"/>
    </sheetView>
  </sheetViews>
  <sheetFormatPr defaultRowHeight="15"/>
  <cols>
    <col min="1" max="1" width="18.5703125" bestFit="1" customWidth="1"/>
    <col min="2" max="2" width="12" bestFit="1" customWidth="1"/>
    <col min="3" max="3" width="18" bestFit="1" customWidth="1"/>
    <col min="4" max="4" width="9.85546875" bestFit="1" customWidth="1"/>
    <col min="5" max="5" width="22.42578125" bestFit="1" customWidth="1"/>
    <col min="6" max="6" width="16.5703125" bestFit="1" customWidth="1"/>
  </cols>
  <sheetData>
    <row r="1" spans="1:6">
      <c r="A1" t="s">
        <v>150</v>
      </c>
      <c r="B1" t="s">
        <v>0</v>
      </c>
      <c r="C1" t="s">
        <v>12</v>
      </c>
      <c r="D1" t="s">
        <v>4</v>
      </c>
      <c r="E1" t="s">
        <v>151</v>
      </c>
      <c r="F1" t="s">
        <v>1093</v>
      </c>
    </row>
    <row r="2" spans="1:6">
      <c r="A2" t="s">
        <v>670</v>
      </c>
      <c r="B2" t="s">
        <v>379</v>
      </c>
      <c r="C2" t="s">
        <v>662</v>
      </c>
      <c r="D2">
        <v>6</v>
      </c>
      <c r="E2">
        <v>1</v>
      </c>
      <c r="F2" t="str">
        <f>Pvt_Map_1[[#This Row],[Kode Barang Win]]</f>
        <v>F4011100007010</v>
      </c>
    </row>
    <row r="3" spans="1:6">
      <c r="A3" t="s">
        <v>671</v>
      </c>
      <c r="B3" t="s">
        <v>402</v>
      </c>
      <c r="C3" t="s">
        <v>636</v>
      </c>
      <c r="D3">
        <v>24</v>
      </c>
      <c r="E3">
        <v>1</v>
      </c>
      <c r="F3" t="str">
        <f>Pvt_Map_1[[#This Row],[Kode Barang Win]]</f>
        <v>F4012101040010</v>
      </c>
    </row>
    <row r="4" spans="1:6">
      <c r="A4" t="s">
        <v>672</v>
      </c>
      <c r="B4" t="s">
        <v>404</v>
      </c>
      <c r="C4" t="s">
        <v>636</v>
      </c>
      <c r="D4">
        <v>24</v>
      </c>
      <c r="E4">
        <v>1</v>
      </c>
      <c r="F4" t="str">
        <f>Pvt_Map_1[[#This Row],[Kode Barang Win]]</f>
        <v>F4012102040010</v>
      </c>
    </row>
    <row r="5" spans="1:6">
      <c r="A5" t="s">
        <v>673</v>
      </c>
      <c r="B5" t="s">
        <v>403</v>
      </c>
      <c r="C5" t="s">
        <v>657</v>
      </c>
      <c r="D5">
        <v>24</v>
      </c>
      <c r="E5">
        <v>1</v>
      </c>
      <c r="F5" t="str">
        <f>Pvt_Map_1[[#This Row],[Kode Barang Win]]</f>
        <v>F4012001048020</v>
      </c>
    </row>
    <row r="6" spans="1:6">
      <c r="A6" t="s">
        <v>674</v>
      </c>
      <c r="B6" t="s">
        <v>405</v>
      </c>
      <c r="C6" t="s">
        <v>657</v>
      </c>
      <c r="D6">
        <v>24</v>
      </c>
      <c r="E6">
        <v>1</v>
      </c>
      <c r="F6" t="str">
        <f>Pvt_Map_1[[#This Row],[Kode Barang Win]]</f>
        <v>F4012002048020</v>
      </c>
    </row>
    <row r="7" spans="1:6">
      <c r="A7" t="s">
        <v>675</v>
      </c>
      <c r="B7" t="s">
        <v>381</v>
      </c>
      <c r="C7" t="s">
        <v>185</v>
      </c>
      <c r="D7">
        <v>72</v>
      </c>
      <c r="E7">
        <v>1</v>
      </c>
      <c r="F7" t="str">
        <f>Pvt_Map_1[[#This Row],[Kode Barang Win]]</f>
        <v>F4013001007010</v>
      </c>
    </row>
    <row r="8" spans="1:6">
      <c r="A8" t="s">
        <v>676</v>
      </c>
      <c r="B8" t="s">
        <v>380</v>
      </c>
      <c r="C8" t="s">
        <v>185</v>
      </c>
      <c r="D8">
        <v>72</v>
      </c>
      <c r="E8">
        <v>1</v>
      </c>
      <c r="F8" t="str">
        <f>Pvt_Map_1[[#This Row],[Kode Barang Win]]</f>
        <v>F4013002007010</v>
      </c>
    </row>
    <row r="9" spans="1:6">
      <c r="A9" t="s">
        <v>677</v>
      </c>
      <c r="B9" t="s">
        <v>498</v>
      </c>
      <c r="C9" t="s">
        <v>185</v>
      </c>
      <c r="D9">
        <v>72</v>
      </c>
      <c r="E9">
        <v>1</v>
      </c>
      <c r="F9" t="str">
        <f>Pvt_Map_1[[#This Row],[Kode Barang Win]]</f>
        <v>F4021001010010</v>
      </c>
    </row>
    <row r="10" spans="1:6">
      <c r="A10" t="s">
        <v>678</v>
      </c>
      <c r="B10" t="s">
        <v>410</v>
      </c>
      <c r="C10" t="s">
        <v>657</v>
      </c>
      <c r="D10">
        <v>24</v>
      </c>
      <c r="E10">
        <v>1</v>
      </c>
      <c r="F10" t="str">
        <f>Pvt_Map_1[[#This Row],[Kode Barang Win]]</f>
        <v>F4031101040010</v>
      </c>
    </row>
    <row r="11" spans="1:6">
      <c r="A11" t="s">
        <v>679</v>
      </c>
      <c r="B11" t="s">
        <v>408</v>
      </c>
      <c r="C11" t="s">
        <v>636</v>
      </c>
      <c r="D11">
        <v>24</v>
      </c>
      <c r="E11">
        <v>1</v>
      </c>
      <c r="F11" t="str">
        <f>Pvt_Map_1[[#This Row],[Kode Barang Win]]</f>
        <v>F4031102040020</v>
      </c>
    </row>
    <row r="12" spans="1:6">
      <c r="A12" t="s">
        <v>680</v>
      </c>
      <c r="B12" t="s">
        <v>406</v>
      </c>
      <c r="C12" t="s">
        <v>636</v>
      </c>
      <c r="D12">
        <v>24</v>
      </c>
      <c r="E12">
        <v>1</v>
      </c>
      <c r="F12" t="str">
        <f>Pvt_Map_1[[#This Row],[Kode Barang Win]]</f>
        <v>F4031103040020</v>
      </c>
    </row>
    <row r="13" spans="1:6">
      <c r="A13" t="s">
        <v>681</v>
      </c>
      <c r="B13" t="s">
        <v>411</v>
      </c>
      <c r="C13" t="s">
        <v>647</v>
      </c>
      <c r="D13">
        <v>24</v>
      </c>
      <c r="E13">
        <v>1</v>
      </c>
      <c r="F13" t="str">
        <f>Pvt_Map_1[[#This Row],[Kode Barang Win]]</f>
        <v>F4031001048030</v>
      </c>
    </row>
    <row r="14" spans="1:6">
      <c r="A14" t="s">
        <v>682</v>
      </c>
      <c r="B14" t="s">
        <v>409</v>
      </c>
      <c r="C14" t="s">
        <v>647</v>
      </c>
      <c r="D14">
        <v>24</v>
      </c>
      <c r="E14">
        <v>1</v>
      </c>
      <c r="F14" t="str">
        <f>Pvt_Map_1[[#This Row],[Kode Barang Win]]</f>
        <v>F4031002048030</v>
      </c>
    </row>
    <row r="15" spans="1:6">
      <c r="A15" t="s">
        <v>683</v>
      </c>
      <c r="B15" t="s">
        <v>407</v>
      </c>
      <c r="C15" t="s">
        <v>657</v>
      </c>
      <c r="D15">
        <v>24</v>
      </c>
      <c r="E15">
        <v>1</v>
      </c>
      <c r="F15" t="str">
        <f>Pvt_Map_1[[#This Row],[Kode Barang Win]]</f>
        <v>F4031003048010</v>
      </c>
    </row>
    <row r="16" spans="1:6">
      <c r="A16" t="s">
        <v>684</v>
      </c>
      <c r="B16" t="s">
        <v>387</v>
      </c>
      <c r="C16" t="s">
        <v>663</v>
      </c>
      <c r="D16">
        <v>24</v>
      </c>
      <c r="E16">
        <v>1</v>
      </c>
      <c r="F16" t="str">
        <f>Pvt_Map_1[[#This Row],[Kode Barang Win]]</f>
        <v>F4032001007510</v>
      </c>
    </row>
    <row r="17" spans="1:6">
      <c r="A17" t="s">
        <v>685</v>
      </c>
      <c r="B17" t="s">
        <v>383</v>
      </c>
      <c r="C17" t="s">
        <v>185</v>
      </c>
      <c r="D17">
        <v>72</v>
      </c>
      <c r="E17">
        <v>1</v>
      </c>
      <c r="F17" t="str">
        <f>Pvt_Map_1[[#This Row],[Kode Barang Win]]</f>
        <v>F4032001007520</v>
      </c>
    </row>
    <row r="18" spans="1:6">
      <c r="A18" t="s">
        <v>686</v>
      </c>
      <c r="B18" t="s">
        <v>386</v>
      </c>
      <c r="C18" t="s">
        <v>663</v>
      </c>
      <c r="D18">
        <v>24</v>
      </c>
      <c r="E18">
        <v>1</v>
      </c>
      <c r="F18" t="str">
        <f>Pvt_Map_1[[#This Row],[Kode Barang Win]]</f>
        <v>F4032002007510</v>
      </c>
    </row>
    <row r="19" spans="1:6">
      <c r="A19" t="s">
        <v>687</v>
      </c>
      <c r="B19" t="s">
        <v>384</v>
      </c>
      <c r="C19" t="s">
        <v>185</v>
      </c>
      <c r="D19">
        <v>72</v>
      </c>
      <c r="E19">
        <v>1</v>
      </c>
      <c r="F19" t="str">
        <f>Pvt_Map_1[[#This Row],[Kode Barang Win]]</f>
        <v>F4032002007520</v>
      </c>
    </row>
    <row r="20" spans="1:6">
      <c r="A20" t="s">
        <v>688</v>
      </c>
      <c r="B20" t="s">
        <v>385</v>
      </c>
      <c r="C20" t="s">
        <v>663</v>
      </c>
      <c r="D20">
        <v>24</v>
      </c>
      <c r="E20">
        <v>1</v>
      </c>
      <c r="F20" t="str">
        <f>Pvt_Map_1[[#This Row],[Kode Barang Win]]</f>
        <v>F4032003007510</v>
      </c>
    </row>
    <row r="21" spans="1:6">
      <c r="A21" t="s">
        <v>689</v>
      </c>
      <c r="B21" t="s">
        <v>382</v>
      </c>
      <c r="C21" t="s">
        <v>185</v>
      </c>
      <c r="D21">
        <v>72</v>
      </c>
      <c r="E21">
        <v>1</v>
      </c>
      <c r="F21" t="str">
        <f>Pvt_Map_1[[#This Row],[Kode Barang Win]]</f>
        <v>F4032003007520</v>
      </c>
    </row>
    <row r="22" spans="1:6">
      <c r="A22" t="s">
        <v>690</v>
      </c>
      <c r="B22" t="s">
        <v>481</v>
      </c>
      <c r="C22" t="s">
        <v>647</v>
      </c>
      <c r="D22">
        <v>48</v>
      </c>
      <c r="E22">
        <v>1</v>
      </c>
      <c r="F22" t="str">
        <f>Pvt_Map_1[[#This Row],[Kode Barang Win]]</f>
        <v>F4041001020010</v>
      </c>
    </row>
    <row r="23" spans="1:6">
      <c r="A23" t="s">
        <v>691</v>
      </c>
      <c r="B23" t="s">
        <v>480</v>
      </c>
      <c r="C23" t="s">
        <v>647</v>
      </c>
      <c r="D23">
        <v>48</v>
      </c>
      <c r="E23">
        <v>1</v>
      </c>
      <c r="F23" t="str">
        <f>Pvt_Map_1[[#This Row],[Kode Barang Win]]</f>
        <v>F4041002020010</v>
      </c>
    </row>
    <row r="24" spans="1:6">
      <c r="A24" t="s">
        <v>692</v>
      </c>
      <c r="B24" t="s">
        <v>479</v>
      </c>
      <c r="C24" t="s">
        <v>664</v>
      </c>
      <c r="D24">
        <v>48</v>
      </c>
      <c r="E24">
        <v>2</v>
      </c>
      <c r="F24" t="str">
        <f>Pvt_Map_1[[#This Row],[Kode Barang Win]]</f>
        <v>F4041002000920</v>
      </c>
    </row>
    <row r="25" spans="1:6">
      <c r="A25" t="s">
        <v>692</v>
      </c>
      <c r="B25" t="s">
        <v>969</v>
      </c>
      <c r="C25" t="s">
        <v>664</v>
      </c>
      <c r="D25">
        <v>48</v>
      </c>
      <c r="E25">
        <v>1</v>
      </c>
      <c r="F25" t="str">
        <f>Pvt_Map_1[[#This Row],[Kode Barang Win]]</f>
        <v>F4041002000920</v>
      </c>
    </row>
    <row r="26" spans="1:6">
      <c r="A26" t="s">
        <v>693</v>
      </c>
      <c r="B26" t="s">
        <v>478</v>
      </c>
      <c r="C26" t="s">
        <v>658</v>
      </c>
      <c r="D26">
        <v>48</v>
      </c>
      <c r="E26">
        <v>1</v>
      </c>
      <c r="F26" t="str">
        <f>Pvt_Map_1[[#This Row],[Kode Barang Win]]</f>
        <v>F4041003020010</v>
      </c>
    </row>
    <row r="27" spans="1:6">
      <c r="A27" t="s">
        <v>694</v>
      </c>
      <c r="B27" t="s">
        <v>477</v>
      </c>
      <c r="C27" t="s">
        <v>664</v>
      </c>
      <c r="D27">
        <v>48</v>
      </c>
      <c r="E27">
        <v>1</v>
      </c>
      <c r="F27" t="str">
        <f>Pvt_Map_1[[#This Row],[Kode Barang Win]]</f>
        <v>F4041003000920</v>
      </c>
    </row>
    <row r="28" spans="1:6">
      <c r="A28" t="s">
        <v>695</v>
      </c>
      <c r="B28" t="s">
        <v>464</v>
      </c>
      <c r="C28" t="s">
        <v>659</v>
      </c>
      <c r="D28">
        <v>24</v>
      </c>
      <c r="E28">
        <v>1</v>
      </c>
      <c r="F28" t="str">
        <f>Pvt_Map_1[[#This Row],[Kode Barang Win]]</f>
        <v>F4051001036011</v>
      </c>
    </row>
    <row r="29" spans="1:6">
      <c r="A29" t="s">
        <v>696</v>
      </c>
      <c r="B29" t="s">
        <v>412</v>
      </c>
      <c r="C29" t="s">
        <v>659</v>
      </c>
      <c r="D29">
        <v>48</v>
      </c>
      <c r="E29">
        <v>1</v>
      </c>
      <c r="F29" t="str">
        <f>Pvt_Map_1[[#This Row],[Kode Barang Win]]</f>
        <v>F4052001018010</v>
      </c>
    </row>
    <row r="30" spans="1:6">
      <c r="A30" t="s">
        <v>697</v>
      </c>
      <c r="B30" t="s">
        <v>416</v>
      </c>
      <c r="C30" t="s">
        <v>659</v>
      </c>
      <c r="D30">
        <v>48</v>
      </c>
      <c r="E30">
        <v>1</v>
      </c>
      <c r="F30" t="str">
        <f>Pvt_Map_1[[#This Row],[Kode Barang Win]]</f>
        <v>F4052001007010</v>
      </c>
    </row>
    <row r="31" spans="1:6">
      <c r="A31" t="s">
        <v>698</v>
      </c>
      <c r="B31" t="s">
        <v>415</v>
      </c>
      <c r="C31" t="s">
        <v>659</v>
      </c>
      <c r="D31">
        <v>48</v>
      </c>
      <c r="E31">
        <v>1</v>
      </c>
      <c r="F31" t="str">
        <f>Pvt_Map_1[[#This Row],[Kode Barang Win]]</f>
        <v>F4052002018010</v>
      </c>
    </row>
    <row r="32" spans="1:6">
      <c r="A32" t="s">
        <v>699</v>
      </c>
      <c r="B32" t="s">
        <v>419</v>
      </c>
      <c r="C32" t="s">
        <v>659</v>
      </c>
      <c r="D32">
        <v>48</v>
      </c>
      <c r="E32">
        <v>1</v>
      </c>
      <c r="F32" t="str">
        <f>Pvt_Map_1[[#This Row],[Kode Barang Win]]</f>
        <v>F4052002007010</v>
      </c>
    </row>
    <row r="33" spans="1:6">
      <c r="A33" t="s">
        <v>700</v>
      </c>
      <c r="B33" t="s">
        <v>413</v>
      </c>
      <c r="C33" t="s">
        <v>659</v>
      </c>
      <c r="D33">
        <v>48</v>
      </c>
      <c r="E33">
        <v>1</v>
      </c>
      <c r="F33" t="str">
        <f>Pvt_Map_1[[#This Row],[Kode Barang Win]]</f>
        <v>F4052003018010</v>
      </c>
    </row>
    <row r="34" spans="1:6">
      <c r="A34" t="s">
        <v>701</v>
      </c>
      <c r="B34" t="s">
        <v>417</v>
      </c>
      <c r="C34" t="s">
        <v>659</v>
      </c>
      <c r="D34">
        <v>48</v>
      </c>
      <c r="E34">
        <v>1</v>
      </c>
      <c r="F34" t="str">
        <f>Pvt_Map_1[[#This Row],[Kode Barang Win]]</f>
        <v>F4052003007010</v>
      </c>
    </row>
    <row r="35" spans="1:6">
      <c r="A35" t="s">
        <v>702</v>
      </c>
      <c r="B35" t="s">
        <v>414</v>
      </c>
      <c r="C35" t="s">
        <v>659</v>
      </c>
      <c r="D35">
        <v>48</v>
      </c>
      <c r="E35">
        <v>1</v>
      </c>
      <c r="F35" t="str">
        <f>Pvt_Map_1[[#This Row],[Kode Barang Win]]</f>
        <v>F4052004018010</v>
      </c>
    </row>
    <row r="36" spans="1:6">
      <c r="A36" t="s">
        <v>703</v>
      </c>
      <c r="B36" t="s">
        <v>418</v>
      </c>
      <c r="C36" t="s">
        <v>659</v>
      </c>
      <c r="D36">
        <v>48</v>
      </c>
      <c r="E36">
        <v>1</v>
      </c>
      <c r="F36" t="str">
        <f>Pvt_Map_1[[#This Row],[Kode Barang Win]]</f>
        <v>F4052004007010</v>
      </c>
    </row>
    <row r="37" spans="1:6">
      <c r="A37" t="s">
        <v>704</v>
      </c>
      <c r="B37" t="s">
        <v>426</v>
      </c>
      <c r="C37" t="s">
        <v>636</v>
      </c>
      <c r="D37">
        <v>24</v>
      </c>
      <c r="E37">
        <v>1</v>
      </c>
      <c r="F37" t="str">
        <f>Pvt_Map_1[[#This Row],[Kode Barang Win]]</f>
        <v>F4061101038010</v>
      </c>
    </row>
    <row r="38" spans="1:6">
      <c r="A38" t="s">
        <v>705</v>
      </c>
      <c r="B38" t="s">
        <v>445</v>
      </c>
      <c r="C38" t="s">
        <v>636</v>
      </c>
      <c r="D38">
        <v>24</v>
      </c>
      <c r="E38">
        <v>1</v>
      </c>
      <c r="F38" t="str">
        <f>Pvt_Map_1[[#This Row],[Kode Barang Win]]</f>
        <v>F4061102038010</v>
      </c>
    </row>
    <row r="39" spans="1:6">
      <c r="A39" t="s">
        <v>706</v>
      </c>
      <c r="B39" t="s">
        <v>432</v>
      </c>
      <c r="C39" t="s">
        <v>636</v>
      </c>
      <c r="D39">
        <v>24</v>
      </c>
      <c r="E39">
        <v>1</v>
      </c>
      <c r="F39" t="str">
        <f>Pvt_Map_1[[#This Row],[Kode Barang Win]]</f>
        <v>F4061103038010</v>
      </c>
    </row>
    <row r="40" spans="1:6">
      <c r="A40" t="s">
        <v>707</v>
      </c>
      <c r="B40" t="s">
        <v>431</v>
      </c>
      <c r="C40" t="s">
        <v>636</v>
      </c>
      <c r="D40">
        <v>12</v>
      </c>
      <c r="E40">
        <v>1</v>
      </c>
      <c r="F40" t="str">
        <f>Pvt_Map_1[[#This Row],[Kode Barang Win]]</f>
        <v>F4061103072510</v>
      </c>
    </row>
    <row r="41" spans="1:6">
      <c r="A41" t="s">
        <v>708</v>
      </c>
      <c r="B41" t="s">
        <v>430</v>
      </c>
      <c r="C41" t="s">
        <v>661</v>
      </c>
      <c r="D41">
        <v>48</v>
      </c>
      <c r="E41">
        <v>1</v>
      </c>
      <c r="F41" t="str">
        <f>Pvt_Map_1[[#This Row],[Kode Barang Win]]</f>
        <v>F4061103008510</v>
      </c>
    </row>
    <row r="42" spans="1:6">
      <c r="A42" t="s">
        <v>709</v>
      </c>
      <c r="B42" t="s">
        <v>422</v>
      </c>
      <c r="C42" t="s">
        <v>636</v>
      </c>
      <c r="D42">
        <v>24</v>
      </c>
      <c r="E42">
        <v>1</v>
      </c>
      <c r="F42" t="str">
        <f>Pvt_Map_1[[#This Row],[Kode Barang Win]]</f>
        <v>F4061104038010</v>
      </c>
    </row>
    <row r="43" spans="1:6">
      <c r="A43" t="s">
        <v>710</v>
      </c>
      <c r="B43" t="s">
        <v>421</v>
      </c>
      <c r="C43" t="s">
        <v>636</v>
      </c>
      <c r="D43">
        <v>12</v>
      </c>
      <c r="E43">
        <v>1</v>
      </c>
      <c r="F43" t="str">
        <f>Pvt_Map_1[[#This Row],[Kode Barang Win]]</f>
        <v>F4061104072510</v>
      </c>
    </row>
    <row r="44" spans="1:6">
      <c r="A44" t="s">
        <v>711</v>
      </c>
      <c r="B44" t="s">
        <v>420</v>
      </c>
      <c r="C44" t="s">
        <v>661</v>
      </c>
      <c r="D44">
        <v>48</v>
      </c>
      <c r="E44">
        <v>1</v>
      </c>
      <c r="F44" t="str">
        <f>Pvt_Map_1[[#This Row],[Kode Barang Win]]</f>
        <v>F4061109008510</v>
      </c>
    </row>
    <row r="45" spans="1:6">
      <c r="A45" t="s">
        <v>712</v>
      </c>
      <c r="B45" t="s">
        <v>436</v>
      </c>
      <c r="C45" t="s">
        <v>636</v>
      </c>
      <c r="D45">
        <v>24</v>
      </c>
      <c r="E45">
        <v>1</v>
      </c>
      <c r="F45" t="str">
        <f>Pvt_Map_1[[#This Row],[Kode Barang Win]]</f>
        <v>F4061110038010</v>
      </c>
    </row>
    <row r="46" spans="1:6">
      <c r="A46" t="s">
        <v>713</v>
      </c>
      <c r="B46" t="s">
        <v>441</v>
      </c>
      <c r="C46" t="s">
        <v>636</v>
      </c>
      <c r="D46">
        <v>24</v>
      </c>
      <c r="E46">
        <v>1</v>
      </c>
      <c r="F46" t="str">
        <f>Pvt_Map_1[[#This Row],[Kode Barang Win]]</f>
        <v>F4061111038010</v>
      </c>
    </row>
    <row r="47" spans="1:6">
      <c r="A47" t="s">
        <v>714</v>
      </c>
      <c r="B47" t="s">
        <v>440</v>
      </c>
      <c r="C47" t="s">
        <v>636</v>
      </c>
      <c r="D47">
        <v>12</v>
      </c>
      <c r="E47">
        <v>1</v>
      </c>
      <c r="F47" t="str">
        <f>Pvt_Map_1[[#This Row],[Kode Barang Win]]</f>
        <v>F4061111072510</v>
      </c>
    </row>
    <row r="48" spans="1:6">
      <c r="A48" t="s">
        <v>715</v>
      </c>
      <c r="B48" t="s">
        <v>484</v>
      </c>
      <c r="C48" t="s">
        <v>647</v>
      </c>
      <c r="D48">
        <v>48</v>
      </c>
      <c r="E48">
        <v>1</v>
      </c>
      <c r="F48" t="str">
        <f>Pvt_Map_1[[#This Row],[Kode Barang Win]]</f>
        <v>F4062001010010</v>
      </c>
    </row>
    <row r="49" spans="1:6">
      <c r="A49" t="s">
        <v>716</v>
      </c>
      <c r="B49" t="s">
        <v>485</v>
      </c>
      <c r="C49" t="s">
        <v>647</v>
      </c>
      <c r="D49">
        <v>48</v>
      </c>
      <c r="E49">
        <v>1</v>
      </c>
      <c r="F49" t="str">
        <f>Pvt_Map_1[[#This Row],[Kode Barang Win]]</f>
        <v>F4062001021010</v>
      </c>
    </row>
    <row r="50" spans="1:6">
      <c r="A50" t="s">
        <v>717</v>
      </c>
      <c r="B50" t="s">
        <v>486</v>
      </c>
      <c r="C50" t="s">
        <v>647</v>
      </c>
      <c r="D50">
        <v>48</v>
      </c>
      <c r="E50">
        <v>1</v>
      </c>
      <c r="F50" t="str">
        <f>Pvt_Map_1[[#This Row],[Kode Barang Win]]</f>
        <v>F4062002010010</v>
      </c>
    </row>
    <row r="51" spans="1:6">
      <c r="A51" t="s">
        <v>718</v>
      </c>
      <c r="B51" t="s">
        <v>487</v>
      </c>
      <c r="C51" t="s">
        <v>647</v>
      </c>
      <c r="D51">
        <v>48</v>
      </c>
      <c r="E51">
        <v>1</v>
      </c>
      <c r="F51" t="str">
        <f>Pvt_Map_1[[#This Row],[Kode Barang Win]]</f>
        <v>F4062002021010</v>
      </c>
    </row>
    <row r="52" spans="1:6">
      <c r="A52" t="s">
        <v>719</v>
      </c>
      <c r="B52" t="s">
        <v>482</v>
      </c>
      <c r="C52" t="s">
        <v>647</v>
      </c>
      <c r="D52">
        <v>48</v>
      </c>
      <c r="E52">
        <v>1</v>
      </c>
      <c r="F52" t="str">
        <f>Pvt_Map_1[[#This Row],[Kode Barang Win]]</f>
        <v>F4062003010010</v>
      </c>
    </row>
    <row r="53" spans="1:6">
      <c r="A53" t="s">
        <v>720</v>
      </c>
      <c r="B53" t="s">
        <v>483</v>
      </c>
      <c r="C53" t="s">
        <v>647</v>
      </c>
      <c r="D53">
        <v>48</v>
      </c>
      <c r="E53">
        <v>1</v>
      </c>
      <c r="F53" t="str">
        <f>Pvt_Map_1[[#This Row],[Kode Barang Win]]</f>
        <v>F4062003021010</v>
      </c>
    </row>
    <row r="54" spans="1:6">
      <c r="A54" t="s">
        <v>721</v>
      </c>
      <c r="B54" t="s">
        <v>488</v>
      </c>
      <c r="C54" t="s">
        <v>647</v>
      </c>
      <c r="D54">
        <v>48</v>
      </c>
      <c r="E54">
        <v>1</v>
      </c>
      <c r="F54" t="str">
        <f>Pvt_Map_1[[#This Row],[Kode Barang Win]]</f>
        <v>F4062004010010</v>
      </c>
    </row>
    <row r="55" spans="1:6">
      <c r="A55" t="s">
        <v>722</v>
      </c>
      <c r="B55" t="s">
        <v>489</v>
      </c>
      <c r="C55" t="s">
        <v>647</v>
      </c>
      <c r="D55">
        <v>48</v>
      </c>
      <c r="E55">
        <v>1</v>
      </c>
      <c r="F55" t="str">
        <f>Pvt_Map_1[[#This Row],[Kode Barang Win]]</f>
        <v>F4062004021010</v>
      </c>
    </row>
    <row r="56" spans="1:6">
      <c r="A56" t="s">
        <v>723</v>
      </c>
      <c r="B56" t="s">
        <v>467</v>
      </c>
      <c r="C56" t="s">
        <v>660</v>
      </c>
      <c r="D56">
        <v>48</v>
      </c>
      <c r="E56">
        <v>1</v>
      </c>
      <c r="F56" t="str">
        <f>Pvt_Map_1[[#This Row],[Kode Barang Win]]</f>
        <v>F4063001011010</v>
      </c>
    </row>
    <row r="57" spans="1:6">
      <c r="A57" t="s">
        <v>724</v>
      </c>
      <c r="B57" t="s">
        <v>468</v>
      </c>
      <c r="C57" t="s">
        <v>660</v>
      </c>
      <c r="D57">
        <v>48</v>
      </c>
      <c r="E57">
        <v>1</v>
      </c>
      <c r="F57" t="str">
        <f>Pvt_Map_1[[#This Row],[Kode Barang Win]]</f>
        <v>F4063001020010</v>
      </c>
    </row>
    <row r="58" spans="1:6">
      <c r="A58" t="s">
        <v>725</v>
      </c>
      <c r="B58" t="s">
        <v>475</v>
      </c>
      <c r="C58" t="s">
        <v>660</v>
      </c>
      <c r="D58">
        <v>96</v>
      </c>
      <c r="E58">
        <v>1</v>
      </c>
      <c r="F58" t="str">
        <f>Pvt_Map_1[[#This Row],[Kode Barang Win]]</f>
        <v>F4063002011010</v>
      </c>
    </row>
    <row r="59" spans="1:6">
      <c r="A59" t="s">
        <v>726</v>
      </c>
      <c r="B59" t="s">
        <v>476</v>
      </c>
      <c r="C59" t="s">
        <v>660</v>
      </c>
      <c r="D59">
        <v>48</v>
      </c>
      <c r="E59">
        <v>1</v>
      </c>
      <c r="F59" t="str">
        <f>Pvt_Map_1[[#This Row],[Kode Barang Win]]</f>
        <v>F4063002020010</v>
      </c>
    </row>
    <row r="60" spans="1:6">
      <c r="A60" t="s">
        <v>727</v>
      </c>
      <c r="B60" t="s">
        <v>469</v>
      </c>
      <c r="C60" t="s">
        <v>660</v>
      </c>
      <c r="D60">
        <v>96</v>
      </c>
      <c r="E60">
        <v>1</v>
      </c>
      <c r="F60" t="str">
        <f>Pvt_Map_1[[#This Row],[Kode Barang Win]]</f>
        <v>F4063003011010</v>
      </c>
    </row>
    <row r="61" spans="1:6">
      <c r="A61" t="s">
        <v>728</v>
      </c>
      <c r="B61" t="s">
        <v>470</v>
      </c>
      <c r="C61" t="s">
        <v>660</v>
      </c>
      <c r="D61">
        <v>48</v>
      </c>
      <c r="E61">
        <v>1</v>
      </c>
      <c r="F61" t="str">
        <f>Pvt_Map_1[[#This Row],[Kode Barang Win]]</f>
        <v>F4063003020010</v>
      </c>
    </row>
    <row r="62" spans="1:6">
      <c r="A62" t="s">
        <v>729</v>
      </c>
      <c r="B62" t="s">
        <v>465</v>
      </c>
      <c r="C62" t="s">
        <v>660</v>
      </c>
      <c r="D62">
        <v>96</v>
      </c>
      <c r="E62">
        <v>1</v>
      </c>
      <c r="F62" t="str">
        <f>Pvt_Map_1[[#This Row],[Kode Barang Win]]</f>
        <v>F4063004011010</v>
      </c>
    </row>
    <row r="63" spans="1:6">
      <c r="A63" t="s">
        <v>730</v>
      </c>
      <c r="B63" t="s">
        <v>466</v>
      </c>
      <c r="C63" t="s">
        <v>660</v>
      </c>
      <c r="D63">
        <v>48</v>
      </c>
      <c r="E63">
        <v>1</v>
      </c>
      <c r="F63" t="str">
        <f>Pvt_Map_1[[#This Row],[Kode Barang Win]]</f>
        <v>F4063004020010</v>
      </c>
    </row>
    <row r="64" spans="1:6">
      <c r="A64" t="s">
        <v>731</v>
      </c>
      <c r="B64" t="s">
        <v>471</v>
      </c>
      <c r="C64" t="s">
        <v>660</v>
      </c>
      <c r="D64">
        <v>96</v>
      </c>
      <c r="E64">
        <v>1</v>
      </c>
      <c r="F64" t="str">
        <f>Pvt_Map_1[[#This Row],[Kode Barang Win]]</f>
        <v>F4063005011010</v>
      </c>
    </row>
    <row r="65" spans="1:6">
      <c r="A65" t="s">
        <v>732</v>
      </c>
      <c r="B65" t="s">
        <v>472</v>
      </c>
      <c r="C65" t="s">
        <v>660</v>
      </c>
      <c r="D65">
        <v>48</v>
      </c>
      <c r="E65">
        <v>1</v>
      </c>
      <c r="F65" t="str">
        <f>Pvt_Map_1[[#This Row],[Kode Barang Win]]</f>
        <v>F4063005020010</v>
      </c>
    </row>
    <row r="66" spans="1:6">
      <c r="A66" t="s">
        <v>733</v>
      </c>
      <c r="B66" t="s">
        <v>473</v>
      </c>
      <c r="C66" t="s">
        <v>660</v>
      </c>
      <c r="D66">
        <v>96</v>
      </c>
      <c r="E66">
        <v>1</v>
      </c>
      <c r="F66" t="str">
        <f>Pvt_Map_1[[#This Row],[Kode Barang Win]]</f>
        <v>F4063006011010</v>
      </c>
    </row>
    <row r="67" spans="1:6">
      <c r="A67" t="s">
        <v>734</v>
      </c>
      <c r="B67" t="s">
        <v>474</v>
      </c>
      <c r="C67" t="s">
        <v>660</v>
      </c>
      <c r="D67">
        <v>48</v>
      </c>
      <c r="E67">
        <v>1</v>
      </c>
      <c r="F67" t="str">
        <f>Pvt_Map_1[[#This Row],[Kode Barang Win]]</f>
        <v>F4063006020010</v>
      </c>
    </row>
    <row r="68" spans="1:6">
      <c r="A68" t="s">
        <v>735</v>
      </c>
      <c r="B68" t="s">
        <v>491</v>
      </c>
      <c r="C68" t="s">
        <v>659</v>
      </c>
      <c r="D68">
        <v>48</v>
      </c>
      <c r="E68">
        <v>1</v>
      </c>
      <c r="F68" t="str">
        <f>Pvt_Map_1[[#This Row],[Kode Barang Win]]</f>
        <v>F4064001013010</v>
      </c>
    </row>
    <row r="69" spans="1:6">
      <c r="A69" t="s">
        <v>736</v>
      </c>
      <c r="B69" t="s">
        <v>492</v>
      </c>
      <c r="C69" t="s">
        <v>659</v>
      </c>
      <c r="D69">
        <v>48</v>
      </c>
      <c r="E69">
        <v>1</v>
      </c>
      <c r="F69" t="str">
        <f>Pvt_Map_1[[#This Row],[Kode Barang Win]]</f>
        <v>F4064002013010</v>
      </c>
    </row>
    <row r="70" spans="1:6">
      <c r="A70" t="s">
        <v>737</v>
      </c>
      <c r="B70" t="s">
        <v>490</v>
      </c>
      <c r="C70" t="s">
        <v>659</v>
      </c>
      <c r="D70">
        <v>48</v>
      </c>
      <c r="E70">
        <v>1</v>
      </c>
      <c r="F70" t="str">
        <f>Pvt_Map_1[[#This Row],[Kode Barang Win]]</f>
        <v>F4064003013010</v>
      </c>
    </row>
    <row r="71" spans="1:6">
      <c r="A71" t="s">
        <v>738</v>
      </c>
      <c r="B71" t="s">
        <v>497</v>
      </c>
      <c r="C71" t="s">
        <v>659</v>
      </c>
      <c r="D71">
        <v>48</v>
      </c>
      <c r="E71">
        <v>1</v>
      </c>
      <c r="F71" t="str">
        <f>Pvt_Map_1[[#This Row],[Kode Barang Win]]</f>
        <v>F4065001008011</v>
      </c>
    </row>
    <row r="72" spans="1:6">
      <c r="A72" t="s">
        <v>739</v>
      </c>
      <c r="B72" t="s">
        <v>496</v>
      </c>
      <c r="C72" t="s">
        <v>659</v>
      </c>
      <c r="D72">
        <v>48</v>
      </c>
      <c r="E72">
        <v>1</v>
      </c>
      <c r="F72" t="str">
        <f>Pvt_Map_1[[#This Row],[Kode Barang Win]]</f>
        <v>F4065002008011</v>
      </c>
    </row>
    <row r="73" spans="1:6">
      <c r="A73" t="s">
        <v>739</v>
      </c>
      <c r="B73">
        <v>191703000</v>
      </c>
      <c r="C73" t="s">
        <v>659</v>
      </c>
      <c r="D73">
        <v>48</v>
      </c>
      <c r="E73">
        <v>1</v>
      </c>
      <c r="F73" t="str">
        <f>Pvt_Map_1[[#This Row],[Kode Barang Win]]</f>
        <v>F4065002008011</v>
      </c>
    </row>
    <row r="74" spans="1:6">
      <c r="A74" t="s">
        <v>740</v>
      </c>
      <c r="B74">
        <v>191702000</v>
      </c>
      <c r="C74" t="s">
        <v>659</v>
      </c>
      <c r="D74">
        <v>12</v>
      </c>
      <c r="E74">
        <v>1</v>
      </c>
      <c r="F74" t="str">
        <f>Pvt_Map_1[[#This Row],[Kode Barang Win]]</f>
        <v>F4065003002010</v>
      </c>
    </row>
    <row r="75" spans="1:6">
      <c r="A75" t="s">
        <v>741</v>
      </c>
      <c r="B75" t="s">
        <v>389</v>
      </c>
      <c r="C75" t="s">
        <v>185</v>
      </c>
      <c r="D75">
        <v>144</v>
      </c>
      <c r="E75">
        <v>1</v>
      </c>
      <c r="F75" t="str">
        <f>Pvt_Map_1[[#This Row],[Kode Barang Win]]</f>
        <v>F4066001008010</v>
      </c>
    </row>
    <row r="76" spans="1:6">
      <c r="A76" t="s">
        <v>742</v>
      </c>
      <c r="B76" t="s">
        <v>393</v>
      </c>
      <c r="C76" t="s">
        <v>185</v>
      </c>
      <c r="D76">
        <v>144</v>
      </c>
      <c r="E76">
        <v>1</v>
      </c>
      <c r="F76" t="str">
        <f>Pvt_Map_1[[#This Row],[Kode Barang Win]]</f>
        <v>F4066002008010</v>
      </c>
    </row>
    <row r="77" spans="1:6">
      <c r="A77" t="s">
        <v>743</v>
      </c>
      <c r="B77" t="s">
        <v>390</v>
      </c>
      <c r="C77" t="s">
        <v>185</v>
      </c>
      <c r="D77">
        <v>144</v>
      </c>
      <c r="E77">
        <v>1</v>
      </c>
      <c r="F77" t="str">
        <f>Pvt_Map_1[[#This Row],[Kode Barang Win]]</f>
        <v>F4066003008010</v>
      </c>
    </row>
    <row r="78" spans="1:6">
      <c r="A78" t="s">
        <v>744</v>
      </c>
      <c r="B78" t="s">
        <v>388</v>
      </c>
      <c r="C78" t="s">
        <v>185</v>
      </c>
      <c r="D78">
        <v>144</v>
      </c>
      <c r="E78">
        <v>1</v>
      </c>
      <c r="F78" t="str">
        <f>Pvt_Map_1[[#This Row],[Kode Barang Win]]</f>
        <v>F4066004008010</v>
      </c>
    </row>
    <row r="79" spans="1:6">
      <c r="A79" t="s">
        <v>745</v>
      </c>
      <c r="B79" t="s">
        <v>391</v>
      </c>
      <c r="C79" t="s">
        <v>185</v>
      </c>
      <c r="D79">
        <v>144</v>
      </c>
      <c r="E79">
        <v>1</v>
      </c>
      <c r="F79" t="str">
        <f>Pvt_Map_1[[#This Row],[Kode Barang Win]]</f>
        <v>F4066005008010</v>
      </c>
    </row>
    <row r="80" spans="1:6">
      <c r="A80" t="s">
        <v>746</v>
      </c>
      <c r="B80" t="s">
        <v>392</v>
      </c>
      <c r="C80" t="s">
        <v>185</v>
      </c>
      <c r="D80">
        <v>144</v>
      </c>
      <c r="E80">
        <v>1</v>
      </c>
      <c r="F80" t="str">
        <f>Pvt_Map_1[[#This Row],[Kode Barang Win]]</f>
        <v>F4066006008010</v>
      </c>
    </row>
    <row r="81" spans="1:6">
      <c r="A81" t="s">
        <v>747</v>
      </c>
      <c r="B81" t="s">
        <v>446</v>
      </c>
      <c r="C81" t="s">
        <v>636</v>
      </c>
      <c r="D81">
        <v>48</v>
      </c>
      <c r="E81">
        <v>1</v>
      </c>
      <c r="F81" t="str">
        <f>Pvt_Map_1[[#This Row],[Kode Barang Win]]</f>
        <v>F4067101018010</v>
      </c>
    </row>
    <row r="82" spans="1:6">
      <c r="A82" t="s">
        <v>748</v>
      </c>
      <c r="B82" t="s">
        <v>433</v>
      </c>
      <c r="C82" t="s">
        <v>636</v>
      </c>
      <c r="D82">
        <v>48</v>
      </c>
      <c r="E82">
        <v>1</v>
      </c>
      <c r="F82" t="str">
        <f>Pvt_Map_1[[#This Row],[Kode Barang Win]]</f>
        <v>F4067102018010</v>
      </c>
    </row>
    <row r="83" spans="1:6">
      <c r="A83" t="s">
        <v>749</v>
      </c>
      <c r="B83" t="s">
        <v>437</v>
      </c>
      <c r="C83" t="s">
        <v>636</v>
      </c>
      <c r="D83">
        <v>48</v>
      </c>
      <c r="E83">
        <v>1</v>
      </c>
      <c r="F83" t="str">
        <f>Pvt_Map_1[[#This Row],[Kode Barang Win]]</f>
        <v>F4067103018010</v>
      </c>
    </row>
    <row r="84" spans="1:6">
      <c r="A84" t="s">
        <v>750</v>
      </c>
      <c r="B84" t="s">
        <v>442</v>
      </c>
      <c r="C84" t="s">
        <v>636</v>
      </c>
      <c r="D84">
        <v>48</v>
      </c>
      <c r="E84">
        <v>1</v>
      </c>
      <c r="F84" t="str">
        <f>Pvt_Map_1[[#This Row],[Kode Barang Win]]</f>
        <v>F4067104018010</v>
      </c>
    </row>
    <row r="85" spans="1:6">
      <c r="A85" t="s">
        <v>751</v>
      </c>
      <c r="B85" t="s">
        <v>427</v>
      </c>
      <c r="C85" t="s">
        <v>636</v>
      </c>
      <c r="D85">
        <v>48</v>
      </c>
      <c r="E85">
        <v>1</v>
      </c>
      <c r="F85" t="str">
        <f>Pvt_Map_1[[#This Row],[Kode Barang Win]]</f>
        <v>F4067005018010</v>
      </c>
    </row>
    <row r="86" spans="1:6">
      <c r="A86" t="s">
        <v>752</v>
      </c>
      <c r="B86" t="s">
        <v>429</v>
      </c>
      <c r="C86" t="s">
        <v>657</v>
      </c>
      <c r="D86">
        <v>24</v>
      </c>
      <c r="E86">
        <v>1</v>
      </c>
      <c r="F86" t="str">
        <f>Pvt_Map_1[[#This Row],[Kode Barang Win]]</f>
        <v>F4067005048020</v>
      </c>
    </row>
    <row r="87" spans="1:6">
      <c r="A87" t="s">
        <v>753</v>
      </c>
      <c r="B87" t="s">
        <v>448</v>
      </c>
      <c r="C87" t="s">
        <v>657</v>
      </c>
      <c r="D87">
        <v>24</v>
      </c>
      <c r="E87">
        <v>1</v>
      </c>
      <c r="F87" t="str">
        <f>Pvt_Map_1[[#This Row],[Kode Barang Win]]</f>
        <v>F4067006048020</v>
      </c>
    </row>
    <row r="88" spans="1:6">
      <c r="A88" t="s">
        <v>754</v>
      </c>
      <c r="B88" t="s">
        <v>434</v>
      </c>
      <c r="C88" t="s">
        <v>647</v>
      </c>
      <c r="D88">
        <v>48</v>
      </c>
      <c r="E88">
        <v>1</v>
      </c>
      <c r="F88" t="str">
        <f>Pvt_Map_1[[#This Row],[Kode Barang Win]]</f>
        <v>F4067007022530</v>
      </c>
    </row>
    <row r="89" spans="1:6">
      <c r="A89" t="s">
        <v>755</v>
      </c>
      <c r="B89" t="s">
        <v>435</v>
      </c>
      <c r="C89" t="s">
        <v>647</v>
      </c>
      <c r="D89">
        <v>24</v>
      </c>
      <c r="E89">
        <v>1</v>
      </c>
      <c r="F89" t="str">
        <f>Pvt_Map_1[[#This Row],[Kode Barang Win]]</f>
        <v>F4067007048030</v>
      </c>
    </row>
    <row r="90" spans="1:6">
      <c r="A90" t="s">
        <v>756</v>
      </c>
      <c r="B90" t="s">
        <v>424</v>
      </c>
      <c r="C90" t="s">
        <v>647</v>
      </c>
      <c r="D90">
        <v>48</v>
      </c>
      <c r="E90">
        <v>1</v>
      </c>
      <c r="F90" t="str">
        <f>Pvt_Map_1[[#This Row],[Kode Barang Win]]</f>
        <v>F4067008022530</v>
      </c>
    </row>
    <row r="91" spans="1:6">
      <c r="A91" t="s">
        <v>757</v>
      </c>
      <c r="B91" t="s">
        <v>425</v>
      </c>
      <c r="C91" t="s">
        <v>658</v>
      </c>
      <c r="D91">
        <v>24</v>
      </c>
      <c r="E91">
        <v>1</v>
      </c>
      <c r="F91" t="str">
        <f>Pvt_Map_1[[#This Row],[Kode Barang Win]]</f>
        <v>F4067008048030</v>
      </c>
    </row>
    <row r="92" spans="1:6">
      <c r="A92" t="s">
        <v>758</v>
      </c>
      <c r="B92" t="s">
        <v>439</v>
      </c>
      <c r="C92" t="s">
        <v>657</v>
      </c>
      <c r="D92">
        <v>24</v>
      </c>
      <c r="E92">
        <v>1</v>
      </c>
      <c r="F92" t="str">
        <f>Pvt_Map_1[[#This Row],[Kode Barang Win]]</f>
        <v>F4067009048020</v>
      </c>
    </row>
    <row r="93" spans="1:6">
      <c r="A93" t="s">
        <v>759</v>
      </c>
      <c r="B93" t="s">
        <v>423</v>
      </c>
      <c r="C93" t="s">
        <v>636</v>
      </c>
      <c r="D93">
        <v>48</v>
      </c>
      <c r="E93">
        <v>1</v>
      </c>
      <c r="F93" t="str">
        <f>Pvt_Map_1[[#This Row],[Kode Barang Win]]</f>
        <v>F4067010018010</v>
      </c>
    </row>
    <row r="94" spans="1:6">
      <c r="A94" t="s">
        <v>760</v>
      </c>
      <c r="B94" t="s">
        <v>493</v>
      </c>
      <c r="C94" t="s">
        <v>659</v>
      </c>
      <c r="D94">
        <v>48</v>
      </c>
      <c r="E94">
        <v>1</v>
      </c>
      <c r="F94" t="str">
        <f>Pvt_Map_1[[#This Row],[Kode Barang Win]]</f>
        <v>F4068001002010</v>
      </c>
    </row>
    <row r="95" spans="1:6">
      <c r="A95" t="s">
        <v>761</v>
      </c>
      <c r="B95" t="s">
        <v>494</v>
      </c>
      <c r="C95" t="s">
        <v>660</v>
      </c>
      <c r="D95">
        <v>48</v>
      </c>
      <c r="E95">
        <v>1</v>
      </c>
      <c r="F95" t="str">
        <f>Pvt_Map_1[[#This Row],[Kode Barang Win]]</f>
        <v>F4068002003020</v>
      </c>
    </row>
    <row r="96" spans="1:6">
      <c r="A96" t="s">
        <v>762</v>
      </c>
      <c r="B96" t="s">
        <v>495</v>
      </c>
      <c r="C96" t="s">
        <v>659</v>
      </c>
      <c r="D96">
        <v>48</v>
      </c>
      <c r="E96">
        <v>1</v>
      </c>
      <c r="F96" t="str">
        <f>Pvt_Map_1[[#This Row],[Kode Barang Win]]</f>
        <v>F4069001003010</v>
      </c>
    </row>
    <row r="97" spans="1:6">
      <c r="A97" t="s">
        <v>763</v>
      </c>
      <c r="B97" t="s">
        <v>458</v>
      </c>
      <c r="C97" t="s">
        <v>636</v>
      </c>
      <c r="D97">
        <v>24</v>
      </c>
      <c r="E97">
        <v>1</v>
      </c>
      <c r="F97" t="str">
        <f>Pvt_Map_1[[#This Row],[Kode Barang Win]]</f>
        <v>F4071101040010</v>
      </c>
    </row>
    <row r="98" spans="1:6">
      <c r="A98" t="s">
        <v>764</v>
      </c>
      <c r="B98" t="s">
        <v>462</v>
      </c>
      <c r="C98" t="s">
        <v>636</v>
      </c>
      <c r="D98">
        <v>24</v>
      </c>
      <c r="E98">
        <v>1</v>
      </c>
      <c r="F98" t="str">
        <f>Pvt_Map_1[[#This Row],[Kode Barang Win]]</f>
        <v>F4071102040010</v>
      </c>
    </row>
    <row r="99" spans="1:6">
      <c r="A99" t="s">
        <v>764</v>
      </c>
      <c r="B99" t="s">
        <v>3493</v>
      </c>
      <c r="C99" t="s">
        <v>636</v>
      </c>
      <c r="D99">
        <v>24</v>
      </c>
      <c r="E99">
        <v>2</v>
      </c>
      <c r="F99" t="str">
        <f>Pvt_Map_1[[#This Row],[Kode Barang Win]]</f>
        <v>F4071102040010</v>
      </c>
    </row>
    <row r="100" spans="1:6">
      <c r="A100" t="s">
        <v>765</v>
      </c>
      <c r="B100" t="s">
        <v>451</v>
      </c>
      <c r="C100" t="s">
        <v>636</v>
      </c>
      <c r="D100">
        <v>48</v>
      </c>
      <c r="E100">
        <v>1</v>
      </c>
      <c r="F100" t="str">
        <f>Pvt_Map_1[[#This Row],[Kode Barang Win]]</f>
        <v>F4071103008510</v>
      </c>
    </row>
    <row r="101" spans="1:6">
      <c r="A101" t="s">
        <v>766</v>
      </c>
      <c r="B101" t="s">
        <v>457</v>
      </c>
      <c r="C101" t="s">
        <v>636</v>
      </c>
      <c r="D101">
        <v>48</v>
      </c>
      <c r="E101">
        <v>1</v>
      </c>
      <c r="F101" t="str">
        <f>Pvt_Map_1[[#This Row],[Kode Barang Win]]</f>
        <v>F4071104008510</v>
      </c>
    </row>
    <row r="102" spans="1:6">
      <c r="A102" t="s">
        <v>767</v>
      </c>
      <c r="B102" t="s">
        <v>452</v>
      </c>
      <c r="C102" t="s">
        <v>636</v>
      </c>
      <c r="D102">
        <v>24</v>
      </c>
      <c r="E102">
        <v>1</v>
      </c>
      <c r="F102" t="str">
        <f>Pvt_Map_1[[#This Row],[Kode Barang Win]]</f>
        <v>F4071105040010</v>
      </c>
    </row>
    <row r="103" spans="1:6">
      <c r="A103" t="s">
        <v>768</v>
      </c>
      <c r="B103" t="s">
        <v>454</v>
      </c>
      <c r="C103" t="s">
        <v>636</v>
      </c>
      <c r="D103">
        <v>48</v>
      </c>
      <c r="E103">
        <v>1</v>
      </c>
      <c r="F103" t="str">
        <f>Pvt_Map_1[[#This Row],[Kode Barang Win]]</f>
        <v>F4071105008510</v>
      </c>
    </row>
    <row r="104" spans="1:6">
      <c r="A104" t="s">
        <v>769</v>
      </c>
      <c r="B104" t="s">
        <v>459</v>
      </c>
      <c r="C104" t="s">
        <v>657</v>
      </c>
      <c r="D104">
        <v>24</v>
      </c>
      <c r="E104">
        <v>1</v>
      </c>
      <c r="F104" t="str">
        <f>Pvt_Map_1[[#This Row],[Kode Barang Win]]</f>
        <v>F4071001048030</v>
      </c>
    </row>
    <row r="105" spans="1:6">
      <c r="A105" t="s">
        <v>770</v>
      </c>
      <c r="B105" t="s">
        <v>463</v>
      </c>
      <c r="C105" t="s">
        <v>657</v>
      </c>
      <c r="D105">
        <v>24</v>
      </c>
      <c r="E105">
        <v>1</v>
      </c>
      <c r="F105" t="str">
        <f>Pvt_Map_1[[#This Row],[Kode Barang Win]]</f>
        <v>F4071002048030</v>
      </c>
    </row>
    <row r="106" spans="1:6">
      <c r="A106" t="s">
        <v>771</v>
      </c>
      <c r="B106" t="s">
        <v>453</v>
      </c>
      <c r="C106" t="s">
        <v>657</v>
      </c>
      <c r="D106">
        <v>24</v>
      </c>
      <c r="E106">
        <v>1</v>
      </c>
      <c r="F106" t="str">
        <f>Pvt_Map_1[[#This Row],[Kode Barang Win]]</f>
        <v>F4071003048030</v>
      </c>
    </row>
    <row r="107" spans="1:6">
      <c r="A107" t="s">
        <v>772</v>
      </c>
      <c r="B107" t="s">
        <v>450</v>
      </c>
      <c r="C107" t="s">
        <v>636</v>
      </c>
      <c r="D107">
        <v>24</v>
      </c>
      <c r="E107">
        <v>1</v>
      </c>
      <c r="F107" t="str">
        <f>Pvt_Map_1[[#This Row],[Kode Barang Win]]</f>
        <v>F4072101040010</v>
      </c>
    </row>
    <row r="108" spans="1:6">
      <c r="A108" t="s">
        <v>773</v>
      </c>
      <c r="B108" t="s">
        <v>455</v>
      </c>
      <c r="C108" t="s">
        <v>636</v>
      </c>
      <c r="D108">
        <v>24</v>
      </c>
      <c r="E108">
        <v>1</v>
      </c>
      <c r="F108" t="str">
        <f>Pvt_Map_1[[#This Row],[Kode Barang Win]]</f>
        <v>F4072102040010</v>
      </c>
    </row>
    <row r="109" spans="1:6">
      <c r="A109" t="s">
        <v>774</v>
      </c>
      <c r="B109" t="s">
        <v>460</v>
      </c>
      <c r="C109" t="s">
        <v>636</v>
      </c>
      <c r="D109">
        <v>24</v>
      </c>
      <c r="E109">
        <v>1</v>
      </c>
      <c r="F109" t="str">
        <f>Pvt_Map_1[[#This Row],[Kode Barang Win]]</f>
        <v>F4072103040010</v>
      </c>
    </row>
    <row r="110" spans="1:6">
      <c r="A110" t="s">
        <v>774</v>
      </c>
      <c r="B110" t="s">
        <v>3494</v>
      </c>
      <c r="C110" t="s">
        <v>636</v>
      </c>
      <c r="D110">
        <v>24</v>
      </c>
      <c r="E110">
        <v>1</v>
      </c>
      <c r="F110" t="str">
        <f>Pvt_Map_1[[#This Row],[Kode Barang Win]]</f>
        <v>F4072103040010</v>
      </c>
    </row>
    <row r="111" spans="1:6">
      <c r="A111" t="s">
        <v>775</v>
      </c>
      <c r="B111" t="s">
        <v>449</v>
      </c>
      <c r="C111" t="s">
        <v>657</v>
      </c>
      <c r="D111">
        <v>24</v>
      </c>
      <c r="E111">
        <v>1</v>
      </c>
      <c r="F111" t="str">
        <f>Pvt_Map_1[[#This Row],[Kode Barang Win]]</f>
        <v>F4072001048020</v>
      </c>
    </row>
    <row r="112" spans="1:6">
      <c r="A112" t="s">
        <v>776</v>
      </c>
      <c r="B112" t="s">
        <v>456</v>
      </c>
      <c r="C112" t="s">
        <v>657</v>
      </c>
      <c r="D112">
        <v>24</v>
      </c>
      <c r="E112">
        <v>1</v>
      </c>
      <c r="F112" t="str">
        <f>Pvt_Map_1[[#This Row],[Kode Barang Win]]</f>
        <v>F4072002048020</v>
      </c>
    </row>
    <row r="113" spans="1:6">
      <c r="A113" t="s">
        <v>777</v>
      </c>
      <c r="B113" t="s">
        <v>461</v>
      </c>
      <c r="C113" t="s">
        <v>657</v>
      </c>
      <c r="D113">
        <v>24</v>
      </c>
      <c r="E113">
        <v>1</v>
      </c>
      <c r="F113" t="str">
        <f>Pvt_Map_1[[#This Row],[Kode Barang Win]]</f>
        <v>F4072003048020</v>
      </c>
    </row>
    <row r="114" spans="1:6">
      <c r="A114" t="s">
        <v>778</v>
      </c>
      <c r="B114" t="s">
        <v>1008</v>
      </c>
      <c r="C114" t="s">
        <v>662</v>
      </c>
      <c r="D114">
        <v>6</v>
      </c>
      <c r="E114">
        <v>2</v>
      </c>
      <c r="F114" t="str">
        <f>Pvt_Map_1[[#This Row],[Kode Barang Win]]</f>
        <v>F4073101008010</v>
      </c>
    </row>
    <row r="115" spans="1:6">
      <c r="A115" t="s">
        <v>779</v>
      </c>
      <c r="B115" t="s">
        <v>399</v>
      </c>
      <c r="C115" t="s">
        <v>185</v>
      </c>
      <c r="D115">
        <v>72</v>
      </c>
      <c r="E115">
        <v>1</v>
      </c>
      <c r="F115" t="str">
        <f>Pvt_Map_1[[#This Row],[Kode Barang Win]]</f>
        <v>F4073002006010</v>
      </c>
    </row>
    <row r="116" spans="1:6">
      <c r="A116" t="s">
        <v>780</v>
      </c>
      <c r="B116" t="s">
        <v>400</v>
      </c>
      <c r="C116" t="s">
        <v>663</v>
      </c>
      <c r="D116">
        <v>24</v>
      </c>
      <c r="E116">
        <v>1</v>
      </c>
      <c r="F116" t="str">
        <f>Pvt_Map_1[[#This Row],[Kode Barang Win]]</f>
        <v>F4073003007020</v>
      </c>
    </row>
    <row r="117" spans="1:6">
      <c r="A117" t="s">
        <v>780</v>
      </c>
      <c r="B117" t="s">
        <v>1080</v>
      </c>
      <c r="C117" t="s">
        <v>663</v>
      </c>
      <c r="D117">
        <v>24</v>
      </c>
      <c r="E117">
        <v>2</v>
      </c>
      <c r="F117" t="str">
        <f>Pvt_Map_1[[#This Row],[Kode Barang Win]]</f>
        <v>F4073003007020</v>
      </c>
    </row>
    <row r="118" spans="1:6">
      <c r="A118" t="s">
        <v>781</v>
      </c>
      <c r="B118" t="s">
        <v>401</v>
      </c>
      <c r="C118" t="s">
        <v>663</v>
      </c>
      <c r="D118">
        <v>24</v>
      </c>
      <c r="E118">
        <v>1</v>
      </c>
      <c r="F118" t="str">
        <f>Pvt_Map_1[[#This Row],[Kode Barang Win]]</f>
        <v>F4073004007020</v>
      </c>
    </row>
    <row r="119" spans="1:6">
      <c r="A119" t="s">
        <v>781</v>
      </c>
      <c r="B119" t="s">
        <v>995</v>
      </c>
      <c r="C119" t="s">
        <v>663</v>
      </c>
      <c r="D119">
        <v>24</v>
      </c>
      <c r="E119">
        <v>2</v>
      </c>
      <c r="F119" t="str">
        <f>Pvt_Map_1[[#This Row],[Kode Barang Win]]</f>
        <v>F4073004007020</v>
      </c>
    </row>
    <row r="120" spans="1:6">
      <c r="A120" t="s">
        <v>781</v>
      </c>
      <c r="B120" t="s">
        <v>3495</v>
      </c>
      <c r="C120" t="s">
        <v>663</v>
      </c>
      <c r="D120">
        <v>24</v>
      </c>
      <c r="E120">
        <v>3</v>
      </c>
      <c r="F120" t="str">
        <f>Pvt_Map_1[[#This Row],[Kode Barang Win]]</f>
        <v>F4073004007020</v>
      </c>
    </row>
    <row r="121" spans="1:6">
      <c r="A121" t="s">
        <v>782</v>
      </c>
      <c r="B121" t="s">
        <v>395</v>
      </c>
      <c r="C121" t="s">
        <v>663</v>
      </c>
      <c r="D121">
        <v>24</v>
      </c>
      <c r="E121">
        <v>1</v>
      </c>
      <c r="F121" t="str">
        <f>Pvt_Map_1[[#This Row],[Kode Barang Win]]</f>
        <v>F4073005007020</v>
      </c>
    </row>
    <row r="122" spans="1:6">
      <c r="A122" t="s">
        <v>782</v>
      </c>
      <c r="B122" t="s">
        <v>991</v>
      </c>
      <c r="C122" t="s">
        <v>663</v>
      </c>
      <c r="D122">
        <v>24</v>
      </c>
      <c r="E122">
        <v>2</v>
      </c>
      <c r="F122" t="str">
        <f>Pvt_Map_1[[#This Row],[Kode Barang Win]]</f>
        <v>F4073005007020</v>
      </c>
    </row>
    <row r="123" spans="1:6">
      <c r="A123" t="s">
        <v>782</v>
      </c>
      <c r="B123" t="s">
        <v>3496</v>
      </c>
      <c r="C123" t="s">
        <v>663</v>
      </c>
      <c r="D123">
        <v>24</v>
      </c>
      <c r="E123">
        <v>3</v>
      </c>
      <c r="F123" t="str">
        <f>Pvt_Map_1[[#This Row],[Kode Barang Win]]</f>
        <v>F4073005007020</v>
      </c>
    </row>
    <row r="124" spans="1:6">
      <c r="A124" t="s">
        <v>783</v>
      </c>
      <c r="B124" t="s">
        <v>396</v>
      </c>
      <c r="C124" t="s">
        <v>663</v>
      </c>
      <c r="D124">
        <v>24</v>
      </c>
      <c r="E124">
        <v>1</v>
      </c>
      <c r="F124" t="str">
        <f>Pvt_Map_1[[#This Row],[Kode Barang Win]]</f>
        <v>F4073006007020</v>
      </c>
    </row>
    <row r="125" spans="1:6">
      <c r="A125" t="s">
        <v>783</v>
      </c>
      <c r="B125" t="s">
        <v>992</v>
      </c>
      <c r="C125" t="s">
        <v>663</v>
      </c>
      <c r="D125">
        <v>24</v>
      </c>
      <c r="E125">
        <v>2</v>
      </c>
      <c r="F125" t="str">
        <f>Pvt_Map_1[[#This Row],[Kode Barang Win]]</f>
        <v>F4073006007020</v>
      </c>
    </row>
    <row r="126" spans="1:6">
      <c r="A126" t="s">
        <v>784</v>
      </c>
      <c r="B126" t="s">
        <v>397</v>
      </c>
      <c r="C126" t="s">
        <v>663</v>
      </c>
      <c r="D126">
        <v>24</v>
      </c>
      <c r="E126">
        <v>1</v>
      </c>
      <c r="F126" t="str">
        <f>Pvt_Map_1[[#This Row],[Kode Barang Win]]</f>
        <v>F4073007007020</v>
      </c>
    </row>
    <row r="127" spans="1:6">
      <c r="A127" t="s">
        <v>784</v>
      </c>
      <c r="B127" t="s">
        <v>994</v>
      </c>
      <c r="C127" t="s">
        <v>663</v>
      </c>
      <c r="D127">
        <v>24</v>
      </c>
      <c r="E127">
        <v>2</v>
      </c>
      <c r="F127" t="str">
        <f>Pvt_Map_1[[#This Row],[Kode Barang Win]]</f>
        <v>F4073007007020</v>
      </c>
    </row>
    <row r="128" spans="1:6">
      <c r="A128" t="s">
        <v>785</v>
      </c>
      <c r="B128" t="s">
        <v>398</v>
      </c>
      <c r="C128" t="s">
        <v>663</v>
      </c>
      <c r="D128">
        <v>24</v>
      </c>
      <c r="E128">
        <v>1</v>
      </c>
      <c r="F128" t="str">
        <f>Pvt_Map_1[[#This Row],[Kode Barang Win]]</f>
        <v>F4073008007020</v>
      </c>
    </row>
    <row r="129" spans="1:6">
      <c r="A129" t="s">
        <v>785</v>
      </c>
      <c r="B129" t="s">
        <v>993</v>
      </c>
      <c r="C129" t="s">
        <v>663</v>
      </c>
      <c r="D129">
        <v>24</v>
      </c>
      <c r="E129">
        <v>2</v>
      </c>
      <c r="F129" t="str">
        <f>Pvt_Map_1[[#This Row],[Kode Barang Win]]</f>
        <v>F4073008007020</v>
      </c>
    </row>
    <row r="130" spans="1:6">
      <c r="A130" t="s">
        <v>944</v>
      </c>
      <c r="B130" t="s">
        <v>444</v>
      </c>
      <c r="C130" t="s">
        <v>657</v>
      </c>
      <c r="D130">
        <v>24</v>
      </c>
      <c r="E130">
        <v>1</v>
      </c>
      <c r="F130" t="str">
        <f>Pvt_Map_1[[#This Row],[Kode Barang Win]]</f>
        <v>F4067011048020</v>
      </c>
    </row>
    <row r="131" spans="1:6">
      <c r="A131" t="s">
        <v>1009</v>
      </c>
      <c r="B131">
        <v>112603000</v>
      </c>
      <c r="C131" t="s">
        <v>647</v>
      </c>
      <c r="D131">
        <v>48</v>
      </c>
      <c r="E131">
        <v>1</v>
      </c>
      <c r="F131" t="str">
        <f>Pvt_Map_1[[#This Row],[Kode Barang Win]]</f>
        <v>F4053004003020</v>
      </c>
    </row>
    <row r="132" spans="1:6">
      <c r="A132" t="s">
        <v>1010</v>
      </c>
      <c r="B132">
        <v>112601000</v>
      </c>
      <c r="C132" t="s">
        <v>647</v>
      </c>
      <c r="D132">
        <v>48</v>
      </c>
      <c r="E132">
        <v>1</v>
      </c>
      <c r="F132" t="str">
        <f>Pvt_Map_1[[#This Row],[Kode Barang Win]]</f>
        <v>F4053001003020</v>
      </c>
    </row>
    <row r="133" spans="1:6">
      <c r="A133" t="s">
        <v>1011</v>
      </c>
      <c r="B133">
        <v>112604000</v>
      </c>
      <c r="C133" t="s">
        <v>647</v>
      </c>
      <c r="D133">
        <v>48</v>
      </c>
      <c r="E133">
        <v>1</v>
      </c>
      <c r="F133" t="str">
        <f>Pvt_Map_1[[#This Row],[Kode Barang Win]]</f>
        <v>F4053002003020</v>
      </c>
    </row>
    <row r="134" spans="1:6">
      <c r="A134" t="s">
        <v>1012</v>
      </c>
      <c r="B134">
        <v>112602000</v>
      </c>
      <c r="C134" t="s">
        <v>647</v>
      </c>
      <c r="D134">
        <v>48</v>
      </c>
      <c r="E134">
        <v>1</v>
      </c>
      <c r="F134" t="str">
        <f>Pvt_Map_1[[#This Row],[Kode Barang Win]]</f>
        <v>F4053003003020</v>
      </c>
    </row>
    <row r="135" spans="1:6">
      <c r="A135" t="s">
        <v>1013</v>
      </c>
      <c r="B135" t="s">
        <v>962</v>
      </c>
      <c r="C135" t="s">
        <v>636</v>
      </c>
      <c r="D135">
        <v>12</v>
      </c>
      <c r="E135">
        <v>1</v>
      </c>
      <c r="F135" t="str">
        <f>Pvt_Map_1[[#This Row],[Kode Barang Win]]</f>
        <v>F4061104040011</v>
      </c>
    </row>
    <row r="136" spans="1:6">
      <c r="A136" t="s">
        <v>1013</v>
      </c>
      <c r="B136" t="s">
        <v>970</v>
      </c>
      <c r="C136" t="s">
        <v>636</v>
      </c>
      <c r="D136">
        <v>12</v>
      </c>
      <c r="F136" t="str">
        <f>Pvt_Map_1[[#This Row],[Kode Barang Win]]</f>
        <v>F4061104040011</v>
      </c>
    </row>
    <row r="137" spans="1:6">
      <c r="A137" t="s">
        <v>1014</v>
      </c>
      <c r="B137" t="s">
        <v>977</v>
      </c>
      <c r="C137" t="s">
        <v>636</v>
      </c>
      <c r="D137">
        <v>24</v>
      </c>
      <c r="E137">
        <v>1</v>
      </c>
      <c r="F137" t="str">
        <f>Pvt_Map_1[[#This Row],[Kode Barang Win]]</f>
        <v>F4061204042010</v>
      </c>
    </row>
    <row r="138" spans="1:6">
      <c r="A138" t="s">
        <v>1015</v>
      </c>
      <c r="B138" t="s">
        <v>978</v>
      </c>
      <c r="C138" t="s">
        <v>636</v>
      </c>
      <c r="D138">
        <v>24</v>
      </c>
      <c r="E138">
        <v>1</v>
      </c>
      <c r="F138" t="str">
        <f>Pvt_Map_1[[#This Row],[Kode Barang Win]]</f>
        <v>F4061301042010</v>
      </c>
    </row>
    <row r="139" spans="1:6">
      <c r="A139" t="s">
        <v>1016</v>
      </c>
      <c r="B139" t="s">
        <v>979</v>
      </c>
      <c r="C139" t="s">
        <v>636</v>
      </c>
      <c r="D139">
        <v>24</v>
      </c>
      <c r="E139">
        <v>1</v>
      </c>
      <c r="F139" t="str">
        <f>Pvt_Map_1[[#This Row],[Kode Barang Win]]</f>
        <v>F4061403042010</v>
      </c>
    </row>
    <row r="140" spans="1:6">
      <c r="A140" t="s">
        <v>1017</v>
      </c>
      <c r="B140" t="s">
        <v>980</v>
      </c>
      <c r="C140" t="s">
        <v>636</v>
      </c>
      <c r="D140">
        <v>24</v>
      </c>
      <c r="E140">
        <v>1</v>
      </c>
      <c r="F140" t="str">
        <f>Pvt_Map_1[[#This Row],[Kode Barang Win]]</f>
        <v>F4061510042010</v>
      </c>
    </row>
    <row r="141" spans="1:6">
      <c r="A141" t="s">
        <v>1018</v>
      </c>
      <c r="B141" t="s">
        <v>981</v>
      </c>
      <c r="C141" t="s">
        <v>636</v>
      </c>
      <c r="D141">
        <v>24</v>
      </c>
      <c r="E141">
        <v>1</v>
      </c>
      <c r="F141" t="str">
        <f>Pvt_Map_1[[#This Row],[Kode Barang Win]]</f>
        <v>F4061611042010</v>
      </c>
    </row>
    <row r="142" spans="1:6">
      <c r="A142" t="s">
        <v>1019</v>
      </c>
      <c r="B142" t="s">
        <v>982</v>
      </c>
      <c r="C142" t="s">
        <v>636</v>
      </c>
      <c r="D142">
        <v>24</v>
      </c>
      <c r="E142">
        <v>1</v>
      </c>
      <c r="F142" t="str">
        <f>Pvt_Map_1[[#This Row],[Kode Barang Win]]</f>
        <v>F4061702042010</v>
      </c>
    </row>
    <row r="143" spans="1:6">
      <c r="A143" t="s">
        <v>1020</v>
      </c>
      <c r="B143" t="s">
        <v>963</v>
      </c>
      <c r="C143" t="s">
        <v>636</v>
      </c>
      <c r="D143">
        <v>24</v>
      </c>
      <c r="E143">
        <v>1</v>
      </c>
      <c r="F143" t="str">
        <f>Pvt_Map_1[[#This Row],[Kode Barang Win]]</f>
        <v>F4061111040011</v>
      </c>
    </row>
    <row r="144" spans="1:6">
      <c r="A144" t="s">
        <v>1021</v>
      </c>
      <c r="B144" t="s">
        <v>997</v>
      </c>
      <c r="C144" t="s">
        <v>660</v>
      </c>
      <c r="D144">
        <v>48</v>
      </c>
      <c r="E144">
        <v>1</v>
      </c>
      <c r="F144" t="str">
        <f>Pvt_Map_1[[#This Row],[Kode Barang Win]]</f>
        <v>F40630050200111</v>
      </c>
    </row>
    <row r="145" spans="1:6">
      <c r="A145" t="s">
        <v>1022</v>
      </c>
      <c r="B145" t="s">
        <v>996</v>
      </c>
      <c r="C145" t="s">
        <v>660</v>
      </c>
      <c r="D145">
        <v>48</v>
      </c>
      <c r="E145">
        <v>1</v>
      </c>
      <c r="F145" t="str">
        <f>Pvt_Map_1[[#This Row],[Kode Barang Win]]</f>
        <v>F40630030200111</v>
      </c>
    </row>
    <row r="146" spans="1:6">
      <c r="A146" t="s">
        <v>1023</v>
      </c>
      <c r="B146" t="s">
        <v>998</v>
      </c>
      <c r="C146" t="s">
        <v>660</v>
      </c>
      <c r="D146">
        <v>48</v>
      </c>
      <c r="E146">
        <v>1</v>
      </c>
      <c r="F146" t="str">
        <f>Pvt_Map_1[[#This Row],[Kode Barang Win]]</f>
        <v>F40630060200111</v>
      </c>
    </row>
    <row r="147" spans="1:6">
      <c r="A147" t="s">
        <v>1024</v>
      </c>
      <c r="B147" t="s">
        <v>1006</v>
      </c>
      <c r="C147" t="s">
        <v>660</v>
      </c>
      <c r="D147">
        <v>48</v>
      </c>
      <c r="E147">
        <v>1</v>
      </c>
      <c r="F147" t="str">
        <f>Pvt_Map_1[[#This Row],[Kode Barang Win]]</f>
        <v>F40630040200111</v>
      </c>
    </row>
    <row r="148" spans="1:6">
      <c r="A148" t="s">
        <v>1025</v>
      </c>
      <c r="B148">
        <v>161702000</v>
      </c>
      <c r="C148" t="s">
        <v>659</v>
      </c>
      <c r="D148">
        <v>48</v>
      </c>
      <c r="E148">
        <v>1</v>
      </c>
      <c r="F148" t="str">
        <f>Pvt_Map_1[[#This Row],[Kode Barang Win]]</f>
        <v>F40690010030121</v>
      </c>
    </row>
    <row r="149" spans="1:6">
      <c r="A149" t="s">
        <v>1026</v>
      </c>
      <c r="B149">
        <v>191702002</v>
      </c>
      <c r="C149" t="s">
        <v>659</v>
      </c>
      <c r="D149">
        <v>48</v>
      </c>
      <c r="E149">
        <v>1</v>
      </c>
      <c r="F149" t="str">
        <f>Pvt_Map_1[[#This Row],[Kode Barang Win]]</f>
        <v>F4065001008012</v>
      </c>
    </row>
    <row r="150" spans="1:6">
      <c r="A150" t="s">
        <v>1027</v>
      </c>
      <c r="B150" t="s">
        <v>1008</v>
      </c>
      <c r="C150" t="s">
        <v>185</v>
      </c>
      <c r="D150">
        <v>72</v>
      </c>
      <c r="E150">
        <v>1</v>
      </c>
      <c r="F150" t="str">
        <f>Pvt_Map_1[[#This Row],[Kode Barang Win]]</f>
        <v>F4066004006010</v>
      </c>
    </row>
    <row r="151" spans="1:6">
      <c r="A151" t="s">
        <v>1028</v>
      </c>
      <c r="B151" t="s">
        <v>1008</v>
      </c>
      <c r="C151" t="s">
        <v>185</v>
      </c>
      <c r="D151">
        <v>72</v>
      </c>
      <c r="E151">
        <v>1</v>
      </c>
      <c r="F151" t="str">
        <f>Pvt_Map_1[[#This Row],[Kode Barang Win]]</f>
        <v>F4066003006010</v>
      </c>
    </row>
    <row r="152" spans="1:6">
      <c r="A152" t="s">
        <v>1029</v>
      </c>
      <c r="B152" t="s">
        <v>428</v>
      </c>
      <c r="C152" t="s">
        <v>647</v>
      </c>
      <c r="D152">
        <v>48</v>
      </c>
      <c r="E152">
        <v>1</v>
      </c>
      <c r="F152" t="str">
        <f>Pvt_Map_1[[#This Row],[Kode Barang Win]]</f>
        <v>F4067005022530</v>
      </c>
    </row>
    <row r="153" spans="1:6">
      <c r="A153" t="s">
        <v>1030</v>
      </c>
      <c r="B153" t="s">
        <v>447</v>
      </c>
      <c r="C153" t="s">
        <v>647</v>
      </c>
      <c r="D153">
        <v>48</v>
      </c>
      <c r="E153">
        <v>1</v>
      </c>
      <c r="F153" t="str">
        <f>Pvt_Map_1[[#This Row],[Kode Barang Win]]</f>
        <v>F4067006022530</v>
      </c>
    </row>
    <row r="154" spans="1:6">
      <c r="A154" t="s">
        <v>1031</v>
      </c>
      <c r="B154" t="s">
        <v>438</v>
      </c>
      <c r="C154" t="s">
        <v>647</v>
      </c>
      <c r="D154">
        <v>48</v>
      </c>
      <c r="E154">
        <v>1</v>
      </c>
      <c r="F154" t="str">
        <f>Pvt_Map_1[[#This Row],[Kode Barang Win]]</f>
        <v>F4067009022530</v>
      </c>
    </row>
    <row r="155" spans="1:6">
      <c r="A155" t="s">
        <v>1032</v>
      </c>
      <c r="B155" t="s">
        <v>443</v>
      </c>
      <c r="C155" t="s">
        <v>647</v>
      </c>
      <c r="D155">
        <v>48</v>
      </c>
      <c r="E155">
        <v>1</v>
      </c>
      <c r="F155" t="str">
        <f>Pvt_Map_1[[#This Row],[Kode Barang Win]]</f>
        <v>F4067011022530</v>
      </c>
    </row>
    <row r="156" spans="1:6">
      <c r="A156" t="s">
        <v>1033</v>
      </c>
      <c r="B156" t="s">
        <v>964</v>
      </c>
      <c r="C156" t="s">
        <v>636</v>
      </c>
      <c r="D156">
        <v>24</v>
      </c>
      <c r="E156">
        <v>1</v>
      </c>
      <c r="F156" t="str">
        <f>Pvt_Map_1[[#This Row],[Kode Barang Win]]</f>
        <v>F4071103040011</v>
      </c>
    </row>
    <row r="157" spans="1:6">
      <c r="A157" t="s">
        <v>1034</v>
      </c>
      <c r="B157" t="s">
        <v>965</v>
      </c>
      <c r="C157" t="s">
        <v>636</v>
      </c>
      <c r="D157">
        <v>24</v>
      </c>
      <c r="E157">
        <v>1</v>
      </c>
      <c r="F157" t="str">
        <f>Pvt_Map_1[[#This Row],[Kode Barang Win]]</f>
        <v>F4071104040011</v>
      </c>
    </row>
    <row r="158" spans="1:6">
      <c r="A158" t="s">
        <v>1035</v>
      </c>
      <c r="B158" t="s">
        <v>947</v>
      </c>
      <c r="C158" t="s">
        <v>636</v>
      </c>
      <c r="D158">
        <v>48</v>
      </c>
      <c r="E158">
        <v>1</v>
      </c>
      <c r="F158" t="str">
        <f>Pvt_Map_1[[#This Row],[Kode Barang Win]]</f>
        <v>F40711020085101</v>
      </c>
    </row>
    <row r="159" spans="1:6">
      <c r="A159" t="s">
        <v>1036</v>
      </c>
      <c r="B159" t="s">
        <v>967</v>
      </c>
      <c r="C159" t="s">
        <v>636</v>
      </c>
      <c r="D159">
        <v>24</v>
      </c>
      <c r="E159">
        <v>1</v>
      </c>
      <c r="F159" t="str">
        <f>Pvt_Map_1[[#This Row],[Kode Barang Win]]</f>
        <v>F4071105040011</v>
      </c>
    </row>
    <row r="160" spans="1:6">
      <c r="A160" t="s">
        <v>1037</v>
      </c>
      <c r="B160" t="s">
        <v>966</v>
      </c>
      <c r="C160" t="s">
        <v>636</v>
      </c>
      <c r="D160">
        <v>24</v>
      </c>
      <c r="E160">
        <v>1</v>
      </c>
      <c r="F160" t="str">
        <f>Pvt_Map_1[[#This Row],[Kode Barang Win]]</f>
        <v>F4071106040011</v>
      </c>
    </row>
    <row r="161" spans="1:6">
      <c r="A161" t="s">
        <v>1038</v>
      </c>
      <c r="B161" t="s">
        <v>990</v>
      </c>
      <c r="C161" t="s">
        <v>185</v>
      </c>
      <c r="D161">
        <v>72</v>
      </c>
      <c r="E161">
        <v>1</v>
      </c>
      <c r="F161" t="str">
        <f>Pvt_Map_1[[#This Row],[Kode Barang Win]]</f>
        <v>F4073005008010</v>
      </c>
    </row>
    <row r="162" spans="1:6">
      <c r="A162" t="s">
        <v>1039</v>
      </c>
      <c r="B162" t="s">
        <v>959</v>
      </c>
      <c r="C162" t="s">
        <v>663</v>
      </c>
      <c r="D162">
        <v>18</v>
      </c>
      <c r="E162">
        <v>1</v>
      </c>
      <c r="F162" t="str">
        <f>Pvt_Map_1[[#This Row],[Kode Barang Win]]</f>
        <v>F4073208007020</v>
      </c>
    </row>
    <row r="163" spans="1:6">
      <c r="A163" t="s">
        <v>1039</v>
      </c>
      <c r="B163" t="s">
        <v>960</v>
      </c>
      <c r="C163" t="s">
        <v>663</v>
      </c>
      <c r="D163">
        <v>18</v>
      </c>
      <c r="E163">
        <v>2</v>
      </c>
      <c r="F163" t="str">
        <f>Pvt_Map_1[[#This Row],[Kode Barang Win]]</f>
        <v>F4073208007020</v>
      </c>
    </row>
    <row r="164" spans="1:6">
      <c r="A164" t="s">
        <v>1040</v>
      </c>
      <c r="B164" t="s">
        <v>961</v>
      </c>
      <c r="C164" t="s">
        <v>663</v>
      </c>
      <c r="D164">
        <v>18</v>
      </c>
      <c r="E164">
        <v>3</v>
      </c>
      <c r="F164" t="str">
        <f>Pvt_Map_1[[#This Row],[Kode Barang Win]]</f>
        <v>F4073208006020</v>
      </c>
    </row>
    <row r="165" spans="1:6">
      <c r="A165" t="s">
        <v>1041</v>
      </c>
      <c r="B165" t="s">
        <v>968</v>
      </c>
      <c r="C165" t="s">
        <v>662</v>
      </c>
      <c r="D165">
        <v>6</v>
      </c>
      <c r="E165">
        <v>1</v>
      </c>
      <c r="F165" t="str">
        <f>Pvt_Map_1[[#This Row],[Kode Barang Win]]</f>
        <v>F4073101007010</v>
      </c>
    </row>
    <row r="166" spans="1:6">
      <c r="A166" t="s">
        <v>1041</v>
      </c>
      <c r="B166" t="s">
        <v>1008</v>
      </c>
      <c r="C166" t="s">
        <v>662</v>
      </c>
      <c r="D166">
        <v>12</v>
      </c>
      <c r="E166">
        <v>1</v>
      </c>
      <c r="F166" t="str">
        <f>Pvt_Map_1[[#This Row],[Kode Barang Win]]</f>
        <v>F4073101007010</v>
      </c>
    </row>
    <row r="167" spans="1:6">
      <c r="A167" t="s">
        <v>1042</v>
      </c>
      <c r="B167" t="s">
        <v>394</v>
      </c>
      <c r="C167" t="s">
        <v>662</v>
      </c>
      <c r="D167">
        <v>6</v>
      </c>
      <c r="E167">
        <v>1</v>
      </c>
      <c r="F167" t="str">
        <f>Pvt_Map_1[[#This Row],[Kode Barang Win]]</f>
        <v>F4073101007010N</v>
      </c>
    </row>
    <row r="168" spans="1:6">
      <c r="A168" t="s">
        <v>1094</v>
      </c>
      <c r="B168" t="s">
        <v>410</v>
      </c>
      <c r="C168" t="s">
        <v>636</v>
      </c>
      <c r="D168">
        <v>24</v>
      </c>
      <c r="E168">
        <v>1</v>
      </c>
      <c r="F168" t="str">
        <f>Pvt_Map_1[[#This Row],[Kode Barang Win]]</f>
        <v>F4031101040020</v>
      </c>
    </row>
    <row r="169" spans="1:6">
      <c r="A169" t="s">
        <v>1095</v>
      </c>
      <c r="B169" t="s">
        <v>479</v>
      </c>
      <c r="C169" t="s">
        <v>1090</v>
      </c>
      <c r="D169" t="s">
        <v>1091</v>
      </c>
      <c r="E169">
        <v>3</v>
      </c>
      <c r="F169" t="str">
        <f>Pvt_Map_1[[#This Row],[Kode Barang Win]]</f>
        <v>F4041002000930</v>
      </c>
    </row>
    <row r="170" spans="1:6">
      <c r="A170" t="s">
        <v>1096</v>
      </c>
      <c r="B170" t="s">
        <v>477</v>
      </c>
      <c r="C170" t="s">
        <v>1090</v>
      </c>
      <c r="D170" t="s">
        <v>1091</v>
      </c>
      <c r="E170">
        <v>2</v>
      </c>
      <c r="F170" t="str">
        <f>Pvt_Map_1[[#This Row],[Kode Barang Win]]</f>
        <v>F4041003000930</v>
      </c>
    </row>
    <row r="171" spans="1:6">
      <c r="A171" t="s">
        <v>1097</v>
      </c>
      <c r="B171" t="s">
        <v>1085</v>
      </c>
      <c r="C171" t="s">
        <v>636</v>
      </c>
      <c r="D171">
        <v>6</v>
      </c>
      <c r="E171">
        <v>1</v>
      </c>
      <c r="F171" t="str">
        <f>Pvt_Map_1[[#This Row],[Kode Barang Win]]</f>
        <v>F4061111150010</v>
      </c>
    </row>
    <row r="172" spans="1:6">
      <c r="A172" t="s">
        <v>1098</v>
      </c>
      <c r="B172">
        <v>101701006</v>
      </c>
      <c r="C172" t="s">
        <v>647</v>
      </c>
      <c r="D172">
        <v>48</v>
      </c>
      <c r="E172">
        <v>1</v>
      </c>
      <c r="F172" t="str">
        <f>Pvt_Map_1[[#This Row],[Kode Barang Win]]</f>
        <v>F4061001005010</v>
      </c>
    </row>
    <row r="173" spans="1:6">
      <c r="A173" t="s">
        <v>1099</v>
      </c>
      <c r="B173">
        <v>191702001</v>
      </c>
      <c r="C173" t="s">
        <v>185</v>
      </c>
      <c r="D173">
        <v>120</v>
      </c>
      <c r="E173">
        <v>1</v>
      </c>
      <c r="F173" t="str">
        <f>Pvt_Map_1[[#This Row],[Kode Barang Win]]</f>
        <v>F4065001002020</v>
      </c>
    </row>
    <row r="174" spans="1:6">
      <c r="A174" t="s">
        <v>1099</v>
      </c>
      <c r="B174">
        <v>191702003</v>
      </c>
      <c r="C174" t="s">
        <v>185</v>
      </c>
      <c r="D174">
        <v>120</v>
      </c>
      <c r="E174">
        <v>2</v>
      </c>
      <c r="F174" t="str">
        <f>Pvt_Map_1[[#This Row],[Kode Barang Win]]</f>
        <v>F4065001002020</v>
      </c>
    </row>
    <row r="175" spans="1:6">
      <c r="A175" t="s">
        <v>1100</v>
      </c>
      <c r="B175" t="s">
        <v>1002</v>
      </c>
      <c r="C175" t="s">
        <v>663</v>
      </c>
      <c r="D175">
        <v>24</v>
      </c>
      <c r="E175">
        <v>1</v>
      </c>
      <c r="F175" t="str">
        <f>Pvt_Map_1[[#This Row],[Kode Barang Win]]</f>
        <v>F4066004006020</v>
      </c>
    </row>
    <row r="176" spans="1:6">
      <c r="A176" t="s">
        <v>1101</v>
      </c>
      <c r="B176" t="s">
        <v>1004</v>
      </c>
      <c r="C176" t="s">
        <v>663</v>
      </c>
      <c r="D176">
        <v>24</v>
      </c>
      <c r="E176">
        <v>1</v>
      </c>
      <c r="F176" t="str">
        <f>Pvt_Map_1[[#This Row],[Kode Barang Win]]</f>
        <v>F4066003006020</v>
      </c>
    </row>
    <row r="177" spans="1:6">
      <c r="A177" t="s">
        <v>1102</v>
      </c>
      <c r="B177" t="s">
        <v>1084</v>
      </c>
      <c r="C177" t="s">
        <v>636</v>
      </c>
      <c r="D177">
        <v>12</v>
      </c>
      <c r="E177">
        <v>1</v>
      </c>
      <c r="F177" t="str">
        <f>Pvt_Map_1[[#This Row],[Kode Barang Win]]</f>
        <v>F4071103080010</v>
      </c>
    </row>
    <row r="178" spans="1:6">
      <c r="A178" t="s">
        <v>3497</v>
      </c>
      <c r="B178" t="s">
        <v>3498</v>
      </c>
      <c r="C178" t="s">
        <v>647</v>
      </c>
      <c r="D178">
        <v>48</v>
      </c>
      <c r="E178">
        <v>1</v>
      </c>
      <c r="F178" t="str">
        <f>Pvt_Map_1[[#This Row],[Kode Barang Win]]</f>
        <v>F4062005021010</v>
      </c>
    </row>
    <row r="179" spans="1:6">
      <c r="A179" t="s">
        <v>3499</v>
      </c>
      <c r="B179">
        <v>171701001</v>
      </c>
      <c r="C179" t="s">
        <v>647</v>
      </c>
      <c r="D179">
        <v>24</v>
      </c>
      <c r="E179">
        <v>1</v>
      </c>
      <c r="F179" t="str">
        <f>Pvt_Map_1[[#This Row],[Kode Barang Win]]</f>
        <v>F40610001030010</v>
      </c>
    </row>
    <row r="180" spans="1:6">
      <c r="A180" t="s">
        <v>3500</v>
      </c>
      <c r="B180">
        <v>171701000</v>
      </c>
      <c r="C180" t="s">
        <v>647</v>
      </c>
      <c r="D180">
        <v>48</v>
      </c>
      <c r="E180">
        <v>1</v>
      </c>
      <c r="F180" t="str">
        <f>Pvt_Map_1[[#This Row],[Kode Barang Win]]</f>
        <v>F40610001015010</v>
      </c>
    </row>
    <row r="181" spans="1:6">
      <c r="A181" t="s">
        <v>3501</v>
      </c>
      <c r="B181" t="s">
        <v>3502</v>
      </c>
      <c r="C181" t="s">
        <v>659</v>
      </c>
      <c r="D181">
        <v>48</v>
      </c>
      <c r="E181">
        <v>1</v>
      </c>
      <c r="F181" t="str">
        <f>Pvt_Map_1[[#This Row],[Kode Barang Win]]</f>
        <v>F4064001026010</v>
      </c>
    </row>
    <row r="182" spans="1:6">
      <c r="A182" t="s">
        <v>3503</v>
      </c>
      <c r="B182" t="s">
        <v>1008</v>
      </c>
      <c r="C182" t="s">
        <v>659</v>
      </c>
      <c r="D182" t="s">
        <v>1008</v>
      </c>
      <c r="E182">
        <v>1</v>
      </c>
      <c r="F182" t="str">
        <f>Pvt_Map_1[[#This Row],[Kode Barang Win]]</f>
        <v>F4065002008012</v>
      </c>
    </row>
    <row r="183" spans="1:6">
      <c r="A183" t="s">
        <v>3504</v>
      </c>
      <c r="B183" t="s">
        <v>3505</v>
      </c>
      <c r="C183" t="s">
        <v>3506</v>
      </c>
      <c r="D183">
        <v>12</v>
      </c>
      <c r="E183">
        <v>1</v>
      </c>
      <c r="F183" t="str">
        <f>Pvt_Map_1[[#This Row],[Kode Barang Win]]</f>
        <v>F4065003002013</v>
      </c>
    </row>
    <row r="184" spans="1:6">
      <c r="A184" t="s">
        <v>3507</v>
      </c>
      <c r="B184">
        <v>191701700</v>
      </c>
      <c r="C184" t="s">
        <v>185</v>
      </c>
      <c r="D184">
        <v>48</v>
      </c>
      <c r="E184">
        <v>1</v>
      </c>
      <c r="F184" t="str">
        <f>Pvt_Map_1[[#This Row],[Kode Barang Win]]</f>
        <v>F4065004008020</v>
      </c>
    </row>
    <row r="185" spans="1:6">
      <c r="A185" t="s">
        <v>3508</v>
      </c>
      <c r="B185" t="s">
        <v>3509</v>
      </c>
      <c r="C185" t="s">
        <v>185</v>
      </c>
      <c r="D185">
        <v>72</v>
      </c>
      <c r="E185">
        <v>1</v>
      </c>
      <c r="F185" t="str">
        <f>Pvt_Map_1[[#This Row],[Kode Barang Win]]</f>
        <v>F4066003006013</v>
      </c>
    </row>
    <row r="186" spans="1:6">
      <c r="A186" t="s">
        <v>3510</v>
      </c>
      <c r="B186" t="s">
        <v>3511</v>
      </c>
      <c r="C186" t="s">
        <v>663</v>
      </c>
      <c r="D186">
        <v>24</v>
      </c>
      <c r="E186">
        <v>1</v>
      </c>
      <c r="F186" t="str">
        <f>Pvt_Map_1[[#This Row],[Kode Barang Win]]</f>
        <v>F4066006006020</v>
      </c>
    </row>
    <row r="187" spans="1:6">
      <c r="A187" t="s">
        <v>3512</v>
      </c>
      <c r="B187">
        <v>131702001</v>
      </c>
      <c r="C187" t="s">
        <v>659</v>
      </c>
      <c r="D187">
        <v>120</v>
      </c>
      <c r="E187">
        <v>1</v>
      </c>
      <c r="F187" t="str">
        <f>Pvt_Map_1[[#This Row],[Kode Barang Win]]</f>
        <v>F40611001001010</v>
      </c>
    </row>
    <row r="188" spans="1:6">
      <c r="A188" t="s">
        <v>3513</v>
      </c>
      <c r="B188">
        <v>131703001</v>
      </c>
      <c r="C188" t="s">
        <v>659</v>
      </c>
      <c r="D188">
        <v>120</v>
      </c>
      <c r="E188">
        <v>1</v>
      </c>
      <c r="F188" t="str">
        <f>Pvt_Map_1[[#This Row],[Kode Barang Win]]</f>
        <v>F40611002001010</v>
      </c>
    </row>
    <row r="189" spans="1:6">
      <c r="A189" t="s">
        <v>3514</v>
      </c>
      <c r="B189" t="s">
        <v>3515</v>
      </c>
      <c r="C189" t="s">
        <v>636</v>
      </c>
      <c r="D189">
        <v>24</v>
      </c>
      <c r="E189">
        <v>1</v>
      </c>
      <c r="F189" t="str">
        <f>Pvt_Map_1[[#This Row],[Kode Barang Win]]</f>
        <v>F4071103038010</v>
      </c>
    </row>
    <row r="190" spans="1:6">
      <c r="A190" t="s">
        <v>3516</v>
      </c>
      <c r="B190" t="s">
        <v>3517</v>
      </c>
      <c r="C190" t="s">
        <v>636</v>
      </c>
      <c r="D190">
        <v>24</v>
      </c>
      <c r="E190">
        <v>1</v>
      </c>
      <c r="F190" t="str">
        <f>Pvt_Map_1[[#This Row],[Kode Barang Win]]</f>
        <v>F4071104038010</v>
      </c>
    </row>
    <row r="191" spans="1:6">
      <c r="A191" t="s">
        <v>3407</v>
      </c>
      <c r="B191" t="s">
        <v>1008</v>
      </c>
      <c r="C191">
        <v>0</v>
      </c>
      <c r="D191" t="s">
        <v>1008</v>
      </c>
      <c r="F191" t="str">
        <f>Pvt_Map_1[[#This Row],[Kode Barang Win]]</f>
        <v/>
      </c>
    </row>
    <row r="192" spans="1:6">
      <c r="A192" t="s">
        <v>3518</v>
      </c>
      <c r="B192" t="s">
        <v>3519</v>
      </c>
      <c r="C192" t="s">
        <v>647</v>
      </c>
      <c r="D192">
        <v>48</v>
      </c>
      <c r="F192" t="str">
        <f>Pvt_Map_1[[#This Row],[Kode Barang Win]]</f>
        <v>F4062005010010</v>
      </c>
    </row>
    <row r="193" spans="1:6">
      <c r="A193" t="s">
        <v>3520</v>
      </c>
      <c r="B193">
        <v>101701008</v>
      </c>
      <c r="C193" t="s">
        <v>660</v>
      </c>
      <c r="D193">
        <v>96</v>
      </c>
      <c r="E193">
        <v>1</v>
      </c>
      <c r="F193" t="str">
        <f>Pvt_Map_1[[#This Row],[Kode Barang Win]]</f>
        <v>F4068002001520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8114-43A3-485B-8740-EA83B0BF86FB}">
  <sheetPr>
    <tabColor rgb="FFFFFF00"/>
  </sheetPr>
  <dimension ref="A1:W2"/>
  <sheetViews>
    <sheetView workbookViewId="0">
      <selection activeCell="B148" sqref="B148"/>
    </sheetView>
  </sheetViews>
  <sheetFormatPr defaultRowHeight="15"/>
  <cols>
    <col min="1" max="1" width="16.42578125" bestFit="1" customWidth="1"/>
    <col min="2" max="2" width="17.42578125" bestFit="1" customWidth="1"/>
    <col min="3" max="3" width="9.85546875" bestFit="1" customWidth="1"/>
    <col min="4" max="4" width="10.7109375" bestFit="1" customWidth="1"/>
    <col min="5" max="5" width="19.85546875" bestFit="1" customWidth="1"/>
    <col min="6" max="6" width="22.7109375" bestFit="1" customWidth="1"/>
    <col min="7" max="7" width="22.85546875" bestFit="1" customWidth="1"/>
    <col min="8" max="8" width="23" bestFit="1" customWidth="1"/>
    <col min="9" max="9" width="22.7109375" bestFit="1" customWidth="1"/>
    <col min="10" max="10" width="25.7109375" bestFit="1" customWidth="1"/>
    <col min="11" max="11" width="25.85546875" bestFit="1" customWidth="1"/>
    <col min="12" max="12" width="25.28515625" bestFit="1" customWidth="1"/>
    <col min="13" max="13" width="25.7109375" bestFit="1" customWidth="1"/>
    <col min="14" max="14" width="26.140625" bestFit="1" customWidth="1"/>
    <col min="15" max="15" width="26.28515625" bestFit="1" customWidth="1"/>
    <col min="16" max="16" width="26.42578125" bestFit="1" customWidth="1"/>
    <col min="17" max="17" width="26.140625" bestFit="1" customWidth="1"/>
    <col min="18" max="18" width="18.7109375" bestFit="1" customWidth="1"/>
    <col min="19" max="23" width="14.28515625" bestFit="1" customWidth="1"/>
  </cols>
  <sheetData>
    <row r="1" spans="1:23">
      <c r="A1" t="s">
        <v>187</v>
      </c>
      <c r="B1" t="s">
        <v>188</v>
      </c>
      <c r="C1" t="s">
        <v>4</v>
      </c>
      <c r="D1" t="s">
        <v>1</v>
      </c>
      <c r="E1" t="s">
        <v>189</v>
      </c>
      <c r="F1" t="s">
        <v>40</v>
      </c>
      <c r="G1" t="s">
        <v>39</v>
      </c>
      <c r="H1" t="s">
        <v>41</v>
      </c>
      <c r="I1" t="s">
        <v>42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190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</row>
    <row r="2" spans="1:23" hidden="1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7670-B156-4D81-B12D-64D587FDEB45}">
  <sheetPr codeName="Sheet7">
    <tabColor rgb="FFFFFF00"/>
  </sheetPr>
  <dimension ref="A1:G388"/>
  <sheetViews>
    <sheetView workbookViewId="0">
      <selection activeCell="C17" sqref="C17"/>
    </sheetView>
  </sheetViews>
  <sheetFormatPr defaultRowHeight="15"/>
  <cols>
    <col min="1" max="1" width="23.7109375" bestFit="1" customWidth="1"/>
    <col min="2" max="2" width="70" bestFit="1" customWidth="1"/>
    <col min="3" max="7" width="16.5703125" bestFit="1" customWidth="1"/>
  </cols>
  <sheetData>
    <row r="1" spans="1:7">
      <c r="A1" s="4" t="s">
        <v>29</v>
      </c>
      <c r="B1" s="4" t="s">
        <v>21</v>
      </c>
      <c r="C1" s="4" t="s">
        <v>152</v>
      </c>
      <c r="D1" s="4" t="s">
        <v>153</v>
      </c>
      <c r="E1" s="4" t="s">
        <v>154</v>
      </c>
      <c r="F1" s="4" t="s">
        <v>155</v>
      </c>
      <c r="G1" s="4" t="s">
        <v>156</v>
      </c>
    </row>
    <row r="2" spans="1:7">
      <c r="A2" t="s">
        <v>3407</v>
      </c>
      <c r="B2" t="s">
        <v>3414</v>
      </c>
      <c r="C2">
        <f>IFERROR(VLOOKUP(CONCATENATE(Table43_1[[#This Row],[Kode BARANG Win2]],1),'Form Fix'!$A$6:$H$663,4,0),0)</f>
        <v>0</v>
      </c>
      <c r="D2">
        <f>IFERROR(VLOOKUP(CONCATENATE(Table43_1[[#This Row],[Kode BARANG Win2]],2),'Form Fix'!$A$6:$H$663,4,0),0)</f>
        <v>0</v>
      </c>
      <c r="E2">
        <f>IFERROR(VLOOKUP(CONCATENATE(Table43_1[[#This Row],[Kode BARANG Win2]],3),'Form Fix'!$A$6:$H$663,4,0),0)</f>
        <v>0</v>
      </c>
      <c r="F2">
        <f>IFERROR(VLOOKUP(CONCATENATE(Table43_1[[#This Row],[Kode BARANG Win2]],4),'Form Fix'!$A$6:$H$663,4,0),0)</f>
        <v>0</v>
      </c>
      <c r="G2">
        <f>IFERROR(VLOOKUP(CONCATENATE(Table43_1[[#This Row],[Kode BARANG Win2]],5),'Form Fix'!$A$6:$H$663,4,0),0)</f>
        <v>0</v>
      </c>
    </row>
    <row r="3" spans="1:7">
      <c r="A3" t="s">
        <v>2657</v>
      </c>
      <c r="B3" t="s">
        <v>3026</v>
      </c>
      <c r="C3">
        <f>IFERROR(VLOOKUP(CONCATENATE(Table43_1[[#This Row],[Kode BARANG Win2]],1),'Form Fix'!$A$6:$H$663,4,0),0)</f>
        <v>0</v>
      </c>
      <c r="D3">
        <f>IFERROR(VLOOKUP(CONCATENATE(Table43_1[[#This Row],[Kode BARANG Win2]],2),'Form Fix'!$A$6:$H$663,4,0),0)</f>
        <v>0</v>
      </c>
      <c r="E3">
        <f>IFERROR(VLOOKUP(CONCATENATE(Table43_1[[#This Row],[Kode BARANG Win2]],3),'Form Fix'!$A$6:$H$663,4,0),0)</f>
        <v>0</v>
      </c>
      <c r="F3">
        <f>IFERROR(VLOOKUP(CONCATENATE(Table43_1[[#This Row],[Kode BARANG Win2]],4),'Form Fix'!$A$6:$H$663,4,0),0)</f>
        <v>0</v>
      </c>
      <c r="G3">
        <f>IFERROR(VLOOKUP(CONCATENATE(Table43_1[[#This Row],[Kode BARANG Win2]],5),'Form Fix'!$A$6:$H$663,4,0),0)</f>
        <v>0</v>
      </c>
    </row>
    <row r="4" spans="1:7">
      <c r="A4" t="s">
        <v>2658</v>
      </c>
      <c r="B4" t="s">
        <v>3027</v>
      </c>
      <c r="C4">
        <f>IFERROR(VLOOKUP(CONCATENATE(Table43_1[[#This Row],[Kode BARANG Win2]],1),'Form Fix'!$A$6:$H$663,4,0),0)</f>
        <v>0</v>
      </c>
      <c r="D4">
        <f>IFERROR(VLOOKUP(CONCATENATE(Table43_1[[#This Row],[Kode BARANG Win2]],2),'Form Fix'!$A$6:$H$663,4,0),0)</f>
        <v>0</v>
      </c>
      <c r="E4">
        <f>IFERROR(VLOOKUP(CONCATENATE(Table43_1[[#This Row],[Kode BARANG Win2]],3),'Form Fix'!$A$6:$H$663,4,0),0)</f>
        <v>0</v>
      </c>
      <c r="F4">
        <f>IFERROR(VLOOKUP(CONCATENATE(Table43_1[[#This Row],[Kode BARANG Win2]],4),'Form Fix'!$A$6:$H$663,4,0),0)</f>
        <v>0</v>
      </c>
      <c r="G4">
        <f>IFERROR(VLOOKUP(CONCATENATE(Table43_1[[#This Row],[Kode BARANG Win2]],5),'Form Fix'!$A$6:$H$663,4,0),0)</f>
        <v>0</v>
      </c>
    </row>
    <row r="5" spans="1:7">
      <c r="A5" t="s">
        <v>2659</v>
      </c>
      <c r="B5" t="s">
        <v>3028</v>
      </c>
      <c r="C5">
        <f>IFERROR(VLOOKUP(CONCATENATE(Table43_1[[#This Row],[Kode BARANG Win2]],1),'Form Fix'!$A$6:$H$663,4,0),0)</f>
        <v>0</v>
      </c>
      <c r="D5">
        <f>IFERROR(VLOOKUP(CONCATENATE(Table43_1[[#This Row],[Kode BARANG Win2]],2),'Form Fix'!$A$6:$H$663,4,0),0)</f>
        <v>0</v>
      </c>
      <c r="E5">
        <f>IFERROR(VLOOKUP(CONCATENATE(Table43_1[[#This Row],[Kode BARANG Win2]],3),'Form Fix'!$A$6:$H$663,4,0),0)</f>
        <v>0</v>
      </c>
      <c r="F5">
        <f>IFERROR(VLOOKUP(CONCATENATE(Table43_1[[#This Row],[Kode BARANG Win2]],4),'Form Fix'!$A$6:$H$663,4,0),0)</f>
        <v>0</v>
      </c>
      <c r="G5">
        <f>IFERROR(VLOOKUP(CONCATENATE(Table43_1[[#This Row],[Kode BARANG Win2]],5),'Form Fix'!$A$6:$H$663,4,0),0)</f>
        <v>0</v>
      </c>
    </row>
    <row r="6" spans="1:7">
      <c r="A6" t="s">
        <v>2661</v>
      </c>
      <c r="B6" t="s">
        <v>3030</v>
      </c>
      <c r="C6">
        <f>IFERROR(VLOOKUP(CONCATENATE(Table43_1[[#This Row],[Kode BARANG Win2]],1),'Form Fix'!$A$6:$H$663,4,0),0)</f>
        <v>0</v>
      </c>
      <c r="D6">
        <f>IFERROR(VLOOKUP(CONCATENATE(Table43_1[[#This Row],[Kode BARANG Win2]],2),'Form Fix'!$A$6:$H$663,4,0),0)</f>
        <v>0</v>
      </c>
      <c r="E6">
        <f>IFERROR(VLOOKUP(CONCATENATE(Table43_1[[#This Row],[Kode BARANG Win2]],3),'Form Fix'!$A$6:$H$663,4,0),0)</f>
        <v>0</v>
      </c>
      <c r="F6">
        <f>IFERROR(VLOOKUP(CONCATENATE(Table43_1[[#This Row],[Kode BARANG Win2]],4),'Form Fix'!$A$6:$H$663,4,0),0)</f>
        <v>0</v>
      </c>
      <c r="G6">
        <f>IFERROR(VLOOKUP(CONCATENATE(Table43_1[[#This Row],[Kode BARANG Win2]],5),'Form Fix'!$A$6:$H$663,4,0),0)</f>
        <v>0</v>
      </c>
    </row>
    <row r="7" spans="1:7">
      <c r="A7" t="s">
        <v>2660</v>
      </c>
      <c r="B7" t="s">
        <v>3029</v>
      </c>
      <c r="C7">
        <f>IFERROR(VLOOKUP(CONCATENATE(Table43_1[[#This Row],[Kode BARANG Win2]],1),'Form Fix'!$A$6:$H$663,4,0),0)</f>
        <v>0</v>
      </c>
      <c r="D7">
        <f>IFERROR(VLOOKUP(CONCATENATE(Table43_1[[#This Row],[Kode BARANG Win2]],2),'Form Fix'!$A$6:$H$663,4,0),0)</f>
        <v>0</v>
      </c>
      <c r="E7">
        <f>IFERROR(VLOOKUP(CONCATENATE(Table43_1[[#This Row],[Kode BARANG Win2]],3),'Form Fix'!$A$6:$H$663,4,0),0)</f>
        <v>0</v>
      </c>
      <c r="F7">
        <f>IFERROR(VLOOKUP(CONCATENATE(Table43_1[[#This Row],[Kode BARANG Win2]],4),'Form Fix'!$A$6:$H$663,4,0),0)</f>
        <v>0</v>
      </c>
      <c r="G7">
        <f>IFERROR(VLOOKUP(CONCATENATE(Table43_1[[#This Row],[Kode BARANG Win2]],5),'Form Fix'!$A$6:$H$663,4,0),0)</f>
        <v>0</v>
      </c>
    </row>
    <row r="8" spans="1:7">
      <c r="A8" t="s">
        <v>2663</v>
      </c>
      <c r="B8" t="s">
        <v>3032</v>
      </c>
      <c r="C8">
        <f>IFERROR(VLOOKUP(CONCATENATE(Table43_1[[#This Row],[Kode BARANG Win2]],1),'Form Fix'!$A$6:$H$663,4,0),0)</f>
        <v>0</v>
      </c>
      <c r="D8">
        <f>IFERROR(VLOOKUP(CONCATENATE(Table43_1[[#This Row],[Kode BARANG Win2]],2),'Form Fix'!$A$6:$H$663,4,0),0)</f>
        <v>0</v>
      </c>
      <c r="E8">
        <f>IFERROR(VLOOKUP(CONCATENATE(Table43_1[[#This Row],[Kode BARANG Win2]],3),'Form Fix'!$A$6:$H$663,4,0),0)</f>
        <v>0</v>
      </c>
      <c r="F8">
        <f>IFERROR(VLOOKUP(CONCATENATE(Table43_1[[#This Row],[Kode BARANG Win2]],4),'Form Fix'!$A$6:$H$663,4,0),0)</f>
        <v>0</v>
      </c>
      <c r="G8">
        <f>IFERROR(VLOOKUP(CONCATENATE(Table43_1[[#This Row],[Kode BARANG Win2]],5),'Form Fix'!$A$6:$H$663,4,0),0)</f>
        <v>0</v>
      </c>
    </row>
    <row r="9" spans="1:7">
      <c r="A9" t="s">
        <v>2662</v>
      </c>
      <c r="B9" t="s">
        <v>3031</v>
      </c>
      <c r="C9">
        <f>IFERROR(VLOOKUP(CONCATENATE(Table43_1[[#This Row],[Kode BARANG Win2]],1),'Form Fix'!$A$6:$H$663,4,0),0)</f>
        <v>0</v>
      </c>
      <c r="D9">
        <f>IFERROR(VLOOKUP(CONCATENATE(Table43_1[[#This Row],[Kode BARANG Win2]],2),'Form Fix'!$A$6:$H$663,4,0),0)</f>
        <v>0</v>
      </c>
      <c r="E9">
        <f>IFERROR(VLOOKUP(CONCATENATE(Table43_1[[#This Row],[Kode BARANG Win2]],3),'Form Fix'!$A$6:$H$663,4,0),0)</f>
        <v>0</v>
      </c>
      <c r="F9">
        <f>IFERROR(VLOOKUP(CONCATENATE(Table43_1[[#This Row],[Kode BARANG Win2]],4),'Form Fix'!$A$6:$H$663,4,0),0)</f>
        <v>0</v>
      </c>
      <c r="G9">
        <f>IFERROR(VLOOKUP(CONCATENATE(Table43_1[[#This Row],[Kode BARANG Win2]],5),'Form Fix'!$A$6:$H$663,4,0),0)</f>
        <v>0</v>
      </c>
    </row>
    <row r="10" spans="1:7">
      <c r="A10" t="s">
        <v>3480</v>
      </c>
      <c r="B10" t="s">
        <v>3521</v>
      </c>
      <c r="C10">
        <f>IFERROR(VLOOKUP(CONCATENATE(Table43_1[[#This Row],[Kode BARANG Win2]],1),'Form Fix'!$A$6:$H$663,4,0),0)</f>
        <v>0</v>
      </c>
      <c r="D10">
        <f>IFERROR(VLOOKUP(CONCATENATE(Table43_1[[#This Row],[Kode BARANG Win2]],2),'Form Fix'!$A$6:$H$663,4,0),0)</f>
        <v>0</v>
      </c>
      <c r="E10">
        <f>IFERROR(VLOOKUP(CONCATENATE(Table43_1[[#This Row],[Kode BARANG Win2]],3),'Form Fix'!$A$6:$H$663,4,0),0)</f>
        <v>0</v>
      </c>
      <c r="F10">
        <f>IFERROR(VLOOKUP(CONCATENATE(Table43_1[[#This Row],[Kode BARANG Win2]],4),'Form Fix'!$A$6:$H$663,4,0),0)</f>
        <v>0</v>
      </c>
      <c r="G10">
        <f>IFERROR(VLOOKUP(CONCATENATE(Table43_1[[#This Row],[Kode BARANG Win2]],5),'Form Fix'!$A$6:$H$663,4,0),0)</f>
        <v>0</v>
      </c>
    </row>
    <row r="11" spans="1:7">
      <c r="A11" t="s">
        <v>2664</v>
      </c>
      <c r="B11" t="s">
        <v>3033</v>
      </c>
      <c r="C11">
        <f>IFERROR(VLOOKUP(CONCATENATE(Table43_1[[#This Row],[Kode BARANG Win2]],1),'Form Fix'!$A$6:$H$663,4,0),0)</f>
        <v>0</v>
      </c>
      <c r="D11">
        <f>IFERROR(VLOOKUP(CONCATENATE(Table43_1[[#This Row],[Kode BARANG Win2]],2),'Form Fix'!$A$6:$H$663,4,0),0)</f>
        <v>0</v>
      </c>
      <c r="E11">
        <f>IFERROR(VLOOKUP(CONCATENATE(Table43_1[[#This Row],[Kode BARANG Win2]],3),'Form Fix'!$A$6:$H$663,4,0),0)</f>
        <v>0</v>
      </c>
      <c r="F11">
        <f>IFERROR(VLOOKUP(CONCATENATE(Table43_1[[#This Row],[Kode BARANG Win2]],4),'Form Fix'!$A$6:$H$663,4,0),0)</f>
        <v>0</v>
      </c>
      <c r="G11">
        <f>IFERROR(VLOOKUP(CONCATENATE(Table43_1[[#This Row],[Kode BARANG Win2]],5),'Form Fix'!$A$6:$H$663,4,0),0)</f>
        <v>0</v>
      </c>
    </row>
    <row r="12" spans="1:7">
      <c r="A12" t="s">
        <v>2665</v>
      </c>
      <c r="B12" t="s">
        <v>3034</v>
      </c>
      <c r="C12">
        <f>IFERROR(VLOOKUP(CONCATENATE(Table43_1[[#This Row],[Kode BARANG Win2]],1),'Form Fix'!$A$6:$H$663,4,0),0)</f>
        <v>0</v>
      </c>
      <c r="D12">
        <f>IFERROR(VLOOKUP(CONCATENATE(Table43_1[[#This Row],[Kode BARANG Win2]],2),'Form Fix'!$A$6:$H$663,4,0),0)</f>
        <v>0</v>
      </c>
      <c r="E12">
        <f>IFERROR(VLOOKUP(CONCATENATE(Table43_1[[#This Row],[Kode BARANG Win2]],3),'Form Fix'!$A$6:$H$663,4,0),0)</f>
        <v>0</v>
      </c>
      <c r="F12">
        <f>IFERROR(VLOOKUP(CONCATENATE(Table43_1[[#This Row],[Kode BARANG Win2]],4),'Form Fix'!$A$6:$H$663,4,0),0)</f>
        <v>0</v>
      </c>
      <c r="G12">
        <f>IFERROR(VLOOKUP(CONCATENATE(Table43_1[[#This Row],[Kode BARANG Win2]],5),'Form Fix'!$A$6:$H$663,4,0),0)</f>
        <v>0</v>
      </c>
    </row>
    <row r="13" spans="1:7">
      <c r="A13" t="s">
        <v>2669</v>
      </c>
      <c r="B13" t="s">
        <v>3038</v>
      </c>
      <c r="C13">
        <f>IFERROR(VLOOKUP(CONCATENATE(Table43_1[[#This Row],[Kode BARANG Win2]],1),'Form Fix'!$A$6:$H$663,4,0),0)</f>
        <v>0</v>
      </c>
      <c r="D13">
        <f>IFERROR(VLOOKUP(CONCATENATE(Table43_1[[#This Row],[Kode BARANG Win2]],2),'Form Fix'!$A$6:$H$663,4,0),0)</f>
        <v>0</v>
      </c>
      <c r="E13">
        <f>IFERROR(VLOOKUP(CONCATENATE(Table43_1[[#This Row],[Kode BARANG Win2]],3),'Form Fix'!$A$6:$H$663,4,0),0)</f>
        <v>0</v>
      </c>
      <c r="F13">
        <f>IFERROR(VLOOKUP(CONCATENATE(Table43_1[[#This Row],[Kode BARANG Win2]],4),'Form Fix'!$A$6:$H$663,4,0),0)</f>
        <v>0</v>
      </c>
      <c r="G13">
        <f>IFERROR(VLOOKUP(CONCATENATE(Table43_1[[#This Row],[Kode BARANG Win2]],5),'Form Fix'!$A$6:$H$663,4,0),0)</f>
        <v>0</v>
      </c>
    </row>
    <row r="14" spans="1:7">
      <c r="A14" t="s">
        <v>2670</v>
      </c>
      <c r="B14" t="s">
        <v>3039</v>
      </c>
      <c r="C14">
        <f>IFERROR(VLOOKUP(CONCATENATE(Table43_1[[#This Row],[Kode BARANG Win2]],1),'Form Fix'!$A$6:$H$663,4,0),0)</f>
        <v>0</v>
      </c>
      <c r="D14">
        <f>IFERROR(VLOOKUP(CONCATENATE(Table43_1[[#This Row],[Kode BARANG Win2]],2),'Form Fix'!$A$6:$H$663,4,0),0)</f>
        <v>0</v>
      </c>
      <c r="E14">
        <f>IFERROR(VLOOKUP(CONCATENATE(Table43_1[[#This Row],[Kode BARANG Win2]],3),'Form Fix'!$A$6:$H$663,4,0),0)</f>
        <v>0</v>
      </c>
      <c r="F14">
        <f>IFERROR(VLOOKUP(CONCATENATE(Table43_1[[#This Row],[Kode BARANG Win2]],4),'Form Fix'!$A$6:$H$663,4,0),0)</f>
        <v>0</v>
      </c>
      <c r="G14">
        <f>IFERROR(VLOOKUP(CONCATENATE(Table43_1[[#This Row],[Kode BARANG Win2]],5),'Form Fix'!$A$6:$H$663,4,0),0)</f>
        <v>0</v>
      </c>
    </row>
    <row r="15" spans="1:7">
      <c r="A15" t="s">
        <v>2667</v>
      </c>
      <c r="B15" t="s">
        <v>3036</v>
      </c>
      <c r="C15">
        <f>IFERROR(VLOOKUP(CONCATENATE(Table43_1[[#This Row],[Kode BARANG Win2]],1),'Form Fix'!$A$6:$H$663,4,0),0)</f>
        <v>0</v>
      </c>
      <c r="D15">
        <f>IFERROR(VLOOKUP(CONCATENATE(Table43_1[[#This Row],[Kode BARANG Win2]],2),'Form Fix'!$A$6:$H$663,4,0),0)</f>
        <v>0</v>
      </c>
      <c r="E15">
        <f>IFERROR(VLOOKUP(CONCATENATE(Table43_1[[#This Row],[Kode BARANG Win2]],3),'Form Fix'!$A$6:$H$663,4,0),0)</f>
        <v>0</v>
      </c>
      <c r="F15">
        <f>IFERROR(VLOOKUP(CONCATENATE(Table43_1[[#This Row],[Kode BARANG Win2]],4),'Form Fix'!$A$6:$H$663,4,0),0)</f>
        <v>0</v>
      </c>
      <c r="G15">
        <f>IFERROR(VLOOKUP(CONCATENATE(Table43_1[[#This Row],[Kode BARANG Win2]],5),'Form Fix'!$A$6:$H$663,4,0),0)</f>
        <v>0</v>
      </c>
    </row>
    <row r="16" spans="1:7">
      <c r="A16" t="s">
        <v>2668</v>
      </c>
      <c r="B16" t="s">
        <v>3037</v>
      </c>
      <c r="C16">
        <f>IFERROR(VLOOKUP(CONCATENATE(Table43_1[[#This Row],[Kode BARANG Win2]],1),'Form Fix'!$A$6:$H$663,4,0),0)</f>
        <v>0</v>
      </c>
      <c r="D16">
        <f>IFERROR(VLOOKUP(CONCATENATE(Table43_1[[#This Row],[Kode BARANG Win2]],2),'Form Fix'!$A$6:$H$663,4,0),0)</f>
        <v>0</v>
      </c>
      <c r="E16">
        <f>IFERROR(VLOOKUP(CONCATENATE(Table43_1[[#This Row],[Kode BARANG Win2]],3),'Form Fix'!$A$6:$H$663,4,0),0)</f>
        <v>0</v>
      </c>
      <c r="F16">
        <f>IFERROR(VLOOKUP(CONCATENATE(Table43_1[[#This Row],[Kode BARANG Win2]],4),'Form Fix'!$A$6:$H$663,4,0),0)</f>
        <v>0</v>
      </c>
      <c r="G16">
        <f>IFERROR(VLOOKUP(CONCATENATE(Table43_1[[#This Row],[Kode BARANG Win2]],5),'Form Fix'!$A$6:$H$663,4,0),0)</f>
        <v>0</v>
      </c>
    </row>
    <row r="17" spans="1:7">
      <c r="A17" t="s">
        <v>2666</v>
      </c>
      <c r="B17" t="s">
        <v>3035</v>
      </c>
      <c r="C17">
        <f>IFERROR(VLOOKUP(CONCATENATE(Table43_1[[#This Row],[Kode BARANG Win2]],1),'Form Fix'!$A$6:$H$663,4,0),0)</f>
        <v>0</v>
      </c>
      <c r="D17">
        <f>IFERROR(VLOOKUP(CONCATENATE(Table43_1[[#This Row],[Kode BARANG Win2]],2),'Form Fix'!$A$6:$H$663,4,0),0)</f>
        <v>0</v>
      </c>
      <c r="E17">
        <f>IFERROR(VLOOKUP(CONCATENATE(Table43_1[[#This Row],[Kode BARANG Win2]],3),'Form Fix'!$A$6:$H$663,4,0),0)</f>
        <v>0</v>
      </c>
      <c r="F17">
        <f>IFERROR(VLOOKUP(CONCATENATE(Table43_1[[#This Row],[Kode BARANG Win2]],4),'Form Fix'!$A$6:$H$663,4,0),0)</f>
        <v>0</v>
      </c>
      <c r="G17">
        <f>IFERROR(VLOOKUP(CONCATENATE(Table43_1[[#This Row],[Kode BARANG Win2]],5),'Form Fix'!$A$6:$H$663,4,0),0)</f>
        <v>0</v>
      </c>
    </row>
    <row r="18" spans="1:7">
      <c r="A18" t="s">
        <v>3492</v>
      </c>
      <c r="B18" t="s">
        <v>3522</v>
      </c>
      <c r="C18">
        <f>IFERROR(VLOOKUP(CONCATENATE(Table43_1[[#This Row],[Kode BARANG Win2]],1),'Form Fix'!$A$6:$H$663,4,0),0)</f>
        <v>0</v>
      </c>
      <c r="D18">
        <f>IFERROR(VLOOKUP(CONCATENATE(Table43_1[[#This Row],[Kode BARANG Win2]],2),'Form Fix'!$A$6:$H$663,4,0),0)</f>
        <v>0</v>
      </c>
      <c r="E18">
        <f>IFERROR(VLOOKUP(CONCATENATE(Table43_1[[#This Row],[Kode BARANG Win2]],3),'Form Fix'!$A$6:$H$663,4,0),0)</f>
        <v>0</v>
      </c>
      <c r="F18">
        <f>IFERROR(VLOOKUP(CONCATENATE(Table43_1[[#This Row],[Kode BARANG Win2]],4),'Form Fix'!$A$6:$H$663,4,0),0)</f>
        <v>0</v>
      </c>
      <c r="G18">
        <f>IFERROR(VLOOKUP(CONCATENATE(Table43_1[[#This Row],[Kode BARANG Win2]],5),'Form Fix'!$A$6:$H$663,4,0),0)</f>
        <v>0</v>
      </c>
    </row>
    <row r="19" spans="1:7">
      <c r="A19" t="s">
        <v>2671</v>
      </c>
      <c r="B19" t="s">
        <v>3040</v>
      </c>
      <c r="C19">
        <f>IFERROR(VLOOKUP(CONCATENATE(Table43_1[[#This Row],[Kode BARANG Win2]],1),'Form Fix'!$A$6:$H$663,4,0),0)</f>
        <v>0</v>
      </c>
      <c r="D19">
        <f>IFERROR(VLOOKUP(CONCATENATE(Table43_1[[#This Row],[Kode BARANG Win2]],2),'Form Fix'!$A$6:$H$663,4,0),0)</f>
        <v>0</v>
      </c>
      <c r="E19">
        <f>IFERROR(VLOOKUP(CONCATENATE(Table43_1[[#This Row],[Kode BARANG Win2]],3),'Form Fix'!$A$6:$H$663,4,0),0)</f>
        <v>0</v>
      </c>
      <c r="F19">
        <f>IFERROR(VLOOKUP(CONCATENATE(Table43_1[[#This Row],[Kode BARANG Win2]],4),'Form Fix'!$A$6:$H$663,4,0),0)</f>
        <v>0</v>
      </c>
      <c r="G19">
        <f>IFERROR(VLOOKUP(CONCATENATE(Table43_1[[#This Row],[Kode BARANG Win2]],5),'Form Fix'!$A$6:$H$663,4,0),0)</f>
        <v>0</v>
      </c>
    </row>
    <row r="20" spans="1:7">
      <c r="A20" t="s">
        <v>2672</v>
      </c>
      <c r="B20" t="s">
        <v>3041</v>
      </c>
      <c r="C20">
        <f>IFERROR(VLOOKUP(CONCATENATE(Table43_1[[#This Row],[Kode BARANG Win2]],1),'Form Fix'!$A$6:$H$663,4,0),0)</f>
        <v>0</v>
      </c>
      <c r="D20">
        <f>IFERROR(VLOOKUP(CONCATENATE(Table43_1[[#This Row],[Kode BARANG Win2]],2),'Form Fix'!$A$6:$H$663,4,0),0)</f>
        <v>0</v>
      </c>
      <c r="E20">
        <f>IFERROR(VLOOKUP(CONCATENATE(Table43_1[[#This Row],[Kode BARANG Win2]],3),'Form Fix'!$A$6:$H$663,4,0),0)</f>
        <v>0</v>
      </c>
      <c r="F20">
        <f>IFERROR(VLOOKUP(CONCATENATE(Table43_1[[#This Row],[Kode BARANG Win2]],4),'Form Fix'!$A$6:$H$663,4,0),0)</f>
        <v>0</v>
      </c>
      <c r="G20">
        <f>IFERROR(VLOOKUP(CONCATENATE(Table43_1[[#This Row],[Kode BARANG Win2]],5),'Form Fix'!$A$6:$H$663,4,0),0)</f>
        <v>0</v>
      </c>
    </row>
    <row r="21" spans="1:7">
      <c r="A21" t="s">
        <v>2673</v>
      </c>
      <c r="B21" t="s">
        <v>3042</v>
      </c>
      <c r="C21">
        <f>IFERROR(VLOOKUP(CONCATENATE(Table43_1[[#This Row],[Kode BARANG Win2]],1),'Form Fix'!$A$6:$H$663,4,0),0)</f>
        <v>0</v>
      </c>
      <c r="D21">
        <f>IFERROR(VLOOKUP(CONCATENATE(Table43_1[[#This Row],[Kode BARANG Win2]],2),'Form Fix'!$A$6:$H$663,4,0),0)</f>
        <v>0</v>
      </c>
      <c r="E21">
        <f>IFERROR(VLOOKUP(CONCATENATE(Table43_1[[#This Row],[Kode BARANG Win2]],3),'Form Fix'!$A$6:$H$663,4,0),0)</f>
        <v>0</v>
      </c>
      <c r="F21">
        <f>IFERROR(VLOOKUP(CONCATENATE(Table43_1[[#This Row],[Kode BARANG Win2]],4),'Form Fix'!$A$6:$H$663,4,0),0)</f>
        <v>0</v>
      </c>
      <c r="G21">
        <f>IFERROR(VLOOKUP(CONCATENATE(Table43_1[[#This Row],[Kode BARANG Win2]],5),'Form Fix'!$A$6:$H$663,4,0),0)</f>
        <v>0</v>
      </c>
    </row>
    <row r="22" spans="1:7">
      <c r="A22" t="s">
        <v>2674</v>
      </c>
      <c r="B22" t="s">
        <v>3043</v>
      </c>
      <c r="C22">
        <f>IFERROR(VLOOKUP(CONCATENATE(Table43_1[[#This Row],[Kode BARANG Win2]],1),'Form Fix'!$A$6:$H$663,4,0),0)</f>
        <v>0</v>
      </c>
      <c r="D22">
        <f>IFERROR(VLOOKUP(CONCATENATE(Table43_1[[#This Row],[Kode BARANG Win2]],2),'Form Fix'!$A$6:$H$663,4,0),0)</f>
        <v>0</v>
      </c>
      <c r="E22">
        <f>IFERROR(VLOOKUP(CONCATENATE(Table43_1[[#This Row],[Kode BARANG Win2]],3),'Form Fix'!$A$6:$H$663,4,0),0)</f>
        <v>0</v>
      </c>
      <c r="F22">
        <f>IFERROR(VLOOKUP(CONCATENATE(Table43_1[[#This Row],[Kode BARANG Win2]],4),'Form Fix'!$A$6:$H$663,4,0),0)</f>
        <v>0</v>
      </c>
      <c r="G22">
        <f>IFERROR(VLOOKUP(CONCATENATE(Table43_1[[#This Row],[Kode BARANG Win2]],5),'Form Fix'!$A$6:$H$663,4,0),0)</f>
        <v>0</v>
      </c>
    </row>
    <row r="23" spans="1:7">
      <c r="A23" t="s">
        <v>2675</v>
      </c>
      <c r="B23" t="s">
        <v>3044</v>
      </c>
      <c r="C23">
        <f>IFERROR(VLOOKUP(CONCATENATE(Table43_1[[#This Row],[Kode BARANG Win2]],1),'Form Fix'!$A$6:$H$663,4,0),0)</f>
        <v>0</v>
      </c>
      <c r="D23">
        <f>IFERROR(VLOOKUP(CONCATENATE(Table43_1[[#This Row],[Kode BARANG Win2]],2),'Form Fix'!$A$6:$H$663,4,0),0)</f>
        <v>0</v>
      </c>
      <c r="E23">
        <f>IFERROR(VLOOKUP(CONCATENATE(Table43_1[[#This Row],[Kode BARANG Win2]],3),'Form Fix'!$A$6:$H$663,4,0),0)</f>
        <v>0</v>
      </c>
      <c r="F23">
        <f>IFERROR(VLOOKUP(CONCATENATE(Table43_1[[#This Row],[Kode BARANG Win2]],4),'Form Fix'!$A$6:$H$663,4,0),0)</f>
        <v>0</v>
      </c>
      <c r="G23">
        <f>IFERROR(VLOOKUP(CONCATENATE(Table43_1[[#This Row],[Kode BARANG Win2]],5),'Form Fix'!$A$6:$H$663,4,0),0)</f>
        <v>0</v>
      </c>
    </row>
    <row r="24" spans="1:7">
      <c r="A24" t="s">
        <v>2676</v>
      </c>
      <c r="B24" t="s">
        <v>3045</v>
      </c>
      <c r="C24">
        <f>IFERROR(VLOOKUP(CONCATENATE(Table43_1[[#This Row],[Kode BARANG Win2]],1),'Form Fix'!$A$6:$H$663,4,0),0)</f>
        <v>0</v>
      </c>
      <c r="D24">
        <f>IFERROR(VLOOKUP(CONCATENATE(Table43_1[[#This Row],[Kode BARANG Win2]],2),'Form Fix'!$A$6:$H$663,4,0),0)</f>
        <v>0</v>
      </c>
      <c r="E24">
        <f>IFERROR(VLOOKUP(CONCATENATE(Table43_1[[#This Row],[Kode BARANG Win2]],3),'Form Fix'!$A$6:$H$663,4,0),0)</f>
        <v>0</v>
      </c>
      <c r="F24">
        <f>IFERROR(VLOOKUP(CONCATENATE(Table43_1[[#This Row],[Kode BARANG Win2]],4),'Form Fix'!$A$6:$H$663,4,0),0)</f>
        <v>0</v>
      </c>
      <c r="G24">
        <f>IFERROR(VLOOKUP(CONCATENATE(Table43_1[[#This Row],[Kode BARANG Win2]],5),'Form Fix'!$A$6:$H$663,4,0),0)</f>
        <v>0</v>
      </c>
    </row>
    <row r="25" spans="1:7">
      <c r="A25" t="s">
        <v>2677</v>
      </c>
      <c r="B25" t="s">
        <v>3046</v>
      </c>
      <c r="C25">
        <f>IFERROR(VLOOKUP(CONCATENATE(Table43_1[[#This Row],[Kode BARANG Win2]],1),'Form Fix'!$A$6:$H$663,4,0),0)</f>
        <v>0</v>
      </c>
      <c r="D25">
        <f>IFERROR(VLOOKUP(CONCATENATE(Table43_1[[#This Row],[Kode BARANG Win2]],2),'Form Fix'!$A$6:$H$663,4,0),0)</f>
        <v>0</v>
      </c>
      <c r="E25">
        <f>IFERROR(VLOOKUP(CONCATENATE(Table43_1[[#This Row],[Kode BARANG Win2]],3),'Form Fix'!$A$6:$H$663,4,0),0)</f>
        <v>0</v>
      </c>
      <c r="F25">
        <f>IFERROR(VLOOKUP(CONCATENATE(Table43_1[[#This Row],[Kode BARANG Win2]],4),'Form Fix'!$A$6:$H$663,4,0),0)</f>
        <v>0</v>
      </c>
      <c r="G25">
        <f>IFERROR(VLOOKUP(CONCATENATE(Table43_1[[#This Row],[Kode BARANG Win2]],5),'Form Fix'!$A$6:$H$663,4,0),0)</f>
        <v>0</v>
      </c>
    </row>
    <row r="26" spans="1:7">
      <c r="A26" t="s">
        <v>2678</v>
      </c>
      <c r="B26" t="s">
        <v>3047</v>
      </c>
      <c r="C26">
        <f>IFERROR(VLOOKUP(CONCATENATE(Table43_1[[#This Row],[Kode BARANG Win2]],1),'Form Fix'!$A$6:$H$663,4,0),0)</f>
        <v>0</v>
      </c>
      <c r="D26">
        <f>IFERROR(VLOOKUP(CONCATENATE(Table43_1[[#This Row],[Kode BARANG Win2]],2),'Form Fix'!$A$6:$H$663,4,0),0)</f>
        <v>0</v>
      </c>
      <c r="E26">
        <f>IFERROR(VLOOKUP(CONCATENATE(Table43_1[[#This Row],[Kode BARANG Win2]],3),'Form Fix'!$A$6:$H$663,4,0),0)</f>
        <v>0</v>
      </c>
      <c r="F26">
        <f>IFERROR(VLOOKUP(CONCATENATE(Table43_1[[#This Row],[Kode BARANG Win2]],4),'Form Fix'!$A$6:$H$663,4,0),0)</f>
        <v>0</v>
      </c>
      <c r="G26">
        <f>IFERROR(VLOOKUP(CONCATENATE(Table43_1[[#This Row],[Kode BARANG Win2]],5),'Form Fix'!$A$6:$H$663,4,0),0)</f>
        <v>0</v>
      </c>
    </row>
    <row r="27" spans="1:7">
      <c r="A27" t="s">
        <v>2679</v>
      </c>
      <c r="B27" t="s">
        <v>3048</v>
      </c>
      <c r="C27">
        <f>IFERROR(VLOOKUP(CONCATENATE(Table43_1[[#This Row],[Kode BARANG Win2]],1),'Form Fix'!$A$6:$H$663,4,0),0)</f>
        <v>0</v>
      </c>
      <c r="D27">
        <f>IFERROR(VLOOKUP(CONCATENATE(Table43_1[[#This Row],[Kode BARANG Win2]],2),'Form Fix'!$A$6:$H$663,4,0),0)</f>
        <v>0</v>
      </c>
      <c r="E27">
        <f>IFERROR(VLOOKUP(CONCATENATE(Table43_1[[#This Row],[Kode BARANG Win2]],3),'Form Fix'!$A$6:$H$663,4,0),0)</f>
        <v>0</v>
      </c>
      <c r="F27">
        <f>IFERROR(VLOOKUP(CONCATENATE(Table43_1[[#This Row],[Kode BARANG Win2]],4),'Form Fix'!$A$6:$H$663,4,0),0)</f>
        <v>0</v>
      </c>
      <c r="G27">
        <f>IFERROR(VLOOKUP(CONCATENATE(Table43_1[[#This Row],[Kode BARANG Win2]],5),'Form Fix'!$A$6:$H$663,4,0),0)</f>
        <v>0</v>
      </c>
    </row>
    <row r="28" spans="1:7">
      <c r="A28" t="s">
        <v>2680</v>
      </c>
      <c r="B28" t="s">
        <v>3049</v>
      </c>
      <c r="C28">
        <f>IFERROR(VLOOKUP(CONCATENATE(Table43_1[[#This Row],[Kode BARANG Win2]],1),'Form Fix'!$A$6:$H$663,4,0),0)</f>
        <v>0</v>
      </c>
      <c r="D28">
        <f>IFERROR(VLOOKUP(CONCATENATE(Table43_1[[#This Row],[Kode BARANG Win2]],2),'Form Fix'!$A$6:$H$663,4,0),0)</f>
        <v>0</v>
      </c>
      <c r="E28">
        <f>IFERROR(VLOOKUP(CONCATENATE(Table43_1[[#This Row],[Kode BARANG Win2]],3),'Form Fix'!$A$6:$H$663,4,0),0)</f>
        <v>0</v>
      </c>
      <c r="F28">
        <f>IFERROR(VLOOKUP(CONCATENATE(Table43_1[[#This Row],[Kode BARANG Win2]],4),'Form Fix'!$A$6:$H$663,4,0),0)</f>
        <v>0</v>
      </c>
      <c r="G28">
        <f>IFERROR(VLOOKUP(CONCATENATE(Table43_1[[#This Row],[Kode BARANG Win2]],5),'Form Fix'!$A$6:$H$663,4,0),0)</f>
        <v>0</v>
      </c>
    </row>
    <row r="29" spans="1:7">
      <c r="A29" t="s">
        <v>2681</v>
      </c>
      <c r="B29" t="s">
        <v>3050</v>
      </c>
      <c r="C29">
        <f>IFERROR(VLOOKUP(CONCATENATE(Table43_1[[#This Row],[Kode BARANG Win2]],1),'Form Fix'!$A$6:$H$663,4,0),0)</f>
        <v>0</v>
      </c>
      <c r="D29">
        <f>IFERROR(VLOOKUP(CONCATENATE(Table43_1[[#This Row],[Kode BARANG Win2]],2),'Form Fix'!$A$6:$H$663,4,0),0)</f>
        <v>0</v>
      </c>
      <c r="E29">
        <f>IFERROR(VLOOKUP(CONCATENATE(Table43_1[[#This Row],[Kode BARANG Win2]],3),'Form Fix'!$A$6:$H$663,4,0),0)</f>
        <v>0</v>
      </c>
      <c r="F29">
        <f>IFERROR(VLOOKUP(CONCATENATE(Table43_1[[#This Row],[Kode BARANG Win2]],4),'Form Fix'!$A$6:$H$663,4,0),0)</f>
        <v>0</v>
      </c>
      <c r="G29">
        <f>IFERROR(VLOOKUP(CONCATENATE(Table43_1[[#This Row],[Kode BARANG Win2]],5),'Form Fix'!$A$6:$H$663,4,0),0)</f>
        <v>0</v>
      </c>
    </row>
    <row r="30" spans="1:7">
      <c r="A30" t="s">
        <v>2682</v>
      </c>
      <c r="B30" t="s">
        <v>3051</v>
      </c>
      <c r="C30">
        <f>IFERROR(VLOOKUP(CONCATENATE(Table43_1[[#This Row],[Kode BARANG Win2]],1),'Form Fix'!$A$6:$H$663,4,0),0)</f>
        <v>0</v>
      </c>
      <c r="D30">
        <f>IFERROR(VLOOKUP(CONCATENATE(Table43_1[[#This Row],[Kode BARANG Win2]],2),'Form Fix'!$A$6:$H$663,4,0),0)</f>
        <v>0</v>
      </c>
      <c r="E30">
        <f>IFERROR(VLOOKUP(CONCATENATE(Table43_1[[#This Row],[Kode BARANG Win2]],3),'Form Fix'!$A$6:$H$663,4,0),0)</f>
        <v>0</v>
      </c>
      <c r="F30">
        <f>IFERROR(VLOOKUP(CONCATENATE(Table43_1[[#This Row],[Kode BARANG Win2]],4),'Form Fix'!$A$6:$H$663,4,0),0)</f>
        <v>0</v>
      </c>
      <c r="G30">
        <f>IFERROR(VLOOKUP(CONCATENATE(Table43_1[[#This Row],[Kode BARANG Win2]],5),'Form Fix'!$A$6:$H$663,4,0),0)</f>
        <v>0</v>
      </c>
    </row>
    <row r="31" spans="1:7">
      <c r="A31" t="s">
        <v>2683</v>
      </c>
      <c r="B31" t="s">
        <v>3052</v>
      </c>
      <c r="C31">
        <f>IFERROR(VLOOKUP(CONCATENATE(Table43_1[[#This Row],[Kode BARANG Win2]],1),'Form Fix'!$A$6:$H$663,4,0),0)</f>
        <v>0</v>
      </c>
      <c r="D31">
        <f>IFERROR(VLOOKUP(CONCATENATE(Table43_1[[#This Row],[Kode BARANG Win2]],2),'Form Fix'!$A$6:$H$663,4,0),0)</f>
        <v>0</v>
      </c>
      <c r="E31">
        <f>IFERROR(VLOOKUP(CONCATENATE(Table43_1[[#This Row],[Kode BARANG Win2]],3),'Form Fix'!$A$6:$H$663,4,0),0)</f>
        <v>0</v>
      </c>
      <c r="F31">
        <f>IFERROR(VLOOKUP(CONCATENATE(Table43_1[[#This Row],[Kode BARANG Win2]],4),'Form Fix'!$A$6:$H$663,4,0),0)</f>
        <v>0</v>
      </c>
      <c r="G31">
        <f>IFERROR(VLOOKUP(CONCATENATE(Table43_1[[#This Row],[Kode BARANG Win2]],5),'Form Fix'!$A$6:$H$663,4,0),0)</f>
        <v>0</v>
      </c>
    </row>
    <row r="32" spans="1:7">
      <c r="A32" t="s">
        <v>2684</v>
      </c>
      <c r="B32" t="s">
        <v>3053</v>
      </c>
      <c r="C32">
        <f>IFERROR(VLOOKUP(CONCATENATE(Table43_1[[#This Row],[Kode BARANG Win2]],1),'Form Fix'!$A$6:$H$663,4,0),0)</f>
        <v>0</v>
      </c>
      <c r="D32">
        <f>IFERROR(VLOOKUP(CONCATENATE(Table43_1[[#This Row],[Kode BARANG Win2]],2),'Form Fix'!$A$6:$H$663,4,0),0)</f>
        <v>0</v>
      </c>
      <c r="E32">
        <f>IFERROR(VLOOKUP(CONCATENATE(Table43_1[[#This Row],[Kode BARANG Win2]],3),'Form Fix'!$A$6:$H$663,4,0),0)</f>
        <v>0</v>
      </c>
      <c r="F32">
        <f>IFERROR(VLOOKUP(CONCATENATE(Table43_1[[#This Row],[Kode BARANG Win2]],4),'Form Fix'!$A$6:$H$663,4,0),0)</f>
        <v>0</v>
      </c>
      <c r="G32">
        <f>IFERROR(VLOOKUP(CONCATENATE(Table43_1[[#This Row],[Kode BARANG Win2]],5),'Form Fix'!$A$6:$H$663,4,0),0)</f>
        <v>0</v>
      </c>
    </row>
    <row r="33" spans="1:7">
      <c r="A33" t="s">
        <v>2685</v>
      </c>
      <c r="B33" t="s">
        <v>3054</v>
      </c>
      <c r="C33">
        <f>IFERROR(VLOOKUP(CONCATENATE(Table43_1[[#This Row],[Kode BARANG Win2]],1),'Form Fix'!$A$6:$H$663,4,0),0)</f>
        <v>0</v>
      </c>
      <c r="D33">
        <f>IFERROR(VLOOKUP(CONCATENATE(Table43_1[[#This Row],[Kode BARANG Win2]],2),'Form Fix'!$A$6:$H$663,4,0),0)</f>
        <v>0</v>
      </c>
      <c r="E33">
        <f>IFERROR(VLOOKUP(CONCATENATE(Table43_1[[#This Row],[Kode BARANG Win2]],3),'Form Fix'!$A$6:$H$663,4,0),0)</f>
        <v>0</v>
      </c>
      <c r="F33">
        <f>IFERROR(VLOOKUP(CONCATENATE(Table43_1[[#This Row],[Kode BARANG Win2]],4),'Form Fix'!$A$6:$H$663,4,0),0)</f>
        <v>0</v>
      </c>
      <c r="G33">
        <f>IFERROR(VLOOKUP(CONCATENATE(Table43_1[[#This Row],[Kode BARANG Win2]],5),'Form Fix'!$A$6:$H$663,4,0),0)</f>
        <v>0</v>
      </c>
    </row>
    <row r="34" spans="1:7">
      <c r="A34" t="s">
        <v>2686</v>
      </c>
      <c r="B34" t="s">
        <v>3055</v>
      </c>
      <c r="C34">
        <f>IFERROR(VLOOKUP(CONCATENATE(Table43_1[[#This Row],[Kode BARANG Win2]],1),'Form Fix'!$A$6:$H$663,4,0),0)</f>
        <v>0</v>
      </c>
      <c r="D34">
        <f>IFERROR(VLOOKUP(CONCATENATE(Table43_1[[#This Row],[Kode BARANG Win2]],2),'Form Fix'!$A$6:$H$663,4,0),0)</f>
        <v>0</v>
      </c>
      <c r="E34">
        <f>IFERROR(VLOOKUP(CONCATENATE(Table43_1[[#This Row],[Kode BARANG Win2]],3),'Form Fix'!$A$6:$H$663,4,0),0)</f>
        <v>0</v>
      </c>
      <c r="F34">
        <f>IFERROR(VLOOKUP(CONCATENATE(Table43_1[[#This Row],[Kode BARANG Win2]],4),'Form Fix'!$A$6:$H$663,4,0),0)</f>
        <v>0</v>
      </c>
      <c r="G34">
        <f>IFERROR(VLOOKUP(CONCATENATE(Table43_1[[#This Row],[Kode BARANG Win2]],5),'Form Fix'!$A$6:$H$663,4,0),0)</f>
        <v>0</v>
      </c>
    </row>
    <row r="35" spans="1:7">
      <c r="A35" t="s">
        <v>2687</v>
      </c>
      <c r="B35" t="s">
        <v>3056</v>
      </c>
      <c r="C35">
        <f>IFERROR(VLOOKUP(CONCATENATE(Table43_1[[#This Row],[Kode BARANG Win2]],1),'Form Fix'!$A$6:$H$663,4,0),0)</f>
        <v>0</v>
      </c>
      <c r="D35">
        <f>IFERROR(VLOOKUP(CONCATENATE(Table43_1[[#This Row],[Kode BARANG Win2]],2),'Form Fix'!$A$6:$H$663,4,0),0)</f>
        <v>0</v>
      </c>
      <c r="E35">
        <f>IFERROR(VLOOKUP(CONCATENATE(Table43_1[[#This Row],[Kode BARANG Win2]],3),'Form Fix'!$A$6:$H$663,4,0),0)</f>
        <v>0</v>
      </c>
      <c r="F35">
        <f>IFERROR(VLOOKUP(CONCATENATE(Table43_1[[#This Row],[Kode BARANG Win2]],4),'Form Fix'!$A$6:$H$663,4,0),0)</f>
        <v>0</v>
      </c>
      <c r="G35">
        <f>IFERROR(VLOOKUP(CONCATENATE(Table43_1[[#This Row],[Kode BARANG Win2]],5),'Form Fix'!$A$6:$H$663,4,0),0)</f>
        <v>0</v>
      </c>
    </row>
    <row r="36" spans="1:7">
      <c r="A36" t="s">
        <v>2688</v>
      </c>
      <c r="B36" t="s">
        <v>3057</v>
      </c>
      <c r="C36">
        <f>IFERROR(VLOOKUP(CONCATENATE(Table43_1[[#This Row],[Kode BARANG Win2]],1),'Form Fix'!$A$6:$H$663,4,0),0)</f>
        <v>0</v>
      </c>
      <c r="D36">
        <f>IFERROR(VLOOKUP(CONCATENATE(Table43_1[[#This Row],[Kode BARANG Win2]],2),'Form Fix'!$A$6:$H$663,4,0),0)</f>
        <v>0</v>
      </c>
      <c r="E36">
        <f>IFERROR(VLOOKUP(CONCATENATE(Table43_1[[#This Row],[Kode BARANG Win2]],3),'Form Fix'!$A$6:$H$663,4,0),0)</f>
        <v>0</v>
      </c>
      <c r="F36">
        <f>IFERROR(VLOOKUP(CONCATENATE(Table43_1[[#This Row],[Kode BARANG Win2]],4),'Form Fix'!$A$6:$H$663,4,0),0)</f>
        <v>0</v>
      </c>
      <c r="G36">
        <f>IFERROR(VLOOKUP(CONCATENATE(Table43_1[[#This Row],[Kode BARANG Win2]],5),'Form Fix'!$A$6:$H$663,4,0),0)</f>
        <v>0</v>
      </c>
    </row>
    <row r="37" spans="1:7">
      <c r="A37" t="s">
        <v>2689</v>
      </c>
      <c r="B37" t="s">
        <v>3058</v>
      </c>
      <c r="C37">
        <f>IFERROR(VLOOKUP(CONCATENATE(Table43_1[[#This Row],[Kode BARANG Win2]],1),'Form Fix'!$A$6:$H$663,4,0),0)</f>
        <v>0</v>
      </c>
      <c r="D37">
        <f>IFERROR(VLOOKUP(CONCATENATE(Table43_1[[#This Row],[Kode BARANG Win2]],2),'Form Fix'!$A$6:$H$663,4,0),0)</f>
        <v>0</v>
      </c>
      <c r="E37">
        <f>IFERROR(VLOOKUP(CONCATENATE(Table43_1[[#This Row],[Kode BARANG Win2]],3),'Form Fix'!$A$6:$H$663,4,0),0)</f>
        <v>0</v>
      </c>
      <c r="F37">
        <f>IFERROR(VLOOKUP(CONCATENATE(Table43_1[[#This Row],[Kode BARANG Win2]],4),'Form Fix'!$A$6:$H$663,4,0),0)</f>
        <v>0</v>
      </c>
      <c r="G37">
        <f>IFERROR(VLOOKUP(CONCATENATE(Table43_1[[#This Row],[Kode BARANG Win2]],5),'Form Fix'!$A$6:$H$663,4,0),0)</f>
        <v>0</v>
      </c>
    </row>
    <row r="38" spans="1:7">
      <c r="A38" t="s">
        <v>2765</v>
      </c>
      <c r="B38" t="s">
        <v>3133</v>
      </c>
      <c r="C38">
        <f>IFERROR(VLOOKUP(CONCATENATE(Table43_1[[#This Row],[Kode BARANG Win2]],1),'Form Fix'!$A$6:$H$663,4,0),0)</f>
        <v>0</v>
      </c>
      <c r="D38">
        <f>IFERROR(VLOOKUP(CONCATENATE(Table43_1[[#This Row],[Kode BARANG Win2]],2),'Form Fix'!$A$6:$H$663,4,0),0)</f>
        <v>0</v>
      </c>
      <c r="E38">
        <f>IFERROR(VLOOKUP(CONCATENATE(Table43_1[[#This Row],[Kode BARANG Win2]],3),'Form Fix'!$A$6:$H$663,4,0),0)</f>
        <v>0</v>
      </c>
      <c r="F38">
        <f>IFERROR(VLOOKUP(CONCATENATE(Table43_1[[#This Row],[Kode BARANG Win2]],4),'Form Fix'!$A$6:$H$663,4,0),0)</f>
        <v>0</v>
      </c>
      <c r="G38">
        <f>IFERROR(VLOOKUP(CONCATENATE(Table43_1[[#This Row],[Kode BARANG Win2]],5),'Form Fix'!$A$6:$H$663,4,0),0)</f>
        <v>0</v>
      </c>
    </row>
    <row r="39" spans="1:7">
      <c r="A39" t="s">
        <v>2690</v>
      </c>
      <c r="B39" t="s">
        <v>3059</v>
      </c>
      <c r="C39">
        <f>IFERROR(VLOOKUP(CONCATENATE(Table43_1[[#This Row],[Kode BARANG Win2]],1),'Form Fix'!$A$6:$H$663,4,0),0)</f>
        <v>0</v>
      </c>
      <c r="D39">
        <f>IFERROR(VLOOKUP(CONCATENATE(Table43_1[[#This Row],[Kode BARANG Win2]],2),'Form Fix'!$A$6:$H$663,4,0),0)</f>
        <v>0</v>
      </c>
      <c r="E39">
        <f>IFERROR(VLOOKUP(CONCATENATE(Table43_1[[#This Row],[Kode BARANG Win2]],3),'Form Fix'!$A$6:$H$663,4,0),0)</f>
        <v>0</v>
      </c>
      <c r="F39">
        <f>IFERROR(VLOOKUP(CONCATENATE(Table43_1[[#This Row],[Kode BARANG Win2]],4),'Form Fix'!$A$6:$H$663,4,0),0)</f>
        <v>0</v>
      </c>
      <c r="G39">
        <f>IFERROR(VLOOKUP(CONCATENATE(Table43_1[[#This Row],[Kode BARANG Win2]],5),'Form Fix'!$A$6:$H$663,4,0),0)</f>
        <v>0</v>
      </c>
    </row>
    <row r="40" spans="1:7">
      <c r="A40" t="s">
        <v>2691</v>
      </c>
      <c r="B40" t="s">
        <v>3060</v>
      </c>
      <c r="C40">
        <f>IFERROR(VLOOKUP(CONCATENATE(Table43_1[[#This Row],[Kode BARANG Win2]],1),'Form Fix'!$A$6:$H$663,4,0),0)</f>
        <v>0</v>
      </c>
      <c r="D40">
        <f>IFERROR(VLOOKUP(CONCATENATE(Table43_1[[#This Row],[Kode BARANG Win2]],2),'Form Fix'!$A$6:$H$663,4,0),0)</f>
        <v>0</v>
      </c>
      <c r="E40">
        <f>IFERROR(VLOOKUP(CONCATENATE(Table43_1[[#This Row],[Kode BARANG Win2]],3),'Form Fix'!$A$6:$H$663,4,0),0)</f>
        <v>0</v>
      </c>
      <c r="F40">
        <f>IFERROR(VLOOKUP(CONCATENATE(Table43_1[[#This Row],[Kode BARANG Win2]],4),'Form Fix'!$A$6:$H$663,4,0),0)</f>
        <v>0</v>
      </c>
      <c r="G40">
        <f>IFERROR(VLOOKUP(CONCATENATE(Table43_1[[#This Row],[Kode BARANG Win2]],5),'Form Fix'!$A$6:$H$663,4,0),0)</f>
        <v>0</v>
      </c>
    </row>
    <row r="41" spans="1:7">
      <c r="A41" t="s">
        <v>2692</v>
      </c>
      <c r="B41" t="s">
        <v>3061</v>
      </c>
      <c r="C41">
        <f>IFERROR(VLOOKUP(CONCATENATE(Table43_1[[#This Row],[Kode BARANG Win2]],1),'Form Fix'!$A$6:$H$663,4,0),0)</f>
        <v>0</v>
      </c>
      <c r="D41">
        <f>IFERROR(VLOOKUP(CONCATENATE(Table43_1[[#This Row],[Kode BARANG Win2]],2),'Form Fix'!$A$6:$H$663,4,0),0)</f>
        <v>0</v>
      </c>
      <c r="E41">
        <f>IFERROR(VLOOKUP(CONCATENATE(Table43_1[[#This Row],[Kode BARANG Win2]],3),'Form Fix'!$A$6:$H$663,4,0),0)</f>
        <v>0</v>
      </c>
      <c r="F41">
        <f>IFERROR(VLOOKUP(CONCATENATE(Table43_1[[#This Row],[Kode BARANG Win2]],4),'Form Fix'!$A$6:$H$663,4,0),0)</f>
        <v>0</v>
      </c>
      <c r="G41">
        <f>IFERROR(VLOOKUP(CONCATENATE(Table43_1[[#This Row],[Kode BARANG Win2]],5),'Form Fix'!$A$6:$H$663,4,0),0)</f>
        <v>0</v>
      </c>
    </row>
    <row r="42" spans="1:7">
      <c r="A42" t="s">
        <v>2693</v>
      </c>
      <c r="B42" t="s">
        <v>3062</v>
      </c>
      <c r="C42">
        <f>IFERROR(VLOOKUP(CONCATENATE(Table43_1[[#This Row],[Kode BARANG Win2]],1),'Form Fix'!$A$6:$H$663,4,0),0)</f>
        <v>0</v>
      </c>
      <c r="D42">
        <f>IFERROR(VLOOKUP(CONCATENATE(Table43_1[[#This Row],[Kode BARANG Win2]],2),'Form Fix'!$A$6:$H$663,4,0),0)</f>
        <v>0</v>
      </c>
      <c r="E42">
        <f>IFERROR(VLOOKUP(CONCATENATE(Table43_1[[#This Row],[Kode BARANG Win2]],3),'Form Fix'!$A$6:$H$663,4,0),0)</f>
        <v>0</v>
      </c>
      <c r="F42">
        <f>IFERROR(VLOOKUP(CONCATENATE(Table43_1[[#This Row],[Kode BARANG Win2]],4),'Form Fix'!$A$6:$H$663,4,0),0)</f>
        <v>0</v>
      </c>
      <c r="G42">
        <f>IFERROR(VLOOKUP(CONCATENATE(Table43_1[[#This Row],[Kode BARANG Win2]],5),'Form Fix'!$A$6:$H$663,4,0),0)</f>
        <v>0</v>
      </c>
    </row>
    <row r="43" spans="1:7">
      <c r="A43" t="s">
        <v>2694</v>
      </c>
      <c r="B43" t="s">
        <v>3063</v>
      </c>
      <c r="C43">
        <f>IFERROR(VLOOKUP(CONCATENATE(Table43_1[[#This Row],[Kode BARANG Win2]],1),'Form Fix'!$A$6:$H$663,4,0),0)</f>
        <v>0</v>
      </c>
      <c r="D43">
        <f>IFERROR(VLOOKUP(CONCATENATE(Table43_1[[#This Row],[Kode BARANG Win2]],2),'Form Fix'!$A$6:$H$663,4,0),0)</f>
        <v>0</v>
      </c>
      <c r="E43">
        <f>IFERROR(VLOOKUP(CONCATENATE(Table43_1[[#This Row],[Kode BARANG Win2]],3),'Form Fix'!$A$6:$H$663,4,0),0)</f>
        <v>0</v>
      </c>
      <c r="F43">
        <f>IFERROR(VLOOKUP(CONCATENATE(Table43_1[[#This Row],[Kode BARANG Win2]],4),'Form Fix'!$A$6:$H$663,4,0),0)</f>
        <v>0</v>
      </c>
      <c r="G43">
        <f>IFERROR(VLOOKUP(CONCATENATE(Table43_1[[#This Row],[Kode BARANG Win2]],5),'Form Fix'!$A$6:$H$663,4,0),0)</f>
        <v>0</v>
      </c>
    </row>
    <row r="44" spans="1:7">
      <c r="A44" t="s">
        <v>2695</v>
      </c>
      <c r="B44" t="s">
        <v>3064</v>
      </c>
      <c r="C44">
        <f>IFERROR(VLOOKUP(CONCATENATE(Table43_1[[#This Row],[Kode BARANG Win2]],1),'Form Fix'!$A$6:$H$663,4,0),0)</f>
        <v>0</v>
      </c>
      <c r="D44">
        <f>IFERROR(VLOOKUP(CONCATENATE(Table43_1[[#This Row],[Kode BARANG Win2]],2),'Form Fix'!$A$6:$H$663,4,0),0)</f>
        <v>0</v>
      </c>
      <c r="E44">
        <f>IFERROR(VLOOKUP(CONCATENATE(Table43_1[[#This Row],[Kode BARANG Win2]],3),'Form Fix'!$A$6:$H$663,4,0),0)</f>
        <v>0</v>
      </c>
      <c r="F44">
        <f>IFERROR(VLOOKUP(CONCATENATE(Table43_1[[#This Row],[Kode BARANG Win2]],4),'Form Fix'!$A$6:$H$663,4,0),0)</f>
        <v>0</v>
      </c>
      <c r="G44">
        <f>IFERROR(VLOOKUP(CONCATENATE(Table43_1[[#This Row],[Kode BARANG Win2]],5),'Form Fix'!$A$6:$H$663,4,0),0)</f>
        <v>0</v>
      </c>
    </row>
    <row r="45" spans="1:7">
      <c r="A45" t="s">
        <v>2696</v>
      </c>
      <c r="B45" t="s">
        <v>3065</v>
      </c>
      <c r="C45">
        <f>IFERROR(VLOOKUP(CONCATENATE(Table43_1[[#This Row],[Kode BARANG Win2]],1),'Form Fix'!$A$6:$H$663,4,0),0)</f>
        <v>0</v>
      </c>
      <c r="D45">
        <f>IFERROR(VLOOKUP(CONCATENATE(Table43_1[[#This Row],[Kode BARANG Win2]],2),'Form Fix'!$A$6:$H$663,4,0),0)</f>
        <v>0</v>
      </c>
      <c r="E45">
        <f>IFERROR(VLOOKUP(CONCATENATE(Table43_1[[#This Row],[Kode BARANG Win2]],3),'Form Fix'!$A$6:$H$663,4,0),0)</f>
        <v>0</v>
      </c>
      <c r="F45">
        <f>IFERROR(VLOOKUP(CONCATENATE(Table43_1[[#This Row],[Kode BARANG Win2]],4),'Form Fix'!$A$6:$H$663,4,0),0)</f>
        <v>0</v>
      </c>
      <c r="G45">
        <f>IFERROR(VLOOKUP(CONCATENATE(Table43_1[[#This Row],[Kode BARANG Win2]],5),'Form Fix'!$A$6:$H$663,4,0),0)</f>
        <v>0</v>
      </c>
    </row>
    <row r="46" spans="1:7">
      <c r="A46" t="s">
        <v>2697</v>
      </c>
      <c r="B46" t="s">
        <v>3066</v>
      </c>
      <c r="C46">
        <f>IFERROR(VLOOKUP(CONCATENATE(Table43_1[[#This Row],[Kode BARANG Win2]],1),'Form Fix'!$A$6:$H$663,4,0),0)</f>
        <v>0</v>
      </c>
      <c r="D46">
        <f>IFERROR(VLOOKUP(CONCATENATE(Table43_1[[#This Row],[Kode BARANG Win2]],2),'Form Fix'!$A$6:$H$663,4,0),0)</f>
        <v>0</v>
      </c>
      <c r="E46">
        <f>IFERROR(VLOOKUP(CONCATENATE(Table43_1[[#This Row],[Kode BARANG Win2]],3),'Form Fix'!$A$6:$H$663,4,0),0)</f>
        <v>0</v>
      </c>
      <c r="F46">
        <f>IFERROR(VLOOKUP(CONCATENATE(Table43_1[[#This Row],[Kode BARANG Win2]],4),'Form Fix'!$A$6:$H$663,4,0),0)</f>
        <v>0</v>
      </c>
      <c r="G46">
        <f>IFERROR(VLOOKUP(CONCATENATE(Table43_1[[#This Row],[Kode BARANG Win2]],5),'Form Fix'!$A$6:$H$663,4,0),0)</f>
        <v>0</v>
      </c>
    </row>
    <row r="47" spans="1:7">
      <c r="A47" t="s">
        <v>2698</v>
      </c>
      <c r="B47" t="s">
        <v>3067</v>
      </c>
      <c r="C47">
        <f>IFERROR(VLOOKUP(CONCATENATE(Table43_1[[#This Row],[Kode BARANG Win2]],1),'Form Fix'!$A$6:$H$663,4,0),0)</f>
        <v>0</v>
      </c>
      <c r="D47">
        <f>IFERROR(VLOOKUP(CONCATENATE(Table43_1[[#This Row],[Kode BARANG Win2]],2),'Form Fix'!$A$6:$H$663,4,0),0)</f>
        <v>0</v>
      </c>
      <c r="E47">
        <f>IFERROR(VLOOKUP(CONCATENATE(Table43_1[[#This Row],[Kode BARANG Win2]],3),'Form Fix'!$A$6:$H$663,4,0),0)</f>
        <v>0</v>
      </c>
      <c r="F47">
        <f>IFERROR(VLOOKUP(CONCATENATE(Table43_1[[#This Row],[Kode BARANG Win2]],4),'Form Fix'!$A$6:$H$663,4,0),0)</f>
        <v>0</v>
      </c>
      <c r="G47">
        <f>IFERROR(VLOOKUP(CONCATENATE(Table43_1[[#This Row],[Kode BARANG Win2]],5),'Form Fix'!$A$6:$H$663,4,0),0)</f>
        <v>0</v>
      </c>
    </row>
    <row r="48" spans="1:7">
      <c r="A48" t="s">
        <v>2699</v>
      </c>
      <c r="B48" t="s">
        <v>3068</v>
      </c>
      <c r="C48">
        <f>IFERROR(VLOOKUP(CONCATENATE(Table43_1[[#This Row],[Kode BARANG Win2]],1),'Form Fix'!$A$6:$H$663,4,0),0)</f>
        <v>0</v>
      </c>
      <c r="D48">
        <f>IFERROR(VLOOKUP(CONCATENATE(Table43_1[[#This Row],[Kode BARANG Win2]],2),'Form Fix'!$A$6:$H$663,4,0),0)</f>
        <v>0</v>
      </c>
      <c r="E48">
        <f>IFERROR(VLOOKUP(CONCATENATE(Table43_1[[#This Row],[Kode BARANG Win2]],3),'Form Fix'!$A$6:$H$663,4,0),0)</f>
        <v>0</v>
      </c>
      <c r="F48">
        <f>IFERROR(VLOOKUP(CONCATENATE(Table43_1[[#This Row],[Kode BARANG Win2]],4),'Form Fix'!$A$6:$H$663,4,0),0)</f>
        <v>0</v>
      </c>
      <c r="G48">
        <f>IFERROR(VLOOKUP(CONCATENATE(Table43_1[[#This Row],[Kode BARANG Win2]],5),'Form Fix'!$A$6:$H$663,4,0),0)</f>
        <v>0</v>
      </c>
    </row>
    <row r="49" spans="1:7">
      <c r="A49" t="s">
        <v>3450</v>
      </c>
      <c r="B49" t="s">
        <v>3523</v>
      </c>
      <c r="C49">
        <f>IFERROR(VLOOKUP(CONCATENATE(Table43_1[[#This Row],[Kode BARANG Win2]],1),'Form Fix'!$A$6:$H$663,4,0),0)</f>
        <v>0</v>
      </c>
      <c r="D49">
        <f>IFERROR(VLOOKUP(CONCATENATE(Table43_1[[#This Row],[Kode BARANG Win2]],2),'Form Fix'!$A$6:$H$663,4,0),0)</f>
        <v>0</v>
      </c>
      <c r="E49">
        <f>IFERROR(VLOOKUP(CONCATENATE(Table43_1[[#This Row],[Kode BARANG Win2]],3),'Form Fix'!$A$6:$H$663,4,0),0)</f>
        <v>0</v>
      </c>
      <c r="F49">
        <f>IFERROR(VLOOKUP(CONCATENATE(Table43_1[[#This Row],[Kode BARANG Win2]],4),'Form Fix'!$A$6:$H$663,4,0),0)</f>
        <v>0</v>
      </c>
      <c r="G49">
        <f>IFERROR(VLOOKUP(CONCATENATE(Table43_1[[#This Row],[Kode BARANG Win2]],5),'Form Fix'!$A$6:$H$663,4,0),0)</f>
        <v>0</v>
      </c>
    </row>
    <row r="50" spans="1:7">
      <c r="A50" t="s">
        <v>2700</v>
      </c>
      <c r="B50" t="s">
        <v>3069</v>
      </c>
      <c r="C50">
        <f>IFERROR(VLOOKUP(CONCATENATE(Table43_1[[#This Row],[Kode BARANG Win2]],1),'Form Fix'!$A$6:$H$663,4,0),0)</f>
        <v>0</v>
      </c>
      <c r="D50">
        <f>IFERROR(VLOOKUP(CONCATENATE(Table43_1[[#This Row],[Kode BARANG Win2]],2),'Form Fix'!$A$6:$H$663,4,0),0)</f>
        <v>0</v>
      </c>
      <c r="E50">
        <f>IFERROR(VLOOKUP(CONCATENATE(Table43_1[[#This Row],[Kode BARANG Win2]],3),'Form Fix'!$A$6:$H$663,4,0),0)</f>
        <v>0</v>
      </c>
      <c r="F50">
        <f>IFERROR(VLOOKUP(CONCATENATE(Table43_1[[#This Row],[Kode BARANG Win2]],4),'Form Fix'!$A$6:$H$663,4,0),0)</f>
        <v>0</v>
      </c>
      <c r="G50">
        <f>IFERROR(VLOOKUP(CONCATENATE(Table43_1[[#This Row],[Kode BARANG Win2]],5),'Form Fix'!$A$6:$H$663,4,0),0)</f>
        <v>0</v>
      </c>
    </row>
    <row r="51" spans="1:7">
      <c r="A51" t="s">
        <v>2701</v>
      </c>
      <c r="B51" t="s">
        <v>3070</v>
      </c>
      <c r="C51">
        <f>IFERROR(VLOOKUP(CONCATENATE(Table43_1[[#This Row],[Kode BARANG Win2]],1),'Form Fix'!$A$6:$H$663,4,0),0)</f>
        <v>0</v>
      </c>
      <c r="D51">
        <f>IFERROR(VLOOKUP(CONCATENATE(Table43_1[[#This Row],[Kode BARANG Win2]],2),'Form Fix'!$A$6:$H$663,4,0),0)</f>
        <v>0</v>
      </c>
      <c r="E51">
        <f>IFERROR(VLOOKUP(CONCATENATE(Table43_1[[#This Row],[Kode BARANG Win2]],3),'Form Fix'!$A$6:$H$663,4,0),0)</f>
        <v>0</v>
      </c>
      <c r="F51">
        <f>IFERROR(VLOOKUP(CONCATENATE(Table43_1[[#This Row],[Kode BARANG Win2]],4),'Form Fix'!$A$6:$H$663,4,0),0)</f>
        <v>0</v>
      </c>
      <c r="G51">
        <f>IFERROR(VLOOKUP(CONCATENATE(Table43_1[[#This Row],[Kode BARANG Win2]],5),'Form Fix'!$A$6:$H$663,4,0),0)</f>
        <v>0</v>
      </c>
    </row>
    <row r="52" spans="1:7">
      <c r="A52" t="s">
        <v>2702</v>
      </c>
      <c r="B52" t="s">
        <v>3071</v>
      </c>
      <c r="C52">
        <f>IFERROR(VLOOKUP(CONCATENATE(Table43_1[[#This Row],[Kode BARANG Win2]],1),'Form Fix'!$A$6:$H$663,4,0),0)</f>
        <v>0</v>
      </c>
      <c r="D52">
        <f>IFERROR(VLOOKUP(CONCATENATE(Table43_1[[#This Row],[Kode BARANG Win2]],2),'Form Fix'!$A$6:$H$663,4,0),0)</f>
        <v>0</v>
      </c>
      <c r="E52">
        <f>IFERROR(VLOOKUP(CONCATENATE(Table43_1[[#This Row],[Kode BARANG Win2]],3),'Form Fix'!$A$6:$H$663,4,0),0)</f>
        <v>0</v>
      </c>
      <c r="F52">
        <f>IFERROR(VLOOKUP(CONCATENATE(Table43_1[[#This Row],[Kode BARANG Win2]],4),'Form Fix'!$A$6:$H$663,4,0),0)</f>
        <v>0</v>
      </c>
      <c r="G52">
        <f>IFERROR(VLOOKUP(CONCATENATE(Table43_1[[#This Row],[Kode BARANG Win2]],5),'Form Fix'!$A$6:$H$663,4,0),0)</f>
        <v>0</v>
      </c>
    </row>
    <row r="53" spans="1:7">
      <c r="A53" t="s">
        <v>2703</v>
      </c>
      <c r="B53" t="s">
        <v>3072</v>
      </c>
      <c r="C53">
        <f>IFERROR(VLOOKUP(CONCATENATE(Table43_1[[#This Row],[Kode BARANG Win2]],1),'Form Fix'!$A$6:$H$663,4,0),0)</f>
        <v>0</v>
      </c>
      <c r="D53">
        <f>IFERROR(VLOOKUP(CONCATENATE(Table43_1[[#This Row],[Kode BARANG Win2]],2),'Form Fix'!$A$6:$H$663,4,0),0)</f>
        <v>0</v>
      </c>
      <c r="E53">
        <f>IFERROR(VLOOKUP(CONCATENATE(Table43_1[[#This Row],[Kode BARANG Win2]],3),'Form Fix'!$A$6:$H$663,4,0),0)</f>
        <v>0</v>
      </c>
      <c r="F53">
        <f>IFERROR(VLOOKUP(CONCATENATE(Table43_1[[#This Row],[Kode BARANG Win2]],4),'Form Fix'!$A$6:$H$663,4,0),0)</f>
        <v>0</v>
      </c>
      <c r="G53">
        <f>IFERROR(VLOOKUP(CONCATENATE(Table43_1[[#This Row],[Kode BARANG Win2]],5),'Form Fix'!$A$6:$H$663,4,0),0)</f>
        <v>0</v>
      </c>
    </row>
    <row r="54" spans="1:7">
      <c r="A54" t="s">
        <v>2704</v>
      </c>
      <c r="B54" t="s">
        <v>3073</v>
      </c>
      <c r="C54">
        <f>IFERROR(VLOOKUP(CONCATENATE(Table43_1[[#This Row],[Kode BARANG Win2]],1),'Form Fix'!$A$6:$H$663,4,0),0)</f>
        <v>0</v>
      </c>
      <c r="D54">
        <f>IFERROR(VLOOKUP(CONCATENATE(Table43_1[[#This Row],[Kode BARANG Win2]],2),'Form Fix'!$A$6:$H$663,4,0),0)</f>
        <v>0</v>
      </c>
      <c r="E54">
        <f>IFERROR(VLOOKUP(CONCATENATE(Table43_1[[#This Row],[Kode BARANG Win2]],3),'Form Fix'!$A$6:$H$663,4,0),0)</f>
        <v>0</v>
      </c>
      <c r="F54">
        <f>IFERROR(VLOOKUP(CONCATENATE(Table43_1[[#This Row],[Kode BARANG Win2]],4),'Form Fix'!$A$6:$H$663,4,0),0)</f>
        <v>0</v>
      </c>
      <c r="G54">
        <f>IFERROR(VLOOKUP(CONCATENATE(Table43_1[[#This Row],[Kode BARANG Win2]],5),'Form Fix'!$A$6:$H$663,4,0),0)</f>
        <v>0</v>
      </c>
    </row>
    <row r="55" spans="1:7">
      <c r="A55" t="s">
        <v>2705</v>
      </c>
      <c r="B55" t="s">
        <v>3074</v>
      </c>
      <c r="C55">
        <f>IFERROR(VLOOKUP(CONCATENATE(Table43_1[[#This Row],[Kode BARANG Win2]],1),'Form Fix'!$A$6:$H$663,4,0),0)</f>
        <v>0</v>
      </c>
      <c r="D55">
        <f>IFERROR(VLOOKUP(CONCATENATE(Table43_1[[#This Row],[Kode BARANG Win2]],2),'Form Fix'!$A$6:$H$663,4,0),0)</f>
        <v>0</v>
      </c>
      <c r="E55">
        <f>IFERROR(VLOOKUP(CONCATENATE(Table43_1[[#This Row],[Kode BARANG Win2]],3),'Form Fix'!$A$6:$H$663,4,0),0)</f>
        <v>0</v>
      </c>
      <c r="F55">
        <f>IFERROR(VLOOKUP(CONCATENATE(Table43_1[[#This Row],[Kode BARANG Win2]],4),'Form Fix'!$A$6:$H$663,4,0),0)</f>
        <v>0</v>
      </c>
      <c r="G55">
        <f>IFERROR(VLOOKUP(CONCATENATE(Table43_1[[#This Row],[Kode BARANG Win2]],5),'Form Fix'!$A$6:$H$663,4,0),0)</f>
        <v>0</v>
      </c>
    </row>
    <row r="56" spans="1:7">
      <c r="A56" t="s">
        <v>2706</v>
      </c>
      <c r="B56" t="s">
        <v>3075</v>
      </c>
      <c r="C56">
        <f>IFERROR(VLOOKUP(CONCATENATE(Table43_1[[#This Row],[Kode BARANG Win2]],1),'Form Fix'!$A$6:$H$663,4,0),0)</f>
        <v>0</v>
      </c>
      <c r="D56">
        <f>IFERROR(VLOOKUP(CONCATENATE(Table43_1[[#This Row],[Kode BARANG Win2]],2),'Form Fix'!$A$6:$H$663,4,0),0)</f>
        <v>0</v>
      </c>
      <c r="E56">
        <f>IFERROR(VLOOKUP(CONCATENATE(Table43_1[[#This Row],[Kode BARANG Win2]],3),'Form Fix'!$A$6:$H$663,4,0),0)</f>
        <v>0</v>
      </c>
      <c r="F56">
        <f>IFERROR(VLOOKUP(CONCATENATE(Table43_1[[#This Row],[Kode BARANG Win2]],4),'Form Fix'!$A$6:$H$663,4,0),0)</f>
        <v>0</v>
      </c>
      <c r="G56">
        <f>IFERROR(VLOOKUP(CONCATENATE(Table43_1[[#This Row],[Kode BARANG Win2]],5),'Form Fix'!$A$6:$H$663,4,0),0)</f>
        <v>0</v>
      </c>
    </row>
    <row r="57" spans="1:7">
      <c r="A57" t="s">
        <v>2707</v>
      </c>
      <c r="B57" t="s">
        <v>3076</v>
      </c>
      <c r="C57">
        <f>IFERROR(VLOOKUP(CONCATENATE(Table43_1[[#This Row],[Kode BARANG Win2]],1),'Form Fix'!$A$6:$H$663,4,0),0)</f>
        <v>0</v>
      </c>
      <c r="D57">
        <f>IFERROR(VLOOKUP(CONCATENATE(Table43_1[[#This Row],[Kode BARANG Win2]],2),'Form Fix'!$A$6:$H$663,4,0),0)</f>
        <v>0</v>
      </c>
      <c r="E57">
        <f>IFERROR(VLOOKUP(CONCATENATE(Table43_1[[#This Row],[Kode BARANG Win2]],3),'Form Fix'!$A$6:$H$663,4,0),0)</f>
        <v>0</v>
      </c>
      <c r="F57">
        <f>IFERROR(VLOOKUP(CONCATENATE(Table43_1[[#This Row],[Kode BARANG Win2]],4),'Form Fix'!$A$6:$H$663,4,0),0)</f>
        <v>0</v>
      </c>
      <c r="G57">
        <f>IFERROR(VLOOKUP(CONCATENATE(Table43_1[[#This Row],[Kode BARANG Win2]],5),'Form Fix'!$A$6:$H$663,4,0),0)</f>
        <v>0</v>
      </c>
    </row>
    <row r="58" spans="1:7">
      <c r="A58" t="s">
        <v>2708</v>
      </c>
      <c r="B58" t="s">
        <v>3077</v>
      </c>
      <c r="C58">
        <f>IFERROR(VLOOKUP(CONCATENATE(Table43_1[[#This Row],[Kode BARANG Win2]],1),'Form Fix'!$A$6:$H$663,4,0),0)</f>
        <v>0</v>
      </c>
      <c r="D58">
        <f>IFERROR(VLOOKUP(CONCATENATE(Table43_1[[#This Row],[Kode BARANG Win2]],2),'Form Fix'!$A$6:$H$663,4,0),0)</f>
        <v>0</v>
      </c>
      <c r="E58">
        <f>IFERROR(VLOOKUP(CONCATENATE(Table43_1[[#This Row],[Kode BARANG Win2]],3),'Form Fix'!$A$6:$H$663,4,0),0)</f>
        <v>0</v>
      </c>
      <c r="F58">
        <f>IFERROR(VLOOKUP(CONCATENATE(Table43_1[[#This Row],[Kode BARANG Win2]],4),'Form Fix'!$A$6:$H$663,4,0),0)</f>
        <v>0</v>
      </c>
      <c r="G58">
        <f>IFERROR(VLOOKUP(CONCATENATE(Table43_1[[#This Row],[Kode BARANG Win2]],5),'Form Fix'!$A$6:$H$663,4,0),0)</f>
        <v>0</v>
      </c>
    </row>
    <row r="59" spans="1:7">
      <c r="A59" t="s">
        <v>2709</v>
      </c>
      <c r="B59" t="s">
        <v>3078</v>
      </c>
      <c r="C59">
        <f>IFERROR(VLOOKUP(CONCATENATE(Table43_1[[#This Row],[Kode BARANG Win2]],1),'Form Fix'!$A$6:$H$663,4,0),0)</f>
        <v>0</v>
      </c>
      <c r="D59">
        <f>IFERROR(VLOOKUP(CONCATENATE(Table43_1[[#This Row],[Kode BARANG Win2]],2),'Form Fix'!$A$6:$H$663,4,0),0)</f>
        <v>0</v>
      </c>
      <c r="E59">
        <f>IFERROR(VLOOKUP(CONCATENATE(Table43_1[[#This Row],[Kode BARANG Win2]],3),'Form Fix'!$A$6:$H$663,4,0),0)</f>
        <v>0</v>
      </c>
      <c r="F59">
        <f>IFERROR(VLOOKUP(CONCATENATE(Table43_1[[#This Row],[Kode BARANG Win2]],4),'Form Fix'!$A$6:$H$663,4,0),0)</f>
        <v>0</v>
      </c>
      <c r="G59">
        <f>IFERROR(VLOOKUP(CONCATENATE(Table43_1[[#This Row],[Kode BARANG Win2]],5),'Form Fix'!$A$6:$H$663,4,0),0)</f>
        <v>0</v>
      </c>
    </row>
    <row r="60" spans="1:7">
      <c r="A60" t="s">
        <v>2710</v>
      </c>
      <c r="B60" t="s">
        <v>3079</v>
      </c>
      <c r="C60">
        <f>IFERROR(VLOOKUP(CONCATENATE(Table43_1[[#This Row],[Kode BARANG Win2]],1),'Form Fix'!$A$6:$H$663,4,0),0)</f>
        <v>0</v>
      </c>
      <c r="D60">
        <f>IFERROR(VLOOKUP(CONCATENATE(Table43_1[[#This Row],[Kode BARANG Win2]],2),'Form Fix'!$A$6:$H$663,4,0),0)</f>
        <v>0</v>
      </c>
      <c r="E60">
        <f>IFERROR(VLOOKUP(CONCATENATE(Table43_1[[#This Row],[Kode BARANG Win2]],3),'Form Fix'!$A$6:$H$663,4,0),0)</f>
        <v>0</v>
      </c>
      <c r="F60">
        <f>IFERROR(VLOOKUP(CONCATENATE(Table43_1[[#This Row],[Kode BARANG Win2]],4),'Form Fix'!$A$6:$H$663,4,0),0)</f>
        <v>0</v>
      </c>
      <c r="G60">
        <f>IFERROR(VLOOKUP(CONCATENATE(Table43_1[[#This Row],[Kode BARANG Win2]],5),'Form Fix'!$A$6:$H$663,4,0),0)</f>
        <v>0</v>
      </c>
    </row>
    <row r="61" spans="1:7">
      <c r="A61" t="s">
        <v>2711</v>
      </c>
      <c r="B61" t="s">
        <v>3080</v>
      </c>
      <c r="C61">
        <f>IFERROR(VLOOKUP(CONCATENATE(Table43_1[[#This Row],[Kode BARANG Win2]],1),'Form Fix'!$A$6:$H$663,4,0),0)</f>
        <v>0</v>
      </c>
      <c r="D61">
        <f>IFERROR(VLOOKUP(CONCATENATE(Table43_1[[#This Row],[Kode BARANG Win2]],2),'Form Fix'!$A$6:$H$663,4,0),0)</f>
        <v>0</v>
      </c>
      <c r="E61">
        <f>IFERROR(VLOOKUP(CONCATENATE(Table43_1[[#This Row],[Kode BARANG Win2]],3),'Form Fix'!$A$6:$H$663,4,0),0)</f>
        <v>0</v>
      </c>
      <c r="F61">
        <f>IFERROR(VLOOKUP(CONCATENATE(Table43_1[[#This Row],[Kode BARANG Win2]],4),'Form Fix'!$A$6:$H$663,4,0),0)</f>
        <v>0</v>
      </c>
      <c r="G61">
        <f>IFERROR(VLOOKUP(CONCATENATE(Table43_1[[#This Row],[Kode BARANG Win2]],5),'Form Fix'!$A$6:$H$663,4,0),0)</f>
        <v>0</v>
      </c>
    </row>
    <row r="62" spans="1:7">
      <c r="A62" t="s">
        <v>2712</v>
      </c>
      <c r="B62" t="s">
        <v>3081</v>
      </c>
      <c r="C62">
        <f>IFERROR(VLOOKUP(CONCATENATE(Table43_1[[#This Row],[Kode BARANG Win2]],1),'Form Fix'!$A$6:$H$663,4,0),0)</f>
        <v>0</v>
      </c>
      <c r="D62">
        <f>IFERROR(VLOOKUP(CONCATENATE(Table43_1[[#This Row],[Kode BARANG Win2]],2),'Form Fix'!$A$6:$H$663,4,0),0)</f>
        <v>0</v>
      </c>
      <c r="E62">
        <f>IFERROR(VLOOKUP(CONCATENATE(Table43_1[[#This Row],[Kode BARANG Win2]],3),'Form Fix'!$A$6:$H$663,4,0),0)</f>
        <v>0</v>
      </c>
      <c r="F62">
        <f>IFERROR(VLOOKUP(CONCATENATE(Table43_1[[#This Row],[Kode BARANG Win2]],4),'Form Fix'!$A$6:$H$663,4,0),0)</f>
        <v>0</v>
      </c>
      <c r="G62">
        <f>IFERROR(VLOOKUP(CONCATENATE(Table43_1[[#This Row],[Kode BARANG Win2]],5),'Form Fix'!$A$6:$H$663,4,0),0)</f>
        <v>0</v>
      </c>
    </row>
    <row r="63" spans="1:7">
      <c r="A63" t="s">
        <v>2713</v>
      </c>
      <c r="B63" t="s">
        <v>3082</v>
      </c>
      <c r="C63">
        <f>IFERROR(VLOOKUP(CONCATENATE(Table43_1[[#This Row],[Kode BARANG Win2]],1),'Form Fix'!$A$6:$H$663,4,0),0)</f>
        <v>0</v>
      </c>
      <c r="D63">
        <f>IFERROR(VLOOKUP(CONCATENATE(Table43_1[[#This Row],[Kode BARANG Win2]],2),'Form Fix'!$A$6:$H$663,4,0),0)</f>
        <v>0</v>
      </c>
      <c r="E63">
        <f>IFERROR(VLOOKUP(CONCATENATE(Table43_1[[#This Row],[Kode BARANG Win2]],3),'Form Fix'!$A$6:$H$663,4,0),0)</f>
        <v>0</v>
      </c>
      <c r="F63">
        <f>IFERROR(VLOOKUP(CONCATENATE(Table43_1[[#This Row],[Kode BARANG Win2]],4),'Form Fix'!$A$6:$H$663,4,0),0)</f>
        <v>0</v>
      </c>
      <c r="G63">
        <f>IFERROR(VLOOKUP(CONCATENATE(Table43_1[[#This Row],[Kode BARANG Win2]],5),'Form Fix'!$A$6:$H$663,4,0),0)</f>
        <v>0</v>
      </c>
    </row>
    <row r="64" spans="1:7">
      <c r="A64" t="s">
        <v>2714</v>
      </c>
      <c r="B64" t="s">
        <v>3083</v>
      </c>
      <c r="C64">
        <f>IFERROR(VLOOKUP(CONCATENATE(Table43_1[[#This Row],[Kode BARANG Win2]],1),'Form Fix'!$A$6:$H$663,4,0),0)</f>
        <v>0</v>
      </c>
      <c r="D64">
        <f>IFERROR(VLOOKUP(CONCATENATE(Table43_1[[#This Row],[Kode BARANG Win2]],2),'Form Fix'!$A$6:$H$663,4,0),0)</f>
        <v>0</v>
      </c>
      <c r="E64">
        <f>IFERROR(VLOOKUP(CONCATENATE(Table43_1[[#This Row],[Kode BARANG Win2]],3),'Form Fix'!$A$6:$H$663,4,0),0)</f>
        <v>0</v>
      </c>
      <c r="F64">
        <f>IFERROR(VLOOKUP(CONCATENATE(Table43_1[[#This Row],[Kode BARANG Win2]],4),'Form Fix'!$A$6:$H$663,4,0),0)</f>
        <v>0</v>
      </c>
      <c r="G64">
        <f>IFERROR(VLOOKUP(CONCATENATE(Table43_1[[#This Row],[Kode BARANG Win2]],5),'Form Fix'!$A$6:$H$663,4,0),0)</f>
        <v>0</v>
      </c>
    </row>
    <row r="65" spans="1:7">
      <c r="A65" t="s">
        <v>2715</v>
      </c>
      <c r="B65" t="s">
        <v>3084</v>
      </c>
      <c r="C65">
        <f>IFERROR(VLOOKUP(CONCATENATE(Table43_1[[#This Row],[Kode BARANG Win2]],1),'Form Fix'!$A$6:$H$663,4,0),0)</f>
        <v>0</v>
      </c>
      <c r="D65">
        <f>IFERROR(VLOOKUP(CONCATENATE(Table43_1[[#This Row],[Kode BARANG Win2]],2),'Form Fix'!$A$6:$H$663,4,0),0)</f>
        <v>0</v>
      </c>
      <c r="E65">
        <f>IFERROR(VLOOKUP(CONCATENATE(Table43_1[[#This Row],[Kode BARANG Win2]],3),'Form Fix'!$A$6:$H$663,4,0),0)</f>
        <v>0</v>
      </c>
      <c r="F65">
        <f>IFERROR(VLOOKUP(CONCATENATE(Table43_1[[#This Row],[Kode BARANG Win2]],4),'Form Fix'!$A$6:$H$663,4,0),0)</f>
        <v>0</v>
      </c>
      <c r="G65">
        <f>IFERROR(VLOOKUP(CONCATENATE(Table43_1[[#This Row],[Kode BARANG Win2]],5),'Form Fix'!$A$6:$H$663,4,0),0)</f>
        <v>0</v>
      </c>
    </row>
    <row r="66" spans="1:7">
      <c r="A66" t="s">
        <v>2716</v>
      </c>
      <c r="B66" t="s">
        <v>3085</v>
      </c>
      <c r="C66">
        <f>IFERROR(VLOOKUP(CONCATENATE(Table43_1[[#This Row],[Kode BARANG Win2]],1),'Form Fix'!$A$6:$H$663,4,0),0)</f>
        <v>0</v>
      </c>
      <c r="D66">
        <f>IFERROR(VLOOKUP(CONCATENATE(Table43_1[[#This Row],[Kode BARANG Win2]],2),'Form Fix'!$A$6:$H$663,4,0),0)</f>
        <v>0</v>
      </c>
      <c r="E66">
        <f>IFERROR(VLOOKUP(CONCATENATE(Table43_1[[#This Row],[Kode BARANG Win2]],3),'Form Fix'!$A$6:$H$663,4,0),0)</f>
        <v>0</v>
      </c>
      <c r="F66">
        <f>IFERROR(VLOOKUP(CONCATENATE(Table43_1[[#This Row],[Kode BARANG Win2]],4),'Form Fix'!$A$6:$H$663,4,0),0)</f>
        <v>0</v>
      </c>
      <c r="G66">
        <f>IFERROR(VLOOKUP(CONCATENATE(Table43_1[[#This Row],[Kode BARANG Win2]],5),'Form Fix'!$A$6:$H$663,4,0),0)</f>
        <v>0</v>
      </c>
    </row>
    <row r="67" spans="1:7">
      <c r="A67" t="s">
        <v>2717</v>
      </c>
      <c r="B67" t="s">
        <v>3086</v>
      </c>
      <c r="C67">
        <f>IFERROR(VLOOKUP(CONCATENATE(Table43_1[[#This Row],[Kode BARANG Win2]],1),'Form Fix'!$A$6:$H$663,4,0),0)</f>
        <v>0</v>
      </c>
      <c r="D67">
        <f>IFERROR(VLOOKUP(CONCATENATE(Table43_1[[#This Row],[Kode BARANG Win2]],2),'Form Fix'!$A$6:$H$663,4,0),0)</f>
        <v>0</v>
      </c>
      <c r="E67">
        <f>IFERROR(VLOOKUP(CONCATENATE(Table43_1[[#This Row],[Kode BARANG Win2]],3),'Form Fix'!$A$6:$H$663,4,0),0)</f>
        <v>0</v>
      </c>
      <c r="F67">
        <f>IFERROR(VLOOKUP(CONCATENATE(Table43_1[[#This Row],[Kode BARANG Win2]],4),'Form Fix'!$A$6:$H$663,4,0),0)</f>
        <v>0</v>
      </c>
      <c r="G67">
        <f>IFERROR(VLOOKUP(CONCATENATE(Table43_1[[#This Row],[Kode BARANG Win2]],5),'Form Fix'!$A$6:$H$663,4,0),0)</f>
        <v>0</v>
      </c>
    </row>
    <row r="68" spans="1:7">
      <c r="A68" t="s">
        <v>2718</v>
      </c>
      <c r="B68" t="s">
        <v>3087</v>
      </c>
      <c r="C68">
        <f>IFERROR(VLOOKUP(CONCATENATE(Table43_1[[#This Row],[Kode BARANG Win2]],1),'Form Fix'!$A$6:$H$663,4,0),0)</f>
        <v>0</v>
      </c>
      <c r="D68">
        <f>IFERROR(VLOOKUP(CONCATENATE(Table43_1[[#This Row],[Kode BARANG Win2]],2),'Form Fix'!$A$6:$H$663,4,0),0)</f>
        <v>0</v>
      </c>
      <c r="E68">
        <f>IFERROR(VLOOKUP(CONCATENATE(Table43_1[[#This Row],[Kode BARANG Win2]],3),'Form Fix'!$A$6:$H$663,4,0),0)</f>
        <v>0</v>
      </c>
      <c r="F68">
        <f>IFERROR(VLOOKUP(CONCATENATE(Table43_1[[#This Row],[Kode BARANG Win2]],4),'Form Fix'!$A$6:$H$663,4,0),0)</f>
        <v>0</v>
      </c>
      <c r="G68">
        <f>IFERROR(VLOOKUP(CONCATENATE(Table43_1[[#This Row],[Kode BARANG Win2]],5),'Form Fix'!$A$6:$H$663,4,0),0)</f>
        <v>0</v>
      </c>
    </row>
    <row r="69" spans="1:7">
      <c r="A69" t="s">
        <v>2725</v>
      </c>
      <c r="B69" t="s">
        <v>3094</v>
      </c>
      <c r="C69">
        <f>IFERROR(VLOOKUP(CONCATENATE(Table43_1[[#This Row],[Kode BARANG Win2]],1),'Form Fix'!$A$6:$H$663,4,0),0)</f>
        <v>0</v>
      </c>
      <c r="D69">
        <f>IFERROR(VLOOKUP(CONCATENATE(Table43_1[[#This Row],[Kode BARANG Win2]],2),'Form Fix'!$A$6:$H$663,4,0),0)</f>
        <v>0</v>
      </c>
      <c r="E69">
        <f>IFERROR(VLOOKUP(CONCATENATE(Table43_1[[#This Row],[Kode BARANG Win2]],3),'Form Fix'!$A$6:$H$663,4,0),0)</f>
        <v>0</v>
      </c>
      <c r="F69">
        <f>IFERROR(VLOOKUP(CONCATENATE(Table43_1[[#This Row],[Kode BARANG Win2]],4),'Form Fix'!$A$6:$H$663,4,0),0)</f>
        <v>0</v>
      </c>
      <c r="G69">
        <f>IFERROR(VLOOKUP(CONCATENATE(Table43_1[[#This Row],[Kode BARANG Win2]],5),'Form Fix'!$A$6:$H$663,4,0),0)</f>
        <v>0</v>
      </c>
    </row>
    <row r="70" spans="1:7">
      <c r="A70" t="s">
        <v>2721</v>
      </c>
      <c r="B70" t="s">
        <v>3090</v>
      </c>
      <c r="C70">
        <f>IFERROR(VLOOKUP(CONCATENATE(Table43_1[[#This Row],[Kode BARANG Win2]],1),'Form Fix'!$A$6:$H$663,4,0),0)</f>
        <v>0</v>
      </c>
      <c r="D70">
        <f>IFERROR(VLOOKUP(CONCATENATE(Table43_1[[#This Row],[Kode BARANG Win2]],2),'Form Fix'!$A$6:$H$663,4,0),0)</f>
        <v>0</v>
      </c>
      <c r="E70">
        <f>IFERROR(VLOOKUP(CONCATENATE(Table43_1[[#This Row],[Kode BARANG Win2]],3),'Form Fix'!$A$6:$H$663,4,0),0)</f>
        <v>0</v>
      </c>
      <c r="F70">
        <f>IFERROR(VLOOKUP(CONCATENATE(Table43_1[[#This Row],[Kode BARANG Win2]],4),'Form Fix'!$A$6:$H$663,4,0),0)</f>
        <v>0</v>
      </c>
      <c r="G70">
        <f>IFERROR(VLOOKUP(CONCATENATE(Table43_1[[#This Row],[Kode BARANG Win2]],5),'Form Fix'!$A$6:$H$663,4,0),0)</f>
        <v>0</v>
      </c>
    </row>
    <row r="71" spans="1:7">
      <c r="A71" t="s">
        <v>2723</v>
      </c>
      <c r="B71" t="s">
        <v>3092</v>
      </c>
      <c r="C71">
        <f>IFERROR(VLOOKUP(CONCATENATE(Table43_1[[#This Row],[Kode BARANG Win2]],1),'Form Fix'!$A$6:$H$663,4,0),0)</f>
        <v>0</v>
      </c>
      <c r="D71">
        <f>IFERROR(VLOOKUP(CONCATENATE(Table43_1[[#This Row],[Kode BARANG Win2]],2),'Form Fix'!$A$6:$H$663,4,0),0)</f>
        <v>0</v>
      </c>
      <c r="E71">
        <f>IFERROR(VLOOKUP(CONCATENATE(Table43_1[[#This Row],[Kode BARANG Win2]],3),'Form Fix'!$A$6:$H$663,4,0),0)</f>
        <v>0</v>
      </c>
      <c r="F71">
        <f>IFERROR(VLOOKUP(CONCATENATE(Table43_1[[#This Row],[Kode BARANG Win2]],4),'Form Fix'!$A$6:$H$663,4,0),0)</f>
        <v>0</v>
      </c>
      <c r="G71">
        <f>IFERROR(VLOOKUP(CONCATENATE(Table43_1[[#This Row],[Kode BARANG Win2]],5),'Form Fix'!$A$6:$H$663,4,0),0)</f>
        <v>0</v>
      </c>
    </row>
    <row r="72" spans="1:7">
      <c r="A72" t="s">
        <v>2724</v>
      </c>
      <c r="B72" t="s">
        <v>3093</v>
      </c>
      <c r="C72">
        <f>IFERROR(VLOOKUP(CONCATENATE(Table43_1[[#This Row],[Kode BARANG Win2]],1),'Form Fix'!$A$6:$H$663,4,0),0)</f>
        <v>0</v>
      </c>
      <c r="D72">
        <f>IFERROR(VLOOKUP(CONCATENATE(Table43_1[[#This Row],[Kode BARANG Win2]],2),'Form Fix'!$A$6:$H$663,4,0),0)</f>
        <v>0</v>
      </c>
      <c r="E72">
        <f>IFERROR(VLOOKUP(CONCATENATE(Table43_1[[#This Row],[Kode BARANG Win2]],3),'Form Fix'!$A$6:$H$663,4,0),0)</f>
        <v>0</v>
      </c>
      <c r="F72">
        <f>IFERROR(VLOOKUP(CONCATENATE(Table43_1[[#This Row],[Kode BARANG Win2]],4),'Form Fix'!$A$6:$H$663,4,0),0)</f>
        <v>0</v>
      </c>
      <c r="G72">
        <f>IFERROR(VLOOKUP(CONCATENATE(Table43_1[[#This Row],[Kode BARANG Win2]],5),'Form Fix'!$A$6:$H$663,4,0),0)</f>
        <v>0</v>
      </c>
    </row>
    <row r="73" spans="1:7">
      <c r="A73" t="s">
        <v>2722</v>
      </c>
      <c r="B73" t="s">
        <v>3091</v>
      </c>
      <c r="C73">
        <f>IFERROR(VLOOKUP(CONCATENATE(Table43_1[[#This Row],[Kode BARANG Win2]],1),'Form Fix'!$A$6:$H$663,4,0),0)</f>
        <v>0</v>
      </c>
      <c r="D73">
        <f>IFERROR(VLOOKUP(CONCATENATE(Table43_1[[#This Row],[Kode BARANG Win2]],2),'Form Fix'!$A$6:$H$663,4,0),0)</f>
        <v>0</v>
      </c>
      <c r="E73">
        <f>IFERROR(VLOOKUP(CONCATENATE(Table43_1[[#This Row],[Kode BARANG Win2]],3),'Form Fix'!$A$6:$H$663,4,0),0)</f>
        <v>0</v>
      </c>
      <c r="F73">
        <f>IFERROR(VLOOKUP(CONCATENATE(Table43_1[[#This Row],[Kode BARANG Win2]],4),'Form Fix'!$A$6:$H$663,4,0),0)</f>
        <v>0</v>
      </c>
      <c r="G73">
        <f>IFERROR(VLOOKUP(CONCATENATE(Table43_1[[#This Row],[Kode BARANG Win2]],5),'Form Fix'!$A$6:$H$663,4,0),0)</f>
        <v>0</v>
      </c>
    </row>
    <row r="74" spans="1:7">
      <c r="A74" t="s">
        <v>2728</v>
      </c>
      <c r="B74" t="s">
        <v>3097</v>
      </c>
      <c r="C74">
        <f>IFERROR(VLOOKUP(CONCATENATE(Table43_1[[#This Row],[Kode BARANG Win2]],1),'Form Fix'!$A$6:$H$663,4,0),0)</f>
        <v>0</v>
      </c>
      <c r="D74">
        <f>IFERROR(VLOOKUP(CONCATENATE(Table43_1[[#This Row],[Kode BARANG Win2]],2),'Form Fix'!$A$6:$H$663,4,0),0)</f>
        <v>0</v>
      </c>
      <c r="E74">
        <f>IFERROR(VLOOKUP(CONCATENATE(Table43_1[[#This Row],[Kode BARANG Win2]],3),'Form Fix'!$A$6:$H$663,4,0),0)</f>
        <v>0</v>
      </c>
      <c r="F74">
        <f>IFERROR(VLOOKUP(CONCATENATE(Table43_1[[#This Row],[Kode BARANG Win2]],4),'Form Fix'!$A$6:$H$663,4,0),0)</f>
        <v>0</v>
      </c>
      <c r="G74">
        <f>IFERROR(VLOOKUP(CONCATENATE(Table43_1[[#This Row],[Kode BARANG Win2]],5),'Form Fix'!$A$6:$H$663,4,0),0)</f>
        <v>0</v>
      </c>
    </row>
    <row r="75" spans="1:7">
      <c r="A75" t="s">
        <v>2729</v>
      </c>
      <c r="B75" t="s">
        <v>3098</v>
      </c>
      <c r="C75">
        <f>IFERROR(VLOOKUP(CONCATENATE(Table43_1[[#This Row],[Kode BARANG Win2]],1),'Form Fix'!$A$6:$H$663,4,0),0)</f>
        <v>0</v>
      </c>
      <c r="D75">
        <f>IFERROR(VLOOKUP(CONCATENATE(Table43_1[[#This Row],[Kode BARANG Win2]],2),'Form Fix'!$A$6:$H$663,4,0),0)</f>
        <v>0</v>
      </c>
      <c r="E75">
        <f>IFERROR(VLOOKUP(CONCATENATE(Table43_1[[#This Row],[Kode BARANG Win2]],3),'Form Fix'!$A$6:$H$663,4,0),0)</f>
        <v>0</v>
      </c>
      <c r="F75">
        <f>IFERROR(VLOOKUP(CONCATENATE(Table43_1[[#This Row],[Kode BARANG Win2]],4),'Form Fix'!$A$6:$H$663,4,0),0)</f>
        <v>0</v>
      </c>
      <c r="G75">
        <f>IFERROR(VLOOKUP(CONCATENATE(Table43_1[[#This Row],[Kode BARANG Win2]],5),'Form Fix'!$A$6:$H$663,4,0),0)</f>
        <v>0</v>
      </c>
    </row>
    <row r="76" spans="1:7">
      <c r="A76" t="s">
        <v>2726</v>
      </c>
      <c r="B76" t="s">
        <v>3095</v>
      </c>
      <c r="C76">
        <f>IFERROR(VLOOKUP(CONCATENATE(Table43_1[[#This Row],[Kode BARANG Win2]],1),'Form Fix'!$A$6:$H$663,4,0),0)</f>
        <v>0</v>
      </c>
      <c r="D76">
        <f>IFERROR(VLOOKUP(CONCATENATE(Table43_1[[#This Row],[Kode BARANG Win2]],2),'Form Fix'!$A$6:$H$663,4,0),0)</f>
        <v>0</v>
      </c>
      <c r="E76">
        <f>IFERROR(VLOOKUP(CONCATENATE(Table43_1[[#This Row],[Kode BARANG Win2]],3),'Form Fix'!$A$6:$H$663,4,0),0)</f>
        <v>0</v>
      </c>
      <c r="F76">
        <f>IFERROR(VLOOKUP(CONCATENATE(Table43_1[[#This Row],[Kode BARANG Win2]],4),'Form Fix'!$A$6:$H$663,4,0),0)</f>
        <v>0</v>
      </c>
      <c r="G76">
        <f>IFERROR(VLOOKUP(CONCATENATE(Table43_1[[#This Row],[Kode BARANG Win2]],5),'Form Fix'!$A$6:$H$663,4,0),0)</f>
        <v>0</v>
      </c>
    </row>
    <row r="77" spans="1:7">
      <c r="A77" t="s">
        <v>2727</v>
      </c>
      <c r="B77" t="s">
        <v>3096</v>
      </c>
      <c r="C77">
        <f>IFERROR(VLOOKUP(CONCATENATE(Table43_1[[#This Row],[Kode BARANG Win2]],1),'Form Fix'!$A$6:$H$663,4,0),0)</f>
        <v>0</v>
      </c>
      <c r="D77">
        <f>IFERROR(VLOOKUP(CONCATENATE(Table43_1[[#This Row],[Kode BARANG Win2]],2),'Form Fix'!$A$6:$H$663,4,0),0)</f>
        <v>0</v>
      </c>
      <c r="E77">
        <f>IFERROR(VLOOKUP(CONCATENATE(Table43_1[[#This Row],[Kode BARANG Win2]],3),'Form Fix'!$A$6:$H$663,4,0),0)</f>
        <v>0</v>
      </c>
      <c r="F77">
        <f>IFERROR(VLOOKUP(CONCATENATE(Table43_1[[#This Row],[Kode BARANG Win2]],4),'Form Fix'!$A$6:$H$663,4,0),0)</f>
        <v>0</v>
      </c>
      <c r="G77">
        <f>IFERROR(VLOOKUP(CONCATENATE(Table43_1[[#This Row],[Kode BARANG Win2]],5),'Form Fix'!$A$6:$H$663,4,0),0)</f>
        <v>0</v>
      </c>
    </row>
    <row r="78" spans="1:7">
      <c r="A78" t="s">
        <v>2730</v>
      </c>
      <c r="B78" t="s">
        <v>3099</v>
      </c>
      <c r="C78">
        <f>IFERROR(VLOOKUP(CONCATENATE(Table43_1[[#This Row],[Kode BARANG Win2]],1),'Form Fix'!$A$6:$H$663,4,0),0)</f>
        <v>0</v>
      </c>
      <c r="D78">
        <f>IFERROR(VLOOKUP(CONCATENATE(Table43_1[[#This Row],[Kode BARANG Win2]],2),'Form Fix'!$A$6:$H$663,4,0),0)</f>
        <v>0</v>
      </c>
      <c r="E78">
        <f>IFERROR(VLOOKUP(CONCATENATE(Table43_1[[#This Row],[Kode BARANG Win2]],3),'Form Fix'!$A$6:$H$663,4,0),0)</f>
        <v>0</v>
      </c>
      <c r="F78">
        <f>IFERROR(VLOOKUP(CONCATENATE(Table43_1[[#This Row],[Kode BARANG Win2]],4),'Form Fix'!$A$6:$H$663,4,0),0)</f>
        <v>0</v>
      </c>
      <c r="G78">
        <f>IFERROR(VLOOKUP(CONCATENATE(Table43_1[[#This Row],[Kode BARANG Win2]],5),'Form Fix'!$A$6:$H$663,4,0),0)</f>
        <v>0</v>
      </c>
    </row>
    <row r="79" spans="1:7">
      <c r="A79" t="s">
        <v>2731</v>
      </c>
      <c r="B79" t="s">
        <v>3100</v>
      </c>
      <c r="C79">
        <f>IFERROR(VLOOKUP(CONCATENATE(Table43_1[[#This Row],[Kode BARANG Win2]],1),'Form Fix'!$A$6:$H$663,4,0),0)</f>
        <v>0</v>
      </c>
      <c r="D79">
        <f>IFERROR(VLOOKUP(CONCATENATE(Table43_1[[#This Row],[Kode BARANG Win2]],2),'Form Fix'!$A$6:$H$663,4,0),0)</f>
        <v>0</v>
      </c>
      <c r="E79">
        <f>IFERROR(VLOOKUP(CONCATENATE(Table43_1[[#This Row],[Kode BARANG Win2]],3),'Form Fix'!$A$6:$H$663,4,0),0)</f>
        <v>0</v>
      </c>
      <c r="F79">
        <f>IFERROR(VLOOKUP(CONCATENATE(Table43_1[[#This Row],[Kode BARANG Win2]],4),'Form Fix'!$A$6:$H$663,4,0),0)</f>
        <v>0</v>
      </c>
      <c r="G79">
        <f>IFERROR(VLOOKUP(CONCATENATE(Table43_1[[#This Row],[Kode BARANG Win2]],5),'Form Fix'!$A$6:$H$663,4,0),0)</f>
        <v>0</v>
      </c>
    </row>
    <row r="80" spans="1:7">
      <c r="A80" t="s">
        <v>2732</v>
      </c>
      <c r="B80" t="s">
        <v>3101</v>
      </c>
      <c r="C80">
        <f>IFERROR(VLOOKUP(CONCATENATE(Table43_1[[#This Row],[Kode BARANG Win2]],1),'Form Fix'!$A$6:$H$663,4,0),0)</f>
        <v>0</v>
      </c>
      <c r="D80">
        <f>IFERROR(VLOOKUP(CONCATENATE(Table43_1[[#This Row],[Kode BARANG Win2]],2),'Form Fix'!$A$6:$H$663,4,0),0)</f>
        <v>0</v>
      </c>
      <c r="E80">
        <f>IFERROR(VLOOKUP(CONCATENATE(Table43_1[[#This Row],[Kode BARANG Win2]],3),'Form Fix'!$A$6:$H$663,4,0),0)</f>
        <v>0</v>
      </c>
      <c r="F80">
        <f>IFERROR(VLOOKUP(CONCATENATE(Table43_1[[#This Row],[Kode BARANG Win2]],4),'Form Fix'!$A$6:$H$663,4,0),0)</f>
        <v>0</v>
      </c>
      <c r="G80">
        <f>IFERROR(VLOOKUP(CONCATENATE(Table43_1[[#This Row],[Kode BARANG Win2]],5),'Form Fix'!$A$6:$H$663,4,0),0)</f>
        <v>0</v>
      </c>
    </row>
    <row r="81" spans="1:7">
      <c r="A81" t="s">
        <v>2733</v>
      </c>
      <c r="B81" t="s">
        <v>3102</v>
      </c>
      <c r="C81">
        <f>IFERROR(VLOOKUP(CONCATENATE(Table43_1[[#This Row],[Kode BARANG Win2]],1),'Form Fix'!$A$6:$H$663,4,0),0)</f>
        <v>0</v>
      </c>
      <c r="D81">
        <f>IFERROR(VLOOKUP(CONCATENATE(Table43_1[[#This Row],[Kode BARANG Win2]],2),'Form Fix'!$A$6:$H$663,4,0),0)</f>
        <v>0</v>
      </c>
      <c r="E81">
        <f>IFERROR(VLOOKUP(CONCATENATE(Table43_1[[#This Row],[Kode BARANG Win2]],3),'Form Fix'!$A$6:$H$663,4,0),0)</f>
        <v>0</v>
      </c>
      <c r="F81">
        <f>IFERROR(VLOOKUP(CONCATENATE(Table43_1[[#This Row],[Kode BARANG Win2]],4),'Form Fix'!$A$6:$H$663,4,0),0)</f>
        <v>0</v>
      </c>
      <c r="G81">
        <f>IFERROR(VLOOKUP(CONCATENATE(Table43_1[[#This Row],[Kode BARANG Win2]],5),'Form Fix'!$A$6:$H$663,4,0),0)</f>
        <v>0</v>
      </c>
    </row>
    <row r="82" spans="1:7">
      <c r="A82" t="s">
        <v>2734</v>
      </c>
      <c r="B82" t="s">
        <v>3103</v>
      </c>
      <c r="C82">
        <f>IFERROR(VLOOKUP(CONCATENATE(Table43_1[[#This Row],[Kode BARANG Win2]],1),'Form Fix'!$A$6:$H$663,4,0),0)</f>
        <v>0</v>
      </c>
      <c r="D82">
        <f>IFERROR(VLOOKUP(CONCATENATE(Table43_1[[#This Row],[Kode BARANG Win2]],2),'Form Fix'!$A$6:$H$663,4,0),0)</f>
        <v>0</v>
      </c>
      <c r="E82">
        <f>IFERROR(VLOOKUP(CONCATENATE(Table43_1[[#This Row],[Kode BARANG Win2]],3),'Form Fix'!$A$6:$H$663,4,0),0)</f>
        <v>0</v>
      </c>
      <c r="F82">
        <f>IFERROR(VLOOKUP(CONCATENATE(Table43_1[[#This Row],[Kode BARANG Win2]],4),'Form Fix'!$A$6:$H$663,4,0),0)</f>
        <v>0</v>
      </c>
      <c r="G82">
        <f>IFERROR(VLOOKUP(CONCATENATE(Table43_1[[#This Row],[Kode BARANG Win2]],5),'Form Fix'!$A$6:$H$663,4,0),0)</f>
        <v>0</v>
      </c>
    </row>
    <row r="83" spans="1:7">
      <c r="A83" t="s">
        <v>2735</v>
      </c>
      <c r="B83" t="s">
        <v>3104</v>
      </c>
      <c r="C83">
        <f>IFERROR(VLOOKUP(CONCATENATE(Table43_1[[#This Row],[Kode BARANG Win2]],1),'Form Fix'!$A$6:$H$663,4,0),0)</f>
        <v>0</v>
      </c>
      <c r="D83">
        <f>IFERROR(VLOOKUP(CONCATENATE(Table43_1[[#This Row],[Kode BARANG Win2]],2),'Form Fix'!$A$6:$H$663,4,0),0)</f>
        <v>0</v>
      </c>
      <c r="E83">
        <f>IFERROR(VLOOKUP(CONCATENATE(Table43_1[[#This Row],[Kode BARANG Win2]],3),'Form Fix'!$A$6:$H$663,4,0),0)</f>
        <v>0</v>
      </c>
      <c r="F83">
        <f>IFERROR(VLOOKUP(CONCATENATE(Table43_1[[#This Row],[Kode BARANG Win2]],4),'Form Fix'!$A$6:$H$663,4,0),0)</f>
        <v>0</v>
      </c>
      <c r="G83">
        <f>IFERROR(VLOOKUP(CONCATENATE(Table43_1[[#This Row],[Kode BARANG Win2]],5),'Form Fix'!$A$6:$H$663,4,0),0)</f>
        <v>0</v>
      </c>
    </row>
    <row r="84" spans="1:7">
      <c r="A84" t="s">
        <v>2736</v>
      </c>
      <c r="B84" t="s">
        <v>3105</v>
      </c>
      <c r="C84">
        <f>IFERROR(VLOOKUP(CONCATENATE(Table43_1[[#This Row],[Kode BARANG Win2]],1),'Form Fix'!$A$6:$H$663,4,0),0)</f>
        <v>0</v>
      </c>
      <c r="D84">
        <f>IFERROR(VLOOKUP(CONCATENATE(Table43_1[[#This Row],[Kode BARANG Win2]],2),'Form Fix'!$A$6:$H$663,4,0),0)</f>
        <v>0</v>
      </c>
      <c r="E84">
        <f>IFERROR(VLOOKUP(CONCATENATE(Table43_1[[#This Row],[Kode BARANG Win2]],3),'Form Fix'!$A$6:$H$663,4,0),0)</f>
        <v>0</v>
      </c>
      <c r="F84">
        <f>IFERROR(VLOOKUP(CONCATENATE(Table43_1[[#This Row],[Kode BARANG Win2]],4),'Form Fix'!$A$6:$H$663,4,0),0)</f>
        <v>0</v>
      </c>
      <c r="G84">
        <f>IFERROR(VLOOKUP(CONCATENATE(Table43_1[[#This Row],[Kode BARANG Win2]],5),'Form Fix'!$A$6:$H$663,4,0),0)</f>
        <v>0</v>
      </c>
    </row>
    <row r="85" spans="1:7">
      <c r="A85" t="s">
        <v>2737</v>
      </c>
      <c r="B85" t="s">
        <v>3106</v>
      </c>
      <c r="C85">
        <f>IFERROR(VLOOKUP(CONCATENATE(Table43_1[[#This Row],[Kode BARANG Win2]],1),'Form Fix'!$A$6:$H$663,4,0),0)</f>
        <v>0</v>
      </c>
      <c r="D85">
        <f>IFERROR(VLOOKUP(CONCATENATE(Table43_1[[#This Row],[Kode BARANG Win2]],2),'Form Fix'!$A$6:$H$663,4,0),0)</f>
        <v>0</v>
      </c>
      <c r="E85">
        <f>IFERROR(VLOOKUP(CONCATENATE(Table43_1[[#This Row],[Kode BARANG Win2]],3),'Form Fix'!$A$6:$H$663,4,0),0)</f>
        <v>0</v>
      </c>
      <c r="F85">
        <f>IFERROR(VLOOKUP(CONCATENATE(Table43_1[[#This Row],[Kode BARANG Win2]],4),'Form Fix'!$A$6:$H$663,4,0),0)</f>
        <v>0</v>
      </c>
      <c r="G85">
        <f>IFERROR(VLOOKUP(CONCATENATE(Table43_1[[#This Row],[Kode BARANG Win2]],5),'Form Fix'!$A$6:$H$663,4,0),0)</f>
        <v>0</v>
      </c>
    </row>
    <row r="86" spans="1:7">
      <c r="A86" t="s">
        <v>2743</v>
      </c>
      <c r="B86" t="s">
        <v>3112</v>
      </c>
      <c r="C86">
        <f>IFERROR(VLOOKUP(CONCATENATE(Table43_1[[#This Row],[Kode BARANG Win2]],1),'Form Fix'!$A$6:$H$663,4,0),0)</f>
        <v>0</v>
      </c>
      <c r="D86">
        <f>IFERROR(VLOOKUP(CONCATENATE(Table43_1[[#This Row],[Kode BARANG Win2]],2),'Form Fix'!$A$6:$H$663,4,0),0)</f>
        <v>0</v>
      </c>
      <c r="E86">
        <f>IFERROR(VLOOKUP(CONCATENATE(Table43_1[[#This Row],[Kode BARANG Win2]],3),'Form Fix'!$A$6:$H$663,4,0),0)</f>
        <v>0</v>
      </c>
      <c r="F86">
        <f>IFERROR(VLOOKUP(CONCATENATE(Table43_1[[#This Row],[Kode BARANG Win2]],4),'Form Fix'!$A$6:$H$663,4,0),0)</f>
        <v>0</v>
      </c>
      <c r="G86">
        <f>IFERROR(VLOOKUP(CONCATENATE(Table43_1[[#This Row],[Kode BARANG Win2]],5),'Form Fix'!$A$6:$H$663,4,0),0)</f>
        <v>0</v>
      </c>
    </row>
    <row r="87" spans="1:7">
      <c r="A87" t="s">
        <v>2745</v>
      </c>
      <c r="B87" t="s">
        <v>3114</v>
      </c>
      <c r="C87">
        <f>IFERROR(VLOOKUP(CONCATENATE(Table43_1[[#This Row],[Kode BARANG Win2]],1),'Form Fix'!$A$6:$H$663,4,0),0)</f>
        <v>0</v>
      </c>
      <c r="D87">
        <f>IFERROR(VLOOKUP(CONCATENATE(Table43_1[[#This Row],[Kode BARANG Win2]],2),'Form Fix'!$A$6:$H$663,4,0),0)</f>
        <v>0</v>
      </c>
      <c r="E87">
        <f>IFERROR(VLOOKUP(CONCATENATE(Table43_1[[#This Row],[Kode BARANG Win2]],3),'Form Fix'!$A$6:$H$663,4,0),0)</f>
        <v>0</v>
      </c>
      <c r="F87">
        <f>IFERROR(VLOOKUP(CONCATENATE(Table43_1[[#This Row],[Kode BARANG Win2]],4),'Form Fix'!$A$6:$H$663,4,0),0)</f>
        <v>0</v>
      </c>
      <c r="G87">
        <f>IFERROR(VLOOKUP(CONCATENATE(Table43_1[[#This Row],[Kode BARANG Win2]],5),'Form Fix'!$A$6:$H$663,4,0),0)</f>
        <v>0</v>
      </c>
    </row>
    <row r="88" spans="1:7">
      <c r="A88" t="s">
        <v>2744</v>
      </c>
      <c r="B88" t="s">
        <v>3113</v>
      </c>
      <c r="C88">
        <f>IFERROR(VLOOKUP(CONCATENATE(Table43_1[[#This Row],[Kode BARANG Win2]],1),'Form Fix'!$A$6:$H$663,4,0),0)</f>
        <v>0</v>
      </c>
      <c r="D88">
        <f>IFERROR(VLOOKUP(CONCATENATE(Table43_1[[#This Row],[Kode BARANG Win2]],2),'Form Fix'!$A$6:$H$663,4,0),0)</f>
        <v>0</v>
      </c>
      <c r="E88">
        <f>IFERROR(VLOOKUP(CONCATENATE(Table43_1[[#This Row],[Kode BARANG Win2]],3),'Form Fix'!$A$6:$H$663,4,0),0)</f>
        <v>0</v>
      </c>
      <c r="F88">
        <f>IFERROR(VLOOKUP(CONCATENATE(Table43_1[[#This Row],[Kode BARANG Win2]],4),'Form Fix'!$A$6:$H$663,4,0),0)</f>
        <v>0</v>
      </c>
      <c r="G88">
        <f>IFERROR(VLOOKUP(CONCATENATE(Table43_1[[#This Row],[Kode BARANG Win2]],5),'Form Fix'!$A$6:$H$663,4,0),0)</f>
        <v>0</v>
      </c>
    </row>
    <row r="89" spans="1:7">
      <c r="A89" t="s">
        <v>2747</v>
      </c>
      <c r="B89" t="s">
        <v>3116</v>
      </c>
      <c r="C89">
        <f>IFERROR(VLOOKUP(CONCATENATE(Table43_1[[#This Row],[Kode BARANG Win2]],1),'Form Fix'!$A$6:$H$663,4,0),0)</f>
        <v>0</v>
      </c>
      <c r="D89">
        <f>IFERROR(VLOOKUP(CONCATENATE(Table43_1[[#This Row],[Kode BARANG Win2]],2),'Form Fix'!$A$6:$H$663,4,0),0)</f>
        <v>0</v>
      </c>
      <c r="E89">
        <f>IFERROR(VLOOKUP(CONCATENATE(Table43_1[[#This Row],[Kode BARANG Win2]],3),'Form Fix'!$A$6:$H$663,4,0),0)</f>
        <v>0</v>
      </c>
      <c r="F89">
        <f>IFERROR(VLOOKUP(CONCATENATE(Table43_1[[#This Row],[Kode BARANG Win2]],4),'Form Fix'!$A$6:$H$663,4,0),0)</f>
        <v>0</v>
      </c>
      <c r="G89">
        <f>IFERROR(VLOOKUP(CONCATENATE(Table43_1[[#This Row],[Kode BARANG Win2]],5),'Form Fix'!$A$6:$H$663,4,0),0)</f>
        <v>0</v>
      </c>
    </row>
    <row r="90" spans="1:7">
      <c r="A90" t="s">
        <v>2748</v>
      </c>
      <c r="B90" t="s">
        <v>3117</v>
      </c>
      <c r="C90">
        <f>IFERROR(VLOOKUP(CONCATENATE(Table43_1[[#This Row],[Kode BARANG Win2]],1),'Form Fix'!$A$6:$H$663,4,0),0)</f>
        <v>0</v>
      </c>
      <c r="D90">
        <f>IFERROR(VLOOKUP(CONCATENATE(Table43_1[[#This Row],[Kode BARANG Win2]],2),'Form Fix'!$A$6:$H$663,4,0),0)</f>
        <v>0</v>
      </c>
      <c r="E90">
        <f>IFERROR(VLOOKUP(CONCATENATE(Table43_1[[#This Row],[Kode BARANG Win2]],3),'Form Fix'!$A$6:$H$663,4,0),0)</f>
        <v>0</v>
      </c>
      <c r="F90">
        <f>IFERROR(VLOOKUP(CONCATENATE(Table43_1[[#This Row],[Kode BARANG Win2]],4),'Form Fix'!$A$6:$H$663,4,0),0)</f>
        <v>0</v>
      </c>
      <c r="G90">
        <f>IFERROR(VLOOKUP(CONCATENATE(Table43_1[[#This Row],[Kode BARANG Win2]],5),'Form Fix'!$A$6:$H$663,4,0),0)</f>
        <v>0</v>
      </c>
    </row>
    <row r="91" spans="1:7">
      <c r="A91" t="s">
        <v>2746</v>
      </c>
      <c r="B91" t="s">
        <v>3115</v>
      </c>
      <c r="C91">
        <f>IFERROR(VLOOKUP(CONCATENATE(Table43_1[[#This Row],[Kode BARANG Win2]],1),'Form Fix'!$A$6:$H$663,4,0),0)</f>
        <v>0</v>
      </c>
      <c r="D91">
        <f>IFERROR(VLOOKUP(CONCATENATE(Table43_1[[#This Row],[Kode BARANG Win2]],2),'Form Fix'!$A$6:$H$663,4,0),0)</f>
        <v>0</v>
      </c>
      <c r="E91">
        <f>IFERROR(VLOOKUP(CONCATENATE(Table43_1[[#This Row],[Kode BARANG Win2]],3),'Form Fix'!$A$6:$H$663,4,0),0)</f>
        <v>0</v>
      </c>
      <c r="F91">
        <f>IFERROR(VLOOKUP(CONCATENATE(Table43_1[[#This Row],[Kode BARANG Win2]],4),'Form Fix'!$A$6:$H$663,4,0),0)</f>
        <v>0</v>
      </c>
      <c r="G91">
        <f>IFERROR(VLOOKUP(CONCATENATE(Table43_1[[#This Row],[Kode BARANG Win2]],5),'Form Fix'!$A$6:$H$663,4,0),0)</f>
        <v>0</v>
      </c>
    </row>
    <row r="92" spans="1:7">
      <c r="A92" t="s">
        <v>2749</v>
      </c>
      <c r="B92" t="s">
        <v>3118</v>
      </c>
      <c r="C92">
        <f>IFERROR(VLOOKUP(CONCATENATE(Table43_1[[#This Row],[Kode BARANG Win2]],1),'Form Fix'!$A$6:$H$663,4,0),0)</f>
        <v>0</v>
      </c>
      <c r="D92">
        <f>IFERROR(VLOOKUP(CONCATENATE(Table43_1[[#This Row],[Kode BARANG Win2]],2),'Form Fix'!$A$6:$H$663,4,0),0)</f>
        <v>0</v>
      </c>
      <c r="E92">
        <f>IFERROR(VLOOKUP(CONCATENATE(Table43_1[[#This Row],[Kode BARANG Win2]],3),'Form Fix'!$A$6:$H$663,4,0),0)</f>
        <v>0</v>
      </c>
      <c r="F92">
        <f>IFERROR(VLOOKUP(CONCATENATE(Table43_1[[#This Row],[Kode BARANG Win2]],4),'Form Fix'!$A$6:$H$663,4,0),0)</f>
        <v>0</v>
      </c>
      <c r="G92">
        <f>IFERROR(VLOOKUP(CONCATENATE(Table43_1[[#This Row],[Kode BARANG Win2]],5),'Form Fix'!$A$6:$H$663,4,0),0)</f>
        <v>0</v>
      </c>
    </row>
    <row r="93" spans="1:7">
      <c r="A93" t="s">
        <v>2739</v>
      </c>
      <c r="B93" t="s">
        <v>3108</v>
      </c>
      <c r="C93">
        <f>IFERROR(VLOOKUP(CONCATENATE(Table43_1[[#This Row],[Kode BARANG Win2]],1),'Form Fix'!$A$6:$H$663,4,0),0)</f>
        <v>0</v>
      </c>
      <c r="D93">
        <f>IFERROR(VLOOKUP(CONCATENATE(Table43_1[[#This Row],[Kode BARANG Win2]],2),'Form Fix'!$A$6:$H$663,4,0),0)</f>
        <v>0</v>
      </c>
      <c r="E93">
        <f>IFERROR(VLOOKUP(CONCATENATE(Table43_1[[#This Row],[Kode BARANG Win2]],3),'Form Fix'!$A$6:$H$663,4,0),0)</f>
        <v>0</v>
      </c>
      <c r="F93">
        <f>IFERROR(VLOOKUP(CONCATENATE(Table43_1[[#This Row],[Kode BARANG Win2]],4),'Form Fix'!$A$6:$H$663,4,0),0)</f>
        <v>0</v>
      </c>
      <c r="G93">
        <f>IFERROR(VLOOKUP(CONCATENATE(Table43_1[[#This Row],[Kode BARANG Win2]],5),'Form Fix'!$A$6:$H$663,4,0),0)</f>
        <v>0</v>
      </c>
    </row>
    <row r="94" spans="1:7">
      <c r="A94" t="s">
        <v>2738</v>
      </c>
      <c r="B94" t="s">
        <v>3107</v>
      </c>
      <c r="C94">
        <f>IFERROR(VLOOKUP(CONCATENATE(Table43_1[[#This Row],[Kode BARANG Win2]],1),'Form Fix'!$A$6:$H$663,4,0),0)</f>
        <v>0</v>
      </c>
      <c r="D94">
        <f>IFERROR(VLOOKUP(CONCATENATE(Table43_1[[#This Row],[Kode BARANG Win2]],2),'Form Fix'!$A$6:$H$663,4,0),0)</f>
        <v>0</v>
      </c>
      <c r="E94">
        <f>IFERROR(VLOOKUP(CONCATENATE(Table43_1[[#This Row],[Kode BARANG Win2]],3),'Form Fix'!$A$6:$H$663,4,0),0)</f>
        <v>0</v>
      </c>
      <c r="F94">
        <f>IFERROR(VLOOKUP(CONCATENATE(Table43_1[[#This Row],[Kode BARANG Win2]],4),'Form Fix'!$A$6:$H$663,4,0),0)</f>
        <v>0</v>
      </c>
      <c r="G94">
        <f>IFERROR(VLOOKUP(CONCATENATE(Table43_1[[#This Row],[Kode BARANG Win2]],5),'Form Fix'!$A$6:$H$663,4,0),0)</f>
        <v>0</v>
      </c>
    </row>
    <row r="95" spans="1:7">
      <c r="A95" t="s">
        <v>2742</v>
      </c>
      <c r="B95" t="s">
        <v>3111</v>
      </c>
      <c r="C95">
        <f>IFERROR(VLOOKUP(CONCATENATE(Table43_1[[#This Row],[Kode BARANG Win2]],1),'Form Fix'!$A$6:$H$663,4,0),0)</f>
        <v>0</v>
      </c>
      <c r="D95">
        <f>IFERROR(VLOOKUP(CONCATENATE(Table43_1[[#This Row],[Kode BARANG Win2]],2),'Form Fix'!$A$6:$H$663,4,0),0)</f>
        <v>0</v>
      </c>
      <c r="E95">
        <f>IFERROR(VLOOKUP(CONCATENATE(Table43_1[[#This Row],[Kode BARANG Win2]],3),'Form Fix'!$A$6:$H$663,4,0),0)</f>
        <v>0</v>
      </c>
      <c r="F95">
        <f>IFERROR(VLOOKUP(CONCATENATE(Table43_1[[#This Row],[Kode BARANG Win2]],4),'Form Fix'!$A$6:$H$663,4,0),0)</f>
        <v>0</v>
      </c>
      <c r="G95">
        <f>IFERROR(VLOOKUP(CONCATENATE(Table43_1[[#This Row],[Kode BARANG Win2]],5),'Form Fix'!$A$6:$H$663,4,0),0)</f>
        <v>0</v>
      </c>
    </row>
    <row r="96" spans="1:7">
      <c r="A96" t="s">
        <v>2740</v>
      </c>
      <c r="B96" t="s">
        <v>3109</v>
      </c>
      <c r="C96">
        <f>IFERROR(VLOOKUP(CONCATENATE(Table43_1[[#This Row],[Kode BARANG Win2]],1),'Form Fix'!$A$6:$H$663,4,0),0)</f>
        <v>0</v>
      </c>
      <c r="D96">
        <f>IFERROR(VLOOKUP(CONCATENATE(Table43_1[[#This Row],[Kode BARANG Win2]],2),'Form Fix'!$A$6:$H$663,4,0),0)</f>
        <v>0</v>
      </c>
      <c r="E96">
        <f>IFERROR(VLOOKUP(CONCATENATE(Table43_1[[#This Row],[Kode BARANG Win2]],3),'Form Fix'!$A$6:$H$663,4,0),0)</f>
        <v>0</v>
      </c>
      <c r="F96">
        <f>IFERROR(VLOOKUP(CONCATENATE(Table43_1[[#This Row],[Kode BARANG Win2]],4),'Form Fix'!$A$6:$H$663,4,0),0)</f>
        <v>0</v>
      </c>
      <c r="G96">
        <f>IFERROR(VLOOKUP(CONCATENATE(Table43_1[[#This Row],[Kode BARANG Win2]],5),'Form Fix'!$A$6:$H$663,4,0),0)</f>
        <v>0</v>
      </c>
    </row>
    <row r="97" spans="1:7">
      <c r="A97" t="s">
        <v>2741</v>
      </c>
      <c r="B97" t="s">
        <v>3110</v>
      </c>
      <c r="C97">
        <f>IFERROR(VLOOKUP(CONCATENATE(Table43_1[[#This Row],[Kode BARANG Win2]],1),'Form Fix'!$A$6:$H$663,4,0),0)</f>
        <v>0</v>
      </c>
      <c r="D97">
        <f>IFERROR(VLOOKUP(CONCATENATE(Table43_1[[#This Row],[Kode BARANG Win2]],2),'Form Fix'!$A$6:$H$663,4,0),0)</f>
        <v>0</v>
      </c>
      <c r="E97">
        <f>IFERROR(VLOOKUP(CONCATENATE(Table43_1[[#This Row],[Kode BARANG Win2]],3),'Form Fix'!$A$6:$H$663,4,0),0)</f>
        <v>0</v>
      </c>
      <c r="F97">
        <f>IFERROR(VLOOKUP(CONCATENATE(Table43_1[[#This Row],[Kode BARANG Win2]],4),'Form Fix'!$A$6:$H$663,4,0),0)</f>
        <v>0</v>
      </c>
      <c r="G97">
        <f>IFERROR(VLOOKUP(CONCATENATE(Table43_1[[#This Row],[Kode BARANG Win2]],5),'Form Fix'!$A$6:$H$663,4,0),0)</f>
        <v>0</v>
      </c>
    </row>
    <row r="98" spans="1:7">
      <c r="A98" t="s">
        <v>2756</v>
      </c>
      <c r="B98" t="s">
        <v>3124</v>
      </c>
      <c r="C98">
        <f>IFERROR(VLOOKUP(CONCATENATE(Table43_1[[#This Row],[Kode BARANG Win2]],1),'Form Fix'!$A$6:$H$663,4,0),0)</f>
        <v>0</v>
      </c>
      <c r="D98">
        <f>IFERROR(VLOOKUP(CONCATENATE(Table43_1[[#This Row],[Kode BARANG Win2]],2),'Form Fix'!$A$6:$H$663,4,0),0)</f>
        <v>0</v>
      </c>
      <c r="E98">
        <f>IFERROR(VLOOKUP(CONCATENATE(Table43_1[[#This Row],[Kode BARANG Win2]],3),'Form Fix'!$A$6:$H$663,4,0),0)</f>
        <v>0</v>
      </c>
      <c r="F98">
        <f>IFERROR(VLOOKUP(CONCATENATE(Table43_1[[#This Row],[Kode BARANG Win2]],4),'Form Fix'!$A$6:$H$663,4,0),0)</f>
        <v>0</v>
      </c>
      <c r="G98">
        <f>IFERROR(VLOOKUP(CONCATENATE(Table43_1[[#This Row],[Kode BARANG Win2]],5),'Form Fix'!$A$6:$H$663,4,0),0)</f>
        <v>0</v>
      </c>
    </row>
    <row r="99" spans="1:7">
      <c r="A99" t="s">
        <v>2754</v>
      </c>
      <c r="B99" t="s">
        <v>3123</v>
      </c>
      <c r="C99">
        <f>IFERROR(VLOOKUP(CONCATENATE(Table43_1[[#This Row],[Kode BARANG Win2]],1),'Form Fix'!$A$6:$H$663,4,0),0)</f>
        <v>0</v>
      </c>
      <c r="D99">
        <f>IFERROR(VLOOKUP(CONCATENATE(Table43_1[[#This Row],[Kode BARANG Win2]],2),'Form Fix'!$A$6:$H$663,4,0),0)</f>
        <v>0</v>
      </c>
      <c r="E99">
        <f>IFERROR(VLOOKUP(CONCATENATE(Table43_1[[#This Row],[Kode BARANG Win2]],3),'Form Fix'!$A$6:$H$663,4,0),0)</f>
        <v>0</v>
      </c>
      <c r="F99">
        <f>IFERROR(VLOOKUP(CONCATENATE(Table43_1[[#This Row],[Kode BARANG Win2]],4),'Form Fix'!$A$6:$H$663,4,0),0)</f>
        <v>0</v>
      </c>
      <c r="G99">
        <f>IFERROR(VLOOKUP(CONCATENATE(Table43_1[[#This Row],[Kode BARANG Win2]],5),'Form Fix'!$A$6:$H$663,4,0),0)</f>
        <v>0</v>
      </c>
    </row>
    <row r="100" spans="1:7">
      <c r="A100" t="s">
        <v>2757</v>
      </c>
      <c r="B100" t="s">
        <v>3125</v>
      </c>
      <c r="C100">
        <f>IFERROR(VLOOKUP(CONCATENATE(Table43_1[[#This Row],[Kode BARANG Win2]],1),'Form Fix'!$A$6:$H$663,4,0),0)</f>
        <v>0</v>
      </c>
      <c r="D100">
        <f>IFERROR(VLOOKUP(CONCATENATE(Table43_1[[#This Row],[Kode BARANG Win2]],2),'Form Fix'!$A$6:$H$663,4,0),0)</f>
        <v>0</v>
      </c>
      <c r="E100">
        <f>IFERROR(VLOOKUP(CONCATENATE(Table43_1[[#This Row],[Kode BARANG Win2]],3),'Form Fix'!$A$6:$H$663,4,0),0)</f>
        <v>0</v>
      </c>
      <c r="F100">
        <f>IFERROR(VLOOKUP(CONCATENATE(Table43_1[[#This Row],[Kode BARANG Win2]],4),'Form Fix'!$A$6:$H$663,4,0),0)</f>
        <v>0</v>
      </c>
      <c r="G100">
        <f>IFERROR(VLOOKUP(CONCATENATE(Table43_1[[#This Row],[Kode BARANG Win2]],5),'Form Fix'!$A$6:$H$663,4,0),0)</f>
        <v>0</v>
      </c>
    </row>
    <row r="101" spans="1:7">
      <c r="A101" t="s">
        <v>2758</v>
      </c>
      <c r="B101" t="s">
        <v>3126</v>
      </c>
      <c r="C101">
        <f>IFERROR(VLOOKUP(CONCATENATE(Table43_1[[#This Row],[Kode BARANG Win2]],1),'Form Fix'!$A$6:$H$663,4,0),0)</f>
        <v>0</v>
      </c>
      <c r="D101">
        <f>IFERROR(VLOOKUP(CONCATENATE(Table43_1[[#This Row],[Kode BARANG Win2]],2),'Form Fix'!$A$6:$H$663,4,0),0)</f>
        <v>0</v>
      </c>
      <c r="E101">
        <f>IFERROR(VLOOKUP(CONCATENATE(Table43_1[[#This Row],[Kode BARANG Win2]],3),'Form Fix'!$A$6:$H$663,4,0),0)</f>
        <v>0</v>
      </c>
      <c r="F101">
        <f>IFERROR(VLOOKUP(CONCATENATE(Table43_1[[#This Row],[Kode BARANG Win2]],4),'Form Fix'!$A$6:$H$663,4,0),0)</f>
        <v>0</v>
      </c>
      <c r="G101">
        <f>IFERROR(VLOOKUP(CONCATENATE(Table43_1[[#This Row],[Kode BARANG Win2]],5),'Form Fix'!$A$6:$H$663,4,0),0)</f>
        <v>0</v>
      </c>
    </row>
    <row r="102" spans="1:7">
      <c r="A102" t="s">
        <v>2759</v>
      </c>
      <c r="B102" t="s">
        <v>3127</v>
      </c>
      <c r="C102">
        <f>IFERROR(VLOOKUP(CONCATENATE(Table43_1[[#This Row],[Kode BARANG Win2]],1),'Form Fix'!$A$6:$H$663,4,0),0)</f>
        <v>0</v>
      </c>
      <c r="D102">
        <f>IFERROR(VLOOKUP(CONCATENATE(Table43_1[[#This Row],[Kode BARANG Win2]],2),'Form Fix'!$A$6:$H$663,4,0),0)</f>
        <v>0</v>
      </c>
      <c r="E102">
        <f>IFERROR(VLOOKUP(CONCATENATE(Table43_1[[#This Row],[Kode BARANG Win2]],3),'Form Fix'!$A$6:$H$663,4,0),0)</f>
        <v>0</v>
      </c>
      <c r="F102">
        <f>IFERROR(VLOOKUP(CONCATENATE(Table43_1[[#This Row],[Kode BARANG Win2]],4),'Form Fix'!$A$6:$H$663,4,0),0)</f>
        <v>0</v>
      </c>
      <c r="G102">
        <f>IFERROR(VLOOKUP(CONCATENATE(Table43_1[[#This Row],[Kode BARANG Win2]],5),'Form Fix'!$A$6:$H$663,4,0),0)</f>
        <v>0</v>
      </c>
    </row>
    <row r="103" spans="1:7">
      <c r="A103" t="s">
        <v>2753</v>
      </c>
      <c r="B103" t="s">
        <v>3122</v>
      </c>
      <c r="C103">
        <f>IFERROR(VLOOKUP(CONCATENATE(Table43_1[[#This Row],[Kode BARANG Win2]],1),'Form Fix'!$A$6:$H$663,4,0),0)</f>
        <v>0</v>
      </c>
      <c r="D103">
        <f>IFERROR(VLOOKUP(CONCATENATE(Table43_1[[#This Row],[Kode BARANG Win2]],2),'Form Fix'!$A$6:$H$663,4,0),0)</f>
        <v>0</v>
      </c>
      <c r="E103">
        <f>IFERROR(VLOOKUP(CONCATENATE(Table43_1[[#This Row],[Kode BARANG Win2]],3),'Form Fix'!$A$6:$H$663,4,0),0)</f>
        <v>0</v>
      </c>
      <c r="F103">
        <f>IFERROR(VLOOKUP(CONCATENATE(Table43_1[[#This Row],[Kode BARANG Win2]],4),'Form Fix'!$A$6:$H$663,4,0),0)</f>
        <v>0</v>
      </c>
      <c r="G103">
        <f>IFERROR(VLOOKUP(CONCATENATE(Table43_1[[#This Row],[Kode BARANG Win2]],5),'Form Fix'!$A$6:$H$663,4,0),0)</f>
        <v>0</v>
      </c>
    </row>
    <row r="104" spans="1:7">
      <c r="A104" t="s">
        <v>2755</v>
      </c>
      <c r="B104" t="s">
        <v>3524</v>
      </c>
      <c r="C104">
        <f>IFERROR(VLOOKUP(CONCATENATE(Table43_1[[#This Row],[Kode BARANG Win2]],1),'Form Fix'!$A$6:$H$663,4,0),0)</f>
        <v>0</v>
      </c>
      <c r="D104">
        <f>IFERROR(VLOOKUP(CONCATENATE(Table43_1[[#This Row],[Kode BARANG Win2]],2),'Form Fix'!$A$6:$H$663,4,0),0)</f>
        <v>0</v>
      </c>
      <c r="E104">
        <f>IFERROR(VLOOKUP(CONCATENATE(Table43_1[[#This Row],[Kode BARANG Win2]],3),'Form Fix'!$A$6:$H$663,4,0),0)</f>
        <v>0</v>
      </c>
      <c r="F104">
        <f>IFERROR(VLOOKUP(CONCATENATE(Table43_1[[#This Row],[Kode BARANG Win2]],4),'Form Fix'!$A$6:$H$663,4,0),0)</f>
        <v>0</v>
      </c>
      <c r="G104">
        <f>IFERROR(VLOOKUP(CONCATENATE(Table43_1[[#This Row],[Kode BARANG Win2]],5),'Form Fix'!$A$6:$H$663,4,0),0)</f>
        <v>0</v>
      </c>
    </row>
    <row r="105" spans="1:7">
      <c r="A105" t="s">
        <v>2720</v>
      </c>
      <c r="B105" t="s">
        <v>3089</v>
      </c>
      <c r="C105">
        <f>IFERROR(VLOOKUP(CONCATENATE(Table43_1[[#This Row],[Kode BARANG Win2]],1),'Form Fix'!$A$6:$H$663,4,0),0)</f>
        <v>0</v>
      </c>
      <c r="D105">
        <f>IFERROR(VLOOKUP(CONCATENATE(Table43_1[[#This Row],[Kode BARANG Win2]],2),'Form Fix'!$A$6:$H$663,4,0),0)</f>
        <v>0</v>
      </c>
      <c r="E105">
        <f>IFERROR(VLOOKUP(CONCATENATE(Table43_1[[#This Row],[Kode BARANG Win2]],3),'Form Fix'!$A$6:$H$663,4,0),0)</f>
        <v>0</v>
      </c>
      <c r="F105">
        <f>IFERROR(VLOOKUP(CONCATENATE(Table43_1[[#This Row],[Kode BARANG Win2]],4),'Form Fix'!$A$6:$H$663,4,0),0)</f>
        <v>0</v>
      </c>
      <c r="G105">
        <f>IFERROR(VLOOKUP(CONCATENATE(Table43_1[[#This Row],[Kode BARANG Win2]],5),'Form Fix'!$A$6:$H$663,4,0),0)</f>
        <v>0</v>
      </c>
    </row>
    <row r="106" spans="1:7">
      <c r="A106" t="s">
        <v>2760</v>
      </c>
      <c r="B106" t="s">
        <v>3128</v>
      </c>
      <c r="C106">
        <f>IFERROR(VLOOKUP(CONCATENATE(Table43_1[[#This Row],[Kode BARANG Win2]],1),'Form Fix'!$A$6:$H$663,4,0),0)</f>
        <v>0</v>
      </c>
      <c r="D106">
        <f>IFERROR(VLOOKUP(CONCATENATE(Table43_1[[#This Row],[Kode BARANG Win2]],2),'Form Fix'!$A$6:$H$663,4,0),0)</f>
        <v>0</v>
      </c>
      <c r="E106">
        <f>IFERROR(VLOOKUP(CONCATENATE(Table43_1[[#This Row],[Kode BARANG Win2]],3),'Form Fix'!$A$6:$H$663,4,0),0)</f>
        <v>0</v>
      </c>
      <c r="F106">
        <f>IFERROR(VLOOKUP(CONCATENATE(Table43_1[[#This Row],[Kode BARANG Win2]],4),'Form Fix'!$A$6:$H$663,4,0),0)</f>
        <v>0</v>
      </c>
      <c r="G106">
        <f>IFERROR(VLOOKUP(CONCATENATE(Table43_1[[#This Row],[Kode BARANG Win2]],5),'Form Fix'!$A$6:$H$663,4,0),0)</f>
        <v>0</v>
      </c>
    </row>
    <row r="107" spans="1:7">
      <c r="A107" t="s">
        <v>2761</v>
      </c>
      <c r="B107" t="s">
        <v>3129</v>
      </c>
      <c r="C107">
        <f>IFERROR(VLOOKUP(CONCATENATE(Table43_1[[#This Row],[Kode BARANG Win2]],1),'Form Fix'!$A$6:$H$663,4,0),0)</f>
        <v>0</v>
      </c>
      <c r="D107">
        <f>IFERROR(VLOOKUP(CONCATENATE(Table43_1[[#This Row],[Kode BARANG Win2]],2),'Form Fix'!$A$6:$H$663,4,0),0)</f>
        <v>0</v>
      </c>
      <c r="E107">
        <f>IFERROR(VLOOKUP(CONCATENATE(Table43_1[[#This Row],[Kode BARANG Win2]],3),'Form Fix'!$A$6:$H$663,4,0),0)</f>
        <v>0</v>
      </c>
      <c r="F107">
        <f>IFERROR(VLOOKUP(CONCATENATE(Table43_1[[#This Row],[Kode BARANG Win2]],4),'Form Fix'!$A$6:$H$663,4,0),0)</f>
        <v>0</v>
      </c>
      <c r="G107">
        <f>IFERROR(VLOOKUP(CONCATENATE(Table43_1[[#This Row],[Kode BARANG Win2]],5),'Form Fix'!$A$6:$H$663,4,0),0)</f>
        <v>0</v>
      </c>
    </row>
    <row r="108" spans="1:7">
      <c r="A108" t="s">
        <v>2750</v>
      </c>
      <c r="B108" t="s">
        <v>3119</v>
      </c>
      <c r="C108">
        <f>IFERROR(VLOOKUP(CONCATENATE(Table43_1[[#This Row],[Kode BARANG Win2]],1),'Form Fix'!$A$6:$H$663,4,0),0)</f>
        <v>0</v>
      </c>
      <c r="D108">
        <f>IFERROR(VLOOKUP(CONCATENATE(Table43_1[[#This Row],[Kode BARANG Win2]],2),'Form Fix'!$A$6:$H$663,4,0),0)</f>
        <v>0</v>
      </c>
      <c r="E108">
        <f>IFERROR(VLOOKUP(CONCATENATE(Table43_1[[#This Row],[Kode BARANG Win2]],3),'Form Fix'!$A$6:$H$663,4,0),0)</f>
        <v>0</v>
      </c>
      <c r="F108">
        <f>IFERROR(VLOOKUP(CONCATENATE(Table43_1[[#This Row],[Kode BARANG Win2]],4),'Form Fix'!$A$6:$H$663,4,0),0)</f>
        <v>0</v>
      </c>
      <c r="G108">
        <f>IFERROR(VLOOKUP(CONCATENATE(Table43_1[[#This Row],[Kode BARANG Win2]],5),'Form Fix'!$A$6:$H$663,4,0),0)</f>
        <v>0</v>
      </c>
    </row>
    <row r="109" spans="1:7">
      <c r="A109" t="s">
        <v>2751</v>
      </c>
      <c r="B109" t="s">
        <v>3120</v>
      </c>
      <c r="C109">
        <f>IFERROR(VLOOKUP(CONCATENATE(Table43_1[[#This Row],[Kode BARANG Win2]],1),'Form Fix'!$A$6:$H$663,4,0),0)</f>
        <v>40056226</v>
      </c>
      <c r="D109">
        <f>IFERROR(VLOOKUP(CONCATENATE(Table43_1[[#This Row],[Kode BARANG Win2]],2),'Form Fix'!$A$6:$H$663,4,0),0)</f>
        <v>40023556</v>
      </c>
      <c r="E109">
        <f>IFERROR(VLOOKUP(CONCATENATE(Table43_1[[#This Row],[Kode BARANG Win2]],3),'Form Fix'!$A$6:$H$663,4,0),0)</f>
        <v>40060800</v>
      </c>
      <c r="F109">
        <f>IFERROR(VLOOKUP(CONCATENATE(Table43_1[[#This Row],[Kode BARANG Win2]],4),'Form Fix'!$A$6:$H$663,4,0),0)</f>
        <v>0</v>
      </c>
      <c r="G109">
        <f>IFERROR(VLOOKUP(CONCATENATE(Table43_1[[#This Row],[Kode BARANG Win2]],5),'Form Fix'!$A$6:$H$663,4,0),0)</f>
        <v>0</v>
      </c>
    </row>
    <row r="110" spans="1:7">
      <c r="A110" t="s">
        <v>2752</v>
      </c>
      <c r="B110" t="s">
        <v>3121</v>
      </c>
      <c r="C110">
        <f>IFERROR(VLOOKUP(CONCATENATE(Table43_1[[#This Row],[Kode BARANG Win2]],1),'Form Fix'!$A$6:$H$663,4,0),0)</f>
        <v>40056228</v>
      </c>
      <c r="D110">
        <f>IFERROR(VLOOKUP(CONCATENATE(Table43_1[[#This Row],[Kode BARANG Win2]],2),'Form Fix'!$A$6:$H$663,4,0),0)</f>
        <v>40023559</v>
      </c>
      <c r="E110">
        <f>IFERROR(VLOOKUP(CONCATENATE(Table43_1[[#This Row],[Kode BARANG Win2]],3),'Form Fix'!$A$6:$H$663,4,0),0)</f>
        <v>40060798</v>
      </c>
      <c r="F110">
        <f>IFERROR(VLOOKUP(CONCATENATE(Table43_1[[#This Row],[Kode BARANG Win2]],4),'Form Fix'!$A$6:$H$663,4,0),0)</f>
        <v>0</v>
      </c>
      <c r="G110">
        <f>IFERROR(VLOOKUP(CONCATENATE(Table43_1[[#This Row],[Kode BARANG Win2]],5),'Form Fix'!$A$6:$H$663,4,0),0)</f>
        <v>0</v>
      </c>
    </row>
    <row r="111" spans="1:7">
      <c r="A111" t="s">
        <v>2719</v>
      </c>
      <c r="B111" t="s">
        <v>3088</v>
      </c>
      <c r="C111">
        <f>IFERROR(VLOOKUP(CONCATENATE(Table43_1[[#This Row],[Kode BARANG Win2]],1),'Form Fix'!$A$6:$H$663,4,0),0)</f>
        <v>0</v>
      </c>
      <c r="D111">
        <f>IFERROR(VLOOKUP(CONCATENATE(Table43_1[[#This Row],[Kode BARANG Win2]],2),'Form Fix'!$A$6:$H$663,4,0),0)</f>
        <v>0</v>
      </c>
      <c r="E111">
        <f>IFERROR(VLOOKUP(CONCATENATE(Table43_1[[#This Row],[Kode BARANG Win2]],3),'Form Fix'!$A$6:$H$663,4,0),0)</f>
        <v>0</v>
      </c>
      <c r="F111">
        <f>IFERROR(VLOOKUP(CONCATENATE(Table43_1[[#This Row],[Kode BARANG Win2]],4),'Form Fix'!$A$6:$H$663,4,0),0)</f>
        <v>0</v>
      </c>
      <c r="G111">
        <f>IFERROR(VLOOKUP(CONCATENATE(Table43_1[[#This Row],[Kode BARANG Win2]],5),'Form Fix'!$A$6:$H$663,4,0),0)</f>
        <v>0</v>
      </c>
    </row>
    <row r="112" spans="1:7">
      <c r="A112" t="s">
        <v>3434</v>
      </c>
      <c r="B112" t="s">
        <v>3525</v>
      </c>
      <c r="C112">
        <f>IFERROR(VLOOKUP(CONCATENATE(Table43_1[[#This Row],[Kode BARANG Win2]],1),'Form Fix'!$A$6:$H$663,4,0),0)</f>
        <v>0</v>
      </c>
      <c r="D112">
        <f>IFERROR(VLOOKUP(CONCATENATE(Table43_1[[#This Row],[Kode BARANG Win2]],2),'Form Fix'!$A$6:$H$663,4,0),0)</f>
        <v>0</v>
      </c>
      <c r="E112">
        <f>IFERROR(VLOOKUP(CONCATENATE(Table43_1[[#This Row],[Kode BARANG Win2]],3),'Form Fix'!$A$6:$H$663,4,0),0)</f>
        <v>0</v>
      </c>
      <c r="F112">
        <f>IFERROR(VLOOKUP(CONCATENATE(Table43_1[[#This Row],[Kode BARANG Win2]],4),'Form Fix'!$A$6:$H$663,4,0),0)</f>
        <v>0</v>
      </c>
      <c r="G112">
        <f>IFERROR(VLOOKUP(CONCATENATE(Table43_1[[#This Row],[Kode BARANG Win2]],5),'Form Fix'!$A$6:$H$663,4,0),0)</f>
        <v>0</v>
      </c>
    </row>
    <row r="113" spans="1:7">
      <c r="A113" t="s">
        <v>2762</v>
      </c>
      <c r="B113" t="s">
        <v>3130</v>
      </c>
      <c r="C113">
        <f>IFERROR(VLOOKUP(CONCATENATE(Table43_1[[#This Row],[Kode BARANG Win2]],1),'Form Fix'!$A$6:$H$663,4,0),0)</f>
        <v>0</v>
      </c>
      <c r="D113">
        <f>IFERROR(VLOOKUP(CONCATENATE(Table43_1[[#This Row],[Kode BARANG Win2]],2),'Form Fix'!$A$6:$H$663,4,0),0)</f>
        <v>0</v>
      </c>
      <c r="E113">
        <f>IFERROR(VLOOKUP(CONCATENATE(Table43_1[[#This Row],[Kode BARANG Win2]],3),'Form Fix'!$A$6:$H$663,4,0),0)</f>
        <v>0</v>
      </c>
      <c r="F113">
        <f>IFERROR(VLOOKUP(CONCATENATE(Table43_1[[#This Row],[Kode BARANG Win2]],4),'Form Fix'!$A$6:$H$663,4,0),0)</f>
        <v>0</v>
      </c>
      <c r="G113">
        <f>IFERROR(VLOOKUP(CONCATENATE(Table43_1[[#This Row],[Kode BARANG Win2]],5),'Form Fix'!$A$6:$H$663,4,0),0)</f>
        <v>0</v>
      </c>
    </row>
    <row r="114" spans="1:7">
      <c r="A114" t="s">
        <v>2763</v>
      </c>
      <c r="B114" t="s">
        <v>3131</v>
      </c>
      <c r="C114">
        <f>IFERROR(VLOOKUP(CONCATENATE(Table43_1[[#This Row],[Kode BARANG Win2]],1),'Form Fix'!$A$6:$H$663,4,0),0)</f>
        <v>0</v>
      </c>
      <c r="D114">
        <f>IFERROR(VLOOKUP(CONCATENATE(Table43_1[[#This Row],[Kode BARANG Win2]],2),'Form Fix'!$A$6:$H$663,4,0),0)</f>
        <v>0</v>
      </c>
      <c r="E114">
        <f>IFERROR(VLOOKUP(CONCATENATE(Table43_1[[#This Row],[Kode BARANG Win2]],3),'Form Fix'!$A$6:$H$663,4,0),0)</f>
        <v>0</v>
      </c>
      <c r="F114">
        <f>IFERROR(VLOOKUP(CONCATENATE(Table43_1[[#This Row],[Kode BARANG Win2]],4),'Form Fix'!$A$6:$H$663,4,0),0)</f>
        <v>0</v>
      </c>
      <c r="G114">
        <f>IFERROR(VLOOKUP(CONCATENATE(Table43_1[[#This Row],[Kode BARANG Win2]],5),'Form Fix'!$A$6:$H$663,4,0),0)</f>
        <v>0</v>
      </c>
    </row>
    <row r="115" spans="1:7">
      <c r="A115" t="s">
        <v>2764</v>
      </c>
      <c r="B115" t="s">
        <v>3132</v>
      </c>
      <c r="C115">
        <f>IFERROR(VLOOKUP(CONCATENATE(Table43_1[[#This Row],[Kode BARANG Win2]],1),'Form Fix'!$A$6:$H$663,4,0),0)</f>
        <v>0</v>
      </c>
      <c r="D115">
        <f>IFERROR(VLOOKUP(CONCATENATE(Table43_1[[#This Row],[Kode BARANG Win2]],2),'Form Fix'!$A$6:$H$663,4,0),0)</f>
        <v>0</v>
      </c>
      <c r="E115">
        <f>IFERROR(VLOOKUP(CONCATENATE(Table43_1[[#This Row],[Kode BARANG Win2]],3),'Form Fix'!$A$6:$H$663,4,0),0)</f>
        <v>0</v>
      </c>
      <c r="F115">
        <f>IFERROR(VLOOKUP(CONCATENATE(Table43_1[[#This Row],[Kode BARANG Win2]],4),'Form Fix'!$A$6:$H$663,4,0),0)</f>
        <v>0</v>
      </c>
      <c r="G115">
        <f>IFERROR(VLOOKUP(CONCATENATE(Table43_1[[#This Row],[Kode BARANG Win2]],5),'Form Fix'!$A$6:$H$663,4,0),0)</f>
        <v>0</v>
      </c>
    </row>
    <row r="116" spans="1:7">
      <c r="A116" t="s">
        <v>2768</v>
      </c>
      <c r="B116" t="s">
        <v>3136</v>
      </c>
      <c r="C116">
        <f>IFERROR(VLOOKUP(CONCATENATE(Table43_1[[#This Row],[Kode BARANG Win2]],1),'Form Fix'!$A$6:$H$663,4,0),0)</f>
        <v>0</v>
      </c>
      <c r="D116">
        <f>IFERROR(VLOOKUP(CONCATENATE(Table43_1[[#This Row],[Kode BARANG Win2]],2),'Form Fix'!$A$6:$H$663,4,0),0)</f>
        <v>0</v>
      </c>
      <c r="E116">
        <f>IFERROR(VLOOKUP(CONCATENATE(Table43_1[[#This Row],[Kode BARANG Win2]],3),'Form Fix'!$A$6:$H$663,4,0),0)</f>
        <v>0</v>
      </c>
      <c r="F116">
        <f>IFERROR(VLOOKUP(CONCATENATE(Table43_1[[#This Row],[Kode BARANG Win2]],4),'Form Fix'!$A$6:$H$663,4,0),0)</f>
        <v>0</v>
      </c>
      <c r="G116">
        <f>IFERROR(VLOOKUP(CONCATENATE(Table43_1[[#This Row],[Kode BARANG Win2]],5),'Form Fix'!$A$6:$H$663,4,0),0)</f>
        <v>0</v>
      </c>
    </row>
    <row r="117" spans="1:7">
      <c r="A117" t="s">
        <v>2769</v>
      </c>
      <c r="B117" t="s">
        <v>3412</v>
      </c>
      <c r="C117">
        <f>IFERROR(VLOOKUP(CONCATENATE(Table43_1[[#This Row],[Kode BARANG Win2]],1),'Form Fix'!$A$6:$H$663,4,0),0)</f>
        <v>0</v>
      </c>
      <c r="D117">
        <f>IFERROR(VLOOKUP(CONCATENATE(Table43_1[[#This Row],[Kode BARANG Win2]],2),'Form Fix'!$A$6:$H$663,4,0),0)</f>
        <v>0</v>
      </c>
      <c r="E117">
        <f>IFERROR(VLOOKUP(CONCATENATE(Table43_1[[#This Row],[Kode BARANG Win2]],3),'Form Fix'!$A$6:$H$663,4,0),0)</f>
        <v>0</v>
      </c>
      <c r="F117">
        <f>IFERROR(VLOOKUP(CONCATENATE(Table43_1[[#This Row],[Kode BARANG Win2]],4),'Form Fix'!$A$6:$H$663,4,0),0)</f>
        <v>0</v>
      </c>
      <c r="G117">
        <f>IFERROR(VLOOKUP(CONCATENATE(Table43_1[[#This Row],[Kode BARANG Win2]],5),'Form Fix'!$A$6:$H$663,4,0),0)</f>
        <v>0</v>
      </c>
    </row>
    <row r="118" spans="1:7">
      <c r="A118" t="s">
        <v>2770</v>
      </c>
      <c r="B118" t="s">
        <v>3137</v>
      </c>
      <c r="C118">
        <f>IFERROR(VLOOKUP(CONCATENATE(Table43_1[[#This Row],[Kode BARANG Win2]],1),'Form Fix'!$A$6:$H$663,4,0),0)</f>
        <v>0</v>
      </c>
      <c r="D118">
        <f>IFERROR(VLOOKUP(CONCATENATE(Table43_1[[#This Row],[Kode BARANG Win2]],2),'Form Fix'!$A$6:$H$663,4,0),0)</f>
        <v>0</v>
      </c>
      <c r="E118">
        <f>IFERROR(VLOOKUP(CONCATENATE(Table43_1[[#This Row],[Kode BARANG Win2]],3),'Form Fix'!$A$6:$H$663,4,0),0)</f>
        <v>0</v>
      </c>
      <c r="F118">
        <f>IFERROR(VLOOKUP(CONCATENATE(Table43_1[[#This Row],[Kode BARANG Win2]],4),'Form Fix'!$A$6:$H$663,4,0),0)</f>
        <v>0</v>
      </c>
      <c r="G118">
        <f>IFERROR(VLOOKUP(CONCATENATE(Table43_1[[#This Row],[Kode BARANG Win2]],5),'Form Fix'!$A$6:$H$663,4,0),0)</f>
        <v>0</v>
      </c>
    </row>
    <row r="119" spans="1:7">
      <c r="A119" t="s">
        <v>2766</v>
      </c>
      <c r="B119" t="s">
        <v>3134</v>
      </c>
      <c r="C119">
        <f>IFERROR(VLOOKUP(CONCATENATE(Table43_1[[#This Row],[Kode BARANG Win2]],1),'Form Fix'!$A$6:$H$663,4,0),0)</f>
        <v>0</v>
      </c>
      <c r="D119">
        <f>IFERROR(VLOOKUP(CONCATENATE(Table43_1[[#This Row],[Kode BARANG Win2]],2),'Form Fix'!$A$6:$H$663,4,0),0)</f>
        <v>0</v>
      </c>
      <c r="E119">
        <f>IFERROR(VLOOKUP(CONCATENATE(Table43_1[[#This Row],[Kode BARANG Win2]],3),'Form Fix'!$A$6:$H$663,4,0),0)</f>
        <v>0</v>
      </c>
      <c r="F119">
        <f>IFERROR(VLOOKUP(CONCATENATE(Table43_1[[#This Row],[Kode BARANG Win2]],4),'Form Fix'!$A$6:$H$663,4,0),0)</f>
        <v>0</v>
      </c>
      <c r="G119">
        <f>IFERROR(VLOOKUP(CONCATENATE(Table43_1[[#This Row],[Kode BARANG Win2]],5),'Form Fix'!$A$6:$H$663,4,0),0)</f>
        <v>0</v>
      </c>
    </row>
    <row r="120" spans="1:7">
      <c r="A120" t="s">
        <v>3485</v>
      </c>
      <c r="B120" t="s">
        <v>3526</v>
      </c>
      <c r="C120">
        <f>IFERROR(VLOOKUP(CONCATENATE(Table43_1[[#This Row],[Kode BARANG Win2]],1),'Form Fix'!$A$6:$H$663,4,0),0)</f>
        <v>0</v>
      </c>
      <c r="D120">
        <f>IFERROR(VLOOKUP(CONCATENATE(Table43_1[[#This Row],[Kode BARANG Win2]],2),'Form Fix'!$A$6:$H$663,4,0),0)</f>
        <v>0</v>
      </c>
      <c r="E120">
        <f>IFERROR(VLOOKUP(CONCATENATE(Table43_1[[#This Row],[Kode BARANG Win2]],3),'Form Fix'!$A$6:$H$663,4,0),0)</f>
        <v>0</v>
      </c>
      <c r="F120">
        <f>IFERROR(VLOOKUP(CONCATENATE(Table43_1[[#This Row],[Kode BARANG Win2]],4),'Form Fix'!$A$6:$H$663,4,0),0)</f>
        <v>0</v>
      </c>
      <c r="G120">
        <f>IFERROR(VLOOKUP(CONCATENATE(Table43_1[[#This Row],[Kode BARANG Win2]],5),'Form Fix'!$A$6:$H$663,4,0),0)</f>
        <v>0</v>
      </c>
    </row>
    <row r="121" spans="1:7">
      <c r="A121" t="s">
        <v>2767</v>
      </c>
      <c r="B121" t="s">
        <v>3135</v>
      </c>
      <c r="C121">
        <f>IFERROR(VLOOKUP(CONCATENATE(Table43_1[[#This Row],[Kode BARANG Win2]],1),'Form Fix'!$A$6:$H$663,4,0),0)</f>
        <v>0</v>
      </c>
      <c r="D121">
        <f>IFERROR(VLOOKUP(CONCATENATE(Table43_1[[#This Row],[Kode BARANG Win2]],2),'Form Fix'!$A$6:$H$663,4,0),0)</f>
        <v>0</v>
      </c>
      <c r="E121">
        <f>IFERROR(VLOOKUP(CONCATENATE(Table43_1[[#This Row],[Kode BARANG Win2]],3),'Form Fix'!$A$6:$H$663,4,0),0)</f>
        <v>0</v>
      </c>
      <c r="F121">
        <f>IFERROR(VLOOKUP(CONCATENATE(Table43_1[[#This Row],[Kode BARANG Win2]],4),'Form Fix'!$A$6:$H$663,4,0),0)</f>
        <v>0</v>
      </c>
      <c r="G121">
        <f>IFERROR(VLOOKUP(CONCATENATE(Table43_1[[#This Row],[Kode BARANG Win2]],5),'Form Fix'!$A$6:$H$663,4,0),0)</f>
        <v>0</v>
      </c>
    </row>
    <row r="122" spans="1:7">
      <c r="A122" t="s">
        <v>2773</v>
      </c>
      <c r="B122" t="s">
        <v>3140</v>
      </c>
      <c r="C122">
        <f>IFERROR(VLOOKUP(CONCATENATE(Table43_1[[#This Row],[Kode BARANG Win2]],1),'Form Fix'!$A$6:$H$663,4,0),0)</f>
        <v>0</v>
      </c>
      <c r="D122">
        <f>IFERROR(VLOOKUP(CONCATENATE(Table43_1[[#This Row],[Kode BARANG Win2]],2),'Form Fix'!$A$6:$H$663,4,0),0)</f>
        <v>0</v>
      </c>
      <c r="E122">
        <f>IFERROR(VLOOKUP(CONCATENATE(Table43_1[[#This Row],[Kode BARANG Win2]],3),'Form Fix'!$A$6:$H$663,4,0),0)</f>
        <v>0</v>
      </c>
      <c r="F122">
        <f>IFERROR(VLOOKUP(CONCATENATE(Table43_1[[#This Row],[Kode BARANG Win2]],4),'Form Fix'!$A$6:$H$663,4,0),0)</f>
        <v>0</v>
      </c>
      <c r="G122">
        <f>IFERROR(VLOOKUP(CONCATENATE(Table43_1[[#This Row],[Kode BARANG Win2]],5),'Form Fix'!$A$6:$H$663,4,0),0)</f>
        <v>0</v>
      </c>
    </row>
    <row r="123" spans="1:7">
      <c r="A123" t="s">
        <v>2774</v>
      </c>
      <c r="B123" t="s">
        <v>3141</v>
      </c>
      <c r="C123">
        <f>IFERROR(VLOOKUP(CONCATENATE(Table43_1[[#This Row],[Kode BARANG Win2]],1),'Form Fix'!$A$6:$H$663,4,0),0)</f>
        <v>0</v>
      </c>
      <c r="D123">
        <f>IFERROR(VLOOKUP(CONCATENATE(Table43_1[[#This Row],[Kode BARANG Win2]],2),'Form Fix'!$A$6:$H$663,4,0),0)</f>
        <v>0</v>
      </c>
      <c r="E123">
        <f>IFERROR(VLOOKUP(CONCATENATE(Table43_1[[#This Row],[Kode BARANG Win2]],3),'Form Fix'!$A$6:$H$663,4,0),0)</f>
        <v>0</v>
      </c>
      <c r="F123">
        <f>IFERROR(VLOOKUP(CONCATENATE(Table43_1[[#This Row],[Kode BARANG Win2]],4),'Form Fix'!$A$6:$H$663,4,0),0)</f>
        <v>0</v>
      </c>
      <c r="G123">
        <f>IFERROR(VLOOKUP(CONCATENATE(Table43_1[[#This Row],[Kode BARANG Win2]],5),'Form Fix'!$A$6:$H$663,4,0),0)</f>
        <v>0</v>
      </c>
    </row>
    <row r="124" spans="1:7">
      <c r="A124" t="s">
        <v>2775</v>
      </c>
      <c r="B124" t="s">
        <v>3142</v>
      </c>
      <c r="C124">
        <f>IFERROR(VLOOKUP(CONCATENATE(Table43_1[[#This Row],[Kode BARANG Win2]],1),'Form Fix'!$A$6:$H$663,4,0),0)</f>
        <v>0</v>
      </c>
      <c r="D124">
        <f>IFERROR(VLOOKUP(CONCATENATE(Table43_1[[#This Row],[Kode BARANG Win2]],2),'Form Fix'!$A$6:$H$663,4,0),0)</f>
        <v>0</v>
      </c>
      <c r="E124">
        <f>IFERROR(VLOOKUP(CONCATENATE(Table43_1[[#This Row],[Kode BARANG Win2]],3),'Form Fix'!$A$6:$H$663,4,0),0)</f>
        <v>0</v>
      </c>
      <c r="F124">
        <f>IFERROR(VLOOKUP(CONCATENATE(Table43_1[[#This Row],[Kode BARANG Win2]],4),'Form Fix'!$A$6:$H$663,4,0),0)</f>
        <v>0</v>
      </c>
      <c r="G124">
        <f>IFERROR(VLOOKUP(CONCATENATE(Table43_1[[#This Row],[Kode BARANG Win2]],5),'Form Fix'!$A$6:$H$663,4,0),0)</f>
        <v>0</v>
      </c>
    </row>
    <row r="125" spans="1:7">
      <c r="A125" t="s">
        <v>2771</v>
      </c>
      <c r="B125" t="s">
        <v>3138</v>
      </c>
      <c r="C125">
        <f>IFERROR(VLOOKUP(CONCATENATE(Table43_1[[#This Row],[Kode BARANG Win2]],1),'Form Fix'!$A$6:$H$663,4,0),0)</f>
        <v>0</v>
      </c>
      <c r="D125">
        <f>IFERROR(VLOOKUP(CONCATENATE(Table43_1[[#This Row],[Kode BARANG Win2]],2),'Form Fix'!$A$6:$H$663,4,0),0)</f>
        <v>0</v>
      </c>
      <c r="E125">
        <f>IFERROR(VLOOKUP(CONCATENATE(Table43_1[[#This Row],[Kode BARANG Win2]],3),'Form Fix'!$A$6:$H$663,4,0),0)</f>
        <v>0</v>
      </c>
      <c r="F125">
        <f>IFERROR(VLOOKUP(CONCATENATE(Table43_1[[#This Row],[Kode BARANG Win2]],4),'Form Fix'!$A$6:$H$663,4,0),0)</f>
        <v>0</v>
      </c>
      <c r="G125">
        <f>IFERROR(VLOOKUP(CONCATENATE(Table43_1[[#This Row],[Kode BARANG Win2]],5),'Form Fix'!$A$6:$H$663,4,0),0)</f>
        <v>0</v>
      </c>
    </row>
    <row r="126" spans="1:7">
      <c r="A126" t="s">
        <v>2772</v>
      </c>
      <c r="B126" t="s">
        <v>3139</v>
      </c>
      <c r="C126">
        <f>IFERROR(VLOOKUP(CONCATENATE(Table43_1[[#This Row],[Kode BARANG Win2]],1),'Form Fix'!$A$6:$H$663,4,0),0)</f>
        <v>0</v>
      </c>
      <c r="D126">
        <f>IFERROR(VLOOKUP(CONCATENATE(Table43_1[[#This Row],[Kode BARANG Win2]],2),'Form Fix'!$A$6:$H$663,4,0),0)</f>
        <v>0</v>
      </c>
      <c r="E126">
        <f>IFERROR(VLOOKUP(CONCATENATE(Table43_1[[#This Row],[Kode BARANG Win2]],3),'Form Fix'!$A$6:$H$663,4,0),0)</f>
        <v>0</v>
      </c>
      <c r="F126">
        <f>IFERROR(VLOOKUP(CONCATENATE(Table43_1[[#This Row],[Kode BARANG Win2]],4),'Form Fix'!$A$6:$H$663,4,0),0)</f>
        <v>0</v>
      </c>
      <c r="G126">
        <f>IFERROR(VLOOKUP(CONCATENATE(Table43_1[[#This Row],[Kode BARANG Win2]],5),'Form Fix'!$A$6:$H$663,4,0),0)</f>
        <v>0</v>
      </c>
    </row>
    <row r="127" spans="1:7">
      <c r="A127" t="s">
        <v>2776</v>
      </c>
      <c r="B127" t="s">
        <v>3143</v>
      </c>
      <c r="C127">
        <f>IFERROR(VLOOKUP(CONCATENATE(Table43_1[[#This Row],[Kode BARANG Win2]],1),'Form Fix'!$A$6:$H$663,4,0),0)</f>
        <v>0</v>
      </c>
      <c r="D127">
        <f>IFERROR(VLOOKUP(CONCATENATE(Table43_1[[#This Row],[Kode BARANG Win2]],2),'Form Fix'!$A$6:$H$663,4,0),0)</f>
        <v>0</v>
      </c>
      <c r="E127">
        <f>IFERROR(VLOOKUP(CONCATENATE(Table43_1[[#This Row],[Kode BARANG Win2]],3),'Form Fix'!$A$6:$H$663,4,0),0)</f>
        <v>0</v>
      </c>
      <c r="F127">
        <f>IFERROR(VLOOKUP(CONCATENATE(Table43_1[[#This Row],[Kode BARANG Win2]],4),'Form Fix'!$A$6:$H$663,4,0),0)</f>
        <v>0</v>
      </c>
      <c r="G127">
        <f>IFERROR(VLOOKUP(CONCATENATE(Table43_1[[#This Row],[Kode BARANG Win2]],5),'Form Fix'!$A$6:$H$663,4,0),0)</f>
        <v>0</v>
      </c>
    </row>
    <row r="128" spans="1:7">
      <c r="A128" t="s">
        <v>2777</v>
      </c>
      <c r="B128" t="s">
        <v>3144</v>
      </c>
      <c r="C128">
        <f>IFERROR(VLOOKUP(CONCATENATE(Table43_1[[#This Row],[Kode BARANG Win2]],1),'Form Fix'!$A$6:$H$663,4,0),0)</f>
        <v>0</v>
      </c>
      <c r="D128">
        <f>IFERROR(VLOOKUP(CONCATENATE(Table43_1[[#This Row],[Kode BARANG Win2]],2),'Form Fix'!$A$6:$H$663,4,0),0)</f>
        <v>0</v>
      </c>
      <c r="E128">
        <f>IFERROR(VLOOKUP(CONCATENATE(Table43_1[[#This Row],[Kode BARANG Win2]],3),'Form Fix'!$A$6:$H$663,4,0),0)</f>
        <v>0</v>
      </c>
      <c r="F128">
        <f>IFERROR(VLOOKUP(CONCATENATE(Table43_1[[#This Row],[Kode BARANG Win2]],4),'Form Fix'!$A$6:$H$663,4,0),0)</f>
        <v>0</v>
      </c>
      <c r="G128">
        <f>IFERROR(VLOOKUP(CONCATENATE(Table43_1[[#This Row],[Kode BARANG Win2]],5),'Form Fix'!$A$6:$H$663,4,0),0)</f>
        <v>0</v>
      </c>
    </row>
    <row r="129" spans="1:7">
      <c r="A129" t="s">
        <v>2778</v>
      </c>
      <c r="B129" t="s">
        <v>3145</v>
      </c>
      <c r="C129">
        <f>IFERROR(VLOOKUP(CONCATENATE(Table43_1[[#This Row],[Kode BARANG Win2]],1),'Form Fix'!$A$6:$H$663,4,0),0)</f>
        <v>0</v>
      </c>
      <c r="D129">
        <f>IFERROR(VLOOKUP(CONCATENATE(Table43_1[[#This Row],[Kode BARANG Win2]],2),'Form Fix'!$A$6:$H$663,4,0),0)</f>
        <v>0</v>
      </c>
      <c r="E129">
        <f>IFERROR(VLOOKUP(CONCATENATE(Table43_1[[#This Row],[Kode BARANG Win2]],3),'Form Fix'!$A$6:$H$663,4,0),0)</f>
        <v>0</v>
      </c>
      <c r="F129">
        <f>IFERROR(VLOOKUP(CONCATENATE(Table43_1[[#This Row],[Kode BARANG Win2]],4),'Form Fix'!$A$6:$H$663,4,0),0)</f>
        <v>0</v>
      </c>
      <c r="G129">
        <f>IFERROR(VLOOKUP(CONCATENATE(Table43_1[[#This Row],[Kode BARANG Win2]],5),'Form Fix'!$A$6:$H$663,4,0),0)</f>
        <v>0</v>
      </c>
    </row>
    <row r="130" spans="1:7">
      <c r="A130" t="s">
        <v>2779</v>
      </c>
      <c r="B130" t="s">
        <v>3146</v>
      </c>
      <c r="C130">
        <f>IFERROR(VLOOKUP(CONCATENATE(Table43_1[[#This Row],[Kode BARANG Win2]],1),'Form Fix'!$A$6:$H$663,4,0),0)</f>
        <v>0</v>
      </c>
      <c r="D130">
        <f>IFERROR(VLOOKUP(CONCATENATE(Table43_1[[#This Row],[Kode BARANG Win2]],2),'Form Fix'!$A$6:$H$663,4,0),0)</f>
        <v>0</v>
      </c>
      <c r="E130">
        <f>IFERROR(VLOOKUP(CONCATENATE(Table43_1[[#This Row],[Kode BARANG Win2]],3),'Form Fix'!$A$6:$H$663,4,0),0)</f>
        <v>0</v>
      </c>
      <c r="F130">
        <f>IFERROR(VLOOKUP(CONCATENATE(Table43_1[[#This Row],[Kode BARANG Win2]],4),'Form Fix'!$A$6:$H$663,4,0),0)</f>
        <v>0</v>
      </c>
      <c r="G130">
        <f>IFERROR(VLOOKUP(CONCATENATE(Table43_1[[#This Row],[Kode BARANG Win2]],5),'Form Fix'!$A$6:$H$663,4,0),0)</f>
        <v>0</v>
      </c>
    </row>
    <row r="131" spans="1:7">
      <c r="A131" t="s">
        <v>2780</v>
      </c>
      <c r="B131" t="s">
        <v>3147</v>
      </c>
      <c r="C131">
        <f>IFERROR(VLOOKUP(CONCATENATE(Table43_1[[#This Row],[Kode BARANG Win2]],1),'Form Fix'!$A$6:$H$663,4,0),0)</f>
        <v>0</v>
      </c>
      <c r="D131">
        <f>IFERROR(VLOOKUP(CONCATENATE(Table43_1[[#This Row],[Kode BARANG Win2]],2),'Form Fix'!$A$6:$H$663,4,0),0)</f>
        <v>0</v>
      </c>
      <c r="E131">
        <f>IFERROR(VLOOKUP(CONCATENATE(Table43_1[[#This Row],[Kode BARANG Win2]],3),'Form Fix'!$A$6:$H$663,4,0),0)</f>
        <v>0</v>
      </c>
      <c r="F131">
        <f>IFERROR(VLOOKUP(CONCATENATE(Table43_1[[#This Row],[Kode BARANG Win2]],4),'Form Fix'!$A$6:$H$663,4,0),0)</f>
        <v>0</v>
      </c>
      <c r="G131">
        <f>IFERROR(VLOOKUP(CONCATENATE(Table43_1[[#This Row],[Kode BARANG Win2]],5),'Form Fix'!$A$6:$H$663,4,0),0)</f>
        <v>0</v>
      </c>
    </row>
    <row r="132" spans="1:7">
      <c r="A132" t="s">
        <v>2781</v>
      </c>
      <c r="B132" t="s">
        <v>3148</v>
      </c>
      <c r="C132">
        <f>IFERROR(VLOOKUP(CONCATENATE(Table43_1[[#This Row],[Kode BARANG Win2]],1),'Form Fix'!$A$6:$H$663,4,0),0)</f>
        <v>0</v>
      </c>
      <c r="D132">
        <f>IFERROR(VLOOKUP(CONCATENATE(Table43_1[[#This Row],[Kode BARANG Win2]],2),'Form Fix'!$A$6:$H$663,4,0),0)</f>
        <v>0</v>
      </c>
      <c r="E132">
        <f>IFERROR(VLOOKUP(CONCATENATE(Table43_1[[#This Row],[Kode BARANG Win2]],3),'Form Fix'!$A$6:$H$663,4,0),0)</f>
        <v>0</v>
      </c>
      <c r="F132">
        <f>IFERROR(VLOOKUP(CONCATENATE(Table43_1[[#This Row],[Kode BARANG Win2]],4),'Form Fix'!$A$6:$H$663,4,0),0)</f>
        <v>0</v>
      </c>
      <c r="G132">
        <f>IFERROR(VLOOKUP(CONCATENATE(Table43_1[[#This Row],[Kode BARANG Win2]],5),'Form Fix'!$A$6:$H$663,4,0),0)</f>
        <v>0</v>
      </c>
    </row>
    <row r="133" spans="1:7">
      <c r="A133" t="s">
        <v>2782</v>
      </c>
      <c r="B133" t="s">
        <v>3149</v>
      </c>
      <c r="C133">
        <f>IFERROR(VLOOKUP(CONCATENATE(Table43_1[[#This Row],[Kode BARANG Win2]],1),'Form Fix'!$A$6:$H$663,4,0),0)</f>
        <v>0</v>
      </c>
      <c r="D133">
        <f>IFERROR(VLOOKUP(CONCATENATE(Table43_1[[#This Row],[Kode BARANG Win2]],2),'Form Fix'!$A$6:$H$663,4,0),0)</f>
        <v>0</v>
      </c>
      <c r="E133">
        <f>IFERROR(VLOOKUP(CONCATENATE(Table43_1[[#This Row],[Kode BARANG Win2]],3),'Form Fix'!$A$6:$H$663,4,0),0)</f>
        <v>0</v>
      </c>
      <c r="F133">
        <f>IFERROR(VLOOKUP(CONCATENATE(Table43_1[[#This Row],[Kode BARANG Win2]],4),'Form Fix'!$A$6:$H$663,4,0),0)</f>
        <v>0</v>
      </c>
      <c r="G133">
        <f>IFERROR(VLOOKUP(CONCATENATE(Table43_1[[#This Row],[Kode BARANG Win2]],5),'Form Fix'!$A$6:$H$663,4,0),0)</f>
        <v>0</v>
      </c>
    </row>
    <row r="134" spans="1:7">
      <c r="A134" t="s">
        <v>2783</v>
      </c>
      <c r="B134" t="s">
        <v>3150</v>
      </c>
      <c r="C134">
        <f>IFERROR(VLOOKUP(CONCATENATE(Table43_1[[#This Row],[Kode BARANG Win2]],1),'Form Fix'!$A$6:$H$663,4,0),0)</f>
        <v>0</v>
      </c>
      <c r="D134">
        <f>IFERROR(VLOOKUP(CONCATENATE(Table43_1[[#This Row],[Kode BARANG Win2]],2),'Form Fix'!$A$6:$H$663,4,0),0)</f>
        <v>0</v>
      </c>
      <c r="E134">
        <f>IFERROR(VLOOKUP(CONCATENATE(Table43_1[[#This Row],[Kode BARANG Win2]],3),'Form Fix'!$A$6:$H$663,4,0),0)</f>
        <v>0</v>
      </c>
      <c r="F134">
        <f>IFERROR(VLOOKUP(CONCATENATE(Table43_1[[#This Row],[Kode BARANG Win2]],4),'Form Fix'!$A$6:$H$663,4,0),0)</f>
        <v>0</v>
      </c>
      <c r="G134">
        <f>IFERROR(VLOOKUP(CONCATENATE(Table43_1[[#This Row],[Kode BARANG Win2]],5),'Form Fix'!$A$6:$H$663,4,0),0)</f>
        <v>0</v>
      </c>
    </row>
    <row r="135" spans="1:7">
      <c r="A135" t="s">
        <v>2784</v>
      </c>
      <c r="B135" t="s">
        <v>3151</v>
      </c>
      <c r="C135">
        <f>IFERROR(VLOOKUP(CONCATENATE(Table43_1[[#This Row],[Kode BARANG Win2]],1),'Form Fix'!$A$6:$H$663,4,0),0)</f>
        <v>0</v>
      </c>
      <c r="D135">
        <f>IFERROR(VLOOKUP(CONCATENATE(Table43_1[[#This Row],[Kode BARANG Win2]],2),'Form Fix'!$A$6:$H$663,4,0),0)</f>
        <v>0</v>
      </c>
      <c r="E135">
        <f>IFERROR(VLOOKUP(CONCATENATE(Table43_1[[#This Row],[Kode BARANG Win2]],3),'Form Fix'!$A$6:$H$663,4,0),0)</f>
        <v>0</v>
      </c>
      <c r="F135">
        <f>IFERROR(VLOOKUP(CONCATENATE(Table43_1[[#This Row],[Kode BARANG Win2]],4),'Form Fix'!$A$6:$H$663,4,0),0)</f>
        <v>0</v>
      </c>
      <c r="G135">
        <f>IFERROR(VLOOKUP(CONCATENATE(Table43_1[[#This Row],[Kode BARANG Win2]],5),'Form Fix'!$A$6:$H$663,4,0),0)</f>
        <v>0</v>
      </c>
    </row>
    <row r="136" spans="1:7">
      <c r="A136" t="s">
        <v>2785</v>
      </c>
      <c r="B136" t="s">
        <v>3152</v>
      </c>
      <c r="C136">
        <f>IFERROR(VLOOKUP(CONCATENATE(Table43_1[[#This Row],[Kode BARANG Win2]],1),'Form Fix'!$A$6:$H$663,4,0),0)</f>
        <v>0</v>
      </c>
      <c r="D136">
        <f>IFERROR(VLOOKUP(CONCATENATE(Table43_1[[#This Row],[Kode BARANG Win2]],2),'Form Fix'!$A$6:$H$663,4,0),0)</f>
        <v>0</v>
      </c>
      <c r="E136">
        <f>IFERROR(VLOOKUP(CONCATENATE(Table43_1[[#This Row],[Kode BARANG Win2]],3),'Form Fix'!$A$6:$H$663,4,0),0)</f>
        <v>0</v>
      </c>
      <c r="F136">
        <f>IFERROR(VLOOKUP(CONCATENATE(Table43_1[[#This Row],[Kode BARANG Win2]],4),'Form Fix'!$A$6:$H$663,4,0),0)</f>
        <v>0</v>
      </c>
      <c r="G136">
        <f>IFERROR(VLOOKUP(CONCATENATE(Table43_1[[#This Row],[Kode BARANG Win2]],5),'Form Fix'!$A$6:$H$663,4,0),0)</f>
        <v>0</v>
      </c>
    </row>
    <row r="137" spans="1:7">
      <c r="A137" t="s">
        <v>2786</v>
      </c>
      <c r="B137" t="s">
        <v>3153</v>
      </c>
      <c r="C137">
        <f>IFERROR(VLOOKUP(CONCATENATE(Table43_1[[#This Row],[Kode BARANG Win2]],1),'Form Fix'!$A$6:$H$663,4,0),0)</f>
        <v>0</v>
      </c>
      <c r="D137">
        <f>IFERROR(VLOOKUP(CONCATENATE(Table43_1[[#This Row],[Kode BARANG Win2]],2),'Form Fix'!$A$6:$H$663,4,0),0)</f>
        <v>0</v>
      </c>
      <c r="E137">
        <f>IFERROR(VLOOKUP(CONCATENATE(Table43_1[[#This Row],[Kode BARANG Win2]],3),'Form Fix'!$A$6:$H$663,4,0),0)</f>
        <v>0</v>
      </c>
      <c r="F137">
        <f>IFERROR(VLOOKUP(CONCATENATE(Table43_1[[#This Row],[Kode BARANG Win2]],4),'Form Fix'!$A$6:$H$663,4,0),0)</f>
        <v>0</v>
      </c>
      <c r="G137">
        <f>IFERROR(VLOOKUP(CONCATENATE(Table43_1[[#This Row],[Kode BARANG Win2]],5),'Form Fix'!$A$6:$H$663,4,0),0)</f>
        <v>0</v>
      </c>
    </row>
    <row r="138" spans="1:7">
      <c r="A138" t="s">
        <v>2787</v>
      </c>
      <c r="B138" t="s">
        <v>3154</v>
      </c>
      <c r="C138">
        <f>IFERROR(VLOOKUP(CONCATENATE(Table43_1[[#This Row],[Kode BARANG Win2]],1),'Form Fix'!$A$6:$H$663,4,0),0)</f>
        <v>0</v>
      </c>
      <c r="D138">
        <f>IFERROR(VLOOKUP(CONCATENATE(Table43_1[[#This Row],[Kode BARANG Win2]],2),'Form Fix'!$A$6:$H$663,4,0),0)</f>
        <v>0</v>
      </c>
      <c r="E138">
        <f>IFERROR(VLOOKUP(CONCATENATE(Table43_1[[#This Row],[Kode BARANG Win2]],3),'Form Fix'!$A$6:$H$663,4,0),0)</f>
        <v>0</v>
      </c>
      <c r="F138">
        <f>IFERROR(VLOOKUP(CONCATENATE(Table43_1[[#This Row],[Kode BARANG Win2]],4),'Form Fix'!$A$6:$H$663,4,0),0)</f>
        <v>0</v>
      </c>
      <c r="G138">
        <f>IFERROR(VLOOKUP(CONCATENATE(Table43_1[[#This Row],[Kode BARANG Win2]],5),'Form Fix'!$A$6:$H$663,4,0),0)</f>
        <v>0</v>
      </c>
    </row>
    <row r="139" spans="1:7">
      <c r="A139" t="s">
        <v>2789</v>
      </c>
      <c r="B139" t="s">
        <v>3156</v>
      </c>
      <c r="C139">
        <f>IFERROR(VLOOKUP(CONCATENATE(Table43_1[[#This Row],[Kode BARANG Win2]],1),'Form Fix'!$A$6:$H$663,4,0),0)</f>
        <v>0</v>
      </c>
      <c r="D139">
        <f>IFERROR(VLOOKUP(CONCATENATE(Table43_1[[#This Row],[Kode BARANG Win2]],2),'Form Fix'!$A$6:$H$663,4,0),0)</f>
        <v>0</v>
      </c>
      <c r="E139">
        <f>IFERROR(VLOOKUP(CONCATENATE(Table43_1[[#This Row],[Kode BARANG Win2]],3),'Form Fix'!$A$6:$H$663,4,0),0)</f>
        <v>0</v>
      </c>
      <c r="F139">
        <f>IFERROR(VLOOKUP(CONCATENATE(Table43_1[[#This Row],[Kode BARANG Win2]],4),'Form Fix'!$A$6:$H$663,4,0),0)</f>
        <v>0</v>
      </c>
      <c r="G139">
        <f>IFERROR(VLOOKUP(CONCATENATE(Table43_1[[#This Row],[Kode BARANG Win2]],5),'Form Fix'!$A$6:$H$663,4,0),0)</f>
        <v>0</v>
      </c>
    </row>
    <row r="140" spans="1:7">
      <c r="A140" t="s">
        <v>2788</v>
      </c>
      <c r="B140" t="s">
        <v>3155</v>
      </c>
      <c r="C140">
        <f>IFERROR(VLOOKUP(CONCATENATE(Table43_1[[#This Row],[Kode BARANG Win2]],1),'Form Fix'!$A$6:$H$663,4,0),0)</f>
        <v>0</v>
      </c>
      <c r="D140">
        <f>IFERROR(VLOOKUP(CONCATENATE(Table43_1[[#This Row],[Kode BARANG Win2]],2),'Form Fix'!$A$6:$H$663,4,0),0)</f>
        <v>0</v>
      </c>
      <c r="E140">
        <f>IFERROR(VLOOKUP(CONCATENATE(Table43_1[[#This Row],[Kode BARANG Win2]],3),'Form Fix'!$A$6:$H$663,4,0),0)</f>
        <v>0</v>
      </c>
      <c r="F140">
        <f>IFERROR(VLOOKUP(CONCATENATE(Table43_1[[#This Row],[Kode BARANG Win2]],4),'Form Fix'!$A$6:$H$663,4,0),0)</f>
        <v>0</v>
      </c>
      <c r="G140">
        <f>IFERROR(VLOOKUP(CONCATENATE(Table43_1[[#This Row],[Kode BARANG Win2]],5),'Form Fix'!$A$6:$H$663,4,0),0)</f>
        <v>0</v>
      </c>
    </row>
    <row r="141" spans="1:7">
      <c r="A141" t="s">
        <v>2791</v>
      </c>
      <c r="B141" t="s">
        <v>3158</v>
      </c>
      <c r="C141">
        <f>IFERROR(VLOOKUP(CONCATENATE(Table43_1[[#This Row],[Kode BARANG Win2]],1),'Form Fix'!$A$6:$H$663,4,0),0)</f>
        <v>0</v>
      </c>
      <c r="D141">
        <f>IFERROR(VLOOKUP(CONCATENATE(Table43_1[[#This Row],[Kode BARANG Win2]],2),'Form Fix'!$A$6:$H$663,4,0),0)</f>
        <v>0</v>
      </c>
      <c r="E141">
        <f>IFERROR(VLOOKUP(CONCATENATE(Table43_1[[#This Row],[Kode BARANG Win2]],3),'Form Fix'!$A$6:$H$663,4,0),0)</f>
        <v>0</v>
      </c>
      <c r="F141">
        <f>IFERROR(VLOOKUP(CONCATENATE(Table43_1[[#This Row],[Kode BARANG Win2]],4),'Form Fix'!$A$6:$H$663,4,0),0)</f>
        <v>0</v>
      </c>
      <c r="G141">
        <f>IFERROR(VLOOKUP(CONCATENATE(Table43_1[[#This Row],[Kode BARANG Win2]],5),'Form Fix'!$A$6:$H$663,4,0),0)</f>
        <v>0</v>
      </c>
    </row>
    <row r="142" spans="1:7">
      <c r="A142" t="s">
        <v>2790</v>
      </c>
      <c r="B142" t="s">
        <v>3157</v>
      </c>
      <c r="C142">
        <f>IFERROR(VLOOKUP(CONCATENATE(Table43_1[[#This Row],[Kode BARANG Win2]],1),'Form Fix'!$A$6:$H$663,4,0),0)</f>
        <v>0</v>
      </c>
      <c r="D142">
        <f>IFERROR(VLOOKUP(CONCATENATE(Table43_1[[#This Row],[Kode BARANG Win2]],2),'Form Fix'!$A$6:$H$663,4,0),0)</f>
        <v>0</v>
      </c>
      <c r="E142">
        <f>IFERROR(VLOOKUP(CONCATENATE(Table43_1[[#This Row],[Kode BARANG Win2]],3),'Form Fix'!$A$6:$H$663,4,0),0)</f>
        <v>0</v>
      </c>
      <c r="F142">
        <f>IFERROR(VLOOKUP(CONCATENATE(Table43_1[[#This Row],[Kode BARANG Win2]],4),'Form Fix'!$A$6:$H$663,4,0),0)</f>
        <v>0</v>
      </c>
      <c r="G142">
        <f>IFERROR(VLOOKUP(CONCATENATE(Table43_1[[#This Row],[Kode BARANG Win2]],5),'Form Fix'!$A$6:$H$663,4,0),0)</f>
        <v>0</v>
      </c>
    </row>
    <row r="143" spans="1:7">
      <c r="A143" t="s">
        <v>2792</v>
      </c>
      <c r="B143" t="s">
        <v>3159</v>
      </c>
      <c r="C143">
        <f>IFERROR(VLOOKUP(CONCATENATE(Table43_1[[#This Row],[Kode BARANG Win2]],1),'Form Fix'!$A$6:$H$663,4,0),0)</f>
        <v>0</v>
      </c>
      <c r="D143">
        <f>IFERROR(VLOOKUP(CONCATENATE(Table43_1[[#This Row],[Kode BARANG Win2]],2),'Form Fix'!$A$6:$H$663,4,0),0)</f>
        <v>0</v>
      </c>
      <c r="E143">
        <f>IFERROR(VLOOKUP(CONCATENATE(Table43_1[[#This Row],[Kode BARANG Win2]],3),'Form Fix'!$A$6:$H$663,4,0),0)</f>
        <v>0</v>
      </c>
      <c r="F143">
        <f>IFERROR(VLOOKUP(CONCATENATE(Table43_1[[#This Row],[Kode BARANG Win2]],4),'Form Fix'!$A$6:$H$663,4,0),0)</f>
        <v>0</v>
      </c>
      <c r="G143">
        <f>IFERROR(VLOOKUP(CONCATENATE(Table43_1[[#This Row],[Kode BARANG Win2]],5),'Form Fix'!$A$6:$H$663,4,0),0)</f>
        <v>0</v>
      </c>
    </row>
    <row r="144" spans="1:7">
      <c r="A144" t="s">
        <v>2794</v>
      </c>
      <c r="B144" t="s">
        <v>3161</v>
      </c>
      <c r="C144">
        <f>IFERROR(VLOOKUP(CONCATENATE(Table43_1[[#This Row],[Kode BARANG Win2]],1),'Form Fix'!$A$6:$H$663,4,0),0)</f>
        <v>0</v>
      </c>
      <c r="D144">
        <f>IFERROR(VLOOKUP(CONCATENATE(Table43_1[[#This Row],[Kode BARANG Win2]],2),'Form Fix'!$A$6:$H$663,4,0),0)</f>
        <v>0</v>
      </c>
      <c r="E144">
        <f>IFERROR(VLOOKUP(CONCATENATE(Table43_1[[#This Row],[Kode BARANG Win2]],3),'Form Fix'!$A$6:$H$663,4,0),0)</f>
        <v>0</v>
      </c>
      <c r="F144">
        <f>IFERROR(VLOOKUP(CONCATENATE(Table43_1[[#This Row],[Kode BARANG Win2]],4),'Form Fix'!$A$6:$H$663,4,0),0)</f>
        <v>0</v>
      </c>
      <c r="G144">
        <f>IFERROR(VLOOKUP(CONCATENATE(Table43_1[[#This Row],[Kode BARANG Win2]],5),'Form Fix'!$A$6:$H$663,4,0),0)</f>
        <v>0</v>
      </c>
    </row>
    <row r="145" spans="1:7">
      <c r="A145" t="s">
        <v>2793</v>
      </c>
      <c r="B145" t="s">
        <v>3160</v>
      </c>
      <c r="C145">
        <f>IFERROR(VLOOKUP(CONCATENATE(Table43_1[[#This Row],[Kode BARANG Win2]],1),'Form Fix'!$A$6:$H$663,4,0),0)</f>
        <v>0</v>
      </c>
      <c r="D145">
        <f>IFERROR(VLOOKUP(CONCATENATE(Table43_1[[#This Row],[Kode BARANG Win2]],2),'Form Fix'!$A$6:$H$663,4,0),0)</f>
        <v>0</v>
      </c>
      <c r="E145">
        <f>IFERROR(VLOOKUP(CONCATENATE(Table43_1[[#This Row],[Kode BARANG Win2]],3),'Form Fix'!$A$6:$H$663,4,0),0)</f>
        <v>0</v>
      </c>
      <c r="F145">
        <f>IFERROR(VLOOKUP(CONCATENATE(Table43_1[[#This Row],[Kode BARANG Win2]],4),'Form Fix'!$A$6:$H$663,4,0),0)</f>
        <v>0</v>
      </c>
      <c r="G145">
        <f>IFERROR(VLOOKUP(CONCATENATE(Table43_1[[#This Row],[Kode BARANG Win2]],5),'Form Fix'!$A$6:$H$663,4,0),0)</f>
        <v>0</v>
      </c>
    </row>
    <row r="146" spans="1:7">
      <c r="A146" t="s">
        <v>2795</v>
      </c>
      <c r="B146" t="s">
        <v>3162</v>
      </c>
      <c r="C146">
        <f>IFERROR(VLOOKUP(CONCATENATE(Table43_1[[#This Row],[Kode BARANG Win2]],1),'Form Fix'!$A$6:$H$663,4,0),0)</f>
        <v>0</v>
      </c>
      <c r="D146">
        <f>IFERROR(VLOOKUP(CONCATENATE(Table43_1[[#This Row],[Kode BARANG Win2]],2),'Form Fix'!$A$6:$H$663,4,0),0)</f>
        <v>0</v>
      </c>
      <c r="E146">
        <f>IFERROR(VLOOKUP(CONCATENATE(Table43_1[[#This Row],[Kode BARANG Win2]],3),'Form Fix'!$A$6:$H$663,4,0),0)</f>
        <v>0</v>
      </c>
      <c r="F146">
        <f>IFERROR(VLOOKUP(CONCATENATE(Table43_1[[#This Row],[Kode BARANG Win2]],4),'Form Fix'!$A$6:$H$663,4,0),0)</f>
        <v>0</v>
      </c>
      <c r="G146">
        <f>IFERROR(VLOOKUP(CONCATENATE(Table43_1[[#This Row],[Kode BARANG Win2]],5),'Form Fix'!$A$6:$H$663,4,0),0)</f>
        <v>0</v>
      </c>
    </row>
    <row r="147" spans="1:7">
      <c r="A147" t="s">
        <v>2798</v>
      </c>
      <c r="B147" t="s">
        <v>3165</v>
      </c>
      <c r="C147">
        <f>IFERROR(VLOOKUP(CONCATENATE(Table43_1[[#This Row],[Kode BARANG Win2]],1),'Form Fix'!$A$6:$H$663,4,0),0)</f>
        <v>0</v>
      </c>
      <c r="D147">
        <f>IFERROR(VLOOKUP(CONCATENATE(Table43_1[[#This Row],[Kode BARANG Win2]],2),'Form Fix'!$A$6:$H$663,4,0),0)</f>
        <v>0</v>
      </c>
      <c r="E147">
        <f>IFERROR(VLOOKUP(CONCATENATE(Table43_1[[#This Row],[Kode BARANG Win2]],3),'Form Fix'!$A$6:$H$663,4,0),0)</f>
        <v>0</v>
      </c>
      <c r="F147">
        <f>IFERROR(VLOOKUP(CONCATENATE(Table43_1[[#This Row],[Kode BARANG Win2]],4),'Form Fix'!$A$6:$H$663,4,0),0)</f>
        <v>0</v>
      </c>
      <c r="G147">
        <f>IFERROR(VLOOKUP(CONCATENATE(Table43_1[[#This Row],[Kode BARANG Win2]],5),'Form Fix'!$A$6:$H$663,4,0),0)</f>
        <v>0</v>
      </c>
    </row>
    <row r="148" spans="1:7">
      <c r="A148" t="s">
        <v>2796</v>
      </c>
      <c r="B148" t="s">
        <v>3163</v>
      </c>
      <c r="C148">
        <f>IFERROR(VLOOKUP(CONCATENATE(Table43_1[[#This Row],[Kode BARANG Win2]],1),'Form Fix'!$A$6:$H$663,4,0),0)</f>
        <v>0</v>
      </c>
      <c r="D148">
        <f>IFERROR(VLOOKUP(CONCATENATE(Table43_1[[#This Row],[Kode BARANG Win2]],2),'Form Fix'!$A$6:$H$663,4,0),0)</f>
        <v>0</v>
      </c>
      <c r="E148">
        <f>IFERROR(VLOOKUP(CONCATENATE(Table43_1[[#This Row],[Kode BARANG Win2]],3),'Form Fix'!$A$6:$H$663,4,0),0)</f>
        <v>0</v>
      </c>
      <c r="F148">
        <f>IFERROR(VLOOKUP(CONCATENATE(Table43_1[[#This Row],[Kode BARANG Win2]],4),'Form Fix'!$A$6:$H$663,4,0),0)</f>
        <v>0</v>
      </c>
      <c r="G148">
        <f>IFERROR(VLOOKUP(CONCATENATE(Table43_1[[#This Row],[Kode BARANG Win2]],5),'Form Fix'!$A$6:$H$663,4,0),0)</f>
        <v>0</v>
      </c>
    </row>
    <row r="149" spans="1:7">
      <c r="A149" t="s">
        <v>2797</v>
      </c>
      <c r="B149" t="s">
        <v>3164</v>
      </c>
      <c r="C149">
        <f>IFERROR(VLOOKUP(CONCATENATE(Table43_1[[#This Row],[Kode BARANG Win2]],1),'Form Fix'!$A$6:$H$663,4,0),0)</f>
        <v>0</v>
      </c>
      <c r="D149">
        <f>IFERROR(VLOOKUP(CONCATENATE(Table43_1[[#This Row],[Kode BARANG Win2]],2),'Form Fix'!$A$6:$H$663,4,0),0)</f>
        <v>0</v>
      </c>
      <c r="E149">
        <f>IFERROR(VLOOKUP(CONCATENATE(Table43_1[[#This Row],[Kode BARANG Win2]],3),'Form Fix'!$A$6:$H$663,4,0),0)</f>
        <v>0</v>
      </c>
      <c r="F149">
        <f>IFERROR(VLOOKUP(CONCATENATE(Table43_1[[#This Row],[Kode BARANG Win2]],4),'Form Fix'!$A$6:$H$663,4,0),0)</f>
        <v>0</v>
      </c>
      <c r="G149">
        <f>IFERROR(VLOOKUP(CONCATENATE(Table43_1[[#This Row],[Kode BARANG Win2]],5),'Form Fix'!$A$6:$H$663,4,0),0)</f>
        <v>0</v>
      </c>
    </row>
    <row r="150" spans="1:7">
      <c r="A150" t="s">
        <v>2801</v>
      </c>
      <c r="B150" t="s">
        <v>3168</v>
      </c>
      <c r="C150">
        <f>IFERROR(VLOOKUP(CONCATENATE(Table43_1[[#This Row],[Kode BARANG Win2]],1),'Form Fix'!$A$6:$H$663,4,0),0)</f>
        <v>0</v>
      </c>
      <c r="D150">
        <f>IFERROR(VLOOKUP(CONCATENATE(Table43_1[[#This Row],[Kode BARANG Win2]],2),'Form Fix'!$A$6:$H$663,4,0),0)</f>
        <v>0</v>
      </c>
      <c r="E150">
        <f>IFERROR(VLOOKUP(CONCATENATE(Table43_1[[#This Row],[Kode BARANG Win2]],3),'Form Fix'!$A$6:$H$663,4,0),0)</f>
        <v>0</v>
      </c>
      <c r="F150">
        <f>IFERROR(VLOOKUP(CONCATENATE(Table43_1[[#This Row],[Kode BARANG Win2]],4),'Form Fix'!$A$6:$H$663,4,0),0)</f>
        <v>0</v>
      </c>
      <c r="G150">
        <f>IFERROR(VLOOKUP(CONCATENATE(Table43_1[[#This Row],[Kode BARANG Win2]],5),'Form Fix'!$A$6:$H$663,4,0),0)</f>
        <v>0</v>
      </c>
    </row>
    <row r="151" spans="1:7">
      <c r="A151" t="s">
        <v>2799</v>
      </c>
      <c r="B151" t="s">
        <v>3166</v>
      </c>
      <c r="C151">
        <f>IFERROR(VLOOKUP(CONCATENATE(Table43_1[[#This Row],[Kode BARANG Win2]],1),'Form Fix'!$A$6:$H$663,4,0),0)</f>
        <v>0</v>
      </c>
      <c r="D151">
        <f>IFERROR(VLOOKUP(CONCATENATE(Table43_1[[#This Row],[Kode BARANG Win2]],2),'Form Fix'!$A$6:$H$663,4,0),0)</f>
        <v>0</v>
      </c>
      <c r="E151">
        <f>IFERROR(VLOOKUP(CONCATENATE(Table43_1[[#This Row],[Kode BARANG Win2]],3),'Form Fix'!$A$6:$H$663,4,0),0)</f>
        <v>0</v>
      </c>
      <c r="F151">
        <f>IFERROR(VLOOKUP(CONCATENATE(Table43_1[[#This Row],[Kode BARANG Win2]],4),'Form Fix'!$A$6:$H$663,4,0),0)</f>
        <v>0</v>
      </c>
      <c r="G151">
        <f>IFERROR(VLOOKUP(CONCATENATE(Table43_1[[#This Row],[Kode BARANG Win2]],5),'Form Fix'!$A$6:$H$663,4,0),0)</f>
        <v>0</v>
      </c>
    </row>
    <row r="152" spans="1:7">
      <c r="A152" t="s">
        <v>2800</v>
      </c>
      <c r="B152" t="s">
        <v>3167</v>
      </c>
      <c r="C152">
        <f>IFERROR(VLOOKUP(CONCATENATE(Table43_1[[#This Row],[Kode BARANG Win2]],1),'Form Fix'!$A$6:$H$663,4,0),0)</f>
        <v>0</v>
      </c>
      <c r="D152">
        <f>IFERROR(VLOOKUP(CONCATENATE(Table43_1[[#This Row],[Kode BARANG Win2]],2),'Form Fix'!$A$6:$H$663,4,0),0)</f>
        <v>0</v>
      </c>
      <c r="E152">
        <f>IFERROR(VLOOKUP(CONCATENATE(Table43_1[[#This Row],[Kode BARANG Win2]],3),'Form Fix'!$A$6:$H$663,4,0),0)</f>
        <v>0</v>
      </c>
      <c r="F152">
        <f>IFERROR(VLOOKUP(CONCATENATE(Table43_1[[#This Row],[Kode BARANG Win2]],4),'Form Fix'!$A$6:$H$663,4,0),0)</f>
        <v>0</v>
      </c>
      <c r="G152">
        <f>IFERROR(VLOOKUP(CONCATENATE(Table43_1[[#This Row],[Kode BARANG Win2]],5),'Form Fix'!$A$6:$H$663,4,0),0)</f>
        <v>0</v>
      </c>
    </row>
    <row r="153" spans="1:7">
      <c r="A153" t="s">
        <v>2804</v>
      </c>
      <c r="B153" t="s">
        <v>3171</v>
      </c>
      <c r="C153">
        <f>IFERROR(VLOOKUP(CONCATENATE(Table43_1[[#This Row],[Kode BARANG Win2]],1),'Form Fix'!$A$6:$H$663,4,0),0)</f>
        <v>0</v>
      </c>
      <c r="D153">
        <f>IFERROR(VLOOKUP(CONCATENATE(Table43_1[[#This Row],[Kode BARANG Win2]],2),'Form Fix'!$A$6:$H$663,4,0),0)</f>
        <v>0</v>
      </c>
      <c r="E153">
        <f>IFERROR(VLOOKUP(CONCATENATE(Table43_1[[#This Row],[Kode BARANG Win2]],3),'Form Fix'!$A$6:$H$663,4,0),0)</f>
        <v>0</v>
      </c>
      <c r="F153">
        <f>IFERROR(VLOOKUP(CONCATENATE(Table43_1[[#This Row],[Kode BARANG Win2]],4),'Form Fix'!$A$6:$H$663,4,0),0)</f>
        <v>0</v>
      </c>
      <c r="G153">
        <f>IFERROR(VLOOKUP(CONCATENATE(Table43_1[[#This Row],[Kode BARANG Win2]],5),'Form Fix'!$A$6:$H$663,4,0),0)</f>
        <v>0</v>
      </c>
    </row>
    <row r="154" spans="1:7">
      <c r="A154" t="s">
        <v>2802</v>
      </c>
      <c r="B154" t="s">
        <v>3169</v>
      </c>
      <c r="C154">
        <f>IFERROR(VLOOKUP(CONCATENATE(Table43_1[[#This Row],[Kode BARANG Win2]],1),'Form Fix'!$A$6:$H$663,4,0),0)</f>
        <v>0</v>
      </c>
      <c r="D154">
        <f>IFERROR(VLOOKUP(CONCATENATE(Table43_1[[#This Row],[Kode BARANG Win2]],2),'Form Fix'!$A$6:$H$663,4,0),0)</f>
        <v>0</v>
      </c>
      <c r="E154">
        <f>IFERROR(VLOOKUP(CONCATENATE(Table43_1[[#This Row],[Kode BARANG Win2]],3),'Form Fix'!$A$6:$H$663,4,0),0)</f>
        <v>0</v>
      </c>
      <c r="F154">
        <f>IFERROR(VLOOKUP(CONCATENATE(Table43_1[[#This Row],[Kode BARANG Win2]],4),'Form Fix'!$A$6:$H$663,4,0),0)</f>
        <v>0</v>
      </c>
      <c r="G154">
        <f>IFERROR(VLOOKUP(CONCATENATE(Table43_1[[#This Row],[Kode BARANG Win2]],5),'Form Fix'!$A$6:$H$663,4,0),0)</f>
        <v>0</v>
      </c>
    </row>
    <row r="155" spans="1:7">
      <c r="A155" t="s">
        <v>2803</v>
      </c>
      <c r="B155" t="s">
        <v>3170</v>
      </c>
      <c r="C155">
        <f>IFERROR(VLOOKUP(CONCATENATE(Table43_1[[#This Row],[Kode BARANG Win2]],1),'Form Fix'!$A$6:$H$663,4,0),0)</f>
        <v>0</v>
      </c>
      <c r="D155">
        <f>IFERROR(VLOOKUP(CONCATENATE(Table43_1[[#This Row],[Kode BARANG Win2]],2),'Form Fix'!$A$6:$H$663,4,0),0)</f>
        <v>0</v>
      </c>
      <c r="E155">
        <f>IFERROR(VLOOKUP(CONCATENATE(Table43_1[[#This Row],[Kode BARANG Win2]],3),'Form Fix'!$A$6:$H$663,4,0),0)</f>
        <v>0</v>
      </c>
      <c r="F155">
        <f>IFERROR(VLOOKUP(CONCATENATE(Table43_1[[#This Row],[Kode BARANG Win2]],4),'Form Fix'!$A$6:$H$663,4,0),0)</f>
        <v>0</v>
      </c>
      <c r="G155">
        <f>IFERROR(VLOOKUP(CONCATENATE(Table43_1[[#This Row],[Kode BARANG Win2]],5),'Form Fix'!$A$6:$H$663,4,0),0)</f>
        <v>0</v>
      </c>
    </row>
    <row r="156" spans="1:7">
      <c r="A156" t="s">
        <v>2806</v>
      </c>
      <c r="B156" t="s">
        <v>3173</v>
      </c>
      <c r="C156">
        <f>IFERROR(VLOOKUP(CONCATENATE(Table43_1[[#This Row],[Kode BARANG Win2]],1),'Form Fix'!$A$6:$H$663,4,0),0)</f>
        <v>0</v>
      </c>
      <c r="D156">
        <f>IFERROR(VLOOKUP(CONCATENATE(Table43_1[[#This Row],[Kode BARANG Win2]],2),'Form Fix'!$A$6:$H$663,4,0),0)</f>
        <v>0</v>
      </c>
      <c r="E156">
        <f>IFERROR(VLOOKUP(CONCATENATE(Table43_1[[#This Row],[Kode BARANG Win2]],3),'Form Fix'!$A$6:$H$663,4,0),0)</f>
        <v>0</v>
      </c>
      <c r="F156">
        <f>IFERROR(VLOOKUP(CONCATENATE(Table43_1[[#This Row],[Kode BARANG Win2]],4),'Form Fix'!$A$6:$H$663,4,0),0)</f>
        <v>0</v>
      </c>
      <c r="G156">
        <f>IFERROR(VLOOKUP(CONCATENATE(Table43_1[[#This Row],[Kode BARANG Win2]],5),'Form Fix'!$A$6:$H$663,4,0),0)</f>
        <v>0</v>
      </c>
    </row>
    <row r="157" spans="1:7">
      <c r="A157" t="s">
        <v>2805</v>
      </c>
      <c r="B157" t="s">
        <v>3172</v>
      </c>
      <c r="C157">
        <f>IFERROR(VLOOKUP(CONCATENATE(Table43_1[[#This Row],[Kode BARANG Win2]],1),'Form Fix'!$A$6:$H$663,4,0),0)</f>
        <v>40027883</v>
      </c>
      <c r="D157">
        <f>IFERROR(VLOOKUP(CONCATENATE(Table43_1[[#This Row],[Kode BARANG Win2]],2),'Form Fix'!$A$6:$H$663,4,0),0)</f>
        <v>40009897</v>
      </c>
      <c r="E157">
        <f>IFERROR(VLOOKUP(CONCATENATE(Table43_1[[#This Row],[Kode BARANG Win2]],3),'Form Fix'!$A$6:$H$663,4,0),0)</f>
        <v>0</v>
      </c>
      <c r="F157">
        <f>IFERROR(VLOOKUP(CONCATENATE(Table43_1[[#This Row],[Kode BARANG Win2]],4),'Form Fix'!$A$6:$H$663,4,0),0)</f>
        <v>0</v>
      </c>
      <c r="G157">
        <f>IFERROR(VLOOKUP(CONCATENATE(Table43_1[[#This Row],[Kode BARANG Win2]],5),'Form Fix'!$A$6:$H$663,4,0),0)</f>
        <v>0</v>
      </c>
    </row>
    <row r="158" spans="1:7">
      <c r="A158" t="s">
        <v>2807</v>
      </c>
      <c r="B158" t="s">
        <v>3174</v>
      </c>
      <c r="C158">
        <f>IFERROR(VLOOKUP(CONCATENATE(Table43_1[[#This Row],[Kode BARANG Win2]],1),'Form Fix'!$A$6:$H$663,4,0),0)</f>
        <v>0</v>
      </c>
      <c r="D158">
        <f>IFERROR(VLOOKUP(CONCATENATE(Table43_1[[#This Row],[Kode BARANG Win2]],2),'Form Fix'!$A$6:$H$663,4,0),0)</f>
        <v>0</v>
      </c>
      <c r="E158">
        <f>IFERROR(VLOOKUP(CONCATENATE(Table43_1[[#This Row],[Kode BARANG Win2]],3),'Form Fix'!$A$6:$H$663,4,0),0)</f>
        <v>0</v>
      </c>
      <c r="F158">
        <f>IFERROR(VLOOKUP(CONCATENATE(Table43_1[[#This Row],[Kode BARANG Win2]],4),'Form Fix'!$A$6:$H$663,4,0),0)</f>
        <v>0</v>
      </c>
      <c r="G158">
        <f>IFERROR(VLOOKUP(CONCATENATE(Table43_1[[#This Row],[Kode BARANG Win2]],5),'Form Fix'!$A$6:$H$663,4,0),0)</f>
        <v>0</v>
      </c>
    </row>
    <row r="159" spans="1:7">
      <c r="A159" t="s">
        <v>2809</v>
      </c>
      <c r="B159" t="s">
        <v>3176</v>
      </c>
      <c r="C159">
        <f>IFERROR(VLOOKUP(CONCATENATE(Table43_1[[#This Row],[Kode BARANG Win2]],1),'Form Fix'!$A$6:$H$663,4,0),0)</f>
        <v>0</v>
      </c>
      <c r="D159">
        <f>IFERROR(VLOOKUP(CONCATENATE(Table43_1[[#This Row],[Kode BARANG Win2]],2),'Form Fix'!$A$6:$H$663,4,0),0)</f>
        <v>0</v>
      </c>
      <c r="E159">
        <f>IFERROR(VLOOKUP(CONCATENATE(Table43_1[[#This Row],[Kode BARANG Win2]],3),'Form Fix'!$A$6:$H$663,4,0),0)</f>
        <v>0</v>
      </c>
      <c r="F159">
        <f>IFERROR(VLOOKUP(CONCATENATE(Table43_1[[#This Row],[Kode BARANG Win2]],4),'Form Fix'!$A$6:$H$663,4,0),0)</f>
        <v>0</v>
      </c>
      <c r="G159">
        <f>IFERROR(VLOOKUP(CONCATENATE(Table43_1[[#This Row],[Kode BARANG Win2]],5),'Form Fix'!$A$6:$H$663,4,0),0)</f>
        <v>0</v>
      </c>
    </row>
    <row r="160" spans="1:7">
      <c r="A160" t="s">
        <v>2808</v>
      </c>
      <c r="B160" t="s">
        <v>3175</v>
      </c>
      <c r="C160">
        <f>IFERROR(VLOOKUP(CONCATENATE(Table43_1[[#This Row],[Kode BARANG Win2]],1),'Form Fix'!$A$6:$H$663,4,0),0)</f>
        <v>0</v>
      </c>
      <c r="D160">
        <f>IFERROR(VLOOKUP(CONCATENATE(Table43_1[[#This Row],[Kode BARANG Win2]],2),'Form Fix'!$A$6:$H$663,4,0),0)</f>
        <v>0</v>
      </c>
      <c r="E160">
        <f>IFERROR(VLOOKUP(CONCATENATE(Table43_1[[#This Row],[Kode BARANG Win2]],3),'Form Fix'!$A$6:$H$663,4,0),0)</f>
        <v>0</v>
      </c>
      <c r="F160">
        <f>IFERROR(VLOOKUP(CONCATENATE(Table43_1[[#This Row],[Kode BARANG Win2]],4),'Form Fix'!$A$6:$H$663,4,0),0)</f>
        <v>0</v>
      </c>
      <c r="G160">
        <f>IFERROR(VLOOKUP(CONCATENATE(Table43_1[[#This Row],[Kode BARANG Win2]],5),'Form Fix'!$A$6:$H$663,4,0),0)</f>
        <v>0</v>
      </c>
    </row>
    <row r="161" spans="1:7">
      <c r="A161" t="s">
        <v>2813</v>
      </c>
      <c r="B161" t="s">
        <v>3180</v>
      </c>
      <c r="C161">
        <f>IFERROR(VLOOKUP(CONCATENATE(Table43_1[[#This Row],[Kode BARANG Win2]],1),'Form Fix'!$A$6:$H$663,4,0),0)</f>
        <v>0</v>
      </c>
      <c r="D161">
        <f>IFERROR(VLOOKUP(CONCATENATE(Table43_1[[#This Row],[Kode BARANG Win2]],2),'Form Fix'!$A$6:$H$663,4,0),0)</f>
        <v>0</v>
      </c>
      <c r="E161">
        <f>IFERROR(VLOOKUP(CONCATENATE(Table43_1[[#This Row],[Kode BARANG Win2]],3),'Form Fix'!$A$6:$H$663,4,0),0)</f>
        <v>0</v>
      </c>
      <c r="F161">
        <f>IFERROR(VLOOKUP(CONCATENATE(Table43_1[[#This Row],[Kode BARANG Win2]],4),'Form Fix'!$A$6:$H$663,4,0),0)</f>
        <v>0</v>
      </c>
      <c r="G161">
        <f>IFERROR(VLOOKUP(CONCATENATE(Table43_1[[#This Row],[Kode BARANG Win2]],5),'Form Fix'!$A$6:$H$663,4,0),0)</f>
        <v>0</v>
      </c>
    </row>
    <row r="162" spans="1:7">
      <c r="A162" t="s">
        <v>2811</v>
      </c>
      <c r="B162" t="s">
        <v>3178</v>
      </c>
      <c r="C162">
        <f>IFERROR(VLOOKUP(CONCATENATE(Table43_1[[#This Row],[Kode BARANG Win2]],1),'Form Fix'!$A$6:$H$663,4,0),0)</f>
        <v>0</v>
      </c>
      <c r="D162">
        <f>IFERROR(VLOOKUP(CONCATENATE(Table43_1[[#This Row],[Kode BARANG Win2]],2),'Form Fix'!$A$6:$H$663,4,0),0)</f>
        <v>0</v>
      </c>
      <c r="E162">
        <f>IFERROR(VLOOKUP(CONCATENATE(Table43_1[[#This Row],[Kode BARANG Win2]],3),'Form Fix'!$A$6:$H$663,4,0),0)</f>
        <v>0</v>
      </c>
      <c r="F162">
        <f>IFERROR(VLOOKUP(CONCATENATE(Table43_1[[#This Row],[Kode BARANG Win2]],4),'Form Fix'!$A$6:$H$663,4,0),0)</f>
        <v>0</v>
      </c>
      <c r="G162">
        <f>IFERROR(VLOOKUP(CONCATENATE(Table43_1[[#This Row],[Kode BARANG Win2]],5),'Form Fix'!$A$6:$H$663,4,0),0)</f>
        <v>0</v>
      </c>
    </row>
    <row r="163" spans="1:7">
      <c r="A163" t="s">
        <v>2810</v>
      </c>
      <c r="B163" t="s">
        <v>3177</v>
      </c>
      <c r="C163">
        <f>IFERROR(VLOOKUP(CONCATENATE(Table43_1[[#This Row],[Kode BARANG Win2]],1),'Form Fix'!$A$6:$H$663,4,0),0)</f>
        <v>0</v>
      </c>
      <c r="D163">
        <f>IFERROR(VLOOKUP(CONCATENATE(Table43_1[[#This Row],[Kode BARANG Win2]],2),'Form Fix'!$A$6:$H$663,4,0),0)</f>
        <v>0</v>
      </c>
      <c r="E163">
        <f>IFERROR(VLOOKUP(CONCATENATE(Table43_1[[#This Row],[Kode BARANG Win2]],3),'Form Fix'!$A$6:$H$663,4,0),0)</f>
        <v>0</v>
      </c>
      <c r="F163">
        <f>IFERROR(VLOOKUP(CONCATENATE(Table43_1[[#This Row],[Kode BARANG Win2]],4),'Form Fix'!$A$6:$H$663,4,0),0)</f>
        <v>0</v>
      </c>
      <c r="G163">
        <f>IFERROR(VLOOKUP(CONCATENATE(Table43_1[[#This Row],[Kode BARANG Win2]],5),'Form Fix'!$A$6:$H$663,4,0),0)</f>
        <v>0</v>
      </c>
    </row>
    <row r="164" spans="1:7">
      <c r="A164" t="s">
        <v>2812</v>
      </c>
      <c r="B164" t="s">
        <v>3179</v>
      </c>
      <c r="C164">
        <f>IFERROR(VLOOKUP(CONCATENATE(Table43_1[[#This Row],[Kode BARANG Win2]],1),'Form Fix'!$A$6:$H$663,4,0),0)</f>
        <v>0</v>
      </c>
      <c r="D164">
        <f>IFERROR(VLOOKUP(CONCATENATE(Table43_1[[#This Row],[Kode BARANG Win2]],2),'Form Fix'!$A$6:$H$663,4,0),0)</f>
        <v>0</v>
      </c>
      <c r="E164">
        <f>IFERROR(VLOOKUP(CONCATENATE(Table43_1[[#This Row],[Kode BARANG Win2]],3),'Form Fix'!$A$6:$H$663,4,0),0)</f>
        <v>0</v>
      </c>
      <c r="F164">
        <f>IFERROR(VLOOKUP(CONCATENATE(Table43_1[[#This Row],[Kode BARANG Win2]],4),'Form Fix'!$A$6:$H$663,4,0),0)</f>
        <v>0</v>
      </c>
      <c r="G164">
        <f>IFERROR(VLOOKUP(CONCATENATE(Table43_1[[#This Row],[Kode BARANG Win2]],5),'Form Fix'!$A$6:$H$663,4,0),0)</f>
        <v>0</v>
      </c>
    </row>
    <row r="165" spans="1:7">
      <c r="A165" t="s">
        <v>2819</v>
      </c>
      <c r="B165" t="s">
        <v>3186</v>
      </c>
      <c r="C165">
        <f>IFERROR(VLOOKUP(CONCATENATE(Table43_1[[#This Row],[Kode BARANG Win2]],1),'Form Fix'!$A$6:$H$663,4,0),0)</f>
        <v>0</v>
      </c>
      <c r="D165">
        <f>IFERROR(VLOOKUP(CONCATENATE(Table43_1[[#This Row],[Kode BARANG Win2]],2),'Form Fix'!$A$6:$H$663,4,0),0)</f>
        <v>0</v>
      </c>
      <c r="E165">
        <f>IFERROR(VLOOKUP(CONCATENATE(Table43_1[[#This Row],[Kode BARANG Win2]],3),'Form Fix'!$A$6:$H$663,4,0),0)</f>
        <v>0</v>
      </c>
      <c r="F165">
        <f>IFERROR(VLOOKUP(CONCATENATE(Table43_1[[#This Row],[Kode BARANG Win2]],4),'Form Fix'!$A$6:$H$663,4,0),0)</f>
        <v>0</v>
      </c>
      <c r="G165">
        <f>IFERROR(VLOOKUP(CONCATENATE(Table43_1[[#This Row],[Kode BARANG Win2]],5),'Form Fix'!$A$6:$H$663,4,0),0)</f>
        <v>0</v>
      </c>
    </row>
    <row r="166" spans="1:7">
      <c r="A166" t="s">
        <v>2814</v>
      </c>
      <c r="B166" t="s">
        <v>3181</v>
      </c>
      <c r="C166">
        <f>IFERROR(VLOOKUP(CONCATENATE(Table43_1[[#This Row],[Kode BARANG Win2]],1),'Form Fix'!$A$6:$H$663,4,0),0)</f>
        <v>0</v>
      </c>
      <c r="D166">
        <f>IFERROR(VLOOKUP(CONCATENATE(Table43_1[[#This Row],[Kode BARANG Win2]],2),'Form Fix'!$A$6:$H$663,4,0),0)</f>
        <v>0</v>
      </c>
      <c r="E166">
        <f>IFERROR(VLOOKUP(CONCATENATE(Table43_1[[#This Row],[Kode BARANG Win2]],3),'Form Fix'!$A$6:$H$663,4,0),0)</f>
        <v>0</v>
      </c>
      <c r="F166">
        <f>IFERROR(VLOOKUP(CONCATENATE(Table43_1[[#This Row],[Kode BARANG Win2]],4),'Form Fix'!$A$6:$H$663,4,0),0)</f>
        <v>0</v>
      </c>
      <c r="G166">
        <f>IFERROR(VLOOKUP(CONCATENATE(Table43_1[[#This Row],[Kode BARANG Win2]],5),'Form Fix'!$A$6:$H$663,4,0),0)</f>
        <v>0</v>
      </c>
    </row>
    <row r="167" spans="1:7">
      <c r="A167" t="s">
        <v>2815</v>
      </c>
      <c r="B167" t="s">
        <v>3182</v>
      </c>
      <c r="C167">
        <f>IFERROR(VLOOKUP(CONCATENATE(Table43_1[[#This Row],[Kode BARANG Win2]],1),'Form Fix'!$A$6:$H$663,4,0),0)</f>
        <v>0</v>
      </c>
      <c r="D167">
        <f>IFERROR(VLOOKUP(CONCATENATE(Table43_1[[#This Row],[Kode BARANG Win2]],2),'Form Fix'!$A$6:$H$663,4,0),0)</f>
        <v>0</v>
      </c>
      <c r="E167">
        <f>IFERROR(VLOOKUP(CONCATENATE(Table43_1[[#This Row],[Kode BARANG Win2]],3),'Form Fix'!$A$6:$H$663,4,0),0)</f>
        <v>0</v>
      </c>
      <c r="F167">
        <f>IFERROR(VLOOKUP(CONCATENATE(Table43_1[[#This Row],[Kode BARANG Win2]],4),'Form Fix'!$A$6:$H$663,4,0),0)</f>
        <v>0</v>
      </c>
      <c r="G167">
        <f>IFERROR(VLOOKUP(CONCATENATE(Table43_1[[#This Row],[Kode BARANG Win2]],5),'Form Fix'!$A$6:$H$663,4,0),0)</f>
        <v>0</v>
      </c>
    </row>
    <row r="168" spans="1:7">
      <c r="A168" t="s">
        <v>2816</v>
      </c>
      <c r="B168" t="s">
        <v>3183</v>
      </c>
      <c r="C168">
        <f>IFERROR(VLOOKUP(CONCATENATE(Table43_1[[#This Row],[Kode BARANG Win2]],1),'Form Fix'!$A$6:$H$663,4,0),0)</f>
        <v>0</v>
      </c>
      <c r="D168">
        <f>IFERROR(VLOOKUP(CONCATENATE(Table43_1[[#This Row],[Kode BARANG Win2]],2),'Form Fix'!$A$6:$H$663,4,0),0)</f>
        <v>0</v>
      </c>
      <c r="E168">
        <f>IFERROR(VLOOKUP(CONCATENATE(Table43_1[[#This Row],[Kode BARANG Win2]],3),'Form Fix'!$A$6:$H$663,4,0),0)</f>
        <v>0</v>
      </c>
      <c r="F168">
        <f>IFERROR(VLOOKUP(CONCATENATE(Table43_1[[#This Row],[Kode BARANG Win2]],4),'Form Fix'!$A$6:$H$663,4,0),0)</f>
        <v>0</v>
      </c>
      <c r="G168">
        <f>IFERROR(VLOOKUP(CONCATENATE(Table43_1[[#This Row],[Kode BARANG Win2]],5),'Form Fix'!$A$6:$H$663,4,0),0)</f>
        <v>0</v>
      </c>
    </row>
    <row r="169" spans="1:7">
      <c r="A169" t="s">
        <v>2817</v>
      </c>
      <c r="B169" t="s">
        <v>3184</v>
      </c>
      <c r="C169">
        <f>IFERROR(VLOOKUP(CONCATENATE(Table43_1[[#This Row],[Kode BARANG Win2]],1),'Form Fix'!$A$6:$H$663,4,0),0)</f>
        <v>0</v>
      </c>
      <c r="D169">
        <f>IFERROR(VLOOKUP(CONCATENATE(Table43_1[[#This Row],[Kode BARANG Win2]],2),'Form Fix'!$A$6:$H$663,4,0),0)</f>
        <v>0</v>
      </c>
      <c r="E169">
        <f>IFERROR(VLOOKUP(CONCATENATE(Table43_1[[#This Row],[Kode BARANG Win2]],3),'Form Fix'!$A$6:$H$663,4,0),0)</f>
        <v>0</v>
      </c>
      <c r="F169">
        <f>IFERROR(VLOOKUP(CONCATENATE(Table43_1[[#This Row],[Kode BARANG Win2]],4),'Form Fix'!$A$6:$H$663,4,0),0)</f>
        <v>0</v>
      </c>
      <c r="G169">
        <f>IFERROR(VLOOKUP(CONCATENATE(Table43_1[[#This Row],[Kode BARANG Win2]],5),'Form Fix'!$A$6:$H$663,4,0),0)</f>
        <v>0</v>
      </c>
    </row>
    <row r="170" spans="1:7">
      <c r="A170" t="s">
        <v>2818</v>
      </c>
      <c r="B170" t="s">
        <v>3185</v>
      </c>
      <c r="C170">
        <f>IFERROR(VLOOKUP(CONCATENATE(Table43_1[[#This Row],[Kode BARANG Win2]],1),'Form Fix'!$A$6:$H$663,4,0),0)</f>
        <v>0</v>
      </c>
      <c r="D170">
        <f>IFERROR(VLOOKUP(CONCATENATE(Table43_1[[#This Row],[Kode BARANG Win2]],2),'Form Fix'!$A$6:$H$663,4,0),0)</f>
        <v>0</v>
      </c>
      <c r="E170">
        <f>IFERROR(VLOOKUP(CONCATENATE(Table43_1[[#This Row],[Kode BARANG Win2]],3),'Form Fix'!$A$6:$H$663,4,0),0)</f>
        <v>0</v>
      </c>
      <c r="F170">
        <f>IFERROR(VLOOKUP(CONCATENATE(Table43_1[[#This Row],[Kode BARANG Win2]],4),'Form Fix'!$A$6:$H$663,4,0),0)</f>
        <v>0</v>
      </c>
      <c r="G170">
        <f>IFERROR(VLOOKUP(CONCATENATE(Table43_1[[#This Row],[Kode BARANG Win2]],5),'Form Fix'!$A$6:$H$663,4,0),0)</f>
        <v>0</v>
      </c>
    </row>
    <row r="171" spans="1:7">
      <c r="A171" t="s">
        <v>2820</v>
      </c>
      <c r="B171" t="s">
        <v>3187</v>
      </c>
      <c r="C171">
        <f>IFERROR(VLOOKUP(CONCATENATE(Table43_1[[#This Row],[Kode BARANG Win2]],1),'Form Fix'!$A$6:$H$663,4,0),0)</f>
        <v>0</v>
      </c>
      <c r="D171">
        <f>IFERROR(VLOOKUP(CONCATENATE(Table43_1[[#This Row],[Kode BARANG Win2]],2),'Form Fix'!$A$6:$H$663,4,0),0)</f>
        <v>0</v>
      </c>
      <c r="E171">
        <f>IFERROR(VLOOKUP(CONCATENATE(Table43_1[[#This Row],[Kode BARANG Win2]],3),'Form Fix'!$A$6:$H$663,4,0),0)</f>
        <v>0</v>
      </c>
      <c r="F171">
        <f>IFERROR(VLOOKUP(CONCATENATE(Table43_1[[#This Row],[Kode BARANG Win2]],4),'Form Fix'!$A$6:$H$663,4,0),0)</f>
        <v>0</v>
      </c>
      <c r="G171">
        <f>IFERROR(VLOOKUP(CONCATENATE(Table43_1[[#This Row],[Kode BARANG Win2]],5),'Form Fix'!$A$6:$H$663,4,0),0)</f>
        <v>0</v>
      </c>
    </row>
    <row r="172" spans="1:7">
      <c r="A172" t="s">
        <v>2821</v>
      </c>
      <c r="B172" t="s">
        <v>3188</v>
      </c>
      <c r="C172">
        <f>IFERROR(VLOOKUP(CONCATENATE(Table43_1[[#This Row],[Kode BARANG Win2]],1),'Form Fix'!$A$6:$H$663,4,0),0)</f>
        <v>0</v>
      </c>
      <c r="D172">
        <f>IFERROR(VLOOKUP(CONCATENATE(Table43_1[[#This Row],[Kode BARANG Win2]],2),'Form Fix'!$A$6:$H$663,4,0),0)</f>
        <v>0</v>
      </c>
      <c r="E172">
        <f>IFERROR(VLOOKUP(CONCATENATE(Table43_1[[#This Row],[Kode BARANG Win2]],3),'Form Fix'!$A$6:$H$663,4,0),0)</f>
        <v>0</v>
      </c>
      <c r="F172">
        <f>IFERROR(VLOOKUP(CONCATENATE(Table43_1[[#This Row],[Kode BARANG Win2]],4),'Form Fix'!$A$6:$H$663,4,0),0)</f>
        <v>0</v>
      </c>
      <c r="G172">
        <f>IFERROR(VLOOKUP(CONCATENATE(Table43_1[[#This Row],[Kode BARANG Win2]],5),'Form Fix'!$A$6:$H$663,4,0),0)</f>
        <v>0</v>
      </c>
    </row>
    <row r="173" spans="1:7">
      <c r="A173" t="s">
        <v>2822</v>
      </c>
      <c r="B173" t="s">
        <v>3189</v>
      </c>
      <c r="C173">
        <f>IFERROR(VLOOKUP(CONCATENATE(Table43_1[[#This Row],[Kode BARANG Win2]],1),'Form Fix'!$A$6:$H$663,4,0),0)</f>
        <v>0</v>
      </c>
      <c r="D173">
        <f>IFERROR(VLOOKUP(CONCATENATE(Table43_1[[#This Row],[Kode BARANG Win2]],2),'Form Fix'!$A$6:$H$663,4,0),0)</f>
        <v>0</v>
      </c>
      <c r="E173">
        <f>IFERROR(VLOOKUP(CONCATENATE(Table43_1[[#This Row],[Kode BARANG Win2]],3),'Form Fix'!$A$6:$H$663,4,0),0)</f>
        <v>0</v>
      </c>
      <c r="F173">
        <f>IFERROR(VLOOKUP(CONCATENATE(Table43_1[[#This Row],[Kode BARANG Win2]],4),'Form Fix'!$A$6:$H$663,4,0),0)</f>
        <v>0</v>
      </c>
      <c r="G173">
        <f>IFERROR(VLOOKUP(CONCATENATE(Table43_1[[#This Row],[Kode BARANG Win2]],5),'Form Fix'!$A$6:$H$663,4,0),0)</f>
        <v>0</v>
      </c>
    </row>
    <row r="174" spans="1:7">
      <c r="A174" t="s">
        <v>2823</v>
      </c>
      <c r="B174" t="s">
        <v>3190</v>
      </c>
      <c r="C174">
        <f>IFERROR(VLOOKUP(CONCATENATE(Table43_1[[#This Row],[Kode BARANG Win2]],1),'Form Fix'!$A$6:$H$663,4,0),0)</f>
        <v>0</v>
      </c>
      <c r="D174">
        <f>IFERROR(VLOOKUP(CONCATENATE(Table43_1[[#This Row],[Kode BARANG Win2]],2),'Form Fix'!$A$6:$H$663,4,0),0)</f>
        <v>0</v>
      </c>
      <c r="E174">
        <f>IFERROR(VLOOKUP(CONCATENATE(Table43_1[[#This Row],[Kode BARANG Win2]],3),'Form Fix'!$A$6:$H$663,4,0),0)</f>
        <v>0</v>
      </c>
      <c r="F174">
        <f>IFERROR(VLOOKUP(CONCATENATE(Table43_1[[#This Row],[Kode BARANG Win2]],4),'Form Fix'!$A$6:$H$663,4,0),0)</f>
        <v>0</v>
      </c>
      <c r="G174">
        <f>IFERROR(VLOOKUP(CONCATENATE(Table43_1[[#This Row],[Kode BARANG Win2]],5),'Form Fix'!$A$6:$H$663,4,0),0)</f>
        <v>0</v>
      </c>
    </row>
    <row r="175" spans="1:7">
      <c r="A175" t="s">
        <v>2824</v>
      </c>
      <c r="B175" t="s">
        <v>3191</v>
      </c>
      <c r="C175">
        <f>IFERROR(VLOOKUP(CONCATENATE(Table43_1[[#This Row],[Kode BARANG Win2]],1),'Form Fix'!$A$6:$H$663,4,0),0)</f>
        <v>0</v>
      </c>
      <c r="D175">
        <f>IFERROR(VLOOKUP(CONCATENATE(Table43_1[[#This Row],[Kode BARANG Win2]],2),'Form Fix'!$A$6:$H$663,4,0),0)</f>
        <v>0</v>
      </c>
      <c r="E175">
        <f>IFERROR(VLOOKUP(CONCATENATE(Table43_1[[#This Row],[Kode BARANG Win2]],3),'Form Fix'!$A$6:$H$663,4,0),0)</f>
        <v>0</v>
      </c>
      <c r="F175">
        <f>IFERROR(VLOOKUP(CONCATENATE(Table43_1[[#This Row],[Kode BARANG Win2]],4),'Form Fix'!$A$6:$H$663,4,0),0)</f>
        <v>0</v>
      </c>
      <c r="G175">
        <f>IFERROR(VLOOKUP(CONCATENATE(Table43_1[[#This Row],[Kode BARANG Win2]],5),'Form Fix'!$A$6:$H$663,4,0),0)</f>
        <v>0</v>
      </c>
    </row>
    <row r="176" spans="1:7">
      <c r="A176" t="s">
        <v>2825</v>
      </c>
      <c r="B176" t="s">
        <v>3192</v>
      </c>
      <c r="C176">
        <f>IFERROR(VLOOKUP(CONCATENATE(Table43_1[[#This Row],[Kode BARANG Win2]],1),'Form Fix'!$A$6:$H$663,4,0),0)</f>
        <v>0</v>
      </c>
      <c r="D176">
        <f>IFERROR(VLOOKUP(CONCATENATE(Table43_1[[#This Row],[Kode BARANG Win2]],2),'Form Fix'!$A$6:$H$663,4,0),0)</f>
        <v>0</v>
      </c>
      <c r="E176">
        <f>IFERROR(VLOOKUP(CONCATENATE(Table43_1[[#This Row],[Kode BARANG Win2]],3),'Form Fix'!$A$6:$H$663,4,0),0)</f>
        <v>0</v>
      </c>
      <c r="F176">
        <f>IFERROR(VLOOKUP(CONCATENATE(Table43_1[[#This Row],[Kode BARANG Win2]],4),'Form Fix'!$A$6:$H$663,4,0),0)</f>
        <v>0</v>
      </c>
      <c r="G176">
        <f>IFERROR(VLOOKUP(CONCATENATE(Table43_1[[#This Row],[Kode BARANG Win2]],5),'Form Fix'!$A$6:$H$663,4,0),0)</f>
        <v>0</v>
      </c>
    </row>
    <row r="177" spans="1:7">
      <c r="A177" t="s">
        <v>2826</v>
      </c>
      <c r="B177" t="s">
        <v>3193</v>
      </c>
      <c r="C177">
        <f>IFERROR(VLOOKUP(CONCATENATE(Table43_1[[#This Row],[Kode BARANG Win2]],1),'Form Fix'!$A$6:$H$663,4,0),0)</f>
        <v>0</v>
      </c>
      <c r="D177">
        <f>IFERROR(VLOOKUP(CONCATENATE(Table43_1[[#This Row],[Kode BARANG Win2]],2),'Form Fix'!$A$6:$H$663,4,0),0)</f>
        <v>0</v>
      </c>
      <c r="E177">
        <f>IFERROR(VLOOKUP(CONCATENATE(Table43_1[[#This Row],[Kode BARANG Win2]],3),'Form Fix'!$A$6:$H$663,4,0),0)</f>
        <v>0</v>
      </c>
      <c r="F177">
        <f>IFERROR(VLOOKUP(CONCATENATE(Table43_1[[#This Row],[Kode BARANG Win2]],4),'Form Fix'!$A$6:$H$663,4,0),0)</f>
        <v>0</v>
      </c>
      <c r="G177">
        <f>IFERROR(VLOOKUP(CONCATENATE(Table43_1[[#This Row],[Kode BARANG Win2]],5),'Form Fix'!$A$6:$H$663,4,0),0)</f>
        <v>0</v>
      </c>
    </row>
    <row r="178" spans="1:7">
      <c r="A178" t="s">
        <v>2827</v>
      </c>
      <c r="B178" t="s">
        <v>3194</v>
      </c>
      <c r="C178">
        <f>IFERROR(VLOOKUP(CONCATENATE(Table43_1[[#This Row],[Kode BARANG Win2]],1),'Form Fix'!$A$6:$H$663,4,0),0)</f>
        <v>0</v>
      </c>
      <c r="D178">
        <f>IFERROR(VLOOKUP(CONCATENATE(Table43_1[[#This Row],[Kode BARANG Win2]],2),'Form Fix'!$A$6:$H$663,4,0),0)</f>
        <v>0</v>
      </c>
      <c r="E178">
        <f>IFERROR(VLOOKUP(CONCATENATE(Table43_1[[#This Row],[Kode BARANG Win2]],3),'Form Fix'!$A$6:$H$663,4,0),0)</f>
        <v>0</v>
      </c>
      <c r="F178">
        <f>IFERROR(VLOOKUP(CONCATENATE(Table43_1[[#This Row],[Kode BARANG Win2]],4),'Form Fix'!$A$6:$H$663,4,0),0)</f>
        <v>0</v>
      </c>
      <c r="G178">
        <f>IFERROR(VLOOKUP(CONCATENATE(Table43_1[[#This Row],[Kode BARANG Win2]],5),'Form Fix'!$A$6:$H$663,4,0),0)</f>
        <v>0</v>
      </c>
    </row>
    <row r="179" spans="1:7">
      <c r="A179" t="s">
        <v>2833</v>
      </c>
      <c r="B179" t="s">
        <v>3199</v>
      </c>
      <c r="C179">
        <f>IFERROR(VLOOKUP(CONCATENATE(Table43_1[[#This Row],[Kode BARANG Win2]],1),'Form Fix'!$A$6:$H$663,4,0),0)</f>
        <v>0</v>
      </c>
      <c r="D179">
        <f>IFERROR(VLOOKUP(CONCATENATE(Table43_1[[#This Row],[Kode BARANG Win2]],2),'Form Fix'!$A$6:$H$663,4,0),0)</f>
        <v>0</v>
      </c>
      <c r="E179">
        <f>IFERROR(VLOOKUP(CONCATENATE(Table43_1[[#This Row],[Kode BARANG Win2]],3),'Form Fix'!$A$6:$H$663,4,0),0)</f>
        <v>0</v>
      </c>
      <c r="F179">
        <f>IFERROR(VLOOKUP(CONCATENATE(Table43_1[[#This Row],[Kode BARANG Win2]],4),'Form Fix'!$A$6:$H$663,4,0),0)</f>
        <v>0</v>
      </c>
      <c r="G179">
        <f>IFERROR(VLOOKUP(CONCATENATE(Table43_1[[#This Row],[Kode BARANG Win2]],5),'Form Fix'!$A$6:$H$663,4,0),0)</f>
        <v>0</v>
      </c>
    </row>
    <row r="180" spans="1:7">
      <c r="A180" t="s">
        <v>2832</v>
      </c>
      <c r="B180" t="s">
        <v>3198</v>
      </c>
      <c r="C180">
        <f>IFERROR(VLOOKUP(CONCATENATE(Table43_1[[#This Row],[Kode BARANG Win2]],1),'Form Fix'!$A$6:$H$663,4,0),0)</f>
        <v>0</v>
      </c>
      <c r="D180">
        <f>IFERROR(VLOOKUP(CONCATENATE(Table43_1[[#This Row],[Kode BARANG Win2]],2),'Form Fix'!$A$6:$H$663,4,0),0)</f>
        <v>0</v>
      </c>
      <c r="E180">
        <f>IFERROR(VLOOKUP(CONCATENATE(Table43_1[[#This Row],[Kode BARANG Win2]],3),'Form Fix'!$A$6:$H$663,4,0),0)</f>
        <v>0</v>
      </c>
      <c r="F180">
        <f>IFERROR(VLOOKUP(CONCATENATE(Table43_1[[#This Row],[Kode BARANG Win2]],4),'Form Fix'!$A$6:$H$663,4,0),0)</f>
        <v>0</v>
      </c>
      <c r="G180">
        <f>IFERROR(VLOOKUP(CONCATENATE(Table43_1[[#This Row],[Kode BARANG Win2]],5),'Form Fix'!$A$6:$H$663,4,0),0)</f>
        <v>0</v>
      </c>
    </row>
    <row r="181" spans="1:7">
      <c r="A181" t="s">
        <v>2829</v>
      </c>
      <c r="B181" t="s">
        <v>3413</v>
      </c>
      <c r="C181">
        <f>IFERROR(VLOOKUP(CONCATENATE(Table43_1[[#This Row],[Kode BARANG Win2]],1),'Form Fix'!$A$6:$H$663,4,0),0)</f>
        <v>0</v>
      </c>
      <c r="D181">
        <f>IFERROR(VLOOKUP(CONCATENATE(Table43_1[[#This Row],[Kode BARANG Win2]],2),'Form Fix'!$A$6:$H$663,4,0),0)</f>
        <v>0</v>
      </c>
      <c r="E181">
        <f>IFERROR(VLOOKUP(CONCATENATE(Table43_1[[#This Row],[Kode BARANG Win2]],3),'Form Fix'!$A$6:$H$663,4,0),0)</f>
        <v>0</v>
      </c>
      <c r="F181">
        <f>IFERROR(VLOOKUP(CONCATENATE(Table43_1[[#This Row],[Kode BARANG Win2]],4),'Form Fix'!$A$6:$H$663,4,0),0)</f>
        <v>0</v>
      </c>
      <c r="G181">
        <f>IFERROR(VLOOKUP(CONCATENATE(Table43_1[[#This Row],[Kode BARANG Win2]],5),'Form Fix'!$A$6:$H$663,4,0),0)</f>
        <v>0</v>
      </c>
    </row>
    <row r="182" spans="1:7">
      <c r="A182" t="s">
        <v>2828</v>
      </c>
      <c r="B182" t="s">
        <v>3195</v>
      </c>
      <c r="C182">
        <f>IFERROR(VLOOKUP(CONCATENATE(Table43_1[[#This Row],[Kode BARANG Win2]],1),'Form Fix'!$A$6:$H$663,4,0),0)</f>
        <v>0</v>
      </c>
      <c r="D182">
        <f>IFERROR(VLOOKUP(CONCATENATE(Table43_1[[#This Row],[Kode BARANG Win2]],2),'Form Fix'!$A$6:$H$663,4,0),0)</f>
        <v>0</v>
      </c>
      <c r="E182">
        <f>IFERROR(VLOOKUP(CONCATENATE(Table43_1[[#This Row],[Kode BARANG Win2]],3),'Form Fix'!$A$6:$H$663,4,0),0)</f>
        <v>0</v>
      </c>
      <c r="F182">
        <f>IFERROR(VLOOKUP(CONCATENATE(Table43_1[[#This Row],[Kode BARANG Win2]],4),'Form Fix'!$A$6:$H$663,4,0),0)</f>
        <v>0</v>
      </c>
      <c r="G182">
        <f>IFERROR(VLOOKUP(CONCATENATE(Table43_1[[#This Row],[Kode BARANG Win2]],5),'Form Fix'!$A$6:$H$663,4,0),0)</f>
        <v>0</v>
      </c>
    </row>
    <row r="183" spans="1:7">
      <c r="A183" t="s">
        <v>2831</v>
      </c>
      <c r="B183" t="s">
        <v>3197</v>
      </c>
      <c r="C183">
        <f>IFERROR(VLOOKUP(CONCATENATE(Table43_1[[#This Row],[Kode BARANG Win2]],1),'Form Fix'!$A$6:$H$663,4,0),0)</f>
        <v>0</v>
      </c>
      <c r="D183">
        <f>IFERROR(VLOOKUP(CONCATENATE(Table43_1[[#This Row],[Kode BARANG Win2]],2),'Form Fix'!$A$6:$H$663,4,0),0)</f>
        <v>0</v>
      </c>
      <c r="E183">
        <f>IFERROR(VLOOKUP(CONCATENATE(Table43_1[[#This Row],[Kode BARANG Win2]],3),'Form Fix'!$A$6:$H$663,4,0),0)</f>
        <v>0</v>
      </c>
      <c r="F183">
        <f>IFERROR(VLOOKUP(CONCATENATE(Table43_1[[#This Row],[Kode BARANG Win2]],4),'Form Fix'!$A$6:$H$663,4,0),0)</f>
        <v>0</v>
      </c>
      <c r="G183">
        <f>IFERROR(VLOOKUP(CONCATENATE(Table43_1[[#This Row],[Kode BARANG Win2]],5),'Form Fix'!$A$6:$H$663,4,0),0)</f>
        <v>0</v>
      </c>
    </row>
    <row r="184" spans="1:7">
      <c r="A184" t="s">
        <v>2830</v>
      </c>
      <c r="B184" t="s">
        <v>3196</v>
      </c>
      <c r="C184">
        <f>IFERROR(VLOOKUP(CONCATENATE(Table43_1[[#This Row],[Kode BARANG Win2]],1),'Form Fix'!$A$6:$H$663,4,0),0)</f>
        <v>0</v>
      </c>
      <c r="D184">
        <f>IFERROR(VLOOKUP(CONCATENATE(Table43_1[[#This Row],[Kode BARANG Win2]],2),'Form Fix'!$A$6:$H$663,4,0),0)</f>
        <v>0</v>
      </c>
      <c r="E184">
        <f>IFERROR(VLOOKUP(CONCATENATE(Table43_1[[#This Row],[Kode BARANG Win2]],3),'Form Fix'!$A$6:$H$663,4,0),0)</f>
        <v>0</v>
      </c>
      <c r="F184">
        <f>IFERROR(VLOOKUP(CONCATENATE(Table43_1[[#This Row],[Kode BARANG Win2]],4),'Form Fix'!$A$6:$H$663,4,0),0)</f>
        <v>0</v>
      </c>
      <c r="G184">
        <f>IFERROR(VLOOKUP(CONCATENATE(Table43_1[[#This Row],[Kode BARANG Win2]],5),'Form Fix'!$A$6:$H$663,4,0),0)</f>
        <v>0</v>
      </c>
    </row>
    <row r="185" spans="1:7">
      <c r="A185" t="s">
        <v>3451</v>
      </c>
      <c r="B185" t="s">
        <v>3527</v>
      </c>
      <c r="C185">
        <f>IFERROR(VLOOKUP(CONCATENATE(Table43_1[[#This Row],[Kode BARANG Win2]],1),'Form Fix'!$A$6:$H$663,4,0),0)</f>
        <v>0</v>
      </c>
      <c r="D185">
        <f>IFERROR(VLOOKUP(CONCATENATE(Table43_1[[#This Row],[Kode BARANG Win2]],2),'Form Fix'!$A$6:$H$663,4,0),0)</f>
        <v>0</v>
      </c>
      <c r="E185">
        <f>IFERROR(VLOOKUP(CONCATENATE(Table43_1[[#This Row],[Kode BARANG Win2]],3),'Form Fix'!$A$6:$H$663,4,0),0)</f>
        <v>0</v>
      </c>
      <c r="F185">
        <f>IFERROR(VLOOKUP(CONCATENATE(Table43_1[[#This Row],[Kode BARANG Win2]],4),'Form Fix'!$A$6:$H$663,4,0),0)</f>
        <v>0</v>
      </c>
      <c r="G185">
        <f>IFERROR(VLOOKUP(CONCATENATE(Table43_1[[#This Row],[Kode BARANG Win2]],5),'Form Fix'!$A$6:$H$663,4,0),0)</f>
        <v>0</v>
      </c>
    </row>
    <row r="186" spans="1:7">
      <c r="A186" t="s">
        <v>2835</v>
      </c>
      <c r="B186" t="s">
        <v>3201</v>
      </c>
      <c r="C186">
        <f>IFERROR(VLOOKUP(CONCATENATE(Table43_1[[#This Row],[Kode BARANG Win2]],1),'Form Fix'!$A$6:$H$663,4,0),0)</f>
        <v>0</v>
      </c>
      <c r="D186">
        <f>IFERROR(VLOOKUP(CONCATENATE(Table43_1[[#This Row],[Kode BARANG Win2]],2),'Form Fix'!$A$6:$H$663,4,0),0)</f>
        <v>0</v>
      </c>
      <c r="E186">
        <f>IFERROR(VLOOKUP(CONCATENATE(Table43_1[[#This Row],[Kode BARANG Win2]],3),'Form Fix'!$A$6:$H$663,4,0),0)</f>
        <v>0</v>
      </c>
      <c r="F186">
        <f>IFERROR(VLOOKUP(CONCATENATE(Table43_1[[#This Row],[Kode BARANG Win2]],4),'Form Fix'!$A$6:$H$663,4,0),0)</f>
        <v>0</v>
      </c>
      <c r="G186">
        <f>IFERROR(VLOOKUP(CONCATENATE(Table43_1[[#This Row],[Kode BARANG Win2]],5),'Form Fix'!$A$6:$H$663,4,0),0)</f>
        <v>0</v>
      </c>
    </row>
    <row r="187" spans="1:7">
      <c r="A187" t="s">
        <v>2837</v>
      </c>
      <c r="B187" t="s">
        <v>3203</v>
      </c>
      <c r="C187">
        <f>IFERROR(VLOOKUP(CONCATENATE(Table43_1[[#This Row],[Kode BARANG Win2]],1),'Form Fix'!$A$6:$H$663,4,0),0)</f>
        <v>0</v>
      </c>
      <c r="D187">
        <f>IFERROR(VLOOKUP(CONCATENATE(Table43_1[[#This Row],[Kode BARANG Win2]],2),'Form Fix'!$A$6:$H$663,4,0),0)</f>
        <v>0</v>
      </c>
      <c r="E187">
        <f>IFERROR(VLOOKUP(CONCATENATE(Table43_1[[#This Row],[Kode BARANG Win2]],3),'Form Fix'!$A$6:$H$663,4,0),0)</f>
        <v>0</v>
      </c>
      <c r="F187">
        <f>IFERROR(VLOOKUP(CONCATENATE(Table43_1[[#This Row],[Kode BARANG Win2]],4),'Form Fix'!$A$6:$H$663,4,0),0)</f>
        <v>0</v>
      </c>
      <c r="G187">
        <f>IFERROR(VLOOKUP(CONCATENATE(Table43_1[[#This Row],[Kode BARANG Win2]],5),'Form Fix'!$A$6:$H$663,4,0),0)</f>
        <v>0</v>
      </c>
    </row>
    <row r="188" spans="1:7">
      <c r="A188" t="s">
        <v>2836</v>
      </c>
      <c r="B188" t="s">
        <v>3202</v>
      </c>
      <c r="C188">
        <f>IFERROR(VLOOKUP(CONCATENATE(Table43_1[[#This Row],[Kode BARANG Win2]],1),'Form Fix'!$A$6:$H$663,4,0),0)</f>
        <v>0</v>
      </c>
      <c r="D188">
        <f>IFERROR(VLOOKUP(CONCATENATE(Table43_1[[#This Row],[Kode BARANG Win2]],2),'Form Fix'!$A$6:$H$663,4,0),0)</f>
        <v>0</v>
      </c>
      <c r="E188">
        <f>IFERROR(VLOOKUP(CONCATENATE(Table43_1[[#This Row],[Kode BARANG Win2]],3),'Form Fix'!$A$6:$H$663,4,0),0)</f>
        <v>0</v>
      </c>
      <c r="F188">
        <f>IFERROR(VLOOKUP(CONCATENATE(Table43_1[[#This Row],[Kode BARANG Win2]],4),'Form Fix'!$A$6:$H$663,4,0),0)</f>
        <v>0</v>
      </c>
      <c r="G188">
        <f>IFERROR(VLOOKUP(CONCATENATE(Table43_1[[#This Row],[Kode BARANG Win2]],5),'Form Fix'!$A$6:$H$663,4,0),0)</f>
        <v>0</v>
      </c>
    </row>
    <row r="189" spans="1:7">
      <c r="A189" t="s">
        <v>2838</v>
      </c>
      <c r="B189" t="s">
        <v>3204</v>
      </c>
      <c r="C189">
        <f>IFERROR(VLOOKUP(CONCATENATE(Table43_1[[#This Row],[Kode BARANG Win2]],1),'Form Fix'!$A$6:$H$663,4,0),0)</f>
        <v>0</v>
      </c>
      <c r="D189">
        <f>IFERROR(VLOOKUP(CONCATENATE(Table43_1[[#This Row],[Kode BARANG Win2]],2),'Form Fix'!$A$6:$H$663,4,0),0)</f>
        <v>0</v>
      </c>
      <c r="E189">
        <f>IFERROR(VLOOKUP(CONCATENATE(Table43_1[[#This Row],[Kode BARANG Win2]],3),'Form Fix'!$A$6:$H$663,4,0),0)</f>
        <v>0</v>
      </c>
      <c r="F189">
        <f>IFERROR(VLOOKUP(CONCATENATE(Table43_1[[#This Row],[Kode BARANG Win2]],4),'Form Fix'!$A$6:$H$663,4,0),0)</f>
        <v>0</v>
      </c>
      <c r="G189">
        <f>IFERROR(VLOOKUP(CONCATENATE(Table43_1[[#This Row],[Kode BARANG Win2]],5),'Form Fix'!$A$6:$H$663,4,0),0)</f>
        <v>0</v>
      </c>
    </row>
    <row r="190" spans="1:7">
      <c r="A190" t="s">
        <v>2839</v>
      </c>
      <c r="B190" t="s">
        <v>3205</v>
      </c>
      <c r="C190">
        <f>IFERROR(VLOOKUP(CONCATENATE(Table43_1[[#This Row],[Kode BARANG Win2]],1),'Form Fix'!$A$6:$H$663,4,0),0)</f>
        <v>0</v>
      </c>
      <c r="D190">
        <f>IFERROR(VLOOKUP(CONCATENATE(Table43_1[[#This Row],[Kode BARANG Win2]],2),'Form Fix'!$A$6:$H$663,4,0),0)</f>
        <v>0</v>
      </c>
      <c r="E190">
        <f>IFERROR(VLOOKUP(CONCATENATE(Table43_1[[#This Row],[Kode BARANG Win2]],3),'Form Fix'!$A$6:$H$663,4,0),0)</f>
        <v>0</v>
      </c>
      <c r="F190">
        <f>IFERROR(VLOOKUP(CONCATENATE(Table43_1[[#This Row],[Kode BARANG Win2]],4),'Form Fix'!$A$6:$H$663,4,0),0)</f>
        <v>0</v>
      </c>
      <c r="G190">
        <f>IFERROR(VLOOKUP(CONCATENATE(Table43_1[[#This Row],[Kode BARANG Win2]],5),'Form Fix'!$A$6:$H$663,4,0),0)</f>
        <v>0</v>
      </c>
    </row>
    <row r="191" spans="1:7">
      <c r="A191" t="s">
        <v>2840</v>
      </c>
      <c r="B191" t="s">
        <v>3206</v>
      </c>
      <c r="C191">
        <f>IFERROR(VLOOKUP(CONCATENATE(Table43_1[[#This Row],[Kode BARANG Win2]],1),'Form Fix'!$A$6:$H$663,4,0),0)</f>
        <v>0</v>
      </c>
      <c r="D191">
        <f>IFERROR(VLOOKUP(CONCATENATE(Table43_1[[#This Row],[Kode BARANG Win2]],2),'Form Fix'!$A$6:$H$663,4,0),0)</f>
        <v>0</v>
      </c>
      <c r="E191">
        <f>IFERROR(VLOOKUP(CONCATENATE(Table43_1[[#This Row],[Kode BARANG Win2]],3),'Form Fix'!$A$6:$H$663,4,0),0)</f>
        <v>0</v>
      </c>
      <c r="F191">
        <f>IFERROR(VLOOKUP(CONCATENATE(Table43_1[[#This Row],[Kode BARANG Win2]],4),'Form Fix'!$A$6:$H$663,4,0),0)</f>
        <v>0</v>
      </c>
      <c r="G191">
        <f>IFERROR(VLOOKUP(CONCATENATE(Table43_1[[#This Row],[Kode BARANG Win2]],5),'Form Fix'!$A$6:$H$663,4,0),0)</f>
        <v>0</v>
      </c>
    </row>
    <row r="192" spans="1:7">
      <c r="A192" t="s">
        <v>2841</v>
      </c>
      <c r="B192" t="s">
        <v>3207</v>
      </c>
      <c r="C192">
        <f>IFERROR(VLOOKUP(CONCATENATE(Table43_1[[#This Row],[Kode BARANG Win2]],1),'Form Fix'!$A$6:$H$663,4,0),0)</f>
        <v>0</v>
      </c>
      <c r="D192">
        <f>IFERROR(VLOOKUP(CONCATENATE(Table43_1[[#This Row],[Kode BARANG Win2]],2),'Form Fix'!$A$6:$H$663,4,0),0)</f>
        <v>0</v>
      </c>
      <c r="E192">
        <f>IFERROR(VLOOKUP(CONCATENATE(Table43_1[[#This Row],[Kode BARANG Win2]],3),'Form Fix'!$A$6:$H$663,4,0),0)</f>
        <v>0</v>
      </c>
      <c r="F192">
        <f>IFERROR(VLOOKUP(CONCATENATE(Table43_1[[#This Row],[Kode BARANG Win2]],4),'Form Fix'!$A$6:$H$663,4,0),0)</f>
        <v>0</v>
      </c>
      <c r="G192">
        <f>IFERROR(VLOOKUP(CONCATENATE(Table43_1[[#This Row],[Kode BARANG Win2]],5),'Form Fix'!$A$6:$H$663,4,0),0)</f>
        <v>0</v>
      </c>
    </row>
    <row r="193" spans="1:7">
      <c r="A193" t="s">
        <v>2843</v>
      </c>
      <c r="B193" t="s">
        <v>3209</v>
      </c>
      <c r="C193">
        <f>IFERROR(VLOOKUP(CONCATENATE(Table43_1[[#This Row],[Kode BARANG Win2]],1),'Form Fix'!$A$6:$H$663,4,0),0)</f>
        <v>0</v>
      </c>
      <c r="D193">
        <f>IFERROR(VLOOKUP(CONCATENATE(Table43_1[[#This Row],[Kode BARANG Win2]],2),'Form Fix'!$A$6:$H$663,4,0),0)</f>
        <v>0</v>
      </c>
      <c r="E193">
        <f>IFERROR(VLOOKUP(CONCATENATE(Table43_1[[#This Row],[Kode BARANG Win2]],3),'Form Fix'!$A$6:$H$663,4,0),0)</f>
        <v>0</v>
      </c>
      <c r="F193">
        <f>IFERROR(VLOOKUP(CONCATENATE(Table43_1[[#This Row],[Kode BARANG Win2]],4),'Form Fix'!$A$6:$H$663,4,0),0)</f>
        <v>0</v>
      </c>
      <c r="G193">
        <f>IFERROR(VLOOKUP(CONCATENATE(Table43_1[[#This Row],[Kode BARANG Win2]],5),'Form Fix'!$A$6:$H$663,4,0),0)</f>
        <v>0</v>
      </c>
    </row>
    <row r="194" spans="1:7">
      <c r="A194" t="s">
        <v>2842</v>
      </c>
      <c r="B194" t="s">
        <v>3208</v>
      </c>
      <c r="C194">
        <f>IFERROR(VLOOKUP(CONCATENATE(Table43_1[[#This Row],[Kode BARANG Win2]],1),'Form Fix'!$A$6:$H$663,4,0),0)</f>
        <v>0</v>
      </c>
      <c r="D194">
        <f>IFERROR(VLOOKUP(CONCATENATE(Table43_1[[#This Row],[Kode BARANG Win2]],2),'Form Fix'!$A$6:$H$663,4,0),0)</f>
        <v>0</v>
      </c>
      <c r="E194">
        <f>IFERROR(VLOOKUP(CONCATENATE(Table43_1[[#This Row],[Kode BARANG Win2]],3),'Form Fix'!$A$6:$H$663,4,0),0)</f>
        <v>0</v>
      </c>
      <c r="F194">
        <f>IFERROR(VLOOKUP(CONCATENATE(Table43_1[[#This Row],[Kode BARANG Win2]],4),'Form Fix'!$A$6:$H$663,4,0),0)</f>
        <v>0</v>
      </c>
      <c r="G194">
        <f>IFERROR(VLOOKUP(CONCATENATE(Table43_1[[#This Row],[Kode BARANG Win2]],5),'Form Fix'!$A$6:$H$663,4,0),0)</f>
        <v>0</v>
      </c>
    </row>
    <row r="195" spans="1:7">
      <c r="A195" t="s">
        <v>2844</v>
      </c>
      <c r="B195" t="s">
        <v>3210</v>
      </c>
      <c r="C195">
        <f>IFERROR(VLOOKUP(CONCATENATE(Table43_1[[#This Row],[Kode BARANG Win2]],1),'Form Fix'!$A$6:$H$663,4,0),0)</f>
        <v>0</v>
      </c>
      <c r="D195">
        <f>IFERROR(VLOOKUP(CONCATENATE(Table43_1[[#This Row],[Kode BARANG Win2]],2),'Form Fix'!$A$6:$H$663,4,0),0)</f>
        <v>0</v>
      </c>
      <c r="E195">
        <f>IFERROR(VLOOKUP(CONCATENATE(Table43_1[[#This Row],[Kode BARANG Win2]],3),'Form Fix'!$A$6:$H$663,4,0),0)</f>
        <v>0</v>
      </c>
      <c r="F195">
        <f>IFERROR(VLOOKUP(CONCATENATE(Table43_1[[#This Row],[Kode BARANG Win2]],4),'Form Fix'!$A$6:$H$663,4,0),0)</f>
        <v>0</v>
      </c>
      <c r="G195">
        <f>IFERROR(VLOOKUP(CONCATENATE(Table43_1[[#This Row],[Kode BARANG Win2]],5),'Form Fix'!$A$6:$H$663,4,0),0)</f>
        <v>0</v>
      </c>
    </row>
    <row r="196" spans="1:7">
      <c r="A196" t="s">
        <v>2845</v>
      </c>
      <c r="B196" t="s">
        <v>3211</v>
      </c>
      <c r="C196">
        <f>IFERROR(VLOOKUP(CONCATENATE(Table43_1[[#This Row],[Kode BARANG Win2]],1),'Form Fix'!$A$6:$H$663,4,0),0)</f>
        <v>0</v>
      </c>
      <c r="D196">
        <f>IFERROR(VLOOKUP(CONCATENATE(Table43_1[[#This Row],[Kode BARANG Win2]],2),'Form Fix'!$A$6:$H$663,4,0),0)</f>
        <v>0</v>
      </c>
      <c r="E196">
        <f>IFERROR(VLOOKUP(CONCATENATE(Table43_1[[#This Row],[Kode BARANG Win2]],3),'Form Fix'!$A$6:$H$663,4,0),0)</f>
        <v>0</v>
      </c>
      <c r="F196">
        <f>IFERROR(VLOOKUP(CONCATENATE(Table43_1[[#This Row],[Kode BARANG Win2]],4),'Form Fix'!$A$6:$H$663,4,0),0)</f>
        <v>0</v>
      </c>
      <c r="G196">
        <f>IFERROR(VLOOKUP(CONCATENATE(Table43_1[[#This Row],[Kode BARANG Win2]],5),'Form Fix'!$A$6:$H$663,4,0),0)</f>
        <v>0</v>
      </c>
    </row>
    <row r="197" spans="1:7">
      <c r="A197" t="s">
        <v>2846</v>
      </c>
      <c r="B197" t="s">
        <v>3212</v>
      </c>
      <c r="C197">
        <f>IFERROR(VLOOKUP(CONCATENATE(Table43_1[[#This Row],[Kode BARANG Win2]],1),'Form Fix'!$A$6:$H$663,4,0),0)</f>
        <v>0</v>
      </c>
      <c r="D197">
        <f>IFERROR(VLOOKUP(CONCATENATE(Table43_1[[#This Row],[Kode BARANG Win2]],2),'Form Fix'!$A$6:$H$663,4,0),0)</f>
        <v>0</v>
      </c>
      <c r="E197">
        <f>IFERROR(VLOOKUP(CONCATENATE(Table43_1[[#This Row],[Kode BARANG Win2]],3),'Form Fix'!$A$6:$H$663,4,0),0)</f>
        <v>0</v>
      </c>
      <c r="F197">
        <f>IFERROR(VLOOKUP(CONCATENATE(Table43_1[[#This Row],[Kode BARANG Win2]],4),'Form Fix'!$A$6:$H$663,4,0),0)</f>
        <v>0</v>
      </c>
      <c r="G197">
        <f>IFERROR(VLOOKUP(CONCATENATE(Table43_1[[#This Row],[Kode BARANG Win2]],5),'Form Fix'!$A$6:$H$663,4,0),0)</f>
        <v>0</v>
      </c>
    </row>
    <row r="198" spans="1:7">
      <c r="A198" t="s">
        <v>2847</v>
      </c>
      <c r="B198" t="s">
        <v>3213</v>
      </c>
      <c r="C198">
        <f>IFERROR(VLOOKUP(CONCATENATE(Table43_1[[#This Row],[Kode BARANG Win2]],1),'Form Fix'!$A$6:$H$663,4,0),0)</f>
        <v>0</v>
      </c>
      <c r="D198">
        <f>IFERROR(VLOOKUP(CONCATENATE(Table43_1[[#This Row],[Kode BARANG Win2]],2),'Form Fix'!$A$6:$H$663,4,0),0)</f>
        <v>0</v>
      </c>
      <c r="E198">
        <f>IFERROR(VLOOKUP(CONCATENATE(Table43_1[[#This Row],[Kode BARANG Win2]],3),'Form Fix'!$A$6:$H$663,4,0),0)</f>
        <v>0</v>
      </c>
      <c r="F198">
        <f>IFERROR(VLOOKUP(CONCATENATE(Table43_1[[#This Row],[Kode BARANG Win2]],4),'Form Fix'!$A$6:$H$663,4,0),0)</f>
        <v>0</v>
      </c>
      <c r="G198">
        <f>IFERROR(VLOOKUP(CONCATENATE(Table43_1[[#This Row],[Kode BARANG Win2]],5),'Form Fix'!$A$6:$H$663,4,0),0)</f>
        <v>0</v>
      </c>
    </row>
    <row r="199" spans="1:7">
      <c r="A199" t="s">
        <v>2848</v>
      </c>
      <c r="B199" t="s">
        <v>3214</v>
      </c>
      <c r="C199">
        <f>IFERROR(VLOOKUP(CONCATENATE(Table43_1[[#This Row],[Kode BARANG Win2]],1),'Form Fix'!$A$6:$H$663,4,0),0)</f>
        <v>0</v>
      </c>
      <c r="D199">
        <f>IFERROR(VLOOKUP(CONCATENATE(Table43_1[[#This Row],[Kode BARANG Win2]],2),'Form Fix'!$A$6:$H$663,4,0),0)</f>
        <v>0</v>
      </c>
      <c r="E199">
        <f>IFERROR(VLOOKUP(CONCATENATE(Table43_1[[#This Row],[Kode BARANG Win2]],3),'Form Fix'!$A$6:$H$663,4,0),0)</f>
        <v>0</v>
      </c>
      <c r="F199">
        <f>IFERROR(VLOOKUP(CONCATENATE(Table43_1[[#This Row],[Kode BARANG Win2]],4),'Form Fix'!$A$6:$H$663,4,0),0)</f>
        <v>0</v>
      </c>
      <c r="G199">
        <f>IFERROR(VLOOKUP(CONCATENATE(Table43_1[[#This Row],[Kode BARANG Win2]],5),'Form Fix'!$A$6:$H$663,4,0),0)</f>
        <v>0</v>
      </c>
    </row>
    <row r="200" spans="1:7">
      <c r="A200" t="s">
        <v>2849</v>
      </c>
      <c r="B200" t="s">
        <v>3215</v>
      </c>
      <c r="C200">
        <f>IFERROR(VLOOKUP(CONCATENATE(Table43_1[[#This Row],[Kode BARANG Win2]],1),'Form Fix'!$A$6:$H$663,4,0),0)</f>
        <v>0</v>
      </c>
      <c r="D200">
        <f>IFERROR(VLOOKUP(CONCATENATE(Table43_1[[#This Row],[Kode BARANG Win2]],2),'Form Fix'!$A$6:$H$663,4,0),0)</f>
        <v>0</v>
      </c>
      <c r="E200">
        <f>IFERROR(VLOOKUP(CONCATENATE(Table43_1[[#This Row],[Kode BARANG Win2]],3),'Form Fix'!$A$6:$H$663,4,0),0)</f>
        <v>0</v>
      </c>
      <c r="F200">
        <f>IFERROR(VLOOKUP(CONCATENATE(Table43_1[[#This Row],[Kode BARANG Win2]],4),'Form Fix'!$A$6:$H$663,4,0),0)</f>
        <v>0</v>
      </c>
      <c r="G200">
        <f>IFERROR(VLOOKUP(CONCATENATE(Table43_1[[#This Row],[Kode BARANG Win2]],5),'Form Fix'!$A$6:$H$663,4,0),0)</f>
        <v>0</v>
      </c>
    </row>
    <row r="201" spans="1:7">
      <c r="A201" t="s">
        <v>2850</v>
      </c>
      <c r="B201" t="s">
        <v>3216</v>
      </c>
      <c r="C201">
        <f>IFERROR(VLOOKUP(CONCATENATE(Table43_1[[#This Row],[Kode BARANG Win2]],1),'Form Fix'!$A$6:$H$663,4,0),0)</f>
        <v>0</v>
      </c>
      <c r="D201">
        <f>IFERROR(VLOOKUP(CONCATENATE(Table43_1[[#This Row],[Kode BARANG Win2]],2),'Form Fix'!$A$6:$H$663,4,0),0)</f>
        <v>0</v>
      </c>
      <c r="E201">
        <f>IFERROR(VLOOKUP(CONCATENATE(Table43_1[[#This Row],[Kode BARANG Win2]],3),'Form Fix'!$A$6:$H$663,4,0),0)</f>
        <v>0</v>
      </c>
      <c r="F201">
        <f>IFERROR(VLOOKUP(CONCATENATE(Table43_1[[#This Row],[Kode BARANG Win2]],4),'Form Fix'!$A$6:$H$663,4,0),0)</f>
        <v>0</v>
      </c>
      <c r="G201">
        <f>IFERROR(VLOOKUP(CONCATENATE(Table43_1[[#This Row],[Kode BARANG Win2]],5),'Form Fix'!$A$6:$H$663,4,0),0)</f>
        <v>0</v>
      </c>
    </row>
    <row r="202" spans="1:7">
      <c r="A202" t="s">
        <v>2851</v>
      </c>
      <c r="B202" t="s">
        <v>3217</v>
      </c>
      <c r="C202">
        <f>IFERROR(VLOOKUP(CONCATENATE(Table43_1[[#This Row],[Kode BARANG Win2]],1),'Form Fix'!$A$6:$H$663,4,0),0)</f>
        <v>0</v>
      </c>
      <c r="D202">
        <f>IFERROR(VLOOKUP(CONCATENATE(Table43_1[[#This Row],[Kode BARANG Win2]],2),'Form Fix'!$A$6:$H$663,4,0),0)</f>
        <v>0</v>
      </c>
      <c r="E202">
        <f>IFERROR(VLOOKUP(CONCATENATE(Table43_1[[#This Row],[Kode BARANG Win2]],3),'Form Fix'!$A$6:$H$663,4,0),0)</f>
        <v>0</v>
      </c>
      <c r="F202">
        <f>IFERROR(VLOOKUP(CONCATENATE(Table43_1[[#This Row],[Kode BARANG Win2]],4),'Form Fix'!$A$6:$H$663,4,0),0)</f>
        <v>0</v>
      </c>
      <c r="G202">
        <f>IFERROR(VLOOKUP(CONCATENATE(Table43_1[[#This Row],[Kode BARANG Win2]],5),'Form Fix'!$A$6:$H$663,4,0),0)</f>
        <v>0</v>
      </c>
    </row>
    <row r="203" spans="1:7">
      <c r="A203" t="s">
        <v>2853</v>
      </c>
      <c r="B203" t="s">
        <v>3219</v>
      </c>
      <c r="C203">
        <f>IFERROR(VLOOKUP(CONCATENATE(Table43_1[[#This Row],[Kode BARANG Win2]],1),'Form Fix'!$A$6:$H$663,4,0),0)</f>
        <v>0</v>
      </c>
      <c r="D203">
        <f>IFERROR(VLOOKUP(CONCATENATE(Table43_1[[#This Row],[Kode BARANG Win2]],2),'Form Fix'!$A$6:$H$663,4,0),0)</f>
        <v>0</v>
      </c>
      <c r="E203">
        <f>IFERROR(VLOOKUP(CONCATENATE(Table43_1[[#This Row],[Kode BARANG Win2]],3),'Form Fix'!$A$6:$H$663,4,0),0)</f>
        <v>0</v>
      </c>
      <c r="F203">
        <f>IFERROR(VLOOKUP(CONCATENATE(Table43_1[[#This Row],[Kode BARANG Win2]],4),'Form Fix'!$A$6:$H$663,4,0),0)</f>
        <v>0</v>
      </c>
      <c r="G203">
        <f>IFERROR(VLOOKUP(CONCATENATE(Table43_1[[#This Row],[Kode BARANG Win2]],5),'Form Fix'!$A$6:$H$663,4,0),0)</f>
        <v>0</v>
      </c>
    </row>
    <row r="204" spans="1:7">
      <c r="A204" t="s">
        <v>2852</v>
      </c>
      <c r="B204" t="s">
        <v>3218</v>
      </c>
      <c r="C204">
        <f>IFERROR(VLOOKUP(CONCATENATE(Table43_1[[#This Row],[Kode BARANG Win2]],1),'Form Fix'!$A$6:$H$663,4,0),0)</f>
        <v>0</v>
      </c>
      <c r="D204">
        <f>IFERROR(VLOOKUP(CONCATENATE(Table43_1[[#This Row],[Kode BARANG Win2]],2),'Form Fix'!$A$6:$H$663,4,0),0)</f>
        <v>0</v>
      </c>
      <c r="E204">
        <f>IFERROR(VLOOKUP(CONCATENATE(Table43_1[[#This Row],[Kode BARANG Win2]],3),'Form Fix'!$A$6:$H$663,4,0),0)</f>
        <v>0</v>
      </c>
      <c r="F204">
        <f>IFERROR(VLOOKUP(CONCATENATE(Table43_1[[#This Row],[Kode BARANG Win2]],4),'Form Fix'!$A$6:$H$663,4,0),0)</f>
        <v>0</v>
      </c>
      <c r="G204">
        <f>IFERROR(VLOOKUP(CONCATENATE(Table43_1[[#This Row],[Kode BARANG Win2]],5),'Form Fix'!$A$6:$H$663,4,0),0)</f>
        <v>0</v>
      </c>
    </row>
    <row r="205" spans="1:7">
      <c r="A205" t="s">
        <v>2854</v>
      </c>
      <c r="B205" t="s">
        <v>3220</v>
      </c>
      <c r="C205">
        <f>IFERROR(VLOOKUP(CONCATENATE(Table43_1[[#This Row],[Kode BARANG Win2]],1),'Form Fix'!$A$6:$H$663,4,0),0)</f>
        <v>0</v>
      </c>
      <c r="D205">
        <f>IFERROR(VLOOKUP(CONCATENATE(Table43_1[[#This Row],[Kode BARANG Win2]],2),'Form Fix'!$A$6:$H$663,4,0),0)</f>
        <v>0</v>
      </c>
      <c r="E205">
        <f>IFERROR(VLOOKUP(CONCATENATE(Table43_1[[#This Row],[Kode BARANG Win2]],3),'Form Fix'!$A$6:$H$663,4,0),0)</f>
        <v>0</v>
      </c>
      <c r="F205">
        <f>IFERROR(VLOOKUP(CONCATENATE(Table43_1[[#This Row],[Kode BARANG Win2]],4),'Form Fix'!$A$6:$H$663,4,0),0)</f>
        <v>0</v>
      </c>
      <c r="G205">
        <f>IFERROR(VLOOKUP(CONCATENATE(Table43_1[[#This Row],[Kode BARANG Win2]],5),'Form Fix'!$A$6:$H$663,4,0),0)</f>
        <v>0</v>
      </c>
    </row>
    <row r="206" spans="1:7">
      <c r="A206" t="s">
        <v>2856</v>
      </c>
      <c r="B206" t="s">
        <v>3222</v>
      </c>
      <c r="C206">
        <f>IFERROR(VLOOKUP(CONCATENATE(Table43_1[[#This Row],[Kode BARANG Win2]],1),'Form Fix'!$A$6:$H$663,4,0),0)</f>
        <v>0</v>
      </c>
      <c r="D206">
        <f>IFERROR(VLOOKUP(CONCATENATE(Table43_1[[#This Row],[Kode BARANG Win2]],2),'Form Fix'!$A$6:$H$663,4,0),0)</f>
        <v>0</v>
      </c>
      <c r="E206">
        <f>IFERROR(VLOOKUP(CONCATENATE(Table43_1[[#This Row],[Kode BARANG Win2]],3),'Form Fix'!$A$6:$H$663,4,0),0)</f>
        <v>0</v>
      </c>
      <c r="F206">
        <f>IFERROR(VLOOKUP(CONCATENATE(Table43_1[[#This Row],[Kode BARANG Win2]],4),'Form Fix'!$A$6:$H$663,4,0),0)</f>
        <v>0</v>
      </c>
      <c r="G206">
        <f>IFERROR(VLOOKUP(CONCATENATE(Table43_1[[#This Row],[Kode BARANG Win2]],5),'Form Fix'!$A$6:$H$663,4,0),0)</f>
        <v>0</v>
      </c>
    </row>
    <row r="207" spans="1:7">
      <c r="A207" t="s">
        <v>2855</v>
      </c>
      <c r="B207" t="s">
        <v>3221</v>
      </c>
      <c r="C207">
        <f>IFERROR(VLOOKUP(CONCATENATE(Table43_1[[#This Row],[Kode BARANG Win2]],1),'Form Fix'!$A$6:$H$663,4,0),0)</f>
        <v>0</v>
      </c>
      <c r="D207">
        <f>IFERROR(VLOOKUP(CONCATENATE(Table43_1[[#This Row],[Kode BARANG Win2]],2),'Form Fix'!$A$6:$H$663,4,0),0)</f>
        <v>0</v>
      </c>
      <c r="E207">
        <f>IFERROR(VLOOKUP(CONCATENATE(Table43_1[[#This Row],[Kode BARANG Win2]],3),'Form Fix'!$A$6:$H$663,4,0),0)</f>
        <v>0</v>
      </c>
      <c r="F207">
        <f>IFERROR(VLOOKUP(CONCATENATE(Table43_1[[#This Row],[Kode BARANG Win2]],4),'Form Fix'!$A$6:$H$663,4,0),0)</f>
        <v>0</v>
      </c>
      <c r="G207">
        <f>IFERROR(VLOOKUP(CONCATENATE(Table43_1[[#This Row],[Kode BARANG Win2]],5),'Form Fix'!$A$6:$H$663,4,0),0)</f>
        <v>0</v>
      </c>
    </row>
    <row r="208" spans="1:7">
      <c r="A208" t="s">
        <v>3408</v>
      </c>
      <c r="B208" t="s">
        <v>3415</v>
      </c>
      <c r="C208">
        <f>IFERROR(VLOOKUP(CONCATENATE(Table43_1[[#This Row],[Kode BARANG Win2]],1),'Form Fix'!$A$6:$H$663,4,0),0)</f>
        <v>0</v>
      </c>
      <c r="D208">
        <f>IFERROR(VLOOKUP(CONCATENATE(Table43_1[[#This Row],[Kode BARANG Win2]],2),'Form Fix'!$A$6:$H$663,4,0),0)</f>
        <v>0</v>
      </c>
      <c r="E208">
        <f>IFERROR(VLOOKUP(CONCATENATE(Table43_1[[#This Row],[Kode BARANG Win2]],3),'Form Fix'!$A$6:$H$663,4,0),0)</f>
        <v>0</v>
      </c>
      <c r="F208">
        <f>IFERROR(VLOOKUP(CONCATENATE(Table43_1[[#This Row],[Kode BARANG Win2]],4),'Form Fix'!$A$6:$H$663,4,0),0)</f>
        <v>0</v>
      </c>
      <c r="G208">
        <f>IFERROR(VLOOKUP(CONCATENATE(Table43_1[[#This Row],[Kode BARANG Win2]],5),'Form Fix'!$A$6:$H$663,4,0),0)</f>
        <v>0</v>
      </c>
    </row>
    <row r="209" spans="1:7">
      <c r="A209" t="s">
        <v>2834</v>
      </c>
      <c r="B209" t="s">
        <v>3200</v>
      </c>
      <c r="C209">
        <f>IFERROR(VLOOKUP(CONCATENATE(Table43_1[[#This Row],[Kode BARANG Win2]],1),'Form Fix'!$A$6:$H$663,4,0),0)</f>
        <v>0</v>
      </c>
      <c r="D209">
        <f>IFERROR(VLOOKUP(CONCATENATE(Table43_1[[#This Row],[Kode BARANG Win2]],2),'Form Fix'!$A$6:$H$663,4,0),0)</f>
        <v>0</v>
      </c>
      <c r="E209">
        <f>IFERROR(VLOOKUP(CONCATENATE(Table43_1[[#This Row],[Kode BARANG Win2]],3),'Form Fix'!$A$6:$H$663,4,0),0)</f>
        <v>0</v>
      </c>
      <c r="F209">
        <f>IFERROR(VLOOKUP(CONCATENATE(Table43_1[[#This Row],[Kode BARANG Win2]],4),'Form Fix'!$A$6:$H$663,4,0),0)</f>
        <v>0</v>
      </c>
      <c r="G209">
        <f>IFERROR(VLOOKUP(CONCATENATE(Table43_1[[#This Row],[Kode BARANG Win2]],5),'Form Fix'!$A$6:$H$663,4,0),0)</f>
        <v>0</v>
      </c>
    </row>
    <row r="210" spans="1:7">
      <c r="A210" t="s">
        <v>2857</v>
      </c>
      <c r="B210" t="s">
        <v>3223</v>
      </c>
      <c r="C210">
        <f>IFERROR(VLOOKUP(CONCATENATE(Table43_1[[#This Row],[Kode BARANG Win2]],1),'Form Fix'!$A$6:$H$663,4,0),0)</f>
        <v>0</v>
      </c>
      <c r="D210">
        <f>IFERROR(VLOOKUP(CONCATENATE(Table43_1[[#This Row],[Kode BARANG Win2]],2),'Form Fix'!$A$6:$H$663,4,0),0)</f>
        <v>0</v>
      </c>
      <c r="E210">
        <f>IFERROR(VLOOKUP(CONCATENATE(Table43_1[[#This Row],[Kode BARANG Win2]],3),'Form Fix'!$A$6:$H$663,4,0),0)</f>
        <v>0</v>
      </c>
      <c r="F210">
        <f>IFERROR(VLOOKUP(CONCATENATE(Table43_1[[#This Row],[Kode BARANG Win2]],4),'Form Fix'!$A$6:$H$663,4,0),0)</f>
        <v>0</v>
      </c>
      <c r="G210">
        <f>IFERROR(VLOOKUP(CONCATENATE(Table43_1[[#This Row],[Kode BARANG Win2]],5),'Form Fix'!$A$6:$H$663,4,0),0)</f>
        <v>0</v>
      </c>
    </row>
    <row r="211" spans="1:7">
      <c r="A211" t="s">
        <v>2858</v>
      </c>
      <c r="B211" t="s">
        <v>3224</v>
      </c>
      <c r="C211">
        <f>IFERROR(VLOOKUP(CONCATENATE(Table43_1[[#This Row],[Kode BARANG Win2]],1),'Form Fix'!$A$6:$H$663,4,0),0)</f>
        <v>0</v>
      </c>
      <c r="D211">
        <f>IFERROR(VLOOKUP(CONCATENATE(Table43_1[[#This Row],[Kode BARANG Win2]],2),'Form Fix'!$A$6:$H$663,4,0),0)</f>
        <v>0</v>
      </c>
      <c r="E211">
        <f>IFERROR(VLOOKUP(CONCATENATE(Table43_1[[#This Row],[Kode BARANG Win2]],3),'Form Fix'!$A$6:$H$663,4,0),0)</f>
        <v>0</v>
      </c>
      <c r="F211">
        <f>IFERROR(VLOOKUP(CONCATENATE(Table43_1[[#This Row],[Kode BARANG Win2]],4),'Form Fix'!$A$6:$H$663,4,0),0)</f>
        <v>0</v>
      </c>
      <c r="G211">
        <f>IFERROR(VLOOKUP(CONCATENATE(Table43_1[[#This Row],[Kode BARANG Win2]],5),'Form Fix'!$A$6:$H$663,4,0),0)</f>
        <v>0</v>
      </c>
    </row>
    <row r="212" spans="1:7">
      <c r="A212" t="s">
        <v>2859</v>
      </c>
      <c r="B212" t="s">
        <v>3225</v>
      </c>
      <c r="C212">
        <f>IFERROR(VLOOKUP(CONCATENATE(Table43_1[[#This Row],[Kode BARANG Win2]],1),'Form Fix'!$A$6:$H$663,4,0),0)</f>
        <v>0</v>
      </c>
      <c r="D212">
        <f>IFERROR(VLOOKUP(CONCATENATE(Table43_1[[#This Row],[Kode BARANG Win2]],2),'Form Fix'!$A$6:$H$663,4,0),0)</f>
        <v>0</v>
      </c>
      <c r="E212">
        <f>IFERROR(VLOOKUP(CONCATENATE(Table43_1[[#This Row],[Kode BARANG Win2]],3),'Form Fix'!$A$6:$H$663,4,0),0)</f>
        <v>0</v>
      </c>
      <c r="F212">
        <f>IFERROR(VLOOKUP(CONCATENATE(Table43_1[[#This Row],[Kode BARANG Win2]],4),'Form Fix'!$A$6:$H$663,4,0),0)</f>
        <v>0</v>
      </c>
      <c r="G212">
        <f>IFERROR(VLOOKUP(CONCATENATE(Table43_1[[#This Row],[Kode BARANG Win2]],5),'Form Fix'!$A$6:$H$663,4,0),0)</f>
        <v>0</v>
      </c>
    </row>
    <row r="213" spans="1:7">
      <c r="A213" t="s">
        <v>2860</v>
      </c>
      <c r="B213" t="s">
        <v>3226</v>
      </c>
      <c r="C213">
        <f>IFERROR(VLOOKUP(CONCATENATE(Table43_1[[#This Row],[Kode BARANG Win2]],1),'Form Fix'!$A$6:$H$663,4,0),0)</f>
        <v>0</v>
      </c>
      <c r="D213">
        <f>IFERROR(VLOOKUP(CONCATENATE(Table43_1[[#This Row],[Kode BARANG Win2]],2),'Form Fix'!$A$6:$H$663,4,0),0)</f>
        <v>0</v>
      </c>
      <c r="E213">
        <f>IFERROR(VLOOKUP(CONCATENATE(Table43_1[[#This Row],[Kode BARANG Win2]],3),'Form Fix'!$A$6:$H$663,4,0),0)</f>
        <v>0</v>
      </c>
      <c r="F213">
        <f>IFERROR(VLOOKUP(CONCATENATE(Table43_1[[#This Row],[Kode BARANG Win2]],4),'Form Fix'!$A$6:$H$663,4,0),0)</f>
        <v>0</v>
      </c>
      <c r="G213">
        <f>IFERROR(VLOOKUP(CONCATENATE(Table43_1[[#This Row],[Kode BARANG Win2]],5),'Form Fix'!$A$6:$H$663,4,0),0)</f>
        <v>0</v>
      </c>
    </row>
    <row r="214" spans="1:7">
      <c r="A214" t="s">
        <v>2861</v>
      </c>
      <c r="B214" t="s">
        <v>3227</v>
      </c>
      <c r="C214">
        <f>IFERROR(VLOOKUP(CONCATENATE(Table43_1[[#This Row],[Kode BARANG Win2]],1),'Form Fix'!$A$6:$H$663,4,0),0)</f>
        <v>0</v>
      </c>
      <c r="D214">
        <f>IFERROR(VLOOKUP(CONCATENATE(Table43_1[[#This Row],[Kode BARANG Win2]],2),'Form Fix'!$A$6:$H$663,4,0),0)</f>
        <v>0</v>
      </c>
      <c r="E214">
        <f>IFERROR(VLOOKUP(CONCATENATE(Table43_1[[#This Row],[Kode BARANG Win2]],3),'Form Fix'!$A$6:$H$663,4,0),0)</f>
        <v>0</v>
      </c>
      <c r="F214">
        <f>IFERROR(VLOOKUP(CONCATENATE(Table43_1[[#This Row],[Kode BARANG Win2]],4),'Form Fix'!$A$6:$H$663,4,0),0)</f>
        <v>0</v>
      </c>
      <c r="G214">
        <f>IFERROR(VLOOKUP(CONCATENATE(Table43_1[[#This Row],[Kode BARANG Win2]],5),'Form Fix'!$A$6:$H$663,4,0),0)</f>
        <v>0</v>
      </c>
    </row>
    <row r="215" spans="1:7">
      <c r="A215" t="s">
        <v>2862</v>
      </c>
      <c r="B215" t="s">
        <v>3228</v>
      </c>
      <c r="C215">
        <f>IFERROR(VLOOKUP(CONCATENATE(Table43_1[[#This Row],[Kode BARANG Win2]],1),'Form Fix'!$A$6:$H$663,4,0),0)</f>
        <v>0</v>
      </c>
      <c r="D215">
        <f>IFERROR(VLOOKUP(CONCATENATE(Table43_1[[#This Row],[Kode BARANG Win2]],2),'Form Fix'!$A$6:$H$663,4,0),0)</f>
        <v>0</v>
      </c>
      <c r="E215">
        <f>IFERROR(VLOOKUP(CONCATENATE(Table43_1[[#This Row],[Kode BARANG Win2]],3),'Form Fix'!$A$6:$H$663,4,0),0)</f>
        <v>0</v>
      </c>
      <c r="F215">
        <f>IFERROR(VLOOKUP(CONCATENATE(Table43_1[[#This Row],[Kode BARANG Win2]],4),'Form Fix'!$A$6:$H$663,4,0),0)</f>
        <v>0</v>
      </c>
      <c r="G215">
        <f>IFERROR(VLOOKUP(CONCATENATE(Table43_1[[#This Row],[Kode BARANG Win2]],5),'Form Fix'!$A$6:$H$663,4,0),0)</f>
        <v>0</v>
      </c>
    </row>
    <row r="216" spans="1:7">
      <c r="A216" t="s">
        <v>2863</v>
      </c>
      <c r="B216" t="s">
        <v>3229</v>
      </c>
      <c r="C216">
        <f>IFERROR(VLOOKUP(CONCATENATE(Table43_1[[#This Row],[Kode BARANG Win2]],1),'Form Fix'!$A$6:$H$663,4,0),0)</f>
        <v>0</v>
      </c>
      <c r="D216">
        <f>IFERROR(VLOOKUP(CONCATENATE(Table43_1[[#This Row],[Kode BARANG Win2]],2),'Form Fix'!$A$6:$H$663,4,0),0)</f>
        <v>0</v>
      </c>
      <c r="E216">
        <f>IFERROR(VLOOKUP(CONCATENATE(Table43_1[[#This Row],[Kode BARANG Win2]],3),'Form Fix'!$A$6:$H$663,4,0),0)</f>
        <v>0</v>
      </c>
      <c r="F216">
        <f>IFERROR(VLOOKUP(CONCATENATE(Table43_1[[#This Row],[Kode BARANG Win2]],4),'Form Fix'!$A$6:$H$663,4,0),0)</f>
        <v>0</v>
      </c>
      <c r="G216">
        <f>IFERROR(VLOOKUP(CONCATENATE(Table43_1[[#This Row],[Kode BARANG Win2]],5),'Form Fix'!$A$6:$H$663,4,0),0)</f>
        <v>0</v>
      </c>
    </row>
    <row r="217" spans="1:7">
      <c r="A217" t="s">
        <v>2864</v>
      </c>
      <c r="B217" t="s">
        <v>3230</v>
      </c>
      <c r="C217">
        <f>IFERROR(VLOOKUP(CONCATENATE(Table43_1[[#This Row],[Kode BARANG Win2]],1),'Form Fix'!$A$6:$H$663,4,0),0)</f>
        <v>0</v>
      </c>
      <c r="D217">
        <f>IFERROR(VLOOKUP(CONCATENATE(Table43_1[[#This Row],[Kode BARANG Win2]],2),'Form Fix'!$A$6:$H$663,4,0),0)</f>
        <v>0</v>
      </c>
      <c r="E217">
        <f>IFERROR(VLOOKUP(CONCATENATE(Table43_1[[#This Row],[Kode BARANG Win2]],3),'Form Fix'!$A$6:$H$663,4,0),0)</f>
        <v>0</v>
      </c>
      <c r="F217">
        <f>IFERROR(VLOOKUP(CONCATENATE(Table43_1[[#This Row],[Kode BARANG Win2]],4),'Form Fix'!$A$6:$H$663,4,0),0)</f>
        <v>0</v>
      </c>
      <c r="G217">
        <f>IFERROR(VLOOKUP(CONCATENATE(Table43_1[[#This Row],[Kode BARANG Win2]],5),'Form Fix'!$A$6:$H$663,4,0),0)</f>
        <v>0</v>
      </c>
    </row>
    <row r="218" spans="1:7">
      <c r="A218" t="s">
        <v>2865</v>
      </c>
      <c r="B218" t="s">
        <v>3231</v>
      </c>
      <c r="C218">
        <f>IFERROR(VLOOKUP(CONCATENATE(Table43_1[[#This Row],[Kode BARANG Win2]],1),'Form Fix'!$A$6:$H$663,4,0),0)</f>
        <v>0</v>
      </c>
      <c r="D218">
        <f>IFERROR(VLOOKUP(CONCATENATE(Table43_1[[#This Row],[Kode BARANG Win2]],2),'Form Fix'!$A$6:$H$663,4,0),0)</f>
        <v>0</v>
      </c>
      <c r="E218">
        <f>IFERROR(VLOOKUP(CONCATENATE(Table43_1[[#This Row],[Kode BARANG Win2]],3),'Form Fix'!$A$6:$H$663,4,0),0)</f>
        <v>0</v>
      </c>
      <c r="F218">
        <f>IFERROR(VLOOKUP(CONCATENATE(Table43_1[[#This Row],[Kode BARANG Win2]],4),'Form Fix'!$A$6:$H$663,4,0),0)</f>
        <v>0</v>
      </c>
      <c r="G218">
        <f>IFERROR(VLOOKUP(CONCATENATE(Table43_1[[#This Row],[Kode BARANG Win2]],5),'Form Fix'!$A$6:$H$663,4,0),0)</f>
        <v>0</v>
      </c>
    </row>
    <row r="219" spans="1:7">
      <c r="A219" t="s">
        <v>2868</v>
      </c>
      <c r="B219" t="s">
        <v>3234</v>
      </c>
      <c r="C219">
        <f>IFERROR(VLOOKUP(CONCATENATE(Table43_1[[#This Row],[Kode BARANG Win2]],1),'Form Fix'!$A$6:$H$663,4,0),0)</f>
        <v>0</v>
      </c>
      <c r="D219">
        <f>IFERROR(VLOOKUP(CONCATENATE(Table43_1[[#This Row],[Kode BARANG Win2]],2),'Form Fix'!$A$6:$H$663,4,0),0)</f>
        <v>0</v>
      </c>
      <c r="E219">
        <f>IFERROR(VLOOKUP(CONCATENATE(Table43_1[[#This Row],[Kode BARANG Win2]],3),'Form Fix'!$A$6:$H$663,4,0),0)</f>
        <v>0</v>
      </c>
      <c r="F219">
        <f>IFERROR(VLOOKUP(CONCATENATE(Table43_1[[#This Row],[Kode BARANG Win2]],4),'Form Fix'!$A$6:$H$663,4,0),0)</f>
        <v>0</v>
      </c>
      <c r="G219">
        <f>IFERROR(VLOOKUP(CONCATENATE(Table43_1[[#This Row],[Kode BARANG Win2]],5),'Form Fix'!$A$6:$H$663,4,0),0)</f>
        <v>0</v>
      </c>
    </row>
    <row r="220" spans="1:7">
      <c r="A220" t="s">
        <v>2867</v>
      </c>
      <c r="B220" t="s">
        <v>3233</v>
      </c>
      <c r="C220">
        <f>IFERROR(VLOOKUP(CONCATENATE(Table43_1[[#This Row],[Kode BARANG Win2]],1),'Form Fix'!$A$6:$H$663,4,0),0)</f>
        <v>0</v>
      </c>
      <c r="D220">
        <f>IFERROR(VLOOKUP(CONCATENATE(Table43_1[[#This Row],[Kode BARANG Win2]],2),'Form Fix'!$A$6:$H$663,4,0),0)</f>
        <v>0</v>
      </c>
      <c r="E220">
        <f>IFERROR(VLOOKUP(CONCATENATE(Table43_1[[#This Row],[Kode BARANG Win2]],3),'Form Fix'!$A$6:$H$663,4,0),0)</f>
        <v>0</v>
      </c>
      <c r="F220">
        <f>IFERROR(VLOOKUP(CONCATENATE(Table43_1[[#This Row],[Kode BARANG Win2]],4),'Form Fix'!$A$6:$H$663,4,0),0)</f>
        <v>0</v>
      </c>
      <c r="G220">
        <f>IFERROR(VLOOKUP(CONCATENATE(Table43_1[[#This Row],[Kode BARANG Win2]],5),'Form Fix'!$A$6:$H$663,4,0),0)</f>
        <v>0</v>
      </c>
    </row>
    <row r="221" spans="1:7">
      <c r="A221" t="s">
        <v>2869</v>
      </c>
      <c r="B221" t="s">
        <v>3235</v>
      </c>
      <c r="C221">
        <f>IFERROR(VLOOKUP(CONCATENATE(Table43_1[[#This Row],[Kode BARANG Win2]],1),'Form Fix'!$A$6:$H$663,4,0),0)</f>
        <v>0</v>
      </c>
      <c r="D221">
        <f>IFERROR(VLOOKUP(CONCATENATE(Table43_1[[#This Row],[Kode BARANG Win2]],2),'Form Fix'!$A$6:$H$663,4,0),0)</f>
        <v>0</v>
      </c>
      <c r="E221">
        <f>IFERROR(VLOOKUP(CONCATENATE(Table43_1[[#This Row],[Kode BARANG Win2]],3),'Form Fix'!$A$6:$H$663,4,0),0)</f>
        <v>0</v>
      </c>
      <c r="F221">
        <f>IFERROR(VLOOKUP(CONCATENATE(Table43_1[[#This Row],[Kode BARANG Win2]],4),'Form Fix'!$A$6:$H$663,4,0),0)</f>
        <v>0</v>
      </c>
      <c r="G221">
        <f>IFERROR(VLOOKUP(CONCATENATE(Table43_1[[#This Row],[Kode BARANG Win2]],5),'Form Fix'!$A$6:$H$663,4,0),0)</f>
        <v>0</v>
      </c>
    </row>
    <row r="222" spans="1:7">
      <c r="A222" t="s">
        <v>2866</v>
      </c>
      <c r="B222" t="s">
        <v>3232</v>
      </c>
      <c r="C222">
        <f>IFERROR(VLOOKUP(CONCATENATE(Table43_1[[#This Row],[Kode BARANG Win2]],1),'Form Fix'!$A$6:$H$663,4,0),0)</f>
        <v>0</v>
      </c>
      <c r="D222">
        <f>IFERROR(VLOOKUP(CONCATENATE(Table43_1[[#This Row],[Kode BARANG Win2]],2),'Form Fix'!$A$6:$H$663,4,0),0)</f>
        <v>0</v>
      </c>
      <c r="E222">
        <f>IFERROR(VLOOKUP(CONCATENATE(Table43_1[[#This Row],[Kode BARANG Win2]],3),'Form Fix'!$A$6:$H$663,4,0),0)</f>
        <v>0</v>
      </c>
      <c r="F222">
        <f>IFERROR(VLOOKUP(CONCATENATE(Table43_1[[#This Row],[Kode BARANG Win2]],4),'Form Fix'!$A$6:$H$663,4,0),0)</f>
        <v>0</v>
      </c>
      <c r="G222">
        <f>IFERROR(VLOOKUP(CONCATENATE(Table43_1[[#This Row],[Kode BARANG Win2]],5),'Form Fix'!$A$6:$H$663,4,0),0)</f>
        <v>0</v>
      </c>
    </row>
    <row r="223" spans="1:7">
      <c r="A223" t="s">
        <v>2870</v>
      </c>
      <c r="B223" t="s">
        <v>3236</v>
      </c>
      <c r="C223">
        <f>IFERROR(VLOOKUP(CONCATENATE(Table43_1[[#This Row],[Kode BARANG Win2]],1),'Form Fix'!$A$6:$H$663,4,0),0)</f>
        <v>0</v>
      </c>
      <c r="D223">
        <f>IFERROR(VLOOKUP(CONCATENATE(Table43_1[[#This Row],[Kode BARANG Win2]],2),'Form Fix'!$A$6:$H$663,4,0),0)</f>
        <v>0</v>
      </c>
      <c r="E223">
        <f>IFERROR(VLOOKUP(CONCATENATE(Table43_1[[#This Row],[Kode BARANG Win2]],3),'Form Fix'!$A$6:$H$663,4,0),0)</f>
        <v>0</v>
      </c>
      <c r="F223">
        <f>IFERROR(VLOOKUP(CONCATENATE(Table43_1[[#This Row],[Kode BARANG Win2]],4),'Form Fix'!$A$6:$H$663,4,0),0)</f>
        <v>0</v>
      </c>
      <c r="G223">
        <f>IFERROR(VLOOKUP(CONCATENATE(Table43_1[[#This Row],[Kode BARANG Win2]],5),'Form Fix'!$A$6:$H$663,4,0),0)</f>
        <v>0</v>
      </c>
    </row>
    <row r="224" spans="1:7">
      <c r="A224" t="s">
        <v>2871</v>
      </c>
      <c r="B224" t="s">
        <v>3237</v>
      </c>
      <c r="C224">
        <f>IFERROR(VLOOKUP(CONCATENATE(Table43_1[[#This Row],[Kode BARANG Win2]],1),'Form Fix'!$A$6:$H$663,4,0),0)</f>
        <v>0</v>
      </c>
      <c r="D224">
        <f>IFERROR(VLOOKUP(CONCATENATE(Table43_1[[#This Row],[Kode BARANG Win2]],2),'Form Fix'!$A$6:$H$663,4,0),0)</f>
        <v>0</v>
      </c>
      <c r="E224">
        <f>IFERROR(VLOOKUP(CONCATENATE(Table43_1[[#This Row],[Kode BARANG Win2]],3),'Form Fix'!$A$6:$H$663,4,0),0)</f>
        <v>0</v>
      </c>
      <c r="F224">
        <f>IFERROR(VLOOKUP(CONCATENATE(Table43_1[[#This Row],[Kode BARANG Win2]],4),'Form Fix'!$A$6:$H$663,4,0),0)</f>
        <v>0</v>
      </c>
      <c r="G224">
        <f>IFERROR(VLOOKUP(CONCATENATE(Table43_1[[#This Row],[Kode BARANG Win2]],5),'Form Fix'!$A$6:$H$663,4,0),0)</f>
        <v>0</v>
      </c>
    </row>
    <row r="225" spans="1:7">
      <c r="A225" t="s">
        <v>2872</v>
      </c>
      <c r="B225" t="s">
        <v>3238</v>
      </c>
      <c r="C225">
        <f>IFERROR(VLOOKUP(CONCATENATE(Table43_1[[#This Row],[Kode BARANG Win2]],1),'Form Fix'!$A$6:$H$663,4,0),0)</f>
        <v>0</v>
      </c>
      <c r="D225">
        <f>IFERROR(VLOOKUP(CONCATENATE(Table43_1[[#This Row],[Kode BARANG Win2]],2),'Form Fix'!$A$6:$H$663,4,0),0)</f>
        <v>0</v>
      </c>
      <c r="E225">
        <f>IFERROR(VLOOKUP(CONCATENATE(Table43_1[[#This Row],[Kode BARANG Win2]],3),'Form Fix'!$A$6:$H$663,4,0),0)</f>
        <v>0</v>
      </c>
      <c r="F225">
        <f>IFERROR(VLOOKUP(CONCATENATE(Table43_1[[#This Row],[Kode BARANG Win2]],4),'Form Fix'!$A$6:$H$663,4,0),0)</f>
        <v>0</v>
      </c>
      <c r="G225">
        <f>IFERROR(VLOOKUP(CONCATENATE(Table43_1[[#This Row],[Kode BARANG Win2]],5),'Form Fix'!$A$6:$H$663,4,0),0)</f>
        <v>0</v>
      </c>
    </row>
    <row r="226" spans="1:7">
      <c r="A226" t="s">
        <v>2873</v>
      </c>
      <c r="B226" t="s">
        <v>3239</v>
      </c>
      <c r="C226">
        <f>IFERROR(VLOOKUP(CONCATENATE(Table43_1[[#This Row],[Kode BARANG Win2]],1),'Form Fix'!$A$6:$H$663,4,0),0)</f>
        <v>0</v>
      </c>
      <c r="D226">
        <f>IFERROR(VLOOKUP(CONCATENATE(Table43_1[[#This Row],[Kode BARANG Win2]],2),'Form Fix'!$A$6:$H$663,4,0),0)</f>
        <v>0</v>
      </c>
      <c r="E226">
        <f>IFERROR(VLOOKUP(CONCATENATE(Table43_1[[#This Row],[Kode BARANG Win2]],3),'Form Fix'!$A$6:$H$663,4,0),0)</f>
        <v>0</v>
      </c>
      <c r="F226">
        <f>IFERROR(VLOOKUP(CONCATENATE(Table43_1[[#This Row],[Kode BARANG Win2]],4),'Form Fix'!$A$6:$H$663,4,0),0)</f>
        <v>0</v>
      </c>
      <c r="G226">
        <f>IFERROR(VLOOKUP(CONCATENATE(Table43_1[[#This Row],[Kode BARANG Win2]],5),'Form Fix'!$A$6:$H$663,4,0),0)</f>
        <v>0</v>
      </c>
    </row>
    <row r="227" spans="1:7">
      <c r="A227" t="s">
        <v>2874</v>
      </c>
      <c r="B227" t="s">
        <v>3240</v>
      </c>
      <c r="C227">
        <f>IFERROR(VLOOKUP(CONCATENATE(Table43_1[[#This Row],[Kode BARANG Win2]],1),'Form Fix'!$A$6:$H$663,4,0),0)</f>
        <v>0</v>
      </c>
      <c r="D227">
        <f>IFERROR(VLOOKUP(CONCATENATE(Table43_1[[#This Row],[Kode BARANG Win2]],2),'Form Fix'!$A$6:$H$663,4,0),0)</f>
        <v>0</v>
      </c>
      <c r="E227">
        <f>IFERROR(VLOOKUP(CONCATENATE(Table43_1[[#This Row],[Kode BARANG Win2]],3),'Form Fix'!$A$6:$H$663,4,0),0)</f>
        <v>0</v>
      </c>
      <c r="F227">
        <f>IFERROR(VLOOKUP(CONCATENATE(Table43_1[[#This Row],[Kode BARANG Win2]],4),'Form Fix'!$A$6:$H$663,4,0),0)</f>
        <v>0</v>
      </c>
      <c r="G227">
        <f>IFERROR(VLOOKUP(CONCATENATE(Table43_1[[#This Row],[Kode BARANG Win2]],5),'Form Fix'!$A$6:$H$663,4,0),0)</f>
        <v>0</v>
      </c>
    </row>
    <row r="228" spans="1:7">
      <c r="A228" t="s">
        <v>2875</v>
      </c>
      <c r="B228" t="s">
        <v>3241</v>
      </c>
      <c r="C228">
        <f>IFERROR(VLOOKUP(CONCATENATE(Table43_1[[#This Row],[Kode BARANG Win2]],1),'Form Fix'!$A$6:$H$663,4,0),0)</f>
        <v>0</v>
      </c>
      <c r="D228">
        <f>IFERROR(VLOOKUP(CONCATENATE(Table43_1[[#This Row],[Kode BARANG Win2]],2),'Form Fix'!$A$6:$H$663,4,0),0)</f>
        <v>0</v>
      </c>
      <c r="E228">
        <f>IFERROR(VLOOKUP(CONCATENATE(Table43_1[[#This Row],[Kode BARANG Win2]],3),'Form Fix'!$A$6:$H$663,4,0),0)</f>
        <v>0</v>
      </c>
      <c r="F228">
        <f>IFERROR(VLOOKUP(CONCATENATE(Table43_1[[#This Row],[Kode BARANG Win2]],4),'Form Fix'!$A$6:$H$663,4,0),0)</f>
        <v>0</v>
      </c>
      <c r="G228">
        <f>IFERROR(VLOOKUP(CONCATENATE(Table43_1[[#This Row],[Kode BARANG Win2]],5),'Form Fix'!$A$6:$H$663,4,0),0)</f>
        <v>0</v>
      </c>
    </row>
    <row r="229" spans="1:7">
      <c r="A229" t="s">
        <v>2876</v>
      </c>
      <c r="B229" t="s">
        <v>3242</v>
      </c>
      <c r="C229">
        <f>IFERROR(VLOOKUP(CONCATENATE(Table43_1[[#This Row],[Kode BARANG Win2]],1),'Form Fix'!$A$6:$H$663,4,0),0)</f>
        <v>0</v>
      </c>
      <c r="D229">
        <f>IFERROR(VLOOKUP(CONCATENATE(Table43_1[[#This Row],[Kode BARANG Win2]],2),'Form Fix'!$A$6:$H$663,4,0),0)</f>
        <v>0</v>
      </c>
      <c r="E229">
        <f>IFERROR(VLOOKUP(CONCATENATE(Table43_1[[#This Row],[Kode BARANG Win2]],3),'Form Fix'!$A$6:$H$663,4,0),0)</f>
        <v>0</v>
      </c>
      <c r="F229">
        <f>IFERROR(VLOOKUP(CONCATENATE(Table43_1[[#This Row],[Kode BARANG Win2]],4),'Form Fix'!$A$6:$H$663,4,0),0)</f>
        <v>0</v>
      </c>
      <c r="G229">
        <f>IFERROR(VLOOKUP(CONCATENATE(Table43_1[[#This Row],[Kode BARANG Win2]],5),'Form Fix'!$A$6:$H$663,4,0),0)</f>
        <v>0</v>
      </c>
    </row>
    <row r="230" spans="1:7">
      <c r="A230" t="s">
        <v>2877</v>
      </c>
      <c r="B230" t="s">
        <v>3243</v>
      </c>
      <c r="C230">
        <f>IFERROR(VLOOKUP(CONCATENATE(Table43_1[[#This Row],[Kode BARANG Win2]],1),'Form Fix'!$A$6:$H$663,4,0),0)</f>
        <v>0</v>
      </c>
      <c r="D230">
        <f>IFERROR(VLOOKUP(CONCATENATE(Table43_1[[#This Row],[Kode BARANG Win2]],2),'Form Fix'!$A$6:$H$663,4,0),0)</f>
        <v>0</v>
      </c>
      <c r="E230">
        <f>IFERROR(VLOOKUP(CONCATENATE(Table43_1[[#This Row],[Kode BARANG Win2]],3),'Form Fix'!$A$6:$H$663,4,0),0)</f>
        <v>0</v>
      </c>
      <c r="F230">
        <f>IFERROR(VLOOKUP(CONCATENATE(Table43_1[[#This Row],[Kode BARANG Win2]],4),'Form Fix'!$A$6:$H$663,4,0),0)</f>
        <v>0</v>
      </c>
      <c r="G230">
        <f>IFERROR(VLOOKUP(CONCATENATE(Table43_1[[#This Row],[Kode BARANG Win2]],5),'Form Fix'!$A$6:$H$663,4,0),0)</f>
        <v>0</v>
      </c>
    </row>
    <row r="231" spans="1:7">
      <c r="A231" t="s">
        <v>2878</v>
      </c>
      <c r="B231" t="s">
        <v>3244</v>
      </c>
      <c r="C231">
        <f>IFERROR(VLOOKUP(CONCATENATE(Table43_1[[#This Row],[Kode BARANG Win2]],1),'Form Fix'!$A$6:$H$663,4,0),0)</f>
        <v>0</v>
      </c>
      <c r="D231">
        <f>IFERROR(VLOOKUP(CONCATENATE(Table43_1[[#This Row],[Kode BARANG Win2]],2),'Form Fix'!$A$6:$H$663,4,0),0)</f>
        <v>0</v>
      </c>
      <c r="E231">
        <f>IFERROR(VLOOKUP(CONCATENATE(Table43_1[[#This Row],[Kode BARANG Win2]],3),'Form Fix'!$A$6:$H$663,4,0),0)</f>
        <v>0</v>
      </c>
      <c r="F231">
        <f>IFERROR(VLOOKUP(CONCATENATE(Table43_1[[#This Row],[Kode BARANG Win2]],4),'Form Fix'!$A$6:$H$663,4,0),0)</f>
        <v>0</v>
      </c>
      <c r="G231">
        <f>IFERROR(VLOOKUP(CONCATENATE(Table43_1[[#This Row],[Kode BARANG Win2]],5),'Form Fix'!$A$6:$H$663,4,0),0)</f>
        <v>0</v>
      </c>
    </row>
    <row r="232" spans="1:7">
      <c r="A232" t="s">
        <v>2879</v>
      </c>
      <c r="B232" t="s">
        <v>3245</v>
      </c>
      <c r="C232">
        <f>IFERROR(VLOOKUP(CONCATENATE(Table43_1[[#This Row],[Kode BARANG Win2]],1),'Form Fix'!$A$6:$H$663,4,0),0)</f>
        <v>0</v>
      </c>
      <c r="D232">
        <f>IFERROR(VLOOKUP(CONCATENATE(Table43_1[[#This Row],[Kode BARANG Win2]],2),'Form Fix'!$A$6:$H$663,4,0),0)</f>
        <v>0</v>
      </c>
      <c r="E232">
        <f>IFERROR(VLOOKUP(CONCATENATE(Table43_1[[#This Row],[Kode BARANG Win2]],3),'Form Fix'!$A$6:$H$663,4,0),0)</f>
        <v>0</v>
      </c>
      <c r="F232">
        <f>IFERROR(VLOOKUP(CONCATENATE(Table43_1[[#This Row],[Kode BARANG Win2]],4),'Form Fix'!$A$6:$H$663,4,0),0)</f>
        <v>0</v>
      </c>
      <c r="G232">
        <f>IFERROR(VLOOKUP(CONCATENATE(Table43_1[[#This Row],[Kode BARANG Win2]],5),'Form Fix'!$A$6:$H$663,4,0),0)</f>
        <v>0</v>
      </c>
    </row>
    <row r="233" spans="1:7">
      <c r="A233" t="s">
        <v>2880</v>
      </c>
      <c r="B233" t="s">
        <v>3246</v>
      </c>
      <c r="C233">
        <f>IFERROR(VLOOKUP(CONCATENATE(Table43_1[[#This Row],[Kode BARANG Win2]],1),'Form Fix'!$A$6:$H$663,4,0),0)</f>
        <v>0</v>
      </c>
      <c r="D233">
        <f>IFERROR(VLOOKUP(CONCATENATE(Table43_1[[#This Row],[Kode BARANG Win2]],2),'Form Fix'!$A$6:$H$663,4,0),0)</f>
        <v>0</v>
      </c>
      <c r="E233">
        <f>IFERROR(VLOOKUP(CONCATENATE(Table43_1[[#This Row],[Kode BARANG Win2]],3),'Form Fix'!$A$6:$H$663,4,0),0)</f>
        <v>0</v>
      </c>
      <c r="F233">
        <f>IFERROR(VLOOKUP(CONCATENATE(Table43_1[[#This Row],[Kode BARANG Win2]],4),'Form Fix'!$A$6:$H$663,4,0),0)</f>
        <v>0</v>
      </c>
      <c r="G233">
        <f>IFERROR(VLOOKUP(CONCATENATE(Table43_1[[#This Row],[Kode BARANG Win2]],5),'Form Fix'!$A$6:$H$663,4,0),0)</f>
        <v>0</v>
      </c>
    </row>
    <row r="234" spans="1:7">
      <c r="A234" t="s">
        <v>2881</v>
      </c>
      <c r="B234" t="s">
        <v>3247</v>
      </c>
      <c r="C234">
        <f>IFERROR(VLOOKUP(CONCATENATE(Table43_1[[#This Row],[Kode BARANG Win2]],1),'Form Fix'!$A$6:$H$663,4,0),0)</f>
        <v>0</v>
      </c>
      <c r="D234">
        <f>IFERROR(VLOOKUP(CONCATENATE(Table43_1[[#This Row],[Kode BARANG Win2]],2),'Form Fix'!$A$6:$H$663,4,0),0)</f>
        <v>0</v>
      </c>
      <c r="E234">
        <f>IFERROR(VLOOKUP(CONCATENATE(Table43_1[[#This Row],[Kode BARANG Win2]],3),'Form Fix'!$A$6:$H$663,4,0),0)</f>
        <v>0</v>
      </c>
      <c r="F234">
        <f>IFERROR(VLOOKUP(CONCATENATE(Table43_1[[#This Row],[Kode BARANG Win2]],4),'Form Fix'!$A$6:$H$663,4,0),0)</f>
        <v>0</v>
      </c>
      <c r="G234">
        <f>IFERROR(VLOOKUP(CONCATENATE(Table43_1[[#This Row],[Kode BARANG Win2]],5),'Form Fix'!$A$6:$H$663,4,0),0)</f>
        <v>0</v>
      </c>
    </row>
    <row r="235" spans="1:7">
      <c r="A235" t="s">
        <v>2884</v>
      </c>
      <c r="B235" t="s">
        <v>3250</v>
      </c>
      <c r="C235">
        <f>IFERROR(VLOOKUP(CONCATENATE(Table43_1[[#This Row],[Kode BARANG Win2]],1),'Form Fix'!$A$6:$H$663,4,0),0)</f>
        <v>0</v>
      </c>
      <c r="D235">
        <f>IFERROR(VLOOKUP(CONCATENATE(Table43_1[[#This Row],[Kode BARANG Win2]],2),'Form Fix'!$A$6:$H$663,4,0),0)</f>
        <v>0</v>
      </c>
      <c r="E235">
        <f>IFERROR(VLOOKUP(CONCATENATE(Table43_1[[#This Row],[Kode BARANG Win2]],3),'Form Fix'!$A$6:$H$663,4,0),0)</f>
        <v>0</v>
      </c>
      <c r="F235">
        <f>IFERROR(VLOOKUP(CONCATENATE(Table43_1[[#This Row],[Kode BARANG Win2]],4),'Form Fix'!$A$6:$H$663,4,0),0)</f>
        <v>0</v>
      </c>
      <c r="G235">
        <f>IFERROR(VLOOKUP(CONCATENATE(Table43_1[[#This Row],[Kode BARANG Win2]],5),'Form Fix'!$A$6:$H$663,4,0),0)</f>
        <v>0</v>
      </c>
    </row>
    <row r="236" spans="1:7">
      <c r="A236" t="s">
        <v>2885</v>
      </c>
      <c r="B236" t="s">
        <v>3251</v>
      </c>
      <c r="C236">
        <f>IFERROR(VLOOKUP(CONCATENATE(Table43_1[[#This Row],[Kode BARANG Win2]],1),'Form Fix'!$A$6:$H$663,4,0),0)</f>
        <v>0</v>
      </c>
      <c r="D236">
        <f>IFERROR(VLOOKUP(CONCATENATE(Table43_1[[#This Row],[Kode BARANG Win2]],2),'Form Fix'!$A$6:$H$663,4,0),0)</f>
        <v>0</v>
      </c>
      <c r="E236">
        <f>IFERROR(VLOOKUP(CONCATENATE(Table43_1[[#This Row],[Kode BARANG Win2]],3),'Form Fix'!$A$6:$H$663,4,0),0)</f>
        <v>0</v>
      </c>
      <c r="F236">
        <f>IFERROR(VLOOKUP(CONCATENATE(Table43_1[[#This Row],[Kode BARANG Win2]],4),'Form Fix'!$A$6:$H$663,4,0),0)</f>
        <v>0</v>
      </c>
      <c r="G236">
        <f>IFERROR(VLOOKUP(CONCATENATE(Table43_1[[#This Row],[Kode BARANG Win2]],5),'Form Fix'!$A$6:$H$663,4,0),0)</f>
        <v>0</v>
      </c>
    </row>
    <row r="237" spans="1:7">
      <c r="A237" t="s">
        <v>2882</v>
      </c>
      <c r="B237" t="s">
        <v>3248</v>
      </c>
      <c r="C237">
        <f>IFERROR(VLOOKUP(CONCATENATE(Table43_1[[#This Row],[Kode BARANG Win2]],1),'Form Fix'!$A$6:$H$663,4,0),0)</f>
        <v>0</v>
      </c>
      <c r="D237">
        <f>IFERROR(VLOOKUP(CONCATENATE(Table43_1[[#This Row],[Kode BARANG Win2]],2),'Form Fix'!$A$6:$H$663,4,0),0)</f>
        <v>0</v>
      </c>
      <c r="E237">
        <f>IFERROR(VLOOKUP(CONCATENATE(Table43_1[[#This Row],[Kode BARANG Win2]],3),'Form Fix'!$A$6:$H$663,4,0),0)</f>
        <v>0</v>
      </c>
      <c r="F237">
        <f>IFERROR(VLOOKUP(CONCATENATE(Table43_1[[#This Row],[Kode BARANG Win2]],4),'Form Fix'!$A$6:$H$663,4,0),0)</f>
        <v>0</v>
      </c>
      <c r="G237">
        <f>IFERROR(VLOOKUP(CONCATENATE(Table43_1[[#This Row],[Kode BARANG Win2]],5),'Form Fix'!$A$6:$H$663,4,0),0)</f>
        <v>0</v>
      </c>
    </row>
    <row r="238" spans="1:7">
      <c r="A238" t="s">
        <v>2883</v>
      </c>
      <c r="B238" t="s">
        <v>3249</v>
      </c>
      <c r="C238">
        <f>IFERROR(VLOOKUP(CONCATENATE(Table43_1[[#This Row],[Kode BARANG Win2]],1),'Form Fix'!$A$6:$H$663,4,0),0)</f>
        <v>0</v>
      </c>
      <c r="D238">
        <f>IFERROR(VLOOKUP(CONCATENATE(Table43_1[[#This Row],[Kode BARANG Win2]],2),'Form Fix'!$A$6:$H$663,4,0),0)</f>
        <v>0</v>
      </c>
      <c r="E238">
        <f>IFERROR(VLOOKUP(CONCATENATE(Table43_1[[#This Row],[Kode BARANG Win2]],3),'Form Fix'!$A$6:$H$663,4,0),0)</f>
        <v>0</v>
      </c>
      <c r="F238">
        <f>IFERROR(VLOOKUP(CONCATENATE(Table43_1[[#This Row],[Kode BARANG Win2]],4),'Form Fix'!$A$6:$H$663,4,0),0)</f>
        <v>0</v>
      </c>
      <c r="G238">
        <f>IFERROR(VLOOKUP(CONCATENATE(Table43_1[[#This Row],[Kode BARANG Win2]],5),'Form Fix'!$A$6:$H$663,4,0),0)</f>
        <v>0</v>
      </c>
    </row>
    <row r="239" spans="1:7">
      <c r="A239" t="s">
        <v>2886</v>
      </c>
      <c r="B239" t="s">
        <v>3252</v>
      </c>
      <c r="C239">
        <f>IFERROR(VLOOKUP(CONCATENATE(Table43_1[[#This Row],[Kode BARANG Win2]],1),'Form Fix'!$A$6:$H$663,4,0),0)</f>
        <v>0</v>
      </c>
      <c r="D239">
        <f>IFERROR(VLOOKUP(CONCATENATE(Table43_1[[#This Row],[Kode BARANG Win2]],2),'Form Fix'!$A$6:$H$663,4,0),0)</f>
        <v>0</v>
      </c>
      <c r="E239">
        <f>IFERROR(VLOOKUP(CONCATENATE(Table43_1[[#This Row],[Kode BARANG Win2]],3),'Form Fix'!$A$6:$H$663,4,0),0)</f>
        <v>0</v>
      </c>
      <c r="F239">
        <f>IFERROR(VLOOKUP(CONCATENATE(Table43_1[[#This Row],[Kode BARANG Win2]],4),'Form Fix'!$A$6:$H$663,4,0),0)</f>
        <v>0</v>
      </c>
      <c r="G239">
        <f>IFERROR(VLOOKUP(CONCATENATE(Table43_1[[#This Row],[Kode BARANG Win2]],5),'Form Fix'!$A$6:$H$663,4,0),0)</f>
        <v>0</v>
      </c>
    </row>
    <row r="240" spans="1:7">
      <c r="A240" t="s">
        <v>3409</v>
      </c>
      <c r="B240" t="s">
        <v>3416</v>
      </c>
      <c r="C240">
        <f>IFERROR(VLOOKUP(CONCATENATE(Table43_1[[#This Row],[Kode BARANG Win2]],1),'Form Fix'!$A$6:$H$663,4,0),0)</f>
        <v>0</v>
      </c>
      <c r="D240">
        <f>IFERROR(VLOOKUP(CONCATENATE(Table43_1[[#This Row],[Kode BARANG Win2]],2),'Form Fix'!$A$6:$H$663,4,0),0)</f>
        <v>0</v>
      </c>
      <c r="E240">
        <f>IFERROR(VLOOKUP(CONCATENATE(Table43_1[[#This Row],[Kode BARANG Win2]],3),'Form Fix'!$A$6:$H$663,4,0),0)</f>
        <v>0</v>
      </c>
      <c r="F240">
        <f>IFERROR(VLOOKUP(CONCATENATE(Table43_1[[#This Row],[Kode BARANG Win2]],4),'Form Fix'!$A$6:$H$663,4,0),0)</f>
        <v>0</v>
      </c>
      <c r="G240">
        <f>IFERROR(VLOOKUP(CONCATENATE(Table43_1[[#This Row],[Kode BARANG Win2]],5),'Form Fix'!$A$6:$H$663,4,0),0)</f>
        <v>0</v>
      </c>
    </row>
    <row r="241" spans="1:7">
      <c r="A241" t="s">
        <v>2898</v>
      </c>
      <c r="B241" t="s">
        <v>3262</v>
      </c>
      <c r="C241">
        <f>IFERROR(VLOOKUP(CONCATENATE(Table43_1[[#This Row],[Kode BARANG Win2]],1),'Form Fix'!$A$6:$H$663,4,0),0)</f>
        <v>0</v>
      </c>
      <c r="D241">
        <f>IFERROR(VLOOKUP(CONCATENATE(Table43_1[[#This Row],[Kode BARANG Win2]],2),'Form Fix'!$A$6:$H$663,4,0),0)</f>
        <v>0</v>
      </c>
      <c r="E241">
        <f>IFERROR(VLOOKUP(CONCATENATE(Table43_1[[#This Row],[Kode BARANG Win2]],3),'Form Fix'!$A$6:$H$663,4,0),0)</f>
        <v>0</v>
      </c>
      <c r="F241">
        <f>IFERROR(VLOOKUP(CONCATENATE(Table43_1[[#This Row],[Kode BARANG Win2]],4),'Form Fix'!$A$6:$H$663,4,0),0)</f>
        <v>0</v>
      </c>
      <c r="G241">
        <f>IFERROR(VLOOKUP(CONCATENATE(Table43_1[[#This Row],[Kode BARANG Win2]],5),'Form Fix'!$A$6:$H$663,4,0),0)</f>
        <v>0</v>
      </c>
    </row>
    <row r="242" spans="1:7">
      <c r="A242" t="s">
        <v>2897</v>
      </c>
      <c r="B242" t="s">
        <v>3261</v>
      </c>
      <c r="C242">
        <f>IFERROR(VLOOKUP(CONCATENATE(Table43_1[[#This Row],[Kode BARANG Win2]],1),'Form Fix'!$A$6:$H$663,4,0),0)</f>
        <v>0</v>
      </c>
      <c r="D242">
        <f>IFERROR(VLOOKUP(CONCATENATE(Table43_1[[#This Row],[Kode BARANG Win2]],2),'Form Fix'!$A$6:$H$663,4,0),0)</f>
        <v>0</v>
      </c>
      <c r="E242">
        <f>IFERROR(VLOOKUP(CONCATENATE(Table43_1[[#This Row],[Kode BARANG Win2]],3),'Form Fix'!$A$6:$H$663,4,0),0)</f>
        <v>0</v>
      </c>
      <c r="F242">
        <f>IFERROR(VLOOKUP(CONCATENATE(Table43_1[[#This Row],[Kode BARANG Win2]],4),'Form Fix'!$A$6:$H$663,4,0),0)</f>
        <v>0</v>
      </c>
      <c r="G242">
        <f>IFERROR(VLOOKUP(CONCATENATE(Table43_1[[#This Row],[Kode BARANG Win2]],5),'Form Fix'!$A$6:$H$663,4,0),0)</f>
        <v>0</v>
      </c>
    </row>
    <row r="243" spans="1:7">
      <c r="A243" t="s">
        <v>2900</v>
      </c>
      <c r="B243" t="s">
        <v>3264</v>
      </c>
      <c r="C243">
        <f>IFERROR(VLOOKUP(CONCATENATE(Table43_1[[#This Row],[Kode BARANG Win2]],1),'Form Fix'!$A$6:$H$663,4,0),0)</f>
        <v>0</v>
      </c>
      <c r="D243">
        <f>IFERROR(VLOOKUP(CONCATENATE(Table43_1[[#This Row],[Kode BARANG Win2]],2),'Form Fix'!$A$6:$H$663,4,0),0)</f>
        <v>0</v>
      </c>
      <c r="E243">
        <f>IFERROR(VLOOKUP(CONCATENATE(Table43_1[[#This Row],[Kode BARANG Win2]],3),'Form Fix'!$A$6:$H$663,4,0),0)</f>
        <v>0</v>
      </c>
      <c r="F243">
        <f>IFERROR(VLOOKUP(CONCATENATE(Table43_1[[#This Row],[Kode BARANG Win2]],4),'Form Fix'!$A$6:$H$663,4,0),0)</f>
        <v>0</v>
      </c>
      <c r="G243">
        <f>IFERROR(VLOOKUP(CONCATENATE(Table43_1[[#This Row],[Kode BARANG Win2]],5),'Form Fix'!$A$6:$H$663,4,0),0)</f>
        <v>0</v>
      </c>
    </row>
    <row r="244" spans="1:7">
      <c r="A244" t="s">
        <v>2896</v>
      </c>
      <c r="B244" t="s">
        <v>3260</v>
      </c>
      <c r="C244">
        <f>IFERROR(VLOOKUP(CONCATENATE(Table43_1[[#This Row],[Kode BARANG Win2]],1),'Form Fix'!$A$6:$H$663,4,0),0)</f>
        <v>0</v>
      </c>
      <c r="D244">
        <f>IFERROR(VLOOKUP(CONCATENATE(Table43_1[[#This Row],[Kode BARANG Win2]],2),'Form Fix'!$A$6:$H$663,4,0),0)</f>
        <v>0</v>
      </c>
      <c r="E244">
        <f>IFERROR(VLOOKUP(CONCATENATE(Table43_1[[#This Row],[Kode BARANG Win2]],3),'Form Fix'!$A$6:$H$663,4,0),0)</f>
        <v>0</v>
      </c>
      <c r="F244">
        <f>IFERROR(VLOOKUP(CONCATENATE(Table43_1[[#This Row],[Kode BARANG Win2]],4),'Form Fix'!$A$6:$H$663,4,0),0)</f>
        <v>0</v>
      </c>
      <c r="G244">
        <f>IFERROR(VLOOKUP(CONCATENATE(Table43_1[[#This Row],[Kode BARANG Win2]],5),'Form Fix'!$A$6:$H$663,4,0),0)</f>
        <v>0</v>
      </c>
    </row>
    <row r="245" spans="1:7">
      <c r="A245" t="s">
        <v>2899</v>
      </c>
      <c r="B245" t="s">
        <v>3263</v>
      </c>
      <c r="C245">
        <f>IFERROR(VLOOKUP(CONCATENATE(Table43_1[[#This Row],[Kode BARANG Win2]],1),'Form Fix'!$A$6:$H$663,4,0),0)</f>
        <v>0</v>
      </c>
      <c r="D245">
        <f>IFERROR(VLOOKUP(CONCATENATE(Table43_1[[#This Row],[Kode BARANG Win2]],2),'Form Fix'!$A$6:$H$663,4,0),0)</f>
        <v>0</v>
      </c>
      <c r="E245">
        <f>IFERROR(VLOOKUP(CONCATENATE(Table43_1[[#This Row],[Kode BARANG Win2]],3),'Form Fix'!$A$6:$H$663,4,0),0)</f>
        <v>0</v>
      </c>
      <c r="F245">
        <f>IFERROR(VLOOKUP(CONCATENATE(Table43_1[[#This Row],[Kode BARANG Win2]],4),'Form Fix'!$A$6:$H$663,4,0),0)</f>
        <v>0</v>
      </c>
      <c r="G245">
        <f>IFERROR(VLOOKUP(CONCATENATE(Table43_1[[#This Row],[Kode BARANG Win2]],5),'Form Fix'!$A$6:$H$663,4,0),0)</f>
        <v>0</v>
      </c>
    </row>
    <row r="246" spans="1:7">
      <c r="A246" t="s">
        <v>2890</v>
      </c>
      <c r="B246" t="s">
        <v>3429</v>
      </c>
      <c r="C246">
        <f>IFERROR(VLOOKUP(CONCATENATE(Table43_1[[#This Row],[Kode BARANG Win2]],1),'Form Fix'!$A$6:$H$663,4,0),0)</f>
        <v>0</v>
      </c>
      <c r="D246">
        <f>IFERROR(VLOOKUP(CONCATENATE(Table43_1[[#This Row],[Kode BARANG Win2]],2),'Form Fix'!$A$6:$H$663,4,0),0)</f>
        <v>0</v>
      </c>
      <c r="E246">
        <f>IFERROR(VLOOKUP(CONCATENATE(Table43_1[[#This Row],[Kode BARANG Win2]],3),'Form Fix'!$A$6:$H$663,4,0),0)</f>
        <v>0</v>
      </c>
      <c r="F246">
        <f>IFERROR(VLOOKUP(CONCATENATE(Table43_1[[#This Row],[Kode BARANG Win2]],4),'Form Fix'!$A$6:$H$663,4,0),0)</f>
        <v>0</v>
      </c>
      <c r="G246">
        <f>IFERROR(VLOOKUP(CONCATENATE(Table43_1[[#This Row],[Kode BARANG Win2]],5),'Form Fix'!$A$6:$H$663,4,0),0)</f>
        <v>0</v>
      </c>
    </row>
    <row r="247" spans="1:7">
      <c r="A247" t="s">
        <v>2888</v>
      </c>
      <c r="B247" t="s">
        <v>3254</v>
      </c>
      <c r="C247">
        <f>IFERROR(VLOOKUP(CONCATENATE(Table43_1[[#This Row],[Kode BARANG Win2]],1),'Form Fix'!$A$6:$H$663,4,0),0)</f>
        <v>0</v>
      </c>
      <c r="D247">
        <f>IFERROR(VLOOKUP(CONCATENATE(Table43_1[[#This Row],[Kode BARANG Win2]],2),'Form Fix'!$A$6:$H$663,4,0),0)</f>
        <v>0</v>
      </c>
      <c r="E247">
        <f>IFERROR(VLOOKUP(CONCATENATE(Table43_1[[#This Row],[Kode BARANG Win2]],3),'Form Fix'!$A$6:$H$663,4,0),0)</f>
        <v>0</v>
      </c>
      <c r="F247">
        <f>IFERROR(VLOOKUP(CONCATENATE(Table43_1[[#This Row],[Kode BARANG Win2]],4),'Form Fix'!$A$6:$H$663,4,0),0)</f>
        <v>0</v>
      </c>
      <c r="G247">
        <f>IFERROR(VLOOKUP(CONCATENATE(Table43_1[[#This Row],[Kode BARANG Win2]],5),'Form Fix'!$A$6:$H$663,4,0),0)</f>
        <v>0</v>
      </c>
    </row>
    <row r="248" spans="1:7">
      <c r="A248" t="s">
        <v>2889</v>
      </c>
      <c r="B248" t="s">
        <v>3255</v>
      </c>
      <c r="C248">
        <f>IFERROR(VLOOKUP(CONCATENATE(Table43_1[[#This Row],[Kode BARANG Win2]],1),'Form Fix'!$A$6:$H$663,4,0),0)</f>
        <v>0</v>
      </c>
      <c r="D248">
        <f>IFERROR(VLOOKUP(CONCATENATE(Table43_1[[#This Row],[Kode BARANG Win2]],2),'Form Fix'!$A$6:$H$663,4,0),0)</f>
        <v>0</v>
      </c>
      <c r="E248">
        <f>IFERROR(VLOOKUP(CONCATENATE(Table43_1[[#This Row],[Kode BARANG Win2]],3),'Form Fix'!$A$6:$H$663,4,0),0)</f>
        <v>0</v>
      </c>
      <c r="F248">
        <f>IFERROR(VLOOKUP(CONCATENATE(Table43_1[[#This Row],[Kode BARANG Win2]],4),'Form Fix'!$A$6:$H$663,4,0),0)</f>
        <v>0</v>
      </c>
      <c r="G248">
        <f>IFERROR(VLOOKUP(CONCATENATE(Table43_1[[#This Row],[Kode BARANG Win2]],5),'Form Fix'!$A$6:$H$663,4,0),0)</f>
        <v>0</v>
      </c>
    </row>
    <row r="249" spans="1:7">
      <c r="A249" t="s">
        <v>2891</v>
      </c>
      <c r="B249" t="s">
        <v>3256</v>
      </c>
      <c r="C249">
        <f>IFERROR(VLOOKUP(CONCATENATE(Table43_1[[#This Row],[Kode BARANG Win2]],1),'Form Fix'!$A$6:$H$663,4,0),0)</f>
        <v>0</v>
      </c>
      <c r="D249">
        <f>IFERROR(VLOOKUP(CONCATENATE(Table43_1[[#This Row],[Kode BARANG Win2]],2),'Form Fix'!$A$6:$H$663,4,0),0)</f>
        <v>0</v>
      </c>
      <c r="E249">
        <f>IFERROR(VLOOKUP(CONCATENATE(Table43_1[[#This Row],[Kode BARANG Win2]],3),'Form Fix'!$A$6:$H$663,4,0),0)</f>
        <v>0</v>
      </c>
      <c r="F249">
        <f>IFERROR(VLOOKUP(CONCATENATE(Table43_1[[#This Row],[Kode BARANG Win2]],4),'Form Fix'!$A$6:$H$663,4,0),0)</f>
        <v>0</v>
      </c>
      <c r="G249">
        <f>IFERROR(VLOOKUP(CONCATENATE(Table43_1[[#This Row],[Kode BARANG Win2]],5),'Form Fix'!$A$6:$H$663,4,0),0)</f>
        <v>0</v>
      </c>
    </row>
    <row r="250" spans="1:7">
      <c r="A250" t="s">
        <v>2892</v>
      </c>
      <c r="B250" t="s">
        <v>3257</v>
      </c>
      <c r="C250">
        <f>IFERROR(VLOOKUP(CONCATENATE(Table43_1[[#This Row],[Kode BARANG Win2]],1),'Form Fix'!$A$6:$H$663,4,0),0)</f>
        <v>0</v>
      </c>
      <c r="D250">
        <f>IFERROR(VLOOKUP(CONCATENATE(Table43_1[[#This Row],[Kode BARANG Win2]],2),'Form Fix'!$A$6:$H$663,4,0),0)</f>
        <v>0</v>
      </c>
      <c r="E250">
        <f>IFERROR(VLOOKUP(CONCATENATE(Table43_1[[#This Row],[Kode BARANG Win2]],3),'Form Fix'!$A$6:$H$663,4,0),0)</f>
        <v>0</v>
      </c>
      <c r="F250">
        <f>IFERROR(VLOOKUP(CONCATENATE(Table43_1[[#This Row],[Kode BARANG Win2]],4),'Form Fix'!$A$6:$H$663,4,0),0)</f>
        <v>0</v>
      </c>
      <c r="G250">
        <f>IFERROR(VLOOKUP(CONCATENATE(Table43_1[[#This Row],[Kode BARANG Win2]],5),'Form Fix'!$A$6:$H$663,4,0),0)</f>
        <v>0</v>
      </c>
    </row>
    <row r="251" spans="1:7">
      <c r="A251" t="s">
        <v>2893</v>
      </c>
      <c r="B251" t="s">
        <v>3258</v>
      </c>
      <c r="C251">
        <f>IFERROR(VLOOKUP(CONCATENATE(Table43_1[[#This Row],[Kode BARANG Win2]],1),'Form Fix'!$A$6:$H$663,4,0),0)</f>
        <v>0</v>
      </c>
      <c r="D251">
        <f>IFERROR(VLOOKUP(CONCATENATE(Table43_1[[#This Row],[Kode BARANG Win2]],2),'Form Fix'!$A$6:$H$663,4,0),0)</f>
        <v>0</v>
      </c>
      <c r="E251">
        <f>IFERROR(VLOOKUP(CONCATENATE(Table43_1[[#This Row],[Kode BARANG Win2]],3),'Form Fix'!$A$6:$H$663,4,0),0)</f>
        <v>0</v>
      </c>
      <c r="F251">
        <f>IFERROR(VLOOKUP(CONCATENATE(Table43_1[[#This Row],[Kode BARANG Win2]],4),'Form Fix'!$A$6:$H$663,4,0),0)</f>
        <v>0</v>
      </c>
      <c r="G251">
        <f>IFERROR(VLOOKUP(CONCATENATE(Table43_1[[#This Row],[Kode BARANG Win2]],5),'Form Fix'!$A$6:$H$663,4,0),0)</f>
        <v>0</v>
      </c>
    </row>
    <row r="252" spans="1:7">
      <c r="A252" t="s">
        <v>2894</v>
      </c>
      <c r="B252" t="s">
        <v>3528</v>
      </c>
      <c r="C252">
        <f>IFERROR(VLOOKUP(CONCATENATE(Table43_1[[#This Row],[Kode BARANG Win2]],1),'Form Fix'!$A$6:$H$663,4,0),0)</f>
        <v>0</v>
      </c>
      <c r="D252">
        <f>IFERROR(VLOOKUP(CONCATENATE(Table43_1[[#This Row],[Kode BARANG Win2]],2),'Form Fix'!$A$6:$H$663,4,0),0)</f>
        <v>0</v>
      </c>
      <c r="E252">
        <f>IFERROR(VLOOKUP(CONCATENATE(Table43_1[[#This Row],[Kode BARANG Win2]],3),'Form Fix'!$A$6:$H$663,4,0),0)</f>
        <v>0</v>
      </c>
      <c r="F252">
        <f>IFERROR(VLOOKUP(CONCATENATE(Table43_1[[#This Row],[Kode BARANG Win2]],4),'Form Fix'!$A$6:$H$663,4,0),0)</f>
        <v>0</v>
      </c>
      <c r="G252">
        <f>IFERROR(VLOOKUP(CONCATENATE(Table43_1[[#This Row],[Kode BARANG Win2]],5),'Form Fix'!$A$6:$H$663,4,0),0)</f>
        <v>0</v>
      </c>
    </row>
    <row r="253" spans="1:7">
      <c r="A253" t="s">
        <v>2895</v>
      </c>
      <c r="B253" t="s">
        <v>3259</v>
      </c>
      <c r="C253">
        <f>IFERROR(VLOOKUP(CONCATENATE(Table43_1[[#This Row],[Kode BARANG Win2]],1),'Form Fix'!$A$6:$H$663,4,0),0)</f>
        <v>0</v>
      </c>
      <c r="D253">
        <f>IFERROR(VLOOKUP(CONCATENATE(Table43_1[[#This Row],[Kode BARANG Win2]],2),'Form Fix'!$A$6:$H$663,4,0),0)</f>
        <v>0</v>
      </c>
      <c r="E253">
        <f>IFERROR(VLOOKUP(CONCATENATE(Table43_1[[#This Row],[Kode BARANG Win2]],3),'Form Fix'!$A$6:$H$663,4,0),0)</f>
        <v>0</v>
      </c>
      <c r="F253">
        <f>IFERROR(VLOOKUP(CONCATENATE(Table43_1[[#This Row],[Kode BARANG Win2]],4),'Form Fix'!$A$6:$H$663,4,0),0)</f>
        <v>0</v>
      </c>
      <c r="G253">
        <f>IFERROR(VLOOKUP(CONCATENATE(Table43_1[[#This Row],[Kode BARANG Win2]],5),'Form Fix'!$A$6:$H$663,4,0),0)</f>
        <v>0</v>
      </c>
    </row>
    <row r="254" spans="1:7">
      <c r="A254" t="s">
        <v>2887</v>
      </c>
      <c r="B254" t="s">
        <v>3253</v>
      </c>
      <c r="C254">
        <f>IFERROR(VLOOKUP(CONCATENATE(Table43_1[[#This Row],[Kode BARANG Win2]],1),'Form Fix'!$A$6:$H$663,4,0),0)</f>
        <v>0</v>
      </c>
      <c r="D254">
        <f>IFERROR(VLOOKUP(CONCATENATE(Table43_1[[#This Row],[Kode BARANG Win2]],2),'Form Fix'!$A$6:$H$663,4,0),0)</f>
        <v>0</v>
      </c>
      <c r="E254">
        <f>IFERROR(VLOOKUP(CONCATENATE(Table43_1[[#This Row],[Kode BARANG Win2]],3),'Form Fix'!$A$6:$H$663,4,0),0)</f>
        <v>0</v>
      </c>
      <c r="F254">
        <f>IFERROR(VLOOKUP(CONCATENATE(Table43_1[[#This Row],[Kode BARANG Win2]],4),'Form Fix'!$A$6:$H$663,4,0),0)</f>
        <v>0</v>
      </c>
      <c r="G254">
        <f>IFERROR(VLOOKUP(CONCATENATE(Table43_1[[#This Row],[Kode BARANG Win2]],5),'Form Fix'!$A$6:$H$663,4,0),0)</f>
        <v>0</v>
      </c>
    </row>
    <row r="255" spans="1:7">
      <c r="A255" t="s">
        <v>2901</v>
      </c>
      <c r="B255" t="s">
        <v>3265</v>
      </c>
      <c r="C255">
        <f>IFERROR(VLOOKUP(CONCATENATE(Table43_1[[#This Row],[Kode BARANG Win2]],1),'Form Fix'!$A$6:$H$663,4,0),0)</f>
        <v>0</v>
      </c>
      <c r="D255">
        <f>IFERROR(VLOOKUP(CONCATENATE(Table43_1[[#This Row],[Kode BARANG Win2]],2),'Form Fix'!$A$6:$H$663,4,0),0)</f>
        <v>0</v>
      </c>
      <c r="E255">
        <f>IFERROR(VLOOKUP(CONCATENATE(Table43_1[[#This Row],[Kode BARANG Win2]],3),'Form Fix'!$A$6:$H$663,4,0),0)</f>
        <v>0</v>
      </c>
      <c r="F255">
        <f>IFERROR(VLOOKUP(CONCATENATE(Table43_1[[#This Row],[Kode BARANG Win2]],4),'Form Fix'!$A$6:$H$663,4,0),0)</f>
        <v>0</v>
      </c>
      <c r="G255">
        <f>IFERROR(VLOOKUP(CONCATENATE(Table43_1[[#This Row],[Kode BARANG Win2]],5),'Form Fix'!$A$6:$H$663,4,0),0)</f>
        <v>0</v>
      </c>
    </row>
    <row r="256" spans="1:7">
      <c r="A256" t="s">
        <v>2902</v>
      </c>
      <c r="B256" t="s">
        <v>3266</v>
      </c>
      <c r="C256">
        <f>IFERROR(VLOOKUP(CONCATENATE(Table43_1[[#This Row],[Kode BARANG Win2]],1),'Form Fix'!$A$6:$H$663,4,0),0)</f>
        <v>0</v>
      </c>
      <c r="D256">
        <f>IFERROR(VLOOKUP(CONCATENATE(Table43_1[[#This Row],[Kode BARANG Win2]],2),'Form Fix'!$A$6:$H$663,4,0),0)</f>
        <v>0</v>
      </c>
      <c r="E256">
        <f>IFERROR(VLOOKUP(CONCATENATE(Table43_1[[#This Row],[Kode BARANG Win2]],3),'Form Fix'!$A$6:$H$663,4,0),0)</f>
        <v>0</v>
      </c>
      <c r="F256">
        <f>IFERROR(VLOOKUP(CONCATENATE(Table43_1[[#This Row],[Kode BARANG Win2]],4),'Form Fix'!$A$6:$H$663,4,0),0)</f>
        <v>0</v>
      </c>
      <c r="G256">
        <f>IFERROR(VLOOKUP(CONCATENATE(Table43_1[[#This Row],[Kode BARANG Win2]],5),'Form Fix'!$A$6:$H$663,4,0),0)</f>
        <v>0</v>
      </c>
    </row>
    <row r="257" spans="1:7">
      <c r="A257" t="s">
        <v>2903</v>
      </c>
      <c r="B257" t="s">
        <v>3267</v>
      </c>
      <c r="C257">
        <f>IFERROR(VLOOKUP(CONCATENATE(Table43_1[[#This Row],[Kode BARANG Win2]],1),'Form Fix'!$A$6:$H$663,4,0),0)</f>
        <v>0</v>
      </c>
      <c r="D257">
        <f>IFERROR(VLOOKUP(CONCATENATE(Table43_1[[#This Row],[Kode BARANG Win2]],2),'Form Fix'!$A$6:$H$663,4,0),0)</f>
        <v>0</v>
      </c>
      <c r="E257">
        <f>IFERROR(VLOOKUP(CONCATENATE(Table43_1[[#This Row],[Kode BARANG Win2]],3),'Form Fix'!$A$6:$H$663,4,0),0)</f>
        <v>0</v>
      </c>
      <c r="F257">
        <f>IFERROR(VLOOKUP(CONCATENATE(Table43_1[[#This Row],[Kode BARANG Win2]],4),'Form Fix'!$A$6:$H$663,4,0),0)</f>
        <v>0</v>
      </c>
      <c r="G257">
        <f>IFERROR(VLOOKUP(CONCATENATE(Table43_1[[#This Row],[Kode BARANG Win2]],5),'Form Fix'!$A$6:$H$663,4,0),0)</f>
        <v>0</v>
      </c>
    </row>
    <row r="258" spans="1:7">
      <c r="A258" t="s">
        <v>3410</v>
      </c>
      <c r="B258" t="s">
        <v>3417</v>
      </c>
      <c r="C258">
        <f>IFERROR(VLOOKUP(CONCATENATE(Table43_1[[#This Row],[Kode BARANG Win2]],1),'Form Fix'!$A$6:$H$663,4,0),0)</f>
        <v>0</v>
      </c>
      <c r="D258">
        <f>IFERROR(VLOOKUP(CONCATENATE(Table43_1[[#This Row],[Kode BARANG Win2]],2),'Form Fix'!$A$6:$H$663,4,0),0)</f>
        <v>0</v>
      </c>
      <c r="E258">
        <f>IFERROR(VLOOKUP(CONCATENATE(Table43_1[[#This Row],[Kode BARANG Win2]],3),'Form Fix'!$A$6:$H$663,4,0),0)</f>
        <v>0</v>
      </c>
      <c r="F258">
        <f>IFERROR(VLOOKUP(CONCATENATE(Table43_1[[#This Row],[Kode BARANG Win2]],4),'Form Fix'!$A$6:$H$663,4,0),0)</f>
        <v>0</v>
      </c>
      <c r="G258">
        <f>IFERROR(VLOOKUP(CONCATENATE(Table43_1[[#This Row],[Kode BARANG Win2]],5),'Form Fix'!$A$6:$H$663,4,0),0)</f>
        <v>0</v>
      </c>
    </row>
    <row r="259" spans="1:7">
      <c r="A259" t="s">
        <v>3444</v>
      </c>
      <c r="B259" t="s">
        <v>3529</v>
      </c>
      <c r="C259">
        <f>IFERROR(VLOOKUP(CONCATENATE(Table43_1[[#This Row],[Kode BARANG Win2]],1),'Form Fix'!$A$6:$H$663,4,0),0)</f>
        <v>0</v>
      </c>
      <c r="D259">
        <f>IFERROR(VLOOKUP(CONCATENATE(Table43_1[[#This Row],[Kode BARANG Win2]],2),'Form Fix'!$A$6:$H$663,4,0),0)</f>
        <v>0</v>
      </c>
      <c r="E259">
        <f>IFERROR(VLOOKUP(CONCATENATE(Table43_1[[#This Row],[Kode BARANG Win2]],3),'Form Fix'!$A$6:$H$663,4,0),0)</f>
        <v>0</v>
      </c>
      <c r="F259">
        <f>IFERROR(VLOOKUP(CONCATENATE(Table43_1[[#This Row],[Kode BARANG Win2]],4),'Form Fix'!$A$6:$H$663,4,0),0)</f>
        <v>0</v>
      </c>
      <c r="G259">
        <f>IFERROR(VLOOKUP(CONCATENATE(Table43_1[[#This Row],[Kode BARANG Win2]],5),'Form Fix'!$A$6:$H$663,4,0),0)</f>
        <v>0</v>
      </c>
    </row>
    <row r="260" spans="1:7">
      <c r="A260" t="s">
        <v>2904</v>
      </c>
      <c r="B260" t="s">
        <v>3268</v>
      </c>
      <c r="C260">
        <f>IFERROR(VLOOKUP(CONCATENATE(Table43_1[[#This Row],[Kode BARANG Win2]],1),'Form Fix'!$A$6:$H$663,4,0),0)</f>
        <v>0</v>
      </c>
      <c r="D260">
        <f>IFERROR(VLOOKUP(CONCATENATE(Table43_1[[#This Row],[Kode BARANG Win2]],2),'Form Fix'!$A$6:$H$663,4,0),0)</f>
        <v>0</v>
      </c>
      <c r="E260">
        <f>IFERROR(VLOOKUP(CONCATENATE(Table43_1[[#This Row],[Kode BARANG Win2]],3),'Form Fix'!$A$6:$H$663,4,0),0)</f>
        <v>0</v>
      </c>
      <c r="F260">
        <f>IFERROR(VLOOKUP(CONCATENATE(Table43_1[[#This Row],[Kode BARANG Win2]],4),'Form Fix'!$A$6:$H$663,4,0),0)</f>
        <v>0</v>
      </c>
      <c r="G260">
        <f>IFERROR(VLOOKUP(CONCATENATE(Table43_1[[#This Row],[Kode BARANG Win2]],5),'Form Fix'!$A$6:$H$663,4,0),0)</f>
        <v>0</v>
      </c>
    </row>
    <row r="261" spans="1:7">
      <c r="A261" t="s">
        <v>2911</v>
      </c>
      <c r="B261" t="s">
        <v>3274</v>
      </c>
      <c r="C261">
        <f>IFERROR(VLOOKUP(CONCATENATE(Table43_1[[#This Row],[Kode BARANG Win2]],1),'Form Fix'!$A$6:$H$663,4,0),0)</f>
        <v>0</v>
      </c>
      <c r="D261">
        <f>IFERROR(VLOOKUP(CONCATENATE(Table43_1[[#This Row],[Kode BARANG Win2]],2),'Form Fix'!$A$6:$H$663,4,0),0)</f>
        <v>0</v>
      </c>
      <c r="E261">
        <f>IFERROR(VLOOKUP(CONCATENATE(Table43_1[[#This Row],[Kode BARANG Win2]],3),'Form Fix'!$A$6:$H$663,4,0),0)</f>
        <v>0</v>
      </c>
      <c r="F261">
        <f>IFERROR(VLOOKUP(CONCATENATE(Table43_1[[#This Row],[Kode BARANG Win2]],4),'Form Fix'!$A$6:$H$663,4,0),0)</f>
        <v>0</v>
      </c>
      <c r="G261">
        <f>IFERROR(VLOOKUP(CONCATENATE(Table43_1[[#This Row],[Kode BARANG Win2]],5),'Form Fix'!$A$6:$H$663,4,0),0)</f>
        <v>0</v>
      </c>
    </row>
    <row r="262" spans="1:7">
      <c r="A262" t="s">
        <v>2912</v>
      </c>
      <c r="B262" t="s">
        <v>3275</v>
      </c>
      <c r="C262">
        <f>IFERROR(VLOOKUP(CONCATENATE(Table43_1[[#This Row],[Kode BARANG Win2]],1),'Form Fix'!$A$6:$H$663,4,0),0)</f>
        <v>0</v>
      </c>
      <c r="D262">
        <f>IFERROR(VLOOKUP(CONCATENATE(Table43_1[[#This Row],[Kode BARANG Win2]],2),'Form Fix'!$A$6:$H$663,4,0),0)</f>
        <v>0</v>
      </c>
      <c r="E262">
        <f>IFERROR(VLOOKUP(CONCATENATE(Table43_1[[#This Row],[Kode BARANG Win2]],3),'Form Fix'!$A$6:$H$663,4,0),0)</f>
        <v>0</v>
      </c>
      <c r="F262">
        <f>IFERROR(VLOOKUP(CONCATENATE(Table43_1[[#This Row],[Kode BARANG Win2]],4),'Form Fix'!$A$6:$H$663,4,0),0)</f>
        <v>0</v>
      </c>
      <c r="G262">
        <f>IFERROR(VLOOKUP(CONCATENATE(Table43_1[[#This Row],[Kode BARANG Win2]],5),'Form Fix'!$A$6:$H$663,4,0),0)</f>
        <v>0</v>
      </c>
    </row>
    <row r="263" spans="1:7">
      <c r="A263" t="s">
        <v>2913</v>
      </c>
      <c r="B263" t="s">
        <v>3276</v>
      </c>
      <c r="C263">
        <f>IFERROR(VLOOKUP(CONCATENATE(Table43_1[[#This Row],[Kode BARANG Win2]],1),'Form Fix'!$A$6:$H$663,4,0),0)</f>
        <v>0</v>
      </c>
      <c r="D263">
        <f>IFERROR(VLOOKUP(CONCATENATE(Table43_1[[#This Row],[Kode BARANG Win2]],2),'Form Fix'!$A$6:$H$663,4,0),0)</f>
        <v>0</v>
      </c>
      <c r="E263">
        <f>IFERROR(VLOOKUP(CONCATENATE(Table43_1[[#This Row],[Kode BARANG Win2]],3),'Form Fix'!$A$6:$H$663,4,0),0)</f>
        <v>0</v>
      </c>
      <c r="F263">
        <f>IFERROR(VLOOKUP(CONCATENATE(Table43_1[[#This Row],[Kode BARANG Win2]],4),'Form Fix'!$A$6:$H$663,4,0),0)</f>
        <v>0</v>
      </c>
      <c r="G263">
        <f>IFERROR(VLOOKUP(CONCATENATE(Table43_1[[#This Row],[Kode BARANG Win2]],5),'Form Fix'!$A$6:$H$663,4,0),0)</f>
        <v>0</v>
      </c>
    </row>
    <row r="264" spans="1:7">
      <c r="A264" t="s">
        <v>2914</v>
      </c>
      <c r="B264" t="s">
        <v>3277</v>
      </c>
      <c r="C264">
        <f>IFERROR(VLOOKUP(CONCATENATE(Table43_1[[#This Row],[Kode BARANG Win2]],1),'Form Fix'!$A$6:$H$663,4,0),0)</f>
        <v>0</v>
      </c>
      <c r="D264">
        <f>IFERROR(VLOOKUP(CONCATENATE(Table43_1[[#This Row],[Kode BARANG Win2]],2),'Form Fix'!$A$6:$H$663,4,0),0)</f>
        <v>0</v>
      </c>
      <c r="E264">
        <f>IFERROR(VLOOKUP(CONCATENATE(Table43_1[[#This Row],[Kode BARANG Win2]],3),'Form Fix'!$A$6:$H$663,4,0),0)</f>
        <v>0</v>
      </c>
      <c r="F264">
        <f>IFERROR(VLOOKUP(CONCATENATE(Table43_1[[#This Row],[Kode BARANG Win2]],4),'Form Fix'!$A$6:$H$663,4,0),0)</f>
        <v>0</v>
      </c>
      <c r="G264">
        <f>IFERROR(VLOOKUP(CONCATENATE(Table43_1[[#This Row],[Kode BARANG Win2]],5),'Form Fix'!$A$6:$H$663,4,0),0)</f>
        <v>0</v>
      </c>
    </row>
    <row r="265" spans="1:7">
      <c r="A265" t="s">
        <v>2915</v>
      </c>
      <c r="B265" t="s">
        <v>3278</v>
      </c>
      <c r="C265">
        <f>IFERROR(VLOOKUP(CONCATENATE(Table43_1[[#This Row],[Kode BARANG Win2]],1),'Form Fix'!$A$6:$H$663,4,0),0)</f>
        <v>0</v>
      </c>
      <c r="D265">
        <f>IFERROR(VLOOKUP(CONCATENATE(Table43_1[[#This Row],[Kode BARANG Win2]],2),'Form Fix'!$A$6:$H$663,4,0),0)</f>
        <v>0</v>
      </c>
      <c r="E265">
        <f>IFERROR(VLOOKUP(CONCATENATE(Table43_1[[#This Row],[Kode BARANG Win2]],3),'Form Fix'!$A$6:$H$663,4,0),0)</f>
        <v>0</v>
      </c>
      <c r="F265">
        <f>IFERROR(VLOOKUP(CONCATENATE(Table43_1[[#This Row],[Kode BARANG Win2]],4),'Form Fix'!$A$6:$H$663,4,0),0)</f>
        <v>0</v>
      </c>
      <c r="G265">
        <f>IFERROR(VLOOKUP(CONCATENATE(Table43_1[[#This Row],[Kode BARANG Win2]],5),'Form Fix'!$A$6:$H$663,4,0),0)</f>
        <v>0</v>
      </c>
    </row>
    <row r="266" spans="1:7">
      <c r="A266" t="s">
        <v>2916</v>
      </c>
      <c r="B266" t="s">
        <v>3279</v>
      </c>
      <c r="C266">
        <f>IFERROR(VLOOKUP(CONCATENATE(Table43_1[[#This Row],[Kode BARANG Win2]],1),'Form Fix'!$A$6:$H$663,4,0),0)</f>
        <v>0</v>
      </c>
      <c r="D266">
        <f>IFERROR(VLOOKUP(CONCATENATE(Table43_1[[#This Row],[Kode BARANG Win2]],2),'Form Fix'!$A$6:$H$663,4,0),0)</f>
        <v>0</v>
      </c>
      <c r="E266">
        <f>IFERROR(VLOOKUP(CONCATENATE(Table43_1[[#This Row],[Kode BARANG Win2]],3),'Form Fix'!$A$6:$H$663,4,0),0)</f>
        <v>0</v>
      </c>
      <c r="F266">
        <f>IFERROR(VLOOKUP(CONCATENATE(Table43_1[[#This Row],[Kode BARANG Win2]],4),'Form Fix'!$A$6:$H$663,4,0),0)</f>
        <v>0</v>
      </c>
      <c r="G266">
        <f>IFERROR(VLOOKUP(CONCATENATE(Table43_1[[#This Row],[Kode BARANG Win2]],5),'Form Fix'!$A$6:$H$663,4,0),0)</f>
        <v>0</v>
      </c>
    </row>
    <row r="267" spans="1:7">
      <c r="A267" t="s">
        <v>2917</v>
      </c>
      <c r="B267" t="s">
        <v>3280</v>
      </c>
      <c r="C267">
        <f>IFERROR(VLOOKUP(CONCATENATE(Table43_1[[#This Row],[Kode BARANG Win2]],1),'Form Fix'!$A$6:$H$663,4,0),0)</f>
        <v>0</v>
      </c>
      <c r="D267">
        <f>IFERROR(VLOOKUP(CONCATENATE(Table43_1[[#This Row],[Kode BARANG Win2]],2),'Form Fix'!$A$6:$H$663,4,0),0)</f>
        <v>0</v>
      </c>
      <c r="E267">
        <f>IFERROR(VLOOKUP(CONCATENATE(Table43_1[[#This Row],[Kode BARANG Win2]],3),'Form Fix'!$A$6:$H$663,4,0),0)</f>
        <v>0</v>
      </c>
      <c r="F267">
        <f>IFERROR(VLOOKUP(CONCATENATE(Table43_1[[#This Row],[Kode BARANG Win2]],4),'Form Fix'!$A$6:$H$663,4,0),0)</f>
        <v>0</v>
      </c>
      <c r="G267">
        <f>IFERROR(VLOOKUP(CONCATENATE(Table43_1[[#This Row],[Kode BARANG Win2]],5),'Form Fix'!$A$6:$H$663,4,0),0)</f>
        <v>0</v>
      </c>
    </row>
    <row r="268" spans="1:7">
      <c r="A268" t="s">
        <v>2918</v>
      </c>
      <c r="B268" t="s">
        <v>3281</v>
      </c>
      <c r="C268">
        <f>IFERROR(VLOOKUP(CONCATENATE(Table43_1[[#This Row],[Kode BARANG Win2]],1),'Form Fix'!$A$6:$H$663,4,0),0)</f>
        <v>0</v>
      </c>
      <c r="D268">
        <f>IFERROR(VLOOKUP(CONCATENATE(Table43_1[[#This Row],[Kode BARANG Win2]],2),'Form Fix'!$A$6:$H$663,4,0),0)</f>
        <v>0</v>
      </c>
      <c r="E268">
        <f>IFERROR(VLOOKUP(CONCATENATE(Table43_1[[#This Row],[Kode BARANG Win2]],3),'Form Fix'!$A$6:$H$663,4,0),0)</f>
        <v>0</v>
      </c>
      <c r="F268">
        <f>IFERROR(VLOOKUP(CONCATENATE(Table43_1[[#This Row],[Kode BARANG Win2]],4),'Form Fix'!$A$6:$H$663,4,0),0)</f>
        <v>0</v>
      </c>
      <c r="G268">
        <f>IFERROR(VLOOKUP(CONCATENATE(Table43_1[[#This Row],[Kode BARANG Win2]],5),'Form Fix'!$A$6:$H$663,4,0),0)</f>
        <v>0</v>
      </c>
    </row>
    <row r="269" spans="1:7">
      <c r="A269" t="s">
        <v>2919</v>
      </c>
      <c r="B269" t="s">
        <v>3282</v>
      </c>
      <c r="C269">
        <f>IFERROR(VLOOKUP(CONCATENATE(Table43_1[[#This Row],[Kode BARANG Win2]],1),'Form Fix'!$A$6:$H$663,4,0),0)</f>
        <v>0</v>
      </c>
      <c r="D269">
        <f>IFERROR(VLOOKUP(CONCATENATE(Table43_1[[#This Row],[Kode BARANG Win2]],2),'Form Fix'!$A$6:$H$663,4,0),0)</f>
        <v>0</v>
      </c>
      <c r="E269">
        <f>IFERROR(VLOOKUP(CONCATENATE(Table43_1[[#This Row],[Kode BARANG Win2]],3),'Form Fix'!$A$6:$H$663,4,0),0)</f>
        <v>0</v>
      </c>
      <c r="F269">
        <f>IFERROR(VLOOKUP(CONCATENATE(Table43_1[[#This Row],[Kode BARANG Win2]],4),'Form Fix'!$A$6:$H$663,4,0),0)</f>
        <v>0</v>
      </c>
      <c r="G269">
        <f>IFERROR(VLOOKUP(CONCATENATE(Table43_1[[#This Row],[Kode BARANG Win2]],5),'Form Fix'!$A$6:$H$663,4,0),0)</f>
        <v>0</v>
      </c>
    </row>
    <row r="270" spans="1:7">
      <c r="A270" t="s">
        <v>2920</v>
      </c>
      <c r="B270" t="s">
        <v>3283</v>
      </c>
      <c r="C270">
        <f>IFERROR(VLOOKUP(CONCATENATE(Table43_1[[#This Row],[Kode BARANG Win2]],1),'Form Fix'!$A$6:$H$663,4,0),0)</f>
        <v>0</v>
      </c>
      <c r="D270">
        <f>IFERROR(VLOOKUP(CONCATENATE(Table43_1[[#This Row],[Kode BARANG Win2]],2),'Form Fix'!$A$6:$H$663,4,0),0)</f>
        <v>0</v>
      </c>
      <c r="E270">
        <f>IFERROR(VLOOKUP(CONCATENATE(Table43_1[[#This Row],[Kode BARANG Win2]],3),'Form Fix'!$A$6:$H$663,4,0),0)</f>
        <v>0</v>
      </c>
      <c r="F270">
        <f>IFERROR(VLOOKUP(CONCATENATE(Table43_1[[#This Row],[Kode BARANG Win2]],4),'Form Fix'!$A$6:$H$663,4,0),0)</f>
        <v>0</v>
      </c>
      <c r="G270">
        <f>IFERROR(VLOOKUP(CONCATENATE(Table43_1[[#This Row],[Kode BARANG Win2]],5),'Form Fix'!$A$6:$H$663,4,0),0)</f>
        <v>0</v>
      </c>
    </row>
    <row r="271" spans="1:7">
      <c r="A271" t="s">
        <v>2921</v>
      </c>
      <c r="B271" t="s">
        <v>3284</v>
      </c>
      <c r="C271">
        <f>IFERROR(VLOOKUP(CONCATENATE(Table43_1[[#This Row],[Kode BARANG Win2]],1),'Form Fix'!$A$6:$H$663,4,0),0)</f>
        <v>0</v>
      </c>
      <c r="D271">
        <f>IFERROR(VLOOKUP(CONCATENATE(Table43_1[[#This Row],[Kode BARANG Win2]],2),'Form Fix'!$A$6:$H$663,4,0),0)</f>
        <v>0</v>
      </c>
      <c r="E271">
        <f>IFERROR(VLOOKUP(CONCATENATE(Table43_1[[#This Row],[Kode BARANG Win2]],3),'Form Fix'!$A$6:$H$663,4,0),0)</f>
        <v>0</v>
      </c>
      <c r="F271">
        <f>IFERROR(VLOOKUP(CONCATENATE(Table43_1[[#This Row],[Kode BARANG Win2]],4),'Form Fix'!$A$6:$H$663,4,0),0)</f>
        <v>0</v>
      </c>
      <c r="G271">
        <f>IFERROR(VLOOKUP(CONCATENATE(Table43_1[[#This Row],[Kode BARANG Win2]],5),'Form Fix'!$A$6:$H$663,4,0),0)</f>
        <v>0</v>
      </c>
    </row>
    <row r="272" spans="1:7">
      <c r="A272" t="s">
        <v>2922</v>
      </c>
      <c r="B272" t="s">
        <v>3285</v>
      </c>
      <c r="C272">
        <f>IFERROR(VLOOKUP(CONCATENATE(Table43_1[[#This Row],[Kode BARANG Win2]],1),'Form Fix'!$A$6:$H$663,4,0),0)</f>
        <v>0</v>
      </c>
      <c r="D272">
        <f>IFERROR(VLOOKUP(CONCATENATE(Table43_1[[#This Row],[Kode BARANG Win2]],2),'Form Fix'!$A$6:$H$663,4,0),0)</f>
        <v>0</v>
      </c>
      <c r="E272">
        <f>IFERROR(VLOOKUP(CONCATENATE(Table43_1[[#This Row],[Kode BARANG Win2]],3),'Form Fix'!$A$6:$H$663,4,0),0)</f>
        <v>0</v>
      </c>
      <c r="F272">
        <f>IFERROR(VLOOKUP(CONCATENATE(Table43_1[[#This Row],[Kode BARANG Win2]],4),'Form Fix'!$A$6:$H$663,4,0),0)</f>
        <v>0</v>
      </c>
      <c r="G272">
        <f>IFERROR(VLOOKUP(CONCATENATE(Table43_1[[#This Row],[Kode BARANG Win2]],5),'Form Fix'!$A$6:$H$663,4,0),0)</f>
        <v>0</v>
      </c>
    </row>
    <row r="273" spans="1:7">
      <c r="A273" t="s">
        <v>2923</v>
      </c>
      <c r="B273" t="s">
        <v>3286</v>
      </c>
      <c r="C273">
        <f>IFERROR(VLOOKUP(CONCATENATE(Table43_1[[#This Row],[Kode BARANG Win2]],1),'Form Fix'!$A$6:$H$663,4,0),0)</f>
        <v>0</v>
      </c>
      <c r="D273">
        <f>IFERROR(VLOOKUP(CONCATENATE(Table43_1[[#This Row],[Kode BARANG Win2]],2),'Form Fix'!$A$6:$H$663,4,0),0)</f>
        <v>0</v>
      </c>
      <c r="E273">
        <f>IFERROR(VLOOKUP(CONCATENATE(Table43_1[[#This Row],[Kode BARANG Win2]],3),'Form Fix'!$A$6:$H$663,4,0),0)</f>
        <v>0</v>
      </c>
      <c r="F273">
        <f>IFERROR(VLOOKUP(CONCATENATE(Table43_1[[#This Row],[Kode BARANG Win2]],4),'Form Fix'!$A$6:$H$663,4,0),0)</f>
        <v>0</v>
      </c>
      <c r="G273">
        <f>IFERROR(VLOOKUP(CONCATENATE(Table43_1[[#This Row],[Kode BARANG Win2]],5),'Form Fix'!$A$6:$H$663,4,0),0)</f>
        <v>0</v>
      </c>
    </row>
    <row r="274" spans="1:7">
      <c r="A274" t="s">
        <v>2927</v>
      </c>
      <c r="B274" t="s">
        <v>3419</v>
      </c>
      <c r="C274">
        <f>IFERROR(VLOOKUP(CONCATENATE(Table43_1[[#This Row],[Kode BARANG Win2]],1),'Form Fix'!$A$6:$H$663,4,0),0)</f>
        <v>0</v>
      </c>
      <c r="D274">
        <f>IFERROR(VLOOKUP(CONCATENATE(Table43_1[[#This Row],[Kode BARANG Win2]],2),'Form Fix'!$A$6:$H$663,4,0),0)</f>
        <v>0</v>
      </c>
      <c r="E274">
        <f>IFERROR(VLOOKUP(CONCATENATE(Table43_1[[#This Row],[Kode BARANG Win2]],3),'Form Fix'!$A$6:$H$663,4,0),0)</f>
        <v>0</v>
      </c>
      <c r="F274">
        <f>IFERROR(VLOOKUP(CONCATENATE(Table43_1[[#This Row],[Kode BARANG Win2]],4),'Form Fix'!$A$6:$H$663,4,0),0)</f>
        <v>0</v>
      </c>
      <c r="G274">
        <f>IFERROR(VLOOKUP(CONCATENATE(Table43_1[[#This Row],[Kode BARANG Win2]],5),'Form Fix'!$A$6:$H$663,4,0),0)</f>
        <v>0</v>
      </c>
    </row>
    <row r="275" spans="1:7">
      <c r="A275" t="s">
        <v>2924</v>
      </c>
      <c r="B275" t="s">
        <v>3287</v>
      </c>
      <c r="C275">
        <f>IFERROR(VLOOKUP(CONCATENATE(Table43_1[[#This Row],[Kode BARANG Win2]],1),'Form Fix'!$A$6:$H$663,4,0),0)</f>
        <v>0</v>
      </c>
      <c r="D275">
        <f>IFERROR(VLOOKUP(CONCATENATE(Table43_1[[#This Row],[Kode BARANG Win2]],2),'Form Fix'!$A$6:$H$663,4,0),0)</f>
        <v>0</v>
      </c>
      <c r="E275">
        <f>IFERROR(VLOOKUP(CONCATENATE(Table43_1[[#This Row],[Kode BARANG Win2]],3),'Form Fix'!$A$6:$H$663,4,0),0)</f>
        <v>0</v>
      </c>
      <c r="F275">
        <f>IFERROR(VLOOKUP(CONCATENATE(Table43_1[[#This Row],[Kode BARANG Win2]],4),'Form Fix'!$A$6:$H$663,4,0),0)</f>
        <v>0</v>
      </c>
      <c r="G275">
        <f>IFERROR(VLOOKUP(CONCATENATE(Table43_1[[#This Row],[Kode BARANG Win2]],5),'Form Fix'!$A$6:$H$663,4,0),0)</f>
        <v>0</v>
      </c>
    </row>
    <row r="276" spans="1:7">
      <c r="A276" t="s">
        <v>2925</v>
      </c>
      <c r="B276" t="s">
        <v>3288</v>
      </c>
      <c r="C276">
        <f>IFERROR(VLOOKUP(CONCATENATE(Table43_1[[#This Row],[Kode BARANG Win2]],1),'Form Fix'!$A$6:$H$663,4,0),0)</f>
        <v>0</v>
      </c>
      <c r="D276">
        <f>IFERROR(VLOOKUP(CONCATENATE(Table43_1[[#This Row],[Kode BARANG Win2]],2),'Form Fix'!$A$6:$H$663,4,0),0)</f>
        <v>0</v>
      </c>
      <c r="E276">
        <f>IFERROR(VLOOKUP(CONCATENATE(Table43_1[[#This Row],[Kode BARANG Win2]],3),'Form Fix'!$A$6:$H$663,4,0),0)</f>
        <v>0</v>
      </c>
      <c r="F276">
        <f>IFERROR(VLOOKUP(CONCATENATE(Table43_1[[#This Row],[Kode BARANG Win2]],4),'Form Fix'!$A$6:$H$663,4,0),0)</f>
        <v>0</v>
      </c>
      <c r="G276">
        <f>IFERROR(VLOOKUP(CONCATENATE(Table43_1[[#This Row],[Kode BARANG Win2]],5),'Form Fix'!$A$6:$H$663,4,0),0)</f>
        <v>0</v>
      </c>
    </row>
    <row r="277" spans="1:7">
      <c r="A277" t="s">
        <v>2926</v>
      </c>
      <c r="B277" t="s">
        <v>3289</v>
      </c>
      <c r="C277">
        <f>IFERROR(VLOOKUP(CONCATENATE(Table43_1[[#This Row],[Kode BARANG Win2]],1),'Form Fix'!$A$6:$H$663,4,0),0)</f>
        <v>0</v>
      </c>
      <c r="D277">
        <f>IFERROR(VLOOKUP(CONCATENATE(Table43_1[[#This Row],[Kode BARANG Win2]],2),'Form Fix'!$A$6:$H$663,4,0),0)</f>
        <v>0</v>
      </c>
      <c r="E277">
        <f>IFERROR(VLOOKUP(CONCATENATE(Table43_1[[#This Row],[Kode BARANG Win2]],3),'Form Fix'!$A$6:$H$663,4,0),0)</f>
        <v>0</v>
      </c>
      <c r="F277">
        <f>IFERROR(VLOOKUP(CONCATENATE(Table43_1[[#This Row],[Kode BARANG Win2]],4),'Form Fix'!$A$6:$H$663,4,0),0)</f>
        <v>0</v>
      </c>
      <c r="G277">
        <f>IFERROR(VLOOKUP(CONCATENATE(Table43_1[[#This Row],[Kode BARANG Win2]],5),'Form Fix'!$A$6:$H$663,4,0),0)</f>
        <v>0</v>
      </c>
    </row>
    <row r="278" spans="1:7">
      <c r="A278" t="s">
        <v>2928</v>
      </c>
      <c r="B278" t="s">
        <v>3290</v>
      </c>
      <c r="C278">
        <f>IFERROR(VLOOKUP(CONCATENATE(Table43_1[[#This Row],[Kode BARANG Win2]],1),'Form Fix'!$A$6:$H$663,4,0),0)</f>
        <v>0</v>
      </c>
      <c r="D278">
        <f>IFERROR(VLOOKUP(CONCATENATE(Table43_1[[#This Row],[Kode BARANG Win2]],2),'Form Fix'!$A$6:$H$663,4,0),0)</f>
        <v>0</v>
      </c>
      <c r="E278">
        <f>IFERROR(VLOOKUP(CONCATENATE(Table43_1[[#This Row],[Kode BARANG Win2]],3),'Form Fix'!$A$6:$H$663,4,0),0)</f>
        <v>0</v>
      </c>
      <c r="F278">
        <f>IFERROR(VLOOKUP(CONCATENATE(Table43_1[[#This Row],[Kode BARANG Win2]],4),'Form Fix'!$A$6:$H$663,4,0),0)</f>
        <v>0</v>
      </c>
      <c r="G278">
        <f>IFERROR(VLOOKUP(CONCATENATE(Table43_1[[#This Row],[Kode BARANG Win2]],5),'Form Fix'!$A$6:$H$663,4,0),0)</f>
        <v>0</v>
      </c>
    </row>
    <row r="279" spans="1:7">
      <c r="A279" t="s">
        <v>2929</v>
      </c>
      <c r="B279" t="s">
        <v>3291</v>
      </c>
      <c r="C279">
        <f>IFERROR(VLOOKUP(CONCATENATE(Table43_1[[#This Row],[Kode BARANG Win2]],1),'Form Fix'!$A$6:$H$663,4,0),0)</f>
        <v>0</v>
      </c>
      <c r="D279">
        <f>IFERROR(VLOOKUP(CONCATENATE(Table43_1[[#This Row],[Kode BARANG Win2]],2),'Form Fix'!$A$6:$H$663,4,0),0)</f>
        <v>0</v>
      </c>
      <c r="E279">
        <f>IFERROR(VLOOKUP(CONCATENATE(Table43_1[[#This Row],[Kode BARANG Win2]],3),'Form Fix'!$A$6:$H$663,4,0),0)</f>
        <v>0</v>
      </c>
      <c r="F279">
        <f>IFERROR(VLOOKUP(CONCATENATE(Table43_1[[#This Row],[Kode BARANG Win2]],4),'Form Fix'!$A$6:$H$663,4,0),0)</f>
        <v>0</v>
      </c>
      <c r="G279">
        <f>IFERROR(VLOOKUP(CONCATENATE(Table43_1[[#This Row],[Kode BARANG Win2]],5),'Form Fix'!$A$6:$H$663,4,0),0)</f>
        <v>0</v>
      </c>
    </row>
    <row r="280" spans="1:7">
      <c r="A280" t="s">
        <v>2930</v>
      </c>
      <c r="B280" t="s">
        <v>3292</v>
      </c>
      <c r="C280">
        <f>IFERROR(VLOOKUP(CONCATENATE(Table43_1[[#This Row],[Kode BARANG Win2]],1),'Form Fix'!$A$6:$H$663,4,0),0)</f>
        <v>0</v>
      </c>
      <c r="D280">
        <f>IFERROR(VLOOKUP(CONCATENATE(Table43_1[[#This Row],[Kode BARANG Win2]],2),'Form Fix'!$A$6:$H$663,4,0),0)</f>
        <v>0</v>
      </c>
      <c r="E280">
        <f>IFERROR(VLOOKUP(CONCATENATE(Table43_1[[#This Row],[Kode BARANG Win2]],3),'Form Fix'!$A$6:$H$663,4,0),0)</f>
        <v>0</v>
      </c>
      <c r="F280">
        <f>IFERROR(VLOOKUP(CONCATENATE(Table43_1[[#This Row],[Kode BARANG Win2]],4),'Form Fix'!$A$6:$H$663,4,0),0)</f>
        <v>0</v>
      </c>
      <c r="G280">
        <f>IFERROR(VLOOKUP(CONCATENATE(Table43_1[[#This Row],[Kode BARANG Win2]],5),'Form Fix'!$A$6:$H$663,4,0),0)</f>
        <v>0</v>
      </c>
    </row>
    <row r="281" spans="1:7">
      <c r="A281" t="s">
        <v>2931</v>
      </c>
      <c r="B281" t="s">
        <v>3293</v>
      </c>
      <c r="C281">
        <f>IFERROR(VLOOKUP(CONCATENATE(Table43_1[[#This Row],[Kode BARANG Win2]],1),'Form Fix'!$A$6:$H$663,4,0),0)</f>
        <v>0</v>
      </c>
      <c r="D281">
        <f>IFERROR(VLOOKUP(CONCATENATE(Table43_1[[#This Row],[Kode BARANG Win2]],2),'Form Fix'!$A$6:$H$663,4,0),0)</f>
        <v>0</v>
      </c>
      <c r="E281">
        <f>IFERROR(VLOOKUP(CONCATENATE(Table43_1[[#This Row],[Kode BARANG Win2]],3),'Form Fix'!$A$6:$H$663,4,0),0)</f>
        <v>0</v>
      </c>
      <c r="F281">
        <f>IFERROR(VLOOKUP(CONCATENATE(Table43_1[[#This Row],[Kode BARANG Win2]],4),'Form Fix'!$A$6:$H$663,4,0),0)</f>
        <v>0</v>
      </c>
      <c r="G281">
        <f>IFERROR(VLOOKUP(CONCATENATE(Table43_1[[#This Row],[Kode BARANG Win2]],5),'Form Fix'!$A$6:$H$663,4,0),0)</f>
        <v>0</v>
      </c>
    </row>
    <row r="282" spans="1:7">
      <c r="A282" t="s">
        <v>2932</v>
      </c>
      <c r="B282" t="s">
        <v>3294</v>
      </c>
      <c r="C282">
        <f>IFERROR(VLOOKUP(CONCATENATE(Table43_1[[#This Row],[Kode BARANG Win2]],1),'Form Fix'!$A$6:$H$663,4,0),0)</f>
        <v>0</v>
      </c>
      <c r="D282">
        <f>IFERROR(VLOOKUP(CONCATENATE(Table43_1[[#This Row],[Kode BARANG Win2]],2),'Form Fix'!$A$6:$H$663,4,0),0)</f>
        <v>0</v>
      </c>
      <c r="E282">
        <f>IFERROR(VLOOKUP(CONCATENATE(Table43_1[[#This Row],[Kode BARANG Win2]],3),'Form Fix'!$A$6:$H$663,4,0),0)</f>
        <v>0</v>
      </c>
      <c r="F282">
        <f>IFERROR(VLOOKUP(CONCATENATE(Table43_1[[#This Row],[Kode BARANG Win2]],4),'Form Fix'!$A$6:$H$663,4,0),0)</f>
        <v>0</v>
      </c>
      <c r="G282">
        <f>IFERROR(VLOOKUP(CONCATENATE(Table43_1[[#This Row],[Kode BARANG Win2]],5),'Form Fix'!$A$6:$H$663,4,0),0)</f>
        <v>0</v>
      </c>
    </row>
    <row r="283" spans="1:7">
      <c r="A283" t="s">
        <v>3488</v>
      </c>
      <c r="B283" t="s">
        <v>3530</v>
      </c>
      <c r="C283">
        <f>IFERROR(VLOOKUP(CONCATENATE(Table43_1[[#This Row],[Kode BARANG Win2]],1),'Form Fix'!$A$6:$H$663,4,0),0)</f>
        <v>0</v>
      </c>
      <c r="D283">
        <f>IFERROR(VLOOKUP(CONCATENATE(Table43_1[[#This Row],[Kode BARANG Win2]],2),'Form Fix'!$A$6:$H$663,4,0),0)</f>
        <v>0</v>
      </c>
      <c r="E283">
        <f>IFERROR(VLOOKUP(CONCATENATE(Table43_1[[#This Row],[Kode BARANG Win2]],3),'Form Fix'!$A$6:$H$663,4,0),0)</f>
        <v>0</v>
      </c>
      <c r="F283">
        <f>IFERROR(VLOOKUP(CONCATENATE(Table43_1[[#This Row],[Kode BARANG Win2]],4),'Form Fix'!$A$6:$H$663,4,0),0)</f>
        <v>0</v>
      </c>
      <c r="G283">
        <f>IFERROR(VLOOKUP(CONCATENATE(Table43_1[[#This Row],[Kode BARANG Win2]],5),'Form Fix'!$A$6:$H$663,4,0),0)</f>
        <v>0</v>
      </c>
    </row>
    <row r="284" spans="1:7">
      <c r="A284" t="s">
        <v>2933</v>
      </c>
      <c r="B284" t="s">
        <v>3295</v>
      </c>
      <c r="C284">
        <f>IFERROR(VLOOKUP(CONCATENATE(Table43_1[[#This Row],[Kode BARANG Win2]],1),'Form Fix'!$A$6:$H$663,4,0),0)</f>
        <v>0</v>
      </c>
      <c r="D284">
        <f>IFERROR(VLOOKUP(CONCATENATE(Table43_1[[#This Row],[Kode BARANG Win2]],2),'Form Fix'!$A$6:$H$663,4,0),0)</f>
        <v>0</v>
      </c>
      <c r="E284">
        <f>IFERROR(VLOOKUP(CONCATENATE(Table43_1[[#This Row],[Kode BARANG Win2]],3),'Form Fix'!$A$6:$H$663,4,0),0)</f>
        <v>0</v>
      </c>
      <c r="F284">
        <f>IFERROR(VLOOKUP(CONCATENATE(Table43_1[[#This Row],[Kode BARANG Win2]],4),'Form Fix'!$A$6:$H$663,4,0),0)</f>
        <v>0</v>
      </c>
      <c r="G284">
        <f>IFERROR(VLOOKUP(CONCATENATE(Table43_1[[#This Row],[Kode BARANG Win2]],5),'Form Fix'!$A$6:$H$663,4,0),0)</f>
        <v>0</v>
      </c>
    </row>
    <row r="285" spans="1:7">
      <c r="A285" t="s">
        <v>2906</v>
      </c>
      <c r="B285" t="s">
        <v>3269</v>
      </c>
      <c r="C285">
        <f>IFERROR(VLOOKUP(CONCATENATE(Table43_1[[#This Row],[Kode BARANG Win2]],1),'Form Fix'!$A$6:$H$663,4,0),0)</f>
        <v>0</v>
      </c>
      <c r="D285">
        <f>IFERROR(VLOOKUP(CONCATENATE(Table43_1[[#This Row],[Kode BARANG Win2]],2),'Form Fix'!$A$6:$H$663,4,0),0)</f>
        <v>0</v>
      </c>
      <c r="E285">
        <f>IFERROR(VLOOKUP(CONCATENATE(Table43_1[[#This Row],[Kode BARANG Win2]],3),'Form Fix'!$A$6:$H$663,4,0),0)</f>
        <v>0</v>
      </c>
      <c r="F285">
        <f>IFERROR(VLOOKUP(CONCATENATE(Table43_1[[#This Row],[Kode BARANG Win2]],4),'Form Fix'!$A$6:$H$663,4,0),0)</f>
        <v>0</v>
      </c>
      <c r="G285">
        <f>IFERROR(VLOOKUP(CONCATENATE(Table43_1[[#This Row],[Kode BARANG Win2]],5),'Form Fix'!$A$6:$H$663,4,0),0)</f>
        <v>0</v>
      </c>
    </row>
    <row r="286" spans="1:7">
      <c r="A286" t="s">
        <v>2907</v>
      </c>
      <c r="B286" t="s">
        <v>3270</v>
      </c>
      <c r="C286">
        <f>IFERROR(VLOOKUP(CONCATENATE(Table43_1[[#This Row],[Kode BARANG Win2]],1),'Form Fix'!$A$6:$H$663,4,0),0)</f>
        <v>0</v>
      </c>
      <c r="D286">
        <f>IFERROR(VLOOKUP(CONCATENATE(Table43_1[[#This Row],[Kode BARANG Win2]],2),'Form Fix'!$A$6:$H$663,4,0),0)</f>
        <v>0</v>
      </c>
      <c r="E286">
        <f>IFERROR(VLOOKUP(CONCATENATE(Table43_1[[#This Row],[Kode BARANG Win2]],3),'Form Fix'!$A$6:$H$663,4,0),0)</f>
        <v>0</v>
      </c>
      <c r="F286">
        <f>IFERROR(VLOOKUP(CONCATENATE(Table43_1[[#This Row],[Kode BARANG Win2]],4),'Form Fix'!$A$6:$H$663,4,0),0)</f>
        <v>0</v>
      </c>
      <c r="G286">
        <f>IFERROR(VLOOKUP(CONCATENATE(Table43_1[[#This Row],[Kode BARANG Win2]],5),'Form Fix'!$A$6:$H$663,4,0),0)</f>
        <v>0</v>
      </c>
    </row>
    <row r="287" spans="1:7">
      <c r="A287" t="s">
        <v>2905</v>
      </c>
      <c r="B287" t="s">
        <v>3418</v>
      </c>
      <c r="C287">
        <f>IFERROR(VLOOKUP(CONCATENATE(Table43_1[[#This Row],[Kode BARANG Win2]],1),'Form Fix'!$A$6:$H$663,4,0),0)</f>
        <v>0</v>
      </c>
      <c r="D287">
        <f>IFERROR(VLOOKUP(CONCATENATE(Table43_1[[#This Row],[Kode BARANG Win2]],2),'Form Fix'!$A$6:$H$663,4,0),0)</f>
        <v>0</v>
      </c>
      <c r="E287">
        <f>IFERROR(VLOOKUP(CONCATENATE(Table43_1[[#This Row],[Kode BARANG Win2]],3),'Form Fix'!$A$6:$H$663,4,0),0)</f>
        <v>0</v>
      </c>
      <c r="F287">
        <f>IFERROR(VLOOKUP(CONCATENATE(Table43_1[[#This Row],[Kode BARANG Win2]],4),'Form Fix'!$A$6:$H$663,4,0),0)</f>
        <v>0</v>
      </c>
      <c r="G287">
        <f>IFERROR(VLOOKUP(CONCATENATE(Table43_1[[#This Row],[Kode BARANG Win2]],5),'Form Fix'!$A$6:$H$663,4,0),0)</f>
        <v>0</v>
      </c>
    </row>
    <row r="288" spans="1:7">
      <c r="A288" t="s">
        <v>2909</v>
      </c>
      <c r="B288" t="s">
        <v>3272</v>
      </c>
      <c r="C288">
        <f>IFERROR(VLOOKUP(CONCATENATE(Table43_1[[#This Row],[Kode BARANG Win2]],1),'Form Fix'!$A$6:$H$663,4,0),0)</f>
        <v>0</v>
      </c>
      <c r="D288">
        <f>IFERROR(VLOOKUP(CONCATENATE(Table43_1[[#This Row],[Kode BARANG Win2]],2),'Form Fix'!$A$6:$H$663,4,0),0)</f>
        <v>0</v>
      </c>
      <c r="E288">
        <f>IFERROR(VLOOKUP(CONCATENATE(Table43_1[[#This Row],[Kode BARANG Win2]],3),'Form Fix'!$A$6:$H$663,4,0),0)</f>
        <v>0</v>
      </c>
      <c r="F288">
        <f>IFERROR(VLOOKUP(CONCATENATE(Table43_1[[#This Row],[Kode BARANG Win2]],4),'Form Fix'!$A$6:$H$663,4,0),0)</f>
        <v>0</v>
      </c>
      <c r="G288">
        <f>IFERROR(VLOOKUP(CONCATENATE(Table43_1[[#This Row],[Kode BARANG Win2]],5),'Form Fix'!$A$6:$H$663,4,0),0)</f>
        <v>0</v>
      </c>
    </row>
    <row r="289" spans="1:7">
      <c r="A289" t="s">
        <v>2910</v>
      </c>
      <c r="B289" t="s">
        <v>3273</v>
      </c>
      <c r="C289">
        <f>IFERROR(VLOOKUP(CONCATENATE(Table43_1[[#This Row],[Kode BARANG Win2]],1),'Form Fix'!$A$6:$H$663,4,0),0)</f>
        <v>0</v>
      </c>
      <c r="D289">
        <f>IFERROR(VLOOKUP(CONCATENATE(Table43_1[[#This Row],[Kode BARANG Win2]],2),'Form Fix'!$A$6:$H$663,4,0),0)</f>
        <v>0</v>
      </c>
      <c r="E289">
        <f>IFERROR(VLOOKUP(CONCATENATE(Table43_1[[#This Row],[Kode BARANG Win2]],3),'Form Fix'!$A$6:$H$663,4,0),0)</f>
        <v>0</v>
      </c>
      <c r="F289">
        <f>IFERROR(VLOOKUP(CONCATENATE(Table43_1[[#This Row],[Kode BARANG Win2]],4),'Form Fix'!$A$6:$H$663,4,0),0)</f>
        <v>0</v>
      </c>
      <c r="G289">
        <f>IFERROR(VLOOKUP(CONCATENATE(Table43_1[[#This Row],[Kode BARANG Win2]],5),'Form Fix'!$A$6:$H$663,4,0),0)</f>
        <v>0</v>
      </c>
    </row>
    <row r="290" spans="1:7">
      <c r="A290" t="s">
        <v>2908</v>
      </c>
      <c r="B290" t="s">
        <v>3271</v>
      </c>
      <c r="C290">
        <f>IFERROR(VLOOKUP(CONCATENATE(Table43_1[[#This Row],[Kode BARANG Win2]],1),'Form Fix'!$A$6:$H$663,4,0),0)</f>
        <v>0</v>
      </c>
      <c r="D290">
        <f>IFERROR(VLOOKUP(CONCATENATE(Table43_1[[#This Row],[Kode BARANG Win2]],2),'Form Fix'!$A$6:$H$663,4,0),0)</f>
        <v>0</v>
      </c>
      <c r="E290">
        <f>IFERROR(VLOOKUP(CONCATENATE(Table43_1[[#This Row],[Kode BARANG Win2]],3),'Form Fix'!$A$6:$H$663,4,0),0)</f>
        <v>0</v>
      </c>
      <c r="F290">
        <f>IFERROR(VLOOKUP(CONCATENATE(Table43_1[[#This Row],[Kode BARANG Win2]],4),'Form Fix'!$A$6:$H$663,4,0),0)</f>
        <v>0</v>
      </c>
      <c r="G290">
        <f>IFERROR(VLOOKUP(CONCATENATE(Table43_1[[#This Row],[Kode BARANG Win2]],5),'Form Fix'!$A$6:$H$663,4,0),0)</f>
        <v>0</v>
      </c>
    </row>
    <row r="291" spans="1:7">
      <c r="A291" t="s">
        <v>2940</v>
      </c>
      <c r="B291" t="s">
        <v>3302</v>
      </c>
      <c r="C291">
        <f>IFERROR(VLOOKUP(CONCATENATE(Table43_1[[#This Row],[Kode BARANG Win2]],1),'Form Fix'!$A$6:$H$663,4,0),0)</f>
        <v>0</v>
      </c>
      <c r="D291">
        <f>IFERROR(VLOOKUP(CONCATENATE(Table43_1[[#This Row],[Kode BARANG Win2]],2),'Form Fix'!$A$6:$H$663,4,0),0)</f>
        <v>0</v>
      </c>
      <c r="E291">
        <f>IFERROR(VLOOKUP(CONCATENATE(Table43_1[[#This Row],[Kode BARANG Win2]],3),'Form Fix'!$A$6:$H$663,4,0),0)</f>
        <v>0</v>
      </c>
      <c r="F291">
        <f>IFERROR(VLOOKUP(CONCATENATE(Table43_1[[#This Row],[Kode BARANG Win2]],4),'Form Fix'!$A$6:$H$663,4,0),0)</f>
        <v>0</v>
      </c>
      <c r="G291">
        <f>IFERROR(VLOOKUP(CONCATENATE(Table43_1[[#This Row],[Kode BARANG Win2]],5),'Form Fix'!$A$6:$H$663,4,0),0)</f>
        <v>0</v>
      </c>
    </row>
    <row r="292" spans="1:7">
      <c r="A292" t="s">
        <v>2939</v>
      </c>
      <c r="B292" t="s">
        <v>3301</v>
      </c>
      <c r="C292">
        <f>IFERROR(VLOOKUP(CONCATENATE(Table43_1[[#This Row],[Kode BARANG Win2]],1),'Form Fix'!$A$6:$H$663,4,0),0)</f>
        <v>0</v>
      </c>
      <c r="D292">
        <f>IFERROR(VLOOKUP(CONCATENATE(Table43_1[[#This Row],[Kode BARANG Win2]],2),'Form Fix'!$A$6:$H$663,4,0),0)</f>
        <v>0</v>
      </c>
      <c r="E292">
        <f>IFERROR(VLOOKUP(CONCATENATE(Table43_1[[#This Row],[Kode BARANG Win2]],3),'Form Fix'!$A$6:$H$663,4,0),0)</f>
        <v>0</v>
      </c>
      <c r="F292">
        <f>IFERROR(VLOOKUP(CONCATENATE(Table43_1[[#This Row],[Kode BARANG Win2]],4),'Form Fix'!$A$6:$H$663,4,0),0)</f>
        <v>0</v>
      </c>
      <c r="G292">
        <f>IFERROR(VLOOKUP(CONCATENATE(Table43_1[[#This Row],[Kode BARANG Win2]],5),'Form Fix'!$A$6:$H$663,4,0),0)</f>
        <v>0</v>
      </c>
    </row>
    <row r="293" spans="1:7">
      <c r="A293" t="s">
        <v>2943</v>
      </c>
      <c r="B293" t="s">
        <v>3531</v>
      </c>
      <c r="C293">
        <f>IFERROR(VLOOKUP(CONCATENATE(Table43_1[[#This Row],[Kode BARANG Win2]],1),'Form Fix'!$A$6:$H$663,4,0),0)</f>
        <v>0</v>
      </c>
      <c r="D293">
        <f>IFERROR(VLOOKUP(CONCATENATE(Table43_1[[#This Row],[Kode BARANG Win2]],2),'Form Fix'!$A$6:$H$663,4,0),0)</f>
        <v>0</v>
      </c>
      <c r="E293">
        <f>IFERROR(VLOOKUP(CONCATENATE(Table43_1[[#This Row],[Kode BARANG Win2]],3),'Form Fix'!$A$6:$H$663,4,0),0)</f>
        <v>0</v>
      </c>
      <c r="F293">
        <f>IFERROR(VLOOKUP(CONCATENATE(Table43_1[[#This Row],[Kode BARANG Win2]],4),'Form Fix'!$A$6:$H$663,4,0),0)</f>
        <v>0</v>
      </c>
      <c r="G293">
        <f>IFERROR(VLOOKUP(CONCATENATE(Table43_1[[#This Row],[Kode BARANG Win2]],5),'Form Fix'!$A$6:$H$663,4,0),0)</f>
        <v>0</v>
      </c>
    </row>
    <row r="294" spans="1:7">
      <c r="A294" t="s">
        <v>2942</v>
      </c>
      <c r="B294" t="s">
        <v>3532</v>
      </c>
      <c r="C294">
        <f>IFERROR(VLOOKUP(CONCATENATE(Table43_1[[#This Row],[Kode BARANG Win2]],1),'Form Fix'!$A$6:$H$663,4,0),0)</f>
        <v>0</v>
      </c>
      <c r="D294">
        <f>IFERROR(VLOOKUP(CONCATENATE(Table43_1[[#This Row],[Kode BARANG Win2]],2),'Form Fix'!$A$6:$H$663,4,0),0)</f>
        <v>0</v>
      </c>
      <c r="E294">
        <f>IFERROR(VLOOKUP(CONCATENATE(Table43_1[[#This Row],[Kode BARANG Win2]],3),'Form Fix'!$A$6:$H$663,4,0),0)</f>
        <v>0</v>
      </c>
      <c r="F294">
        <f>IFERROR(VLOOKUP(CONCATENATE(Table43_1[[#This Row],[Kode BARANG Win2]],4),'Form Fix'!$A$6:$H$663,4,0),0)</f>
        <v>0</v>
      </c>
      <c r="G294">
        <f>IFERROR(VLOOKUP(CONCATENATE(Table43_1[[#This Row],[Kode BARANG Win2]],5),'Form Fix'!$A$6:$H$663,4,0),0)</f>
        <v>0</v>
      </c>
    </row>
    <row r="295" spans="1:7">
      <c r="A295" t="s">
        <v>3427</v>
      </c>
      <c r="B295" t="s">
        <v>3304</v>
      </c>
      <c r="C295">
        <f>IFERROR(VLOOKUP(CONCATENATE(Table43_1[[#This Row],[Kode BARANG Win2]],1),'Form Fix'!$A$6:$H$663,4,0),0)</f>
        <v>0</v>
      </c>
      <c r="D295">
        <f>IFERROR(VLOOKUP(CONCATENATE(Table43_1[[#This Row],[Kode BARANG Win2]],2),'Form Fix'!$A$6:$H$663,4,0),0)</f>
        <v>0</v>
      </c>
      <c r="E295">
        <f>IFERROR(VLOOKUP(CONCATENATE(Table43_1[[#This Row],[Kode BARANG Win2]],3),'Form Fix'!$A$6:$H$663,4,0),0)</f>
        <v>0</v>
      </c>
      <c r="F295">
        <f>IFERROR(VLOOKUP(CONCATENATE(Table43_1[[#This Row],[Kode BARANG Win2]],4),'Form Fix'!$A$6:$H$663,4,0),0)</f>
        <v>0</v>
      </c>
      <c r="G295">
        <f>IFERROR(VLOOKUP(CONCATENATE(Table43_1[[#This Row],[Kode BARANG Win2]],5),'Form Fix'!$A$6:$H$663,4,0),0)</f>
        <v>0</v>
      </c>
    </row>
    <row r="296" spans="1:7">
      <c r="A296" t="s">
        <v>2941</v>
      </c>
      <c r="B296" t="s">
        <v>3303</v>
      </c>
      <c r="C296">
        <f>IFERROR(VLOOKUP(CONCATENATE(Table43_1[[#This Row],[Kode BARANG Win2]],1),'Form Fix'!$A$6:$H$663,4,0),0)</f>
        <v>0</v>
      </c>
      <c r="D296">
        <f>IFERROR(VLOOKUP(CONCATENATE(Table43_1[[#This Row],[Kode BARANG Win2]],2),'Form Fix'!$A$6:$H$663,4,0),0)</f>
        <v>0</v>
      </c>
      <c r="E296">
        <f>IFERROR(VLOOKUP(CONCATENATE(Table43_1[[#This Row],[Kode BARANG Win2]],3),'Form Fix'!$A$6:$H$663,4,0),0)</f>
        <v>0</v>
      </c>
      <c r="F296">
        <f>IFERROR(VLOOKUP(CONCATENATE(Table43_1[[#This Row],[Kode BARANG Win2]],4),'Form Fix'!$A$6:$H$663,4,0),0)</f>
        <v>0</v>
      </c>
      <c r="G296">
        <f>IFERROR(VLOOKUP(CONCATENATE(Table43_1[[#This Row],[Kode BARANG Win2]],5),'Form Fix'!$A$6:$H$663,4,0),0)</f>
        <v>0</v>
      </c>
    </row>
    <row r="297" spans="1:7">
      <c r="A297" t="s">
        <v>2945</v>
      </c>
      <c r="B297" t="s">
        <v>3306</v>
      </c>
      <c r="C297">
        <f>IFERROR(VLOOKUP(CONCATENATE(Table43_1[[#This Row],[Kode BARANG Win2]],1),'Form Fix'!$A$6:$H$663,4,0),0)</f>
        <v>0</v>
      </c>
      <c r="D297">
        <f>IFERROR(VLOOKUP(CONCATENATE(Table43_1[[#This Row],[Kode BARANG Win2]],2),'Form Fix'!$A$6:$H$663,4,0),0)</f>
        <v>0</v>
      </c>
      <c r="E297">
        <f>IFERROR(VLOOKUP(CONCATENATE(Table43_1[[#This Row],[Kode BARANG Win2]],3),'Form Fix'!$A$6:$H$663,4,0),0)</f>
        <v>0</v>
      </c>
      <c r="F297">
        <f>IFERROR(VLOOKUP(CONCATENATE(Table43_1[[#This Row],[Kode BARANG Win2]],4),'Form Fix'!$A$6:$H$663,4,0),0)</f>
        <v>0</v>
      </c>
      <c r="G297">
        <f>IFERROR(VLOOKUP(CONCATENATE(Table43_1[[#This Row],[Kode BARANG Win2]],5),'Form Fix'!$A$6:$H$663,4,0),0)</f>
        <v>0</v>
      </c>
    </row>
    <row r="298" spans="1:7">
      <c r="A298" t="s">
        <v>2944</v>
      </c>
      <c r="B298" t="s">
        <v>3305</v>
      </c>
      <c r="C298">
        <f>IFERROR(VLOOKUP(CONCATENATE(Table43_1[[#This Row],[Kode BARANG Win2]],1),'Form Fix'!$A$6:$H$663,4,0),0)</f>
        <v>0</v>
      </c>
      <c r="D298">
        <f>IFERROR(VLOOKUP(CONCATENATE(Table43_1[[#This Row],[Kode BARANG Win2]],2),'Form Fix'!$A$6:$H$663,4,0),0)</f>
        <v>0</v>
      </c>
      <c r="E298">
        <f>IFERROR(VLOOKUP(CONCATENATE(Table43_1[[#This Row],[Kode BARANG Win2]],3),'Form Fix'!$A$6:$H$663,4,0),0)</f>
        <v>0</v>
      </c>
      <c r="F298">
        <f>IFERROR(VLOOKUP(CONCATENATE(Table43_1[[#This Row],[Kode BARANG Win2]],4),'Form Fix'!$A$6:$H$663,4,0),0)</f>
        <v>0</v>
      </c>
      <c r="G298">
        <f>IFERROR(VLOOKUP(CONCATENATE(Table43_1[[#This Row],[Kode BARANG Win2]],5),'Form Fix'!$A$6:$H$663,4,0),0)</f>
        <v>0</v>
      </c>
    </row>
    <row r="299" spans="1:7">
      <c r="A299" t="s">
        <v>2947</v>
      </c>
      <c r="B299" t="s">
        <v>3308</v>
      </c>
      <c r="C299">
        <f>IFERROR(VLOOKUP(CONCATENATE(Table43_1[[#This Row],[Kode BARANG Win2]],1),'Form Fix'!$A$6:$H$663,4,0),0)</f>
        <v>0</v>
      </c>
      <c r="D299">
        <f>IFERROR(VLOOKUP(CONCATENATE(Table43_1[[#This Row],[Kode BARANG Win2]],2),'Form Fix'!$A$6:$H$663,4,0),0)</f>
        <v>0</v>
      </c>
      <c r="E299">
        <f>IFERROR(VLOOKUP(CONCATENATE(Table43_1[[#This Row],[Kode BARANG Win2]],3),'Form Fix'!$A$6:$H$663,4,0),0)</f>
        <v>0</v>
      </c>
      <c r="F299">
        <f>IFERROR(VLOOKUP(CONCATENATE(Table43_1[[#This Row],[Kode BARANG Win2]],4),'Form Fix'!$A$6:$H$663,4,0),0)</f>
        <v>0</v>
      </c>
      <c r="G299">
        <f>IFERROR(VLOOKUP(CONCATENATE(Table43_1[[#This Row],[Kode BARANG Win2]],5),'Form Fix'!$A$6:$H$663,4,0),0)</f>
        <v>0</v>
      </c>
    </row>
    <row r="300" spans="1:7">
      <c r="A300" t="s">
        <v>2946</v>
      </c>
      <c r="B300" t="s">
        <v>3307</v>
      </c>
      <c r="C300">
        <f>IFERROR(VLOOKUP(CONCATENATE(Table43_1[[#This Row],[Kode BARANG Win2]],1),'Form Fix'!$A$6:$H$663,4,0),0)</f>
        <v>0</v>
      </c>
      <c r="D300">
        <f>IFERROR(VLOOKUP(CONCATENATE(Table43_1[[#This Row],[Kode BARANG Win2]],2),'Form Fix'!$A$6:$H$663,4,0),0)</f>
        <v>0</v>
      </c>
      <c r="E300">
        <f>IFERROR(VLOOKUP(CONCATENATE(Table43_1[[#This Row],[Kode BARANG Win2]],3),'Form Fix'!$A$6:$H$663,4,0),0)</f>
        <v>0</v>
      </c>
      <c r="F300">
        <f>IFERROR(VLOOKUP(CONCATENATE(Table43_1[[#This Row],[Kode BARANG Win2]],4),'Form Fix'!$A$6:$H$663,4,0),0)</f>
        <v>0</v>
      </c>
      <c r="G300">
        <f>IFERROR(VLOOKUP(CONCATENATE(Table43_1[[#This Row],[Kode BARANG Win2]],5),'Form Fix'!$A$6:$H$663,4,0),0)</f>
        <v>0</v>
      </c>
    </row>
    <row r="301" spans="1:7">
      <c r="A301" t="s">
        <v>2949</v>
      </c>
      <c r="B301" t="s">
        <v>3310</v>
      </c>
      <c r="C301">
        <f>IFERROR(VLOOKUP(CONCATENATE(Table43_1[[#This Row],[Kode BARANG Win2]],1),'Form Fix'!$A$6:$H$663,4,0),0)</f>
        <v>0</v>
      </c>
      <c r="D301">
        <f>IFERROR(VLOOKUP(CONCATENATE(Table43_1[[#This Row],[Kode BARANG Win2]],2),'Form Fix'!$A$6:$H$663,4,0),0)</f>
        <v>0</v>
      </c>
      <c r="E301">
        <f>IFERROR(VLOOKUP(CONCATENATE(Table43_1[[#This Row],[Kode BARANG Win2]],3),'Form Fix'!$A$6:$H$663,4,0),0)</f>
        <v>0</v>
      </c>
      <c r="F301">
        <f>IFERROR(VLOOKUP(CONCATENATE(Table43_1[[#This Row],[Kode BARANG Win2]],4),'Form Fix'!$A$6:$H$663,4,0),0)</f>
        <v>0</v>
      </c>
      <c r="G301">
        <f>IFERROR(VLOOKUP(CONCATENATE(Table43_1[[#This Row],[Kode BARANG Win2]],5),'Form Fix'!$A$6:$H$663,4,0),0)</f>
        <v>0</v>
      </c>
    </row>
    <row r="302" spans="1:7">
      <c r="A302" t="s">
        <v>2948</v>
      </c>
      <c r="B302" t="s">
        <v>3309</v>
      </c>
      <c r="C302">
        <f>IFERROR(VLOOKUP(CONCATENATE(Table43_1[[#This Row],[Kode BARANG Win2]],1),'Form Fix'!$A$6:$H$663,4,0),0)</f>
        <v>0</v>
      </c>
      <c r="D302">
        <f>IFERROR(VLOOKUP(CONCATENATE(Table43_1[[#This Row],[Kode BARANG Win2]],2),'Form Fix'!$A$6:$H$663,4,0),0)</f>
        <v>0</v>
      </c>
      <c r="E302">
        <f>IFERROR(VLOOKUP(CONCATENATE(Table43_1[[#This Row],[Kode BARANG Win2]],3),'Form Fix'!$A$6:$H$663,4,0),0)</f>
        <v>0</v>
      </c>
      <c r="F302">
        <f>IFERROR(VLOOKUP(CONCATENATE(Table43_1[[#This Row],[Kode BARANG Win2]],4),'Form Fix'!$A$6:$H$663,4,0),0)</f>
        <v>0</v>
      </c>
      <c r="G302">
        <f>IFERROR(VLOOKUP(CONCATENATE(Table43_1[[#This Row],[Kode BARANG Win2]],5),'Form Fix'!$A$6:$H$663,4,0),0)</f>
        <v>0</v>
      </c>
    </row>
    <row r="303" spans="1:7">
      <c r="A303" t="s">
        <v>2950</v>
      </c>
      <c r="B303" t="s">
        <v>3311</v>
      </c>
      <c r="C303">
        <f>IFERROR(VLOOKUP(CONCATENATE(Table43_1[[#This Row],[Kode BARANG Win2]],1),'Form Fix'!$A$6:$H$663,4,0),0)</f>
        <v>0</v>
      </c>
      <c r="D303">
        <f>IFERROR(VLOOKUP(CONCATENATE(Table43_1[[#This Row],[Kode BARANG Win2]],2),'Form Fix'!$A$6:$H$663,4,0),0)</f>
        <v>0</v>
      </c>
      <c r="E303">
        <f>IFERROR(VLOOKUP(CONCATENATE(Table43_1[[#This Row],[Kode BARANG Win2]],3),'Form Fix'!$A$6:$H$663,4,0),0)</f>
        <v>0</v>
      </c>
      <c r="F303">
        <f>IFERROR(VLOOKUP(CONCATENATE(Table43_1[[#This Row],[Kode BARANG Win2]],4),'Form Fix'!$A$6:$H$663,4,0),0)</f>
        <v>0</v>
      </c>
      <c r="G303">
        <f>IFERROR(VLOOKUP(CONCATENATE(Table43_1[[#This Row],[Kode BARANG Win2]],5),'Form Fix'!$A$6:$H$663,4,0),0)</f>
        <v>0</v>
      </c>
    </row>
    <row r="304" spans="1:7">
      <c r="A304" t="s">
        <v>2952</v>
      </c>
      <c r="B304" t="s">
        <v>3313</v>
      </c>
      <c r="C304">
        <f>IFERROR(VLOOKUP(CONCATENATE(Table43_1[[#This Row],[Kode BARANG Win2]],1),'Form Fix'!$A$6:$H$663,4,0),0)</f>
        <v>0</v>
      </c>
      <c r="D304">
        <f>IFERROR(VLOOKUP(CONCATENATE(Table43_1[[#This Row],[Kode BARANG Win2]],2),'Form Fix'!$A$6:$H$663,4,0),0)</f>
        <v>0</v>
      </c>
      <c r="E304">
        <f>IFERROR(VLOOKUP(CONCATENATE(Table43_1[[#This Row],[Kode BARANG Win2]],3),'Form Fix'!$A$6:$H$663,4,0),0)</f>
        <v>0</v>
      </c>
      <c r="F304">
        <f>IFERROR(VLOOKUP(CONCATENATE(Table43_1[[#This Row],[Kode BARANG Win2]],4),'Form Fix'!$A$6:$H$663,4,0),0)</f>
        <v>0</v>
      </c>
      <c r="G304">
        <f>IFERROR(VLOOKUP(CONCATENATE(Table43_1[[#This Row],[Kode BARANG Win2]],5),'Form Fix'!$A$6:$H$663,4,0),0)</f>
        <v>0</v>
      </c>
    </row>
    <row r="305" spans="1:7">
      <c r="A305" t="s">
        <v>2951</v>
      </c>
      <c r="B305" t="s">
        <v>3312</v>
      </c>
      <c r="C305">
        <f>IFERROR(VLOOKUP(CONCATENATE(Table43_1[[#This Row],[Kode BARANG Win2]],1),'Form Fix'!$A$6:$H$663,4,0),0)</f>
        <v>0</v>
      </c>
      <c r="D305">
        <f>IFERROR(VLOOKUP(CONCATENATE(Table43_1[[#This Row],[Kode BARANG Win2]],2),'Form Fix'!$A$6:$H$663,4,0),0)</f>
        <v>0</v>
      </c>
      <c r="E305">
        <f>IFERROR(VLOOKUP(CONCATENATE(Table43_1[[#This Row],[Kode BARANG Win2]],3),'Form Fix'!$A$6:$H$663,4,0),0)</f>
        <v>0</v>
      </c>
      <c r="F305">
        <f>IFERROR(VLOOKUP(CONCATENATE(Table43_1[[#This Row],[Kode BARANG Win2]],4),'Form Fix'!$A$6:$H$663,4,0),0)</f>
        <v>0</v>
      </c>
      <c r="G305">
        <f>IFERROR(VLOOKUP(CONCATENATE(Table43_1[[#This Row],[Kode BARANG Win2]],5),'Form Fix'!$A$6:$H$663,4,0),0)</f>
        <v>0</v>
      </c>
    </row>
    <row r="306" spans="1:7">
      <c r="A306" t="s">
        <v>2954</v>
      </c>
      <c r="B306" t="s">
        <v>3315</v>
      </c>
      <c r="C306">
        <f>IFERROR(VLOOKUP(CONCATENATE(Table43_1[[#This Row],[Kode BARANG Win2]],1),'Form Fix'!$A$6:$H$663,4,0),0)</f>
        <v>0</v>
      </c>
      <c r="D306">
        <f>IFERROR(VLOOKUP(CONCATENATE(Table43_1[[#This Row],[Kode BARANG Win2]],2),'Form Fix'!$A$6:$H$663,4,0),0)</f>
        <v>0</v>
      </c>
      <c r="E306">
        <f>IFERROR(VLOOKUP(CONCATENATE(Table43_1[[#This Row],[Kode BARANG Win2]],3),'Form Fix'!$A$6:$H$663,4,0),0)</f>
        <v>0</v>
      </c>
      <c r="F306">
        <f>IFERROR(VLOOKUP(CONCATENATE(Table43_1[[#This Row],[Kode BARANG Win2]],4),'Form Fix'!$A$6:$H$663,4,0),0)</f>
        <v>0</v>
      </c>
      <c r="G306">
        <f>IFERROR(VLOOKUP(CONCATENATE(Table43_1[[#This Row],[Kode BARANG Win2]],5),'Form Fix'!$A$6:$H$663,4,0),0)</f>
        <v>0</v>
      </c>
    </row>
    <row r="307" spans="1:7">
      <c r="A307" t="s">
        <v>2953</v>
      </c>
      <c r="B307" t="s">
        <v>3314</v>
      </c>
      <c r="C307">
        <f>IFERROR(VLOOKUP(CONCATENATE(Table43_1[[#This Row],[Kode BARANG Win2]],1),'Form Fix'!$A$6:$H$663,4,0),0)</f>
        <v>0</v>
      </c>
      <c r="D307">
        <f>IFERROR(VLOOKUP(CONCATENATE(Table43_1[[#This Row],[Kode BARANG Win2]],2),'Form Fix'!$A$6:$H$663,4,0),0)</f>
        <v>0</v>
      </c>
      <c r="E307">
        <f>IFERROR(VLOOKUP(CONCATENATE(Table43_1[[#This Row],[Kode BARANG Win2]],3),'Form Fix'!$A$6:$H$663,4,0),0)</f>
        <v>0</v>
      </c>
      <c r="F307">
        <f>IFERROR(VLOOKUP(CONCATENATE(Table43_1[[#This Row],[Kode BARANG Win2]],4),'Form Fix'!$A$6:$H$663,4,0),0)</f>
        <v>0</v>
      </c>
      <c r="G307">
        <f>IFERROR(VLOOKUP(CONCATENATE(Table43_1[[#This Row],[Kode BARANG Win2]],5),'Form Fix'!$A$6:$H$663,4,0),0)</f>
        <v>0</v>
      </c>
    </row>
    <row r="308" spans="1:7">
      <c r="A308" t="s">
        <v>3426</v>
      </c>
      <c r="B308" t="s">
        <v>3430</v>
      </c>
      <c r="C308">
        <f>IFERROR(VLOOKUP(CONCATENATE(Table43_1[[#This Row],[Kode BARANG Win2]],1),'Form Fix'!$A$6:$H$663,4,0),0)</f>
        <v>0</v>
      </c>
      <c r="D308">
        <f>IFERROR(VLOOKUP(CONCATENATE(Table43_1[[#This Row],[Kode BARANG Win2]],2),'Form Fix'!$A$6:$H$663,4,0),0)</f>
        <v>0</v>
      </c>
      <c r="E308">
        <f>IFERROR(VLOOKUP(CONCATENATE(Table43_1[[#This Row],[Kode BARANG Win2]],3),'Form Fix'!$A$6:$H$663,4,0),0)</f>
        <v>0</v>
      </c>
      <c r="F308">
        <f>IFERROR(VLOOKUP(CONCATENATE(Table43_1[[#This Row],[Kode BARANG Win2]],4),'Form Fix'!$A$6:$H$663,4,0),0)</f>
        <v>0</v>
      </c>
      <c r="G308">
        <f>IFERROR(VLOOKUP(CONCATENATE(Table43_1[[#This Row],[Kode BARANG Win2]],5),'Form Fix'!$A$6:$H$663,4,0),0)</f>
        <v>0</v>
      </c>
    </row>
    <row r="309" spans="1:7">
      <c r="A309" t="s">
        <v>3435</v>
      </c>
      <c r="B309" t="s">
        <v>3533</v>
      </c>
      <c r="C309">
        <f>IFERROR(VLOOKUP(CONCATENATE(Table43_1[[#This Row],[Kode BARANG Win2]],1),'Form Fix'!$A$6:$H$663,4,0),0)</f>
        <v>0</v>
      </c>
      <c r="D309">
        <f>IFERROR(VLOOKUP(CONCATENATE(Table43_1[[#This Row],[Kode BARANG Win2]],2),'Form Fix'!$A$6:$H$663,4,0),0)</f>
        <v>0</v>
      </c>
      <c r="E309">
        <f>IFERROR(VLOOKUP(CONCATENATE(Table43_1[[#This Row],[Kode BARANG Win2]],3),'Form Fix'!$A$6:$H$663,4,0),0)</f>
        <v>0</v>
      </c>
      <c r="F309">
        <f>IFERROR(VLOOKUP(CONCATENATE(Table43_1[[#This Row],[Kode BARANG Win2]],4),'Form Fix'!$A$6:$H$663,4,0),0)</f>
        <v>0</v>
      </c>
      <c r="G309">
        <f>IFERROR(VLOOKUP(CONCATENATE(Table43_1[[#This Row],[Kode BARANG Win2]],5),'Form Fix'!$A$6:$H$663,4,0),0)</f>
        <v>0</v>
      </c>
    </row>
    <row r="310" spans="1:7">
      <c r="A310" t="s">
        <v>2934</v>
      </c>
      <c r="B310" t="s">
        <v>3296</v>
      </c>
      <c r="C310">
        <f>IFERROR(VLOOKUP(CONCATENATE(Table43_1[[#This Row],[Kode BARANG Win2]],1),'Form Fix'!$A$6:$H$663,4,0),0)</f>
        <v>0</v>
      </c>
      <c r="D310">
        <f>IFERROR(VLOOKUP(CONCATENATE(Table43_1[[#This Row],[Kode BARANG Win2]],2),'Form Fix'!$A$6:$H$663,4,0),0)</f>
        <v>0</v>
      </c>
      <c r="E310">
        <f>IFERROR(VLOOKUP(CONCATENATE(Table43_1[[#This Row],[Kode BARANG Win2]],3),'Form Fix'!$A$6:$H$663,4,0),0)</f>
        <v>0</v>
      </c>
      <c r="F310">
        <f>IFERROR(VLOOKUP(CONCATENATE(Table43_1[[#This Row],[Kode BARANG Win2]],4),'Form Fix'!$A$6:$H$663,4,0),0)</f>
        <v>0</v>
      </c>
      <c r="G310">
        <f>IFERROR(VLOOKUP(CONCATENATE(Table43_1[[#This Row],[Kode BARANG Win2]],5),'Form Fix'!$A$6:$H$663,4,0),0)</f>
        <v>0</v>
      </c>
    </row>
    <row r="311" spans="1:7">
      <c r="A311" t="s">
        <v>2935</v>
      </c>
      <c r="B311" t="s">
        <v>3297</v>
      </c>
      <c r="C311">
        <f>IFERROR(VLOOKUP(CONCATENATE(Table43_1[[#This Row],[Kode BARANG Win2]],1),'Form Fix'!$A$6:$H$663,4,0),0)</f>
        <v>0</v>
      </c>
      <c r="D311">
        <f>IFERROR(VLOOKUP(CONCATENATE(Table43_1[[#This Row],[Kode BARANG Win2]],2),'Form Fix'!$A$6:$H$663,4,0),0)</f>
        <v>0</v>
      </c>
      <c r="E311">
        <f>IFERROR(VLOOKUP(CONCATENATE(Table43_1[[#This Row],[Kode BARANG Win2]],3),'Form Fix'!$A$6:$H$663,4,0),0)</f>
        <v>0</v>
      </c>
      <c r="F311">
        <f>IFERROR(VLOOKUP(CONCATENATE(Table43_1[[#This Row],[Kode BARANG Win2]],4),'Form Fix'!$A$6:$H$663,4,0),0)</f>
        <v>0</v>
      </c>
      <c r="G311">
        <f>IFERROR(VLOOKUP(CONCATENATE(Table43_1[[#This Row],[Kode BARANG Win2]],5),'Form Fix'!$A$6:$H$663,4,0),0)</f>
        <v>0</v>
      </c>
    </row>
    <row r="312" spans="1:7">
      <c r="A312" t="s">
        <v>2936</v>
      </c>
      <c r="B312" t="s">
        <v>3298</v>
      </c>
      <c r="C312">
        <f>IFERROR(VLOOKUP(CONCATENATE(Table43_1[[#This Row],[Kode BARANG Win2]],1),'Form Fix'!$A$6:$H$663,4,0),0)</f>
        <v>0</v>
      </c>
      <c r="D312">
        <f>IFERROR(VLOOKUP(CONCATENATE(Table43_1[[#This Row],[Kode BARANG Win2]],2),'Form Fix'!$A$6:$H$663,4,0),0)</f>
        <v>0</v>
      </c>
      <c r="E312">
        <f>IFERROR(VLOOKUP(CONCATENATE(Table43_1[[#This Row],[Kode BARANG Win2]],3),'Form Fix'!$A$6:$H$663,4,0),0)</f>
        <v>0</v>
      </c>
      <c r="F312">
        <f>IFERROR(VLOOKUP(CONCATENATE(Table43_1[[#This Row],[Kode BARANG Win2]],4),'Form Fix'!$A$6:$H$663,4,0),0)</f>
        <v>0</v>
      </c>
      <c r="G312">
        <f>IFERROR(VLOOKUP(CONCATENATE(Table43_1[[#This Row],[Kode BARANG Win2]],5),'Form Fix'!$A$6:$H$663,4,0),0)</f>
        <v>0</v>
      </c>
    </row>
    <row r="313" spans="1:7">
      <c r="A313" t="s">
        <v>2937</v>
      </c>
      <c r="B313" t="s">
        <v>3299</v>
      </c>
      <c r="C313">
        <f>IFERROR(VLOOKUP(CONCATENATE(Table43_1[[#This Row],[Kode BARANG Win2]],1),'Form Fix'!$A$6:$H$663,4,0),0)</f>
        <v>0</v>
      </c>
      <c r="D313">
        <f>IFERROR(VLOOKUP(CONCATENATE(Table43_1[[#This Row],[Kode BARANG Win2]],2),'Form Fix'!$A$6:$H$663,4,0),0)</f>
        <v>0</v>
      </c>
      <c r="E313">
        <f>IFERROR(VLOOKUP(CONCATENATE(Table43_1[[#This Row],[Kode BARANG Win2]],3),'Form Fix'!$A$6:$H$663,4,0),0)</f>
        <v>0</v>
      </c>
      <c r="F313">
        <f>IFERROR(VLOOKUP(CONCATENATE(Table43_1[[#This Row],[Kode BARANG Win2]],4),'Form Fix'!$A$6:$H$663,4,0),0)</f>
        <v>0</v>
      </c>
      <c r="G313">
        <f>IFERROR(VLOOKUP(CONCATENATE(Table43_1[[#This Row],[Kode BARANG Win2]],5),'Form Fix'!$A$6:$H$663,4,0),0)</f>
        <v>0</v>
      </c>
    </row>
    <row r="314" spans="1:7">
      <c r="A314" t="s">
        <v>2938</v>
      </c>
      <c r="B314" t="s">
        <v>3300</v>
      </c>
      <c r="C314">
        <f>IFERROR(VLOOKUP(CONCATENATE(Table43_1[[#This Row],[Kode BARANG Win2]],1),'Form Fix'!$A$6:$H$663,4,0),0)</f>
        <v>0</v>
      </c>
      <c r="D314">
        <f>IFERROR(VLOOKUP(CONCATENATE(Table43_1[[#This Row],[Kode BARANG Win2]],2),'Form Fix'!$A$6:$H$663,4,0),0)</f>
        <v>0</v>
      </c>
      <c r="E314">
        <f>IFERROR(VLOOKUP(CONCATENATE(Table43_1[[#This Row],[Kode BARANG Win2]],3),'Form Fix'!$A$6:$H$663,4,0),0)</f>
        <v>0</v>
      </c>
      <c r="F314">
        <f>IFERROR(VLOOKUP(CONCATENATE(Table43_1[[#This Row],[Kode BARANG Win2]],4),'Form Fix'!$A$6:$H$663,4,0),0)</f>
        <v>0</v>
      </c>
      <c r="G314">
        <f>IFERROR(VLOOKUP(CONCATENATE(Table43_1[[#This Row],[Kode BARANG Win2]],5),'Form Fix'!$A$6:$H$663,4,0),0)</f>
        <v>0</v>
      </c>
    </row>
    <row r="315" spans="1:7">
      <c r="A315" t="s">
        <v>2955</v>
      </c>
      <c r="B315" t="s">
        <v>3316</v>
      </c>
      <c r="C315">
        <f>IFERROR(VLOOKUP(CONCATENATE(Table43_1[[#This Row],[Kode BARANG Win2]],1),'Form Fix'!$A$6:$H$663,4,0),0)</f>
        <v>0</v>
      </c>
      <c r="D315">
        <f>IFERROR(VLOOKUP(CONCATENATE(Table43_1[[#This Row],[Kode BARANG Win2]],2),'Form Fix'!$A$6:$H$663,4,0),0)</f>
        <v>0</v>
      </c>
      <c r="E315">
        <f>IFERROR(VLOOKUP(CONCATENATE(Table43_1[[#This Row],[Kode BARANG Win2]],3),'Form Fix'!$A$6:$H$663,4,0),0)</f>
        <v>0</v>
      </c>
      <c r="F315">
        <f>IFERROR(VLOOKUP(CONCATENATE(Table43_1[[#This Row],[Kode BARANG Win2]],4),'Form Fix'!$A$6:$H$663,4,0),0)</f>
        <v>0</v>
      </c>
      <c r="G315">
        <f>IFERROR(VLOOKUP(CONCATENATE(Table43_1[[#This Row],[Kode BARANG Win2]],5),'Form Fix'!$A$6:$H$663,4,0),0)</f>
        <v>0</v>
      </c>
    </row>
    <row r="316" spans="1:7">
      <c r="A316" t="s">
        <v>2956</v>
      </c>
      <c r="B316" t="s">
        <v>3317</v>
      </c>
      <c r="C316">
        <f>IFERROR(VLOOKUP(CONCATENATE(Table43_1[[#This Row],[Kode BARANG Win2]],1),'Form Fix'!$A$6:$H$663,4,0),0)</f>
        <v>0</v>
      </c>
      <c r="D316">
        <f>IFERROR(VLOOKUP(CONCATENATE(Table43_1[[#This Row],[Kode BARANG Win2]],2),'Form Fix'!$A$6:$H$663,4,0),0)</f>
        <v>0</v>
      </c>
      <c r="E316">
        <f>IFERROR(VLOOKUP(CONCATENATE(Table43_1[[#This Row],[Kode BARANG Win2]],3),'Form Fix'!$A$6:$H$663,4,0),0)</f>
        <v>0</v>
      </c>
      <c r="F316">
        <f>IFERROR(VLOOKUP(CONCATENATE(Table43_1[[#This Row],[Kode BARANG Win2]],4),'Form Fix'!$A$6:$H$663,4,0),0)</f>
        <v>0</v>
      </c>
      <c r="G316">
        <f>IFERROR(VLOOKUP(CONCATENATE(Table43_1[[#This Row],[Kode BARANG Win2]],5),'Form Fix'!$A$6:$H$663,4,0),0)</f>
        <v>0</v>
      </c>
    </row>
    <row r="317" spans="1:7">
      <c r="A317" t="s">
        <v>2967</v>
      </c>
      <c r="B317" t="s">
        <v>3328</v>
      </c>
      <c r="C317">
        <f>IFERROR(VLOOKUP(CONCATENATE(Table43_1[[#This Row],[Kode BARANG Win2]],1),'Form Fix'!$A$6:$H$663,4,0),0)</f>
        <v>0</v>
      </c>
      <c r="D317">
        <f>IFERROR(VLOOKUP(CONCATENATE(Table43_1[[#This Row],[Kode BARANG Win2]],2),'Form Fix'!$A$6:$H$663,4,0),0)</f>
        <v>0</v>
      </c>
      <c r="E317">
        <f>IFERROR(VLOOKUP(CONCATENATE(Table43_1[[#This Row],[Kode BARANG Win2]],3),'Form Fix'!$A$6:$H$663,4,0),0)</f>
        <v>0</v>
      </c>
      <c r="F317">
        <f>IFERROR(VLOOKUP(CONCATENATE(Table43_1[[#This Row],[Kode BARANG Win2]],4),'Form Fix'!$A$6:$H$663,4,0),0)</f>
        <v>0</v>
      </c>
      <c r="G317">
        <f>IFERROR(VLOOKUP(CONCATENATE(Table43_1[[#This Row],[Kode BARANG Win2]],5),'Form Fix'!$A$6:$H$663,4,0),0)</f>
        <v>0</v>
      </c>
    </row>
    <row r="318" spans="1:7">
      <c r="A318" t="s">
        <v>2960</v>
      </c>
      <c r="B318" t="s">
        <v>3534</v>
      </c>
      <c r="C318">
        <f>IFERROR(VLOOKUP(CONCATENATE(Table43_1[[#This Row],[Kode BARANG Win2]],1),'Form Fix'!$A$6:$H$663,4,0),0)</f>
        <v>0</v>
      </c>
      <c r="D318">
        <f>IFERROR(VLOOKUP(CONCATENATE(Table43_1[[#This Row],[Kode BARANG Win2]],2),'Form Fix'!$A$6:$H$663,4,0),0)</f>
        <v>0</v>
      </c>
      <c r="E318">
        <f>IFERROR(VLOOKUP(CONCATENATE(Table43_1[[#This Row],[Kode BARANG Win2]],3),'Form Fix'!$A$6:$H$663,4,0),0)</f>
        <v>0</v>
      </c>
      <c r="F318">
        <f>IFERROR(VLOOKUP(CONCATENATE(Table43_1[[#This Row],[Kode BARANG Win2]],4),'Form Fix'!$A$6:$H$663,4,0),0)</f>
        <v>0</v>
      </c>
      <c r="G318">
        <f>IFERROR(VLOOKUP(CONCATENATE(Table43_1[[#This Row],[Kode BARANG Win2]],5),'Form Fix'!$A$6:$H$663,4,0),0)</f>
        <v>0</v>
      </c>
    </row>
    <row r="319" spans="1:7">
      <c r="A319" t="s">
        <v>2969</v>
      </c>
      <c r="B319" t="s">
        <v>3329</v>
      </c>
      <c r="C319">
        <f>IFERROR(VLOOKUP(CONCATENATE(Table43_1[[#This Row],[Kode BARANG Win2]],1),'Form Fix'!$A$6:$H$663,4,0),0)</f>
        <v>0</v>
      </c>
      <c r="D319">
        <f>IFERROR(VLOOKUP(CONCATENATE(Table43_1[[#This Row],[Kode BARANG Win2]],2),'Form Fix'!$A$6:$H$663,4,0),0)</f>
        <v>0</v>
      </c>
      <c r="E319">
        <f>IFERROR(VLOOKUP(CONCATENATE(Table43_1[[#This Row],[Kode BARANG Win2]],3),'Form Fix'!$A$6:$H$663,4,0),0)</f>
        <v>0</v>
      </c>
      <c r="F319">
        <f>IFERROR(VLOOKUP(CONCATENATE(Table43_1[[#This Row],[Kode BARANG Win2]],4),'Form Fix'!$A$6:$H$663,4,0),0)</f>
        <v>0</v>
      </c>
      <c r="G319">
        <f>IFERROR(VLOOKUP(CONCATENATE(Table43_1[[#This Row],[Kode BARANG Win2]],5),'Form Fix'!$A$6:$H$663,4,0),0)</f>
        <v>0</v>
      </c>
    </row>
    <row r="320" spans="1:7">
      <c r="A320" t="s">
        <v>2957</v>
      </c>
      <c r="B320" t="s">
        <v>3318</v>
      </c>
      <c r="C320">
        <f>IFERROR(VLOOKUP(CONCATENATE(Table43_1[[#This Row],[Kode BARANG Win2]],1),'Form Fix'!$A$6:$H$663,4,0),0)</f>
        <v>0</v>
      </c>
      <c r="D320">
        <f>IFERROR(VLOOKUP(CONCATENATE(Table43_1[[#This Row],[Kode BARANG Win2]],2),'Form Fix'!$A$6:$H$663,4,0),0)</f>
        <v>0</v>
      </c>
      <c r="E320">
        <f>IFERROR(VLOOKUP(CONCATENATE(Table43_1[[#This Row],[Kode BARANG Win2]],3),'Form Fix'!$A$6:$H$663,4,0),0)</f>
        <v>0</v>
      </c>
      <c r="F320">
        <f>IFERROR(VLOOKUP(CONCATENATE(Table43_1[[#This Row],[Kode BARANG Win2]],4),'Form Fix'!$A$6:$H$663,4,0),0)</f>
        <v>0</v>
      </c>
      <c r="G320">
        <f>IFERROR(VLOOKUP(CONCATENATE(Table43_1[[#This Row],[Kode BARANG Win2]],5),'Form Fix'!$A$6:$H$663,4,0),0)</f>
        <v>0</v>
      </c>
    </row>
    <row r="321" spans="1:7">
      <c r="A321" t="s">
        <v>2958</v>
      </c>
      <c r="B321" t="s">
        <v>3319</v>
      </c>
      <c r="C321">
        <f>IFERROR(VLOOKUP(CONCATENATE(Table43_1[[#This Row],[Kode BARANG Win2]],1),'Form Fix'!$A$6:$H$663,4,0),0)</f>
        <v>0</v>
      </c>
      <c r="D321">
        <f>IFERROR(VLOOKUP(CONCATENATE(Table43_1[[#This Row],[Kode BARANG Win2]],2),'Form Fix'!$A$6:$H$663,4,0),0)</f>
        <v>0</v>
      </c>
      <c r="E321">
        <f>IFERROR(VLOOKUP(CONCATENATE(Table43_1[[#This Row],[Kode BARANG Win2]],3),'Form Fix'!$A$6:$H$663,4,0),0)</f>
        <v>0</v>
      </c>
      <c r="F321">
        <f>IFERROR(VLOOKUP(CONCATENATE(Table43_1[[#This Row],[Kode BARANG Win2]],4),'Form Fix'!$A$6:$H$663,4,0),0)</f>
        <v>0</v>
      </c>
      <c r="G321">
        <f>IFERROR(VLOOKUP(CONCATENATE(Table43_1[[#This Row],[Kode BARANG Win2]],5),'Form Fix'!$A$6:$H$663,4,0),0)</f>
        <v>0</v>
      </c>
    </row>
    <row r="322" spans="1:7">
      <c r="A322" t="s">
        <v>2959</v>
      </c>
      <c r="B322" t="s">
        <v>3320</v>
      </c>
      <c r="C322">
        <f>IFERROR(VLOOKUP(CONCATENATE(Table43_1[[#This Row],[Kode BARANG Win2]],1),'Form Fix'!$A$6:$H$663,4,0),0)</f>
        <v>0</v>
      </c>
      <c r="D322">
        <f>IFERROR(VLOOKUP(CONCATENATE(Table43_1[[#This Row],[Kode BARANG Win2]],2),'Form Fix'!$A$6:$H$663,4,0),0)</f>
        <v>0</v>
      </c>
      <c r="E322">
        <f>IFERROR(VLOOKUP(CONCATENATE(Table43_1[[#This Row],[Kode BARANG Win2]],3),'Form Fix'!$A$6:$H$663,4,0),0)</f>
        <v>0</v>
      </c>
      <c r="F322">
        <f>IFERROR(VLOOKUP(CONCATENATE(Table43_1[[#This Row],[Kode BARANG Win2]],4),'Form Fix'!$A$6:$H$663,4,0),0)</f>
        <v>0</v>
      </c>
      <c r="G322">
        <f>IFERROR(VLOOKUP(CONCATENATE(Table43_1[[#This Row],[Kode BARANG Win2]],5),'Form Fix'!$A$6:$H$663,4,0),0)</f>
        <v>0</v>
      </c>
    </row>
    <row r="323" spans="1:7">
      <c r="A323" t="s">
        <v>2968</v>
      </c>
      <c r="B323" t="s">
        <v>3321</v>
      </c>
      <c r="C323">
        <f>IFERROR(VLOOKUP(CONCATENATE(Table43_1[[#This Row],[Kode BARANG Win2]],1),'Form Fix'!$A$6:$H$663,4,0),0)</f>
        <v>0</v>
      </c>
      <c r="D323">
        <f>IFERROR(VLOOKUP(CONCATENATE(Table43_1[[#This Row],[Kode BARANG Win2]],2),'Form Fix'!$A$6:$H$663,4,0),0)</f>
        <v>0</v>
      </c>
      <c r="E323">
        <f>IFERROR(VLOOKUP(CONCATENATE(Table43_1[[#This Row],[Kode BARANG Win2]],3),'Form Fix'!$A$6:$H$663,4,0),0)</f>
        <v>0</v>
      </c>
      <c r="F323">
        <f>IFERROR(VLOOKUP(CONCATENATE(Table43_1[[#This Row],[Kode BARANG Win2]],4),'Form Fix'!$A$6:$H$663,4,0),0)</f>
        <v>0</v>
      </c>
      <c r="G323">
        <f>IFERROR(VLOOKUP(CONCATENATE(Table43_1[[#This Row],[Kode BARANG Win2]],5),'Form Fix'!$A$6:$H$663,4,0),0)</f>
        <v>0</v>
      </c>
    </row>
    <row r="324" spans="1:7">
      <c r="A324" t="s">
        <v>2961</v>
      </c>
      <c r="B324" t="s">
        <v>3322</v>
      </c>
      <c r="C324">
        <f>IFERROR(VLOOKUP(CONCATENATE(Table43_1[[#This Row],[Kode BARANG Win2]],1),'Form Fix'!$A$6:$H$663,4,0),0)</f>
        <v>0</v>
      </c>
      <c r="D324">
        <f>IFERROR(VLOOKUP(CONCATENATE(Table43_1[[#This Row],[Kode BARANG Win2]],2),'Form Fix'!$A$6:$H$663,4,0),0)</f>
        <v>0</v>
      </c>
      <c r="E324">
        <f>IFERROR(VLOOKUP(CONCATENATE(Table43_1[[#This Row],[Kode BARANG Win2]],3),'Form Fix'!$A$6:$H$663,4,0),0)</f>
        <v>0</v>
      </c>
      <c r="F324">
        <f>IFERROR(VLOOKUP(CONCATENATE(Table43_1[[#This Row],[Kode BARANG Win2]],4),'Form Fix'!$A$6:$H$663,4,0),0)</f>
        <v>0</v>
      </c>
      <c r="G324">
        <f>IFERROR(VLOOKUP(CONCATENATE(Table43_1[[#This Row],[Kode BARANG Win2]],5),'Form Fix'!$A$6:$H$663,4,0),0)</f>
        <v>0</v>
      </c>
    </row>
    <row r="325" spans="1:7">
      <c r="A325" t="s">
        <v>2962</v>
      </c>
      <c r="B325" t="s">
        <v>3323</v>
      </c>
      <c r="C325">
        <f>IFERROR(VLOOKUP(CONCATENATE(Table43_1[[#This Row],[Kode BARANG Win2]],1),'Form Fix'!$A$6:$H$663,4,0),0)</f>
        <v>0</v>
      </c>
      <c r="D325">
        <f>IFERROR(VLOOKUP(CONCATENATE(Table43_1[[#This Row],[Kode BARANG Win2]],2),'Form Fix'!$A$6:$H$663,4,0),0)</f>
        <v>0</v>
      </c>
      <c r="E325">
        <f>IFERROR(VLOOKUP(CONCATENATE(Table43_1[[#This Row],[Kode BARANG Win2]],3),'Form Fix'!$A$6:$H$663,4,0),0)</f>
        <v>0</v>
      </c>
      <c r="F325">
        <f>IFERROR(VLOOKUP(CONCATENATE(Table43_1[[#This Row],[Kode BARANG Win2]],4),'Form Fix'!$A$6:$H$663,4,0),0)</f>
        <v>0</v>
      </c>
      <c r="G325">
        <f>IFERROR(VLOOKUP(CONCATENATE(Table43_1[[#This Row],[Kode BARANG Win2]],5),'Form Fix'!$A$6:$H$663,4,0),0)</f>
        <v>0</v>
      </c>
    </row>
    <row r="326" spans="1:7">
      <c r="A326" t="s">
        <v>2963</v>
      </c>
      <c r="B326" t="s">
        <v>3324</v>
      </c>
      <c r="C326">
        <f>IFERROR(VLOOKUP(CONCATENATE(Table43_1[[#This Row],[Kode BARANG Win2]],1),'Form Fix'!$A$6:$H$663,4,0),0)</f>
        <v>0</v>
      </c>
      <c r="D326">
        <f>IFERROR(VLOOKUP(CONCATENATE(Table43_1[[#This Row],[Kode BARANG Win2]],2),'Form Fix'!$A$6:$H$663,4,0),0)</f>
        <v>0</v>
      </c>
      <c r="E326">
        <f>IFERROR(VLOOKUP(CONCATENATE(Table43_1[[#This Row],[Kode BARANG Win2]],3),'Form Fix'!$A$6:$H$663,4,0),0)</f>
        <v>0</v>
      </c>
      <c r="F326">
        <f>IFERROR(VLOOKUP(CONCATENATE(Table43_1[[#This Row],[Kode BARANG Win2]],4),'Form Fix'!$A$6:$H$663,4,0),0)</f>
        <v>0</v>
      </c>
      <c r="G326">
        <f>IFERROR(VLOOKUP(CONCATENATE(Table43_1[[#This Row],[Kode BARANG Win2]],5),'Form Fix'!$A$6:$H$663,4,0),0)</f>
        <v>0</v>
      </c>
    </row>
    <row r="327" spans="1:7">
      <c r="A327" t="s">
        <v>2964</v>
      </c>
      <c r="B327" t="s">
        <v>3325</v>
      </c>
      <c r="C327">
        <f>IFERROR(VLOOKUP(CONCATENATE(Table43_1[[#This Row],[Kode BARANG Win2]],1),'Form Fix'!$A$6:$H$663,4,0),0)</f>
        <v>0</v>
      </c>
      <c r="D327">
        <f>IFERROR(VLOOKUP(CONCATENATE(Table43_1[[#This Row],[Kode BARANG Win2]],2),'Form Fix'!$A$6:$H$663,4,0),0)</f>
        <v>0</v>
      </c>
      <c r="E327">
        <f>IFERROR(VLOOKUP(CONCATENATE(Table43_1[[#This Row],[Kode BARANG Win2]],3),'Form Fix'!$A$6:$H$663,4,0),0)</f>
        <v>0</v>
      </c>
      <c r="F327">
        <f>IFERROR(VLOOKUP(CONCATENATE(Table43_1[[#This Row],[Kode BARANG Win2]],4),'Form Fix'!$A$6:$H$663,4,0),0)</f>
        <v>0</v>
      </c>
      <c r="G327">
        <f>IFERROR(VLOOKUP(CONCATENATE(Table43_1[[#This Row],[Kode BARANG Win2]],5),'Form Fix'!$A$6:$H$663,4,0),0)</f>
        <v>0</v>
      </c>
    </row>
    <row r="328" spans="1:7">
      <c r="A328" t="s">
        <v>2965</v>
      </c>
      <c r="B328" t="s">
        <v>3326</v>
      </c>
      <c r="C328">
        <f>IFERROR(VLOOKUP(CONCATENATE(Table43_1[[#This Row],[Kode BARANG Win2]],1),'Form Fix'!$A$6:$H$663,4,0),0)</f>
        <v>0</v>
      </c>
      <c r="D328">
        <f>IFERROR(VLOOKUP(CONCATENATE(Table43_1[[#This Row],[Kode BARANG Win2]],2),'Form Fix'!$A$6:$H$663,4,0),0)</f>
        <v>0</v>
      </c>
      <c r="E328">
        <f>IFERROR(VLOOKUP(CONCATENATE(Table43_1[[#This Row],[Kode BARANG Win2]],3),'Form Fix'!$A$6:$H$663,4,0),0)</f>
        <v>0</v>
      </c>
      <c r="F328">
        <f>IFERROR(VLOOKUP(CONCATENATE(Table43_1[[#This Row],[Kode BARANG Win2]],4),'Form Fix'!$A$6:$H$663,4,0),0)</f>
        <v>0</v>
      </c>
      <c r="G328">
        <f>IFERROR(VLOOKUP(CONCATENATE(Table43_1[[#This Row],[Kode BARANG Win2]],5),'Form Fix'!$A$6:$H$663,4,0),0)</f>
        <v>0</v>
      </c>
    </row>
    <row r="329" spans="1:7">
      <c r="A329" t="s">
        <v>2966</v>
      </c>
      <c r="B329" t="s">
        <v>3327</v>
      </c>
      <c r="C329">
        <f>IFERROR(VLOOKUP(CONCATENATE(Table43_1[[#This Row],[Kode BARANG Win2]],1),'Form Fix'!$A$6:$H$663,4,0),0)</f>
        <v>0</v>
      </c>
      <c r="D329">
        <f>IFERROR(VLOOKUP(CONCATENATE(Table43_1[[#This Row],[Kode BARANG Win2]],2),'Form Fix'!$A$6:$H$663,4,0),0)</f>
        <v>0</v>
      </c>
      <c r="E329">
        <f>IFERROR(VLOOKUP(CONCATENATE(Table43_1[[#This Row],[Kode BARANG Win2]],3),'Form Fix'!$A$6:$H$663,4,0),0)</f>
        <v>0</v>
      </c>
      <c r="F329">
        <f>IFERROR(VLOOKUP(CONCATENATE(Table43_1[[#This Row],[Kode BARANG Win2]],4),'Form Fix'!$A$6:$H$663,4,0),0)</f>
        <v>0</v>
      </c>
      <c r="G329">
        <f>IFERROR(VLOOKUP(CONCATENATE(Table43_1[[#This Row],[Kode BARANG Win2]],5),'Form Fix'!$A$6:$H$663,4,0),0)</f>
        <v>0</v>
      </c>
    </row>
    <row r="330" spans="1:7">
      <c r="A330" t="s">
        <v>2970</v>
      </c>
      <c r="B330" t="s">
        <v>3330</v>
      </c>
      <c r="C330">
        <f>IFERROR(VLOOKUP(CONCATENATE(Table43_1[[#This Row],[Kode BARANG Win2]],1),'Form Fix'!$A$6:$H$663,4,0),0)</f>
        <v>0</v>
      </c>
      <c r="D330">
        <f>IFERROR(VLOOKUP(CONCATENATE(Table43_1[[#This Row],[Kode BARANG Win2]],2),'Form Fix'!$A$6:$H$663,4,0),0)</f>
        <v>0</v>
      </c>
      <c r="E330">
        <f>IFERROR(VLOOKUP(CONCATENATE(Table43_1[[#This Row],[Kode BARANG Win2]],3),'Form Fix'!$A$6:$H$663,4,0),0)</f>
        <v>0</v>
      </c>
      <c r="F330">
        <f>IFERROR(VLOOKUP(CONCATENATE(Table43_1[[#This Row],[Kode BARANG Win2]],4),'Form Fix'!$A$6:$H$663,4,0),0)</f>
        <v>0</v>
      </c>
      <c r="G330">
        <f>IFERROR(VLOOKUP(CONCATENATE(Table43_1[[#This Row],[Kode BARANG Win2]],5),'Form Fix'!$A$6:$H$663,4,0),0)</f>
        <v>0</v>
      </c>
    </row>
    <row r="331" spans="1:7">
      <c r="A331" t="s">
        <v>2971</v>
      </c>
      <c r="B331" t="s">
        <v>3331</v>
      </c>
      <c r="C331">
        <f>IFERROR(VLOOKUP(CONCATENATE(Table43_1[[#This Row],[Kode BARANG Win2]],1),'Form Fix'!$A$6:$H$663,4,0),0)</f>
        <v>0</v>
      </c>
      <c r="D331">
        <f>IFERROR(VLOOKUP(CONCATENATE(Table43_1[[#This Row],[Kode BARANG Win2]],2),'Form Fix'!$A$6:$H$663,4,0),0)</f>
        <v>0</v>
      </c>
      <c r="E331">
        <f>IFERROR(VLOOKUP(CONCATENATE(Table43_1[[#This Row],[Kode BARANG Win2]],3),'Form Fix'!$A$6:$H$663,4,0),0)</f>
        <v>0</v>
      </c>
      <c r="F331">
        <f>IFERROR(VLOOKUP(CONCATENATE(Table43_1[[#This Row],[Kode BARANG Win2]],4),'Form Fix'!$A$6:$H$663,4,0),0)</f>
        <v>0</v>
      </c>
      <c r="G331">
        <f>IFERROR(VLOOKUP(CONCATENATE(Table43_1[[#This Row],[Kode BARANG Win2]],5),'Form Fix'!$A$6:$H$663,4,0),0)</f>
        <v>0</v>
      </c>
    </row>
    <row r="332" spans="1:7">
      <c r="A332" t="s">
        <v>2972</v>
      </c>
      <c r="B332" t="s">
        <v>3332</v>
      </c>
      <c r="C332">
        <f>IFERROR(VLOOKUP(CONCATENATE(Table43_1[[#This Row],[Kode BARANG Win2]],1),'Form Fix'!$A$6:$H$663,4,0),0)</f>
        <v>0</v>
      </c>
      <c r="D332">
        <f>IFERROR(VLOOKUP(CONCATENATE(Table43_1[[#This Row],[Kode BARANG Win2]],2),'Form Fix'!$A$6:$H$663,4,0),0)</f>
        <v>0</v>
      </c>
      <c r="E332">
        <f>IFERROR(VLOOKUP(CONCATENATE(Table43_1[[#This Row],[Kode BARANG Win2]],3),'Form Fix'!$A$6:$H$663,4,0),0)</f>
        <v>0</v>
      </c>
      <c r="F332">
        <f>IFERROR(VLOOKUP(CONCATENATE(Table43_1[[#This Row],[Kode BARANG Win2]],4),'Form Fix'!$A$6:$H$663,4,0),0)</f>
        <v>0</v>
      </c>
      <c r="G332">
        <f>IFERROR(VLOOKUP(CONCATENATE(Table43_1[[#This Row],[Kode BARANG Win2]],5),'Form Fix'!$A$6:$H$663,4,0),0)</f>
        <v>0</v>
      </c>
    </row>
    <row r="333" spans="1:7">
      <c r="A333" t="s">
        <v>3411</v>
      </c>
      <c r="B333" t="s">
        <v>3420</v>
      </c>
      <c r="C333">
        <f>IFERROR(VLOOKUP(CONCATENATE(Table43_1[[#This Row],[Kode BARANG Win2]],1),'Form Fix'!$A$6:$H$663,4,0),0)</f>
        <v>0</v>
      </c>
      <c r="D333">
        <f>IFERROR(VLOOKUP(CONCATENATE(Table43_1[[#This Row],[Kode BARANG Win2]],2),'Form Fix'!$A$6:$H$663,4,0),0)</f>
        <v>0</v>
      </c>
      <c r="E333">
        <f>IFERROR(VLOOKUP(CONCATENATE(Table43_1[[#This Row],[Kode BARANG Win2]],3),'Form Fix'!$A$6:$H$663,4,0),0)</f>
        <v>0</v>
      </c>
      <c r="F333">
        <f>IFERROR(VLOOKUP(CONCATENATE(Table43_1[[#This Row],[Kode BARANG Win2]],4),'Form Fix'!$A$6:$H$663,4,0),0)</f>
        <v>0</v>
      </c>
      <c r="G333">
        <f>IFERROR(VLOOKUP(CONCATENATE(Table43_1[[#This Row],[Kode BARANG Win2]],5),'Form Fix'!$A$6:$H$663,4,0),0)</f>
        <v>0</v>
      </c>
    </row>
    <row r="334" spans="1:7">
      <c r="A334" t="s">
        <v>2977</v>
      </c>
      <c r="B334" t="s">
        <v>3337</v>
      </c>
      <c r="C334">
        <f>IFERROR(VLOOKUP(CONCATENATE(Table43_1[[#This Row],[Kode BARANG Win2]],1),'Form Fix'!$A$6:$H$663,4,0),0)</f>
        <v>0</v>
      </c>
      <c r="D334">
        <f>IFERROR(VLOOKUP(CONCATENATE(Table43_1[[#This Row],[Kode BARANG Win2]],2),'Form Fix'!$A$6:$H$663,4,0),0)</f>
        <v>0</v>
      </c>
      <c r="E334">
        <f>IFERROR(VLOOKUP(CONCATENATE(Table43_1[[#This Row],[Kode BARANG Win2]],3),'Form Fix'!$A$6:$H$663,4,0),0)</f>
        <v>0</v>
      </c>
      <c r="F334">
        <f>IFERROR(VLOOKUP(CONCATENATE(Table43_1[[#This Row],[Kode BARANG Win2]],4),'Form Fix'!$A$6:$H$663,4,0),0)</f>
        <v>0</v>
      </c>
      <c r="G334">
        <f>IFERROR(VLOOKUP(CONCATENATE(Table43_1[[#This Row],[Kode BARANG Win2]],5),'Form Fix'!$A$6:$H$663,4,0),0)</f>
        <v>0</v>
      </c>
    </row>
    <row r="335" spans="1:7">
      <c r="A335" t="s">
        <v>2978</v>
      </c>
      <c r="B335" t="s">
        <v>3338</v>
      </c>
      <c r="C335">
        <f>IFERROR(VLOOKUP(CONCATENATE(Table43_1[[#This Row],[Kode BARANG Win2]],1),'Form Fix'!$A$6:$H$663,4,0),0)</f>
        <v>0</v>
      </c>
      <c r="D335">
        <f>IFERROR(VLOOKUP(CONCATENATE(Table43_1[[#This Row],[Kode BARANG Win2]],2),'Form Fix'!$A$6:$H$663,4,0),0)</f>
        <v>0</v>
      </c>
      <c r="E335">
        <f>IFERROR(VLOOKUP(CONCATENATE(Table43_1[[#This Row],[Kode BARANG Win2]],3),'Form Fix'!$A$6:$H$663,4,0),0)</f>
        <v>0</v>
      </c>
      <c r="F335">
        <f>IFERROR(VLOOKUP(CONCATENATE(Table43_1[[#This Row],[Kode BARANG Win2]],4),'Form Fix'!$A$6:$H$663,4,0),0)</f>
        <v>0</v>
      </c>
      <c r="G335">
        <f>IFERROR(VLOOKUP(CONCATENATE(Table43_1[[#This Row],[Kode BARANG Win2]],5),'Form Fix'!$A$6:$H$663,4,0),0)</f>
        <v>0</v>
      </c>
    </row>
    <row r="336" spans="1:7">
      <c r="A336" t="s">
        <v>2979</v>
      </c>
      <c r="B336" t="s">
        <v>3339</v>
      </c>
      <c r="C336">
        <f>IFERROR(VLOOKUP(CONCATENATE(Table43_1[[#This Row],[Kode BARANG Win2]],1),'Form Fix'!$A$6:$H$663,4,0),0)</f>
        <v>0</v>
      </c>
      <c r="D336">
        <f>IFERROR(VLOOKUP(CONCATENATE(Table43_1[[#This Row],[Kode BARANG Win2]],2),'Form Fix'!$A$6:$H$663,4,0),0)</f>
        <v>0</v>
      </c>
      <c r="E336">
        <f>IFERROR(VLOOKUP(CONCATENATE(Table43_1[[#This Row],[Kode BARANG Win2]],3),'Form Fix'!$A$6:$H$663,4,0),0)</f>
        <v>0</v>
      </c>
      <c r="F336">
        <f>IFERROR(VLOOKUP(CONCATENATE(Table43_1[[#This Row],[Kode BARANG Win2]],4),'Form Fix'!$A$6:$H$663,4,0),0)</f>
        <v>0</v>
      </c>
      <c r="G336">
        <f>IFERROR(VLOOKUP(CONCATENATE(Table43_1[[#This Row],[Kode BARANG Win2]],5),'Form Fix'!$A$6:$H$663,4,0),0)</f>
        <v>0</v>
      </c>
    </row>
    <row r="337" spans="1:7">
      <c r="A337" t="s">
        <v>2980</v>
      </c>
      <c r="B337" t="s">
        <v>3340</v>
      </c>
      <c r="C337">
        <f>IFERROR(VLOOKUP(CONCATENATE(Table43_1[[#This Row],[Kode BARANG Win2]],1),'Form Fix'!$A$6:$H$663,4,0),0)</f>
        <v>0</v>
      </c>
      <c r="D337">
        <f>IFERROR(VLOOKUP(CONCATENATE(Table43_1[[#This Row],[Kode BARANG Win2]],2),'Form Fix'!$A$6:$H$663,4,0),0)</f>
        <v>0</v>
      </c>
      <c r="E337">
        <f>IFERROR(VLOOKUP(CONCATENATE(Table43_1[[#This Row],[Kode BARANG Win2]],3),'Form Fix'!$A$6:$H$663,4,0),0)</f>
        <v>0</v>
      </c>
      <c r="F337">
        <f>IFERROR(VLOOKUP(CONCATENATE(Table43_1[[#This Row],[Kode BARANG Win2]],4),'Form Fix'!$A$6:$H$663,4,0),0)</f>
        <v>0</v>
      </c>
      <c r="G337">
        <f>IFERROR(VLOOKUP(CONCATENATE(Table43_1[[#This Row],[Kode BARANG Win2]],5),'Form Fix'!$A$6:$H$663,4,0),0)</f>
        <v>0</v>
      </c>
    </row>
    <row r="338" spans="1:7">
      <c r="A338" t="s">
        <v>2981</v>
      </c>
      <c r="B338" t="s">
        <v>3341</v>
      </c>
      <c r="C338">
        <f>IFERROR(VLOOKUP(CONCATENATE(Table43_1[[#This Row],[Kode BARANG Win2]],1),'Form Fix'!$A$6:$H$663,4,0),0)</f>
        <v>0</v>
      </c>
      <c r="D338">
        <f>IFERROR(VLOOKUP(CONCATENATE(Table43_1[[#This Row],[Kode BARANG Win2]],2),'Form Fix'!$A$6:$H$663,4,0),0)</f>
        <v>0</v>
      </c>
      <c r="E338">
        <f>IFERROR(VLOOKUP(CONCATENATE(Table43_1[[#This Row],[Kode BARANG Win2]],3),'Form Fix'!$A$6:$H$663,4,0),0)</f>
        <v>0</v>
      </c>
      <c r="F338">
        <f>IFERROR(VLOOKUP(CONCATENATE(Table43_1[[#This Row],[Kode BARANG Win2]],4),'Form Fix'!$A$6:$H$663,4,0),0)</f>
        <v>0</v>
      </c>
      <c r="G338">
        <f>IFERROR(VLOOKUP(CONCATENATE(Table43_1[[#This Row],[Kode BARANG Win2]],5),'Form Fix'!$A$6:$H$663,4,0),0)</f>
        <v>0</v>
      </c>
    </row>
    <row r="339" spans="1:7">
      <c r="A339" t="s">
        <v>2973</v>
      </c>
      <c r="B339" t="s">
        <v>3333</v>
      </c>
      <c r="C339">
        <f>IFERROR(VLOOKUP(CONCATENATE(Table43_1[[#This Row],[Kode BARANG Win2]],1),'Form Fix'!$A$6:$H$663,4,0),0)</f>
        <v>0</v>
      </c>
      <c r="D339">
        <f>IFERROR(VLOOKUP(CONCATENATE(Table43_1[[#This Row],[Kode BARANG Win2]],2),'Form Fix'!$A$6:$H$663,4,0),0)</f>
        <v>0</v>
      </c>
      <c r="E339">
        <f>IFERROR(VLOOKUP(CONCATENATE(Table43_1[[#This Row],[Kode BARANG Win2]],3),'Form Fix'!$A$6:$H$663,4,0),0)</f>
        <v>0</v>
      </c>
      <c r="F339">
        <f>IFERROR(VLOOKUP(CONCATENATE(Table43_1[[#This Row],[Kode BARANG Win2]],4),'Form Fix'!$A$6:$H$663,4,0),0)</f>
        <v>0</v>
      </c>
      <c r="G339">
        <f>IFERROR(VLOOKUP(CONCATENATE(Table43_1[[#This Row],[Kode BARANG Win2]],5),'Form Fix'!$A$6:$H$663,4,0),0)</f>
        <v>0</v>
      </c>
    </row>
    <row r="340" spans="1:7">
      <c r="A340" t="s">
        <v>2974</v>
      </c>
      <c r="B340" t="s">
        <v>3334</v>
      </c>
      <c r="C340">
        <f>IFERROR(VLOOKUP(CONCATENATE(Table43_1[[#This Row],[Kode BARANG Win2]],1),'Form Fix'!$A$6:$H$663,4,0),0)</f>
        <v>0</v>
      </c>
      <c r="D340">
        <f>IFERROR(VLOOKUP(CONCATENATE(Table43_1[[#This Row],[Kode BARANG Win2]],2),'Form Fix'!$A$6:$H$663,4,0),0)</f>
        <v>0</v>
      </c>
      <c r="E340">
        <f>IFERROR(VLOOKUP(CONCATENATE(Table43_1[[#This Row],[Kode BARANG Win2]],3),'Form Fix'!$A$6:$H$663,4,0),0)</f>
        <v>0</v>
      </c>
      <c r="F340">
        <f>IFERROR(VLOOKUP(CONCATENATE(Table43_1[[#This Row],[Kode BARANG Win2]],4),'Form Fix'!$A$6:$H$663,4,0),0)</f>
        <v>0</v>
      </c>
      <c r="G340">
        <f>IFERROR(VLOOKUP(CONCATENATE(Table43_1[[#This Row],[Kode BARANG Win2]],5),'Form Fix'!$A$6:$H$663,4,0),0)</f>
        <v>0</v>
      </c>
    </row>
    <row r="341" spans="1:7">
      <c r="A341" t="s">
        <v>2975</v>
      </c>
      <c r="B341" t="s">
        <v>3335</v>
      </c>
      <c r="C341">
        <f>IFERROR(VLOOKUP(CONCATENATE(Table43_1[[#This Row],[Kode BARANG Win2]],1),'Form Fix'!$A$6:$H$663,4,0),0)</f>
        <v>0</v>
      </c>
      <c r="D341">
        <f>IFERROR(VLOOKUP(CONCATENATE(Table43_1[[#This Row],[Kode BARANG Win2]],2),'Form Fix'!$A$6:$H$663,4,0),0)</f>
        <v>0</v>
      </c>
      <c r="E341">
        <f>IFERROR(VLOOKUP(CONCATENATE(Table43_1[[#This Row],[Kode BARANG Win2]],3),'Form Fix'!$A$6:$H$663,4,0),0)</f>
        <v>0</v>
      </c>
      <c r="F341">
        <f>IFERROR(VLOOKUP(CONCATENATE(Table43_1[[#This Row],[Kode BARANG Win2]],4),'Form Fix'!$A$6:$H$663,4,0),0)</f>
        <v>0</v>
      </c>
      <c r="G341">
        <f>IFERROR(VLOOKUP(CONCATENATE(Table43_1[[#This Row],[Kode BARANG Win2]],5),'Form Fix'!$A$6:$H$663,4,0),0)</f>
        <v>0</v>
      </c>
    </row>
    <row r="342" spans="1:7">
      <c r="A342" t="s">
        <v>2976</v>
      </c>
      <c r="B342" t="s">
        <v>3336</v>
      </c>
      <c r="C342">
        <f>IFERROR(VLOOKUP(CONCATENATE(Table43_1[[#This Row],[Kode BARANG Win2]],1),'Form Fix'!$A$6:$H$663,4,0),0)</f>
        <v>0</v>
      </c>
      <c r="D342">
        <f>IFERROR(VLOOKUP(CONCATENATE(Table43_1[[#This Row],[Kode BARANG Win2]],2),'Form Fix'!$A$6:$H$663,4,0),0)</f>
        <v>0</v>
      </c>
      <c r="E342">
        <f>IFERROR(VLOOKUP(CONCATENATE(Table43_1[[#This Row],[Kode BARANG Win2]],3),'Form Fix'!$A$6:$H$663,4,0),0)</f>
        <v>0</v>
      </c>
      <c r="F342">
        <f>IFERROR(VLOOKUP(CONCATENATE(Table43_1[[#This Row],[Kode BARANG Win2]],4),'Form Fix'!$A$6:$H$663,4,0),0)</f>
        <v>0</v>
      </c>
      <c r="G342">
        <f>IFERROR(VLOOKUP(CONCATENATE(Table43_1[[#This Row],[Kode BARANG Win2]],5),'Form Fix'!$A$6:$H$663,4,0),0)</f>
        <v>0</v>
      </c>
    </row>
    <row r="343" spans="1:7">
      <c r="A343" t="s">
        <v>2982</v>
      </c>
      <c r="B343" t="s">
        <v>3342</v>
      </c>
      <c r="C343">
        <f>IFERROR(VLOOKUP(CONCATENATE(Table43_1[[#This Row],[Kode BARANG Win2]],1),'Form Fix'!$A$6:$H$663,4,0),0)</f>
        <v>0</v>
      </c>
      <c r="D343">
        <f>IFERROR(VLOOKUP(CONCATENATE(Table43_1[[#This Row],[Kode BARANG Win2]],2),'Form Fix'!$A$6:$H$663,4,0),0)</f>
        <v>0</v>
      </c>
      <c r="E343">
        <f>IFERROR(VLOOKUP(CONCATENATE(Table43_1[[#This Row],[Kode BARANG Win2]],3),'Form Fix'!$A$6:$H$663,4,0),0)</f>
        <v>0</v>
      </c>
      <c r="F343">
        <f>IFERROR(VLOOKUP(CONCATENATE(Table43_1[[#This Row],[Kode BARANG Win2]],4),'Form Fix'!$A$6:$H$663,4,0),0)</f>
        <v>0</v>
      </c>
      <c r="G343">
        <f>IFERROR(VLOOKUP(CONCATENATE(Table43_1[[#This Row],[Kode BARANG Win2]],5),'Form Fix'!$A$6:$H$663,4,0),0)</f>
        <v>0</v>
      </c>
    </row>
    <row r="344" spans="1:7">
      <c r="A344" t="s">
        <v>2983</v>
      </c>
      <c r="B344" t="s">
        <v>3343</v>
      </c>
      <c r="C344">
        <f>IFERROR(VLOOKUP(CONCATENATE(Table43_1[[#This Row],[Kode BARANG Win2]],1),'Form Fix'!$A$6:$H$663,4,0),0)</f>
        <v>0</v>
      </c>
      <c r="D344">
        <f>IFERROR(VLOOKUP(CONCATENATE(Table43_1[[#This Row],[Kode BARANG Win2]],2),'Form Fix'!$A$6:$H$663,4,0),0)</f>
        <v>0</v>
      </c>
      <c r="E344">
        <f>IFERROR(VLOOKUP(CONCATENATE(Table43_1[[#This Row],[Kode BARANG Win2]],3),'Form Fix'!$A$6:$H$663,4,0),0)</f>
        <v>0</v>
      </c>
      <c r="F344">
        <f>IFERROR(VLOOKUP(CONCATENATE(Table43_1[[#This Row],[Kode BARANG Win2]],4),'Form Fix'!$A$6:$H$663,4,0),0)</f>
        <v>0</v>
      </c>
      <c r="G344">
        <f>IFERROR(VLOOKUP(CONCATENATE(Table43_1[[#This Row],[Kode BARANG Win2]],5),'Form Fix'!$A$6:$H$663,4,0),0)</f>
        <v>0</v>
      </c>
    </row>
    <row r="345" spans="1:7">
      <c r="A345" t="s">
        <v>3465</v>
      </c>
      <c r="B345" t="s">
        <v>3535</v>
      </c>
      <c r="C345">
        <f>IFERROR(VLOOKUP(CONCATENATE(Table43_1[[#This Row],[Kode BARANG Win2]],1),'Form Fix'!$A$6:$H$663,4,0),0)</f>
        <v>0</v>
      </c>
      <c r="D345">
        <f>IFERROR(VLOOKUP(CONCATENATE(Table43_1[[#This Row],[Kode BARANG Win2]],2),'Form Fix'!$A$6:$H$663,4,0),0)</f>
        <v>0</v>
      </c>
      <c r="E345">
        <f>IFERROR(VLOOKUP(CONCATENATE(Table43_1[[#This Row],[Kode BARANG Win2]],3),'Form Fix'!$A$6:$H$663,4,0),0)</f>
        <v>0</v>
      </c>
      <c r="F345">
        <f>IFERROR(VLOOKUP(CONCATENATE(Table43_1[[#This Row],[Kode BARANG Win2]],4),'Form Fix'!$A$6:$H$663,4,0),0)</f>
        <v>0</v>
      </c>
      <c r="G345">
        <f>IFERROR(VLOOKUP(CONCATENATE(Table43_1[[#This Row],[Kode BARANG Win2]],5),'Form Fix'!$A$6:$H$663,4,0),0)</f>
        <v>0</v>
      </c>
    </row>
    <row r="346" spans="1:7">
      <c r="A346" t="s">
        <v>3466</v>
      </c>
      <c r="B346" t="s">
        <v>3536</v>
      </c>
      <c r="C346">
        <f>IFERROR(VLOOKUP(CONCATENATE(Table43_1[[#This Row],[Kode BARANG Win2]],1),'Form Fix'!$A$6:$H$663,4,0),0)</f>
        <v>0</v>
      </c>
      <c r="D346">
        <f>IFERROR(VLOOKUP(CONCATENATE(Table43_1[[#This Row],[Kode BARANG Win2]],2),'Form Fix'!$A$6:$H$663,4,0),0)</f>
        <v>0</v>
      </c>
      <c r="E346">
        <f>IFERROR(VLOOKUP(CONCATENATE(Table43_1[[#This Row],[Kode BARANG Win2]],3),'Form Fix'!$A$6:$H$663,4,0),0)</f>
        <v>0</v>
      </c>
      <c r="F346">
        <f>IFERROR(VLOOKUP(CONCATENATE(Table43_1[[#This Row],[Kode BARANG Win2]],4),'Form Fix'!$A$6:$H$663,4,0),0)</f>
        <v>0</v>
      </c>
      <c r="G346">
        <f>IFERROR(VLOOKUP(CONCATENATE(Table43_1[[#This Row],[Kode BARANG Win2]],5),'Form Fix'!$A$6:$H$663,4,0),0)</f>
        <v>0</v>
      </c>
    </row>
    <row r="347" spans="1:7">
      <c r="A347" t="s">
        <v>2984</v>
      </c>
      <c r="B347" t="s">
        <v>3344</v>
      </c>
      <c r="C347">
        <f>IFERROR(VLOOKUP(CONCATENATE(Table43_1[[#This Row],[Kode BARANG Win2]],1),'Form Fix'!$A$6:$H$663,4,0),0)</f>
        <v>0</v>
      </c>
      <c r="D347">
        <f>IFERROR(VLOOKUP(CONCATENATE(Table43_1[[#This Row],[Kode BARANG Win2]],2),'Form Fix'!$A$6:$H$663,4,0),0)</f>
        <v>0</v>
      </c>
      <c r="E347">
        <f>IFERROR(VLOOKUP(CONCATENATE(Table43_1[[#This Row],[Kode BARANG Win2]],3),'Form Fix'!$A$6:$H$663,4,0),0)</f>
        <v>0</v>
      </c>
      <c r="F347">
        <f>IFERROR(VLOOKUP(CONCATENATE(Table43_1[[#This Row],[Kode BARANG Win2]],4),'Form Fix'!$A$6:$H$663,4,0),0)</f>
        <v>0</v>
      </c>
      <c r="G347">
        <f>IFERROR(VLOOKUP(CONCATENATE(Table43_1[[#This Row],[Kode BARANG Win2]],5),'Form Fix'!$A$6:$H$663,4,0),0)</f>
        <v>0</v>
      </c>
    </row>
    <row r="348" spans="1:7">
      <c r="A348" t="s">
        <v>3000</v>
      </c>
      <c r="B348" t="s">
        <v>3360</v>
      </c>
      <c r="C348">
        <f>IFERROR(VLOOKUP(CONCATENATE(Table43_1[[#This Row],[Kode BARANG Win2]],1),'Form Fix'!$A$6:$H$663,4,0),0)</f>
        <v>0</v>
      </c>
      <c r="D348">
        <f>IFERROR(VLOOKUP(CONCATENATE(Table43_1[[#This Row],[Kode BARANG Win2]],2),'Form Fix'!$A$6:$H$663,4,0),0)</f>
        <v>0</v>
      </c>
      <c r="E348">
        <f>IFERROR(VLOOKUP(CONCATENATE(Table43_1[[#This Row],[Kode BARANG Win2]],3),'Form Fix'!$A$6:$H$663,4,0),0)</f>
        <v>0</v>
      </c>
      <c r="F348">
        <f>IFERROR(VLOOKUP(CONCATENATE(Table43_1[[#This Row],[Kode BARANG Win2]],4),'Form Fix'!$A$6:$H$663,4,0),0)</f>
        <v>0</v>
      </c>
      <c r="G348">
        <f>IFERROR(VLOOKUP(CONCATENATE(Table43_1[[#This Row],[Kode BARANG Win2]],5),'Form Fix'!$A$6:$H$663,4,0),0)</f>
        <v>0</v>
      </c>
    </row>
    <row r="349" spans="1:7">
      <c r="A349" t="s">
        <v>3001</v>
      </c>
      <c r="B349" t="s">
        <v>3361</v>
      </c>
      <c r="C349">
        <f>IFERROR(VLOOKUP(CONCATENATE(Table43_1[[#This Row],[Kode BARANG Win2]],1),'Form Fix'!$A$6:$H$663,4,0),0)</f>
        <v>0</v>
      </c>
      <c r="D349">
        <f>IFERROR(VLOOKUP(CONCATENATE(Table43_1[[#This Row],[Kode BARANG Win2]],2),'Form Fix'!$A$6:$H$663,4,0),0)</f>
        <v>0</v>
      </c>
      <c r="E349">
        <f>IFERROR(VLOOKUP(CONCATENATE(Table43_1[[#This Row],[Kode BARANG Win2]],3),'Form Fix'!$A$6:$H$663,4,0),0)</f>
        <v>0</v>
      </c>
      <c r="F349">
        <f>IFERROR(VLOOKUP(CONCATENATE(Table43_1[[#This Row],[Kode BARANG Win2]],4),'Form Fix'!$A$6:$H$663,4,0),0)</f>
        <v>0</v>
      </c>
      <c r="G349">
        <f>IFERROR(VLOOKUP(CONCATENATE(Table43_1[[#This Row],[Kode BARANG Win2]],5),'Form Fix'!$A$6:$H$663,4,0),0)</f>
        <v>0</v>
      </c>
    </row>
    <row r="350" spans="1:7">
      <c r="A350" t="s">
        <v>3002</v>
      </c>
      <c r="B350" t="s">
        <v>3362</v>
      </c>
      <c r="C350">
        <f>IFERROR(VLOOKUP(CONCATENATE(Table43_1[[#This Row],[Kode BARANG Win2]],1),'Form Fix'!$A$6:$H$663,4,0),0)</f>
        <v>0</v>
      </c>
      <c r="D350">
        <f>IFERROR(VLOOKUP(CONCATENATE(Table43_1[[#This Row],[Kode BARANG Win2]],2),'Form Fix'!$A$6:$H$663,4,0),0)</f>
        <v>0</v>
      </c>
      <c r="E350">
        <f>IFERROR(VLOOKUP(CONCATENATE(Table43_1[[#This Row],[Kode BARANG Win2]],3),'Form Fix'!$A$6:$H$663,4,0),0)</f>
        <v>0</v>
      </c>
      <c r="F350">
        <f>IFERROR(VLOOKUP(CONCATENATE(Table43_1[[#This Row],[Kode BARANG Win2]],4),'Form Fix'!$A$6:$H$663,4,0),0)</f>
        <v>0</v>
      </c>
      <c r="G350">
        <f>IFERROR(VLOOKUP(CONCATENATE(Table43_1[[#This Row],[Kode BARANG Win2]],5),'Form Fix'!$A$6:$H$663,4,0),0)</f>
        <v>0</v>
      </c>
    </row>
    <row r="351" spans="1:7">
      <c r="A351" t="s">
        <v>3004</v>
      </c>
      <c r="B351" t="s">
        <v>3364</v>
      </c>
      <c r="C351">
        <f>IFERROR(VLOOKUP(CONCATENATE(Table43_1[[#This Row],[Kode BARANG Win2]],1),'Form Fix'!$A$6:$H$663,4,0),0)</f>
        <v>0</v>
      </c>
      <c r="D351">
        <f>IFERROR(VLOOKUP(CONCATENATE(Table43_1[[#This Row],[Kode BARANG Win2]],2),'Form Fix'!$A$6:$H$663,4,0),0)</f>
        <v>0</v>
      </c>
      <c r="E351">
        <f>IFERROR(VLOOKUP(CONCATENATE(Table43_1[[#This Row],[Kode BARANG Win2]],3),'Form Fix'!$A$6:$H$663,4,0),0)</f>
        <v>0</v>
      </c>
      <c r="F351">
        <f>IFERROR(VLOOKUP(CONCATENATE(Table43_1[[#This Row],[Kode BARANG Win2]],4),'Form Fix'!$A$6:$H$663,4,0),0)</f>
        <v>0</v>
      </c>
      <c r="G351">
        <f>IFERROR(VLOOKUP(CONCATENATE(Table43_1[[#This Row],[Kode BARANG Win2]],5),'Form Fix'!$A$6:$H$663,4,0),0)</f>
        <v>0</v>
      </c>
    </row>
    <row r="352" spans="1:7">
      <c r="A352" t="s">
        <v>3003</v>
      </c>
      <c r="B352" t="s">
        <v>3363</v>
      </c>
      <c r="C352">
        <f>IFERROR(VLOOKUP(CONCATENATE(Table43_1[[#This Row],[Kode BARANG Win2]],1),'Form Fix'!$A$6:$H$663,4,0),0)</f>
        <v>0</v>
      </c>
      <c r="D352">
        <f>IFERROR(VLOOKUP(CONCATENATE(Table43_1[[#This Row],[Kode BARANG Win2]],2),'Form Fix'!$A$6:$H$663,4,0),0)</f>
        <v>0</v>
      </c>
      <c r="E352">
        <f>IFERROR(VLOOKUP(CONCATENATE(Table43_1[[#This Row],[Kode BARANG Win2]],3),'Form Fix'!$A$6:$H$663,4,0),0)</f>
        <v>0</v>
      </c>
      <c r="F352">
        <f>IFERROR(VLOOKUP(CONCATENATE(Table43_1[[#This Row],[Kode BARANG Win2]],4),'Form Fix'!$A$6:$H$663,4,0),0)</f>
        <v>0</v>
      </c>
      <c r="G352">
        <f>IFERROR(VLOOKUP(CONCATENATE(Table43_1[[#This Row],[Kode BARANG Win2]],5),'Form Fix'!$A$6:$H$663,4,0),0)</f>
        <v>0</v>
      </c>
    </row>
    <row r="353" spans="1:7">
      <c r="A353" t="s">
        <v>3005</v>
      </c>
      <c r="B353" t="s">
        <v>3365</v>
      </c>
      <c r="C353">
        <f>IFERROR(VLOOKUP(CONCATENATE(Table43_1[[#This Row],[Kode BARANG Win2]],1),'Form Fix'!$A$6:$H$663,4,0),0)</f>
        <v>0</v>
      </c>
      <c r="D353">
        <f>IFERROR(VLOOKUP(CONCATENATE(Table43_1[[#This Row],[Kode BARANG Win2]],2),'Form Fix'!$A$6:$H$663,4,0),0)</f>
        <v>0</v>
      </c>
      <c r="E353">
        <f>IFERROR(VLOOKUP(CONCATENATE(Table43_1[[#This Row],[Kode BARANG Win2]],3),'Form Fix'!$A$6:$H$663,4,0),0)</f>
        <v>0</v>
      </c>
      <c r="F353">
        <f>IFERROR(VLOOKUP(CONCATENATE(Table43_1[[#This Row],[Kode BARANG Win2]],4),'Form Fix'!$A$6:$H$663,4,0),0)</f>
        <v>0</v>
      </c>
      <c r="G353">
        <f>IFERROR(VLOOKUP(CONCATENATE(Table43_1[[#This Row],[Kode BARANG Win2]],5),'Form Fix'!$A$6:$H$663,4,0),0)</f>
        <v>0</v>
      </c>
    </row>
    <row r="354" spans="1:7">
      <c r="A354" t="s">
        <v>3006</v>
      </c>
      <c r="B354" t="s">
        <v>3366</v>
      </c>
      <c r="C354">
        <f>IFERROR(VLOOKUP(CONCATENATE(Table43_1[[#This Row],[Kode BARANG Win2]],1),'Form Fix'!$A$6:$H$663,4,0),0)</f>
        <v>0</v>
      </c>
      <c r="D354">
        <f>IFERROR(VLOOKUP(CONCATENATE(Table43_1[[#This Row],[Kode BARANG Win2]],2),'Form Fix'!$A$6:$H$663,4,0),0)</f>
        <v>0</v>
      </c>
      <c r="E354">
        <f>IFERROR(VLOOKUP(CONCATENATE(Table43_1[[#This Row],[Kode BARANG Win2]],3),'Form Fix'!$A$6:$H$663,4,0),0)</f>
        <v>0</v>
      </c>
      <c r="F354">
        <f>IFERROR(VLOOKUP(CONCATENATE(Table43_1[[#This Row],[Kode BARANG Win2]],4),'Form Fix'!$A$6:$H$663,4,0),0)</f>
        <v>0</v>
      </c>
      <c r="G354">
        <f>IFERROR(VLOOKUP(CONCATENATE(Table43_1[[#This Row],[Kode BARANG Win2]],5),'Form Fix'!$A$6:$H$663,4,0),0)</f>
        <v>0</v>
      </c>
    </row>
    <row r="355" spans="1:7">
      <c r="A355" t="s">
        <v>3008</v>
      </c>
      <c r="B355" t="s">
        <v>3368</v>
      </c>
      <c r="C355">
        <f>IFERROR(VLOOKUP(CONCATENATE(Table43_1[[#This Row],[Kode BARANG Win2]],1),'Form Fix'!$A$6:$H$663,4,0),0)</f>
        <v>0</v>
      </c>
      <c r="D355">
        <f>IFERROR(VLOOKUP(CONCATENATE(Table43_1[[#This Row],[Kode BARANG Win2]],2),'Form Fix'!$A$6:$H$663,4,0),0)</f>
        <v>0</v>
      </c>
      <c r="E355">
        <f>IFERROR(VLOOKUP(CONCATENATE(Table43_1[[#This Row],[Kode BARANG Win2]],3),'Form Fix'!$A$6:$H$663,4,0),0)</f>
        <v>0</v>
      </c>
      <c r="F355">
        <f>IFERROR(VLOOKUP(CONCATENATE(Table43_1[[#This Row],[Kode BARANG Win2]],4),'Form Fix'!$A$6:$H$663,4,0),0)</f>
        <v>0</v>
      </c>
      <c r="G355">
        <f>IFERROR(VLOOKUP(CONCATENATE(Table43_1[[#This Row],[Kode BARANG Win2]],5),'Form Fix'!$A$6:$H$663,4,0),0)</f>
        <v>0</v>
      </c>
    </row>
    <row r="356" spans="1:7">
      <c r="A356" t="s">
        <v>3009</v>
      </c>
      <c r="B356" t="s">
        <v>3369</v>
      </c>
      <c r="C356">
        <f>IFERROR(VLOOKUP(CONCATENATE(Table43_1[[#This Row],[Kode BARANG Win2]],1),'Form Fix'!$A$6:$H$663,4,0),0)</f>
        <v>0</v>
      </c>
      <c r="D356">
        <f>IFERROR(VLOOKUP(CONCATENATE(Table43_1[[#This Row],[Kode BARANG Win2]],2),'Form Fix'!$A$6:$H$663,4,0),0)</f>
        <v>0</v>
      </c>
      <c r="E356">
        <f>IFERROR(VLOOKUP(CONCATENATE(Table43_1[[#This Row],[Kode BARANG Win2]],3),'Form Fix'!$A$6:$H$663,4,0),0)</f>
        <v>0</v>
      </c>
      <c r="F356">
        <f>IFERROR(VLOOKUP(CONCATENATE(Table43_1[[#This Row],[Kode BARANG Win2]],4),'Form Fix'!$A$6:$H$663,4,0),0)</f>
        <v>0</v>
      </c>
      <c r="G356">
        <f>IFERROR(VLOOKUP(CONCATENATE(Table43_1[[#This Row],[Kode BARANG Win2]],5),'Form Fix'!$A$6:$H$663,4,0),0)</f>
        <v>0</v>
      </c>
    </row>
    <row r="357" spans="1:7">
      <c r="A357" t="s">
        <v>3010</v>
      </c>
      <c r="B357" t="s">
        <v>3370</v>
      </c>
      <c r="C357">
        <f>IFERROR(VLOOKUP(CONCATENATE(Table43_1[[#This Row],[Kode BARANG Win2]],1),'Form Fix'!$A$6:$H$663,4,0),0)</f>
        <v>0</v>
      </c>
      <c r="D357">
        <f>IFERROR(VLOOKUP(CONCATENATE(Table43_1[[#This Row],[Kode BARANG Win2]],2),'Form Fix'!$A$6:$H$663,4,0),0)</f>
        <v>0</v>
      </c>
      <c r="E357">
        <f>IFERROR(VLOOKUP(CONCATENATE(Table43_1[[#This Row],[Kode BARANG Win2]],3),'Form Fix'!$A$6:$H$663,4,0),0)</f>
        <v>0</v>
      </c>
      <c r="F357">
        <f>IFERROR(VLOOKUP(CONCATENATE(Table43_1[[#This Row],[Kode BARANG Win2]],4),'Form Fix'!$A$6:$H$663,4,0),0)</f>
        <v>0</v>
      </c>
      <c r="G357">
        <f>IFERROR(VLOOKUP(CONCATENATE(Table43_1[[#This Row],[Kode BARANG Win2]],5),'Form Fix'!$A$6:$H$663,4,0),0)</f>
        <v>0</v>
      </c>
    </row>
    <row r="358" spans="1:7">
      <c r="A358" t="s">
        <v>3011</v>
      </c>
      <c r="B358" t="s">
        <v>3371</v>
      </c>
      <c r="C358">
        <f>IFERROR(VLOOKUP(CONCATENATE(Table43_1[[#This Row],[Kode BARANG Win2]],1),'Form Fix'!$A$6:$H$663,4,0),0)</f>
        <v>0</v>
      </c>
      <c r="D358">
        <f>IFERROR(VLOOKUP(CONCATENATE(Table43_1[[#This Row],[Kode BARANG Win2]],2),'Form Fix'!$A$6:$H$663,4,0),0)</f>
        <v>0</v>
      </c>
      <c r="E358">
        <f>IFERROR(VLOOKUP(CONCATENATE(Table43_1[[#This Row],[Kode BARANG Win2]],3),'Form Fix'!$A$6:$H$663,4,0),0)</f>
        <v>0</v>
      </c>
      <c r="F358">
        <f>IFERROR(VLOOKUP(CONCATENATE(Table43_1[[#This Row],[Kode BARANG Win2]],4),'Form Fix'!$A$6:$H$663,4,0),0)</f>
        <v>0</v>
      </c>
      <c r="G358">
        <f>IFERROR(VLOOKUP(CONCATENATE(Table43_1[[#This Row],[Kode BARANG Win2]],5),'Form Fix'!$A$6:$H$663,4,0),0)</f>
        <v>0</v>
      </c>
    </row>
    <row r="359" spans="1:7">
      <c r="A359" t="s">
        <v>3012</v>
      </c>
      <c r="B359" t="s">
        <v>3372</v>
      </c>
      <c r="C359">
        <f>IFERROR(VLOOKUP(CONCATENATE(Table43_1[[#This Row],[Kode BARANG Win2]],1),'Form Fix'!$A$6:$H$663,4,0),0)</f>
        <v>0</v>
      </c>
      <c r="D359">
        <f>IFERROR(VLOOKUP(CONCATENATE(Table43_1[[#This Row],[Kode BARANG Win2]],2),'Form Fix'!$A$6:$H$663,4,0),0)</f>
        <v>0</v>
      </c>
      <c r="E359">
        <f>IFERROR(VLOOKUP(CONCATENATE(Table43_1[[#This Row],[Kode BARANG Win2]],3),'Form Fix'!$A$6:$H$663,4,0),0)</f>
        <v>0</v>
      </c>
      <c r="F359">
        <f>IFERROR(VLOOKUP(CONCATENATE(Table43_1[[#This Row],[Kode BARANG Win2]],4),'Form Fix'!$A$6:$H$663,4,0),0)</f>
        <v>0</v>
      </c>
      <c r="G359">
        <f>IFERROR(VLOOKUP(CONCATENATE(Table43_1[[#This Row],[Kode BARANG Win2]],5),'Form Fix'!$A$6:$H$663,4,0),0)</f>
        <v>0</v>
      </c>
    </row>
    <row r="360" spans="1:7">
      <c r="A360" t="s">
        <v>3013</v>
      </c>
      <c r="B360" t="s">
        <v>3373</v>
      </c>
      <c r="C360">
        <f>IFERROR(VLOOKUP(CONCATENATE(Table43_1[[#This Row],[Kode BARANG Win2]],1),'Form Fix'!$A$6:$H$663,4,0),0)</f>
        <v>0</v>
      </c>
      <c r="D360">
        <f>IFERROR(VLOOKUP(CONCATENATE(Table43_1[[#This Row],[Kode BARANG Win2]],2),'Form Fix'!$A$6:$H$663,4,0),0)</f>
        <v>0</v>
      </c>
      <c r="E360">
        <f>IFERROR(VLOOKUP(CONCATENATE(Table43_1[[#This Row],[Kode BARANG Win2]],3),'Form Fix'!$A$6:$H$663,4,0),0)</f>
        <v>0</v>
      </c>
      <c r="F360">
        <f>IFERROR(VLOOKUP(CONCATENATE(Table43_1[[#This Row],[Kode BARANG Win2]],4),'Form Fix'!$A$6:$H$663,4,0),0)</f>
        <v>0</v>
      </c>
      <c r="G360">
        <f>IFERROR(VLOOKUP(CONCATENATE(Table43_1[[#This Row],[Kode BARANG Win2]],5),'Form Fix'!$A$6:$H$663,4,0),0)</f>
        <v>0</v>
      </c>
    </row>
    <row r="361" spans="1:7">
      <c r="A361" t="s">
        <v>3014</v>
      </c>
      <c r="B361" t="s">
        <v>3374</v>
      </c>
      <c r="C361">
        <f>IFERROR(VLOOKUP(CONCATENATE(Table43_1[[#This Row],[Kode BARANG Win2]],1),'Form Fix'!$A$6:$H$663,4,0),0)</f>
        <v>0</v>
      </c>
      <c r="D361">
        <f>IFERROR(VLOOKUP(CONCATENATE(Table43_1[[#This Row],[Kode BARANG Win2]],2),'Form Fix'!$A$6:$H$663,4,0),0)</f>
        <v>0</v>
      </c>
      <c r="E361">
        <f>IFERROR(VLOOKUP(CONCATENATE(Table43_1[[#This Row],[Kode BARANG Win2]],3),'Form Fix'!$A$6:$H$663,4,0),0)</f>
        <v>0</v>
      </c>
      <c r="F361">
        <f>IFERROR(VLOOKUP(CONCATENATE(Table43_1[[#This Row],[Kode BARANG Win2]],4),'Form Fix'!$A$6:$H$663,4,0),0)</f>
        <v>0</v>
      </c>
      <c r="G361">
        <f>IFERROR(VLOOKUP(CONCATENATE(Table43_1[[#This Row],[Kode BARANG Win2]],5),'Form Fix'!$A$6:$H$663,4,0),0)</f>
        <v>0</v>
      </c>
    </row>
    <row r="362" spans="1:7">
      <c r="A362" t="s">
        <v>3015</v>
      </c>
      <c r="B362" t="s">
        <v>3375</v>
      </c>
      <c r="C362">
        <f>IFERROR(VLOOKUP(CONCATENATE(Table43_1[[#This Row],[Kode BARANG Win2]],1),'Form Fix'!$A$6:$H$663,4,0),0)</f>
        <v>0</v>
      </c>
      <c r="D362">
        <f>IFERROR(VLOOKUP(CONCATENATE(Table43_1[[#This Row],[Kode BARANG Win2]],2),'Form Fix'!$A$6:$H$663,4,0),0)</f>
        <v>0</v>
      </c>
      <c r="E362">
        <f>IFERROR(VLOOKUP(CONCATENATE(Table43_1[[#This Row],[Kode BARANG Win2]],3),'Form Fix'!$A$6:$H$663,4,0),0)</f>
        <v>0</v>
      </c>
      <c r="F362">
        <f>IFERROR(VLOOKUP(CONCATENATE(Table43_1[[#This Row],[Kode BARANG Win2]],4),'Form Fix'!$A$6:$H$663,4,0),0)</f>
        <v>0</v>
      </c>
      <c r="G362">
        <f>IFERROR(VLOOKUP(CONCATENATE(Table43_1[[#This Row],[Kode BARANG Win2]],5),'Form Fix'!$A$6:$H$663,4,0),0)</f>
        <v>0</v>
      </c>
    </row>
    <row r="363" spans="1:7">
      <c r="A363" t="s">
        <v>3016</v>
      </c>
      <c r="B363" t="s">
        <v>3376</v>
      </c>
      <c r="C363">
        <f>IFERROR(VLOOKUP(CONCATENATE(Table43_1[[#This Row],[Kode BARANG Win2]],1),'Form Fix'!$A$6:$H$663,4,0),0)</f>
        <v>0</v>
      </c>
      <c r="D363">
        <f>IFERROR(VLOOKUP(CONCATENATE(Table43_1[[#This Row],[Kode BARANG Win2]],2),'Form Fix'!$A$6:$H$663,4,0),0)</f>
        <v>0</v>
      </c>
      <c r="E363">
        <f>IFERROR(VLOOKUP(CONCATENATE(Table43_1[[#This Row],[Kode BARANG Win2]],3),'Form Fix'!$A$6:$H$663,4,0),0)</f>
        <v>0</v>
      </c>
      <c r="F363">
        <f>IFERROR(VLOOKUP(CONCATENATE(Table43_1[[#This Row],[Kode BARANG Win2]],4),'Form Fix'!$A$6:$H$663,4,0),0)</f>
        <v>0</v>
      </c>
      <c r="G363">
        <f>IFERROR(VLOOKUP(CONCATENATE(Table43_1[[#This Row],[Kode BARANG Win2]],5),'Form Fix'!$A$6:$H$663,4,0),0)</f>
        <v>0</v>
      </c>
    </row>
    <row r="364" spans="1:7">
      <c r="A364" t="s">
        <v>3017</v>
      </c>
      <c r="B364" t="s">
        <v>3377</v>
      </c>
      <c r="C364">
        <f>IFERROR(VLOOKUP(CONCATENATE(Table43_1[[#This Row],[Kode BARANG Win2]],1),'Form Fix'!$A$6:$H$663,4,0),0)</f>
        <v>0</v>
      </c>
      <c r="D364">
        <f>IFERROR(VLOOKUP(CONCATENATE(Table43_1[[#This Row],[Kode BARANG Win2]],2),'Form Fix'!$A$6:$H$663,4,0),0)</f>
        <v>0</v>
      </c>
      <c r="E364">
        <f>IFERROR(VLOOKUP(CONCATENATE(Table43_1[[#This Row],[Kode BARANG Win2]],3),'Form Fix'!$A$6:$H$663,4,0),0)</f>
        <v>0</v>
      </c>
      <c r="F364">
        <f>IFERROR(VLOOKUP(CONCATENATE(Table43_1[[#This Row],[Kode BARANG Win2]],4),'Form Fix'!$A$6:$H$663,4,0),0)</f>
        <v>0</v>
      </c>
      <c r="G364">
        <f>IFERROR(VLOOKUP(CONCATENATE(Table43_1[[#This Row],[Kode BARANG Win2]],5),'Form Fix'!$A$6:$H$663,4,0),0)</f>
        <v>0</v>
      </c>
    </row>
    <row r="365" spans="1:7">
      <c r="A365" t="s">
        <v>3007</v>
      </c>
      <c r="B365" t="s">
        <v>3367</v>
      </c>
      <c r="C365">
        <f>IFERROR(VLOOKUP(CONCATENATE(Table43_1[[#This Row],[Kode BARANG Win2]],1),'Form Fix'!$A$6:$H$663,4,0),0)</f>
        <v>0</v>
      </c>
      <c r="D365">
        <f>IFERROR(VLOOKUP(CONCATENATE(Table43_1[[#This Row],[Kode BARANG Win2]],2),'Form Fix'!$A$6:$H$663,4,0),0)</f>
        <v>0</v>
      </c>
      <c r="E365">
        <f>IFERROR(VLOOKUP(CONCATENATE(Table43_1[[#This Row],[Kode BARANG Win2]],3),'Form Fix'!$A$6:$H$663,4,0),0)</f>
        <v>0</v>
      </c>
      <c r="F365">
        <f>IFERROR(VLOOKUP(CONCATENATE(Table43_1[[#This Row],[Kode BARANG Win2]],4),'Form Fix'!$A$6:$H$663,4,0),0)</f>
        <v>0</v>
      </c>
      <c r="G365">
        <f>IFERROR(VLOOKUP(CONCATENATE(Table43_1[[#This Row],[Kode BARANG Win2]],5),'Form Fix'!$A$6:$H$663,4,0),0)</f>
        <v>0</v>
      </c>
    </row>
    <row r="366" spans="1:7">
      <c r="A366" t="s">
        <v>3018</v>
      </c>
      <c r="B366" t="s">
        <v>3378</v>
      </c>
      <c r="C366">
        <f>IFERROR(VLOOKUP(CONCATENATE(Table43_1[[#This Row],[Kode BARANG Win2]],1),'Form Fix'!$A$6:$H$663,4,0),0)</f>
        <v>0</v>
      </c>
      <c r="D366">
        <f>IFERROR(VLOOKUP(CONCATENATE(Table43_1[[#This Row],[Kode BARANG Win2]],2),'Form Fix'!$A$6:$H$663,4,0),0)</f>
        <v>0</v>
      </c>
      <c r="E366">
        <f>IFERROR(VLOOKUP(CONCATENATE(Table43_1[[#This Row],[Kode BARANG Win2]],3),'Form Fix'!$A$6:$H$663,4,0),0)</f>
        <v>0</v>
      </c>
      <c r="F366">
        <f>IFERROR(VLOOKUP(CONCATENATE(Table43_1[[#This Row],[Kode BARANG Win2]],4),'Form Fix'!$A$6:$H$663,4,0),0)</f>
        <v>0</v>
      </c>
      <c r="G366">
        <f>IFERROR(VLOOKUP(CONCATENATE(Table43_1[[#This Row],[Kode BARANG Win2]],5),'Form Fix'!$A$6:$H$663,4,0),0)</f>
        <v>0</v>
      </c>
    </row>
    <row r="367" spans="1:7">
      <c r="A367" t="s">
        <v>3019</v>
      </c>
      <c r="B367" t="s">
        <v>3379</v>
      </c>
      <c r="C367">
        <f>IFERROR(VLOOKUP(CONCATENATE(Table43_1[[#This Row],[Kode BARANG Win2]],1),'Form Fix'!$A$6:$H$663,4,0),0)</f>
        <v>0</v>
      </c>
      <c r="D367">
        <f>IFERROR(VLOOKUP(CONCATENATE(Table43_1[[#This Row],[Kode BARANG Win2]],2),'Form Fix'!$A$6:$H$663,4,0),0)</f>
        <v>0</v>
      </c>
      <c r="E367">
        <f>IFERROR(VLOOKUP(CONCATENATE(Table43_1[[#This Row],[Kode BARANG Win2]],3),'Form Fix'!$A$6:$H$663,4,0),0)</f>
        <v>0</v>
      </c>
      <c r="F367">
        <f>IFERROR(VLOOKUP(CONCATENATE(Table43_1[[#This Row],[Kode BARANG Win2]],4),'Form Fix'!$A$6:$H$663,4,0),0)</f>
        <v>0</v>
      </c>
      <c r="G367">
        <f>IFERROR(VLOOKUP(CONCATENATE(Table43_1[[#This Row],[Kode BARANG Win2]],5),'Form Fix'!$A$6:$H$663,4,0),0)</f>
        <v>0</v>
      </c>
    </row>
    <row r="368" spans="1:7">
      <c r="A368" t="s">
        <v>2993</v>
      </c>
      <c r="B368" t="s">
        <v>3353</v>
      </c>
      <c r="C368">
        <f>IFERROR(VLOOKUP(CONCATENATE(Table43_1[[#This Row],[Kode BARANG Win2]],1),'Form Fix'!$A$6:$H$663,4,0),0)</f>
        <v>0</v>
      </c>
      <c r="D368">
        <f>IFERROR(VLOOKUP(CONCATENATE(Table43_1[[#This Row],[Kode BARANG Win2]],2),'Form Fix'!$A$6:$H$663,4,0),0)</f>
        <v>0</v>
      </c>
      <c r="E368">
        <f>IFERROR(VLOOKUP(CONCATENATE(Table43_1[[#This Row],[Kode BARANG Win2]],3),'Form Fix'!$A$6:$H$663,4,0),0)</f>
        <v>0</v>
      </c>
      <c r="F368">
        <f>IFERROR(VLOOKUP(CONCATENATE(Table43_1[[#This Row],[Kode BARANG Win2]],4),'Form Fix'!$A$6:$H$663,4,0),0)</f>
        <v>0</v>
      </c>
      <c r="G368">
        <f>IFERROR(VLOOKUP(CONCATENATE(Table43_1[[#This Row],[Kode BARANG Win2]],5),'Form Fix'!$A$6:$H$663,4,0),0)</f>
        <v>0</v>
      </c>
    </row>
    <row r="369" spans="1:7">
      <c r="A369" t="s">
        <v>2994</v>
      </c>
      <c r="B369" t="s">
        <v>3354</v>
      </c>
      <c r="C369">
        <f>IFERROR(VLOOKUP(CONCATENATE(Table43_1[[#This Row],[Kode BARANG Win2]],1),'Form Fix'!$A$6:$H$663,4,0),0)</f>
        <v>0</v>
      </c>
      <c r="D369">
        <f>IFERROR(VLOOKUP(CONCATENATE(Table43_1[[#This Row],[Kode BARANG Win2]],2),'Form Fix'!$A$6:$H$663,4,0),0)</f>
        <v>0</v>
      </c>
      <c r="E369">
        <f>IFERROR(VLOOKUP(CONCATENATE(Table43_1[[#This Row],[Kode BARANG Win2]],3),'Form Fix'!$A$6:$H$663,4,0),0)</f>
        <v>0</v>
      </c>
      <c r="F369">
        <f>IFERROR(VLOOKUP(CONCATENATE(Table43_1[[#This Row],[Kode BARANG Win2]],4),'Form Fix'!$A$6:$H$663,4,0),0)</f>
        <v>0</v>
      </c>
      <c r="G369">
        <f>IFERROR(VLOOKUP(CONCATENATE(Table43_1[[#This Row],[Kode BARANG Win2]],5),'Form Fix'!$A$6:$H$663,4,0),0)</f>
        <v>0</v>
      </c>
    </row>
    <row r="370" spans="1:7">
      <c r="A370" t="s">
        <v>2995</v>
      </c>
      <c r="B370" t="s">
        <v>3355</v>
      </c>
      <c r="C370">
        <f>IFERROR(VLOOKUP(CONCATENATE(Table43_1[[#This Row],[Kode BARANG Win2]],1),'Form Fix'!$A$6:$H$663,4,0),0)</f>
        <v>0</v>
      </c>
      <c r="D370">
        <f>IFERROR(VLOOKUP(CONCATENATE(Table43_1[[#This Row],[Kode BARANG Win2]],2),'Form Fix'!$A$6:$H$663,4,0),0)</f>
        <v>0</v>
      </c>
      <c r="E370">
        <f>IFERROR(VLOOKUP(CONCATENATE(Table43_1[[#This Row],[Kode BARANG Win2]],3),'Form Fix'!$A$6:$H$663,4,0),0)</f>
        <v>0</v>
      </c>
      <c r="F370">
        <f>IFERROR(VLOOKUP(CONCATENATE(Table43_1[[#This Row],[Kode BARANG Win2]],4),'Form Fix'!$A$6:$H$663,4,0),0)</f>
        <v>0</v>
      </c>
      <c r="G370">
        <f>IFERROR(VLOOKUP(CONCATENATE(Table43_1[[#This Row],[Kode BARANG Win2]],5),'Form Fix'!$A$6:$H$663,4,0),0)</f>
        <v>0</v>
      </c>
    </row>
    <row r="371" spans="1:7">
      <c r="A371" t="s">
        <v>2996</v>
      </c>
      <c r="B371" t="s">
        <v>3356</v>
      </c>
      <c r="C371">
        <f>IFERROR(VLOOKUP(CONCATENATE(Table43_1[[#This Row],[Kode BARANG Win2]],1),'Form Fix'!$A$6:$H$663,4,0),0)</f>
        <v>0</v>
      </c>
      <c r="D371">
        <f>IFERROR(VLOOKUP(CONCATENATE(Table43_1[[#This Row],[Kode BARANG Win2]],2),'Form Fix'!$A$6:$H$663,4,0),0)</f>
        <v>0</v>
      </c>
      <c r="E371">
        <f>IFERROR(VLOOKUP(CONCATENATE(Table43_1[[#This Row],[Kode BARANG Win2]],3),'Form Fix'!$A$6:$H$663,4,0),0)</f>
        <v>0</v>
      </c>
      <c r="F371">
        <f>IFERROR(VLOOKUP(CONCATENATE(Table43_1[[#This Row],[Kode BARANG Win2]],4),'Form Fix'!$A$6:$H$663,4,0),0)</f>
        <v>0</v>
      </c>
      <c r="G371">
        <f>IFERROR(VLOOKUP(CONCATENATE(Table43_1[[#This Row],[Kode BARANG Win2]],5),'Form Fix'!$A$6:$H$663,4,0),0)</f>
        <v>0</v>
      </c>
    </row>
    <row r="372" spans="1:7">
      <c r="A372" t="s">
        <v>2997</v>
      </c>
      <c r="B372" t="s">
        <v>3357</v>
      </c>
      <c r="C372">
        <f>IFERROR(VLOOKUP(CONCATENATE(Table43_1[[#This Row],[Kode BARANG Win2]],1),'Form Fix'!$A$6:$H$663,4,0),0)</f>
        <v>0</v>
      </c>
      <c r="D372">
        <f>IFERROR(VLOOKUP(CONCATENATE(Table43_1[[#This Row],[Kode BARANG Win2]],2),'Form Fix'!$A$6:$H$663,4,0),0)</f>
        <v>0</v>
      </c>
      <c r="E372">
        <f>IFERROR(VLOOKUP(CONCATENATE(Table43_1[[#This Row],[Kode BARANG Win2]],3),'Form Fix'!$A$6:$H$663,4,0),0)</f>
        <v>0</v>
      </c>
      <c r="F372">
        <f>IFERROR(VLOOKUP(CONCATENATE(Table43_1[[#This Row],[Kode BARANG Win2]],4),'Form Fix'!$A$6:$H$663,4,0),0)</f>
        <v>0</v>
      </c>
      <c r="G372">
        <f>IFERROR(VLOOKUP(CONCATENATE(Table43_1[[#This Row],[Kode BARANG Win2]],5),'Form Fix'!$A$6:$H$663,4,0),0)</f>
        <v>0</v>
      </c>
    </row>
    <row r="373" spans="1:7">
      <c r="A373" t="s">
        <v>2998</v>
      </c>
      <c r="B373" t="s">
        <v>3358</v>
      </c>
      <c r="C373">
        <f>IFERROR(VLOOKUP(CONCATENATE(Table43_1[[#This Row],[Kode BARANG Win2]],1),'Form Fix'!$A$6:$H$663,4,0),0)</f>
        <v>0</v>
      </c>
      <c r="D373">
        <f>IFERROR(VLOOKUP(CONCATENATE(Table43_1[[#This Row],[Kode BARANG Win2]],2),'Form Fix'!$A$6:$H$663,4,0),0)</f>
        <v>0</v>
      </c>
      <c r="E373">
        <f>IFERROR(VLOOKUP(CONCATENATE(Table43_1[[#This Row],[Kode BARANG Win2]],3),'Form Fix'!$A$6:$H$663,4,0),0)</f>
        <v>0</v>
      </c>
      <c r="F373">
        <f>IFERROR(VLOOKUP(CONCATENATE(Table43_1[[#This Row],[Kode BARANG Win2]],4),'Form Fix'!$A$6:$H$663,4,0),0)</f>
        <v>0</v>
      </c>
      <c r="G373">
        <f>IFERROR(VLOOKUP(CONCATENATE(Table43_1[[#This Row],[Kode BARANG Win2]],5),'Form Fix'!$A$6:$H$663,4,0),0)</f>
        <v>0</v>
      </c>
    </row>
    <row r="374" spans="1:7">
      <c r="A374" t="s">
        <v>2999</v>
      </c>
      <c r="B374" t="s">
        <v>3359</v>
      </c>
      <c r="C374">
        <f>IFERROR(VLOOKUP(CONCATENATE(Table43_1[[#This Row],[Kode BARANG Win2]],1),'Form Fix'!$A$6:$H$663,4,0),0)</f>
        <v>0</v>
      </c>
      <c r="D374">
        <f>IFERROR(VLOOKUP(CONCATENATE(Table43_1[[#This Row],[Kode BARANG Win2]],2),'Form Fix'!$A$6:$H$663,4,0),0)</f>
        <v>0</v>
      </c>
      <c r="E374">
        <f>IFERROR(VLOOKUP(CONCATENATE(Table43_1[[#This Row],[Kode BARANG Win2]],3),'Form Fix'!$A$6:$H$663,4,0),0)</f>
        <v>0</v>
      </c>
      <c r="F374">
        <f>IFERROR(VLOOKUP(CONCATENATE(Table43_1[[#This Row],[Kode BARANG Win2]],4),'Form Fix'!$A$6:$H$663,4,0),0)</f>
        <v>0</v>
      </c>
      <c r="G374">
        <f>IFERROR(VLOOKUP(CONCATENATE(Table43_1[[#This Row],[Kode BARANG Win2]],5),'Form Fix'!$A$6:$H$663,4,0),0)</f>
        <v>0</v>
      </c>
    </row>
    <row r="375" spans="1:7">
      <c r="A375" t="s">
        <v>3020</v>
      </c>
      <c r="B375" t="s">
        <v>3380</v>
      </c>
      <c r="C375">
        <f>IFERROR(VLOOKUP(CONCATENATE(Table43_1[[#This Row],[Kode BARANG Win2]],1),'Form Fix'!$A$6:$H$663,4,0),0)</f>
        <v>0</v>
      </c>
      <c r="D375">
        <f>IFERROR(VLOOKUP(CONCATENATE(Table43_1[[#This Row],[Kode BARANG Win2]],2),'Form Fix'!$A$6:$H$663,4,0),0)</f>
        <v>0</v>
      </c>
      <c r="E375">
        <f>IFERROR(VLOOKUP(CONCATENATE(Table43_1[[#This Row],[Kode BARANG Win2]],3),'Form Fix'!$A$6:$H$663,4,0),0)</f>
        <v>0</v>
      </c>
      <c r="F375">
        <f>IFERROR(VLOOKUP(CONCATENATE(Table43_1[[#This Row],[Kode BARANG Win2]],4),'Form Fix'!$A$6:$H$663,4,0),0)</f>
        <v>0</v>
      </c>
      <c r="G375">
        <f>IFERROR(VLOOKUP(CONCATENATE(Table43_1[[#This Row],[Kode BARANG Win2]],5),'Form Fix'!$A$6:$H$663,4,0),0)</f>
        <v>0</v>
      </c>
    </row>
    <row r="376" spans="1:7">
      <c r="A376" t="s">
        <v>3021</v>
      </c>
      <c r="B376" t="s">
        <v>3381</v>
      </c>
      <c r="C376">
        <f>IFERROR(VLOOKUP(CONCATENATE(Table43_1[[#This Row],[Kode BARANG Win2]],1),'Form Fix'!$A$6:$H$663,4,0),0)</f>
        <v>0</v>
      </c>
      <c r="D376">
        <f>IFERROR(VLOOKUP(CONCATENATE(Table43_1[[#This Row],[Kode BARANG Win2]],2),'Form Fix'!$A$6:$H$663,4,0),0)</f>
        <v>0</v>
      </c>
      <c r="E376">
        <f>IFERROR(VLOOKUP(CONCATENATE(Table43_1[[#This Row],[Kode BARANG Win2]],3),'Form Fix'!$A$6:$H$663,4,0),0)</f>
        <v>0</v>
      </c>
      <c r="F376">
        <f>IFERROR(VLOOKUP(CONCATENATE(Table43_1[[#This Row],[Kode BARANG Win2]],4),'Form Fix'!$A$6:$H$663,4,0),0)</f>
        <v>0</v>
      </c>
      <c r="G376">
        <f>IFERROR(VLOOKUP(CONCATENATE(Table43_1[[#This Row],[Kode BARANG Win2]],5),'Form Fix'!$A$6:$H$663,4,0),0)</f>
        <v>0</v>
      </c>
    </row>
    <row r="377" spans="1:7">
      <c r="A377" t="s">
        <v>2986</v>
      </c>
      <c r="B377" t="s">
        <v>3346</v>
      </c>
      <c r="C377">
        <f>IFERROR(VLOOKUP(CONCATENATE(Table43_1[[#This Row],[Kode BARANG Win2]],1),'Form Fix'!$A$6:$H$663,4,0),0)</f>
        <v>0</v>
      </c>
      <c r="D377">
        <f>IFERROR(VLOOKUP(CONCATENATE(Table43_1[[#This Row],[Kode BARANG Win2]],2),'Form Fix'!$A$6:$H$663,4,0),0)</f>
        <v>0</v>
      </c>
      <c r="E377">
        <f>IFERROR(VLOOKUP(CONCATENATE(Table43_1[[#This Row],[Kode BARANG Win2]],3),'Form Fix'!$A$6:$H$663,4,0),0)</f>
        <v>0</v>
      </c>
      <c r="F377">
        <f>IFERROR(VLOOKUP(CONCATENATE(Table43_1[[#This Row],[Kode BARANG Win2]],4),'Form Fix'!$A$6:$H$663,4,0),0)</f>
        <v>0</v>
      </c>
      <c r="G377">
        <f>IFERROR(VLOOKUP(CONCATENATE(Table43_1[[#This Row],[Kode BARANG Win2]],5),'Form Fix'!$A$6:$H$663,4,0),0)</f>
        <v>0</v>
      </c>
    </row>
    <row r="378" spans="1:7">
      <c r="A378" t="s">
        <v>2987</v>
      </c>
      <c r="B378" t="s">
        <v>3347</v>
      </c>
      <c r="C378">
        <f>IFERROR(VLOOKUP(CONCATENATE(Table43_1[[#This Row],[Kode BARANG Win2]],1),'Form Fix'!$A$6:$H$663,4,0),0)</f>
        <v>0</v>
      </c>
      <c r="D378">
        <f>IFERROR(VLOOKUP(CONCATENATE(Table43_1[[#This Row],[Kode BARANG Win2]],2),'Form Fix'!$A$6:$H$663,4,0),0)</f>
        <v>0</v>
      </c>
      <c r="E378">
        <f>IFERROR(VLOOKUP(CONCATENATE(Table43_1[[#This Row],[Kode BARANG Win2]],3),'Form Fix'!$A$6:$H$663,4,0),0)</f>
        <v>0</v>
      </c>
      <c r="F378">
        <f>IFERROR(VLOOKUP(CONCATENATE(Table43_1[[#This Row],[Kode BARANG Win2]],4),'Form Fix'!$A$6:$H$663,4,0),0)</f>
        <v>0</v>
      </c>
      <c r="G378">
        <f>IFERROR(VLOOKUP(CONCATENATE(Table43_1[[#This Row],[Kode BARANG Win2]],5),'Form Fix'!$A$6:$H$663,4,0),0)</f>
        <v>0</v>
      </c>
    </row>
    <row r="379" spans="1:7">
      <c r="A379" t="s">
        <v>2988</v>
      </c>
      <c r="B379" t="s">
        <v>3348</v>
      </c>
      <c r="C379">
        <f>IFERROR(VLOOKUP(CONCATENATE(Table43_1[[#This Row],[Kode BARANG Win2]],1),'Form Fix'!$A$6:$H$663,4,0),0)</f>
        <v>0</v>
      </c>
      <c r="D379">
        <f>IFERROR(VLOOKUP(CONCATENATE(Table43_1[[#This Row],[Kode BARANG Win2]],2),'Form Fix'!$A$6:$H$663,4,0),0)</f>
        <v>0</v>
      </c>
      <c r="E379">
        <f>IFERROR(VLOOKUP(CONCATENATE(Table43_1[[#This Row],[Kode BARANG Win2]],3),'Form Fix'!$A$6:$H$663,4,0),0)</f>
        <v>0</v>
      </c>
      <c r="F379">
        <f>IFERROR(VLOOKUP(CONCATENATE(Table43_1[[#This Row],[Kode BARANG Win2]],4),'Form Fix'!$A$6:$H$663,4,0),0)</f>
        <v>0</v>
      </c>
      <c r="G379">
        <f>IFERROR(VLOOKUP(CONCATENATE(Table43_1[[#This Row],[Kode BARANG Win2]],5),'Form Fix'!$A$6:$H$663,4,0),0)</f>
        <v>0</v>
      </c>
    </row>
    <row r="380" spans="1:7">
      <c r="A380" t="s">
        <v>2989</v>
      </c>
      <c r="B380" t="s">
        <v>3349</v>
      </c>
      <c r="C380">
        <f>IFERROR(VLOOKUP(CONCATENATE(Table43_1[[#This Row],[Kode BARANG Win2]],1),'Form Fix'!$A$6:$H$663,4,0),0)</f>
        <v>0</v>
      </c>
      <c r="D380">
        <f>IFERROR(VLOOKUP(CONCATENATE(Table43_1[[#This Row],[Kode BARANG Win2]],2),'Form Fix'!$A$6:$H$663,4,0),0)</f>
        <v>0</v>
      </c>
      <c r="E380">
        <f>IFERROR(VLOOKUP(CONCATENATE(Table43_1[[#This Row],[Kode BARANG Win2]],3),'Form Fix'!$A$6:$H$663,4,0),0)</f>
        <v>0</v>
      </c>
      <c r="F380">
        <f>IFERROR(VLOOKUP(CONCATENATE(Table43_1[[#This Row],[Kode BARANG Win2]],4),'Form Fix'!$A$6:$H$663,4,0),0)</f>
        <v>0</v>
      </c>
      <c r="G380">
        <f>IFERROR(VLOOKUP(CONCATENATE(Table43_1[[#This Row],[Kode BARANG Win2]],5),'Form Fix'!$A$6:$H$663,4,0),0)</f>
        <v>0</v>
      </c>
    </row>
    <row r="381" spans="1:7">
      <c r="A381" t="s">
        <v>2990</v>
      </c>
      <c r="B381" t="s">
        <v>3350</v>
      </c>
      <c r="C381">
        <f>IFERROR(VLOOKUP(CONCATENATE(Table43_1[[#This Row],[Kode BARANG Win2]],1),'Form Fix'!$A$6:$H$663,4,0),0)</f>
        <v>0</v>
      </c>
      <c r="D381">
        <f>IFERROR(VLOOKUP(CONCATENATE(Table43_1[[#This Row],[Kode BARANG Win2]],2),'Form Fix'!$A$6:$H$663,4,0),0)</f>
        <v>0</v>
      </c>
      <c r="E381">
        <f>IFERROR(VLOOKUP(CONCATENATE(Table43_1[[#This Row],[Kode BARANG Win2]],3),'Form Fix'!$A$6:$H$663,4,0),0)</f>
        <v>0</v>
      </c>
      <c r="F381">
        <f>IFERROR(VLOOKUP(CONCATENATE(Table43_1[[#This Row],[Kode BARANG Win2]],4),'Form Fix'!$A$6:$H$663,4,0),0)</f>
        <v>0</v>
      </c>
      <c r="G381">
        <f>IFERROR(VLOOKUP(CONCATENATE(Table43_1[[#This Row],[Kode BARANG Win2]],5),'Form Fix'!$A$6:$H$663,4,0),0)</f>
        <v>0</v>
      </c>
    </row>
    <row r="382" spans="1:7">
      <c r="A382" t="s">
        <v>2991</v>
      </c>
      <c r="B382" t="s">
        <v>3351</v>
      </c>
      <c r="C382">
        <f>IFERROR(VLOOKUP(CONCATENATE(Table43_1[[#This Row],[Kode BARANG Win2]],1),'Form Fix'!$A$6:$H$663,4,0),0)</f>
        <v>0</v>
      </c>
      <c r="D382">
        <f>IFERROR(VLOOKUP(CONCATENATE(Table43_1[[#This Row],[Kode BARANG Win2]],2),'Form Fix'!$A$6:$H$663,4,0),0)</f>
        <v>0</v>
      </c>
      <c r="E382">
        <f>IFERROR(VLOOKUP(CONCATENATE(Table43_1[[#This Row],[Kode BARANG Win2]],3),'Form Fix'!$A$6:$H$663,4,0),0)</f>
        <v>0</v>
      </c>
      <c r="F382">
        <f>IFERROR(VLOOKUP(CONCATENATE(Table43_1[[#This Row],[Kode BARANG Win2]],4),'Form Fix'!$A$6:$H$663,4,0),0)</f>
        <v>0</v>
      </c>
      <c r="G382">
        <f>IFERROR(VLOOKUP(CONCATENATE(Table43_1[[#This Row],[Kode BARANG Win2]],5),'Form Fix'!$A$6:$H$663,4,0),0)</f>
        <v>0</v>
      </c>
    </row>
    <row r="383" spans="1:7">
      <c r="A383" t="s">
        <v>2992</v>
      </c>
      <c r="B383" t="s">
        <v>3352</v>
      </c>
      <c r="C383">
        <f>IFERROR(VLOOKUP(CONCATENATE(Table43_1[[#This Row],[Kode BARANG Win2]],1),'Form Fix'!$A$6:$H$663,4,0),0)</f>
        <v>0</v>
      </c>
      <c r="D383">
        <f>IFERROR(VLOOKUP(CONCATENATE(Table43_1[[#This Row],[Kode BARANG Win2]],2),'Form Fix'!$A$6:$H$663,4,0),0)</f>
        <v>0</v>
      </c>
      <c r="E383">
        <f>IFERROR(VLOOKUP(CONCATENATE(Table43_1[[#This Row],[Kode BARANG Win2]],3),'Form Fix'!$A$6:$H$663,4,0),0)</f>
        <v>0</v>
      </c>
      <c r="F383">
        <f>IFERROR(VLOOKUP(CONCATENATE(Table43_1[[#This Row],[Kode BARANG Win2]],4),'Form Fix'!$A$6:$H$663,4,0),0)</f>
        <v>0</v>
      </c>
      <c r="G383">
        <f>IFERROR(VLOOKUP(CONCATENATE(Table43_1[[#This Row],[Kode BARANG Win2]],5),'Form Fix'!$A$6:$H$663,4,0),0)</f>
        <v>0</v>
      </c>
    </row>
    <row r="384" spans="1:7">
      <c r="A384" t="s">
        <v>2985</v>
      </c>
      <c r="B384" t="s">
        <v>3345</v>
      </c>
      <c r="C384">
        <f>IFERROR(VLOOKUP(CONCATENATE(Table43_1[[#This Row],[Kode BARANG Win2]],1),'Form Fix'!$A$6:$H$663,4,0),0)</f>
        <v>0</v>
      </c>
      <c r="D384">
        <f>IFERROR(VLOOKUP(CONCATENATE(Table43_1[[#This Row],[Kode BARANG Win2]],2),'Form Fix'!$A$6:$H$663,4,0),0)</f>
        <v>0</v>
      </c>
      <c r="E384">
        <f>IFERROR(VLOOKUP(CONCATENATE(Table43_1[[#This Row],[Kode BARANG Win2]],3),'Form Fix'!$A$6:$H$663,4,0),0)</f>
        <v>0</v>
      </c>
      <c r="F384">
        <f>IFERROR(VLOOKUP(CONCATENATE(Table43_1[[#This Row],[Kode BARANG Win2]],4),'Form Fix'!$A$6:$H$663,4,0),0)</f>
        <v>0</v>
      </c>
      <c r="G384">
        <f>IFERROR(VLOOKUP(CONCATENATE(Table43_1[[#This Row],[Kode BARANG Win2]],5),'Form Fix'!$A$6:$H$663,4,0),0)</f>
        <v>0</v>
      </c>
    </row>
    <row r="385" spans="1:7">
      <c r="A385" t="s">
        <v>3022</v>
      </c>
      <c r="B385" t="s">
        <v>3382</v>
      </c>
      <c r="C385">
        <f>IFERROR(VLOOKUP(CONCATENATE(Table43_1[[#This Row],[Kode BARANG Win2]],1),'Form Fix'!$A$6:$H$663,4,0),0)</f>
        <v>0</v>
      </c>
      <c r="D385">
        <f>IFERROR(VLOOKUP(CONCATENATE(Table43_1[[#This Row],[Kode BARANG Win2]],2),'Form Fix'!$A$6:$H$663,4,0),0)</f>
        <v>0</v>
      </c>
      <c r="E385">
        <f>IFERROR(VLOOKUP(CONCATENATE(Table43_1[[#This Row],[Kode BARANG Win2]],3),'Form Fix'!$A$6:$H$663,4,0),0)</f>
        <v>0</v>
      </c>
      <c r="F385">
        <f>IFERROR(VLOOKUP(CONCATENATE(Table43_1[[#This Row],[Kode BARANG Win2]],4),'Form Fix'!$A$6:$H$663,4,0),0)</f>
        <v>0</v>
      </c>
      <c r="G385">
        <f>IFERROR(VLOOKUP(CONCATENATE(Table43_1[[#This Row],[Kode BARANG Win2]],5),'Form Fix'!$A$6:$H$663,4,0),0)</f>
        <v>0</v>
      </c>
    </row>
    <row r="386" spans="1:7">
      <c r="A386" t="s">
        <v>3023</v>
      </c>
      <c r="B386" t="s">
        <v>3383</v>
      </c>
      <c r="C386">
        <f>IFERROR(VLOOKUP(CONCATENATE(Table43_1[[#This Row],[Kode BARANG Win2]],1),'Form Fix'!$A$6:$H$663,4,0),0)</f>
        <v>0</v>
      </c>
      <c r="D386">
        <f>IFERROR(VLOOKUP(CONCATENATE(Table43_1[[#This Row],[Kode BARANG Win2]],2),'Form Fix'!$A$6:$H$663,4,0),0)</f>
        <v>0</v>
      </c>
      <c r="E386">
        <f>IFERROR(VLOOKUP(CONCATENATE(Table43_1[[#This Row],[Kode BARANG Win2]],3),'Form Fix'!$A$6:$H$663,4,0),0)</f>
        <v>0</v>
      </c>
      <c r="F386">
        <f>IFERROR(VLOOKUP(CONCATENATE(Table43_1[[#This Row],[Kode BARANG Win2]],4),'Form Fix'!$A$6:$H$663,4,0),0)</f>
        <v>0</v>
      </c>
      <c r="G386">
        <f>IFERROR(VLOOKUP(CONCATENATE(Table43_1[[#This Row],[Kode BARANG Win2]],5),'Form Fix'!$A$6:$H$663,4,0),0)</f>
        <v>0</v>
      </c>
    </row>
    <row r="387" spans="1:7">
      <c r="A387" t="s">
        <v>3024</v>
      </c>
      <c r="B387" t="s">
        <v>3384</v>
      </c>
      <c r="C387">
        <f>IFERROR(VLOOKUP(CONCATENATE(Table43_1[[#This Row],[Kode BARANG Win2]],1),'Form Fix'!$A$6:$H$663,4,0),0)</f>
        <v>0</v>
      </c>
      <c r="D387">
        <f>IFERROR(VLOOKUP(CONCATENATE(Table43_1[[#This Row],[Kode BARANG Win2]],2),'Form Fix'!$A$6:$H$663,4,0),0)</f>
        <v>0</v>
      </c>
      <c r="E387">
        <f>IFERROR(VLOOKUP(CONCATENATE(Table43_1[[#This Row],[Kode BARANG Win2]],3),'Form Fix'!$A$6:$H$663,4,0),0)</f>
        <v>0</v>
      </c>
      <c r="F387">
        <f>IFERROR(VLOOKUP(CONCATENATE(Table43_1[[#This Row],[Kode BARANG Win2]],4),'Form Fix'!$A$6:$H$663,4,0),0)</f>
        <v>0</v>
      </c>
      <c r="G387">
        <f>IFERROR(VLOOKUP(CONCATENATE(Table43_1[[#This Row],[Kode BARANG Win2]],5),'Form Fix'!$A$6:$H$663,4,0),0)</f>
        <v>0</v>
      </c>
    </row>
    <row r="388" spans="1:7">
      <c r="A388" t="s">
        <v>3025</v>
      </c>
      <c r="B388" t="s">
        <v>3385</v>
      </c>
      <c r="C388">
        <f>IFERROR(VLOOKUP(CONCATENATE(Table43_1[[#This Row],[Kode BARANG Win2]],1),'Form Fix'!$A$6:$H$663,4,0),0)</f>
        <v>0</v>
      </c>
      <c r="D388">
        <f>IFERROR(VLOOKUP(CONCATENATE(Table43_1[[#This Row],[Kode BARANG Win2]],2),'Form Fix'!$A$6:$H$663,4,0),0)</f>
        <v>0</v>
      </c>
      <c r="E388">
        <f>IFERROR(VLOOKUP(CONCATENATE(Table43_1[[#This Row],[Kode BARANG Win2]],3),'Form Fix'!$A$6:$H$663,4,0),0)</f>
        <v>0</v>
      </c>
      <c r="F388">
        <f>IFERROR(VLOOKUP(CONCATENATE(Table43_1[[#This Row],[Kode BARANG Win2]],4),'Form Fix'!$A$6:$H$663,4,0),0)</f>
        <v>0</v>
      </c>
      <c r="G388">
        <f>IFERROR(VLOOKUP(CONCATENATE(Table43_1[[#This Row],[Kode BARANG Win2]],5),'Form Fix'!$A$6:$H$663,4,0),0)</f>
        <v>0</v>
      </c>
    </row>
  </sheetData>
  <conditionalFormatting sqref="A1:A1048576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CF3C-3C76-4C87-AEC2-206693260AA1}">
  <sheetPr codeName="Sheet9">
    <tabColor rgb="FF00B050"/>
  </sheetPr>
  <dimension ref="A1:BW663"/>
  <sheetViews>
    <sheetView tabSelected="1" topLeftCell="K177" zoomScale="90" zoomScaleNormal="90" workbookViewId="0">
      <selection activeCell="P204" sqref="P204"/>
    </sheetView>
  </sheetViews>
  <sheetFormatPr defaultRowHeight="15" outlineLevelCol="1"/>
  <cols>
    <col min="1" max="1" width="17.5703125" bestFit="1" customWidth="1"/>
    <col min="2" max="2" width="10.28515625" bestFit="1" customWidth="1"/>
    <col min="3" max="3" width="21.85546875" style="4" bestFit="1" customWidth="1"/>
    <col min="4" max="4" width="20" style="31" bestFit="1" customWidth="1"/>
    <col min="5" max="5" width="63.5703125" style="4" bestFit="1" customWidth="1"/>
    <col min="6" max="7" width="63.5703125" style="31" customWidth="1"/>
    <col min="8" max="8" width="45.85546875" style="4" customWidth="1"/>
    <col min="9" max="9" width="12.5703125" style="4" customWidth="1"/>
    <col min="10" max="10" width="16.5703125" style="31" customWidth="1"/>
    <col min="11" max="11" width="13" style="4" customWidth="1"/>
    <col min="12" max="12" width="27.5703125" style="4" customWidth="1"/>
    <col min="13" max="13" width="19.7109375" style="4" customWidth="1"/>
    <col min="14" max="14" width="18.42578125" style="4" customWidth="1"/>
    <col min="15" max="15" width="8.28515625" style="11" customWidth="1"/>
    <col min="16" max="16" width="68.42578125" style="14" customWidth="1"/>
    <col min="17" max="17" width="8.28515625" style="11" customWidth="1"/>
    <col min="18" max="18" width="16.28515625" style="4" customWidth="1" outlineLevel="1"/>
    <col min="19" max="19" width="16.42578125" style="7" customWidth="1" outlineLevel="1"/>
    <col min="20" max="20" width="24.5703125" style="4" customWidth="1" outlineLevel="1"/>
    <col min="21" max="21" width="7.7109375" style="7" customWidth="1" outlineLevel="1"/>
    <col min="22" max="22" width="24.28515625" style="4" customWidth="1" outlineLevel="1"/>
    <col min="23" max="23" width="11.42578125" style="7" customWidth="1" outlineLevel="1"/>
    <col min="24" max="24" width="13.140625" style="7" customWidth="1" outlineLevel="1"/>
    <col min="25" max="25" width="7.85546875" style="7" customWidth="1" outlineLevel="1"/>
    <col min="26" max="26" width="30.7109375" style="4" customWidth="1" outlineLevel="1"/>
    <col min="27" max="27" width="13.140625" style="7" customWidth="1" outlineLevel="1"/>
    <col min="28" max="28" width="12.28515625" style="4" customWidth="1" outlineLevel="1"/>
    <col min="29" max="29" width="16.42578125" style="7" customWidth="1" outlineLevel="1"/>
    <col min="30" max="30" width="15.5703125" style="4" customWidth="1" outlineLevel="1"/>
    <col min="31" max="31" width="16.42578125" style="7" customWidth="1" outlineLevel="1"/>
    <col min="32" max="32" width="11.42578125" style="4" customWidth="1" outlineLevel="1"/>
    <col min="33" max="33" width="16.42578125" style="7" customWidth="1" outlineLevel="1"/>
    <col min="34" max="34" width="28" style="7" customWidth="1" outlineLevel="1"/>
    <col min="35" max="35" width="16.42578125" style="7" customWidth="1" outlineLevel="1"/>
    <col min="36" max="36" width="20.85546875" style="7" customWidth="1" outlineLevel="1"/>
    <col min="37" max="37" width="20.5703125" style="7" customWidth="1" outlineLevel="1"/>
    <col min="38" max="40" width="12.42578125" style="7" customWidth="1" outlineLevel="1"/>
    <col min="41" max="41" width="18.28515625" style="36" customWidth="1" outlineLevel="1"/>
    <col min="42" max="42" width="18" style="36" customWidth="1" outlineLevel="1"/>
    <col min="43" max="43" width="18.28515625" style="36" customWidth="1" outlineLevel="1"/>
    <col min="44" max="44" width="18" style="36" customWidth="1" outlineLevel="1"/>
    <col min="45" max="45" width="21.140625" style="36" customWidth="1"/>
    <col min="46" max="46" width="20.85546875" style="36" customWidth="1"/>
    <col min="47" max="47" width="21.140625" style="36" customWidth="1"/>
    <col min="48" max="48" width="20.85546875" style="36" customWidth="1"/>
    <col min="49" max="49" width="21.5703125" style="36" customWidth="1"/>
    <col min="50" max="50" width="21.28515625" style="36" customWidth="1"/>
    <col min="51" max="51" width="21.5703125" style="36" customWidth="1"/>
    <col min="52" max="52" width="21.28515625" style="36" customWidth="1"/>
    <col min="53" max="54" width="21.28515625" style="43" customWidth="1"/>
    <col min="55" max="55" width="21.28515625" style="55" customWidth="1"/>
    <col min="56" max="56" width="15.7109375" style="4" customWidth="1"/>
    <col min="57" max="57" width="15.85546875" style="4" customWidth="1"/>
    <col min="58" max="58" width="15.7109375" style="4" bestFit="1" customWidth="1"/>
    <col min="59" max="59" width="11" style="4" bestFit="1" customWidth="1"/>
    <col min="60" max="60" width="11" style="4" customWidth="1"/>
    <col min="61" max="61" width="10.140625" style="4" bestFit="1" customWidth="1"/>
    <col min="62" max="63" width="14.140625" style="4" bestFit="1" customWidth="1"/>
    <col min="64" max="64" width="12.42578125" style="4" bestFit="1" customWidth="1"/>
    <col min="65" max="65" width="11.85546875" style="4" bestFit="1" customWidth="1"/>
    <col min="66" max="66" width="12.5703125" style="4" bestFit="1" customWidth="1"/>
    <col min="67" max="67" width="8.28515625" style="4" bestFit="1" customWidth="1"/>
    <col min="68" max="68" width="10.140625" style="4" bestFit="1" customWidth="1"/>
    <col min="69" max="69" width="11.140625" style="4" bestFit="1" customWidth="1"/>
    <col min="70" max="70" width="12.28515625" style="4" bestFit="1" customWidth="1"/>
    <col min="71" max="71" width="13" style="4" bestFit="1" customWidth="1"/>
    <col min="72" max="72" width="37.28515625" style="4" bestFit="1" customWidth="1"/>
    <col min="73" max="73" width="8.85546875" style="4"/>
    <col min="74" max="74" width="12" style="4" bestFit="1" customWidth="1"/>
    <col min="75" max="75" width="8.85546875" style="4"/>
  </cols>
  <sheetData>
    <row r="1" spans="1:75">
      <c r="C1" s="17" t="s">
        <v>31</v>
      </c>
      <c r="D1" s="58"/>
      <c r="E1" s="13"/>
      <c r="F1" s="58"/>
      <c r="G1" s="58"/>
      <c r="P1" s="4"/>
    </row>
    <row r="2" spans="1:75">
      <c r="P2" s="4"/>
      <c r="Q2" s="11">
        <f>COUNTIF(Table43[LEN 50], "&gt;50")</f>
        <v>87</v>
      </c>
    </row>
    <row r="3" spans="1:75" ht="18.75">
      <c r="D3" s="155" t="s">
        <v>30</v>
      </c>
      <c r="E3" s="156"/>
      <c r="F3" s="156"/>
      <c r="G3" s="156"/>
      <c r="H3" s="156"/>
      <c r="I3" s="157"/>
      <c r="J3" s="32"/>
      <c r="K3" s="161"/>
      <c r="L3" s="162"/>
      <c r="M3" s="162"/>
      <c r="N3" s="162"/>
      <c r="O3" s="162"/>
      <c r="P3" s="163"/>
      <c r="R3" s="11" t="s">
        <v>168</v>
      </c>
      <c r="S3" s="11"/>
      <c r="AO3" s="164" t="s">
        <v>37</v>
      </c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44"/>
      <c r="BB3" s="44"/>
      <c r="BC3" s="56"/>
      <c r="BD3" s="165" t="s">
        <v>44</v>
      </c>
      <c r="BE3" s="165"/>
    </row>
    <row r="4" spans="1:75" ht="60">
      <c r="D4" s="158"/>
      <c r="E4" s="159"/>
      <c r="F4" s="159"/>
      <c r="G4" s="159"/>
      <c r="H4" s="159"/>
      <c r="I4" s="160"/>
      <c r="J4" s="33"/>
      <c r="K4" s="18" t="s">
        <v>32</v>
      </c>
      <c r="L4" s="18"/>
      <c r="M4" s="166" t="s">
        <v>33</v>
      </c>
      <c r="N4" s="166"/>
      <c r="O4" s="166"/>
      <c r="P4" s="166"/>
      <c r="Q4" s="166"/>
      <c r="R4" s="167" t="s">
        <v>24</v>
      </c>
      <c r="S4" s="167"/>
      <c r="AO4" s="168" t="s">
        <v>38</v>
      </c>
      <c r="AP4" s="168"/>
      <c r="AQ4" s="168"/>
      <c r="AR4" s="168"/>
      <c r="AS4" s="168" t="s">
        <v>43</v>
      </c>
      <c r="AT4" s="168"/>
      <c r="AU4" s="168"/>
      <c r="AV4" s="168"/>
      <c r="AW4" s="168" t="s">
        <v>182</v>
      </c>
      <c r="AX4" s="168"/>
      <c r="AY4" s="168"/>
      <c r="AZ4" s="168"/>
      <c r="BA4" s="44" t="s">
        <v>183</v>
      </c>
      <c r="BB4" s="44"/>
      <c r="BC4" s="56"/>
      <c r="BD4" s="165"/>
      <c r="BE4" s="165"/>
      <c r="BF4" s="23"/>
      <c r="BG4" s="24"/>
      <c r="BH4" s="24"/>
      <c r="BI4" s="154" t="s">
        <v>130</v>
      </c>
      <c r="BJ4" s="154"/>
      <c r="BK4" s="154"/>
      <c r="BL4" s="154"/>
      <c r="BM4" s="154"/>
      <c r="BN4" s="154"/>
      <c r="BO4" s="154"/>
      <c r="BP4" s="154"/>
      <c r="BQ4" s="154"/>
      <c r="BR4" s="154"/>
      <c r="BS4" s="154"/>
    </row>
    <row r="5" spans="1:75" s="6" customFormat="1" ht="75">
      <c r="A5" s="22" t="s">
        <v>158</v>
      </c>
      <c r="B5" s="22" t="s">
        <v>143</v>
      </c>
      <c r="C5" s="5" t="s">
        <v>11</v>
      </c>
      <c r="D5" s="34" t="s">
        <v>0</v>
      </c>
      <c r="E5" s="5" t="s">
        <v>8</v>
      </c>
      <c r="F5" s="34" t="s">
        <v>2653</v>
      </c>
      <c r="G5" s="34" t="s">
        <v>2652</v>
      </c>
      <c r="H5" s="5" t="s">
        <v>7</v>
      </c>
      <c r="I5" s="5" t="s">
        <v>4</v>
      </c>
      <c r="J5" s="34" t="s">
        <v>181</v>
      </c>
      <c r="K5" s="5" t="s">
        <v>12</v>
      </c>
      <c r="L5" s="5" t="s">
        <v>36</v>
      </c>
      <c r="M5" s="9" t="s">
        <v>171</v>
      </c>
      <c r="N5" s="10" t="s">
        <v>29</v>
      </c>
      <c r="O5" s="12" t="s">
        <v>22</v>
      </c>
      <c r="P5" s="10" t="s">
        <v>21</v>
      </c>
      <c r="Q5" s="12" t="s">
        <v>23</v>
      </c>
      <c r="R5" s="5" t="s">
        <v>13</v>
      </c>
      <c r="S5" s="8" t="s">
        <v>14</v>
      </c>
      <c r="T5" s="5" t="s">
        <v>15</v>
      </c>
      <c r="U5" s="8" t="s">
        <v>16</v>
      </c>
      <c r="V5" s="15" t="s">
        <v>17</v>
      </c>
      <c r="W5" s="8" t="s">
        <v>18</v>
      </c>
      <c r="X5" s="15" t="s">
        <v>146</v>
      </c>
      <c r="Y5" s="8" t="s">
        <v>147</v>
      </c>
      <c r="Z5" s="5" t="s">
        <v>19</v>
      </c>
      <c r="AA5" s="8" t="s">
        <v>27</v>
      </c>
      <c r="AB5" s="5" t="s">
        <v>164</v>
      </c>
      <c r="AC5" s="8" t="s">
        <v>20</v>
      </c>
      <c r="AD5" s="5" t="s">
        <v>2223</v>
      </c>
      <c r="AE5" s="8" t="s">
        <v>145</v>
      </c>
      <c r="AF5" s="5" t="s">
        <v>25</v>
      </c>
      <c r="AG5" s="8" t="s">
        <v>28</v>
      </c>
      <c r="AH5" s="5" t="s">
        <v>166</v>
      </c>
      <c r="AI5" s="8" t="s">
        <v>170</v>
      </c>
      <c r="AJ5" s="5" t="s">
        <v>165</v>
      </c>
      <c r="AK5" s="5" t="s">
        <v>176</v>
      </c>
      <c r="AL5" s="8" t="s">
        <v>175</v>
      </c>
      <c r="AM5" s="8" t="s">
        <v>179</v>
      </c>
      <c r="AN5" s="8" t="s">
        <v>3386</v>
      </c>
      <c r="AO5" s="37" t="s">
        <v>40</v>
      </c>
      <c r="AP5" s="37" t="s">
        <v>39</v>
      </c>
      <c r="AQ5" s="37" t="s">
        <v>41</v>
      </c>
      <c r="AR5" s="37" t="s">
        <v>42</v>
      </c>
      <c r="AS5" s="41" t="s">
        <v>131</v>
      </c>
      <c r="AT5" s="41" t="s">
        <v>132</v>
      </c>
      <c r="AU5" s="41" t="s">
        <v>133</v>
      </c>
      <c r="AV5" s="41" t="s">
        <v>134</v>
      </c>
      <c r="AW5" s="42" t="s">
        <v>135</v>
      </c>
      <c r="AX5" s="42" t="s">
        <v>136</v>
      </c>
      <c r="AY5" s="42" t="s">
        <v>137</v>
      </c>
      <c r="AZ5" s="42" t="s">
        <v>138</v>
      </c>
      <c r="BA5" s="45" t="s">
        <v>183</v>
      </c>
      <c r="BB5" s="45" t="s">
        <v>1093</v>
      </c>
      <c r="BC5" s="57" t="s">
        <v>1113</v>
      </c>
      <c r="BD5" s="19" t="s">
        <v>117</v>
      </c>
      <c r="BE5" s="19" t="s">
        <v>118</v>
      </c>
      <c r="BF5" s="22" t="s">
        <v>121</v>
      </c>
      <c r="BG5" s="22" t="s">
        <v>122</v>
      </c>
      <c r="BH5" s="22" t="s">
        <v>180</v>
      </c>
      <c r="BI5" s="22" t="s">
        <v>119</v>
      </c>
      <c r="BJ5" s="22" t="s">
        <v>142</v>
      </c>
      <c r="BK5" s="22" t="s">
        <v>174</v>
      </c>
      <c r="BL5" s="22" t="s">
        <v>123</v>
      </c>
      <c r="BM5" s="22" t="s">
        <v>172</v>
      </c>
      <c r="BN5" s="22" t="s">
        <v>124</v>
      </c>
      <c r="BO5" s="22" t="s">
        <v>125</v>
      </c>
      <c r="BP5" s="22" t="s">
        <v>127</v>
      </c>
      <c r="BQ5" s="22" t="s">
        <v>128</v>
      </c>
      <c r="BR5" s="22" t="s">
        <v>129</v>
      </c>
      <c r="BS5" s="22" t="s">
        <v>120</v>
      </c>
      <c r="BT5" s="22" t="s">
        <v>184</v>
      </c>
      <c r="BU5" s="8" t="s">
        <v>2656</v>
      </c>
      <c r="BV5" s="5"/>
      <c r="BW5" s="5"/>
    </row>
    <row r="6" spans="1:75">
      <c r="A6" s="4" t="str">
        <f>CONCATENATE(Table43[[#This Row],[Kode BARANG Win2]],Table43[[#This Row],[No. Urut
Item Sama]])</f>
        <v/>
      </c>
      <c r="B6" s="7"/>
      <c r="C6" s="31"/>
      <c r="D6" s="51"/>
      <c r="E6" s="27"/>
      <c r="F6" s="51"/>
      <c r="G6" s="51"/>
      <c r="H6" s="27"/>
      <c r="I6" s="27"/>
      <c r="J6" s="51"/>
      <c r="K6" s="27">
        <f>Table43[[#This Row],[NamaJenisKemasan]]</f>
        <v>0</v>
      </c>
      <c r="L6" s="4" t="str">
        <f>TRIM(CONCATENATE(Table43[[#This Row],[Nama            KLP]]," ",Table43[[#This Row],[Nama            Sub KLP]]))</f>
        <v/>
      </c>
      <c r="M6" s="4" t="str">
        <f>CONCATENATE(Table43[[#This Row],[kode  2 Digit                (hrf+No)]],Table43[[#This Row],[kode  2 Digit                (Nomor)]],Table43[[#This Row],[kode  1 Digit                (Nomor)]])</f>
        <v/>
      </c>
      <c r="N6" s="4" t="str">
        <f>IF(AI6="",CONCATENATE(S6,U6,W6,Y6,AA6,AC6,AE6,AG6,Table43[[#This Row],[Tanda Kode Revisi]]),CONCATENATE(S6,U6,W6,Y6,AA6,AC6,AE6,AI6))</f>
        <v/>
      </c>
      <c r="O6" s="11">
        <f t="shared" ref="O6:O76" si="0">LEN(N6)</f>
        <v>0</v>
      </c>
      <c r="P6" s="14" t="str">
        <f>IF(AH6&lt;&gt;"",TRIM(UPPER(CONCATENATE(R6," ",T6," ",V6," ",X6," ",Z6," ",AB6," ","X"," ",Table43[[#This Row],[ISI/CTN]]," ",AH6," ",AD6," ",AF6," ",AJ6))),TRIM(UPPER(CONCATENATE(R6," ",T6," ",V6," ",X6," ",Z6," ",AB6," ","X"," ",Table43[[#This Row],[ISI/CTN]]," ",AD6," ",AF6," ",AJ6))))</f>
        <v>X</v>
      </c>
      <c r="Q6" s="11">
        <f t="shared" ref="Q6:Q76" si="1">LEN(P6)</f>
        <v>1</v>
      </c>
      <c r="U6" s="47"/>
      <c r="V6" s="48"/>
      <c r="X6" s="48"/>
      <c r="Y6" s="47"/>
      <c r="AA6" s="49"/>
      <c r="AC6" s="49"/>
      <c r="AK6" s="70">
        <f>Table43[[#This Row],[Column4]]</f>
        <v>0</v>
      </c>
      <c r="AN6" s="7">
        <f>Table43[[#This Row],[ISI/CTN]]</f>
        <v>0</v>
      </c>
      <c r="AO6" s="38">
        <f>Table43[[#This Row],[Harga Jual Pcs GT
(-PPN)]]-(Table43[[#This Row],[Harga Jual Pcs GT
(-PPN)]]*6.5%)</f>
        <v>0</v>
      </c>
      <c r="AP6" s="38">
        <f>Table43[[#This Row],[Harga Beli Pcs
(-PPN)]]*Table43[[#This Row],[ISI/CTN]]</f>
        <v>0</v>
      </c>
      <c r="AQ6" s="38">
        <f>Table43[[#This Row],[Harga Beli Pcs
(-PPN)]]*1.11</f>
        <v>0</v>
      </c>
      <c r="AR6" s="38">
        <f>Table43[[#This Row],[Harga Beli Krt
(- PPN)]]*1.11</f>
        <v>0</v>
      </c>
      <c r="AS6" s="38"/>
      <c r="AT6" s="38">
        <f>Table43[[#This Row],[Harga Jual Pcs GT
(-PPN)]]*Table43[[#This Row],[ISI/CTN]]</f>
        <v>0</v>
      </c>
      <c r="AU6" s="38">
        <f>Table43[[#This Row],[Harga Jual Pcs GT
(-PPN)]]*1.11</f>
        <v>0</v>
      </c>
      <c r="AV6" s="38">
        <f>Table43[[#This Row],[Harga Jual Krt GT
(- PPN)]]*1.11</f>
        <v>0</v>
      </c>
      <c r="AW6" s="38">
        <f>IFERROR(VLOOKUP(Table43[[#This Row],[Kode Pcpl]],'[1]FEB 2026'!$A$3:$X$312,24,0),0)</f>
        <v>0</v>
      </c>
      <c r="AX6" s="38">
        <f>Table43[[#This Row],[Harga Jual Pcs MT
(-PPN)]]*Table43[[#This Row],[ISI/CTN]]</f>
        <v>0</v>
      </c>
      <c r="AY6" s="38">
        <f>Table43[[#This Row],[Harga Jual Pcs MT
(-PPN)]]*1.11</f>
        <v>0</v>
      </c>
      <c r="AZ6" s="38">
        <f>Table43[[#This Row],[Harga Jual Pcs MT
(+PPN)]]*Table43[[#This Row],[ISI/CTN]]</f>
        <v>0</v>
      </c>
      <c r="BA6" s="46" t="e">
        <f>(Table43[[#This Row],[Harga Jual Pcs GT
(-PPN)]]-Table43[[#This Row],[Harga Beli Pcs
(-PPN)]])/Table43[[#This Row],[Harga Jual Pcs GT
(-PPN)]]</f>
        <v>#DIV/0!</v>
      </c>
      <c r="BB6" s="53">
        <f>Table43[[#This Row],[Harga Jual Pcs MT
(-PPN)]]-Table43[[#This Row],[Harga Beli Pcs
(-PPN)]]</f>
        <v>0</v>
      </c>
      <c r="BC6" s="54" t="e">
        <f>Table43[[#This Row],[Column1]]/Table43[[#This Row],[Harga Jual Pcs MT
(-PPN)]]</f>
        <v>#DIV/0!</v>
      </c>
      <c r="BD6" s="52"/>
      <c r="BE6" s="7"/>
      <c r="BF6" s="7" t="str">
        <f ca="1">IF(TODAY()-Table43[[#This Row],[Efektif
Pembuatan]]&gt;60,"Lama","Baru")</f>
        <v>Lama</v>
      </c>
      <c r="BG6" s="7" t="str">
        <f ca="1">IF(TODAY()-Table43[[#This Row],[Efektif Naik Harga]]&lt;30,"Naik","Sama")</f>
        <v>Sama</v>
      </c>
      <c r="BH6" s="7"/>
      <c r="BI6" s="7" t="str">
        <f>IF(Table43[[#This Row],[Kode BARANG Win2]]&lt;&gt;"","IDR","")</f>
        <v/>
      </c>
      <c r="BJ6" s="7" t="str">
        <f>CONCATENATE(Table43[[#This Row],[kode  1 Digit
(Nomor)]],Table43[[#This Row],[kode  4 Digit                (Nomor)]])</f>
        <v/>
      </c>
      <c r="BK6" s="7">
        <f>Table43[[#This Row],[Nama            Gramasi atau Jumlah Pack per CTN]]</f>
        <v>0</v>
      </c>
      <c r="BL6" s="7"/>
      <c r="BM6" s="7"/>
      <c r="BN6" s="4" t="str">
        <f>IF(Table43[[#This Row],[SATUAN Fix Win]]&lt;&gt;"","KRT")</f>
        <v>KRT</v>
      </c>
      <c r="BO6" s="4" t="str">
        <f>IF(Table43[[#This Row],[SATUAN Fix Win]]&lt;&gt;"","GD01")</f>
        <v>GD01</v>
      </c>
      <c r="BP6" s="4">
        <f>IF(Table43[[#This Row],[SATUAN Fix Win]]&lt;&gt;"",11611)</f>
        <v>11611</v>
      </c>
      <c r="BQ6" s="4">
        <f>IF(Table43[[#This Row],[SATUAN Fix Win]]&lt;&gt;"",11612)</f>
        <v>11612</v>
      </c>
      <c r="BS6" s="4">
        <f>IF(Table43[[#This Row],[SATUAN Fix Win]]&lt;&gt;"",1)</f>
        <v>1</v>
      </c>
      <c r="BU6" s="4">
        <f>Table43[[#This Row],[ISI/CTN]]</f>
        <v>0</v>
      </c>
      <c r="BV6" s="50"/>
    </row>
    <row r="7" spans="1:75">
      <c r="A7" s="4" t="str">
        <f>CONCATENATE(Table43[[#This Row],[Kode BARANG Win2]],Table43[[#This Row],[No. Urut
Item Sama]])</f>
        <v/>
      </c>
      <c r="B7" s="7"/>
      <c r="C7" s="31"/>
      <c r="D7" s="51"/>
      <c r="E7" s="27"/>
      <c r="F7" s="51"/>
      <c r="G7" s="51"/>
      <c r="H7" s="27"/>
      <c r="I7" s="27"/>
      <c r="J7" s="51"/>
      <c r="K7" s="27">
        <f>Table43[[#This Row],[NamaJenisKemasan]]</f>
        <v>0</v>
      </c>
      <c r="L7" s="4" t="str">
        <f>TRIM(CONCATENATE(Table43[[#This Row],[Nama            KLP]]," ",Table43[[#This Row],[Nama            Sub KLP]]))</f>
        <v/>
      </c>
      <c r="M7" s="4" t="str">
        <f>CONCATENATE(Table43[[#This Row],[kode  2 Digit                (hrf+No)]],Table43[[#This Row],[kode  2 Digit                (Nomor)]],Table43[[#This Row],[kode  1 Digit                (Nomor)]])</f>
        <v/>
      </c>
      <c r="N7" s="4" t="str">
        <f>IF(AI7="",CONCATENATE(S7,U7,W7,Y7,AA7,AC7,AE7,AG7,Table43[[#This Row],[Tanda Kode Revisi]]),CONCATENATE(S7,U7,W7,Y7,AA7,AC7,AE7,AI7))</f>
        <v/>
      </c>
      <c r="O7" s="11">
        <f t="shared" si="0"/>
        <v>0</v>
      </c>
      <c r="P7" s="14" t="str">
        <f>IF(AH7&lt;&gt;"",TRIM(UPPER(CONCATENATE(R7," ",T7," ",V7," ",X7," ",Z7," ",AB7," ","X"," ",Table43[[#This Row],[ISI/CTN]]," ",AH7," ",AD7," ",AF7," ",AJ7))),TRIM(UPPER(CONCATENATE(R7," ",T7," ",V7," ",X7," ",Z7," ",AB7," ","X"," ",Table43[[#This Row],[ISI/CTN]]," ",AD7," ",AF7," ",AJ7))))</f>
        <v>X</v>
      </c>
      <c r="Q7" s="11">
        <f t="shared" si="1"/>
        <v>1</v>
      </c>
      <c r="U7" s="47"/>
      <c r="V7" s="48"/>
      <c r="X7" s="48"/>
      <c r="Y7" s="47"/>
      <c r="AA7" s="49"/>
      <c r="AC7" s="49"/>
      <c r="AK7" s="70">
        <f>Table43[[#This Row],[Column4]]</f>
        <v>0</v>
      </c>
      <c r="AN7" s="7">
        <f>Table43[[#This Row],[ISI/CTN]]</f>
        <v>0</v>
      </c>
      <c r="AO7" s="61">
        <f>Table43[[#This Row],[Harga Jual Pcs GT
(-PPN)]]-(Table43[[#This Row],[Harga Jual Pcs GT
(-PPN)]]*6.5%)</f>
        <v>0</v>
      </c>
      <c r="AP7" s="61">
        <f>Table43[[#This Row],[Harga Beli Pcs
(-PPN)]]*Table43[[#This Row],[ISI/CTN]]</f>
        <v>0</v>
      </c>
      <c r="AQ7" s="61">
        <f>Table43[[#This Row],[Harga Beli Pcs
(-PPN)]]*1.11</f>
        <v>0</v>
      </c>
      <c r="AR7" s="61">
        <f>Table43[[#This Row],[Harga Beli Krt
(- PPN)]]*1.11</f>
        <v>0</v>
      </c>
      <c r="AS7" s="61"/>
      <c r="AT7" s="61">
        <f>Table43[[#This Row],[Harga Jual Pcs GT
(-PPN)]]*Table43[[#This Row],[ISI/CTN]]</f>
        <v>0</v>
      </c>
      <c r="AU7" s="61">
        <f>Table43[[#This Row],[Harga Jual Pcs GT
(-PPN)]]*1.11</f>
        <v>0</v>
      </c>
      <c r="AV7" s="61">
        <f>Table43[[#This Row],[Harga Jual Krt GT
(- PPN)]]*1.11</f>
        <v>0</v>
      </c>
      <c r="AW7" s="61">
        <f>IFERROR(VLOOKUP(Table43[[#This Row],[Kode Pcpl]],'[1]FEB 2026'!$A$3:$X$312,24,0),0)</f>
        <v>0</v>
      </c>
      <c r="AX7" s="61">
        <f>Table43[[#This Row],[Harga Jual Pcs MT
(-PPN)]]*Table43[[#This Row],[ISI/CTN]]</f>
        <v>0</v>
      </c>
      <c r="AY7" s="61">
        <f>Table43[[#This Row],[Harga Jual Pcs MT
(-PPN)]]*1.11</f>
        <v>0</v>
      </c>
      <c r="AZ7" s="61">
        <f>Table43[[#This Row],[Harga Jual Pcs MT
(+PPN)]]*Table43[[#This Row],[ISI/CTN]]</f>
        <v>0</v>
      </c>
      <c r="BA7" s="62" t="e">
        <f>(Table43[[#This Row],[Harga Jual Pcs GT
(-PPN)]]-Table43[[#This Row],[Harga Beli Pcs
(-PPN)]])/Table43[[#This Row],[Harga Jual Pcs GT
(-PPN)]]</f>
        <v>#DIV/0!</v>
      </c>
      <c r="BB7" s="63">
        <f>Table43[[#This Row],[Harga Jual Pcs MT
(-PPN)]]-Table43[[#This Row],[Harga Beli Pcs
(-PPN)]]</f>
        <v>0</v>
      </c>
      <c r="BC7" s="64" t="e">
        <f>Table43[[#This Row],[Column1]]/Table43[[#This Row],[Harga Jual Pcs MT
(-PPN)]]</f>
        <v>#DIV/0!</v>
      </c>
      <c r="BD7" s="52"/>
      <c r="BE7" s="7"/>
      <c r="BF7" s="7" t="str">
        <f ca="1">IF(TODAY()-Table43[[#This Row],[Efektif
Pembuatan]]&gt;60,"Lama","Baru")</f>
        <v>Lama</v>
      </c>
      <c r="BG7" s="7" t="str">
        <f ca="1">IF(TODAY()-Table43[[#This Row],[Efektif Naik Harga]]&lt;30,"Naik","Sama")</f>
        <v>Sama</v>
      </c>
      <c r="BH7" s="7"/>
      <c r="BI7" s="7" t="str">
        <f>IF(Table43[[#This Row],[Kode BARANG Win2]]&lt;&gt;"","IDR","")</f>
        <v/>
      </c>
      <c r="BJ7" s="7" t="str">
        <f>CONCATENATE(Table43[[#This Row],[kode  1 Digit
(Nomor)]],Table43[[#This Row],[kode  4 Digit                (Nomor)]])</f>
        <v/>
      </c>
      <c r="BK7" s="7">
        <f>Table43[[#This Row],[Nama            Gramasi atau Jumlah Pack per CTN]]</f>
        <v>0</v>
      </c>
      <c r="BL7" s="7"/>
      <c r="BM7" s="7"/>
      <c r="BN7" s="4" t="str">
        <f>IF(Table43[[#This Row],[SATUAN Fix Win]]&lt;&gt;"","KRT")</f>
        <v>KRT</v>
      </c>
      <c r="BO7" s="4" t="str">
        <f>IF(Table43[[#This Row],[SATUAN Fix Win]]&lt;&gt;"","GD01")</f>
        <v>GD01</v>
      </c>
      <c r="BP7" s="4">
        <f>IF(Table43[[#This Row],[SATUAN Fix Win]]&lt;&gt;"",11611)</f>
        <v>11611</v>
      </c>
      <c r="BQ7" s="4">
        <f>IF(Table43[[#This Row],[SATUAN Fix Win]]&lt;&gt;"",11612)</f>
        <v>11612</v>
      </c>
      <c r="BS7" s="4">
        <f>IF(Table43[[#This Row],[SATUAN Fix Win]]&lt;&gt;"",1)</f>
        <v>1</v>
      </c>
      <c r="BU7" s="4">
        <f>Table43[[#This Row],[ISI/CTN]]</f>
        <v>0</v>
      </c>
    </row>
    <row r="8" spans="1:75">
      <c r="A8" s="4" t="str">
        <f>CONCATENATE(Table43[[#This Row],[Kode BARANG Win2]],Table43[[#This Row],[No. Urut
Item Sama]])</f>
        <v>G1011000001510</v>
      </c>
      <c r="B8" s="7"/>
      <c r="C8" s="31">
        <v>30010010015000</v>
      </c>
      <c r="D8" s="51">
        <v>40008216</v>
      </c>
      <c r="E8" s="27" t="s">
        <v>1871</v>
      </c>
      <c r="F8" s="51">
        <v>30010010015000</v>
      </c>
      <c r="G8" s="51">
        <v>0</v>
      </c>
      <c r="H8" s="27" t="s">
        <v>1119</v>
      </c>
      <c r="I8" s="27">
        <v>144</v>
      </c>
      <c r="J8" s="51" t="s">
        <v>1565</v>
      </c>
      <c r="K8" s="27" t="str">
        <f>Table43[[#This Row],[NamaJenisKemasan]]</f>
        <v>TUBE</v>
      </c>
      <c r="L8" s="4" t="str">
        <f>TRIM(CONCATENATE(Table43[[#This Row],[Nama            KLP]]," ",Table43[[#This Row],[Nama            Sub KLP]]))</f>
        <v>AUTOSOL METAL POLISH</v>
      </c>
      <c r="M8" s="4" t="str">
        <f>CONCATENATE(Table43[[#This Row],[kode  2 Digit                (hrf+No)]],Table43[[#This Row],[kode  2 Digit                (Nomor)]],Table43[[#This Row],[kode  1 Digit                (Nomor)]])</f>
        <v>G1011</v>
      </c>
      <c r="N8" s="4" t="str">
        <f>IF(AI8="",CONCATENATE(S8,U8,W8,Y8,AA8,AC8,AE8,AG8,Table43[[#This Row],[Tanda Kode Revisi]]),CONCATENATE(S8,U8,W8,Y8,AA8,AC8,AE8,AI8))</f>
        <v>G1011000001510</v>
      </c>
      <c r="O8" s="11">
        <f t="shared" si="0"/>
        <v>14</v>
      </c>
      <c r="P8" s="14" t="str">
        <f>IF(AH8&lt;&gt;"",TRIM(UPPER(CONCATENATE(R8," ",T8," ",V8," ",X8," ",Z8," ",AB8," ","X"," ",Table43[[#This Row],[ISI/CTN]]," ",AH8," ",AD8," ",AF8," ",AJ8))),TRIM(UPPER(CONCATENATE(R8," ",T8," ",V8," ",X8," ",Z8," ",AB8," ","X"," ",Table43[[#This Row],[ISI/CTN]]," ",AD8," ",AF8," ",AJ8))))</f>
        <v>AUTOSOL METAL POLISH 15GR X 144 TUBE</v>
      </c>
      <c r="Q8" s="11">
        <f t="shared" si="1"/>
        <v>36</v>
      </c>
      <c r="S8" s="7" t="s">
        <v>34</v>
      </c>
      <c r="T8" s="4" t="s">
        <v>2206</v>
      </c>
      <c r="U8" s="47" t="s">
        <v>1115</v>
      </c>
      <c r="V8" s="48" t="s">
        <v>2208</v>
      </c>
      <c r="W8" s="7">
        <v>1</v>
      </c>
      <c r="X8" s="48"/>
      <c r="Y8" s="47" t="s">
        <v>1116</v>
      </c>
      <c r="AA8" s="49" t="s">
        <v>1117</v>
      </c>
      <c r="AB8" s="4" t="s">
        <v>2209</v>
      </c>
      <c r="AC8" s="49" t="s">
        <v>2599</v>
      </c>
      <c r="AD8" s="4" t="s">
        <v>659</v>
      </c>
      <c r="AE8" s="7">
        <v>1</v>
      </c>
      <c r="AG8" s="7">
        <v>0</v>
      </c>
      <c r="AK8" s="70">
        <f>Table43[[#This Row],[Column4]]</f>
        <v>30010010015000</v>
      </c>
      <c r="AN8" s="7">
        <f>Table43[[#This Row],[ISI/CTN]]</f>
        <v>144</v>
      </c>
      <c r="AO8" s="38">
        <f>Table43[[#This Row],[Harga Jual Pcs GT
(-PPN)]]-(Table43[[#This Row],[Harga Jual Pcs GT
(-PPN)]]*6.5%)</f>
        <v>9452.85</v>
      </c>
      <c r="AP8" s="38">
        <f>Table43[[#This Row],[Harga Beli Pcs
(-PPN)]]*Table43[[#This Row],[ISI/CTN]]</f>
        <v>1361210.4000000001</v>
      </c>
      <c r="AQ8" s="38">
        <f>Table43[[#This Row],[Harga Beli Pcs
(-PPN)]]*1.11</f>
        <v>10492.663500000001</v>
      </c>
      <c r="AR8" s="38">
        <f>Table43[[#This Row],[Harga Beli Krt
(- PPN)]]*1.11</f>
        <v>1510943.5440000002</v>
      </c>
      <c r="AS8" s="38">
        <v>10110</v>
      </c>
      <c r="AT8" s="38">
        <f>Table43[[#This Row],[Harga Jual Pcs GT
(-PPN)]]*Table43[[#This Row],[ISI/CTN]]</f>
        <v>1455840</v>
      </c>
      <c r="AU8" s="38">
        <f>Table43[[#This Row],[Harga Jual Pcs GT
(-PPN)]]*1.11</f>
        <v>11222.1</v>
      </c>
      <c r="AV8" s="38">
        <f>Table43[[#This Row],[Harga Jual Krt GT
(- PPN)]]*1.11</f>
        <v>1615982.4000000001</v>
      </c>
      <c r="AW8" s="38">
        <f>IFERROR(VLOOKUP(Table43[[#This Row],[Kode Pcpl]],'[1]FEB 2026'!$A$3:$X$312,24,0),0)</f>
        <v>0</v>
      </c>
      <c r="AX8" s="38">
        <f>Table43[[#This Row],[Harga Jual Pcs MT
(-PPN)]]*Table43[[#This Row],[ISI/CTN]]</f>
        <v>0</v>
      </c>
      <c r="AY8" s="38">
        <f>Table43[[#This Row],[Harga Jual Pcs MT
(-PPN)]]*1.11</f>
        <v>0</v>
      </c>
      <c r="AZ8" s="38">
        <f>Table43[[#This Row],[Harga Jual Pcs MT
(+PPN)]]*Table43[[#This Row],[ISI/CTN]]</f>
        <v>0</v>
      </c>
      <c r="BA8" s="46">
        <f>(Table43[[#This Row],[Harga Jual Pcs GT
(-PPN)]]-Table43[[#This Row],[Harga Beli Pcs
(-PPN)]])/Table43[[#This Row],[Harga Jual Pcs GT
(-PPN)]]</f>
        <v>6.4999999999999961E-2</v>
      </c>
      <c r="BB8" s="53">
        <f>Table43[[#This Row],[Harga Jual Pcs MT
(-PPN)]]-Table43[[#This Row],[Harga Beli Pcs
(-PPN)]]</f>
        <v>-9452.85</v>
      </c>
      <c r="BC8" s="54" t="e">
        <f>Table43[[#This Row],[Column1]]/Table43[[#This Row],[Harga Jual Pcs MT
(-PPN)]]</f>
        <v>#DIV/0!</v>
      </c>
      <c r="BD8" s="52"/>
      <c r="BE8" s="7"/>
      <c r="BF8" s="7" t="str">
        <f ca="1">IF(TODAY()-Table43[[#This Row],[Efektif
Pembuatan]]&gt;60,"Lama","Baru")</f>
        <v>Lama</v>
      </c>
      <c r="BG8" s="7" t="str">
        <f ca="1">IF(TODAY()-Table43[[#This Row],[Efektif Naik Harga]]&lt;30,"Naik","Sama")</f>
        <v>Sama</v>
      </c>
      <c r="BH8" s="7"/>
      <c r="BI8" s="7" t="str">
        <f>IF(Table43[[#This Row],[Kode BARANG Win2]]&lt;&gt;"","IDR","")</f>
        <v>IDR</v>
      </c>
      <c r="BJ8" s="7" t="str">
        <f>CONCATENATE(Table43[[#This Row],[kode  1 Digit
(Nomor)]],Table43[[#This Row],[kode  4 Digit                (Nomor)]])</f>
        <v>0015</v>
      </c>
      <c r="BK8" s="7" t="str">
        <f>Table43[[#This Row],[Nama            Gramasi atau Jumlah Pack per CTN]]</f>
        <v>15GR</v>
      </c>
      <c r="BL8" s="7"/>
      <c r="BM8" s="7"/>
      <c r="BN8" s="4" t="str">
        <f>IF(Table43[[#This Row],[SATUAN Fix Win]]&lt;&gt;"","KRT")</f>
        <v>KRT</v>
      </c>
      <c r="BO8" s="4" t="str">
        <f>IF(Table43[[#This Row],[SATUAN Fix Win]]&lt;&gt;"","GD01")</f>
        <v>GD01</v>
      </c>
      <c r="BP8" s="4">
        <f>IF(Table43[[#This Row],[SATUAN Fix Win]]&lt;&gt;"",11611)</f>
        <v>11611</v>
      </c>
      <c r="BQ8" s="4">
        <f>IF(Table43[[#This Row],[SATUAN Fix Win]]&lt;&gt;"",11612)</f>
        <v>11612</v>
      </c>
      <c r="BS8" s="4">
        <f>IF(Table43[[#This Row],[SATUAN Fix Win]]&lt;&gt;"",1)</f>
        <v>1</v>
      </c>
      <c r="BU8" s="4">
        <f>Table43[[#This Row],[ISI/CTN]]</f>
        <v>144</v>
      </c>
    </row>
    <row r="9" spans="1:75">
      <c r="A9" s="4" t="str">
        <f>CONCATENATE(Table43[[#This Row],[Kode BARANG Win2]],Table43[[#This Row],[No. Urut
Item Sama]])</f>
        <v>G1011000005010</v>
      </c>
      <c r="B9" s="7"/>
      <c r="C9" s="31">
        <v>30010010050000</v>
      </c>
      <c r="D9" s="51">
        <v>40008217</v>
      </c>
      <c r="E9" s="27" t="s">
        <v>1872</v>
      </c>
      <c r="F9" s="51">
        <v>30010010050000</v>
      </c>
      <c r="G9" s="51">
        <v>0</v>
      </c>
      <c r="H9" s="27" t="s">
        <v>1120</v>
      </c>
      <c r="I9" s="27">
        <v>48</v>
      </c>
      <c r="J9" s="51" t="s">
        <v>1566</v>
      </c>
      <c r="K9" s="27" t="str">
        <f>Table43[[#This Row],[NamaJenisKemasan]]</f>
        <v>TUBE</v>
      </c>
      <c r="L9" s="4" t="str">
        <f>TRIM(CONCATENATE(Table43[[#This Row],[Nama            KLP]]," ",Table43[[#This Row],[Nama            Sub KLP]]))</f>
        <v>AUTOSOL METAL POLISH</v>
      </c>
      <c r="M9" s="4" t="str">
        <f>CONCATENATE(Table43[[#This Row],[kode  2 Digit                (hrf+No)]],Table43[[#This Row],[kode  2 Digit                (Nomor)]],Table43[[#This Row],[kode  1 Digit                (Nomor)]])</f>
        <v>G1011</v>
      </c>
      <c r="N9" s="4" t="str">
        <f>IF(AI9="",CONCATENATE(S9,U9,W9,Y9,AA9,AC9,AE9,AG9,Table43[[#This Row],[Tanda Kode Revisi]]),CONCATENATE(S9,U9,W9,Y9,AA9,AC9,AE9,AI9))</f>
        <v>G1011000005010</v>
      </c>
      <c r="O9" s="11">
        <f t="shared" si="0"/>
        <v>14</v>
      </c>
      <c r="P9" s="14" t="str">
        <f>IF(AH9&lt;&gt;"",TRIM(UPPER(CONCATENATE(R9," ",T9," ",V9," ",X9," ",Z9," ",AB9," ","X"," ",Table43[[#This Row],[ISI/CTN]]," ",AH9," ",AD9," ",AF9," ",AJ9))),TRIM(UPPER(CONCATENATE(R9," ",T9," ",V9," ",X9," ",Z9," ",AB9," ","X"," ",Table43[[#This Row],[ISI/CTN]]," ",AD9," ",AF9," ",AJ9))))</f>
        <v>AUTOSOL METAL POLISH 50GR X 48 TUBE</v>
      </c>
      <c r="Q9" s="11">
        <f t="shared" si="1"/>
        <v>35</v>
      </c>
      <c r="S9" s="7" t="s">
        <v>34</v>
      </c>
      <c r="T9" s="4" t="s">
        <v>2206</v>
      </c>
      <c r="U9" s="47" t="s">
        <v>1115</v>
      </c>
      <c r="V9" s="48" t="s">
        <v>2208</v>
      </c>
      <c r="W9" s="7">
        <v>1</v>
      </c>
      <c r="X9" s="48"/>
      <c r="Y9" s="47" t="s">
        <v>1116</v>
      </c>
      <c r="AA9" s="49" t="s">
        <v>1117</v>
      </c>
      <c r="AB9" s="4" t="s">
        <v>2210</v>
      </c>
      <c r="AC9" s="49" t="s">
        <v>2630</v>
      </c>
      <c r="AD9" s="4" t="s">
        <v>659</v>
      </c>
      <c r="AE9" s="7">
        <v>1</v>
      </c>
      <c r="AG9" s="7">
        <v>0</v>
      </c>
      <c r="AK9" s="70">
        <f>Table43[[#This Row],[Column4]]</f>
        <v>30010010050000</v>
      </c>
      <c r="AN9" s="7">
        <f>Table43[[#This Row],[ISI/CTN]]</f>
        <v>48</v>
      </c>
      <c r="AO9" s="38">
        <f>Table43[[#This Row],[Harga Jual Pcs GT
(-PPN)]]-(Table43[[#This Row],[Harga Jual Pcs GT
(-PPN)]]*6.5%)</f>
        <v>18391.45</v>
      </c>
      <c r="AP9" s="38">
        <f>Table43[[#This Row],[Harga Beli Pcs
(-PPN)]]*Table43[[#This Row],[ISI/CTN]]</f>
        <v>882789.60000000009</v>
      </c>
      <c r="AQ9" s="38">
        <f>Table43[[#This Row],[Harga Beli Pcs
(-PPN)]]*1.11</f>
        <v>20414.509500000004</v>
      </c>
      <c r="AR9" s="38">
        <f>Table43[[#This Row],[Harga Beli Krt
(- PPN)]]*1.11</f>
        <v>979896.45600000024</v>
      </c>
      <c r="AS9" s="38">
        <v>19670</v>
      </c>
      <c r="AT9" s="38">
        <f>Table43[[#This Row],[Harga Jual Pcs GT
(-PPN)]]*Table43[[#This Row],[ISI/CTN]]</f>
        <v>944160</v>
      </c>
      <c r="AU9" s="38">
        <f>Table43[[#This Row],[Harga Jual Pcs GT
(-PPN)]]*1.11</f>
        <v>21833.7</v>
      </c>
      <c r="AV9" s="38">
        <f>Table43[[#This Row],[Harga Jual Krt GT
(- PPN)]]*1.11</f>
        <v>1048017.6000000001</v>
      </c>
      <c r="AW9" s="38">
        <f>IFERROR(VLOOKUP(Table43[[#This Row],[Kode Pcpl]],'[1]FEB 2026'!$A$3:$X$312,24,0),0)</f>
        <v>0</v>
      </c>
      <c r="AX9" s="38">
        <f>Table43[[#This Row],[Harga Jual Pcs MT
(-PPN)]]*Table43[[#This Row],[ISI/CTN]]</f>
        <v>0</v>
      </c>
      <c r="AY9" s="38">
        <f>Table43[[#This Row],[Harga Jual Pcs MT
(-PPN)]]*1.11</f>
        <v>0</v>
      </c>
      <c r="AZ9" s="38">
        <f>Table43[[#This Row],[Harga Jual Pcs MT
(+PPN)]]*Table43[[#This Row],[ISI/CTN]]</f>
        <v>0</v>
      </c>
      <c r="BA9" s="46">
        <f>(Table43[[#This Row],[Harga Jual Pcs GT
(-PPN)]]-Table43[[#This Row],[Harga Beli Pcs
(-PPN)]])/Table43[[#This Row],[Harga Jual Pcs GT
(-PPN)]]</f>
        <v>6.4999999999999961E-2</v>
      </c>
      <c r="BB9" s="53">
        <f>Table43[[#This Row],[Harga Jual Pcs MT
(-PPN)]]-Table43[[#This Row],[Harga Beli Pcs
(-PPN)]]</f>
        <v>-18391.45</v>
      </c>
      <c r="BC9" s="54" t="e">
        <f>Table43[[#This Row],[Column1]]/Table43[[#This Row],[Harga Jual Pcs MT
(-PPN)]]</f>
        <v>#DIV/0!</v>
      </c>
      <c r="BD9" s="52"/>
      <c r="BE9" s="7"/>
      <c r="BF9" s="7" t="str">
        <f ca="1">IF(TODAY()-Table43[[#This Row],[Efektif
Pembuatan]]&gt;60,"Lama","Baru")</f>
        <v>Lama</v>
      </c>
      <c r="BG9" s="7" t="str">
        <f ca="1">IF(TODAY()-Table43[[#This Row],[Efektif Naik Harga]]&lt;30,"Naik","Sama")</f>
        <v>Sama</v>
      </c>
      <c r="BH9" s="7"/>
      <c r="BI9" s="7" t="str">
        <f>IF(Table43[[#This Row],[Kode BARANG Win2]]&lt;&gt;"","IDR","")</f>
        <v>IDR</v>
      </c>
      <c r="BJ9" s="7" t="str">
        <f>CONCATENATE(Table43[[#This Row],[kode  1 Digit
(Nomor)]],Table43[[#This Row],[kode  4 Digit                (Nomor)]])</f>
        <v>0050</v>
      </c>
      <c r="BK9" s="7" t="str">
        <f>Table43[[#This Row],[Nama            Gramasi atau Jumlah Pack per CTN]]</f>
        <v>50GR</v>
      </c>
      <c r="BL9" s="7"/>
      <c r="BM9" s="7"/>
      <c r="BN9" s="4" t="str">
        <f>IF(Table43[[#This Row],[SATUAN Fix Win]]&lt;&gt;"","KRT")</f>
        <v>KRT</v>
      </c>
      <c r="BO9" s="4" t="str">
        <f>IF(Table43[[#This Row],[SATUAN Fix Win]]&lt;&gt;"","GD01")</f>
        <v>GD01</v>
      </c>
      <c r="BP9" s="4">
        <f>IF(Table43[[#This Row],[SATUAN Fix Win]]&lt;&gt;"",11611)</f>
        <v>11611</v>
      </c>
      <c r="BQ9" s="4">
        <f>IF(Table43[[#This Row],[SATUAN Fix Win]]&lt;&gt;"",11612)</f>
        <v>11612</v>
      </c>
      <c r="BS9" s="4">
        <f>IF(Table43[[#This Row],[SATUAN Fix Win]]&lt;&gt;"",1)</f>
        <v>1</v>
      </c>
      <c r="BU9" s="4">
        <f>Table43[[#This Row],[ISI/CTN]]</f>
        <v>48</v>
      </c>
    </row>
    <row r="10" spans="1:75">
      <c r="A10" s="4" t="str">
        <f>CONCATENATE(Table43[[#This Row],[Kode BARANG Win2]],Table43[[#This Row],[No. Urut
Item Sama]])</f>
        <v>G1020000002010</v>
      </c>
      <c r="B10" s="7"/>
      <c r="C10" s="31">
        <v>30020000700000</v>
      </c>
      <c r="D10" s="51">
        <v>40014370</v>
      </c>
      <c r="E10" s="27" t="s">
        <v>1873</v>
      </c>
      <c r="F10" s="51">
        <v>30020000020000</v>
      </c>
      <c r="G10" s="51">
        <v>0</v>
      </c>
      <c r="H10" s="27" t="s">
        <v>1121</v>
      </c>
      <c r="I10" s="27">
        <v>144</v>
      </c>
      <c r="J10" s="51" t="s">
        <v>1567</v>
      </c>
      <c r="K10" s="27" t="str">
        <f>Table43[[#This Row],[NamaJenisKemasan]]</f>
        <v>SCH</v>
      </c>
      <c r="L10" s="4" t="str">
        <f>TRIM(CONCATENATE(Table43[[#This Row],[Nama            KLP]]," ",Table43[[#This Row],[Nama            Sub KLP]]))</f>
        <v>BIOSOL</v>
      </c>
      <c r="M10" s="4" t="str">
        <f>CONCATENATE(Table43[[#This Row],[kode  2 Digit                (hrf+No)]],Table43[[#This Row],[kode  2 Digit                (Nomor)]],Table43[[#This Row],[kode  1 Digit                (Nomor)]])</f>
        <v>G1020</v>
      </c>
      <c r="N10" s="4" t="str">
        <f>IF(AI10="",CONCATENATE(S10,U10,W10,Y10,AA10,AC10,AE10,AG10,Table43[[#This Row],[Tanda Kode Revisi]]),CONCATENATE(S10,U10,W10,Y10,AA10,AC10,AE10,AI10))</f>
        <v>G1020000002010</v>
      </c>
      <c r="O10" s="11">
        <f t="shared" si="0"/>
        <v>14</v>
      </c>
      <c r="P10" s="14" t="str">
        <f>IF(AH10&lt;&gt;"",TRIM(UPPER(CONCATENATE(R10," ",T10," ",V10," ",X10," ",Z10," ",AB10," ","X"," ",Table43[[#This Row],[ISI/CTN]]," ",AH10," ",AD10," ",AF10," ",AJ10))),TRIM(UPPER(CONCATENATE(R10," ",T10," ",V10," ",X10," ",Z10," ",AB10," ","X"," ",Table43[[#This Row],[ISI/CTN]]," ",AD10," ",AF10," ",AJ10))))</f>
        <v>BIOSOL 20ML X 144 SCH</v>
      </c>
      <c r="Q10" s="11">
        <f t="shared" si="1"/>
        <v>21</v>
      </c>
      <c r="S10" s="7" t="s">
        <v>34</v>
      </c>
      <c r="T10" s="4" t="s">
        <v>2207</v>
      </c>
      <c r="U10" s="47" t="s">
        <v>2459</v>
      </c>
      <c r="V10" s="48"/>
      <c r="W10" s="7">
        <v>0</v>
      </c>
      <c r="X10" s="48"/>
      <c r="Y10" s="47" t="s">
        <v>1116</v>
      </c>
      <c r="AA10" s="49" t="s">
        <v>1117</v>
      </c>
      <c r="AB10" s="4" t="s">
        <v>653</v>
      </c>
      <c r="AC10" s="49" t="s">
        <v>2607</v>
      </c>
      <c r="AD10" s="4" t="s">
        <v>664</v>
      </c>
      <c r="AE10" s="7">
        <v>1</v>
      </c>
      <c r="AG10" s="7">
        <v>0</v>
      </c>
      <c r="AK10" s="70">
        <f>Table43[[#This Row],[Column4]]</f>
        <v>30020000020000</v>
      </c>
      <c r="AN10" s="7">
        <f>Table43[[#This Row],[ISI/CTN]]</f>
        <v>144</v>
      </c>
      <c r="AO10" s="38">
        <f>Table43[[#This Row],[Harga Jual Pcs GT
(-PPN)]]-(Table43[[#This Row],[Harga Jual Pcs GT
(-PPN)]]*6.5%)</f>
        <v>317.89999999999998</v>
      </c>
      <c r="AP10" s="38">
        <f>Table43[[#This Row],[Harga Beli Pcs
(-PPN)]]*Table43[[#This Row],[ISI/CTN]]</f>
        <v>45777.599999999999</v>
      </c>
      <c r="AQ10" s="38">
        <f>Table43[[#This Row],[Harga Beli Pcs
(-PPN)]]*1.11</f>
        <v>352.86900000000003</v>
      </c>
      <c r="AR10" s="38">
        <f>Table43[[#This Row],[Harga Beli Krt
(- PPN)]]*1.11</f>
        <v>50813.136000000006</v>
      </c>
      <c r="AS10" s="38">
        <v>340</v>
      </c>
      <c r="AT10" s="38">
        <f>Table43[[#This Row],[Harga Jual Pcs GT
(-PPN)]]*Table43[[#This Row],[ISI/CTN]]</f>
        <v>48960</v>
      </c>
      <c r="AU10" s="38">
        <f>Table43[[#This Row],[Harga Jual Pcs GT
(-PPN)]]*1.11</f>
        <v>377.40000000000003</v>
      </c>
      <c r="AV10" s="38">
        <f>Table43[[#This Row],[Harga Jual Krt GT
(- PPN)]]*1.11</f>
        <v>54345.600000000006</v>
      </c>
      <c r="AW10" s="38">
        <f>IFERROR(VLOOKUP(Table43[[#This Row],[Kode Pcpl]],'[1]FEB 2026'!$A$3:$X$312,24,0),0)</f>
        <v>0</v>
      </c>
      <c r="AX10" s="38">
        <f>Table43[[#This Row],[Harga Jual Pcs MT
(-PPN)]]*Table43[[#This Row],[ISI/CTN]]</f>
        <v>0</v>
      </c>
      <c r="AY10" s="38">
        <f>Table43[[#This Row],[Harga Jual Pcs MT
(-PPN)]]*1.11</f>
        <v>0</v>
      </c>
      <c r="AZ10" s="38">
        <f>Table43[[#This Row],[Harga Jual Pcs MT
(+PPN)]]*Table43[[#This Row],[ISI/CTN]]</f>
        <v>0</v>
      </c>
      <c r="BA10" s="46">
        <f>(Table43[[#This Row],[Harga Jual Pcs GT
(-PPN)]]-Table43[[#This Row],[Harga Beli Pcs
(-PPN)]])/Table43[[#This Row],[Harga Jual Pcs GT
(-PPN)]]</f>
        <v>6.5000000000000072E-2</v>
      </c>
      <c r="BB10" s="53">
        <f>Table43[[#This Row],[Harga Jual Pcs MT
(-PPN)]]-Table43[[#This Row],[Harga Beli Pcs
(-PPN)]]</f>
        <v>-317.89999999999998</v>
      </c>
      <c r="BC10" s="54" t="e">
        <f>Table43[[#This Row],[Column1]]/Table43[[#This Row],[Harga Jual Pcs MT
(-PPN)]]</f>
        <v>#DIV/0!</v>
      </c>
      <c r="BD10" s="52"/>
      <c r="BE10" s="7"/>
      <c r="BF10" s="7" t="str">
        <f ca="1">IF(TODAY()-Table43[[#This Row],[Efektif
Pembuatan]]&gt;60,"Lama","Baru")</f>
        <v>Lama</v>
      </c>
      <c r="BG10" s="7" t="str">
        <f ca="1">IF(TODAY()-Table43[[#This Row],[Efektif Naik Harga]]&lt;30,"Naik","Sama")</f>
        <v>Sama</v>
      </c>
      <c r="BH10" s="7"/>
      <c r="BI10" s="7" t="str">
        <f>IF(Table43[[#This Row],[Kode BARANG Win2]]&lt;&gt;"","IDR","")</f>
        <v>IDR</v>
      </c>
      <c r="BJ10" s="7" t="str">
        <f>CONCATENATE(Table43[[#This Row],[kode  1 Digit
(Nomor)]],Table43[[#This Row],[kode  4 Digit                (Nomor)]])</f>
        <v>0020</v>
      </c>
      <c r="BK10" s="7" t="str">
        <f>Table43[[#This Row],[Nama            Gramasi atau Jumlah Pack per CTN]]</f>
        <v>20ML</v>
      </c>
      <c r="BL10" s="7"/>
      <c r="BM10" s="7"/>
      <c r="BN10" s="4" t="str">
        <f>IF(Table43[[#This Row],[SATUAN Fix Win]]&lt;&gt;"","KRT")</f>
        <v>KRT</v>
      </c>
      <c r="BO10" s="4" t="str">
        <f>IF(Table43[[#This Row],[SATUAN Fix Win]]&lt;&gt;"","GD01")</f>
        <v>GD01</v>
      </c>
      <c r="BP10" s="4">
        <f>IF(Table43[[#This Row],[SATUAN Fix Win]]&lt;&gt;"",11611)</f>
        <v>11611</v>
      </c>
      <c r="BQ10" s="4">
        <f>IF(Table43[[#This Row],[SATUAN Fix Win]]&lt;&gt;"",11612)</f>
        <v>11612</v>
      </c>
      <c r="BS10" s="4">
        <f>IF(Table43[[#This Row],[SATUAN Fix Win]]&lt;&gt;"",1)</f>
        <v>1</v>
      </c>
      <c r="BU10" s="4">
        <f>Table43[[#This Row],[ISI/CTN]]</f>
        <v>144</v>
      </c>
    </row>
    <row r="11" spans="1:75">
      <c r="A11" s="4" t="str">
        <f>CONCATENATE(Table43[[#This Row],[Kode BARANG Win2]],Table43[[#This Row],[No. Urut
Item Sama]])</f>
        <v>G1020000002010</v>
      </c>
      <c r="B11" s="7"/>
      <c r="C11" s="31">
        <v>30020000700001</v>
      </c>
      <c r="D11" s="51">
        <v>40035630</v>
      </c>
      <c r="E11" s="27" t="s">
        <v>1873</v>
      </c>
      <c r="F11" s="51">
        <v>30020000020000</v>
      </c>
      <c r="G11" s="51">
        <v>0</v>
      </c>
      <c r="H11" s="27" t="s">
        <v>1122</v>
      </c>
      <c r="I11" s="27">
        <v>144</v>
      </c>
      <c r="J11" s="51" t="s">
        <v>1567</v>
      </c>
      <c r="K11" s="27" t="str">
        <f>Table43[[#This Row],[NamaJenisKemasan]]</f>
        <v>SCH</v>
      </c>
      <c r="L11" s="4" t="str">
        <f>TRIM(CONCATENATE(Table43[[#This Row],[Nama            KLP]]," ",Table43[[#This Row],[Nama            Sub KLP]]))</f>
        <v>BIOSOL</v>
      </c>
      <c r="M11" s="4" t="str">
        <f>CONCATENATE(Table43[[#This Row],[kode  2 Digit                (hrf+No)]],Table43[[#This Row],[kode  2 Digit                (Nomor)]],Table43[[#This Row],[kode  1 Digit                (Nomor)]])</f>
        <v>G1020</v>
      </c>
      <c r="N11" s="4" t="str">
        <f>IF(AI11="",CONCATENATE(S11,U11,W11,Y11,AA11,AC11,AE11,AG11,Table43[[#This Row],[Tanda Kode Revisi]]),CONCATENATE(S11,U11,W11,Y11,AA11,AC11,AE11,AI11))</f>
        <v>G1020000002010</v>
      </c>
      <c r="O11" s="11">
        <f t="shared" si="0"/>
        <v>14</v>
      </c>
      <c r="P11" s="14" t="str">
        <f>IF(AH11&lt;&gt;"",TRIM(UPPER(CONCATENATE(R11," ",T11," ",V11," ",X11," ",Z11," ",AB11," ","X"," ",Table43[[#This Row],[ISI/CTN]]," ",AH11," ",AD11," ",AF11," ",AJ11))),TRIM(UPPER(CONCATENATE(R11," ",T11," ",V11," ",X11," ",Z11," ",AB11," ","X"," ",Table43[[#This Row],[ISI/CTN]]," ",AD11," ",AF11," ",AJ11))))</f>
        <v>BIOSOL 20ML X 144 SCH</v>
      </c>
      <c r="Q11" s="11">
        <f t="shared" si="1"/>
        <v>21</v>
      </c>
      <c r="S11" s="7" t="s">
        <v>34</v>
      </c>
      <c r="T11" s="4" t="s">
        <v>2207</v>
      </c>
      <c r="U11" s="47" t="s">
        <v>2459</v>
      </c>
      <c r="V11" s="48"/>
      <c r="W11" s="7">
        <v>0</v>
      </c>
      <c r="X11" s="48"/>
      <c r="Y11" s="47" t="s">
        <v>1116</v>
      </c>
      <c r="AA11" s="49" t="s">
        <v>1117</v>
      </c>
      <c r="AB11" s="4" t="s">
        <v>653</v>
      </c>
      <c r="AC11" s="49" t="s">
        <v>2607</v>
      </c>
      <c r="AD11" s="4" t="s">
        <v>664</v>
      </c>
      <c r="AE11" s="7">
        <v>1</v>
      </c>
      <c r="AG11" s="7">
        <v>0</v>
      </c>
      <c r="AK11" s="70">
        <f>Table43[[#This Row],[Column4]]</f>
        <v>30020000020000</v>
      </c>
      <c r="AN11" s="7">
        <f>Table43[[#This Row],[ISI/CTN]]</f>
        <v>144</v>
      </c>
      <c r="AO11" s="38">
        <f>Table43[[#This Row],[Harga Jual Pcs GT
(-PPN)]]-(Table43[[#This Row],[Harga Jual Pcs GT
(-PPN)]]*6.5%)</f>
        <v>317.89999999999998</v>
      </c>
      <c r="AP11" s="38">
        <f>Table43[[#This Row],[Harga Beli Pcs
(-PPN)]]*Table43[[#This Row],[ISI/CTN]]</f>
        <v>45777.599999999999</v>
      </c>
      <c r="AQ11" s="38">
        <f>Table43[[#This Row],[Harga Beli Pcs
(-PPN)]]*1.11</f>
        <v>352.86900000000003</v>
      </c>
      <c r="AR11" s="38">
        <f>Table43[[#This Row],[Harga Beli Krt
(- PPN)]]*1.11</f>
        <v>50813.136000000006</v>
      </c>
      <c r="AS11" s="38">
        <v>340</v>
      </c>
      <c r="AT11" s="38">
        <f>Table43[[#This Row],[Harga Jual Pcs GT
(-PPN)]]*Table43[[#This Row],[ISI/CTN]]</f>
        <v>48960</v>
      </c>
      <c r="AU11" s="38">
        <f>Table43[[#This Row],[Harga Jual Pcs GT
(-PPN)]]*1.11</f>
        <v>377.40000000000003</v>
      </c>
      <c r="AV11" s="38">
        <f>Table43[[#This Row],[Harga Jual Krt GT
(- PPN)]]*1.11</f>
        <v>54345.600000000006</v>
      </c>
      <c r="AW11" s="38">
        <f>IFERROR(VLOOKUP(Table43[[#This Row],[Kode Pcpl]],'[1]FEB 2026'!$A$3:$X$312,24,0),0)</f>
        <v>0</v>
      </c>
      <c r="AX11" s="38">
        <f>Table43[[#This Row],[Harga Jual Pcs MT
(-PPN)]]*Table43[[#This Row],[ISI/CTN]]</f>
        <v>0</v>
      </c>
      <c r="AY11" s="38">
        <f>Table43[[#This Row],[Harga Jual Pcs MT
(-PPN)]]*1.11</f>
        <v>0</v>
      </c>
      <c r="AZ11" s="38">
        <f>Table43[[#This Row],[Harga Jual Pcs MT
(+PPN)]]*Table43[[#This Row],[ISI/CTN]]</f>
        <v>0</v>
      </c>
      <c r="BA11" s="46">
        <f>(Table43[[#This Row],[Harga Jual Pcs GT
(-PPN)]]-Table43[[#This Row],[Harga Beli Pcs
(-PPN)]])/Table43[[#This Row],[Harga Jual Pcs GT
(-PPN)]]</f>
        <v>6.5000000000000072E-2</v>
      </c>
      <c r="BB11" s="53">
        <f>Table43[[#This Row],[Harga Jual Pcs MT
(-PPN)]]-Table43[[#This Row],[Harga Beli Pcs
(-PPN)]]</f>
        <v>-317.89999999999998</v>
      </c>
      <c r="BC11" s="54" t="e">
        <f>Table43[[#This Row],[Column1]]/Table43[[#This Row],[Harga Jual Pcs MT
(-PPN)]]</f>
        <v>#DIV/0!</v>
      </c>
      <c r="BD11" s="52"/>
      <c r="BE11" s="7"/>
      <c r="BF11" s="7" t="str">
        <f ca="1">IF(TODAY()-Table43[[#This Row],[Efektif
Pembuatan]]&gt;60,"Lama","Baru")</f>
        <v>Lama</v>
      </c>
      <c r="BG11" s="7" t="str">
        <f ca="1">IF(TODAY()-Table43[[#This Row],[Efektif Naik Harga]]&lt;30,"Naik","Sama")</f>
        <v>Sama</v>
      </c>
      <c r="BH11" s="7"/>
      <c r="BI11" s="7" t="str">
        <f>IF(Table43[[#This Row],[Kode BARANG Win2]]&lt;&gt;"","IDR","")</f>
        <v>IDR</v>
      </c>
      <c r="BJ11" s="7" t="str">
        <f>CONCATENATE(Table43[[#This Row],[kode  1 Digit
(Nomor)]],Table43[[#This Row],[kode  4 Digit                (Nomor)]])</f>
        <v>0020</v>
      </c>
      <c r="BK11" s="7" t="str">
        <f>Table43[[#This Row],[Nama            Gramasi atau Jumlah Pack per CTN]]</f>
        <v>20ML</v>
      </c>
      <c r="BL11" s="7"/>
      <c r="BM11" s="7"/>
      <c r="BN11" s="4" t="str">
        <f>IF(Table43[[#This Row],[SATUAN Fix Win]]&lt;&gt;"","KRT")</f>
        <v>KRT</v>
      </c>
      <c r="BO11" s="4" t="str">
        <f>IF(Table43[[#This Row],[SATUAN Fix Win]]&lt;&gt;"","GD01")</f>
        <v>GD01</v>
      </c>
      <c r="BP11" s="4">
        <f>IF(Table43[[#This Row],[SATUAN Fix Win]]&lt;&gt;"",11611)</f>
        <v>11611</v>
      </c>
      <c r="BQ11" s="4">
        <f>IF(Table43[[#This Row],[SATUAN Fix Win]]&lt;&gt;"",11612)</f>
        <v>11612</v>
      </c>
      <c r="BS11" s="4">
        <f>IF(Table43[[#This Row],[SATUAN Fix Win]]&lt;&gt;"",1)</f>
        <v>1</v>
      </c>
      <c r="BU11" s="4">
        <f>Table43[[#This Row],[ISI/CTN]]</f>
        <v>144</v>
      </c>
    </row>
    <row r="12" spans="1:75">
      <c r="A12" s="4" t="str">
        <f>CONCATENATE(Table43[[#This Row],[Kode BARANG Win2]],Table43[[#This Row],[No. Urut
Item Sama]])</f>
        <v>G1020000040020</v>
      </c>
      <c r="B12" s="7"/>
      <c r="C12" s="31">
        <v>30020000020000</v>
      </c>
      <c r="D12" s="51">
        <v>40008247</v>
      </c>
      <c r="E12" s="27" t="s">
        <v>1874</v>
      </c>
      <c r="F12" s="51">
        <v>30020000400000</v>
      </c>
      <c r="G12" s="51">
        <v>0</v>
      </c>
      <c r="H12" s="27" t="s">
        <v>1123</v>
      </c>
      <c r="I12" s="27">
        <v>12</v>
      </c>
      <c r="J12" s="51" t="s">
        <v>1568</v>
      </c>
      <c r="K12" s="27" t="str">
        <f>Table43[[#This Row],[NamaJenisKemasan]]</f>
        <v>PCH</v>
      </c>
      <c r="L12" s="4" t="str">
        <f>TRIM(CONCATENATE(Table43[[#This Row],[Nama            KLP]]," ",Table43[[#This Row],[Nama            Sub KLP]]))</f>
        <v>BIOSOL</v>
      </c>
      <c r="M12" s="4" t="str">
        <f>CONCATENATE(Table43[[#This Row],[kode  2 Digit                (hrf+No)]],Table43[[#This Row],[kode  2 Digit                (Nomor)]],Table43[[#This Row],[kode  1 Digit                (Nomor)]])</f>
        <v>G1020</v>
      </c>
      <c r="N12" s="4" t="str">
        <f>IF(AI12="",CONCATENATE(S12,U12,W12,Y12,AA12,AC12,AE12,AG12,Table43[[#This Row],[Tanda Kode Revisi]]),CONCATENATE(S12,U12,W12,Y12,AA12,AC12,AE12,AI12))</f>
        <v>G1020000040020</v>
      </c>
      <c r="O12" s="11">
        <f t="shared" si="0"/>
        <v>14</v>
      </c>
      <c r="P12" s="14" t="str">
        <f>IF(AH12&lt;&gt;"",TRIM(UPPER(CONCATENATE(R12," ",T12," ",V12," ",X12," ",Z12," ",AB12," ","X"," ",Table43[[#This Row],[ISI/CTN]]," ",AH12," ",AD12," ",AF12," ",AJ12))),TRIM(UPPER(CONCATENATE(R12," ",T12," ",V12," ",X12," ",Z12," ",AB12," ","X"," ",Table43[[#This Row],[ISI/CTN]]," ",AD12," ",AF12," ",AJ12))))</f>
        <v>BIOSOL 400ML X 12 PCH</v>
      </c>
      <c r="Q12" s="11">
        <f t="shared" si="1"/>
        <v>21</v>
      </c>
      <c r="S12" s="7" t="s">
        <v>34</v>
      </c>
      <c r="T12" s="4" t="s">
        <v>2207</v>
      </c>
      <c r="U12" s="47" t="s">
        <v>2459</v>
      </c>
      <c r="V12" s="48"/>
      <c r="W12" s="7">
        <v>0</v>
      </c>
      <c r="X12" s="48"/>
      <c r="Y12" s="47" t="s">
        <v>1116</v>
      </c>
      <c r="AA12" s="49" t="s">
        <v>1117</v>
      </c>
      <c r="AB12" s="4" t="s">
        <v>635</v>
      </c>
      <c r="AC12" s="49" t="s">
        <v>2624</v>
      </c>
      <c r="AD12" s="4" t="s">
        <v>636</v>
      </c>
      <c r="AE12" s="7">
        <v>2</v>
      </c>
      <c r="AG12" s="7">
        <v>0</v>
      </c>
      <c r="AK12" s="70">
        <f>Table43[[#This Row],[Column4]]</f>
        <v>30020000400000</v>
      </c>
      <c r="AN12" s="7">
        <f>Table43[[#This Row],[ISI/CTN]]</f>
        <v>12</v>
      </c>
      <c r="AO12" s="38">
        <f>Table43[[#This Row],[Harga Jual Pcs GT
(-PPN)]]-(Table43[[#This Row],[Harga Jual Pcs GT
(-PPN)]]*6.5%)</f>
        <v>8078.4</v>
      </c>
      <c r="AP12" s="38">
        <f>Table43[[#This Row],[Harga Beli Pcs
(-PPN)]]*Table43[[#This Row],[ISI/CTN]]</f>
        <v>96940.799999999988</v>
      </c>
      <c r="AQ12" s="38">
        <f>Table43[[#This Row],[Harga Beli Pcs
(-PPN)]]*1.11</f>
        <v>8967.0240000000013</v>
      </c>
      <c r="AR12" s="38">
        <f>Table43[[#This Row],[Harga Beli Krt
(- PPN)]]*1.11</f>
        <v>107604.288</v>
      </c>
      <c r="AS12" s="38">
        <v>8640</v>
      </c>
      <c r="AT12" s="38">
        <f>Table43[[#This Row],[Harga Jual Pcs GT
(-PPN)]]*Table43[[#This Row],[ISI/CTN]]</f>
        <v>103680</v>
      </c>
      <c r="AU12" s="38">
        <f>Table43[[#This Row],[Harga Jual Pcs GT
(-PPN)]]*1.11</f>
        <v>9590.4000000000015</v>
      </c>
      <c r="AV12" s="38">
        <f>Table43[[#This Row],[Harga Jual Krt GT
(- PPN)]]*1.11</f>
        <v>115084.8</v>
      </c>
      <c r="AW12" s="38">
        <f>IFERROR(VLOOKUP(Table43[[#This Row],[Kode Pcpl]],'[1]FEB 2026'!$A$3:$X$312,24,0),0)</f>
        <v>0</v>
      </c>
      <c r="AX12" s="38">
        <f>Table43[[#This Row],[Harga Jual Pcs MT
(-PPN)]]*Table43[[#This Row],[ISI/CTN]]</f>
        <v>0</v>
      </c>
      <c r="AY12" s="38">
        <f>Table43[[#This Row],[Harga Jual Pcs MT
(-PPN)]]*1.11</f>
        <v>0</v>
      </c>
      <c r="AZ12" s="38">
        <f>Table43[[#This Row],[Harga Jual Pcs MT
(+PPN)]]*Table43[[#This Row],[ISI/CTN]]</f>
        <v>0</v>
      </c>
      <c r="BA12" s="46">
        <f>(Table43[[#This Row],[Harga Jual Pcs GT
(-PPN)]]-Table43[[#This Row],[Harga Beli Pcs
(-PPN)]])/Table43[[#This Row],[Harga Jual Pcs GT
(-PPN)]]</f>
        <v>6.5000000000000044E-2</v>
      </c>
      <c r="BB12" s="53">
        <f>Table43[[#This Row],[Harga Jual Pcs MT
(-PPN)]]-Table43[[#This Row],[Harga Beli Pcs
(-PPN)]]</f>
        <v>-8078.4</v>
      </c>
      <c r="BC12" s="54" t="e">
        <f>Table43[[#This Row],[Column1]]/Table43[[#This Row],[Harga Jual Pcs MT
(-PPN)]]</f>
        <v>#DIV/0!</v>
      </c>
      <c r="BD12" s="52"/>
      <c r="BE12" s="7"/>
      <c r="BF12" s="7" t="str">
        <f ca="1">IF(TODAY()-Table43[[#This Row],[Efektif
Pembuatan]]&gt;60,"Lama","Baru")</f>
        <v>Lama</v>
      </c>
      <c r="BG12" s="7" t="str">
        <f ca="1">IF(TODAY()-Table43[[#This Row],[Efektif Naik Harga]]&lt;30,"Naik","Sama")</f>
        <v>Sama</v>
      </c>
      <c r="BH12" s="7"/>
      <c r="BI12" s="7" t="str">
        <f>IF(Table43[[#This Row],[Kode BARANG Win2]]&lt;&gt;"","IDR","")</f>
        <v>IDR</v>
      </c>
      <c r="BJ12" s="7" t="str">
        <f>CONCATENATE(Table43[[#This Row],[kode  1 Digit
(Nomor)]],Table43[[#This Row],[kode  4 Digit                (Nomor)]])</f>
        <v>0400</v>
      </c>
      <c r="BK12" s="7" t="str">
        <f>Table43[[#This Row],[Nama            Gramasi atau Jumlah Pack per CTN]]</f>
        <v>400ML</v>
      </c>
      <c r="BL12" s="7"/>
      <c r="BM12" s="7"/>
      <c r="BN12" s="4" t="str">
        <f>IF(Table43[[#This Row],[SATUAN Fix Win]]&lt;&gt;"","KRT")</f>
        <v>KRT</v>
      </c>
      <c r="BO12" s="4" t="str">
        <f>IF(Table43[[#This Row],[SATUAN Fix Win]]&lt;&gt;"","GD01")</f>
        <v>GD01</v>
      </c>
      <c r="BP12" s="4">
        <f>IF(Table43[[#This Row],[SATUAN Fix Win]]&lt;&gt;"",11611)</f>
        <v>11611</v>
      </c>
      <c r="BQ12" s="4">
        <f>IF(Table43[[#This Row],[SATUAN Fix Win]]&lt;&gt;"",11612)</f>
        <v>11612</v>
      </c>
      <c r="BS12" s="4">
        <f>IF(Table43[[#This Row],[SATUAN Fix Win]]&lt;&gt;"",1)</f>
        <v>1</v>
      </c>
      <c r="BU12" s="4">
        <f>Table43[[#This Row],[ISI/CTN]]</f>
        <v>12</v>
      </c>
    </row>
    <row r="13" spans="1:75">
      <c r="A13" s="4" t="str">
        <f>CONCATENATE(Table43[[#This Row],[Kode BARANG Win2]],Table43[[#This Row],[No. Urut
Item Sama]])</f>
        <v>G1020000040021</v>
      </c>
      <c r="B13" s="7"/>
      <c r="C13" s="31">
        <v>30020000020000</v>
      </c>
      <c r="D13" s="51">
        <v>40056288</v>
      </c>
      <c r="E13" s="27" t="s">
        <v>1875</v>
      </c>
      <c r="F13" s="51">
        <v>30020000400001</v>
      </c>
      <c r="G13" s="51">
        <v>0</v>
      </c>
      <c r="H13" s="27" t="s">
        <v>1124</v>
      </c>
      <c r="I13" s="27">
        <v>6</v>
      </c>
      <c r="J13" s="51" t="s">
        <v>1568</v>
      </c>
      <c r="K13" s="27" t="str">
        <f>Table43[[#This Row],[NamaJenisKemasan]]</f>
        <v>PCH</v>
      </c>
      <c r="L13" s="4" t="str">
        <f>TRIM(CONCATENATE(Table43[[#This Row],[Nama            KLP]]," ",Table43[[#This Row],[Nama            Sub KLP]]))</f>
        <v>BIOSOL</v>
      </c>
      <c r="M13" s="4" t="str">
        <f>CONCATENATE(Table43[[#This Row],[kode  2 Digit                (hrf+No)]],Table43[[#This Row],[kode  2 Digit                (Nomor)]],Table43[[#This Row],[kode  1 Digit                (Nomor)]])</f>
        <v>G1020</v>
      </c>
      <c r="N13" s="4" t="str">
        <f>IF(AI13="",CONCATENATE(S13,U13,W13,Y13,AA13,AC13,AE13,AG13,Table43[[#This Row],[Tanda Kode Revisi]]),CONCATENATE(S13,U13,W13,Y13,AA13,AC13,AE13,AI13))</f>
        <v>G1020000040021</v>
      </c>
      <c r="O13" s="11">
        <f t="shared" si="0"/>
        <v>14</v>
      </c>
      <c r="P13" s="14" t="str">
        <f>IF(AH13&lt;&gt;"",TRIM(UPPER(CONCATENATE(R13," ",T13," ",V13," ",X13," ",Z13," ",AB13," ","X"," ",Table43[[#This Row],[ISI/CTN]]," ",AH13," ",AD13," ",AF13," ",AJ13))),TRIM(UPPER(CONCATENATE(R13," ",T13," ",V13," ",X13," ",Z13," ",AB13," ","X"," ",Table43[[#This Row],[ISI/CTN]]," ",AD13," ",AF13," ",AJ13))))</f>
        <v>BIOSOL 400ML X 6 PCH BOGOF</v>
      </c>
      <c r="Q13" s="11">
        <f t="shared" si="1"/>
        <v>26</v>
      </c>
      <c r="S13" s="7" t="s">
        <v>34</v>
      </c>
      <c r="T13" s="4" t="s">
        <v>2207</v>
      </c>
      <c r="U13" s="47" t="s">
        <v>2459</v>
      </c>
      <c r="V13" s="48"/>
      <c r="W13" s="7">
        <v>0</v>
      </c>
      <c r="X13" s="48"/>
      <c r="Y13" s="47" t="s">
        <v>1116</v>
      </c>
      <c r="AA13" s="49" t="s">
        <v>1117</v>
      </c>
      <c r="AB13" s="4" t="s">
        <v>635</v>
      </c>
      <c r="AC13" s="49" t="s">
        <v>2624</v>
      </c>
      <c r="AD13" s="4" t="s">
        <v>636</v>
      </c>
      <c r="AE13" s="7">
        <v>2</v>
      </c>
      <c r="AF13" s="4" t="s">
        <v>2338</v>
      </c>
      <c r="AG13" s="7">
        <v>1</v>
      </c>
      <c r="AK13" s="70">
        <f>Table43[[#This Row],[Column4]]</f>
        <v>30020000400001</v>
      </c>
      <c r="AN13" s="7">
        <f>Table43[[#This Row],[ISI/CTN]]</f>
        <v>6</v>
      </c>
      <c r="AO13" s="38">
        <f>Table43[[#This Row],[Harga Jual Pcs GT
(-PPN)]]-(Table43[[#This Row],[Harga Jual Pcs GT
(-PPN)]]*6.5%)</f>
        <v>9069.5</v>
      </c>
      <c r="AP13" s="38">
        <f>Table43[[#This Row],[Harga Beli Pcs
(-PPN)]]*Table43[[#This Row],[ISI/CTN]]</f>
        <v>54417</v>
      </c>
      <c r="AQ13" s="38">
        <f>Table43[[#This Row],[Harga Beli Pcs
(-PPN)]]*1.11</f>
        <v>10067.145</v>
      </c>
      <c r="AR13" s="38">
        <f>Table43[[#This Row],[Harga Beli Krt
(- PPN)]]*1.11</f>
        <v>60402.87</v>
      </c>
      <c r="AS13" s="38">
        <v>9700</v>
      </c>
      <c r="AT13" s="38">
        <f>Table43[[#This Row],[Harga Jual Pcs GT
(-PPN)]]*Table43[[#This Row],[ISI/CTN]]</f>
        <v>58200</v>
      </c>
      <c r="AU13" s="38">
        <f>Table43[[#This Row],[Harga Jual Pcs GT
(-PPN)]]*1.11</f>
        <v>10767.000000000002</v>
      </c>
      <c r="AV13" s="38">
        <f>Table43[[#This Row],[Harga Jual Krt GT
(- PPN)]]*1.11</f>
        <v>64602.000000000007</v>
      </c>
      <c r="AW13" s="38">
        <f>IFERROR(VLOOKUP(Table43[[#This Row],[Kode Pcpl]],'[1]FEB 2026'!$A$3:$X$312,24,0),0)</f>
        <v>0</v>
      </c>
      <c r="AX13" s="38">
        <f>Table43[[#This Row],[Harga Jual Pcs MT
(-PPN)]]*Table43[[#This Row],[ISI/CTN]]</f>
        <v>0</v>
      </c>
      <c r="AY13" s="38">
        <f>Table43[[#This Row],[Harga Jual Pcs MT
(-PPN)]]*1.11</f>
        <v>0</v>
      </c>
      <c r="AZ13" s="38">
        <f>Table43[[#This Row],[Harga Jual Pcs MT
(+PPN)]]*Table43[[#This Row],[ISI/CTN]]</f>
        <v>0</v>
      </c>
      <c r="BA13" s="46">
        <f>(Table43[[#This Row],[Harga Jual Pcs GT
(-PPN)]]-Table43[[#This Row],[Harga Beli Pcs
(-PPN)]])/Table43[[#This Row],[Harga Jual Pcs GT
(-PPN)]]</f>
        <v>6.5000000000000002E-2</v>
      </c>
      <c r="BB13" s="53">
        <f>Table43[[#This Row],[Harga Jual Pcs MT
(-PPN)]]-Table43[[#This Row],[Harga Beli Pcs
(-PPN)]]</f>
        <v>-9069.5</v>
      </c>
      <c r="BC13" s="54" t="e">
        <f>Table43[[#This Row],[Column1]]/Table43[[#This Row],[Harga Jual Pcs MT
(-PPN)]]</f>
        <v>#DIV/0!</v>
      </c>
      <c r="BD13" s="52"/>
      <c r="BE13" s="7"/>
      <c r="BF13" s="7" t="str">
        <f ca="1">IF(TODAY()-Table43[[#This Row],[Efektif
Pembuatan]]&gt;60,"Lama","Baru")</f>
        <v>Lama</v>
      </c>
      <c r="BG13" s="7" t="str">
        <f ca="1">IF(TODAY()-Table43[[#This Row],[Efektif Naik Harga]]&lt;30,"Naik","Sama")</f>
        <v>Sama</v>
      </c>
      <c r="BH13" s="7"/>
      <c r="BI13" s="7" t="str">
        <f>IF(Table43[[#This Row],[Kode BARANG Win2]]&lt;&gt;"","IDR","")</f>
        <v>IDR</v>
      </c>
      <c r="BJ13" s="7" t="str">
        <f>CONCATENATE(Table43[[#This Row],[kode  1 Digit
(Nomor)]],Table43[[#This Row],[kode  4 Digit                (Nomor)]])</f>
        <v>0400</v>
      </c>
      <c r="BK13" s="7" t="str">
        <f>Table43[[#This Row],[Nama            Gramasi atau Jumlah Pack per CTN]]</f>
        <v>400ML</v>
      </c>
      <c r="BL13" s="7"/>
      <c r="BM13" s="7"/>
      <c r="BN13" s="4" t="str">
        <f>IF(Table43[[#This Row],[SATUAN Fix Win]]&lt;&gt;"","KRT")</f>
        <v>KRT</v>
      </c>
      <c r="BO13" s="4" t="str">
        <f>IF(Table43[[#This Row],[SATUAN Fix Win]]&lt;&gt;"","GD01")</f>
        <v>GD01</v>
      </c>
      <c r="BP13" s="4">
        <f>IF(Table43[[#This Row],[SATUAN Fix Win]]&lt;&gt;"",11611)</f>
        <v>11611</v>
      </c>
      <c r="BQ13" s="4">
        <f>IF(Table43[[#This Row],[SATUAN Fix Win]]&lt;&gt;"",11612)</f>
        <v>11612</v>
      </c>
      <c r="BS13" s="4">
        <f>IF(Table43[[#This Row],[SATUAN Fix Win]]&lt;&gt;"",1)</f>
        <v>1</v>
      </c>
      <c r="BU13" s="4">
        <f>Table43[[#This Row],[ISI/CTN]]</f>
        <v>6</v>
      </c>
    </row>
    <row r="14" spans="1:75">
      <c r="A14" s="4" t="str">
        <f>CONCATENATE(Table43[[#This Row],[Kode BARANG Win2]],Table43[[#This Row],[No. Urut
Item Sama]])</f>
        <v>G1020000070020</v>
      </c>
      <c r="B14" s="7"/>
      <c r="C14" s="31">
        <v>30020000400001</v>
      </c>
      <c r="D14" s="51">
        <v>40013979</v>
      </c>
      <c r="E14" s="27" t="s">
        <v>1876</v>
      </c>
      <c r="F14" s="51">
        <v>30020000700000</v>
      </c>
      <c r="G14" s="51">
        <v>0</v>
      </c>
      <c r="H14" s="27" t="s">
        <v>1125</v>
      </c>
      <c r="I14" s="27">
        <v>12</v>
      </c>
      <c r="J14" s="51" t="s">
        <v>1569</v>
      </c>
      <c r="K14" s="27" t="str">
        <f>Table43[[#This Row],[NamaJenisKemasan]]</f>
        <v>PCH</v>
      </c>
      <c r="L14" s="4" t="str">
        <f>TRIM(CONCATENATE(Table43[[#This Row],[Nama            KLP]]," ",Table43[[#This Row],[Nama            Sub KLP]]))</f>
        <v>BIOSOL</v>
      </c>
      <c r="M14" s="4" t="str">
        <f>CONCATENATE(Table43[[#This Row],[kode  2 Digit                (hrf+No)]],Table43[[#This Row],[kode  2 Digit                (Nomor)]],Table43[[#This Row],[kode  1 Digit                (Nomor)]])</f>
        <v>G1020</v>
      </c>
      <c r="N14" s="4" t="str">
        <f>IF(AI14="",CONCATENATE(S14,U14,W14,Y14,AA14,AC14,AE14,AG14,Table43[[#This Row],[Tanda Kode Revisi]]),CONCATENATE(S14,U14,W14,Y14,AA14,AC14,AE14,AI14))</f>
        <v>G1020000070020</v>
      </c>
      <c r="O14" s="11">
        <f t="shared" si="0"/>
        <v>14</v>
      </c>
      <c r="P14" s="14" t="str">
        <f>IF(AH14&lt;&gt;"",TRIM(UPPER(CONCATENATE(R14," ",T14," ",V14," ",X14," ",Z14," ",AB14," ","X"," ",Table43[[#This Row],[ISI/CTN]]," ",AH14," ",AD14," ",AF14," ",AJ14))),TRIM(UPPER(CONCATENATE(R14," ",T14," ",V14," ",X14," ",Z14," ",AB14," ","X"," ",Table43[[#This Row],[ISI/CTN]]," ",AD14," ",AF14," ",AJ14))))</f>
        <v>BIOSOL 700ML X 12 PCH</v>
      </c>
      <c r="Q14" s="11">
        <f t="shared" si="1"/>
        <v>21</v>
      </c>
      <c r="S14" s="7" t="s">
        <v>34</v>
      </c>
      <c r="T14" s="4" t="s">
        <v>2207</v>
      </c>
      <c r="U14" s="47" t="s">
        <v>2459</v>
      </c>
      <c r="V14" s="48"/>
      <c r="W14" s="7">
        <v>0</v>
      </c>
      <c r="X14" s="48"/>
      <c r="Y14" s="47" t="s">
        <v>1116</v>
      </c>
      <c r="AA14" s="49" t="s">
        <v>1117</v>
      </c>
      <c r="AB14" s="4" t="s">
        <v>1114</v>
      </c>
      <c r="AC14" s="49" t="s">
        <v>2635</v>
      </c>
      <c r="AD14" s="4" t="s">
        <v>636</v>
      </c>
      <c r="AE14" s="7">
        <v>2</v>
      </c>
      <c r="AG14" s="7">
        <v>0</v>
      </c>
      <c r="AK14" s="70">
        <f>Table43[[#This Row],[Column4]]</f>
        <v>30020000700000</v>
      </c>
      <c r="AN14" s="7">
        <f>Table43[[#This Row],[ISI/CTN]]</f>
        <v>12</v>
      </c>
      <c r="AO14" s="38">
        <f>Table43[[#This Row],[Harga Jual Pcs GT
(-PPN)]]-(Table43[[#This Row],[Harga Jual Pcs GT
(-PPN)]]*6.5%)</f>
        <v>13430.34</v>
      </c>
      <c r="AP14" s="38">
        <f>Table43[[#This Row],[Harga Beli Pcs
(-PPN)]]*Table43[[#This Row],[ISI/CTN]]</f>
        <v>161164.08000000002</v>
      </c>
      <c r="AQ14" s="38">
        <f>Table43[[#This Row],[Harga Beli Pcs
(-PPN)]]*1.11</f>
        <v>14907.677400000002</v>
      </c>
      <c r="AR14" s="38">
        <f>Table43[[#This Row],[Harga Beli Krt
(- PPN)]]*1.11</f>
        <v>178892.12880000003</v>
      </c>
      <c r="AS14" s="38">
        <v>14364</v>
      </c>
      <c r="AT14" s="38">
        <f>Table43[[#This Row],[Harga Jual Pcs GT
(-PPN)]]*Table43[[#This Row],[ISI/CTN]]</f>
        <v>172368</v>
      </c>
      <c r="AU14" s="38">
        <f>Table43[[#This Row],[Harga Jual Pcs GT
(-PPN)]]*1.11</f>
        <v>15944.04</v>
      </c>
      <c r="AV14" s="38">
        <f>Table43[[#This Row],[Harga Jual Krt GT
(- PPN)]]*1.11</f>
        <v>191328.48</v>
      </c>
      <c r="AW14" s="38">
        <f>IFERROR(VLOOKUP(Table43[[#This Row],[Kode Pcpl]],'[1]FEB 2026'!$A$3:$X$312,24,0),0)</f>
        <v>0</v>
      </c>
      <c r="AX14" s="38">
        <f>Table43[[#This Row],[Harga Jual Pcs MT
(-PPN)]]*Table43[[#This Row],[ISI/CTN]]</f>
        <v>0</v>
      </c>
      <c r="AY14" s="38">
        <f>Table43[[#This Row],[Harga Jual Pcs MT
(-PPN)]]*1.11</f>
        <v>0</v>
      </c>
      <c r="AZ14" s="38">
        <f>Table43[[#This Row],[Harga Jual Pcs MT
(+PPN)]]*Table43[[#This Row],[ISI/CTN]]</f>
        <v>0</v>
      </c>
      <c r="BA14" s="46">
        <f>(Table43[[#This Row],[Harga Jual Pcs GT
(-PPN)]]-Table43[[#This Row],[Harga Beli Pcs
(-PPN)]])/Table43[[#This Row],[Harga Jual Pcs GT
(-PPN)]]</f>
        <v>6.4999999999999988E-2</v>
      </c>
      <c r="BB14" s="53">
        <f>Table43[[#This Row],[Harga Jual Pcs MT
(-PPN)]]-Table43[[#This Row],[Harga Beli Pcs
(-PPN)]]</f>
        <v>-13430.34</v>
      </c>
      <c r="BC14" s="54" t="e">
        <f>Table43[[#This Row],[Column1]]/Table43[[#This Row],[Harga Jual Pcs MT
(-PPN)]]</f>
        <v>#DIV/0!</v>
      </c>
      <c r="BD14" s="52"/>
      <c r="BE14" s="7"/>
      <c r="BF14" s="7" t="str">
        <f ca="1">IF(TODAY()-Table43[[#This Row],[Efektif
Pembuatan]]&gt;60,"Lama","Baru")</f>
        <v>Lama</v>
      </c>
      <c r="BG14" s="7" t="str">
        <f ca="1">IF(TODAY()-Table43[[#This Row],[Efektif Naik Harga]]&lt;30,"Naik","Sama")</f>
        <v>Sama</v>
      </c>
      <c r="BH14" s="7"/>
      <c r="BI14" s="7" t="str">
        <f>IF(Table43[[#This Row],[Kode BARANG Win2]]&lt;&gt;"","IDR","")</f>
        <v>IDR</v>
      </c>
      <c r="BJ14" s="7" t="str">
        <f>CONCATENATE(Table43[[#This Row],[kode  1 Digit
(Nomor)]],Table43[[#This Row],[kode  4 Digit                (Nomor)]])</f>
        <v>0700</v>
      </c>
      <c r="BK14" s="7" t="str">
        <f>Table43[[#This Row],[Nama            Gramasi atau Jumlah Pack per CTN]]</f>
        <v>700ML</v>
      </c>
      <c r="BL14" s="7"/>
      <c r="BM14" s="7"/>
      <c r="BN14" s="4" t="str">
        <f>IF(Table43[[#This Row],[SATUAN Fix Win]]&lt;&gt;"","KRT")</f>
        <v>KRT</v>
      </c>
      <c r="BO14" s="4" t="str">
        <f>IF(Table43[[#This Row],[SATUAN Fix Win]]&lt;&gt;"","GD01")</f>
        <v>GD01</v>
      </c>
      <c r="BP14" s="4">
        <f>IF(Table43[[#This Row],[SATUAN Fix Win]]&lt;&gt;"",11611)</f>
        <v>11611</v>
      </c>
      <c r="BQ14" s="4">
        <f>IF(Table43[[#This Row],[SATUAN Fix Win]]&lt;&gt;"",11612)</f>
        <v>11612</v>
      </c>
      <c r="BS14" s="4">
        <f>IF(Table43[[#This Row],[SATUAN Fix Win]]&lt;&gt;"",1)</f>
        <v>1</v>
      </c>
      <c r="BU14" s="4">
        <f>Table43[[#This Row],[ISI/CTN]]</f>
        <v>12</v>
      </c>
    </row>
    <row r="15" spans="1:75">
      <c r="A15" s="4" t="str">
        <f>CONCATENATE(Table43[[#This Row],[Kode BARANG Win2]],Table43[[#This Row],[No. Urut
Item Sama]])</f>
        <v>G1020000070021</v>
      </c>
      <c r="B15" s="7"/>
      <c r="C15" s="31">
        <v>30020000400000</v>
      </c>
      <c r="D15" s="51">
        <v>40056289</v>
      </c>
      <c r="E15" s="27" t="s">
        <v>1877</v>
      </c>
      <c r="F15" s="51">
        <v>30020000700001</v>
      </c>
      <c r="G15" s="51">
        <v>0</v>
      </c>
      <c r="H15" s="27" t="s">
        <v>1126</v>
      </c>
      <c r="I15" s="27">
        <v>6</v>
      </c>
      <c r="J15" s="51" t="s">
        <v>1569</v>
      </c>
      <c r="K15" s="27" t="str">
        <f>Table43[[#This Row],[NamaJenisKemasan]]</f>
        <v>PCH</v>
      </c>
      <c r="L15" s="4" t="str">
        <f>TRIM(CONCATENATE(Table43[[#This Row],[Nama            KLP]]," ",Table43[[#This Row],[Nama            Sub KLP]]))</f>
        <v>BIOSOL</v>
      </c>
      <c r="M15" s="4" t="str">
        <f>CONCATENATE(Table43[[#This Row],[kode  2 Digit                (hrf+No)]],Table43[[#This Row],[kode  2 Digit                (Nomor)]],Table43[[#This Row],[kode  1 Digit                (Nomor)]])</f>
        <v>G1020</v>
      </c>
      <c r="N15" s="4" t="str">
        <f>IF(AI15="",CONCATENATE(S15,U15,W15,Y15,AA15,AC15,AE15,AG15,Table43[[#This Row],[Tanda Kode Revisi]]),CONCATENATE(S15,U15,W15,Y15,AA15,AC15,AE15,AI15))</f>
        <v>G1020000070021</v>
      </c>
      <c r="O15" s="11">
        <f t="shared" si="0"/>
        <v>14</v>
      </c>
      <c r="P15" s="14" t="str">
        <f>IF(AH15&lt;&gt;"",TRIM(UPPER(CONCATENATE(R15," ",T15," ",V15," ",X15," ",Z15," ",AB15," ","X"," ",Table43[[#This Row],[ISI/CTN]]," ",AH15," ",AD15," ",AF15," ",AJ15))),TRIM(UPPER(CONCATENATE(R15," ",T15," ",V15," ",X15," ",Z15," ",AB15," ","X"," ",Table43[[#This Row],[ISI/CTN]]," ",AD15," ",AF15," ",AJ15))))</f>
        <v>BIOSOL 700ML X 6 PCH BOGOF</v>
      </c>
      <c r="Q15" s="11">
        <f t="shared" si="1"/>
        <v>26</v>
      </c>
      <c r="S15" s="7" t="s">
        <v>34</v>
      </c>
      <c r="T15" s="4" t="s">
        <v>2207</v>
      </c>
      <c r="U15" s="47" t="s">
        <v>2459</v>
      </c>
      <c r="V15" s="48"/>
      <c r="W15" s="7">
        <v>0</v>
      </c>
      <c r="X15" s="48"/>
      <c r="Y15" s="47" t="s">
        <v>1116</v>
      </c>
      <c r="AA15" s="49" t="s">
        <v>1117</v>
      </c>
      <c r="AB15" s="4" t="s">
        <v>1114</v>
      </c>
      <c r="AC15" s="49" t="s">
        <v>2635</v>
      </c>
      <c r="AD15" s="4" t="s">
        <v>636</v>
      </c>
      <c r="AE15" s="7">
        <v>2</v>
      </c>
      <c r="AF15" s="4" t="s">
        <v>2338</v>
      </c>
      <c r="AG15" s="7">
        <v>1</v>
      </c>
      <c r="AK15" s="70">
        <f>Table43[[#This Row],[Column4]]</f>
        <v>30020000700001</v>
      </c>
      <c r="AN15" s="7">
        <f>Table43[[#This Row],[ISI/CTN]]</f>
        <v>6</v>
      </c>
      <c r="AO15" s="38">
        <f>Table43[[#This Row],[Harga Jual Pcs GT
(-PPN)]]-(Table43[[#This Row],[Harga Jual Pcs GT
(-PPN)]]*6.5%)</f>
        <v>15081.55</v>
      </c>
      <c r="AP15" s="38">
        <f>Table43[[#This Row],[Harga Beli Pcs
(-PPN)]]*Table43[[#This Row],[ISI/CTN]]</f>
        <v>90489.299999999988</v>
      </c>
      <c r="AQ15" s="38">
        <f>Table43[[#This Row],[Harga Beli Pcs
(-PPN)]]*1.11</f>
        <v>16740.520500000002</v>
      </c>
      <c r="AR15" s="38">
        <f>Table43[[#This Row],[Harga Beli Krt
(- PPN)]]*1.11</f>
        <v>100443.12299999999</v>
      </c>
      <c r="AS15" s="38">
        <v>16130</v>
      </c>
      <c r="AT15" s="38">
        <f>Table43[[#This Row],[Harga Jual Pcs GT
(-PPN)]]*Table43[[#This Row],[ISI/CTN]]</f>
        <v>96780</v>
      </c>
      <c r="AU15" s="38">
        <f>Table43[[#This Row],[Harga Jual Pcs GT
(-PPN)]]*1.11</f>
        <v>17904.300000000003</v>
      </c>
      <c r="AV15" s="38">
        <f>Table43[[#This Row],[Harga Jual Krt GT
(- PPN)]]*1.11</f>
        <v>107425.8</v>
      </c>
      <c r="AW15" s="38">
        <f>IFERROR(VLOOKUP(Table43[[#This Row],[Kode Pcpl]],'[1]FEB 2026'!$A$3:$X$312,24,0),0)</f>
        <v>0</v>
      </c>
      <c r="AX15" s="38">
        <f>Table43[[#This Row],[Harga Jual Pcs MT
(-PPN)]]*Table43[[#This Row],[ISI/CTN]]</f>
        <v>0</v>
      </c>
      <c r="AY15" s="38">
        <f>Table43[[#This Row],[Harga Jual Pcs MT
(-PPN)]]*1.11</f>
        <v>0</v>
      </c>
      <c r="AZ15" s="38">
        <f>Table43[[#This Row],[Harga Jual Pcs MT
(+PPN)]]*Table43[[#This Row],[ISI/CTN]]</f>
        <v>0</v>
      </c>
      <c r="BA15" s="46">
        <f>(Table43[[#This Row],[Harga Jual Pcs GT
(-PPN)]]-Table43[[#This Row],[Harga Beli Pcs
(-PPN)]])/Table43[[#This Row],[Harga Jual Pcs GT
(-PPN)]]</f>
        <v>6.5000000000000044E-2</v>
      </c>
      <c r="BB15" s="53">
        <f>Table43[[#This Row],[Harga Jual Pcs MT
(-PPN)]]-Table43[[#This Row],[Harga Beli Pcs
(-PPN)]]</f>
        <v>-15081.55</v>
      </c>
      <c r="BC15" s="54" t="e">
        <f>Table43[[#This Row],[Column1]]/Table43[[#This Row],[Harga Jual Pcs MT
(-PPN)]]</f>
        <v>#DIV/0!</v>
      </c>
      <c r="BD15" s="52"/>
      <c r="BE15" s="7"/>
      <c r="BF15" s="7" t="str">
        <f ca="1">IF(TODAY()-Table43[[#This Row],[Efektif
Pembuatan]]&gt;60,"Lama","Baru")</f>
        <v>Lama</v>
      </c>
      <c r="BG15" s="7" t="str">
        <f ca="1">IF(TODAY()-Table43[[#This Row],[Efektif Naik Harga]]&lt;30,"Naik","Sama")</f>
        <v>Sama</v>
      </c>
      <c r="BH15" s="7"/>
      <c r="BI15" s="7" t="str">
        <f>IF(Table43[[#This Row],[Kode BARANG Win2]]&lt;&gt;"","IDR","")</f>
        <v>IDR</v>
      </c>
      <c r="BJ15" s="7" t="str">
        <f>CONCATENATE(Table43[[#This Row],[kode  1 Digit
(Nomor)]],Table43[[#This Row],[kode  4 Digit                (Nomor)]])</f>
        <v>0700</v>
      </c>
      <c r="BK15" s="7" t="str">
        <f>Table43[[#This Row],[Nama            Gramasi atau Jumlah Pack per CTN]]</f>
        <v>700ML</v>
      </c>
      <c r="BL15" s="7"/>
      <c r="BM15" s="7"/>
      <c r="BN15" s="4" t="str">
        <f>IF(Table43[[#This Row],[SATUAN Fix Win]]&lt;&gt;"","KRT")</f>
        <v>KRT</v>
      </c>
      <c r="BO15" s="4" t="str">
        <f>IF(Table43[[#This Row],[SATUAN Fix Win]]&lt;&gt;"","GD01")</f>
        <v>GD01</v>
      </c>
      <c r="BP15" s="4">
        <f>IF(Table43[[#This Row],[SATUAN Fix Win]]&lt;&gt;"",11611)</f>
        <v>11611</v>
      </c>
      <c r="BQ15" s="4">
        <f>IF(Table43[[#This Row],[SATUAN Fix Win]]&lt;&gt;"",11612)</f>
        <v>11612</v>
      </c>
      <c r="BS15" s="4">
        <f>IF(Table43[[#This Row],[SATUAN Fix Win]]&lt;&gt;"",1)</f>
        <v>1</v>
      </c>
      <c r="BU15" s="4">
        <f>Table43[[#This Row],[ISI/CTN]]</f>
        <v>6</v>
      </c>
    </row>
    <row r="16" spans="1:75" s="87" customFormat="1">
      <c r="A16" s="71" t="str">
        <f>CONCATENATE(Table43[[#This Row],[Kode BARANG Win2]],Table43[[#This Row],[No. Urut
Item Sama]])</f>
        <v>G1020000070021</v>
      </c>
      <c r="B16" s="72"/>
      <c r="C16" s="73"/>
      <c r="D16" s="74">
        <v>40063060</v>
      </c>
      <c r="E16" s="75" t="s">
        <v>3456</v>
      </c>
      <c r="F16" s="74"/>
      <c r="G16" s="74">
        <v>0</v>
      </c>
      <c r="H16" s="75" t="s">
        <v>1126</v>
      </c>
      <c r="I16" s="75">
        <v>6</v>
      </c>
      <c r="J16" s="74"/>
      <c r="K16" s="75" t="str">
        <f>Table43[[#This Row],[NamaJenisKemasan]]</f>
        <v>PCH</v>
      </c>
      <c r="L16" s="71" t="str">
        <f>TRIM(CONCATENATE(Table43[[#This Row],[Nama            KLP]]," ",Table43[[#This Row],[Nama            Sub KLP]]))</f>
        <v>BIOSOL</v>
      </c>
      <c r="M16" s="71" t="str">
        <f>CONCATENATE(Table43[[#This Row],[kode  2 Digit                (hrf+No)]],Table43[[#This Row],[kode  2 Digit                (Nomor)]],Table43[[#This Row],[kode  1 Digit                (Nomor)]])</f>
        <v>G1020</v>
      </c>
      <c r="N16" s="71" t="str">
        <f>IF(AI16="",CONCATENATE(S16,U16,W16,Y16,AA16,AC16,AE16,AG16,Table43[[#This Row],[Tanda Kode Revisi]]),CONCATENATE(S16,U16,W16,Y16,AA16,AC16,AE16,AI16))</f>
        <v>G1020000070021</v>
      </c>
      <c r="O16" s="76">
        <f>LEN(N16)</f>
        <v>14</v>
      </c>
      <c r="P16" s="77" t="str">
        <f>IF(AH16&lt;&gt;"",TRIM(UPPER(CONCATENATE(R16," ",T16," ",V16," ",X16," ",Z16," ",AB16," ","X"," ",Table43[[#This Row],[ISI/CTN]]," ",AH16," ",AD16," ",AF16," ",AJ16))),TRIM(UPPER(CONCATENATE(R16," ",T16," ",V16," ",X16," ",Z16," ",AB16," ","X"," ",Table43[[#This Row],[ISI/CTN]]," ",AD16," ",AF16," ",AJ16))))</f>
        <v>BIOSOL 700ML X 6 PCH BOGOF</v>
      </c>
      <c r="Q16" s="76">
        <f>LEN(P16)</f>
        <v>26</v>
      </c>
      <c r="R16" s="71"/>
      <c r="S16" s="72" t="s">
        <v>34</v>
      </c>
      <c r="T16" s="71" t="s">
        <v>2207</v>
      </c>
      <c r="U16" s="78" t="s">
        <v>2459</v>
      </c>
      <c r="V16" s="79"/>
      <c r="W16" s="72">
        <v>0</v>
      </c>
      <c r="X16" s="79"/>
      <c r="Y16" s="78" t="s">
        <v>1116</v>
      </c>
      <c r="Z16" s="71"/>
      <c r="AA16" s="80" t="s">
        <v>1117</v>
      </c>
      <c r="AB16" s="71" t="s">
        <v>1114</v>
      </c>
      <c r="AC16" s="80" t="s">
        <v>2635</v>
      </c>
      <c r="AD16" s="71" t="s">
        <v>636</v>
      </c>
      <c r="AE16" s="72">
        <v>2</v>
      </c>
      <c r="AF16" s="71" t="s">
        <v>2338</v>
      </c>
      <c r="AG16" s="72">
        <v>1</v>
      </c>
      <c r="AH16" s="72"/>
      <c r="AI16" s="72"/>
      <c r="AJ16" s="72"/>
      <c r="AK16" s="81">
        <f>Table43[[#This Row],[Column4]]</f>
        <v>0</v>
      </c>
      <c r="AL16" s="72"/>
      <c r="AM16" s="72"/>
      <c r="AN16" s="72">
        <f>Table43[[#This Row],[ISI/CTN]]</f>
        <v>6</v>
      </c>
      <c r="AO16" s="88">
        <f>Table43[[#This Row],[Harga Jual Pcs GT
(-PPN)]]-(Table43[[#This Row],[Harga Jual Pcs GT
(-PPN)]]*6.5%)</f>
        <v>0</v>
      </c>
      <c r="AP16" s="88">
        <f>Table43[[#This Row],[Harga Beli Pcs
(-PPN)]]*Table43[[#This Row],[ISI/CTN]]</f>
        <v>0</v>
      </c>
      <c r="AQ16" s="88">
        <f>Table43[[#This Row],[Harga Beli Pcs
(-PPN)]]*1.11</f>
        <v>0</v>
      </c>
      <c r="AR16" s="88">
        <f>Table43[[#This Row],[Harga Beli Krt
(- PPN)]]*1.11</f>
        <v>0</v>
      </c>
      <c r="AS16" s="88"/>
      <c r="AT16" s="88">
        <f>Table43[[#This Row],[Harga Jual Pcs GT
(-PPN)]]*Table43[[#This Row],[ISI/CTN]]</f>
        <v>0</v>
      </c>
      <c r="AU16" s="88">
        <f>Table43[[#This Row],[Harga Jual Pcs GT
(-PPN)]]*1.11</f>
        <v>0</v>
      </c>
      <c r="AV16" s="88">
        <f>Table43[[#This Row],[Harga Jual Krt GT
(- PPN)]]*1.11</f>
        <v>0</v>
      </c>
      <c r="AW16" s="88">
        <f>IFERROR(VLOOKUP(Table43[[#This Row],[Kode Pcpl]],'[1]FEB 2026'!$A$3:$X$312,24,0),0)</f>
        <v>0</v>
      </c>
      <c r="AX16" s="88">
        <f>Table43[[#This Row],[Harga Jual Pcs MT
(-PPN)]]*Table43[[#This Row],[ISI/CTN]]</f>
        <v>0</v>
      </c>
      <c r="AY16" s="88">
        <f>Table43[[#This Row],[Harga Jual Pcs MT
(-PPN)]]*1.11</f>
        <v>0</v>
      </c>
      <c r="AZ16" s="88">
        <f>Table43[[#This Row],[Harga Jual Pcs MT
(+PPN)]]*Table43[[#This Row],[ISI/CTN]]</f>
        <v>0</v>
      </c>
      <c r="BA16" s="89" t="e">
        <f>(Table43[[#This Row],[Harga Jual Pcs GT
(-PPN)]]-Table43[[#This Row],[Harga Beli Pcs
(-PPN)]])/Table43[[#This Row],[Harga Jual Pcs GT
(-PPN)]]</f>
        <v>#DIV/0!</v>
      </c>
      <c r="BB16" s="90">
        <f>Table43[[#This Row],[Harga Jual Pcs MT
(-PPN)]]-Table43[[#This Row],[Harga Beli Pcs
(-PPN)]]</f>
        <v>0</v>
      </c>
      <c r="BC16" s="91" t="e">
        <f>Table43[[#This Row],[Column1]]/Table43[[#This Row],[Harga Jual Pcs MT
(-PPN)]]</f>
        <v>#DIV/0!</v>
      </c>
      <c r="BD16" s="86"/>
      <c r="BE16" s="72"/>
      <c r="BF16" s="72" t="str">
        <f ca="1">IF(TODAY()-Table43[[#This Row],[Efektif
Pembuatan]]&gt;60,"Lama","Baru")</f>
        <v>Lama</v>
      </c>
      <c r="BG16" s="72" t="str">
        <f ca="1">IF(TODAY()-Table43[[#This Row],[Efektif Naik Harga]]&lt;30,"Naik","Sama")</f>
        <v>Sama</v>
      </c>
      <c r="BH16" s="72"/>
      <c r="BI16" s="72" t="str">
        <f>IF(Table43[[#This Row],[Kode BARANG Win2]]&lt;&gt;"","IDR","")</f>
        <v>IDR</v>
      </c>
      <c r="BJ16" s="72" t="str">
        <f>CONCATENATE(Table43[[#This Row],[kode  1 Digit
(Nomor)]],Table43[[#This Row],[kode  4 Digit                (Nomor)]])</f>
        <v>0700</v>
      </c>
      <c r="BK16" s="72" t="str">
        <f>Table43[[#This Row],[Nama            Gramasi atau Jumlah Pack per CTN]]</f>
        <v>700ML</v>
      </c>
      <c r="BL16" s="72"/>
      <c r="BM16" s="72"/>
      <c r="BN16" s="71" t="str">
        <f>IF(Table43[[#This Row],[SATUAN Fix Win]]&lt;&gt;"","KRT")</f>
        <v>KRT</v>
      </c>
      <c r="BO16" s="71" t="str">
        <f>IF(Table43[[#This Row],[SATUAN Fix Win]]&lt;&gt;"","GD01")</f>
        <v>GD01</v>
      </c>
      <c r="BP16" s="71">
        <f>IF(Table43[[#This Row],[SATUAN Fix Win]]&lt;&gt;"",11611)</f>
        <v>11611</v>
      </c>
      <c r="BQ16" s="71">
        <f>IF(Table43[[#This Row],[SATUAN Fix Win]]&lt;&gt;"",11612)</f>
        <v>11612</v>
      </c>
      <c r="BR16" s="71"/>
      <c r="BS16" s="71">
        <f>IF(Table43[[#This Row],[SATUAN Fix Win]]&lt;&gt;"",1)</f>
        <v>1</v>
      </c>
      <c r="BT16" s="71"/>
      <c r="BU16" s="71">
        <f>Table43[[#This Row],[ISI/CTN]]</f>
        <v>6</v>
      </c>
      <c r="BV16" s="71"/>
      <c r="BW16" s="71"/>
    </row>
    <row r="17" spans="1:75" s="87" customFormat="1">
      <c r="A17" s="71" t="str">
        <f>CONCATENATE(Table43[[#This Row],[Kode BARANG Win2]],Table43[[#This Row],[No. Urut
Item Sama]])</f>
        <v>G1021101050030</v>
      </c>
      <c r="B17" s="72"/>
      <c r="C17" s="73"/>
      <c r="D17" s="74">
        <v>40058248</v>
      </c>
      <c r="E17" s="75" t="s">
        <v>3476</v>
      </c>
      <c r="F17" s="74"/>
      <c r="G17" s="74">
        <v>0</v>
      </c>
      <c r="H17" s="75" t="s">
        <v>3476</v>
      </c>
      <c r="I17" s="75">
        <v>24</v>
      </c>
      <c r="J17" s="74"/>
      <c r="K17" s="75" t="str">
        <f>Table43[[#This Row],[NamaJenisKemasan]]</f>
        <v>JRG</v>
      </c>
      <c r="L17" s="71" t="str">
        <f>TRIM(CONCATENATE(Table43[[#This Row],[Nama            KLP]]," ",Table43[[#This Row],[Nama            Sub KLP]]))</f>
        <v>BIOSOL HIT POWER</v>
      </c>
      <c r="M17" s="71" t="str">
        <f>CONCATENATE(Table43[[#This Row],[kode  2 Digit                (hrf+No)]],Table43[[#This Row],[kode  2 Digit                (Nomor)]],Table43[[#This Row],[kode  1 Digit                (Nomor)]])</f>
        <v>G1021</v>
      </c>
      <c r="N17" s="71" t="str">
        <f>IF(AI17="",CONCATENATE(S17,U17,W17,Y17,AA17,AC17,AE17,AG17,Table43[[#This Row],[Tanda Kode Revisi]]),CONCATENATE(S17,U17,W17,Y17,AA17,AC17,AE17,AI17))</f>
        <v>G1021101050030</v>
      </c>
      <c r="O17" s="76">
        <f>LEN(N17)</f>
        <v>14</v>
      </c>
      <c r="P17" s="77" t="str">
        <f>IF(AH17&lt;&gt;"",TRIM(UPPER(CONCATENATE(R17," ",T17," ",V17," ",X17," ",Z17," ",AB17," ","X"," ",Table43[[#This Row],[ISI/CTN]]," ",AH17," ",AD17," ",AF17," ",AJ17))),TRIM(UPPER(CONCATENATE(R17," ",T17," ",V17," ",X17," ",Z17," ",AB17," ","X"," ",Table43[[#This Row],[ISI/CTN]]," ",AD17," ",AF17," ",AJ17))))</f>
        <v>BIOSOL HIT POWER L2L B2B PRO 500ML X 24 JRG</v>
      </c>
      <c r="Q17" s="76">
        <f>LEN(P17)</f>
        <v>43</v>
      </c>
      <c r="R17" s="71"/>
      <c r="S17" s="72" t="s">
        <v>34</v>
      </c>
      <c r="T17" s="71" t="s">
        <v>2207</v>
      </c>
      <c r="U17" s="78" t="s">
        <v>2459</v>
      </c>
      <c r="V17" s="79" t="s">
        <v>3477</v>
      </c>
      <c r="W17" s="72">
        <v>1</v>
      </c>
      <c r="X17" s="79" t="s">
        <v>3478</v>
      </c>
      <c r="Y17" s="78" t="s">
        <v>2539</v>
      </c>
      <c r="Z17" s="71" t="s">
        <v>3479</v>
      </c>
      <c r="AA17" s="80" t="s">
        <v>1115</v>
      </c>
      <c r="AB17" s="71" t="s">
        <v>2365</v>
      </c>
      <c r="AC17" s="80" t="s">
        <v>2629</v>
      </c>
      <c r="AD17" s="71" t="s">
        <v>2224</v>
      </c>
      <c r="AE17" s="72">
        <v>3</v>
      </c>
      <c r="AF17" s="71"/>
      <c r="AG17" s="72">
        <v>0</v>
      </c>
      <c r="AH17" s="72"/>
      <c r="AI17" s="72"/>
      <c r="AJ17" s="72"/>
      <c r="AK17" s="81">
        <f>Table43[[#This Row],[Column4]]</f>
        <v>0</v>
      </c>
      <c r="AL17" s="72"/>
      <c r="AM17" s="72"/>
      <c r="AN17" s="72">
        <f>Table43[[#This Row],[ISI/CTN]]</f>
        <v>24</v>
      </c>
      <c r="AO17" s="88">
        <f>Table43[[#This Row],[Harga Jual Pcs GT
(-PPN)]]-(Table43[[#This Row],[Harga Jual Pcs GT
(-PPN)]]*6.5%)</f>
        <v>0</v>
      </c>
      <c r="AP17" s="88">
        <f>Table43[[#This Row],[Harga Beli Pcs
(-PPN)]]*Table43[[#This Row],[ISI/CTN]]</f>
        <v>0</v>
      </c>
      <c r="AQ17" s="88">
        <f>Table43[[#This Row],[Harga Beli Pcs
(-PPN)]]*1.11</f>
        <v>0</v>
      </c>
      <c r="AR17" s="88">
        <f>Table43[[#This Row],[Harga Beli Krt
(- PPN)]]*1.11</f>
        <v>0</v>
      </c>
      <c r="AS17" s="88"/>
      <c r="AT17" s="88">
        <f>Table43[[#This Row],[Harga Jual Pcs GT
(-PPN)]]*Table43[[#This Row],[ISI/CTN]]</f>
        <v>0</v>
      </c>
      <c r="AU17" s="88">
        <f>Table43[[#This Row],[Harga Jual Pcs GT
(-PPN)]]*1.11</f>
        <v>0</v>
      </c>
      <c r="AV17" s="88">
        <f>Table43[[#This Row],[Harga Jual Krt GT
(- PPN)]]*1.11</f>
        <v>0</v>
      </c>
      <c r="AW17" s="88">
        <f>IFERROR(VLOOKUP(Table43[[#This Row],[Kode Pcpl]],'[1]FEB 2026'!$A$3:$X$312,24,0),0)</f>
        <v>0</v>
      </c>
      <c r="AX17" s="88">
        <f>Table43[[#This Row],[Harga Jual Pcs MT
(-PPN)]]*Table43[[#This Row],[ISI/CTN]]</f>
        <v>0</v>
      </c>
      <c r="AY17" s="88">
        <f>Table43[[#This Row],[Harga Jual Pcs MT
(-PPN)]]*1.11</f>
        <v>0</v>
      </c>
      <c r="AZ17" s="88">
        <f>Table43[[#This Row],[Harga Jual Pcs MT
(+PPN)]]*Table43[[#This Row],[ISI/CTN]]</f>
        <v>0</v>
      </c>
      <c r="BA17" s="89" t="e">
        <f>(Table43[[#This Row],[Harga Jual Pcs GT
(-PPN)]]-Table43[[#This Row],[Harga Beli Pcs
(-PPN)]])/Table43[[#This Row],[Harga Jual Pcs GT
(-PPN)]]</f>
        <v>#DIV/0!</v>
      </c>
      <c r="BB17" s="90">
        <f>Table43[[#This Row],[Harga Jual Pcs MT
(-PPN)]]-Table43[[#This Row],[Harga Beli Pcs
(-PPN)]]</f>
        <v>0</v>
      </c>
      <c r="BC17" s="91" t="e">
        <f>Table43[[#This Row],[Column1]]/Table43[[#This Row],[Harga Jual Pcs MT
(-PPN)]]</f>
        <v>#DIV/0!</v>
      </c>
      <c r="BD17" s="86"/>
      <c r="BE17" s="72"/>
      <c r="BF17" s="72" t="str">
        <f ca="1">IF(TODAY()-Table43[[#This Row],[Efektif
Pembuatan]]&gt;60,"Lama","Baru")</f>
        <v>Lama</v>
      </c>
      <c r="BG17" s="72" t="str">
        <f ca="1">IF(TODAY()-Table43[[#This Row],[Efektif Naik Harga]]&lt;30,"Naik","Sama")</f>
        <v>Sama</v>
      </c>
      <c r="BH17" s="72"/>
      <c r="BI17" s="72" t="str">
        <f>IF(Table43[[#This Row],[Kode BARANG Win2]]&lt;&gt;"","IDR","")</f>
        <v>IDR</v>
      </c>
      <c r="BJ17" s="72" t="str">
        <f>CONCATENATE(Table43[[#This Row],[kode  1 Digit
(Nomor)]],Table43[[#This Row],[kode  4 Digit                (Nomor)]])</f>
        <v>0500</v>
      </c>
      <c r="BK17" s="72" t="str">
        <f>Table43[[#This Row],[Nama            Gramasi atau Jumlah Pack per CTN]]</f>
        <v>500ML</v>
      </c>
      <c r="BL17" s="72"/>
      <c r="BM17" s="72"/>
      <c r="BN17" s="71" t="str">
        <f>IF(Table43[[#This Row],[SATUAN Fix Win]]&lt;&gt;"","KRT")</f>
        <v>KRT</v>
      </c>
      <c r="BO17" s="71" t="str">
        <f>IF(Table43[[#This Row],[SATUAN Fix Win]]&lt;&gt;"","GD01")</f>
        <v>GD01</v>
      </c>
      <c r="BP17" s="71">
        <f>IF(Table43[[#This Row],[SATUAN Fix Win]]&lt;&gt;"",11611)</f>
        <v>11611</v>
      </c>
      <c r="BQ17" s="71">
        <f>IF(Table43[[#This Row],[SATUAN Fix Win]]&lt;&gt;"",11612)</f>
        <v>11612</v>
      </c>
      <c r="BR17" s="71"/>
      <c r="BS17" s="71">
        <f>IF(Table43[[#This Row],[SATUAN Fix Win]]&lt;&gt;"",1)</f>
        <v>1</v>
      </c>
      <c r="BT17" s="71"/>
      <c r="BU17" s="71">
        <f>Table43[[#This Row],[ISI/CTN]]</f>
        <v>24</v>
      </c>
      <c r="BV17" s="71"/>
      <c r="BW17" s="71"/>
    </row>
    <row r="18" spans="1:75">
      <c r="A18" s="4" t="str">
        <f>CONCATENATE(Table43[[#This Row],[Kode BARANG Win2]],Table43[[#This Row],[No. Urut
Item Sama]])</f>
        <v>G1031001001210</v>
      </c>
      <c r="B18" s="7"/>
      <c r="C18" s="31">
        <v>30202050120000</v>
      </c>
      <c r="D18" s="51">
        <v>40008387</v>
      </c>
      <c r="E18" s="27" t="s">
        <v>1879</v>
      </c>
      <c r="F18" s="51">
        <v>30031020012000</v>
      </c>
      <c r="G18" s="51">
        <v>0</v>
      </c>
      <c r="H18" s="27" t="s">
        <v>1128</v>
      </c>
      <c r="I18" s="27">
        <v>72</v>
      </c>
      <c r="J18" s="51" t="s">
        <v>1571</v>
      </c>
      <c r="K18" s="27" t="str">
        <f>Table43[[#This Row],[NamaJenisKemasan]]</f>
        <v>PCS</v>
      </c>
      <c r="L18" s="4" t="str">
        <f>TRIM(CONCATENATE(Table43[[#This Row],[Nama            KLP]]," ",Table43[[#This Row],[Nama            Sub KLP]]))</f>
        <v>CAP GAJAH LEM LALAT</v>
      </c>
      <c r="M18" s="4" t="str">
        <f>CONCATENATE(Table43[[#This Row],[kode  2 Digit                (hrf+No)]],Table43[[#This Row],[kode  2 Digit                (Nomor)]],Table43[[#This Row],[kode  1 Digit                (Nomor)]])</f>
        <v>G1031</v>
      </c>
      <c r="N18" s="4" t="str">
        <f>IF(AI18="",CONCATENATE(S18,U18,W18,Y18,AA18,AC18,AE18,AG18,Table43[[#This Row],[Tanda Kode Revisi]]),CONCATENATE(S18,U18,W18,Y18,AA18,AC18,AE18,AI18))</f>
        <v>G1031001001210</v>
      </c>
      <c r="O18" s="11">
        <f t="shared" si="0"/>
        <v>14</v>
      </c>
      <c r="P18" s="14" t="str">
        <f>IF(AH18&lt;&gt;"",TRIM(UPPER(CONCATENATE(R18," ",T18," ",V18," ",X18," ",Z18," ",AB18," ","X"," ",Table43[[#This Row],[ISI/CTN]]," ",AH18," ",AD18," ",AF18," ",AJ18))),TRIM(UPPER(CONCATENATE(R18," ",T18," ",V18," ",X18," ",Z18," ",AB18," ","X"," ",Table43[[#This Row],[ISI/CTN]]," ",AD18," ",AF18," ",AJ18))))</f>
        <v>CAP GAJAH LEM LALAT STICK 12S X 72 PCS</v>
      </c>
      <c r="Q18" s="11">
        <f t="shared" si="1"/>
        <v>38</v>
      </c>
      <c r="S18" s="7" t="s">
        <v>34</v>
      </c>
      <c r="T18" s="4" t="s">
        <v>2253</v>
      </c>
      <c r="U18" s="47" t="s">
        <v>2538</v>
      </c>
      <c r="V18" s="48" t="s">
        <v>2511</v>
      </c>
      <c r="W18" s="7">
        <v>1</v>
      </c>
      <c r="X18" s="48"/>
      <c r="Y18" s="47" t="s">
        <v>1116</v>
      </c>
      <c r="Z18" s="4" t="s">
        <v>2647</v>
      </c>
      <c r="AA18" s="49" t="s">
        <v>1115</v>
      </c>
      <c r="AB18" s="4" t="s">
        <v>2258</v>
      </c>
      <c r="AC18" s="49" t="s">
        <v>2594</v>
      </c>
      <c r="AD18" s="4" t="s">
        <v>185</v>
      </c>
      <c r="AE18" s="7">
        <v>1</v>
      </c>
      <c r="AG18" s="7">
        <v>0</v>
      </c>
      <c r="AK18" s="70">
        <f>Table43[[#This Row],[Column4]]</f>
        <v>30031020012000</v>
      </c>
      <c r="AN18" s="7">
        <f>Table43[[#This Row],[ISI/CTN]]</f>
        <v>72</v>
      </c>
      <c r="AO18" s="38">
        <f>Table43[[#This Row],[Harga Jual Pcs GT
(-PPN)]]-(Table43[[#This Row],[Harga Jual Pcs GT
(-PPN)]]*6.5%)</f>
        <v>7395.85</v>
      </c>
      <c r="AP18" s="38">
        <f>Table43[[#This Row],[Harga Beli Pcs
(-PPN)]]*Table43[[#This Row],[ISI/CTN]]</f>
        <v>532501.20000000007</v>
      </c>
      <c r="AQ18" s="38">
        <f>Table43[[#This Row],[Harga Beli Pcs
(-PPN)]]*1.11</f>
        <v>8209.3935000000019</v>
      </c>
      <c r="AR18" s="38">
        <f>Table43[[#This Row],[Harga Beli Krt
(- PPN)]]*1.11</f>
        <v>591076.33200000017</v>
      </c>
      <c r="AS18" s="38">
        <v>7910</v>
      </c>
      <c r="AT18" s="38">
        <f>Table43[[#This Row],[Harga Jual Pcs GT
(-PPN)]]*Table43[[#This Row],[ISI/CTN]]</f>
        <v>569520</v>
      </c>
      <c r="AU18" s="38">
        <f>Table43[[#This Row],[Harga Jual Pcs GT
(-PPN)]]*1.11</f>
        <v>8780.1</v>
      </c>
      <c r="AV18" s="38">
        <f>Table43[[#This Row],[Harga Jual Krt GT
(- PPN)]]*1.11</f>
        <v>632167.20000000007</v>
      </c>
      <c r="AW18" s="38">
        <f>IFERROR(VLOOKUP(Table43[[#This Row],[Kode Pcpl]],'[1]FEB 2026'!$A$3:$X$312,24,0),0)</f>
        <v>0</v>
      </c>
      <c r="AX18" s="38">
        <f>Table43[[#This Row],[Harga Jual Pcs MT
(-PPN)]]*Table43[[#This Row],[ISI/CTN]]</f>
        <v>0</v>
      </c>
      <c r="AY18" s="38">
        <f>Table43[[#This Row],[Harga Jual Pcs MT
(-PPN)]]*1.11</f>
        <v>0</v>
      </c>
      <c r="AZ18" s="38">
        <f>Table43[[#This Row],[Harga Jual Pcs MT
(+PPN)]]*Table43[[#This Row],[ISI/CTN]]</f>
        <v>0</v>
      </c>
      <c r="BA18" s="46">
        <f>(Table43[[#This Row],[Harga Jual Pcs GT
(-PPN)]]-Table43[[#This Row],[Harga Beli Pcs
(-PPN)]])/Table43[[#This Row],[Harga Jual Pcs GT
(-PPN)]]</f>
        <v>6.4999999999999961E-2</v>
      </c>
      <c r="BB18" s="53">
        <f>Table43[[#This Row],[Harga Jual Pcs MT
(-PPN)]]-Table43[[#This Row],[Harga Beli Pcs
(-PPN)]]</f>
        <v>-7395.85</v>
      </c>
      <c r="BC18" s="54" t="e">
        <f>Table43[[#This Row],[Column1]]/Table43[[#This Row],[Harga Jual Pcs MT
(-PPN)]]</f>
        <v>#DIV/0!</v>
      </c>
      <c r="BD18" s="52"/>
      <c r="BE18" s="7"/>
      <c r="BF18" s="7" t="str">
        <f ca="1">IF(TODAY()-Table43[[#This Row],[Efektif
Pembuatan]]&gt;60,"Lama","Baru")</f>
        <v>Lama</v>
      </c>
      <c r="BG18" s="7" t="str">
        <f ca="1">IF(TODAY()-Table43[[#This Row],[Efektif Naik Harga]]&lt;30,"Naik","Sama")</f>
        <v>Sama</v>
      </c>
      <c r="BH18" s="7"/>
      <c r="BI18" s="7" t="str">
        <f>IF(Table43[[#This Row],[Kode BARANG Win2]]&lt;&gt;"","IDR","")</f>
        <v>IDR</v>
      </c>
      <c r="BJ18" s="7" t="str">
        <f>CONCATENATE(Table43[[#This Row],[kode  1 Digit
(Nomor)]],Table43[[#This Row],[kode  4 Digit                (Nomor)]])</f>
        <v>0012</v>
      </c>
      <c r="BK18" s="7" t="str">
        <f>Table43[[#This Row],[Nama            Gramasi atau Jumlah Pack per CTN]]</f>
        <v>12S</v>
      </c>
      <c r="BL18" s="7"/>
      <c r="BM18" s="7"/>
      <c r="BN18" s="4" t="str">
        <f>IF(Table43[[#This Row],[SATUAN Fix Win]]&lt;&gt;"","KRT")</f>
        <v>KRT</v>
      </c>
      <c r="BO18" s="4" t="str">
        <f>IF(Table43[[#This Row],[SATUAN Fix Win]]&lt;&gt;"","GD01")</f>
        <v>GD01</v>
      </c>
      <c r="BP18" s="4">
        <f>IF(Table43[[#This Row],[SATUAN Fix Win]]&lt;&gt;"",11611)</f>
        <v>11611</v>
      </c>
      <c r="BQ18" s="4">
        <f>IF(Table43[[#This Row],[SATUAN Fix Win]]&lt;&gt;"",11612)</f>
        <v>11612</v>
      </c>
      <c r="BS18" s="4">
        <f>IF(Table43[[#This Row],[SATUAN Fix Win]]&lt;&gt;"",1)</f>
        <v>1</v>
      </c>
      <c r="BU18" s="4">
        <f>Table43[[#This Row],[ISI/CTN]]</f>
        <v>72</v>
      </c>
    </row>
    <row r="19" spans="1:75">
      <c r="A19" s="4" t="str">
        <f>CONCATENATE(Table43[[#This Row],[Kode BARANG Win2]],Table43[[#This Row],[No. Urut
Item Sama]])</f>
        <v>G1031002000310</v>
      </c>
      <c r="B19" s="7"/>
      <c r="C19" s="31">
        <v>30220001001000</v>
      </c>
      <c r="D19" s="51">
        <v>40008390</v>
      </c>
      <c r="E19" s="27" t="s">
        <v>1878</v>
      </c>
      <c r="F19" s="51">
        <v>30031010003000</v>
      </c>
      <c r="G19" s="51">
        <v>0</v>
      </c>
      <c r="H19" s="27" t="s">
        <v>1127</v>
      </c>
      <c r="I19" s="27">
        <v>120</v>
      </c>
      <c r="J19" s="51" t="s">
        <v>1570</v>
      </c>
      <c r="K19" s="27" t="str">
        <f>Table43[[#This Row],[NamaJenisKemasan]]</f>
        <v>PCS</v>
      </c>
      <c r="L19" s="4" t="str">
        <f>TRIM(CONCATENATE(Table43[[#This Row],[Nama            KLP]]," ",Table43[[#This Row],[Nama            Sub KLP]]))</f>
        <v>CAP GAJAH LEM LALAT</v>
      </c>
      <c r="M19" s="4" t="str">
        <f>CONCATENATE(Table43[[#This Row],[kode  2 Digit                (hrf+No)]],Table43[[#This Row],[kode  2 Digit                (Nomor)]],Table43[[#This Row],[kode  1 Digit                (Nomor)]])</f>
        <v>G1031</v>
      </c>
      <c r="N19" s="4" t="str">
        <f>IF(AI19="",CONCATENATE(S19,U19,W19,Y19,AA19,AC19,AE19,AG19,Table43[[#This Row],[Tanda Kode Revisi]]),CONCATENATE(S19,U19,W19,Y19,AA19,AC19,AE19,AI19))</f>
        <v>G1031002000310</v>
      </c>
      <c r="O19" s="11">
        <f t="shared" si="0"/>
        <v>14</v>
      </c>
      <c r="P19" s="14" t="str">
        <f>IF(AH19&lt;&gt;"",TRIM(UPPER(CONCATENATE(R19," ",T19," ",V19," ",X19," ",Z19," ",AB19," ","X"," ",Table43[[#This Row],[ISI/CTN]]," ",AH19," ",AD19," ",AF19," ",AJ19))),TRIM(UPPER(CONCATENATE(R19," ",T19," ",V19," ",X19," ",Z19," ",AB19," ","X"," ",Table43[[#This Row],[ISI/CTN]]," ",AD19," ",AF19," ",AJ19))))</f>
        <v>CAP GAJAH LEM LALAT KERTAS 3S X 120 PCS</v>
      </c>
      <c r="Q19" s="11">
        <f t="shared" si="1"/>
        <v>39</v>
      </c>
      <c r="S19" s="7" t="s">
        <v>34</v>
      </c>
      <c r="T19" s="4" t="s">
        <v>2253</v>
      </c>
      <c r="U19" s="47" t="s">
        <v>2538</v>
      </c>
      <c r="V19" s="48" t="s">
        <v>2511</v>
      </c>
      <c r="W19" s="7">
        <v>1</v>
      </c>
      <c r="X19" s="48"/>
      <c r="Y19" s="47" t="s">
        <v>1116</v>
      </c>
      <c r="Z19" s="4" t="s">
        <v>2254</v>
      </c>
      <c r="AA19" s="49" t="s">
        <v>2459</v>
      </c>
      <c r="AB19" s="4" t="s">
        <v>2257</v>
      </c>
      <c r="AC19" s="49" t="s">
        <v>2623</v>
      </c>
      <c r="AD19" s="4" t="s">
        <v>185</v>
      </c>
      <c r="AE19" s="7">
        <v>1</v>
      </c>
      <c r="AG19" s="7">
        <v>0</v>
      </c>
      <c r="AK19" s="70">
        <f>Table43[[#This Row],[Column4]]</f>
        <v>30031010003000</v>
      </c>
      <c r="AN19" s="7">
        <f>Table43[[#This Row],[ISI/CTN]]</f>
        <v>120</v>
      </c>
      <c r="AO19" s="38">
        <f>Table43[[#This Row],[Harga Jual Pcs GT
(-PPN)]]-(Table43[[#This Row],[Harga Jual Pcs GT
(-PPN)]]*6.5%)</f>
        <v>4600.2</v>
      </c>
      <c r="AP19" s="38">
        <f>Table43[[#This Row],[Harga Beli Pcs
(-PPN)]]*Table43[[#This Row],[ISI/CTN]]</f>
        <v>552024</v>
      </c>
      <c r="AQ19" s="38">
        <f>Table43[[#This Row],[Harga Beli Pcs
(-PPN)]]*1.11</f>
        <v>5106.2220000000007</v>
      </c>
      <c r="AR19" s="38">
        <f>Table43[[#This Row],[Harga Beli Krt
(- PPN)]]*1.11</f>
        <v>612746.64</v>
      </c>
      <c r="AS19" s="38">
        <v>4920</v>
      </c>
      <c r="AT19" s="38">
        <f>Table43[[#This Row],[Harga Jual Pcs GT
(-PPN)]]*Table43[[#This Row],[ISI/CTN]]</f>
        <v>590400</v>
      </c>
      <c r="AU19" s="38">
        <f>Table43[[#This Row],[Harga Jual Pcs GT
(-PPN)]]*1.11</f>
        <v>5461.2000000000007</v>
      </c>
      <c r="AV19" s="38">
        <f>Table43[[#This Row],[Harga Jual Krt GT
(- PPN)]]*1.11</f>
        <v>655344</v>
      </c>
      <c r="AW19" s="38">
        <f>IFERROR(VLOOKUP(Table43[[#This Row],[Kode Pcpl]],'[1]FEB 2026'!$A$3:$X$312,24,0),0)</f>
        <v>0</v>
      </c>
      <c r="AX19" s="38">
        <f>Table43[[#This Row],[Harga Jual Pcs MT
(-PPN)]]*Table43[[#This Row],[ISI/CTN]]</f>
        <v>0</v>
      </c>
      <c r="AY19" s="38">
        <f>Table43[[#This Row],[Harga Jual Pcs MT
(-PPN)]]*1.11</f>
        <v>0</v>
      </c>
      <c r="AZ19" s="38">
        <f>Table43[[#This Row],[Harga Jual Pcs MT
(+PPN)]]*Table43[[#This Row],[ISI/CTN]]</f>
        <v>0</v>
      </c>
      <c r="BA19" s="46">
        <f>(Table43[[#This Row],[Harga Jual Pcs GT
(-PPN)]]-Table43[[#This Row],[Harga Beli Pcs
(-PPN)]])/Table43[[#This Row],[Harga Jual Pcs GT
(-PPN)]]</f>
        <v>6.5000000000000044E-2</v>
      </c>
      <c r="BB19" s="53">
        <f>Table43[[#This Row],[Harga Jual Pcs MT
(-PPN)]]-Table43[[#This Row],[Harga Beli Pcs
(-PPN)]]</f>
        <v>-4600.2</v>
      </c>
      <c r="BC19" s="54" t="e">
        <f>Table43[[#This Row],[Column1]]/Table43[[#This Row],[Harga Jual Pcs MT
(-PPN)]]</f>
        <v>#DIV/0!</v>
      </c>
      <c r="BD19" s="52"/>
      <c r="BE19" s="7"/>
      <c r="BF19" s="7" t="str">
        <f ca="1">IF(TODAY()-Table43[[#This Row],[Efektif
Pembuatan]]&gt;60,"Lama","Baru")</f>
        <v>Lama</v>
      </c>
      <c r="BG19" s="7" t="str">
        <f ca="1">IF(TODAY()-Table43[[#This Row],[Efektif Naik Harga]]&lt;30,"Naik","Sama")</f>
        <v>Sama</v>
      </c>
      <c r="BH19" s="7"/>
      <c r="BI19" s="7" t="str">
        <f>IF(Table43[[#This Row],[Kode BARANG Win2]]&lt;&gt;"","IDR","")</f>
        <v>IDR</v>
      </c>
      <c r="BJ19" s="7" t="str">
        <f>CONCATENATE(Table43[[#This Row],[kode  1 Digit
(Nomor)]],Table43[[#This Row],[kode  4 Digit                (Nomor)]])</f>
        <v>0003</v>
      </c>
      <c r="BK19" s="7" t="str">
        <f>Table43[[#This Row],[Nama            Gramasi atau Jumlah Pack per CTN]]</f>
        <v>3S</v>
      </c>
      <c r="BL19" s="7"/>
      <c r="BM19" s="7"/>
      <c r="BN19" s="4" t="str">
        <f>IF(Table43[[#This Row],[SATUAN Fix Win]]&lt;&gt;"","KRT")</f>
        <v>KRT</v>
      </c>
      <c r="BO19" s="4" t="str">
        <f>IF(Table43[[#This Row],[SATUAN Fix Win]]&lt;&gt;"","GD01")</f>
        <v>GD01</v>
      </c>
      <c r="BP19" s="4">
        <f>IF(Table43[[#This Row],[SATUAN Fix Win]]&lt;&gt;"",11611)</f>
        <v>11611</v>
      </c>
      <c r="BQ19" s="4">
        <f>IF(Table43[[#This Row],[SATUAN Fix Win]]&lt;&gt;"",11612)</f>
        <v>11612</v>
      </c>
      <c r="BS19" s="4">
        <f>IF(Table43[[#This Row],[SATUAN Fix Win]]&lt;&gt;"",1)</f>
        <v>1</v>
      </c>
      <c r="BU19" s="4">
        <f>Table43[[#This Row],[ISI/CTN]]</f>
        <v>120</v>
      </c>
    </row>
    <row r="20" spans="1:75">
      <c r="A20" s="4" t="str">
        <f>CONCATENATE(Table43[[#This Row],[Kode BARANG Win2]],Table43[[#This Row],[No. Urut
Item Sama]])</f>
        <v>G1032000005010</v>
      </c>
      <c r="B20" s="7"/>
      <c r="C20" s="31">
        <v>30230010100000</v>
      </c>
      <c r="D20" s="59">
        <v>40057428</v>
      </c>
      <c r="E20" s="60" t="s">
        <v>1880</v>
      </c>
      <c r="F20" s="59">
        <v>30032000050010</v>
      </c>
      <c r="G20" s="59">
        <v>0</v>
      </c>
      <c r="H20" s="60" t="s">
        <v>1129</v>
      </c>
      <c r="I20" s="60">
        <v>144</v>
      </c>
      <c r="J20" s="59" t="s">
        <v>1572</v>
      </c>
      <c r="K20" s="60" t="str">
        <f>Table43[[#This Row],[NamaJenisKemasan]]</f>
        <v>TUBE</v>
      </c>
      <c r="L20" s="4" t="str">
        <f>TRIM(CONCATENATE(Table43[[#This Row],[Nama            KLP]]," ",Table43[[#This Row],[Nama            Sub KLP]]))</f>
        <v>CAP GAJAH LEM TIKUS</v>
      </c>
      <c r="M20" s="4" t="str">
        <f>CONCATENATE(Table43[[#This Row],[kode  2 Digit                (hrf+No)]],Table43[[#This Row],[kode  2 Digit                (Nomor)]],Table43[[#This Row],[kode  1 Digit                (Nomor)]])</f>
        <v>G1032</v>
      </c>
      <c r="N20" s="4" t="str">
        <f>IF(AI20="",CONCATENATE(S20,U20,W20,Y20,AA20,AC20,AE20,AG20,Table43[[#This Row],[Tanda Kode Revisi]]),CONCATENATE(S20,U20,W20,Y20,AA20,AC20,AE20,AI20))</f>
        <v>G1032000005010</v>
      </c>
      <c r="O20" s="11">
        <f t="shared" si="0"/>
        <v>14</v>
      </c>
      <c r="P20" s="14" t="str">
        <f>IF(AH20&lt;&gt;"",TRIM(UPPER(CONCATENATE(R20," ",T20," ",V20," ",X20," ",Z20," ",AB20," ","X"," ",Table43[[#This Row],[ISI/CTN]]," ",AH20," ",AD20," ",AF20," ",AJ20))),TRIM(UPPER(CONCATENATE(R20," ",T20," ",V20," ",X20," ",Z20," ",AB20," ","X"," ",Table43[[#This Row],[ISI/CTN]]," ",AD20," ",AF20," ",AJ20))))</f>
        <v>CAP GAJAH LEM TIKUS 50ML X 144 TUBE</v>
      </c>
      <c r="Q20" s="11">
        <f t="shared" si="1"/>
        <v>35</v>
      </c>
      <c r="S20" s="7" t="s">
        <v>34</v>
      </c>
      <c r="T20" s="4" t="s">
        <v>2253</v>
      </c>
      <c r="U20" s="47" t="s">
        <v>2538</v>
      </c>
      <c r="V20" s="48" t="s">
        <v>2512</v>
      </c>
      <c r="W20" s="7">
        <v>2</v>
      </c>
      <c r="X20" s="48"/>
      <c r="Y20" s="47" t="s">
        <v>1116</v>
      </c>
      <c r="AA20" s="49" t="s">
        <v>1117</v>
      </c>
      <c r="AB20" s="4" t="s">
        <v>1089</v>
      </c>
      <c r="AC20" s="49" t="s">
        <v>2630</v>
      </c>
      <c r="AD20" s="4" t="s">
        <v>659</v>
      </c>
      <c r="AE20" s="7">
        <v>1</v>
      </c>
      <c r="AG20" s="7">
        <v>0</v>
      </c>
      <c r="AK20" s="70">
        <f>Table43[[#This Row],[Column4]]</f>
        <v>30032000050010</v>
      </c>
      <c r="AN20" s="7">
        <f>Table43[[#This Row],[ISI/CTN]]</f>
        <v>144</v>
      </c>
      <c r="AO20" s="38">
        <f>Table43[[#This Row],[Harga Jual Pcs GT
(-PPN)]]-(Table43[[#This Row],[Harga Jual Pcs GT
(-PPN)]]*6.5%)</f>
        <v>7489.35</v>
      </c>
      <c r="AP20" s="38">
        <f>Table43[[#This Row],[Harga Beli Pcs
(-PPN)]]*Table43[[#This Row],[ISI/CTN]]</f>
        <v>1078466.4000000001</v>
      </c>
      <c r="AQ20" s="38">
        <f>Table43[[#This Row],[Harga Beli Pcs
(-PPN)]]*1.11</f>
        <v>8313.1785000000018</v>
      </c>
      <c r="AR20" s="38">
        <f>Table43[[#This Row],[Harga Beli Krt
(- PPN)]]*1.11</f>
        <v>1197097.7040000004</v>
      </c>
      <c r="AS20" s="38">
        <v>8010</v>
      </c>
      <c r="AT20" s="38">
        <f>Table43[[#This Row],[Harga Jual Pcs GT
(-PPN)]]*Table43[[#This Row],[ISI/CTN]]</f>
        <v>1153440</v>
      </c>
      <c r="AU20" s="38">
        <f>Table43[[#This Row],[Harga Jual Pcs GT
(-PPN)]]*1.11</f>
        <v>8891.1</v>
      </c>
      <c r="AV20" s="38">
        <f>Table43[[#This Row],[Harga Jual Krt GT
(- PPN)]]*1.11</f>
        <v>1280318.4000000001</v>
      </c>
      <c r="AW20" s="38">
        <f>IFERROR(VLOOKUP(Table43[[#This Row],[Kode Pcpl]],'[1]FEB 2026'!$A$3:$X$312,24,0),0)</f>
        <v>0</v>
      </c>
      <c r="AX20" s="38">
        <f>Table43[[#This Row],[Harga Jual Pcs MT
(-PPN)]]*Table43[[#This Row],[ISI/CTN]]</f>
        <v>0</v>
      </c>
      <c r="AY20" s="38">
        <f>Table43[[#This Row],[Harga Jual Pcs MT
(-PPN)]]*1.11</f>
        <v>0</v>
      </c>
      <c r="AZ20" s="38">
        <f>Table43[[#This Row],[Harga Jual Pcs MT
(+PPN)]]*Table43[[#This Row],[ISI/CTN]]</f>
        <v>0</v>
      </c>
      <c r="BA20" s="46">
        <f>(Table43[[#This Row],[Harga Jual Pcs GT
(-PPN)]]-Table43[[#This Row],[Harga Beli Pcs
(-PPN)]])/Table43[[#This Row],[Harga Jual Pcs GT
(-PPN)]]</f>
        <v>6.4999999999999961E-2</v>
      </c>
      <c r="BB20" s="53">
        <f>Table43[[#This Row],[Harga Jual Pcs MT
(-PPN)]]-Table43[[#This Row],[Harga Beli Pcs
(-PPN)]]</f>
        <v>-7489.35</v>
      </c>
      <c r="BC20" s="54" t="e">
        <f>Table43[[#This Row],[Column1]]/Table43[[#This Row],[Harga Jual Pcs MT
(-PPN)]]</f>
        <v>#DIV/0!</v>
      </c>
      <c r="BD20" s="52"/>
      <c r="BE20" s="7"/>
      <c r="BF20" s="7" t="str">
        <f ca="1">IF(TODAY()-Table43[[#This Row],[Efektif
Pembuatan]]&gt;60,"Lama","Baru")</f>
        <v>Lama</v>
      </c>
      <c r="BG20" s="7" t="str">
        <f ca="1">IF(TODAY()-Table43[[#This Row],[Efektif Naik Harga]]&lt;30,"Naik","Sama")</f>
        <v>Sama</v>
      </c>
      <c r="BH20" s="7"/>
      <c r="BI20" s="7" t="str">
        <f>IF(Table43[[#This Row],[Kode BARANG Win2]]&lt;&gt;"","IDR","")</f>
        <v>IDR</v>
      </c>
      <c r="BJ20" s="7" t="str">
        <f>CONCATENATE(Table43[[#This Row],[kode  1 Digit
(Nomor)]],Table43[[#This Row],[kode  4 Digit                (Nomor)]])</f>
        <v>0050</v>
      </c>
      <c r="BK20" s="7" t="str">
        <f>Table43[[#This Row],[Nama            Gramasi atau Jumlah Pack per CTN]]</f>
        <v>50ML</v>
      </c>
      <c r="BL20" s="7"/>
      <c r="BM20" s="7"/>
      <c r="BN20" s="4" t="str">
        <f>IF(Table43[[#This Row],[SATUAN Fix Win]]&lt;&gt;"","KRT")</f>
        <v>KRT</v>
      </c>
      <c r="BO20" s="4" t="str">
        <f>IF(Table43[[#This Row],[SATUAN Fix Win]]&lt;&gt;"","GD01")</f>
        <v>GD01</v>
      </c>
      <c r="BP20" s="4">
        <f>IF(Table43[[#This Row],[SATUAN Fix Win]]&lt;&gt;"",11611)</f>
        <v>11611</v>
      </c>
      <c r="BQ20" s="4">
        <f>IF(Table43[[#This Row],[SATUAN Fix Win]]&lt;&gt;"",11612)</f>
        <v>11612</v>
      </c>
      <c r="BS20" s="4">
        <f>IF(Table43[[#This Row],[SATUAN Fix Win]]&lt;&gt;"",1)</f>
        <v>1</v>
      </c>
      <c r="BU20" s="4">
        <f>Table43[[#This Row],[ISI/CTN]]</f>
        <v>144</v>
      </c>
    </row>
    <row r="21" spans="1:75">
      <c r="A21" s="4" t="str">
        <f>CONCATENATE(Table43[[#This Row],[Kode BARANG Win2]],Table43[[#This Row],[No. Urut
Item Sama]])</f>
        <v>G1032000010010</v>
      </c>
      <c r="B21" s="7"/>
      <c r="C21" s="31">
        <v>30230010100000</v>
      </c>
      <c r="D21" s="59">
        <v>40008380</v>
      </c>
      <c r="E21" s="60" t="s">
        <v>1881</v>
      </c>
      <c r="F21" s="59">
        <v>30032000100010</v>
      </c>
      <c r="G21" s="59">
        <v>0</v>
      </c>
      <c r="H21" s="60" t="s">
        <v>1130</v>
      </c>
      <c r="I21" s="60">
        <v>144</v>
      </c>
      <c r="J21" s="59" t="s">
        <v>1573</v>
      </c>
      <c r="K21" s="60" t="str">
        <f>Table43[[#This Row],[NamaJenisKemasan]]</f>
        <v>TUBE</v>
      </c>
      <c r="L21" s="4" t="str">
        <f>TRIM(CONCATENATE(Table43[[#This Row],[Nama            KLP]]," ",Table43[[#This Row],[Nama            Sub KLP]]))</f>
        <v>CAP GAJAH LEM TIKUS</v>
      </c>
      <c r="M21" s="4" t="str">
        <f>CONCATENATE(Table43[[#This Row],[kode  2 Digit                (hrf+No)]],Table43[[#This Row],[kode  2 Digit                (Nomor)]],Table43[[#This Row],[kode  1 Digit                (Nomor)]])</f>
        <v>G1032</v>
      </c>
      <c r="N21" s="4" t="str">
        <f>IF(AI21="",CONCATENATE(S21,U21,W21,Y21,AA21,AC21,AE21,AG21,Table43[[#This Row],[Tanda Kode Revisi]]),CONCATENATE(S21,U21,W21,Y21,AA21,AC21,AE21,AI21))</f>
        <v>G1032000010010</v>
      </c>
      <c r="O21" s="11">
        <f t="shared" si="0"/>
        <v>14</v>
      </c>
      <c r="P21" s="14" t="str">
        <f>IF(AH21&lt;&gt;"",TRIM(UPPER(CONCATENATE(R21," ",T21," ",V21," ",X21," ",Z21," ",AB21," ","X"," ",Table43[[#This Row],[ISI/CTN]]," ",AH21," ",AD21," ",AF21," ",AJ21))),TRIM(UPPER(CONCATENATE(R21," ",T21," ",V21," ",X21," ",Z21," ",AB21," ","X"," ",Table43[[#This Row],[ISI/CTN]]," ",AD21," ",AF21," ",AJ21))))</f>
        <v>CAP GAJAH LEM TIKUS 100ML X 144 TUBE</v>
      </c>
      <c r="Q21" s="11">
        <f t="shared" si="1"/>
        <v>36</v>
      </c>
      <c r="S21" s="7" t="s">
        <v>34</v>
      </c>
      <c r="T21" s="4" t="s">
        <v>2253</v>
      </c>
      <c r="U21" s="47" t="s">
        <v>2538</v>
      </c>
      <c r="V21" s="48" t="s">
        <v>2512</v>
      </c>
      <c r="W21" s="7">
        <v>2</v>
      </c>
      <c r="X21" s="48"/>
      <c r="Y21" s="47" t="s">
        <v>1116</v>
      </c>
      <c r="AA21" s="49" t="s">
        <v>1117</v>
      </c>
      <c r="AB21" s="4" t="s">
        <v>650</v>
      </c>
      <c r="AC21" s="49" t="s">
        <v>1118</v>
      </c>
      <c r="AD21" s="4" t="s">
        <v>659</v>
      </c>
      <c r="AE21" s="7">
        <v>1</v>
      </c>
      <c r="AG21" s="7">
        <v>0</v>
      </c>
      <c r="AK21" s="70">
        <f>Table43[[#This Row],[Column4]]</f>
        <v>30032000100010</v>
      </c>
      <c r="AN21" s="7">
        <f>Table43[[#This Row],[ISI/CTN]]</f>
        <v>144</v>
      </c>
      <c r="AO21" s="38">
        <f>Table43[[#This Row],[Harga Jual Pcs GT
(-PPN)]]-(Table43[[#This Row],[Harga Jual Pcs GT
(-PPN)]]*6.5%)</f>
        <v>13520.1</v>
      </c>
      <c r="AP21" s="38">
        <f>Table43[[#This Row],[Harga Beli Pcs
(-PPN)]]*Table43[[#This Row],[ISI/CTN]]</f>
        <v>1946894.4000000001</v>
      </c>
      <c r="AQ21" s="38">
        <f>Table43[[#This Row],[Harga Beli Pcs
(-PPN)]]*1.11</f>
        <v>15007.311000000002</v>
      </c>
      <c r="AR21" s="38">
        <f>Table43[[#This Row],[Harga Beli Krt
(- PPN)]]*1.11</f>
        <v>2161052.7840000005</v>
      </c>
      <c r="AS21" s="38">
        <v>14460</v>
      </c>
      <c r="AT21" s="38">
        <f>Table43[[#This Row],[Harga Jual Pcs GT
(-PPN)]]*Table43[[#This Row],[ISI/CTN]]</f>
        <v>2082240</v>
      </c>
      <c r="AU21" s="38">
        <f>Table43[[#This Row],[Harga Jual Pcs GT
(-PPN)]]*1.11</f>
        <v>16050.600000000002</v>
      </c>
      <c r="AV21" s="38">
        <f>Table43[[#This Row],[Harga Jual Krt GT
(- PPN)]]*1.11</f>
        <v>2311286.4000000004</v>
      </c>
      <c r="AW21" s="38">
        <f>IFERROR(VLOOKUP(Table43[[#This Row],[Kode Pcpl]],'[1]FEB 2026'!$A$3:$X$312,24,0),0)</f>
        <v>0</v>
      </c>
      <c r="AX21" s="38">
        <f>Table43[[#This Row],[Harga Jual Pcs MT
(-PPN)]]*Table43[[#This Row],[ISI/CTN]]</f>
        <v>0</v>
      </c>
      <c r="AY21" s="38">
        <f>Table43[[#This Row],[Harga Jual Pcs MT
(-PPN)]]*1.11</f>
        <v>0</v>
      </c>
      <c r="AZ21" s="38">
        <f>Table43[[#This Row],[Harga Jual Pcs MT
(+PPN)]]*Table43[[#This Row],[ISI/CTN]]</f>
        <v>0</v>
      </c>
      <c r="BA21" s="46">
        <f>(Table43[[#This Row],[Harga Jual Pcs GT
(-PPN)]]-Table43[[#This Row],[Harga Beli Pcs
(-PPN)]])/Table43[[#This Row],[Harga Jual Pcs GT
(-PPN)]]</f>
        <v>6.4999999999999974E-2</v>
      </c>
      <c r="BB21" s="53">
        <f>Table43[[#This Row],[Harga Jual Pcs MT
(-PPN)]]-Table43[[#This Row],[Harga Beli Pcs
(-PPN)]]</f>
        <v>-13520.1</v>
      </c>
      <c r="BC21" s="54" t="e">
        <f>Table43[[#This Row],[Column1]]/Table43[[#This Row],[Harga Jual Pcs MT
(-PPN)]]</f>
        <v>#DIV/0!</v>
      </c>
      <c r="BD21" s="52"/>
      <c r="BE21" s="7"/>
      <c r="BF21" s="7" t="str">
        <f ca="1">IF(TODAY()-Table43[[#This Row],[Efektif
Pembuatan]]&gt;60,"Lama","Baru")</f>
        <v>Lama</v>
      </c>
      <c r="BG21" s="7" t="str">
        <f ca="1">IF(TODAY()-Table43[[#This Row],[Efektif Naik Harga]]&lt;30,"Naik","Sama")</f>
        <v>Sama</v>
      </c>
      <c r="BH21" s="7"/>
      <c r="BI21" s="7" t="str">
        <f>IF(Table43[[#This Row],[Kode BARANG Win2]]&lt;&gt;"","IDR","")</f>
        <v>IDR</v>
      </c>
      <c r="BJ21" s="7" t="str">
        <f>CONCATENATE(Table43[[#This Row],[kode  1 Digit
(Nomor)]],Table43[[#This Row],[kode  4 Digit                (Nomor)]])</f>
        <v>0100</v>
      </c>
      <c r="BK21" s="7" t="str">
        <f>Table43[[#This Row],[Nama            Gramasi atau Jumlah Pack per CTN]]</f>
        <v>100ML</v>
      </c>
      <c r="BL21" s="7"/>
      <c r="BM21" s="7"/>
      <c r="BN21" s="4" t="str">
        <f>IF(Table43[[#This Row],[SATUAN Fix Win]]&lt;&gt;"","KRT")</f>
        <v>KRT</v>
      </c>
      <c r="BO21" s="4" t="str">
        <f>IF(Table43[[#This Row],[SATUAN Fix Win]]&lt;&gt;"","GD01")</f>
        <v>GD01</v>
      </c>
      <c r="BP21" s="4">
        <f>IF(Table43[[#This Row],[SATUAN Fix Win]]&lt;&gt;"",11611)</f>
        <v>11611</v>
      </c>
      <c r="BQ21" s="4">
        <f>IF(Table43[[#This Row],[SATUAN Fix Win]]&lt;&gt;"",11612)</f>
        <v>11612</v>
      </c>
      <c r="BS21" s="4">
        <f>IF(Table43[[#This Row],[SATUAN Fix Win]]&lt;&gt;"",1)</f>
        <v>1</v>
      </c>
      <c r="BU21" s="4">
        <f>Table43[[#This Row],[ISI/CTN]]</f>
        <v>144</v>
      </c>
    </row>
    <row r="22" spans="1:75">
      <c r="A22" s="4" t="str">
        <f>CONCATENATE(Table43[[#This Row],[Kode BARANG Win2]],Table43[[#This Row],[No. Urut
Item Sama]])</f>
        <v>G1032001006010</v>
      </c>
      <c r="B22" s="7"/>
      <c r="C22" s="31">
        <v>30230010050000</v>
      </c>
      <c r="D22" s="59">
        <v>40039248</v>
      </c>
      <c r="E22" s="60" t="s">
        <v>1882</v>
      </c>
      <c r="F22" s="59">
        <v>30032030060000</v>
      </c>
      <c r="G22" s="59">
        <v>30032030070000</v>
      </c>
      <c r="H22" s="60" t="s">
        <v>1131</v>
      </c>
      <c r="I22" s="60">
        <v>72</v>
      </c>
      <c r="J22" s="59" t="s">
        <v>1574</v>
      </c>
      <c r="K22" s="60" t="str">
        <f>Table43[[#This Row],[NamaJenisKemasan]]</f>
        <v>PCS</v>
      </c>
      <c r="L22" s="4" t="str">
        <f>TRIM(CONCATENATE(Table43[[#This Row],[Nama            KLP]]," ",Table43[[#This Row],[Nama            Sub KLP]]))</f>
        <v>CAP GAJAH LEM TIKUS</v>
      </c>
      <c r="M22" s="4" t="str">
        <f>CONCATENATE(Table43[[#This Row],[kode  2 Digit                (hrf+No)]],Table43[[#This Row],[kode  2 Digit                (Nomor)]],Table43[[#This Row],[kode  1 Digit                (Nomor)]])</f>
        <v>G1032</v>
      </c>
      <c r="N22" s="4" t="str">
        <f>IF(AI22="",CONCATENATE(S22,U22,W22,Y22,AA22,AC22,AE22,AG22,Table43[[#This Row],[Tanda Kode Revisi]]),CONCATENATE(S22,U22,W22,Y22,AA22,AC22,AE22,AI22))</f>
        <v>G1032001006010</v>
      </c>
      <c r="O22" s="11">
        <f t="shared" si="0"/>
        <v>14</v>
      </c>
      <c r="P22" s="14" t="str">
        <f>IF(AH22&lt;&gt;"",TRIM(UPPER(CONCATENATE(R22," ",T22," ",V22," ",X22," ",Z22," ",AB22," ","X"," ",Table43[[#This Row],[ISI/CTN]]," ",AH22," ",AD22," ",AF22," ",AJ22))),TRIM(UPPER(CONCATENATE(R22," ",T22," ",V22," ",X22," ",Z22," ",AB22," ","X"," ",Table43[[#This Row],[ISI/CTN]]," ",AD22," ",AF22," ",AJ22))))</f>
        <v>CAP GAJAH LEM TIKUS TRAP 60GR X 72 PCS</v>
      </c>
      <c r="Q22" s="11">
        <f t="shared" si="1"/>
        <v>38</v>
      </c>
      <c r="S22" s="7" t="s">
        <v>34</v>
      </c>
      <c r="T22" s="4" t="s">
        <v>2253</v>
      </c>
      <c r="U22" s="47" t="s">
        <v>2538</v>
      </c>
      <c r="V22" s="48" t="s">
        <v>2512</v>
      </c>
      <c r="W22" s="7">
        <v>2</v>
      </c>
      <c r="X22" s="48"/>
      <c r="Y22" s="47" t="s">
        <v>1116</v>
      </c>
      <c r="Z22" s="4" t="s">
        <v>2256</v>
      </c>
      <c r="AA22" s="49" t="s">
        <v>1115</v>
      </c>
      <c r="AB22" s="4" t="s">
        <v>2510</v>
      </c>
      <c r="AC22" s="49" t="s">
        <v>2633</v>
      </c>
      <c r="AD22" s="4" t="s">
        <v>185</v>
      </c>
      <c r="AE22" s="7">
        <v>1</v>
      </c>
      <c r="AG22" s="7">
        <v>0</v>
      </c>
      <c r="AK22" s="70">
        <f>Table43[[#This Row],[Column4]]</f>
        <v>30032030060000</v>
      </c>
      <c r="AN22" s="7">
        <f>Table43[[#This Row],[ISI/CTN]]</f>
        <v>72</v>
      </c>
      <c r="AO22" s="61">
        <f>Table43[[#This Row],[Harga Jual Pcs GT
(-PPN)]]-(Table43[[#This Row],[Harga Jual Pcs GT
(-PPN)]]*6.5%)</f>
        <v>11033</v>
      </c>
      <c r="AP22" s="61">
        <f>Table43[[#This Row],[Harga Beli Pcs
(-PPN)]]*Table43[[#This Row],[ISI/CTN]]</f>
        <v>794376</v>
      </c>
      <c r="AQ22" s="61">
        <f>Table43[[#This Row],[Harga Beli Pcs
(-PPN)]]*1.11</f>
        <v>12246.630000000001</v>
      </c>
      <c r="AR22" s="61">
        <f>Table43[[#This Row],[Harga Beli Krt
(- PPN)]]*1.11</f>
        <v>881757.3600000001</v>
      </c>
      <c r="AS22" s="61">
        <v>11800</v>
      </c>
      <c r="AT22" s="61">
        <f>Table43[[#This Row],[Harga Jual Pcs GT
(-PPN)]]*Table43[[#This Row],[ISI/CTN]]</f>
        <v>849600</v>
      </c>
      <c r="AU22" s="61">
        <f>Table43[[#This Row],[Harga Jual Pcs GT
(-PPN)]]*1.11</f>
        <v>13098.000000000002</v>
      </c>
      <c r="AV22" s="61">
        <f>Table43[[#This Row],[Harga Jual Krt GT
(- PPN)]]*1.11</f>
        <v>943056.00000000012</v>
      </c>
      <c r="AW22" s="61">
        <f>IFERROR(VLOOKUP(Table43[[#This Row],[Kode Pcpl]],'[1]FEB 2026'!$A$3:$X$312,24,0),0)</f>
        <v>0</v>
      </c>
      <c r="AX22" s="61">
        <f>Table43[[#This Row],[Harga Jual Pcs MT
(-PPN)]]*Table43[[#This Row],[ISI/CTN]]</f>
        <v>0</v>
      </c>
      <c r="AY22" s="61">
        <f>Table43[[#This Row],[Harga Jual Pcs MT
(-PPN)]]*1.11</f>
        <v>0</v>
      </c>
      <c r="AZ22" s="61">
        <f>Table43[[#This Row],[Harga Jual Pcs MT
(+PPN)]]*Table43[[#This Row],[ISI/CTN]]</f>
        <v>0</v>
      </c>
      <c r="BA22" s="62">
        <f>(Table43[[#This Row],[Harga Jual Pcs GT
(-PPN)]]-Table43[[#This Row],[Harga Beli Pcs
(-PPN)]])/Table43[[#This Row],[Harga Jual Pcs GT
(-PPN)]]</f>
        <v>6.5000000000000002E-2</v>
      </c>
      <c r="BB22" s="63">
        <f>Table43[[#This Row],[Harga Jual Pcs MT
(-PPN)]]-Table43[[#This Row],[Harga Beli Pcs
(-PPN)]]</f>
        <v>-11033</v>
      </c>
      <c r="BC22" s="64" t="e">
        <f>Table43[[#This Row],[Column1]]/Table43[[#This Row],[Harga Jual Pcs MT
(-PPN)]]</f>
        <v>#DIV/0!</v>
      </c>
      <c r="BD22" s="52"/>
      <c r="BE22" s="7"/>
      <c r="BF22" s="7" t="str">
        <f ca="1">IF(TODAY()-Table43[[#This Row],[Efektif
Pembuatan]]&gt;60,"Lama","Baru")</f>
        <v>Lama</v>
      </c>
      <c r="BG22" s="7" t="str">
        <f ca="1">IF(TODAY()-Table43[[#This Row],[Efektif Naik Harga]]&lt;30,"Naik","Sama")</f>
        <v>Sama</v>
      </c>
      <c r="BH22" s="7"/>
      <c r="BI22" s="7" t="str">
        <f>IF(Table43[[#This Row],[Kode BARANG Win2]]&lt;&gt;"","IDR","")</f>
        <v>IDR</v>
      </c>
      <c r="BJ22" s="7" t="str">
        <f>CONCATENATE(Table43[[#This Row],[kode  1 Digit
(Nomor)]],Table43[[#This Row],[kode  4 Digit                (Nomor)]])</f>
        <v>0060</v>
      </c>
      <c r="BK22" s="7" t="str">
        <f>Table43[[#This Row],[Nama            Gramasi atau Jumlah Pack per CTN]]</f>
        <v>60GR</v>
      </c>
      <c r="BL22" s="7"/>
      <c r="BM22" s="7"/>
      <c r="BN22" s="4" t="str">
        <f>IF(Table43[[#This Row],[SATUAN Fix Win]]&lt;&gt;"","KRT")</f>
        <v>KRT</v>
      </c>
      <c r="BO22" s="4" t="str">
        <f>IF(Table43[[#This Row],[SATUAN Fix Win]]&lt;&gt;"","GD01")</f>
        <v>GD01</v>
      </c>
      <c r="BP22" s="4">
        <f>IF(Table43[[#This Row],[SATUAN Fix Win]]&lt;&gt;"",11611)</f>
        <v>11611</v>
      </c>
      <c r="BQ22" s="4">
        <f>IF(Table43[[#This Row],[SATUAN Fix Win]]&lt;&gt;"",11612)</f>
        <v>11612</v>
      </c>
      <c r="BS22" s="4">
        <f>IF(Table43[[#This Row],[SATUAN Fix Win]]&lt;&gt;"",1)</f>
        <v>1</v>
      </c>
      <c r="BU22" s="4">
        <f>Table43[[#This Row],[ISI/CTN]]</f>
        <v>72</v>
      </c>
    </row>
    <row r="23" spans="1:75">
      <c r="A23" s="4" t="str">
        <f>CONCATENATE(Table43[[#This Row],[Kode BARANG Win2]],Table43[[#This Row],[No. Urut
Item Sama]])</f>
        <v>G1032001006010</v>
      </c>
      <c r="B23" s="7"/>
      <c r="C23" s="31"/>
      <c r="D23" s="51">
        <v>40029423</v>
      </c>
      <c r="E23" s="27"/>
      <c r="F23" s="51"/>
      <c r="G23" s="51"/>
      <c r="H23" s="27"/>
      <c r="I23" s="60">
        <v>72</v>
      </c>
      <c r="J23" s="59" t="s">
        <v>1574</v>
      </c>
      <c r="K23" s="27" t="str">
        <f>Table43[[#This Row],[NamaJenisKemasan]]</f>
        <v>PCS</v>
      </c>
      <c r="L23" s="4" t="str">
        <f>TRIM(CONCATENATE(Table43[[#This Row],[Nama            KLP]]," ",Table43[[#This Row],[Nama            Sub KLP]]))</f>
        <v>CAP GAJAH LEM TIKUS</v>
      </c>
      <c r="M23" s="4" t="str">
        <f>CONCATENATE(Table43[[#This Row],[kode  2 Digit                (hrf+No)]],Table43[[#This Row],[kode  2 Digit                (Nomor)]],Table43[[#This Row],[kode  1 Digit                (Nomor)]])</f>
        <v>G1032</v>
      </c>
      <c r="N23" s="4" t="str">
        <f>IF(AI23="",CONCATENATE(S23,U23,W23,Y23,AA23,AC23,AE23,AG23,Table43[[#This Row],[Tanda Kode Revisi]]),CONCATENATE(S23,U23,W23,Y23,AA23,AC23,AE23,AI23))</f>
        <v>G1032001006010</v>
      </c>
      <c r="O23" s="11">
        <f>LEN(N23)</f>
        <v>14</v>
      </c>
      <c r="P23" s="14" t="str">
        <f>IF(AH23&lt;&gt;"",TRIM(UPPER(CONCATENATE(R23," ",T23," ",V23," ",X23," ",Z23," ",AB23," ","X"," ",Table43[[#This Row],[ISI/CTN]]," ",AH23," ",AD23," ",AF23," ",AJ23))),TRIM(UPPER(CONCATENATE(R23," ",T23," ",V23," ",X23," ",Z23," ",AB23," ","X"," ",Table43[[#This Row],[ISI/CTN]]," ",AD23," ",AF23," ",AJ23))))</f>
        <v>CAP GAJAH LEM TIKUS TRAP 60GR X 72 PCS</v>
      </c>
      <c r="Q23" s="11">
        <f>LEN(P23)</f>
        <v>38</v>
      </c>
      <c r="S23" s="7" t="s">
        <v>34</v>
      </c>
      <c r="T23" s="4" t="s">
        <v>2253</v>
      </c>
      <c r="U23" s="47" t="s">
        <v>2538</v>
      </c>
      <c r="V23" s="48" t="s">
        <v>2512</v>
      </c>
      <c r="W23" s="7">
        <v>2</v>
      </c>
      <c r="X23" s="48"/>
      <c r="Y23" s="47" t="s">
        <v>1116</v>
      </c>
      <c r="Z23" s="4" t="s">
        <v>2256</v>
      </c>
      <c r="AA23" s="49" t="s">
        <v>1115</v>
      </c>
      <c r="AB23" s="4" t="s">
        <v>2510</v>
      </c>
      <c r="AC23" s="49" t="s">
        <v>2633</v>
      </c>
      <c r="AD23" s="4" t="s">
        <v>185</v>
      </c>
      <c r="AE23" s="7">
        <v>1</v>
      </c>
      <c r="AG23" s="7">
        <v>0</v>
      </c>
      <c r="AK23" s="70">
        <f>Table43[[#This Row],[Column4]]</f>
        <v>0</v>
      </c>
      <c r="AN23" s="7">
        <f>Table43[[#This Row],[ISI/CTN]]</f>
        <v>72</v>
      </c>
      <c r="AO23" s="61">
        <f>Table43[[#This Row],[Harga Jual Pcs GT
(-PPN)]]-(Table43[[#This Row],[Harga Jual Pcs GT
(-PPN)]]*6.5%)</f>
        <v>0</v>
      </c>
      <c r="AP23" s="61">
        <f>Table43[[#This Row],[Harga Beli Pcs
(-PPN)]]*Table43[[#This Row],[ISI/CTN]]</f>
        <v>0</v>
      </c>
      <c r="AQ23" s="61">
        <f>Table43[[#This Row],[Harga Beli Pcs
(-PPN)]]*1.11</f>
        <v>0</v>
      </c>
      <c r="AR23" s="61">
        <f>Table43[[#This Row],[Harga Beli Krt
(- PPN)]]*1.11</f>
        <v>0</v>
      </c>
      <c r="AS23" s="61"/>
      <c r="AT23" s="61">
        <f>Table43[[#This Row],[Harga Jual Pcs GT
(-PPN)]]*Table43[[#This Row],[ISI/CTN]]</f>
        <v>0</v>
      </c>
      <c r="AU23" s="61">
        <f>Table43[[#This Row],[Harga Jual Pcs GT
(-PPN)]]*1.11</f>
        <v>0</v>
      </c>
      <c r="AV23" s="61">
        <f>Table43[[#This Row],[Harga Jual Krt GT
(- PPN)]]*1.11</f>
        <v>0</v>
      </c>
      <c r="AW23" s="61">
        <f>IFERROR(VLOOKUP(Table43[[#This Row],[Kode Pcpl]],'[1]FEB 2026'!$A$3:$X$312,24,0),0)</f>
        <v>0</v>
      </c>
      <c r="AX23" s="61">
        <f>Table43[[#This Row],[Harga Jual Pcs MT
(-PPN)]]*Table43[[#This Row],[ISI/CTN]]</f>
        <v>0</v>
      </c>
      <c r="AY23" s="61">
        <f>Table43[[#This Row],[Harga Jual Pcs MT
(-PPN)]]*1.11</f>
        <v>0</v>
      </c>
      <c r="AZ23" s="61">
        <f>Table43[[#This Row],[Harga Jual Pcs MT
(+PPN)]]*Table43[[#This Row],[ISI/CTN]]</f>
        <v>0</v>
      </c>
      <c r="BA23" s="62" t="e">
        <f>(Table43[[#This Row],[Harga Jual Pcs GT
(-PPN)]]-Table43[[#This Row],[Harga Beli Pcs
(-PPN)]])/Table43[[#This Row],[Harga Jual Pcs GT
(-PPN)]]</f>
        <v>#DIV/0!</v>
      </c>
      <c r="BB23" s="63">
        <f>Table43[[#This Row],[Harga Jual Pcs MT
(-PPN)]]-Table43[[#This Row],[Harga Beli Pcs
(-PPN)]]</f>
        <v>0</v>
      </c>
      <c r="BC23" s="64" t="e">
        <f>Table43[[#This Row],[Column1]]/Table43[[#This Row],[Harga Jual Pcs MT
(-PPN)]]</f>
        <v>#DIV/0!</v>
      </c>
      <c r="BD23" s="52"/>
      <c r="BE23" s="7"/>
      <c r="BF23" s="7" t="str">
        <f ca="1">IF(TODAY()-Table43[[#This Row],[Efektif
Pembuatan]]&gt;60,"Lama","Baru")</f>
        <v>Lama</v>
      </c>
      <c r="BG23" s="7" t="str">
        <f ca="1">IF(TODAY()-Table43[[#This Row],[Efektif Naik Harga]]&lt;30,"Naik","Sama")</f>
        <v>Sama</v>
      </c>
      <c r="BH23" s="7"/>
      <c r="BI23" s="7" t="str">
        <f>IF(Table43[[#This Row],[Kode BARANG Win2]]&lt;&gt;"","IDR","")</f>
        <v>IDR</v>
      </c>
      <c r="BJ23" s="7" t="str">
        <f>CONCATENATE(Table43[[#This Row],[kode  1 Digit
(Nomor)]],Table43[[#This Row],[kode  4 Digit                (Nomor)]])</f>
        <v>0060</v>
      </c>
      <c r="BK23" s="7" t="str">
        <f>Table43[[#This Row],[Nama            Gramasi atau Jumlah Pack per CTN]]</f>
        <v>60GR</v>
      </c>
      <c r="BL23" s="7"/>
      <c r="BM23" s="7"/>
      <c r="BN23" s="4" t="str">
        <f>IF(Table43[[#This Row],[SATUAN Fix Win]]&lt;&gt;"","KRT")</f>
        <v>KRT</v>
      </c>
      <c r="BO23" s="4" t="str">
        <f>IF(Table43[[#This Row],[SATUAN Fix Win]]&lt;&gt;"","GD01")</f>
        <v>GD01</v>
      </c>
      <c r="BP23" s="4">
        <f>IF(Table43[[#This Row],[SATUAN Fix Win]]&lt;&gt;"",11611)</f>
        <v>11611</v>
      </c>
      <c r="BQ23" s="4">
        <f>IF(Table43[[#This Row],[SATUAN Fix Win]]&lt;&gt;"",11612)</f>
        <v>11612</v>
      </c>
      <c r="BS23" s="4">
        <f>IF(Table43[[#This Row],[SATUAN Fix Win]]&lt;&gt;"",1)</f>
        <v>1</v>
      </c>
      <c r="BU23" s="4">
        <f>Table43[[#This Row],[ISI/CTN]]</f>
        <v>72</v>
      </c>
    </row>
    <row r="24" spans="1:75">
      <c r="A24" s="4" t="str">
        <f>CONCATENATE(Table43[[#This Row],[Kode BARANG Win2]],Table43[[#This Row],[No. Urut
Item Sama]])</f>
        <v>G1032001007010</v>
      </c>
      <c r="B24" s="7"/>
      <c r="C24" s="31">
        <v>30032030070000</v>
      </c>
      <c r="D24" s="51">
        <v>40017673</v>
      </c>
      <c r="E24" s="66" t="s">
        <v>2471</v>
      </c>
      <c r="F24" s="68">
        <v>30032030070000</v>
      </c>
      <c r="G24" s="68">
        <v>0</v>
      </c>
      <c r="H24" s="27">
        <v>0</v>
      </c>
      <c r="I24" s="27">
        <v>72</v>
      </c>
      <c r="J24" s="51">
        <v>0</v>
      </c>
      <c r="K24" s="27" t="str">
        <f>Table43[[#This Row],[NamaJenisKemasan]]</f>
        <v>PCS</v>
      </c>
      <c r="L24" s="4" t="str">
        <f>TRIM(CONCATENATE(Table43[[#This Row],[Nama            KLP]]," ",Table43[[#This Row],[Nama            Sub KLP]]))</f>
        <v>CAP GAJAH LEM TIKUS</v>
      </c>
      <c r="M24" s="4" t="str">
        <f>CONCATENATE(Table43[[#This Row],[kode  2 Digit                (hrf+No)]],Table43[[#This Row],[kode  2 Digit                (Nomor)]],Table43[[#This Row],[kode  1 Digit                (Nomor)]])</f>
        <v>G1032</v>
      </c>
      <c r="N24" s="4" t="str">
        <f>IF(AI24="",CONCATENATE(S24,U24,W24,Y24,AA24,AC24,AE24,AG24,Table43[[#This Row],[Tanda Kode Revisi]]),CONCATENATE(S24,U24,W24,Y24,AA24,AC24,AE24,AI24))</f>
        <v>G1032001007010</v>
      </c>
      <c r="O24" s="11">
        <f t="shared" si="0"/>
        <v>14</v>
      </c>
      <c r="P24" s="14" t="str">
        <f>IF(AH24&lt;&gt;"",TRIM(UPPER(CONCATENATE(R24," ",T24," ",V24," ",X24," ",Z24," ",AB24," ","X"," ",Table43[[#This Row],[ISI/CTN]]," ",AH24," ",AD24," ",AF24," ",AJ24))),TRIM(UPPER(CONCATENATE(R24," ",T24," ",V24," ",X24," ",Z24," ",AB24," ","X"," ",Table43[[#This Row],[ISI/CTN]]," ",AD24," ",AF24," ",AJ24))))</f>
        <v>CAP GAJAH LEM TIKUS TRAP 70GR X 72 PCS</v>
      </c>
      <c r="Q24" s="11">
        <f t="shared" si="1"/>
        <v>38</v>
      </c>
      <c r="S24" s="7" t="s">
        <v>34</v>
      </c>
      <c r="T24" s="4" t="s">
        <v>2253</v>
      </c>
      <c r="U24" s="47" t="s">
        <v>2538</v>
      </c>
      <c r="V24" s="48" t="s">
        <v>2512</v>
      </c>
      <c r="W24" s="7">
        <v>2</v>
      </c>
      <c r="X24" s="48"/>
      <c r="Y24" s="47" t="s">
        <v>1116</v>
      </c>
      <c r="Z24" s="4" t="s">
        <v>2256</v>
      </c>
      <c r="AA24" s="49" t="s">
        <v>1115</v>
      </c>
      <c r="AB24" s="4" t="s">
        <v>2509</v>
      </c>
      <c r="AC24" s="49" t="s">
        <v>2636</v>
      </c>
      <c r="AD24" s="4" t="s">
        <v>185</v>
      </c>
      <c r="AE24" s="7">
        <v>1</v>
      </c>
      <c r="AG24" s="7">
        <v>0</v>
      </c>
      <c r="AK24" s="70">
        <f>Table43[[#This Row],[Column4]]</f>
        <v>30032030070000</v>
      </c>
      <c r="AN24" s="7">
        <f>Table43[[#This Row],[ISI/CTN]]</f>
        <v>72</v>
      </c>
      <c r="AO24" s="38">
        <f>Table43[[#This Row],[Harga Jual Pcs GT
(-PPN)]]-(Table43[[#This Row],[Harga Jual Pcs GT
(-PPN)]]*6.5%)</f>
        <v>11033</v>
      </c>
      <c r="AP24" s="38">
        <f>Table43[[#This Row],[Harga Beli Pcs
(-PPN)]]*Table43[[#This Row],[ISI/CTN]]</f>
        <v>794376</v>
      </c>
      <c r="AQ24" s="38">
        <f>Table43[[#This Row],[Harga Beli Pcs
(-PPN)]]*1.11</f>
        <v>12246.630000000001</v>
      </c>
      <c r="AR24" s="38">
        <f>Table43[[#This Row],[Harga Beli Krt
(- PPN)]]*1.11</f>
        <v>881757.3600000001</v>
      </c>
      <c r="AS24" s="38">
        <v>11800</v>
      </c>
      <c r="AT24" s="38">
        <f>Table43[[#This Row],[Harga Jual Pcs GT
(-PPN)]]*Table43[[#This Row],[ISI/CTN]]</f>
        <v>849600</v>
      </c>
      <c r="AU24" s="38">
        <f>Table43[[#This Row],[Harga Jual Pcs GT
(-PPN)]]*1.11</f>
        <v>13098.000000000002</v>
      </c>
      <c r="AV24" s="38">
        <f>Table43[[#This Row],[Harga Jual Krt GT
(- PPN)]]*1.11</f>
        <v>943056.00000000012</v>
      </c>
      <c r="AW24" s="38">
        <f>IFERROR(VLOOKUP(Table43[[#This Row],[Kode Pcpl]],'[1]FEB 2026'!$A$3:$X$312,24,0),0)</f>
        <v>0</v>
      </c>
      <c r="AX24" s="38">
        <f>Table43[[#This Row],[Harga Jual Pcs MT
(-PPN)]]*Table43[[#This Row],[ISI/CTN]]</f>
        <v>0</v>
      </c>
      <c r="AY24" s="38">
        <f>Table43[[#This Row],[Harga Jual Pcs MT
(-PPN)]]*1.11</f>
        <v>0</v>
      </c>
      <c r="AZ24" s="38">
        <f>Table43[[#This Row],[Harga Jual Pcs MT
(+PPN)]]*Table43[[#This Row],[ISI/CTN]]</f>
        <v>0</v>
      </c>
      <c r="BA24" s="46">
        <f>(Table43[[#This Row],[Harga Jual Pcs GT
(-PPN)]]-Table43[[#This Row],[Harga Beli Pcs
(-PPN)]])/Table43[[#This Row],[Harga Jual Pcs GT
(-PPN)]]</f>
        <v>6.5000000000000002E-2</v>
      </c>
      <c r="BB24" s="53">
        <f>Table43[[#This Row],[Harga Jual Pcs MT
(-PPN)]]-Table43[[#This Row],[Harga Beli Pcs
(-PPN)]]</f>
        <v>-11033</v>
      </c>
      <c r="BC24" s="54" t="e">
        <f>Table43[[#This Row],[Column1]]/Table43[[#This Row],[Harga Jual Pcs MT
(-PPN)]]</f>
        <v>#DIV/0!</v>
      </c>
      <c r="BD24" s="52"/>
      <c r="BE24" s="7"/>
      <c r="BF24" s="7" t="str">
        <f ca="1">IF(TODAY()-Table43[[#This Row],[Efektif
Pembuatan]]&gt;60,"Lama","Baru")</f>
        <v>Lama</v>
      </c>
      <c r="BG24" s="7" t="str">
        <f ca="1">IF(TODAY()-Table43[[#This Row],[Efektif Naik Harga]]&lt;30,"Naik","Sama")</f>
        <v>Sama</v>
      </c>
      <c r="BH24" s="7"/>
      <c r="BI24" s="7" t="str">
        <f>IF(Table43[[#This Row],[Kode BARANG Win2]]&lt;&gt;"","IDR","")</f>
        <v>IDR</v>
      </c>
      <c r="BJ24" s="7" t="str">
        <f>CONCATENATE(Table43[[#This Row],[kode  1 Digit
(Nomor)]],Table43[[#This Row],[kode  4 Digit                (Nomor)]])</f>
        <v>0070</v>
      </c>
      <c r="BK24" s="7" t="str">
        <f>Table43[[#This Row],[Nama            Gramasi atau Jumlah Pack per CTN]]</f>
        <v>70GR</v>
      </c>
      <c r="BL24" s="7"/>
      <c r="BM24" s="7"/>
      <c r="BN24" s="4" t="str">
        <f>IF(Table43[[#This Row],[SATUAN Fix Win]]&lt;&gt;"","KRT")</f>
        <v>KRT</v>
      </c>
      <c r="BO24" s="4" t="str">
        <f>IF(Table43[[#This Row],[SATUAN Fix Win]]&lt;&gt;"","GD01")</f>
        <v>GD01</v>
      </c>
      <c r="BP24" s="4">
        <f>IF(Table43[[#This Row],[SATUAN Fix Win]]&lt;&gt;"",11611)</f>
        <v>11611</v>
      </c>
      <c r="BQ24" s="4">
        <f>IF(Table43[[#This Row],[SATUAN Fix Win]]&lt;&gt;"",11612)</f>
        <v>11612</v>
      </c>
      <c r="BS24" s="4">
        <f>IF(Table43[[#This Row],[SATUAN Fix Win]]&lt;&gt;"",1)</f>
        <v>1</v>
      </c>
      <c r="BU24" s="4">
        <f>Table43[[#This Row],[ISI/CTN]]</f>
        <v>72</v>
      </c>
    </row>
    <row r="25" spans="1:75">
      <c r="A25" s="4" t="str">
        <f>CONCATENATE(Table43[[#This Row],[Kode BARANG Win2]],Table43[[#This Row],[No. Urut
Item Sama]])</f>
        <v>G1032101006011</v>
      </c>
      <c r="B25" s="7"/>
      <c r="C25" s="31">
        <v>30032030060001</v>
      </c>
      <c r="D25" s="51">
        <v>40034355</v>
      </c>
      <c r="E25" s="66" t="s">
        <v>2461</v>
      </c>
      <c r="F25" s="68">
        <v>30032030060001</v>
      </c>
      <c r="G25" s="68">
        <v>0</v>
      </c>
      <c r="H25" s="27">
        <v>0</v>
      </c>
      <c r="I25" s="27">
        <v>12</v>
      </c>
      <c r="J25" s="51">
        <v>0</v>
      </c>
      <c r="K25" s="27" t="str">
        <f>Table43[[#This Row],[NamaJenisKemasan]]</f>
        <v>PCS</v>
      </c>
      <c r="L25" s="4" t="str">
        <f>TRIM(CONCATENATE(Table43[[#This Row],[Nama            KLP]]," ",Table43[[#This Row],[Nama            Sub KLP]]))</f>
        <v>CAP GAJAH LEM TIKUS</v>
      </c>
      <c r="M25" s="4" t="str">
        <f>CONCATENATE(Table43[[#This Row],[kode  2 Digit                (hrf+No)]],Table43[[#This Row],[kode  2 Digit                (Nomor)]],Table43[[#This Row],[kode  1 Digit                (Nomor)]])</f>
        <v>G1032</v>
      </c>
      <c r="N25" s="4" t="str">
        <f>IF(AI25="",CONCATENATE(S25,U25,W25,Y25,AA25,AC25,AE25,AG25,Table43[[#This Row],[Tanda Kode Revisi]]),CONCATENATE(S25,U25,W25,Y25,AA25,AC25,AE25,AI25))</f>
        <v>G1032101006011</v>
      </c>
      <c r="O25" s="11">
        <f t="shared" si="0"/>
        <v>14</v>
      </c>
      <c r="P25" s="14" t="str">
        <f>IF(AH25&lt;&gt;"",TRIM(UPPER(CONCATENATE(R25," ",T25," ",V25," ",X25," ",Z25," ",AB25," ","X"," ",Table43[[#This Row],[ISI/CTN]]," ",AH25," ",AD25," ",AF25," ",AJ25))),TRIM(UPPER(CONCATENATE(R25," ",T25," ",V25," ",X25," ",Z25," ",AB25," ","X"," ",Table43[[#This Row],[ISI/CTN]]," ",AD25," ",AF25," ",AJ25))))</f>
        <v>CAP GAJAH LEM TIKUS MULTI PACK TRAP 60GR X 12 PCS 5+1</v>
      </c>
      <c r="Q25" s="11">
        <f t="shared" si="1"/>
        <v>53</v>
      </c>
      <c r="S25" s="7" t="s">
        <v>34</v>
      </c>
      <c r="T25" s="4" t="s">
        <v>2253</v>
      </c>
      <c r="U25" s="47" t="s">
        <v>2538</v>
      </c>
      <c r="V25" s="48" t="s">
        <v>2512</v>
      </c>
      <c r="W25" s="7">
        <v>2</v>
      </c>
      <c r="X25" s="48" t="s">
        <v>2399</v>
      </c>
      <c r="Y25" s="47" t="s">
        <v>2539</v>
      </c>
      <c r="Z25" s="4" t="s">
        <v>2256</v>
      </c>
      <c r="AA25" s="49" t="s">
        <v>1115</v>
      </c>
      <c r="AB25" s="4" t="s">
        <v>2510</v>
      </c>
      <c r="AC25" s="49" t="s">
        <v>2633</v>
      </c>
      <c r="AD25" s="4" t="s">
        <v>185</v>
      </c>
      <c r="AE25" s="7">
        <v>1</v>
      </c>
      <c r="AF25" s="65" t="s">
        <v>2645</v>
      </c>
      <c r="AG25" s="7">
        <v>1</v>
      </c>
      <c r="AK25" s="70">
        <f>Table43[[#This Row],[Column4]]</f>
        <v>30032030060001</v>
      </c>
      <c r="AN25" s="7">
        <f>Table43[[#This Row],[ISI/CTN]]</f>
        <v>12</v>
      </c>
      <c r="AO25" s="38">
        <f>Table43[[#This Row],[Harga Jual Pcs GT
(-PPN)]]-(Table43[[#This Row],[Harga Jual Pcs GT
(-PPN)]]*6.5%)</f>
        <v>64159.7</v>
      </c>
      <c r="AP25" s="38">
        <f>Table43[[#This Row],[Harga Beli Pcs
(-PPN)]]*Table43[[#This Row],[ISI/CTN]]</f>
        <v>769916.39999999991</v>
      </c>
      <c r="AQ25" s="38">
        <f>Table43[[#This Row],[Harga Beli Pcs
(-PPN)]]*1.11</f>
        <v>71217.267000000007</v>
      </c>
      <c r="AR25" s="38">
        <f>Table43[[#This Row],[Harga Beli Krt
(- PPN)]]*1.11</f>
        <v>854607.20400000003</v>
      </c>
      <c r="AS25" s="38">
        <v>68620</v>
      </c>
      <c r="AT25" s="38">
        <f>Table43[[#This Row],[Harga Jual Pcs GT
(-PPN)]]*Table43[[#This Row],[ISI/CTN]]</f>
        <v>823440</v>
      </c>
      <c r="AU25" s="38">
        <f>Table43[[#This Row],[Harga Jual Pcs GT
(-PPN)]]*1.11</f>
        <v>76168.200000000012</v>
      </c>
      <c r="AV25" s="38">
        <f>Table43[[#This Row],[Harga Jual Krt GT
(- PPN)]]*1.11</f>
        <v>914018.4</v>
      </c>
      <c r="AW25" s="38">
        <f>IFERROR(VLOOKUP(Table43[[#This Row],[Kode Pcpl]],'[1]FEB 2026'!$A$3:$X$312,24,0),0)</f>
        <v>0</v>
      </c>
      <c r="AX25" s="38">
        <f>Table43[[#This Row],[Harga Jual Pcs MT
(-PPN)]]*Table43[[#This Row],[ISI/CTN]]</f>
        <v>0</v>
      </c>
      <c r="AY25" s="38">
        <f>Table43[[#This Row],[Harga Jual Pcs MT
(-PPN)]]*1.11</f>
        <v>0</v>
      </c>
      <c r="AZ25" s="38">
        <f>Table43[[#This Row],[Harga Jual Pcs MT
(+PPN)]]*Table43[[#This Row],[ISI/CTN]]</f>
        <v>0</v>
      </c>
      <c r="BA25" s="46">
        <f>(Table43[[#This Row],[Harga Jual Pcs GT
(-PPN)]]-Table43[[#This Row],[Harga Beli Pcs
(-PPN)]])/Table43[[#This Row],[Harga Jual Pcs GT
(-PPN)]]</f>
        <v>6.5000000000000044E-2</v>
      </c>
      <c r="BB25" s="53">
        <f>Table43[[#This Row],[Harga Jual Pcs MT
(-PPN)]]-Table43[[#This Row],[Harga Beli Pcs
(-PPN)]]</f>
        <v>-64159.7</v>
      </c>
      <c r="BC25" s="54" t="e">
        <f>Table43[[#This Row],[Column1]]/Table43[[#This Row],[Harga Jual Pcs MT
(-PPN)]]</f>
        <v>#DIV/0!</v>
      </c>
      <c r="BD25" s="52"/>
      <c r="BE25" s="7"/>
      <c r="BF25" s="7" t="str">
        <f ca="1">IF(TODAY()-Table43[[#This Row],[Efektif
Pembuatan]]&gt;60,"Lama","Baru")</f>
        <v>Lama</v>
      </c>
      <c r="BG25" s="7" t="str">
        <f ca="1">IF(TODAY()-Table43[[#This Row],[Efektif Naik Harga]]&lt;30,"Naik","Sama")</f>
        <v>Sama</v>
      </c>
      <c r="BH25" s="7"/>
      <c r="BI25" s="7" t="str">
        <f>IF(Table43[[#This Row],[Kode BARANG Win2]]&lt;&gt;"","IDR","")</f>
        <v>IDR</v>
      </c>
      <c r="BJ25" s="7" t="str">
        <f>CONCATENATE(Table43[[#This Row],[kode  1 Digit
(Nomor)]],Table43[[#This Row],[kode  4 Digit                (Nomor)]])</f>
        <v>0060</v>
      </c>
      <c r="BK25" s="7" t="str">
        <f>Table43[[#This Row],[Nama            Gramasi atau Jumlah Pack per CTN]]</f>
        <v>60GR</v>
      </c>
      <c r="BL25" s="7"/>
      <c r="BM25" s="7"/>
      <c r="BN25" s="4" t="str">
        <f>IF(Table43[[#This Row],[SATUAN Fix Win]]&lt;&gt;"","KRT")</f>
        <v>KRT</v>
      </c>
      <c r="BO25" s="4" t="str">
        <f>IF(Table43[[#This Row],[SATUAN Fix Win]]&lt;&gt;"","GD01")</f>
        <v>GD01</v>
      </c>
      <c r="BP25" s="4">
        <f>IF(Table43[[#This Row],[SATUAN Fix Win]]&lt;&gt;"",11611)</f>
        <v>11611</v>
      </c>
      <c r="BQ25" s="4">
        <f>IF(Table43[[#This Row],[SATUAN Fix Win]]&lt;&gt;"",11612)</f>
        <v>11612</v>
      </c>
      <c r="BS25" s="4">
        <f>IF(Table43[[#This Row],[SATUAN Fix Win]]&lt;&gt;"",1)</f>
        <v>1</v>
      </c>
      <c r="BU25" s="4">
        <f>Table43[[#This Row],[ISI/CTN]]</f>
        <v>12</v>
      </c>
    </row>
    <row r="26" spans="1:75">
      <c r="A26" s="4" t="str">
        <f>CONCATENATE(Table43[[#This Row],[Kode BARANG Win2]],Table43[[#This Row],[No. Urut
Item Sama]])</f>
        <v>G1032001075010</v>
      </c>
      <c r="B26" s="7"/>
      <c r="C26" s="31"/>
      <c r="D26" s="51">
        <v>40028405</v>
      </c>
      <c r="E26" s="27" t="s">
        <v>3489</v>
      </c>
      <c r="F26" s="51" t="s">
        <v>3490</v>
      </c>
      <c r="G26" s="51"/>
      <c r="H26" s="27"/>
      <c r="I26" s="27">
        <v>12</v>
      </c>
      <c r="J26" s="51"/>
      <c r="K26" s="27" t="str">
        <f>Table43[[#This Row],[NamaJenisKemasan]]</f>
        <v>PCS</v>
      </c>
      <c r="L26" s="4" t="str">
        <f>TRIM(CONCATENATE(Table43[[#This Row],[Nama            KLP]]," ",Table43[[#This Row],[Nama            Sub KLP]]))</f>
        <v>CAP GAJAH LEM TIKUS</v>
      </c>
      <c r="M26" s="4" t="str">
        <f>CONCATENATE(Table43[[#This Row],[kode  2 Digit                (hrf+No)]],Table43[[#This Row],[kode  2 Digit                (Nomor)]],Table43[[#This Row],[kode  1 Digit                (Nomor)]])</f>
        <v>G1032</v>
      </c>
      <c r="N26" s="4" t="str">
        <f>IF(AI26="",CONCATENATE(S26,U26,W26,Y26,AA26,AC26,AE26,AG26,Table43[[#This Row],[Tanda Kode Revisi]]),CONCATENATE(S26,U26,W26,Y26,AA26,AC26,AE26,AI26))</f>
        <v>G1032001075010</v>
      </c>
      <c r="O26" s="11">
        <f>LEN(N26)</f>
        <v>14</v>
      </c>
      <c r="P26" s="14" t="str">
        <f>IF(AH26&lt;&gt;"",TRIM(UPPER(CONCATENATE(R26," ",T26," ",V26," ",X26," ",Z26," ",AB26," ","X"," ",Table43[[#This Row],[ISI/CTN]]," ",AH26," ",AD26," ",AF26," ",AJ26))),TRIM(UPPER(CONCATENATE(R26," ",T26," ",V26," ",X26," ",Z26," ",AB26," ","X"," ",Table43[[#This Row],[ISI/CTN]]," ",AD26," ",AF26," ",AJ26))))</f>
        <v>CAP GAJAH LEM TIKUS TRAP 750GR X 12 PCS</v>
      </c>
      <c r="Q26" s="11">
        <f>LEN(P26)</f>
        <v>39</v>
      </c>
      <c r="S26" s="7" t="s">
        <v>34</v>
      </c>
      <c r="T26" s="4" t="s">
        <v>2253</v>
      </c>
      <c r="U26" s="47" t="s">
        <v>2538</v>
      </c>
      <c r="V26" s="48" t="s">
        <v>2512</v>
      </c>
      <c r="W26" s="7">
        <v>2</v>
      </c>
      <c r="X26" s="48"/>
      <c r="Y26" s="47" t="s">
        <v>1116</v>
      </c>
      <c r="Z26" s="4" t="s">
        <v>2256</v>
      </c>
      <c r="AA26" s="49" t="s">
        <v>1115</v>
      </c>
      <c r="AB26" s="4" t="s">
        <v>3491</v>
      </c>
      <c r="AC26" s="49" t="s">
        <v>2637</v>
      </c>
      <c r="AD26" s="4" t="s">
        <v>185</v>
      </c>
      <c r="AE26" s="7">
        <v>1</v>
      </c>
      <c r="AF26" s="65"/>
      <c r="AG26" s="7">
        <v>0</v>
      </c>
      <c r="AK26" s="70" t="str">
        <f>Table43[[#This Row],[Column4]]</f>
        <v>30033000750000</v>
      </c>
      <c r="AN26" s="7">
        <f>Table43[[#This Row],[ISI/CTN]]</f>
        <v>12</v>
      </c>
      <c r="AO26" s="38">
        <f>Table43[[#This Row],[Harga Jual Pcs GT
(-PPN)]]-(Table43[[#This Row],[Harga Jual Pcs GT
(-PPN)]]*6.5%)</f>
        <v>0</v>
      </c>
      <c r="AP26" s="38">
        <f>Table43[[#This Row],[Harga Beli Pcs
(-PPN)]]*Table43[[#This Row],[ISI/CTN]]</f>
        <v>0</v>
      </c>
      <c r="AQ26" s="38">
        <f>Table43[[#This Row],[Harga Beli Pcs
(-PPN)]]*1.11</f>
        <v>0</v>
      </c>
      <c r="AR26" s="38">
        <f>Table43[[#This Row],[Harga Beli Krt
(- PPN)]]*1.11</f>
        <v>0</v>
      </c>
      <c r="AS26" s="38"/>
      <c r="AT26" s="38">
        <f>Table43[[#This Row],[Harga Jual Pcs GT
(-PPN)]]*Table43[[#This Row],[ISI/CTN]]</f>
        <v>0</v>
      </c>
      <c r="AU26" s="38">
        <f>Table43[[#This Row],[Harga Jual Pcs GT
(-PPN)]]*1.11</f>
        <v>0</v>
      </c>
      <c r="AV26" s="38">
        <f>Table43[[#This Row],[Harga Jual Krt GT
(- PPN)]]*1.11</f>
        <v>0</v>
      </c>
      <c r="AW26" s="38">
        <f>IFERROR(VLOOKUP(Table43[[#This Row],[Kode Pcpl]],'[1]FEB 2026'!$A$3:$X$312,24,0),0)</f>
        <v>0</v>
      </c>
      <c r="AX26" s="38">
        <f>Table43[[#This Row],[Harga Jual Pcs MT
(-PPN)]]*Table43[[#This Row],[ISI/CTN]]</f>
        <v>0</v>
      </c>
      <c r="AY26" s="38">
        <f>Table43[[#This Row],[Harga Jual Pcs MT
(-PPN)]]*1.11</f>
        <v>0</v>
      </c>
      <c r="AZ26" s="38">
        <f>Table43[[#This Row],[Harga Jual Pcs MT
(+PPN)]]*Table43[[#This Row],[ISI/CTN]]</f>
        <v>0</v>
      </c>
      <c r="BA26" s="46" t="e">
        <f>(Table43[[#This Row],[Harga Jual Pcs GT
(-PPN)]]-Table43[[#This Row],[Harga Beli Pcs
(-PPN)]])/Table43[[#This Row],[Harga Jual Pcs GT
(-PPN)]]</f>
        <v>#DIV/0!</v>
      </c>
      <c r="BB26" s="53">
        <f>Table43[[#This Row],[Harga Jual Pcs MT
(-PPN)]]-Table43[[#This Row],[Harga Beli Pcs
(-PPN)]]</f>
        <v>0</v>
      </c>
      <c r="BC26" s="54" t="e">
        <f>Table43[[#This Row],[Column1]]/Table43[[#This Row],[Harga Jual Pcs MT
(-PPN)]]</f>
        <v>#DIV/0!</v>
      </c>
      <c r="BD26" s="52"/>
      <c r="BE26" s="7"/>
      <c r="BF26" s="7" t="str">
        <f ca="1">IF(TODAY()-Table43[[#This Row],[Efektif
Pembuatan]]&gt;60,"Lama","Baru")</f>
        <v>Lama</v>
      </c>
      <c r="BG26" s="7" t="str">
        <f ca="1">IF(TODAY()-Table43[[#This Row],[Efektif Naik Harga]]&lt;30,"Naik","Sama")</f>
        <v>Sama</v>
      </c>
      <c r="BH26" s="7"/>
      <c r="BI26" s="7" t="str">
        <f>IF(Table43[[#This Row],[Kode BARANG Win2]]&lt;&gt;"","IDR","")</f>
        <v>IDR</v>
      </c>
      <c r="BJ26" s="7" t="str">
        <f>CONCATENATE(Table43[[#This Row],[kode  1 Digit
(Nomor)]],Table43[[#This Row],[kode  4 Digit                (Nomor)]])</f>
        <v>0750</v>
      </c>
      <c r="BK26" s="7" t="str">
        <f>Table43[[#This Row],[Nama            Gramasi atau Jumlah Pack per CTN]]</f>
        <v>750GR</v>
      </c>
      <c r="BL26" s="7"/>
      <c r="BM26" s="7"/>
      <c r="BN26" s="4" t="str">
        <f>IF(Table43[[#This Row],[SATUAN Fix Win]]&lt;&gt;"","KRT")</f>
        <v>KRT</v>
      </c>
      <c r="BO26" s="4" t="str">
        <f>IF(Table43[[#This Row],[SATUAN Fix Win]]&lt;&gt;"","GD01")</f>
        <v>GD01</v>
      </c>
      <c r="BP26" s="4">
        <f>IF(Table43[[#This Row],[SATUAN Fix Win]]&lt;&gt;"",11611)</f>
        <v>11611</v>
      </c>
      <c r="BQ26" s="4">
        <f>IF(Table43[[#This Row],[SATUAN Fix Win]]&lt;&gt;"",11612)</f>
        <v>11612</v>
      </c>
      <c r="BS26" s="4">
        <f>IF(Table43[[#This Row],[SATUAN Fix Win]]&lt;&gt;"",1)</f>
        <v>1</v>
      </c>
      <c r="BU26" s="4">
        <f>Table43[[#This Row],[ISI/CTN]]</f>
        <v>12</v>
      </c>
    </row>
    <row r="27" spans="1:75">
      <c r="A27" s="4" t="str">
        <f>CONCATENATE(Table43[[#This Row],[Kode BARANG Win2]],Table43[[#This Row],[No. Urut
Item Sama]])</f>
        <v>G1041000017510</v>
      </c>
      <c r="B27" s="7"/>
      <c r="C27" s="31">
        <v>30031010003000</v>
      </c>
      <c r="D27" s="59">
        <v>40008251</v>
      </c>
      <c r="E27" s="60" t="s">
        <v>1883</v>
      </c>
      <c r="F27" s="59">
        <v>30040010175000</v>
      </c>
      <c r="G27" s="59">
        <v>0</v>
      </c>
      <c r="H27" s="60" t="s">
        <v>1132</v>
      </c>
      <c r="I27" s="60">
        <v>12</v>
      </c>
      <c r="J27" s="59" t="s">
        <v>1575</v>
      </c>
      <c r="K27" s="60" t="str">
        <f>Table43[[#This Row],[NamaJenisKemasan]]</f>
        <v>BTL</v>
      </c>
      <c r="L27" s="4" t="str">
        <f>TRIM(CONCATENATE(Table43[[#This Row],[Nama            KLP]]," ",Table43[[#This Row],[Nama            Sub KLP]]))</f>
        <v>CARRERA DASHBOARD CLEANER</v>
      </c>
      <c r="M27" s="4" t="str">
        <f>CONCATENATE(Table43[[#This Row],[kode  2 Digit                (hrf+No)]],Table43[[#This Row],[kode  2 Digit                (Nomor)]],Table43[[#This Row],[kode  1 Digit                (Nomor)]])</f>
        <v>G1041</v>
      </c>
      <c r="N27" s="4" t="str">
        <f>IF(AI27="",CONCATENATE(S27,U27,W27,Y27,AA27,AC27,AE27,AG27,Table43[[#This Row],[Tanda Kode Revisi]]),CONCATENATE(S27,U27,W27,Y27,AA27,AC27,AE27,AI27))</f>
        <v>G1041000017510</v>
      </c>
      <c r="O27" s="11">
        <f t="shared" si="0"/>
        <v>14</v>
      </c>
      <c r="P27" s="14" t="str">
        <f>IF(AH27&lt;&gt;"",TRIM(UPPER(CONCATENATE(R27," ",T27," ",V27," ",X27," ",Z27," ",AB27," ","X"," ",Table43[[#This Row],[ISI/CTN]]," ",AH27," ",AD27," ",AF27," ",AJ27))),TRIM(UPPER(CONCATENATE(R27," ",T27," ",V27," ",X27," ",Z27," ",AB27," ","X"," ",Table43[[#This Row],[ISI/CTN]]," ",AD27," ",AF27," ",AJ27))))</f>
        <v>CARRERA DASHBOARD CLEANER 175ML X 12 BTL</v>
      </c>
      <c r="Q27" s="11">
        <f t="shared" si="1"/>
        <v>40</v>
      </c>
      <c r="S27" s="7" t="s">
        <v>34</v>
      </c>
      <c r="T27" s="4" t="s">
        <v>2211</v>
      </c>
      <c r="U27" s="47" t="s">
        <v>2540</v>
      </c>
      <c r="V27" s="48" t="s">
        <v>2213</v>
      </c>
      <c r="W27" s="7">
        <v>1</v>
      </c>
      <c r="X27" s="48"/>
      <c r="Y27" s="47" t="s">
        <v>1116</v>
      </c>
      <c r="AA27" s="49" t="s">
        <v>1117</v>
      </c>
      <c r="AB27" s="4" t="s">
        <v>2214</v>
      </c>
      <c r="AC27" s="49" t="s">
        <v>2600</v>
      </c>
      <c r="AD27" s="4" t="s">
        <v>647</v>
      </c>
      <c r="AE27" s="7">
        <v>1</v>
      </c>
      <c r="AG27" s="7">
        <v>0</v>
      </c>
      <c r="AK27" s="70">
        <f>Table43[[#This Row],[Column4]]</f>
        <v>30040010175000</v>
      </c>
      <c r="AN27" s="7">
        <f>Table43[[#This Row],[ISI/CTN]]</f>
        <v>12</v>
      </c>
      <c r="AO27" s="61">
        <f>Table43[[#This Row],[Harga Jual Pcs GT
(-PPN)]]-(Table43[[#This Row],[Harga Jual Pcs GT
(-PPN)]]*6.5%)</f>
        <v>18297.95</v>
      </c>
      <c r="AP27" s="61">
        <f>Table43[[#This Row],[Harga Beli Pcs
(-PPN)]]*Table43[[#This Row],[ISI/CTN]]</f>
        <v>219575.40000000002</v>
      </c>
      <c r="AQ27" s="61">
        <f>Table43[[#This Row],[Harga Beli Pcs
(-PPN)]]*1.11</f>
        <v>20310.724500000004</v>
      </c>
      <c r="AR27" s="61">
        <f>Table43[[#This Row],[Harga Beli Krt
(- PPN)]]*1.11</f>
        <v>243728.69400000005</v>
      </c>
      <c r="AS27" s="61">
        <v>19570</v>
      </c>
      <c r="AT27" s="61">
        <f>Table43[[#This Row],[Harga Jual Pcs GT
(-PPN)]]*Table43[[#This Row],[ISI/CTN]]</f>
        <v>234840</v>
      </c>
      <c r="AU27" s="61">
        <f>Table43[[#This Row],[Harga Jual Pcs GT
(-PPN)]]*1.11</f>
        <v>21722.7</v>
      </c>
      <c r="AV27" s="61">
        <f>Table43[[#This Row],[Harga Jual Krt GT
(- PPN)]]*1.11</f>
        <v>260672.40000000002</v>
      </c>
      <c r="AW27" s="61">
        <f>IFERROR(VLOOKUP(Table43[[#This Row],[Kode Pcpl]],'[1]FEB 2026'!$A$3:$X$312,24,0),0)</f>
        <v>0</v>
      </c>
      <c r="AX27" s="61">
        <f>Table43[[#This Row],[Harga Jual Pcs MT
(-PPN)]]*Table43[[#This Row],[ISI/CTN]]</f>
        <v>0</v>
      </c>
      <c r="AY27" s="61">
        <f>Table43[[#This Row],[Harga Jual Pcs MT
(-PPN)]]*1.11</f>
        <v>0</v>
      </c>
      <c r="AZ27" s="61">
        <f>Table43[[#This Row],[Harga Jual Pcs MT
(+PPN)]]*Table43[[#This Row],[ISI/CTN]]</f>
        <v>0</v>
      </c>
      <c r="BA27" s="62">
        <f>(Table43[[#This Row],[Harga Jual Pcs GT
(-PPN)]]-Table43[[#This Row],[Harga Beli Pcs
(-PPN)]])/Table43[[#This Row],[Harga Jual Pcs GT
(-PPN)]]</f>
        <v>6.4999999999999961E-2</v>
      </c>
      <c r="BB27" s="63">
        <f>Table43[[#This Row],[Harga Jual Pcs MT
(-PPN)]]-Table43[[#This Row],[Harga Beli Pcs
(-PPN)]]</f>
        <v>-18297.95</v>
      </c>
      <c r="BC27" s="64" t="e">
        <f>Table43[[#This Row],[Column1]]/Table43[[#This Row],[Harga Jual Pcs MT
(-PPN)]]</f>
        <v>#DIV/0!</v>
      </c>
      <c r="BD27" s="52"/>
      <c r="BE27" s="7"/>
      <c r="BF27" s="7" t="str">
        <f ca="1">IF(TODAY()-Table43[[#This Row],[Efektif
Pembuatan]]&gt;60,"Lama","Baru")</f>
        <v>Lama</v>
      </c>
      <c r="BG27" s="7" t="str">
        <f ca="1">IF(TODAY()-Table43[[#This Row],[Efektif Naik Harga]]&lt;30,"Naik","Sama")</f>
        <v>Sama</v>
      </c>
      <c r="BH27" s="7"/>
      <c r="BI27" s="7" t="str">
        <f>IF(Table43[[#This Row],[Kode BARANG Win2]]&lt;&gt;"","IDR","")</f>
        <v>IDR</v>
      </c>
      <c r="BJ27" s="7" t="str">
        <f>CONCATENATE(Table43[[#This Row],[kode  1 Digit
(Nomor)]],Table43[[#This Row],[kode  4 Digit                (Nomor)]])</f>
        <v>0175</v>
      </c>
      <c r="BK27" s="7" t="str">
        <f>Table43[[#This Row],[Nama            Gramasi atau Jumlah Pack per CTN]]</f>
        <v>175ML</v>
      </c>
      <c r="BL27" s="7"/>
      <c r="BM27" s="7"/>
      <c r="BN27" s="4" t="str">
        <f>IF(Table43[[#This Row],[SATUAN Fix Win]]&lt;&gt;"","KRT")</f>
        <v>KRT</v>
      </c>
      <c r="BO27" s="4" t="str">
        <f>IF(Table43[[#This Row],[SATUAN Fix Win]]&lt;&gt;"","GD01")</f>
        <v>GD01</v>
      </c>
      <c r="BP27" s="4">
        <f>IF(Table43[[#This Row],[SATUAN Fix Win]]&lt;&gt;"",11611)</f>
        <v>11611</v>
      </c>
      <c r="BQ27" s="4">
        <f>IF(Table43[[#This Row],[SATUAN Fix Win]]&lt;&gt;"",11612)</f>
        <v>11612</v>
      </c>
      <c r="BS27" s="4">
        <f>IF(Table43[[#This Row],[SATUAN Fix Win]]&lt;&gt;"",1)</f>
        <v>1</v>
      </c>
      <c r="BU27" s="4">
        <f>Table43[[#This Row],[ISI/CTN]]</f>
        <v>12</v>
      </c>
    </row>
    <row r="28" spans="1:75">
      <c r="A28" s="4" t="str">
        <f>CONCATENATE(Table43[[#This Row],[Kode BARANG Win2]],Table43[[#This Row],[No. Urut
Item Sama]])</f>
        <v>G1042001011010</v>
      </c>
      <c r="B28" s="7"/>
      <c r="C28" s="31">
        <v>30031020012000</v>
      </c>
      <c r="D28" s="51">
        <v>40008813</v>
      </c>
      <c r="E28" s="27" t="s">
        <v>1886</v>
      </c>
      <c r="F28" s="51">
        <v>30042030110000</v>
      </c>
      <c r="G28" s="51">
        <v>0</v>
      </c>
      <c r="H28" s="27" t="s">
        <v>1135</v>
      </c>
      <c r="I28" s="27">
        <v>12</v>
      </c>
      <c r="J28" s="51" t="s">
        <v>1578</v>
      </c>
      <c r="K28" s="27" t="str">
        <f>Table43[[#This Row],[NamaJenisKemasan]]</f>
        <v>BTL</v>
      </c>
      <c r="L28" s="4" t="str">
        <f>TRIM(CONCATENATE(Table43[[#This Row],[Nama            KLP]]," ",Table43[[#This Row],[Nama            Sub KLP]]))</f>
        <v>CARRERA MOTOR CHAIN</v>
      </c>
      <c r="M28" s="4" t="str">
        <f>CONCATENATE(Table43[[#This Row],[kode  2 Digit                (hrf+No)]],Table43[[#This Row],[kode  2 Digit                (Nomor)]],Table43[[#This Row],[kode  1 Digit                (Nomor)]])</f>
        <v>G1042</v>
      </c>
      <c r="N28" s="4" t="str">
        <f>IF(AI28="",CONCATENATE(S28,U28,W28,Y28,AA28,AC28,AE28,AG28,Table43[[#This Row],[Tanda Kode Revisi]]),CONCATENATE(S28,U28,W28,Y28,AA28,AC28,AE28,AI28))</f>
        <v>G1042001011010</v>
      </c>
      <c r="O28" s="11">
        <f t="shared" si="0"/>
        <v>14</v>
      </c>
      <c r="P28" s="14" t="str">
        <f>IF(AH28&lt;&gt;"",TRIM(UPPER(CONCATENATE(R28," ",T28," ",V28," ",X28," ",Z28," ",AB28," ","X"," ",Table43[[#This Row],[ISI/CTN]]," ",AH28," ",AD28," ",AF28," ",AJ28))),TRIM(UPPER(CONCATENATE(R28," ",T28," ",V28," ",X28," ",Z28," ",AB28," ","X"," ",Table43[[#This Row],[ISI/CTN]]," ",AD28," ",AF28," ",AJ28))))</f>
        <v>CARRERA MOTOR CHAIN LUBE 110ML X 12 BTL</v>
      </c>
      <c r="Q28" s="11">
        <f t="shared" si="1"/>
        <v>39</v>
      </c>
      <c r="S28" s="7" t="s">
        <v>34</v>
      </c>
      <c r="T28" s="4" t="s">
        <v>2211</v>
      </c>
      <c r="U28" s="47" t="s">
        <v>2540</v>
      </c>
      <c r="V28" s="48" t="s">
        <v>2215</v>
      </c>
      <c r="W28" s="7">
        <v>2</v>
      </c>
      <c r="X28" s="48"/>
      <c r="Y28" s="47" t="s">
        <v>1116</v>
      </c>
      <c r="Z28" s="4" t="s">
        <v>2217</v>
      </c>
      <c r="AA28" s="49" t="s">
        <v>1115</v>
      </c>
      <c r="AB28" s="4" t="s">
        <v>2220</v>
      </c>
      <c r="AC28" s="49" t="s">
        <v>2593</v>
      </c>
      <c r="AD28" s="4" t="s">
        <v>647</v>
      </c>
      <c r="AE28" s="7">
        <v>1</v>
      </c>
      <c r="AG28" s="7">
        <v>0</v>
      </c>
      <c r="AK28" s="70">
        <f>Table43[[#This Row],[Column4]]</f>
        <v>30042030110000</v>
      </c>
      <c r="AN28" s="7">
        <f>Table43[[#This Row],[ISI/CTN]]</f>
        <v>12</v>
      </c>
      <c r="AO28" s="38">
        <f>Table43[[#This Row],[Harga Jual Pcs GT
(-PPN)]]-(Table43[[#This Row],[Harga Jual Pcs GT
(-PPN)]]*6.5%)</f>
        <v>18167.05</v>
      </c>
      <c r="AP28" s="38">
        <f>Table43[[#This Row],[Harga Beli Pcs
(-PPN)]]*Table43[[#This Row],[ISI/CTN]]</f>
        <v>218004.59999999998</v>
      </c>
      <c r="AQ28" s="38">
        <f>Table43[[#This Row],[Harga Beli Pcs
(-PPN)]]*1.11</f>
        <v>20165.425500000001</v>
      </c>
      <c r="AR28" s="38">
        <f>Table43[[#This Row],[Harga Beli Krt
(- PPN)]]*1.11</f>
        <v>241985.106</v>
      </c>
      <c r="AS28" s="38">
        <v>19430</v>
      </c>
      <c r="AT28" s="38">
        <f>Table43[[#This Row],[Harga Jual Pcs GT
(-PPN)]]*Table43[[#This Row],[ISI/CTN]]</f>
        <v>233160</v>
      </c>
      <c r="AU28" s="38">
        <f>Table43[[#This Row],[Harga Jual Pcs GT
(-PPN)]]*1.11</f>
        <v>21567.300000000003</v>
      </c>
      <c r="AV28" s="38">
        <f>Table43[[#This Row],[Harga Jual Krt GT
(- PPN)]]*1.11</f>
        <v>258807.60000000003</v>
      </c>
      <c r="AW28" s="38">
        <f>IFERROR(VLOOKUP(Table43[[#This Row],[Kode Pcpl]],'[1]FEB 2026'!$A$3:$X$312,24,0),0)</f>
        <v>0</v>
      </c>
      <c r="AX28" s="38">
        <f>Table43[[#This Row],[Harga Jual Pcs MT
(-PPN)]]*Table43[[#This Row],[ISI/CTN]]</f>
        <v>0</v>
      </c>
      <c r="AY28" s="38">
        <f>Table43[[#This Row],[Harga Jual Pcs MT
(-PPN)]]*1.11</f>
        <v>0</v>
      </c>
      <c r="AZ28" s="38">
        <f>Table43[[#This Row],[Harga Jual Pcs MT
(+PPN)]]*Table43[[#This Row],[ISI/CTN]]</f>
        <v>0</v>
      </c>
      <c r="BA28" s="46">
        <f>(Table43[[#This Row],[Harga Jual Pcs GT
(-PPN)]]-Table43[[#This Row],[Harga Beli Pcs
(-PPN)]])/Table43[[#This Row],[Harga Jual Pcs GT
(-PPN)]]</f>
        <v>6.5000000000000044E-2</v>
      </c>
      <c r="BB28" s="53">
        <f>Table43[[#This Row],[Harga Jual Pcs MT
(-PPN)]]-Table43[[#This Row],[Harga Beli Pcs
(-PPN)]]</f>
        <v>-18167.05</v>
      </c>
      <c r="BC28" s="54" t="e">
        <f>Table43[[#This Row],[Column1]]/Table43[[#This Row],[Harga Jual Pcs MT
(-PPN)]]</f>
        <v>#DIV/0!</v>
      </c>
      <c r="BD28" s="52"/>
      <c r="BE28" s="7"/>
      <c r="BF28" s="7" t="str">
        <f ca="1">IF(TODAY()-Table43[[#This Row],[Efektif
Pembuatan]]&gt;60,"Lama","Baru")</f>
        <v>Lama</v>
      </c>
      <c r="BG28" s="7" t="str">
        <f ca="1">IF(TODAY()-Table43[[#This Row],[Efektif Naik Harga]]&lt;30,"Naik","Sama")</f>
        <v>Sama</v>
      </c>
      <c r="BH28" s="7"/>
      <c r="BI28" s="7" t="str">
        <f>IF(Table43[[#This Row],[Kode BARANG Win2]]&lt;&gt;"","IDR","")</f>
        <v>IDR</v>
      </c>
      <c r="BJ28" s="7" t="str">
        <f>CONCATENATE(Table43[[#This Row],[kode  1 Digit
(Nomor)]],Table43[[#This Row],[kode  4 Digit                (Nomor)]])</f>
        <v>0110</v>
      </c>
      <c r="BK28" s="7" t="str">
        <f>Table43[[#This Row],[Nama            Gramasi atau Jumlah Pack per CTN]]</f>
        <v>110ML</v>
      </c>
      <c r="BL28" s="7"/>
      <c r="BM28" s="7"/>
      <c r="BN28" s="4" t="str">
        <f>IF(Table43[[#This Row],[SATUAN Fix Win]]&lt;&gt;"","KRT")</f>
        <v>KRT</v>
      </c>
      <c r="BO28" s="4" t="str">
        <f>IF(Table43[[#This Row],[SATUAN Fix Win]]&lt;&gt;"","GD01")</f>
        <v>GD01</v>
      </c>
      <c r="BP28" s="4">
        <f>IF(Table43[[#This Row],[SATUAN Fix Win]]&lt;&gt;"",11611)</f>
        <v>11611</v>
      </c>
      <c r="BQ28" s="4">
        <f>IF(Table43[[#This Row],[SATUAN Fix Win]]&lt;&gt;"",11612)</f>
        <v>11612</v>
      </c>
      <c r="BS28" s="4">
        <f>IF(Table43[[#This Row],[SATUAN Fix Win]]&lt;&gt;"",1)</f>
        <v>1</v>
      </c>
      <c r="BU28" s="4">
        <f>Table43[[#This Row],[ISI/CTN]]</f>
        <v>12</v>
      </c>
    </row>
    <row r="29" spans="1:75">
      <c r="A29" s="4" t="str">
        <f>CONCATENATE(Table43[[#This Row],[Kode BARANG Win2]],Table43[[#This Row],[No. Urut
Item Sama]])</f>
        <v>G1043001020010</v>
      </c>
      <c r="B29" s="7"/>
      <c r="C29" s="31">
        <v>30045050800020</v>
      </c>
      <c r="D29" s="51">
        <v>40008279</v>
      </c>
      <c r="E29" s="27" t="s">
        <v>1895</v>
      </c>
      <c r="F29" s="51">
        <v>30047110200000</v>
      </c>
      <c r="G29" s="51">
        <v>0</v>
      </c>
      <c r="H29" s="27" t="s">
        <v>1144</v>
      </c>
      <c r="I29" s="27">
        <v>12</v>
      </c>
      <c r="J29" s="51" t="s">
        <v>1587</v>
      </c>
      <c r="K29" s="27" t="str">
        <f>Table43[[#This Row],[NamaJenisKemasan]]</f>
        <v>BTL</v>
      </c>
      <c r="L29" s="4" t="str">
        <f>TRIM(CONCATENATE(Table43[[#This Row],[Nama            KLP]]," ",Table43[[#This Row],[Nama            Sub KLP]]))</f>
        <v>CARRERA PELUMAS</v>
      </c>
      <c r="M29" s="4" t="str">
        <f>CONCATENATE(Table43[[#This Row],[kode  2 Digit                (hrf+No)]],Table43[[#This Row],[kode  2 Digit                (Nomor)]],Table43[[#This Row],[kode  1 Digit                (Nomor)]])</f>
        <v>G1043</v>
      </c>
      <c r="N29" s="4" t="str">
        <f>IF(AI29="",CONCATENATE(S29,U29,W29,Y29,AA29,AC29,AE29,AG29,Table43[[#This Row],[Tanda Kode Revisi]]),CONCATENATE(S29,U29,W29,Y29,AA29,AC29,AE29,AI29))</f>
        <v>G1043001020010</v>
      </c>
      <c r="O29" s="11">
        <f t="shared" si="0"/>
        <v>14</v>
      </c>
      <c r="P29" s="14" t="str">
        <f>IF(AH29&lt;&gt;"",TRIM(UPPER(CONCATENATE(R29," ",T29," ",V29," ",X29," ",Z29," ",AB29," ","X"," ",Table43[[#This Row],[ISI/CTN]]," ",AH29," ",AD29," ",AF29," ",AJ29))),TRIM(UPPER(CONCATENATE(R29," ",T29," ",V29," ",X29," ",Z29," ",AB29," ","X"," ",Table43[[#This Row],[ISI/CTN]]," ",AD29," ",AF29," ",AJ29))))</f>
        <v>CARRERA PELUMAS XP-1000 200ML X 12 BTL</v>
      </c>
      <c r="Q29" s="11">
        <f t="shared" si="1"/>
        <v>38</v>
      </c>
      <c r="S29" s="7" t="s">
        <v>34</v>
      </c>
      <c r="T29" s="4" t="s">
        <v>2211</v>
      </c>
      <c r="U29" s="47" t="s">
        <v>2540</v>
      </c>
      <c r="V29" s="48" t="s">
        <v>2219</v>
      </c>
      <c r="W29" s="7">
        <v>3</v>
      </c>
      <c r="X29" s="48"/>
      <c r="Y29" s="47" t="s">
        <v>1116</v>
      </c>
      <c r="Z29" s="4" t="s">
        <v>2234</v>
      </c>
      <c r="AA29" s="49" t="s">
        <v>1115</v>
      </c>
      <c r="AB29" s="4" t="s">
        <v>640</v>
      </c>
      <c r="AC29" s="49" t="s">
        <v>2606</v>
      </c>
      <c r="AD29" s="4" t="s">
        <v>647</v>
      </c>
      <c r="AE29" s="7">
        <v>1</v>
      </c>
      <c r="AG29" s="7">
        <v>0</v>
      </c>
      <c r="AK29" s="70">
        <f>Table43[[#This Row],[Column4]]</f>
        <v>30047110200000</v>
      </c>
      <c r="AN29" s="7">
        <f>Table43[[#This Row],[ISI/CTN]]</f>
        <v>12</v>
      </c>
      <c r="AO29" s="61">
        <f>Table43[[#This Row],[Harga Jual Pcs GT
(-PPN)]]-(Table43[[#This Row],[Harga Jual Pcs GT
(-PPN)]]*6.5%)</f>
        <v>27806.9</v>
      </c>
      <c r="AP29" s="61">
        <f>Table43[[#This Row],[Harga Beli Pcs
(-PPN)]]*Table43[[#This Row],[ISI/CTN]]</f>
        <v>333682.80000000005</v>
      </c>
      <c r="AQ29" s="61">
        <f>Table43[[#This Row],[Harga Beli Pcs
(-PPN)]]*1.11</f>
        <v>30865.659000000003</v>
      </c>
      <c r="AR29" s="61">
        <f>Table43[[#This Row],[Harga Beli Krt
(- PPN)]]*1.11</f>
        <v>370387.90800000011</v>
      </c>
      <c r="AS29" s="61">
        <v>29740</v>
      </c>
      <c r="AT29" s="61">
        <f>Table43[[#This Row],[Harga Jual Pcs GT
(-PPN)]]*Table43[[#This Row],[ISI/CTN]]</f>
        <v>356880</v>
      </c>
      <c r="AU29" s="61">
        <f>Table43[[#This Row],[Harga Jual Pcs GT
(-PPN)]]*1.11</f>
        <v>33011.4</v>
      </c>
      <c r="AV29" s="61">
        <f>Table43[[#This Row],[Harga Jual Krt GT
(- PPN)]]*1.11</f>
        <v>396136.80000000005</v>
      </c>
      <c r="AW29" s="61">
        <f>IFERROR(VLOOKUP(Table43[[#This Row],[Kode Pcpl]],'[1]FEB 2026'!$A$3:$X$312,24,0),0)</f>
        <v>0</v>
      </c>
      <c r="AX29" s="61">
        <f>Table43[[#This Row],[Harga Jual Pcs MT
(-PPN)]]*Table43[[#This Row],[ISI/CTN]]</f>
        <v>0</v>
      </c>
      <c r="AY29" s="61">
        <f>Table43[[#This Row],[Harga Jual Pcs MT
(-PPN)]]*1.11</f>
        <v>0</v>
      </c>
      <c r="AZ29" s="61">
        <f>Table43[[#This Row],[Harga Jual Pcs MT
(+PPN)]]*Table43[[#This Row],[ISI/CTN]]</f>
        <v>0</v>
      </c>
      <c r="BA29" s="62">
        <f>(Table43[[#This Row],[Harga Jual Pcs GT
(-PPN)]]-Table43[[#This Row],[Harga Beli Pcs
(-PPN)]])/Table43[[#This Row],[Harga Jual Pcs GT
(-PPN)]]</f>
        <v>6.4999999999999947E-2</v>
      </c>
      <c r="BB29" s="63">
        <f>Table43[[#This Row],[Harga Jual Pcs MT
(-PPN)]]-Table43[[#This Row],[Harga Beli Pcs
(-PPN)]]</f>
        <v>-27806.9</v>
      </c>
      <c r="BC29" s="64" t="e">
        <f>Table43[[#This Row],[Column1]]/Table43[[#This Row],[Harga Jual Pcs MT
(-PPN)]]</f>
        <v>#DIV/0!</v>
      </c>
      <c r="BD29" s="52"/>
      <c r="BE29" s="7"/>
      <c r="BF29" s="7" t="str">
        <f ca="1">IF(TODAY()-Table43[[#This Row],[Efektif
Pembuatan]]&gt;60,"Lama","Baru")</f>
        <v>Lama</v>
      </c>
      <c r="BG29" s="7" t="str">
        <f ca="1">IF(TODAY()-Table43[[#This Row],[Efektif Naik Harga]]&lt;30,"Naik","Sama")</f>
        <v>Sama</v>
      </c>
      <c r="BH29" s="7"/>
      <c r="BI29" s="7" t="str">
        <f>IF(Table43[[#This Row],[Kode BARANG Win2]]&lt;&gt;"","IDR","")</f>
        <v>IDR</v>
      </c>
      <c r="BJ29" s="7" t="str">
        <f>CONCATENATE(Table43[[#This Row],[kode  1 Digit
(Nomor)]],Table43[[#This Row],[kode  4 Digit                (Nomor)]])</f>
        <v>0200</v>
      </c>
      <c r="BK29" s="7" t="str">
        <f>Table43[[#This Row],[Nama            Gramasi atau Jumlah Pack per CTN]]</f>
        <v>200ML</v>
      </c>
      <c r="BL29" s="7"/>
      <c r="BM29" s="7"/>
      <c r="BN29" s="4" t="str">
        <f>IF(Table43[[#This Row],[SATUAN Fix Win]]&lt;&gt;"","KRT")</f>
        <v>KRT</v>
      </c>
      <c r="BO29" s="4" t="str">
        <f>IF(Table43[[#This Row],[SATUAN Fix Win]]&lt;&gt;"","GD01")</f>
        <v>GD01</v>
      </c>
      <c r="BP29" s="4">
        <f>IF(Table43[[#This Row],[SATUAN Fix Win]]&lt;&gt;"",11611)</f>
        <v>11611</v>
      </c>
      <c r="BQ29" s="4">
        <f>IF(Table43[[#This Row],[SATUAN Fix Win]]&lt;&gt;"",11612)</f>
        <v>11612</v>
      </c>
      <c r="BS29" s="4">
        <f>IF(Table43[[#This Row],[SATUAN Fix Win]]&lt;&gt;"",1)</f>
        <v>1</v>
      </c>
      <c r="BU29" s="4">
        <f>Table43[[#This Row],[ISI/CTN]]</f>
        <v>12</v>
      </c>
    </row>
    <row r="30" spans="1:75">
      <c r="A30" s="4" t="str">
        <f>CONCATENATE(Table43[[#This Row],[Kode BARANG Win2]],Table43[[#This Row],[No. Urut
Item Sama]])</f>
        <v>G1044000020010</v>
      </c>
      <c r="B30" s="7"/>
      <c r="C30" s="31">
        <v>30032000100010</v>
      </c>
      <c r="D30" s="51">
        <v>40008275</v>
      </c>
      <c r="E30" s="27" t="s">
        <v>1884</v>
      </c>
      <c r="F30" s="51">
        <v>30040040200020</v>
      </c>
      <c r="G30" s="51">
        <v>0</v>
      </c>
      <c r="H30" s="27" t="s">
        <v>1133</v>
      </c>
      <c r="I30" s="27">
        <v>48</v>
      </c>
      <c r="J30" s="51" t="s">
        <v>1576</v>
      </c>
      <c r="K30" s="27" t="str">
        <f>Table43[[#This Row],[NamaJenisKemasan]]</f>
        <v>PCH</v>
      </c>
      <c r="L30" s="4" t="str">
        <f>TRIM(CONCATENATE(Table43[[#This Row],[Nama            KLP]]," ",Table43[[#This Row],[Nama            Sub KLP]]))</f>
        <v>CARRERA PENGKILAP BAN</v>
      </c>
      <c r="M30" s="4" t="str">
        <f>CONCATENATE(Table43[[#This Row],[kode  2 Digit                (hrf+No)]],Table43[[#This Row],[kode  2 Digit                (Nomor)]],Table43[[#This Row],[kode  1 Digit                (Nomor)]])</f>
        <v>G1044</v>
      </c>
      <c r="N30" s="4" t="str">
        <f>IF(AI30="",CONCATENATE(S30,U30,W30,Y30,AA30,AC30,AE30,AG30,Table43[[#This Row],[Tanda Kode Revisi]]),CONCATENATE(S30,U30,W30,Y30,AA30,AC30,AE30,AI30))</f>
        <v>G1044000020010</v>
      </c>
      <c r="O30" s="11">
        <f t="shared" si="0"/>
        <v>14</v>
      </c>
      <c r="P30" s="14" t="str">
        <f>IF(AH30&lt;&gt;"",TRIM(UPPER(CONCATENATE(R30," ",T30," ",V30," ",X30," ",Z30," ",AB30," ","X"," ",Table43[[#This Row],[ISI/CTN]]," ",AH30," ",AD30," ",AF30," ",AJ30))),TRIM(UPPER(CONCATENATE(R30," ",T30," ",V30," ",X30," ",Z30," ",AB30," ","X"," ",Table43[[#This Row],[ISI/CTN]]," ",AD30," ",AF30," ",AJ30))))</f>
        <v>CARRERA PENGKILAP BAN 200ML X 48 PCH</v>
      </c>
      <c r="Q30" s="11">
        <f t="shared" si="1"/>
        <v>36</v>
      </c>
      <c r="S30" s="7" t="s">
        <v>34</v>
      </c>
      <c r="T30" s="4" t="s">
        <v>2211</v>
      </c>
      <c r="U30" s="47" t="s">
        <v>2540</v>
      </c>
      <c r="V30" s="48" t="s">
        <v>2225</v>
      </c>
      <c r="W30" s="7">
        <v>4</v>
      </c>
      <c r="X30" s="48"/>
      <c r="Y30" s="47" t="s">
        <v>1116</v>
      </c>
      <c r="AA30" s="49" t="s">
        <v>1117</v>
      </c>
      <c r="AB30" s="4" t="s">
        <v>640</v>
      </c>
      <c r="AC30" s="49" t="s">
        <v>2606</v>
      </c>
      <c r="AD30" s="4" t="s">
        <v>636</v>
      </c>
      <c r="AE30" s="7">
        <v>1</v>
      </c>
      <c r="AG30" s="7">
        <v>0</v>
      </c>
      <c r="AK30" s="70">
        <f>Table43[[#This Row],[Column4]]</f>
        <v>30040040200020</v>
      </c>
      <c r="AN30" s="7">
        <f>Table43[[#This Row],[ISI/CTN]]</f>
        <v>48</v>
      </c>
      <c r="AO30" s="61">
        <f>Table43[[#This Row],[Harga Jual Pcs GT
(-PPN)]]-(Table43[[#This Row],[Harga Jual Pcs GT
(-PPN)]]*6.5%)</f>
        <v>11930.6</v>
      </c>
      <c r="AP30" s="61">
        <f>Table43[[#This Row],[Harga Beli Pcs
(-PPN)]]*Table43[[#This Row],[ISI/CTN]]</f>
        <v>572668.80000000005</v>
      </c>
      <c r="AQ30" s="61">
        <f>Table43[[#This Row],[Harga Beli Pcs
(-PPN)]]*1.11</f>
        <v>13242.966000000002</v>
      </c>
      <c r="AR30" s="61">
        <f>Table43[[#This Row],[Harga Beli Krt
(- PPN)]]*1.11</f>
        <v>635662.36800000013</v>
      </c>
      <c r="AS30" s="61">
        <v>12760</v>
      </c>
      <c r="AT30" s="61">
        <f>Table43[[#This Row],[Harga Jual Pcs GT
(-PPN)]]*Table43[[#This Row],[ISI/CTN]]</f>
        <v>612480</v>
      </c>
      <c r="AU30" s="61">
        <f>Table43[[#This Row],[Harga Jual Pcs GT
(-PPN)]]*1.11</f>
        <v>14163.6</v>
      </c>
      <c r="AV30" s="61">
        <f>Table43[[#This Row],[Harga Jual Krt GT
(- PPN)]]*1.11</f>
        <v>679852.8</v>
      </c>
      <c r="AW30" s="61">
        <f>IFERROR(VLOOKUP(Table43[[#This Row],[Kode Pcpl]],'[1]FEB 2026'!$A$3:$X$312,24,0),0)</f>
        <v>0</v>
      </c>
      <c r="AX30" s="61">
        <f>Table43[[#This Row],[Harga Jual Pcs MT
(-PPN)]]*Table43[[#This Row],[ISI/CTN]]</f>
        <v>0</v>
      </c>
      <c r="AY30" s="61">
        <f>Table43[[#This Row],[Harga Jual Pcs MT
(-PPN)]]*1.11</f>
        <v>0</v>
      </c>
      <c r="AZ30" s="61">
        <f>Table43[[#This Row],[Harga Jual Pcs MT
(+PPN)]]*Table43[[#This Row],[ISI/CTN]]</f>
        <v>0</v>
      </c>
      <c r="BA30" s="62">
        <f>(Table43[[#This Row],[Harga Jual Pcs GT
(-PPN)]]-Table43[[#This Row],[Harga Beli Pcs
(-PPN)]])/Table43[[#This Row],[Harga Jual Pcs GT
(-PPN)]]</f>
        <v>6.4999999999999974E-2</v>
      </c>
      <c r="BB30" s="63">
        <f>Table43[[#This Row],[Harga Jual Pcs MT
(-PPN)]]-Table43[[#This Row],[Harga Beli Pcs
(-PPN)]]</f>
        <v>-11930.6</v>
      </c>
      <c r="BC30" s="64" t="e">
        <f>Table43[[#This Row],[Column1]]/Table43[[#This Row],[Harga Jual Pcs MT
(-PPN)]]</f>
        <v>#DIV/0!</v>
      </c>
      <c r="BD30" s="52"/>
      <c r="BE30" s="7"/>
      <c r="BF30" s="7" t="str">
        <f ca="1">IF(TODAY()-Table43[[#This Row],[Efektif
Pembuatan]]&gt;60,"Lama","Baru")</f>
        <v>Lama</v>
      </c>
      <c r="BG30" s="7" t="str">
        <f ca="1">IF(TODAY()-Table43[[#This Row],[Efektif Naik Harga]]&lt;30,"Naik","Sama")</f>
        <v>Sama</v>
      </c>
      <c r="BH30" s="7"/>
      <c r="BI30" s="7" t="str">
        <f>IF(Table43[[#This Row],[Kode BARANG Win2]]&lt;&gt;"","IDR","")</f>
        <v>IDR</v>
      </c>
      <c r="BJ30" s="7" t="str">
        <f>CONCATENATE(Table43[[#This Row],[kode  1 Digit
(Nomor)]],Table43[[#This Row],[kode  4 Digit                (Nomor)]])</f>
        <v>0200</v>
      </c>
      <c r="BK30" s="7" t="str">
        <f>Table43[[#This Row],[Nama            Gramasi atau Jumlah Pack per CTN]]</f>
        <v>200ML</v>
      </c>
      <c r="BL30" s="7"/>
      <c r="BM30" s="7"/>
      <c r="BN30" s="4" t="str">
        <f>IF(Table43[[#This Row],[SATUAN Fix Win]]&lt;&gt;"","KRT")</f>
        <v>KRT</v>
      </c>
      <c r="BO30" s="4" t="str">
        <f>IF(Table43[[#This Row],[SATUAN Fix Win]]&lt;&gt;"","GD01")</f>
        <v>GD01</v>
      </c>
      <c r="BP30" s="4">
        <f>IF(Table43[[#This Row],[SATUAN Fix Win]]&lt;&gt;"",11611)</f>
        <v>11611</v>
      </c>
      <c r="BQ30" s="4">
        <f>IF(Table43[[#This Row],[SATUAN Fix Win]]&lt;&gt;"",11612)</f>
        <v>11612</v>
      </c>
      <c r="BS30" s="4">
        <f>IF(Table43[[#This Row],[SATUAN Fix Win]]&lt;&gt;"",1)</f>
        <v>1</v>
      </c>
      <c r="BU30" s="4">
        <f>Table43[[#This Row],[ISI/CTN]]</f>
        <v>48</v>
      </c>
    </row>
    <row r="31" spans="1:75">
      <c r="A31" s="4" t="str">
        <f>CONCATENATE(Table43[[#This Row],[Kode BARANG Win2]],Table43[[#This Row],[No. Urut
Item Sama]])</f>
        <v>G1044000040010</v>
      </c>
      <c r="B31" s="7"/>
      <c r="C31" s="31">
        <v>30032000050010</v>
      </c>
      <c r="D31" s="51">
        <v>40014989</v>
      </c>
      <c r="E31" s="27" t="s">
        <v>1887</v>
      </c>
      <c r="F31" s="51">
        <v>30043040400000</v>
      </c>
      <c r="G31" s="51">
        <v>0</v>
      </c>
      <c r="H31" s="27" t="s">
        <v>1136</v>
      </c>
      <c r="I31" s="27">
        <v>12</v>
      </c>
      <c r="J31" s="51" t="s">
        <v>1579</v>
      </c>
      <c r="K31" s="27" t="str">
        <f>Table43[[#This Row],[NamaJenisKemasan]]</f>
        <v>BTL</v>
      </c>
      <c r="L31" s="4" t="str">
        <f>TRIM(CONCATENATE(Table43[[#This Row],[Nama            KLP]]," ",Table43[[#This Row],[Nama            Sub KLP]]))</f>
        <v>CARRERA PENGKILAP BAN</v>
      </c>
      <c r="M31" s="4" t="str">
        <f>CONCATENATE(Table43[[#This Row],[kode  2 Digit                (hrf+No)]],Table43[[#This Row],[kode  2 Digit                (Nomor)]],Table43[[#This Row],[kode  1 Digit                (Nomor)]])</f>
        <v>G1044</v>
      </c>
      <c r="N31" s="4" t="str">
        <f>IF(AI31="",CONCATENATE(S31,U31,W31,Y31,AA31,AC31,AE31,AG31,Table43[[#This Row],[Tanda Kode Revisi]]),CONCATENATE(S31,U31,W31,Y31,AA31,AC31,AE31,AI31))</f>
        <v>G1044000040010</v>
      </c>
      <c r="O31" s="11">
        <f t="shared" si="0"/>
        <v>14</v>
      </c>
      <c r="P31" s="14" t="str">
        <f>IF(AH31&lt;&gt;"",TRIM(UPPER(CONCATENATE(R31," ",T31," ",V31," ",X31," ",Z31," ",AB31," ","X"," ",Table43[[#This Row],[ISI/CTN]]," ",AH31," ",AD31," ",AF31," ",AJ31))),TRIM(UPPER(CONCATENATE(R31," ",T31," ",V31," ",X31," ",Z31," ",AB31," ","X"," ",Table43[[#This Row],[ISI/CTN]]," ",AD31," ",AF31," ",AJ31))))</f>
        <v>CARRERA PENGKILAP BAN 400ML X 12 BTL</v>
      </c>
      <c r="Q31" s="11">
        <f t="shared" si="1"/>
        <v>36</v>
      </c>
      <c r="S31" s="7" t="s">
        <v>34</v>
      </c>
      <c r="T31" s="4" t="s">
        <v>2211</v>
      </c>
      <c r="U31" s="47" t="s">
        <v>2540</v>
      </c>
      <c r="V31" s="48" t="s">
        <v>2225</v>
      </c>
      <c r="W31" s="7">
        <v>4</v>
      </c>
      <c r="X31" s="48"/>
      <c r="Y31" s="47" t="s">
        <v>1116</v>
      </c>
      <c r="AA31" s="49" t="s">
        <v>1117</v>
      </c>
      <c r="AB31" s="4" t="s">
        <v>635</v>
      </c>
      <c r="AC31" s="49" t="s">
        <v>2624</v>
      </c>
      <c r="AD31" s="4" t="s">
        <v>647</v>
      </c>
      <c r="AE31" s="7">
        <v>1</v>
      </c>
      <c r="AG31" s="7">
        <v>0</v>
      </c>
      <c r="AK31" s="70">
        <f>Table43[[#This Row],[Column4]]</f>
        <v>30043040400000</v>
      </c>
      <c r="AN31" s="7">
        <f>Table43[[#This Row],[ISI/CTN]]</f>
        <v>12</v>
      </c>
      <c r="AO31" s="61">
        <f>Table43[[#This Row],[Harga Jual Pcs GT
(-PPN)]]-(Table43[[#This Row],[Harga Jual Pcs GT
(-PPN)]]*6.5%)</f>
        <v>34379.949999999997</v>
      </c>
      <c r="AP31" s="61">
        <f>Table43[[#This Row],[Harga Beli Pcs
(-PPN)]]*Table43[[#This Row],[ISI/CTN]]</f>
        <v>412559.39999999997</v>
      </c>
      <c r="AQ31" s="61">
        <f>Table43[[#This Row],[Harga Beli Pcs
(-PPN)]]*1.11</f>
        <v>38161.744500000001</v>
      </c>
      <c r="AR31" s="61">
        <f>Table43[[#This Row],[Harga Beli Krt
(- PPN)]]*1.11</f>
        <v>457940.93400000001</v>
      </c>
      <c r="AS31" s="61">
        <v>36770</v>
      </c>
      <c r="AT31" s="61">
        <f>Table43[[#This Row],[Harga Jual Pcs GT
(-PPN)]]*Table43[[#This Row],[ISI/CTN]]</f>
        <v>441240</v>
      </c>
      <c r="AU31" s="61">
        <f>Table43[[#This Row],[Harga Jual Pcs GT
(-PPN)]]*1.11</f>
        <v>40814.700000000004</v>
      </c>
      <c r="AV31" s="61">
        <f>Table43[[#This Row],[Harga Jual Krt GT
(- PPN)]]*1.11</f>
        <v>489776.4</v>
      </c>
      <c r="AW31" s="61">
        <f>IFERROR(VLOOKUP(Table43[[#This Row],[Kode Pcpl]],'[1]FEB 2026'!$A$3:$X$312,24,0),0)</f>
        <v>0</v>
      </c>
      <c r="AX31" s="61">
        <f>Table43[[#This Row],[Harga Jual Pcs MT
(-PPN)]]*Table43[[#This Row],[ISI/CTN]]</f>
        <v>0</v>
      </c>
      <c r="AY31" s="61">
        <f>Table43[[#This Row],[Harga Jual Pcs MT
(-PPN)]]*1.11</f>
        <v>0</v>
      </c>
      <c r="AZ31" s="61">
        <f>Table43[[#This Row],[Harga Jual Pcs MT
(+PPN)]]*Table43[[#This Row],[ISI/CTN]]</f>
        <v>0</v>
      </c>
      <c r="BA31" s="62">
        <f>(Table43[[#This Row],[Harga Jual Pcs GT
(-PPN)]]-Table43[[#This Row],[Harga Beli Pcs
(-PPN)]])/Table43[[#This Row],[Harga Jual Pcs GT
(-PPN)]]</f>
        <v>6.5000000000000085E-2</v>
      </c>
      <c r="BB31" s="63">
        <f>Table43[[#This Row],[Harga Jual Pcs MT
(-PPN)]]-Table43[[#This Row],[Harga Beli Pcs
(-PPN)]]</f>
        <v>-34379.949999999997</v>
      </c>
      <c r="BC31" s="64" t="e">
        <f>Table43[[#This Row],[Column1]]/Table43[[#This Row],[Harga Jual Pcs MT
(-PPN)]]</f>
        <v>#DIV/0!</v>
      </c>
      <c r="BD31" s="52"/>
      <c r="BE31" s="7"/>
      <c r="BF31" s="7" t="str">
        <f ca="1">IF(TODAY()-Table43[[#This Row],[Efektif
Pembuatan]]&gt;60,"Lama","Baru")</f>
        <v>Lama</v>
      </c>
      <c r="BG31" s="7" t="str">
        <f ca="1">IF(TODAY()-Table43[[#This Row],[Efektif Naik Harga]]&lt;30,"Naik","Sama")</f>
        <v>Sama</v>
      </c>
      <c r="BH31" s="7"/>
      <c r="BI31" s="7" t="str">
        <f>IF(Table43[[#This Row],[Kode BARANG Win2]]&lt;&gt;"","IDR","")</f>
        <v>IDR</v>
      </c>
      <c r="BJ31" s="7" t="str">
        <f>CONCATENATE(Table43[[#This Row],[kode  1 Digit
(Nomor)]],Table43[[#This Row],[kode  4 Digit                (Nomor)]])</f>
        <v>0400</v>
      </c>
      <c r="BK31" s="7" t="str">
        <f>Table43[[#This Row],[Nama            Gramasi atau Jumlah Pack per CTN]]</f>
        <v>400ML</v>
      </c>
      <c r="BL31" s="7"/>
      <c r="BM31" s="7"/>
      <c r="BN31" s="4" t="str">
        <f>IF(Table43[[#This Row],[SATUAN Fix Win]]&lt;&gt;"","KRT")</f>
        <v>KRT</v>
      </c>
      <c r="BO31" s="4" t="str">
        <f>IF(Table43[[#This Row],[SATUAN Fix Win]]&lt;&gt;"","GD01")</f>
        <v>GD01</v>
      </c>
      <c r="BP31" s="4">
        <f>IF(Table43[[#This Row],[SATUAN Fix Win]]&lt;&gt;"",11611)</f>
        <v>11611</v>
      </c>
      <c r="BQ31" s="4">
        <f>IF(Table43[[#This Row],[SATUAN Fix Win]]&lt;&gt;"",11612)</f>
        <v>11612</v>
      </c>
      <c r="BS31" s="4">
        <f>IF(Table43[[#This Row],[SATUAN Fix Win]]&lt;&gt;"",1)</f>
        <v>1</v>
      </c>
      <c r="BU31" s="4">
        <f>Table43[[#This Row],[ISI/CTN]]</f>
        <v>12</v>
      </c>
    </row>
    <row r="32" spans="1:75">
      <c r="A32" s="4" t="str">
        <f>CONCATENATE(Table43[[#This Row],[Kode BARANG Win2]],Table43[[#This Row],[No. Urut
Item Sama]])</f>
        <v>G1045000010010</v>
      </c>
      <c r="B32" s="7"/>
      <c r="C32" s="31">
        <v>30032030060000</v>
      </c>
      <c r="D32" s="51">
        <v>40009093</v>
      </c>
      <c r="E32" s="27" t="s">
        <v>1888</v>
      </c>
      <c r="F32" s="51">
        <v>30044060100040</v>
      </c>
      <c r="G32" s="51">
        <v>0</v>
      </c>
      <c r="H32" s="27" t="s">
        <v>1137</v>
      </c>
      <c r="I32" s="27">
        <v>24</v>
      </c>
      <c r="J32" s="51" t="s">
        <v>1580</v>
      </c>
      <c r="K32" s="27" t="str">
        <f>Table43[[#This Row],[NamaJenisKemasan]]</f>
        <v>PUMP</v>
      </c>
      <c r="L32" s="4" t="str">
        <f>TRIM(CONCATENATE(Table43[[#This Row],[Nama            KLP]]," ",Table43[[#This Row],[Nama            Sub KLP]]))</f>
        <v>CARRERA POLES MOTOR</v>
      </c>
      <c r="M32" s="4" t="str">
        <f>CONCATENATE(Table43[[#This Row],[kode  2 Digit                (hrf+No)]],Table43[[#This Row],[kode  2 Digit                (Nomor)]],Table43[[#This Row],[kode  1 Digit                (Nomor)]])</f>
        <v>G1045</v>
      </c>
      <c r="N32" s="4" t="str">
        <f>IF(AI32="",CONCATENATE(S32,U32,W32,Y32,AA32,AC32,AE32,AG32,Table43[[#This Row],[Tanda Kode Revisi]]),CONCATENATE(S32,U32,W32,Y32,AA32,AC32,AE32,AI32))</f>
        <v>G1045000010010</v>
      </c>
      <c r="O32" s="11">
        <f t="shared" si="0"/>
        <v>14</v>
      </c>
      <c r="P32" s="14" t="str">
        <f>IF(AH32&lt;&gt;"",TRIM(UPPER(CONCATENATE(R32," ",T32," ",V32," ",X32," ",Z32," ",AB32," ","X"," ",Table43[[#This Row],[ISI/CTN]]," ",AH32," ",AD32," ",AF32," ",AJ32))),TRIM(UPPER(CONCATENATE(R32," ",T32," ",V32," ",X32," ",Z32," ",AB32," ","X"," ",Table43[[#This Row],[ISI/CTN]]," ",AD32," ",AF32," ",AJ32))))</f>
        <v>CARRERA POLES MOTOR 100ML X 24 PUMP</v>
      </c>
      <c r="Q32" s="11">
        <f t="shared" si="1"/>
        <v>35</v>
      </c>
      <c r="S32" s="7" t="s">
        <v>34</v>
      </c>
      <c r="T32" s="4" t="s">
        <v>2211</v>
      </c>
      <c r="U32" s="47" t="s">
        <v>2540</v>
      </c>
      <c r="V32" s="48" t="s">
        <v>2226</v>
      </c>
      <c r="W32" s="7">
        <v>5</v>
      </c>
      <c r="X32" s="48"/>
      <c r="Y32" s="47" t="s">
        <v>1116</v>
      </c>
      <c r="AA32" s="49" t="s">
        <v>1117</v>
      </c>
      <c r="AB32" s="4" t="s">
        <v>650</v>
      </c>
      <c r="AC32" s="49" t="s">
        <v>1118</v>
      </c>
      <c r="AD32" s="4" t="s">
        <v>657</v>
      </c>
      <c r="AE32" s="7">
        <v>1</v>
      </c>
      <c r="AG32" s="7">
        <v>0</v>
      </c>
      <c r="AK32" s="70">
        <f>Table43[[#This Row],[Column4]]</f>
        <v>30044060100040</v>
      </c>
      <c r="AN32" s="7">
        <f>Table43[[#This Row],[ISI/CTN]]</f>
        <v>24</v>
      </c>
      <c r="AO32" s="38">
        <f>Table43[[#This Row],[Harga Jual Pcs GT
(-PPN)]]-(Table43[[#This Row],[Harga Jual Pcs GT
(-PPN)]]*6.5%)</f>
        <v>10415.9</v>
      </c>
      <c r="AP32" s="38">
        <f>Table43[[#This Row],[Harga Beli Pcs
(-PPN)]]*Table43[[#This Row],[ISI/CTN]]</f>
        <v>249981.59999999998</v>
      </c>
      <c r="AQ32" s="38">
        <f>Table43[[#This Row],[Harga Beli Pcs
(-PPN)]]*1.11</f>
        <v>11561.649000000001</v>
      </c>
      <c r="AR32" s="38">
        <f>Table43[[#This Row],[Harga Beli Krt
(- PPN)]]*1.11</f>
        <v>277479.576</v>
      </c>
      <c r="AS32" s="38">
        <v>11140</v>
      </c>
      <c r="AT32" s="38">
        <f>Table43[[#This Row],[Harga Jual Pcs GT
(-PPN)]]*Table43[[#This Row],[ISI/CTN]]</f>
        <v>267360</v>
      </c>
      <c r="AU32" s="38">
        <f>Table43[[#This Row],[Harga Jual Pcs GT
(-PPN)]]*1.11</f>
        <v>12365.400000000001</v>
      </c>
      <c r="AV32" s="38">
        <f>Table43[[#This Row],[Harga Jual Krt GT
(- PPN)]]*1.11</f>
        <v>296769.60000000003</v>
      </c>
      <c r="AW32" s="38">
        <f>IFERROR(VLOOKUP(Table43[[#This Row],[Kode Pcpl]],'[1]FEB 2026'!$A$3:$X$312,24,0),0)</f>
        <v>0</v>
      </c>
      <c r="AX32" s="38">
        <f>Table43[[#This Row],[Harga Jual Pcs MT
(-PPN)]]*Table43[[#This Row],[ISI/CTN]]</f>
        <v>0</v>
      </c>
      <c r="AY32" s="38">
        <f>Table43[[#This Row],[Harga Jual Pcs MT
(-PPN)]]*1.11</f>
        <v>0</v>
      </c>
      <c r="AZ32" s="38">
        <f>Table43[[#This Row],[Harga Jual Pcs MT
(+PPN)]]*Table43[[#This Row],[ISI/CTN]]</f>
        <v>0</v>
      </c>
      <c r="BA32" s="46">
        <f>(Table43[[#This Row],[Harga Jual Pcs GT
(-PPN)]]-Table43[[#This Row],[Harga Beli Pcs
(-PPN)]])/Table43[[#This Row],[Harga Jual Pcs GT
(-PPN)]]</f>
        <v>6.500000000000003E-2</v>
      </c>
      <c r="BB32" s="53">
        <f>Table43[[#This Row],[Harga Jual Pcs MT
(-PPN)]]-Table43[[#This Row],[Harga Beli Pcs
(-PPN)]]</f>
        <v>-10415.9</v>
      </c>
      <c r="BC32" s="54" t="e">
        <f>Table43[[#This Row],[Column1]]/Table43[[#This Row],[Harga Jual Pcs MT
(-PPN)]]</f>
        <v>#DIV/0!</v>
      </c>
      <c r="BD32" s="52"/>
      <c r="BE32" s="7"/>
      <c r="BF32" s="7" t="str">
        <f ca="1">IF(TODAY()-Table43[[#This Row],[Efektif
Pembuatan]]&gt;60,"Lama","Baru")</f>
        <v>Lama</v>
      </c>
      <c r="BG32" s="7" t="str">
        <f ca="1">IF(TODAY()-Table43[[#This Row],[Efektif Naik Harga]]&lt;30,"Naik","Sama")</f>
        <v>Sama</v>
      </c>
      <c r="BH32" s="7"/>
      <c r="BI32" s="7" t="str">
        <f>IF(Table43[[#This Row],[Kode BARANG Win2]]&lt;&gt;"","IDR","")</f>
        <v>IDR</v>
      </c>
      <c r="BJ32" s="7" t="str">
        <f>CONCATENATE(Table43[[#This Row],[kode  1 Digit
(Nomor)]],Table43[[#This Row],[kode  4 Digit                (Nomor)]])</f>
        <v>0100</v>
      </c>
      <c r="BK32" s="7" t="str">
        <f>Table43[[#This Row],[Nama            Gramasi atau Jumlah Pack per CTN]]</f>
        <v>100ML</v>
      </c>
      <c r="BL32" s="7"/>
      <c r="BM32" s="7"/>
      <c r="BN32" s="4" t="str">
        <f>IF(Table43[[#This Row],[SATUAN Fix Win]]&lt;&gt;"","KRT")</f>
        <v>KRT</v>
      </c>
      <c r="BO32" s="4" t="str">
        <f>IF(Table43[[#This Row],[SATUAN Fix Win]]&lt;&gt;"","GD01")</f>
        <v>GD01</v>
      </c>
      <c r="BP32" s="4">
        <f>IF(Table43[[#This Row],[SATUAN Fix Win]]&lt;&gt;"",11611)</f>
        <v>11611</v>
      </c>
      <c r="BQ32" s="4">
        <f>IF(Table43[[#This Row],[SATUAN Fix Win]]&lt;&gt;"",11612)</f>
        <v>11612</v>
      </c>
      <c r="BS32" s="4">
        <f>IF(Table43[[#This Row],[SATUAN Fix Win]]&lt;&gt;"",1)</f>
        <v>1</v>
      </c>
      <c r="BU32" s="4">
        <f>Table43[[#This Row],[ISI/CTN]]</f>
        <v>24</v>
      </c>
    </row>
    <row r="33" spans="1:73">
      <c r="A33" s="4" t="str">
        <f>CONCATENATE(Table43[[#This Row],[Kode BARANG Win2]],Table43[[#This Row],[No. Urut
Item Sama]])</f>
        <v>G1046101040010</v>
      </c>
      <c r="B33" s="7"/>
      <c r="C33" s="31">
        <v>30045050400020</v>
      </c>
      <c r="D33" s="51">
        <v>40008273</v>
      </c>
      <c r="E33" s="27" t="s">
        <v>1885</v>
      </c>
      <c r="F33" s="51">
        <v>30041100180020</v>
      </c>
      <c r="G33" s="51">
        <v>0</v>
      </c>
      <c r="H33" s="27" t="s">
        <v>1134</v>
      </c>
      <c r="I33" s="27">
        <v>12</v>
      </c>
      <c r="J33" s="51" t="s">
        <v>1577</v>
      </c>
      <c r="K33" s="27" t="str">
        <f>Table43[[#This Row],[NamaJenisKemasan]]</f>
        <v>PCH</v>
      </c>
      <c r="L33" s="4" t="str">
        <f>TRIM(CONCATENATE(Table43[[#This Row],[Nama            KLP]]," ",Table43[[#This Row],[Nama            Sub KLP]]))</f>
        <v>CARRERA WASH&amp;WAX</v>
      </c>
      <c r="M33" s="4" t="str">
        <f>CONCATENATE(Table43[[#This Row],[kode  2 Digit                (hrf+No)]],Table43[[#This Row],[kode  2 Digit                (Nomor)]],Table43[[#This Row],[kode  1 Digit                (Nomor)]])</f>
        <v>G1046</v>
      </c>
      <c r="N33" s="4" t="str">
        <f>IF(AI33="",CONCATENATE(S33,U33,W33,Y33,AA33,AC33,AE33,AG33,Table43[[#This Row],[Tanda Kode Revisi]]),CONCATENATE(S33,U33,W33,Y33,AA33,AC33,AE33,AI33))</f>
        <v>G1046101040010</v>
      </c>
      <c r="O33" s="11">
        <f t="shared" si="0"/>
        <v>14</v>
      </c>
      <c r="P33" s="14" t="str">
        <f>IF(AH33&lt;&gt;"",TRIM(UPPER(CONCATENATE(R33," ",T33," ",V33," ",X33," ",Z33," ",AB33," ","X"," ",Table43[[#This Row],[ISI/CTN]]," ",AH33," ",AD33," ",AF33," ",AJ33))),TRIM(UPPER(CONCATENATE(R33," ",T33," ",V33," ",X33," ",Z33," ",AB33," ","X"," ",Table43[[#This Row],[ISI/CTN]]," ",AD33," ",AF33," ",AJ33))))</f>
        <v>CARRERA WASH&amp;WAX REFILL 400ML X 12 PCH</v>
      </c>
      <c r="Q33" s="11">
        <f t="shared" si="1"/>
        <v>38</v>
      </c>
      <c r="S33" s="7" t="s">
        <v>34</v>
      </c>
      <c r="T33" s="4" t="s">
        <v>2211</v>
      </c>
      <c r="U33" s="47" t="s">
        <v>2540</v>
      </c>
      <c r="V33" s="48" t="s">
        <v>2642</v>
      </c>
      <c r="W33" s="7">
        <v>6</v>
      </c>
      <c r="X33" s="48" t="s">
        <v>2231</v>
      </c>
      <c r="Y33" s="47" t="s">
        <v>2539</v>
      </c>
      <c r="AA33" s="49" t="s">
        <v>1115</v>
      </c>
      <c r="AB33" s="4" t="s">
        <v>635</v>
      </c>
      <c r="AC33" s="49" t="s">
        <v>2624</v>
      </c>
      <c r="AD33" s="4" t="s">
        <v>636</v>
      </c>
      <c r="AE33" s="7">
        <v>1</v>
      </c>
      <c r="AG33" s="7">
        <v>0</v>
      </c>
      <c r="AK33" s="70">
        <f>Table43[[#This Row],[Column4]]</f>
        <v>30041100180020</v>
      </c>
      <c r="AN33" s="7">
        <f>Table43[[#This Row],[ISI/CTN]]</f>
        <v>12</v>
      </c>
      <c r="AO33" s="38">
        <f>Table43[[#This Row],[Harga Jual Pcs GT
(-PPN)]]-(Table43[[#This Row],[Harga Jual Pcs GT
(-PPN)]]*6.5%)</f>
        <v>15118.95</v>
      </c>
      <c r="AP33" s="38">
        <f>Table43[[#This Row],[Harga Beli Pcs
(-PPN)]]*Table43[[#This Row],[ISI/CTN]]</f>
        <v>181427.40000000002</v>
      </c>
      <c r="AQ33" s="38">
        <f>Table43[[#This Row],[Harga Beli Pcs
(-PPN)]]*1.11</f>
        <v>16782.034500000002</v>
      </c>
      <c r="AR33" s="38">
        <f>Table43[[#This Row],[Harga Beli Krt
(- PPN)]]*1.11</f>
        <v>201384.41400000005</v>
      </c>
      <c r="AS33" s="38">
        <v>16170</v>
      </c>
      <c r="AT33" s="38">
        <f>Table43[[#This Row],[Harga Jual Pcs GT
(-PPN)]]*Table43[[#This Row],[ISI/CTN]]</f>
        <v>194040</v>
      </c>
      <c r="AU33" s="38">
        <f>Table43[[#This Row],[Harga Jual Pcs GT
(-PPN)]]*1.11</f>
        <v>17948.7</v>
      </c>
      <c r="AV33" s="38">
        <f>Table43[[#This Row],[Harga Jual Krt GT
(- PPN)]]*1.11</f>
        <v>215384.40000000002</v>
      </c>
      <c r="AW33" s="38">
        <f>IFERROR(VLOOKUP(Table43[[#This Row],[Kode Pcpl]],'[1]FEB 2026'!$A$3:$X$312,24,0),0)</f>
        <v>0</v>
      </c>
      <c r="AX33" s="38">
        <f>Table43[[#This Row],[Harga Jual Pcs MT
(-PPN)]]*Table43[[#This Row],[ISI/CTN]]</f>
        <v>0</v>
      </c>
      <c r="AY33" s="38">
        <f>Table43[[#This Row],[Harga Jual Pcs MT
(-PPN)]]*1.11</f>
        <v>0</v>
      </c>
      <c r="AZ33" s="38">
        <f>Table43[[#This Row],[Harga Jual Pcs MT
(+PPN)]]*Table43[[#This Row],[ISI/CTN]]</f>
        <v>0</v>
      </c>
      <c r="BA33" s="46">
        <f>(Table43[[#This Row],[Harga Jual Pcs GT
(-PPN)]]-Table43[[#This Row],[Harga Beli Pcs
(-PPN)]])/Table43[[#This Row],[Harga Jual Pcs GT
(-PPN)]]</f>
        <v>6.4999999999999961E-2</v>
      </c>
      <c r="BB33" s="53">
        <f>Table43[[#This Row],[Harga Jual Pcs MT
(-PPN)]]-Table43[[#This Row],[Harga Beli Pcs
(-PPN)]]</f>
        <v>-15118.95</v>
      </c>
      <c r="BC33" s="54" t="e">
        <f>Table43[[#This Row],[Column1]]/Table43[[#This Row],[Harga Jual Pcs MT
(-PPN)]]</f>
        <v>#DIV/0!</v>
      </c>
      <c r="BD33" s="52"/>
      <c r="BE33" s="7"/>
      <c r="BF33" s="7" t="str">
        <f ca="1">IF(TODAY()-Table43[[#This Row],[Efektif
Pembuatan]]&gt;60,"Lama","Baru")</f>
        <v>Lama</v>
      </c>
      <c r="BG33" s="7" t="str">
        <f ca="1">IF(TODAY()-Table43[[#This Row],[Efektif Naik Harga]]&lt;30,"Naik","Sama")</f>
        <v>Sama</v>
      </c>
      <c r="BH33" s="7"/>
      <c r="BI33" s="7" t="str">
        <f>IF(Table43[[#This Row],[Kode BARANG Win2]]&lt;&gt;"","IDR","")</f>
        <v>IDR</v>
      </c>
      <c r="BJ33" s="7" t="str">
        <f>CONCATENATE(Table43[[#This Row],[kode  1 Digit
(Nomor)]],Table43[[#This Row],[kode  4 Digit                (Nomor)]])</f>
        <v>0400</v>
      </c>
      <c r="BK33" s="7" t="str">
        <f>Table43[[#This Row],[Nama            Gramasi atau Jumlah Pack per CTN]]</f>
        <v>400ML</v>
      </c>
      <c r="BL33" s="7"/>
      <c r="BM33" s="7"/>
      <c r="BN33" s="4" t="str">
        <f>IF(Table43[[#This Row],[SATUAN Fix Win]]&lt;&gt;"","KRT")</f>
        <v>KRT</v>
      </c>
      <c r="BO33" s="4" t="str">
        <f>IF(Table43[[#This Row],[SATUAN Fix Win]]&lt;&gt;"","GD01")</f>
        <v>GD01</v>
      </c>
      <c r="BP33" s="4">
        <f>IF(Table43[[#This Row],[SATUAN Fix Win]]&lt;&gt;"",11611)</f>
        <v>11611</v>
      </c>
      <c r="BQ33" s="4">
        <f>IF(Table43[[#This Row],[SATUAN Fix Win]]&lt;&gt;"",11612)</f>
        <v>11612</v>
      </c>
      <c r="BS33" s="4">
        <f>IF(Table43[[#This Row],[SATUAN Fix Win]]&lt;&gt;"",1)</f>
        <v>1</v>
      </c>
      <c r="BU33" s="4">
        <f>Table43[[#This Row],[ISI/CTN]]</f>
        <v>12</v>
      </c>
    </row>
    <row r="34" spans="1:73">
      <c r="A34" s="4" t="str">
        <f>CONCATENATE(Table43[[#This Row],[Kode BARANG Win2]],Table43[[#This Row],[No. Urut
Item Sama]])</f>
        <v>G1047101040010</v>
      </c>
      <c r="B34" s="7"/>
      <c r="C34" s="31">
        <v>30040010175000</v>
      </c>
      <c r="D34" s="51">
        <v>40008267</v>
      </c>
      <c r="E34" s="27" t="s">
        <v>1889</v>
      </c>
      <c r="F34" s="51">
        <v>30045050400020</v>
      </c>
      <c r="G34" s="51">
        <v>0</v>
      </c>
      <c r="H34" s="27" t="s">
        <v>1138</v>
      </c>
      <c r="I34" s="27">
        <v>12</v>
      </c>
      <c r="J34" s="51" t="s">
        <v>1581</v>
      </c>
      <c r="K34" s="27" t="str">
        <f>Table43[[#This Row],[NamaJenisKemasan]]</f>
        <v>PCH</v>
      </c>
      <c r="L34" s="4" t="str">
        <f>TRIM(CONCATENATE(Table43[[#This Row],[Nama            KLP]]," ",Table43[[#This Row],[Nama            Sub KLP]]))</f>
        <v>CARRERA SHAMPOO</v>
      </c>
      <c r="M34" s="4" t="str">
        <f>CONCATENATE(Table43[[#This Row],[kode  2 Digit                (hrf+No)]],Table43[[#This Row],[kode  2 Digit                (Nomor)]],Table43[[#This Row],[kode  1 Digit                (Nomor)]])</f>
        <v>G1047</v>
      </c>
      <c r="N34" s="4" t="str">
        <f>IF(AI34="",CONCATENATE(S34,U34,W34,Y34,AA34,AC34,AE34,AG34,Table43[[#This Row],[Tanda Kode Revisi]]),CONCATENATE(S34,U34,W34,Y34,AA34,AC34,AE34,AI34))</f>
        <v>G1047101040010</v>
      </c>
      <c r="O34" s="11">
        <f t="shared" si="0"/>
        <v>14</v>
      </c>
      <c r="P34" s="14" t="str">
        <f>IF(AH34&lt;&gt;"",TRIM(UPPER(CONCATENATE(R34," ",T34," ",V34," ",X34," ",Z34," ",AB34," ","X"," ",Table43[[#This Row],[ISI/CTN]]," ",AH34," ",AD34," ",AF34," ",AJ34))),TRIM(UPPER(CONCATENATE(R34," ",T34," ",V34," ",X34," ",Z34," ",AB34," ","X"," ",Table43[[#This Row],[ISI/CTN]]," ",AD34," ",AF34," ",AJ34))))</f>
        <v>CARRERA SHAMPOO MOBIL 400ML X 12 PCH</v>
      </c>
      <c r="Q34" s="11">
        <f t="shared" si="1"/>
        <v>36</v>
      </c>
      <c r="S34" s="7" t="s">
        <v>34</v>
      </c>
      <c r="T34" s="4" t="s">
        <v>2211</v>
      </c>
      <c r="U34" s="47" t="s">
        <v>2540</v>
      </c>
      <c r="V34" s="48" t="s">
        <v>2228</v>
      </c>
      <c r="W34" s="7">
        <v>7</v>
      </c>
      <c r="X34" s="48" t="s">
        <v>2229</v>
      </c>
      <c r="Y34" s="47" t="s">
        <v>2539</v>
      </c>
      <c r="AA34" s="49" t="s">
        <v>1115</v>
      </c>
      <c r="AB34" s="4" t="s">
        <v>635</v>
      </c>
      <c r="AC34" s="49" t="s">
        <v>2624</v>
      </c>
      <c r="AD34" s="4" t="s">
        <v>636</v>
      </c>
      <c r="AE34" s="7">
        <v>1</v>
      </c>
      <c r="AG34" s="7">
        <v>0</v>
      </c>
      <c r="AK34" s="70">
        <f>Table43[[#This Row],[Column4]]</f>
        <v>30045050400020</v>
      </c>
      <c r="AN34" s="7">
        <f>Table43[[#This Row],[ISI/CTN]]</f>
        <v>12</v>
      </c>
      <c r="AO34" s="38">
        <f>Table43[[#This Row],[Harga Jual Pcs GT
(-PPN)]]-(Table43[[#This Row],[Harga Jual Pcs GT
(-PPN)]]*6.5%)</f>
        <v>6068.15</v>
      </c>
      <c r="AP34" s="38">
        <f>Table43[[#This Row],[Harga Beli Pcs
(-PPN)]]*Table43[[#This Row],[ISI/CTN]]</f>
        <v>72817.799999999988</v>
      </c>
      <c r="AQ34" s="38">
        <f>Table43[[#This Row],[Harga Beli Pcs
(-PPN)]]*1.11</f>
        <v>6735.6464999999998</v>
      </c>
      <c r="AR34" s="38">
        <f>Table43[[#This Row],[Harga Beli Krt
(- PPN)]]*1.11</f>
        <v>80827.757999999987</v>
      </c>
      <c r="AS34" s="38">
        <v>6490</v>
      </c>
      <c r="AT34" s="38">
        <f>Table43[[#This Row],[Harga Jual Pcs GT
(-PPN)]]*Table43[[#This Row],[ISI/CTN]]</f>
        <v>77880</v>
      </c>
      <c r="AU34" s="38">
        <f>Table43[[#This Row],[Harga Jual Pcs GT
(-PPN)]]*1.11</f>
        <v>7203.9000000000005</v>
      </c>
      <c r="AV34" s="38">
        <f>Table43[[#This Row],[Harga Jual Krt GT
(- PPN)]]*1.11</f>
        <v>86446.8</v>
      </c>
      <c r="AW34" s="38">
        <f>IFERROR(VLOOKUP(Table43[[#This Row],[Kode Pcpl]],'[1]FEB 2026'!$A$3:$X$312,24,0),0)</f>
        <v>0</v>
      </c>
      <c r="AX34" s="38">
        <f>Table43[[#This Row],[Harga Jual Pcs MT
(-PPN)]]*Table43[[#This Row],[ISI/CTN]]</f>
        <v>0</v>
      </c>
      <c r="AY34" s="38">
        <f>Table43[[#This Row],[Harga Jual Pcs MT
(-PPN)]]*1.11</f>
        <v>0</v>
      </c>
      <c r="AZ34" s="38">
        <f>Table43[[#This Row],[Harga Jual Pcs MT
(+PPN)]]*Table43[[#This Row],[ISI/CTN]]</f>
        <v>0</v>
      </c>
      <c r="BA34" s="46">
        <f>(Table43[[#This Row],[Harga Jual Pcs GT
(-PPN)]]-Table43[[#This Row],[Harga Beli Pcs
(-PPN)]])/Table43[[#This Row],[Harga Jual Pcs GT
(-PPN)]]</f>
        <v>6.5000000000000058E-2</v>
      </c>
      <c r="BB34" s="53">
        <f>Table43[[#This Row],[Harga Jual Pcs MT
(-PPN)]]-Table43[[#This Row],[Harga Beli Pcs
(-PPN)]]</f>
        <v>-6068.15</v>
      </c>
      <c r="BC34" s="54" t="e">
        <f>Table43[[#This Row],[Column1]]/Table43[[#This Row],[Harga Jual Pcs MT
(-PPN)]]</f>
        <v>#DIV/0!</v>
      </c>
      <c r="BD34" s="52"/>
      <c r="BE34" s="7"/>
      <c r="BF34" s="7" t="str">
        <f ca="1">IF(TODAY()-Table43[[#This Row],[Efektif
Pembuatan]]&gt;60,"Lama","Baru")</f>
        <v>Lama</v>
      </c>
      <c r="BG34" s="7" t="str">
        <f ca="1">IF(TODAY()-Table43[[#This Row],[Efektif Naik Harga]]&lt;30,"Naik","Sama")</f>
        <v>Sama</v>
      </c>
      <c r="BH34" s="7"/>
      <c r="BI34" s="7" t="str">
        <f>IF(Table43[[#This Row],[Kode BARANG Win2]]&lt;&gt;"","IDR","")</f>
        <v>IDR</v>
      </c>
      <c r="BJ34" s="7" t="str">
        <f>CONCATENATE(Table43[[#This Row],[kode  1 Digit
(Nomor)]],Table43[[#This Row],[kode  4 Digit                (Nomor)]])</f>
        <v>0400</v>
      </c>
      <c r="BK34" s="7" t="str">
        <f>Table43[[#This Row],[Nama            Gramasi atau Jumlah Pack per CTN]]</f>
        <v>400ML</v>
      </c>
      <c r="BL34" s="7"/>
      <c r="BM34" s="7"/>
      <c r="BN34" s="4" t="str">
        <f>IF(Table43[[#This Row],[SATUAN Fix Win]]&lt;&gt;"","KRT")</f>
        <v>KRT</v>
      </c>
      <c r="BO34" s="4" t="str">
        <f>IF(Table43[[#This Row],[SATUAN Fix Win]]&lt;&gt;"","GD01")</f>
        <v>GD01</v>
      </c>
      <c r="BP34" s="4">
        <f>IF(Table43[[#This Row],[SATUAN Fix Win]]&lt;&gt;"",11611)</f>
        <v>11611</v>
      </c>
      <c r="BQ34" s="4">
        <f>IF(Table43[[#This Row],[SATUAN Fix Win]]&lt;&gt;"",11612)</f>
        <v>11612</v>
      </c>
      <c r="BS34" s="4">
        <f>IF(Table43[[#This Row],[SATUAN Fix Win]]&lt;&gt;"",1)</f>
        <v>1</v>
      </c>
      <c r="BU34" s="4">
        <f>Table43[[#This Row],[ISI/CTN]]</f>
        <v>12</v>
      </c>
    </row>
    <row r="35" spans="1:73">
      <c r="A35" s="4" t="str">
        <f>CONCATENATE(Table43[[#This Row],[Kode BARANG Win2]],Table43[[#This Row],[No. Urut
Item Sama]])</f>
        <v>G1047101080010</v>
      </c>
      <c r="B35" s="7"/>
      <c r="C35" s="31">
        <v>30040040200020</v>
      </c>
      <c r="D35" s="59">
        <v>40008266</v>
      </c>
      <c r="E35" s="60" t="s">
        <v>1890</v>
      </c>
      <c r="F35" s="59">
        <v>30045050800020</v>
      </c>
      <c r="G35" s="59">
        <v>0</v>
      </c>
      <c r="H35" s="60" t="s">
        <v>1139</v>
      </c>
      <c r="I35" s="60">
        <v>12</v>
      </c>
      <c r="J35" s="59" t="s">
        <v>1582</v>
      </c>
      <c r="K35" s="60" t="str">
        <f>Table43[[#This Row],[NamaJenisKemasan]]</f>
        <v>PCH</v>
      </c>
      <c r="L35" s="4" t="str">
        <f>TRIM(CONCATENATE(Table43[[#This Row],[Nama            KLP]]," ",Table43[[#This Row],[Nama            Sub KLP]]))</f>
        <v>CARRERA SHAMPOO</v>
      </c>
      <c r="M35" s="4" t="str">
        <f>CONCATENATE(Table43[[#This Row],[kode  2 Digit                (hrf+No)]],Table43[[#This Row],[kode  2 Digit                (Nomor)]],Table43[[#This Row],[kode  1 Digit                (Nomor)]])</f>
        <v>G1047</v>
      </c>
      <c r="N35" s="4" t="str">
        <f>IF(AI35="",CONCATENATE(S35,U35,W35,Y35,AA35,AC35,AE35,AG35,Table43[[#This Row],[Tanda Kode Revisi]]),CONCATENATE(S35,U35,W35,Y35,AA35,AC35,AE35,AI35))</f>
        <v>G1047101080010</v>
      </c>
      <c r="O35" s="11">
        <f t="shared" si="0"/>
        <v>14</v>
      </c>
      <c r="P35" s="14" t="str">
        <f>IF(AH35&lt;&gt;"",TRIM(UPPER(CONCATENATE(R35," ",T35," ",V35," ",X35," ",Z35," ",AB35," ","X"," ",Table43[[#This Row],[ISI/CTN]]," ",AH35," ",AD35," ",AF35," ",AJ35))),TRIM(UPPER(CONCATENATE(R35," ",T35," ",V35," ",X35," ",Z35," ",AB35," ","X"," ",Table43[[#This Row],[ISI/CTN]]," ",AD35," ",AF35," ",AJ35))))</f>
        <v>CARRERA SHAMPOO MOBIL 800ML X 12 PCH</v>
      </c>
      <c r="Q35" s="11">
        <f t="shared" si="1"/>
        <v>36</v>
      </c>
      <c r="S35" s="7" t="s">
        <v>34</v>
      </c>
      <c r="T35" s="4" t="s">
        <v>2211</v>
      </c>
      <c r="U35" s="47" t="s">
        <v>2540</v>
      </c>
      <c r="V35" s="48" t="s">
        <v>2228</v>
      </c>
      <c r="W35" s="7">
        <v>7</v>
      </c>
      <c r="X35" s="48" t="s">
        <v>2229</v>
      </c>
      <c r="Y35" s="47" t="s">
        <v>2539</v>
      </c>
      <c r="AA35" s="49" t="s">
        <v>1115</v>
      </c>
      <c r="AB35" s="4" t="s">
        <v>1082</v>
      </c>
      <c r="AC35" s="49" t="s">
        <v>2638</v>
      </c>
      <c r="AD35" s="4" t="s">
        <v>636</v>
      </c>
      <c r="AE35" s="7">
        <v>1</v>
      </c>
      <c r="AG35" s="7">
        <v>0</v>
      </c>
      <c r="AK35" s="70">
        <f>Table43[[#This Row],[Column4]]</f>
        <v>30045050800020</v>
      </c>
      <c r="AN35" s="7">
        <f>Table43[[#This Row],[ISI/CTN]]</f>
        <v>12</v>
      </c>
      <c r="AO35" s="38">
        <f>Table43[[#This Row],[Harga Jual Pcs GT
(-PPN)]]-(Table43[[#This Row],[Harga Jual Pcs GT
(-PPN)]]*6.5%)</f>
        <v>9901.65</v>
      </c>
      <c r="AP35" s="38">
        <f>Table43[[#This Row],[Harga Beli Pcs
(-PPN)]]*Table43[[#This Row],[ISI/CTN]]</f>
        <v>118819.79999999999</v>
      </c>
      <c r="AQ35" s="38">
        <f>Table43[[#This Row],[Harga Beli Pcs
(-PPN)]]*1.11</f>
        <v>10990.8315</v>
      </c>
      <c r="AR35" s="38">
        <f>Table43[[#This Row],[Harga Beli Krt
(- PPN)]]*1.11</f>
        <v>131889.978</v>
      </c>
      <c r="AS35" s="38">
        <v>10590</v>
      </c>
      <c r="AT35" s="38">
        <f>Table43[[#This Row],[Harga Jual Pcs GT
(-PPN)]]*Table43[[#This Row],[ISI/CTN]]</f>
        <v>127080</v>
      </c>
      <c r="AU35" s="38">
        <f>Table43[[#This Row],[Harga Jual Pcs GT
(-PPN)]]*1.11</f>
        <v>11754.900000000001</v>
      </c>
      <c r="AV35" s="38">
        <f>Table43[[#This Row],[Harga Jual Krt GT
(- PPN)]]*1.11</f>
        <v>141058.80000000002</v>
      </c>
      <c r="AW35" s="38">
        <f>IFERROR(VLOOKUP(Table43[[#This Row],[Kode Pcpl]],'[1]FEB 2026'!$A$3:$X$312,24,0),0)</f>
        <v>0</v>
      </c>
      <c r="AX35" s="38">
        <f>Table43[[#This Row],[Harga Jual Pcs MT
(-PPN)]]*Table43[[#This Row],[ISI/CTN]]</f>
        <v>0</v>
      </c>
      <c r="AY35" s="38">
        <f>Table43[[#This Row],[Harga Jual Pcs MT
(-PPN)]]*1.11</f>
        <v>0</v>
      </c>
      <c r="AZ35" s="38">
        <f>Table43[[#This Row],[Harga Jual Pcs MT
(+PPN)]]*Table43[[#This Row],[ISI/CTN]]</f>
        <v>0</v>
      </c>
      <c r="BA35" s="46">
        <f>(Table43[[#This Row],[Harga Jual Pcs GT
(-PPN)]]-Table43[[#This Row],[Harga Beli Pcs
(-PPN)]])/Table43[[#This Row],[Harga Jual Pcs GT
(-PPN)]]</f>
        <v>6.500000000000003E-2</v>
      </c>
      <c r="BB35" s="53">
        <f>Table43[[#This Row],[Harga Jual Pcs MT
(-PPN)]]-Table43[[#This Row],[Harga Beli Pcs
(-PPN)]]</f>
        <v>-9901.65</v>
      </c>
      <c r="BC35" s="54" t="e">
        <f>Table43[[#This Row],[Column1]]/Table43[[#This Row],[Harga Jual Pcs MT
(-PPN)]]</f>
        <v>#DIV/0!</v>
      </c>
      <c r="BD35" s="52"/>
      <c r="BE35" s="7"/>
      <c r="BF35" s="7" t="str">
        <f ca="1">IF(TODAY()-Table43[[#This Row],[Efektif
Pembuatan]]&gt;60,"Lama","Baru")</f>
        <v>Lama</v>
      </c>
      <c r="BG35" s="7" t="str">
        <f ca="1">IF(TODAY()-Table43[[#This Row],[Efektif Naik Harga]]&lt;30,"Naik","Sama")</f>
        <v>Sama</v>
      </c>
      <c r="BH35" s="7"/>
      <c r="BI35" s="7" t="str">
        <f>IF(Table43[[#This Row],[Kode BARANG Win2]]&lt;&gt;"","IDR","")</f>
        <v>IDR</v>
      </c>
      <c r="BJ35" s="7" t="str">
        <f>CONCATENATE(Table43[[#This Row],[kode  1 Digit
(Nomor)]],Table43[[#This Row],[kode  4 Digit                (Nomor)]])</f>
        <v>0800</v>
      </c>
      <c r="BK35" s="7" t="str">
        <f>Table43[[#This Row],[Nama            Gramasi atau Jumlah Pack per CTN]]</f>
        <v>800ML</v>
      </c>
      <c r="BL35" s="7"/>
      <c r="BM35" s="7"/>
      <c r="BN35" s="4" t="str">
        <f>IF(Table43[[#This Row],[SATUAN Fix Win]]&lt;&gt;"","KRT")</f>
        <v>KRT</v>
      </c>
      <c r="BO35" s="4" t="str">
        <f>IF(Table43[[#This Row],[SATUAN Fix Win]]&lt;&gt;"","GD01")</f>
        <v>GD01</v>
      </c>
      <c r="BP35" s="4">
        <f>IF(Table43[[#This Row],[SATUAN Fix Win]]&lt;&gt;"",11611)</f>
        <v>11611</v>
      </c>
      <c r="BQ35" s="4">
        <f>IF(Table43[[#This Row],[SATUAN Fix Win]]&lt;&gt;"",11612)</f>
        <v>11612</v>
      </c>
      <c r="BS35" s="4">
        <f>IF(Table43[[#This Row],[SATUAN Fix Win]]&lt;&gt;"",1)</f>
        <v>1</v>
      </c>
      <c r="BU35" s="4">
        <f>Table43[[#This Row],[ISI/CTN]]</f>
        <v>12</v>
      </c>
    </row>
    <row r="36" spans="1:73">
      <c r="A36" s="4" t="str">
        <f>CONCATENATE(Table43[[#This Row],[Kode BARANG Win2]],Table43[[#This Row],[No. Urut
Item Sama]])</f>
        <v>G1047202002020</v>
      </c>
      <c r="B36" s="7"/>
      <c r="C36" s="31">
        <v>30041100180020</v>
      </c>
      <c r="D36" s="59">
        <v>40009997</v>
      </c>
      <c r="E36" s="60" t="s">
        <v>1891</v>
      </c>
      <c r="F36" s="59">
        <v>30045060020010</v>
      </c>
      <c r="G36" s="59">
        <v>0</v>
      </c>
      <c r="H36" s="60" t="s">
        <v>1140</v>
      </c>
      <c r="I36" s="60">
        <v>144</v>
      </c>
      <c r="J36" s="59" t="s">
        <v>1583</v>
      </c>
      <c r="K36" s="60" t="str">
        <f>Table43[[#This Row],[NamaJenisKemasan]]</f>
        <v>PCS</v>
      </c>
      <c r="L36" s="4" t="str">
        <f>TRIM(CONCATENATE(Table43[[#This Row],[Nama            KLP]]," ",Table43[[#This Row],[Nama            Sub KLP]]))</f>
        <v>CARRERA SHAMPOO</v>
      </c>
      <c r="M36" s="4" t="str">
        <f>CONCATENATE(Table43[[#This Row],[kode  2 Digit                (hrf+No)]],Table43[[#This Row],[kode  2 Digit                (Nomor)]],Table43[[#This Row],[kode  1 Digit                (Nomor)]])</f>
        <v>G1047</v>
      </c>
      <c r="N36" s="4" t="str">
        <f>IF(AI36="",CONCATENATE(S36,U36,W36,Y36,AA36,AC36,AE36,AG36,Table43[[#This Row],[Tanda Kode Revisi]]),CONCATENATE(S36,U36,W36,Y36,AA36,AC36,AE36,AI36))</f>
        <v>G1047202002020</v>
      </c>
      <c r="O36" s="11">
        <f t="shared" si="0"/>
        <v>14</v>
      </c>
      <c r="P36" s="14" t="str">
        <f>IF(AH36&lt;&gt;"",TRIM(UPPER(CONCATENATE(R36," ",T36," ",V36," ",X36," ",Z36," ",AB36," ","X"," ",Table43[[#This Row],[ISI/CTN]]," ",AH36," ",AD36," ",AF36," ",AJ36))),TRIM(UPPER(CONCATENATE(R36," ",T36," ",V36," ",X36," ",Z36," ",AB36," ","X"," ",Table43[[#This Row],[ISI/CTN]]," ",AD36," ",AF36," ",AJ36))))</f>
        <v>CARRERA SHAMPOO MOTOR 20ML X 144 PCS</v>
      </c>
      <c r="Q36" s="11">
        <f t="shared" si="1"/>
        <v>36</v>
      </c>
      <c r="S36" s="7" t="s">
        <v>34</v>
      </c>
      <c r="T36" s="4" t="s">
        <v>2211</v>
      </c>
      <c r="U36" s="47" t="s">
        <v>2540</v>
      </c>
      <c r="V36" s="48" t="s">
        <v>2228</v>
      </c>
      <c r="W36" s="7">
        <v>7</v>
      </c>
      <c r="X36" s="48" t="s">
        <v>2230</v>
      </c>
      <c r="Y36" s="47" t="s">
        <v>2572</v>
      </c>
      <c r="AA36" s="49" t="s">
        <v>2459</v>
      </c>
      <c r="AB36" s="4" t="s">
        <v>653</v>
      </c>
      <c r="AC36" s="49" t="s">
        <v>2607</v>
      </c>
      <c r="AD36" s="4" t="s">
        <v>185</v>
      </c>
      <c r="AE36" s="7">
        <v>2</v>
      </c>
      <c r="AG36" s="7">
        <v>0</v>
      </c>
      <c r="AK36" s="70">
        <f>Table43[[#This Row],[Column4]]</f>
        <v>30045060020010</v>
      </c>
      <c r="AN36" s="7">
        <f>Table43[[#This Row],[ISI/CTN]]</f>
        <v>144</v>
      </c>
      <c r="AO36" s="38">
        <f>Table43[[#This Row],[Harga Jual Pcs GT
(-PPN)]]-(Table43[[#This Row],[Harga Jual Pcs GT
(-PPN)]]*6.5%)</f>
        <v>336.6</v>
      </c>
      <c r="AP36" s="38">
        <f>Table43[[#This Row],[Harga Beli Pcs
(-PPN)]]*Table43[[#This Row],[ISI/CTN]]</f>
        <v>48470.400000000001</v>
      </c>
      <c r="AQ36" s="38">
        <f>Table43[[#This Row],[Harga Beli Pcs
(-PPN)]]*1.11</f>
        <v>373.62600000000003</v>
      </c>
      <c r="AR36" s="38">
        <f>Table43[[#This Row],[Harga Beli Krt
(- PPN)]]*1.11</f>
        <v>53802.144000000008</v>
      </c>
      <c r="AS36" s="38">
        <v>360</v>
      </c>
      <c r="AT36" s="38">
        <f>Table43[[#This Row],[Harga Jual Pcs GT
(-PPN)]]*Table43[[#This Row],[ISI/CTN]]</f>
        <v>51840</v>
      </c>
      <c r="AU36" s="38">
        <f>Table43[[#This Row],[Harga Jual Pcs GT
(-PPN)]]*1.11</f>
        <v>399.6</v>
      </c>
      <c r="AV36" s="38">
        <f>Table43[[#This Row],[Harga Jual Krt GT
(- PPN)]]*1.11</f>
        <v>57542.400000000001</v>
      </c>
      <c r="AW36" s="38">
        <f>IFERROR(VLOOKUP(Table43[[#This Row],[Kode Pcpl]],'[1]FEB 2026'!$A$3:$X$312,24,0),0)</f>
        <v>0</v>
      </c>
      <c r="AX36" s="38">
        <f>Table43[[#This Row],[Harga Jual Pcs MT
(-PPN)]]*Table43[[#This Row],[ISI/CTN]]</f>
        <v>0</v>
      </c>
      <c r="AY36" s="38">
        <f>Table43[[#This Row],[Harga Jual Pcs MT
(-PPN)]]*1.11</f>
        <v>0</v>
      </c>
      <c r="AZ36" s="38">
        <f>Table43[[#This Row],[Harga Jual Pcs MT
(+PPN)]]*Table43[[#This Row],[ISI/CTN]]</f>
        <v>0</v>
      </c>
      <c r="BA36" s="46">
        <f>(Table43[[#This Row],[Harga Jual Pcs GT
(-PPN)]]-Table43[[#This Row],[Harga Beli Pcs
(-PPN)]])/Table43[[#This Row],[Harga Jual Pcs GT
(-PPN)]]</f>
        <v>6.4999999999999933E-2</v>
      </c>
      <c r="BB36" s="53">
        <f>Table43[[#This Row],[Harga Jual Pcs MT
(-PPN)]]-Table43[[#This Row],[Harga Beli Pcs
(-PPN)]]</f>
        <v>-336.6</v>
      </c>
      <c r="BC36" s="54" t="e">
        <f>Table43[[#This Row],[Column1]]/Table43[[#This Row],[Harga Jual Pcs MT
(-PPN)]]</f>
        <v>#DIV/0!</v>
      </c>
      <c r="BD36" s="52"/>
      <c r="BE36" s="7"/>
      <c r="BF36" s="7" t="str">
        <f ca="1">IF(TODAY()-Table43[[#This Row],[Efektif
Pembuatan]]&gt;60,"Lama","Baru")</f>
        <v>Lama</v>
      </c>
      <c r="BG36" s="7" t="str">
        <f ca="1">IF(TODAY()-Table43[[#This Row],[Efektif Naik Harga]]&lt;30,"Naik","Sama")</f>
        <v>Sama</v>
      </c>
      <c r="BH36" s="7"/>
      <c r="BI36" s="7" t="str">
        <f>IF(Table43[[#This Row],[Kode BARANG Win2]]&lt;&gt;"","IDR","")</f>
        <v>IDR</v>
      </c>
      <c r="BJ36" s="7" t="str">
        <f>CONCATENATE(Table43[[#This Row],[kode  1 Digit
(Nomor)]],Table43[[#This Row],[kode  4 Digit                (Nomor)]])</f>
        <v>0020</v>
      </c>
      <c r="BK36" s="7" t="str">
        <f>Table43[[#This Row],[Nama            Gramasi atau Jumlah Pack per CTN]]</f>
        <v>20ML</v>
      </c>
      <c r="BL36" s="7"/>
      <c r="BM36" s="7"/>
      <c r="BN36" s="4" t="str">
        <f>IF(Table43[[#This Row],[SATUAN Fix Win]]&lt;&gt;"","KRT")</f>
        <v>KRT</v>
      </c>
      <c r="BO36" s="4" t="str">
        <f>IF(Table43[[#This Row],[SATUAN Fix Win]]&lt;&gt;"","GD01")</f>
        <v>GD01</v>
      </c>
      <c r="BP36" s="4">
        <f>IF(Table43[[#This Row],[SATUAN Fix Win]]&lt;&gt;"",11611)</f>
        <v>11611</v>
      </c>
      <c r="BQ36" s="4">
        <f>IF(Table43[[#This Row],[SATUAN Fix Win]]&lt;&gt;"",11612)</f>
        <v>11612</v>
      </c>
      <c r="BS36" s="4">
        <f>IF(Table43[[#This Row],[SATUAN Fix Win]]&lt;&gt;"",1)</f>
        <v>1</v>
      </c>
      <c r="BU36" s="4">
        <f>Table43[[#This Row],[ISI/CTN]]</f>
        <v>144</v>
      </c>
    </row>
    <row r="37" spans="1:73">
      <c r="A37" s="4" t="str">
        <f>CONCATENATE(Table43[[#This Row],[Kode BARANG Win2]],Table43[[#This Row],[No. Urut
Item Sama]])</f>
        <v>G1048101018010</v>
      </c>
      <c r="B37" s="7"/>
      <c r="C37" s="31">
        <v>30043040400000</v>
      </c>
      <c r="D37" s="51">
        <v>40007529</v>
      </c>
      <c r="E37" s="27" t="s">
        <v>1892</v>
      </c>
      <c r="F37" s="51">
        <v>30046050180010</v>
      </c>
      <c r="G37" s="51">
        <v>0</v>
      </c>
      <c r="H37" s="27" t="s">
        <v>1141</v>
      </c>
      <c r="I37" s="27">
        <v>24</v>
      </c>
      <c r="J37" s="51" t="s">
        <v>1584</v>
      </c>
      <c r="K37" s="27" t="str">
        <f>Table43[[#This Row],[NamaJenisKemasan]]</f>
        <v>PCS</v>
      </c>
      <c r="L37" s="4" t="str">
        <f>TRIM(CONCATENATE(Table43[[#This Row],[Nama            KLP]]," ",Table43[[#This Row],[Nama            Sub KLP]]))</f>
        <v>CARRERA SPON</v>
      </c>
      <c r="M37" s="4" t="str">
        <f>CONCATENATE(Table43[[#This Row],[kode  2 Digit                (hrf+No)]],Table43[[#This Row],[kode  2 Digit                (Nomor)]],Table43[[#This Row],[kode  1 Digit                (Nomor)]])</f>
        <v>G1048</v>
      </c>
      <c r="N37" s="4" t="str">
        <f>IF(AI37="",CONCATENATE(S37,U37,W37,Y37,AA37,AC37,AE37,AG37,Table43[[#This Row],[Tanda Kode Revisi]]),CONCATENATE(S37,U37,W37,Y37,AA37,AC37,AE37,AI37))</f>
        <v>G1048101018010</v>
      </c>
      <c r="O37" s="11">
        <f t="shared" si="0"/>
        <v>14</v>
      </c>
      <c r="P37" s="14" t="str">
        <f>IF(AH37&lt;&gt;"",TRIM(UPPER(CONCATENATE(R37," ",T37," ",V37," ",X37," ",Z37," ",AB37," ","X"," ",Table43[[#This Row],[ISI/CTN]]," ",AH37," ",AD37," ",AF37," ",AJ37))),TRIM(UPPER(CONCATENATE(R37," ",T37," ",V37," ",X37," ",Z37," ",AB37," ","X"," ",Table43[[#This Row],[ISI/CTN]]," ",AD37," ",AF37," ",AJ37))))</f>
        <v>CARRERA SPON MOBIL 180GR X 24 PCS</v>
      </c>
      <c r="Q37" s="11">
        <f t="shared" si="1"/>
        <v>33</v>
      </c>
      <c r="S37" s="7" t="s">
        <v>34</v>
      </c>
      <c r="T37" s="4" t="s">
        <v>2211</v>
      </c>
      <c r="U37" s="47" t="s">
        <v>2540</v>
      </c>
      <c r="V37" s="48" t="s">
        <v>2218</v>
      </c>
      <c r="W37" s="7">
        <v>8</v>
      </c>
      <c r="X37" s="48" t="s">
        <v>2229</v>
      </c>
      <c r="Y37" s="47" t="s">
        <v>2539</v>
      </c>
      <c r="AA37" s="49" t="s">
        <v>1115</v>
      </c>
      <c r="AB37" s="4" t="s">
        <v>2227</v>
      </c>
      <c r="AC37" s="49" t="s">
        <v>2602</v>
      </c>
      <c r="AD37" s="4" t="s">
        <v>185</v>
      </c>
      <c r="AE37" s="7">
        <v>1</v>
      </c>
      <c r="AG37" s="7">
        <v>0</v>
      </c>
      <c r="AK37" s="70">
        <f>Table43[[#This Row],[Column4]]</f>
        <v>30046050180010</v>
      </c>
      <c r="AN37" s="7">
        <f>Table43[[#This Row],[ISI/CTN]]</f>
        <v>24</v>
      </c>
      <c r="AO37" s="38">
        <f>Table43[[#This Row],[Harga Jual Pcs GT
(-PPN)]]-(Table43[[#This Row],[Harga Jual Pcs GT
(-PPN)]]*6.5%)</f>
        <v>11537.9</v>
      </c>
      <c r="AP37" s="38">
        <f>Table43[[#This Row],[Harga Beli Pcs
(-PPN)]]*Table43[[#This Row],[ISI/CTN]]</f>
        <v>276909.59999999998</v>
      </c>
      <c r="AQ37" s="38">
        <f>Table43[[#This Row],[Harga Beli Pcs
(-PPN)]]*1.11</f>
        <v>12807.069000000001</v>
      </c>
      <c r="AR37" s="38">
        <f>Table43[[#This Row],[Harga Beli Krt
(- PPN)]]*1.11</f>
        <v>307369.65600000002</v>
      </c>
      <c r="AS37" s="38">
        <v>12340</v>
      </c>
      <c r="AT37" s="38">
        <f>Table43[[#This Row],[Harga Jual Pcs GT
(-PPN)]]*Table43[[#This Row],[ISI/CTN]]</f>
        <v>296160</v>
      </c>
      <c r="AU37" s="38">
        <f>Table43[[#This Row],[Harga Jual Pcs GT
(-PPN)]]*1.11</f>
        <v>13697.400000000001</v>
      </c>
      <c r="AV37" s="38">
        <f>Table43[[#This Row],[Harga Jual Krt GT
(- PPN)]]*1.11</f>
        <v>328737.60000000003</v>
      </c>
      <c r="AW37" s="38">
        <f>IFERROR(VLOOKUP(Table43[[#This Row],[Kode Pcpl]],'[1]FEB 2026'!$A$3:$X$312,24,0),0)</f>
        <v>0</v>
      </c>
      <c r="AX37" s="38">
        <f>Table43[[#This Row],[Harga Jual Pcs MT
(-PPN)]]*Table43[[#This Row],[ISI/CTN]]</f>
        <v>0</v>
      </c>
      <c r="AY37" s="38">
        <f>Table43[[#This Row],[Harga Jual Pcs MT
(-PPN)]]*1.11</f>
        <v>0</v>
      </c>
      <c r="AZ37" s="38">
        <f>Table43[[#This Row],[Harga Jual Pcs MT
(+PPN)]]*Table43[[#This Row],[ISI/CTN]]</f>
        <v>0</v>
      </c>
      <c r="BA37" s="46">
        <f>(Table43[[#This Row],[Harga Jual Pcs GT
(-PPN)]]-Table43[[#This Row],[Harga Beli Pcs
(-PPN)]])/Table43[[#This Row],[Harga Jual Pcs GT
(-PPN)]]</f>
        <v>6.500000000000003E-2</v>
      </c>
      <c r="BB37" s="53">
        <f>Table43[[#This Row],[Harga Jual Pcs MT
(-PPN)]]-Table43[[#This Row],[Harga Beli Pcs
(-PPN)]]</f>
        <v>-11537.9</v>
      </c>
      <c r="BC37" s="54" t="e">
        <f>Table43[[#This Row],[Column1]]/Table43[[#This Row],[Harga Jual Pcs MT
(-PPN)]]</f>
        <v>#DIV/0!</v>
      </c>
      <c r="BD37" s="52"/>
      <c r="BE37" s="7"/>
      <c r="BF37" s="7" t="str">
        <f ca="1">IF(TODAY()-Table43[[#This Row],[Efektif
Pembuatan]]&gt;60,"Lama","Baru")</f>
        <v>Lama</v>
      </c>
      <c r="BG37" s="7" t="str">
        <f ca="1">IF(TODAY()-Table43[[#This Row],[Efektif Naik Harga]]&lt;30,"Naik","Sama")</f>
        <v>Sama</v>
      </c>
      <c r="BH37" s="7"/>
      <c r="BI37" s="7" t="str">
        <f>IF(Table43[[#This Row],[Kode BARANG Win2]]&lt;&gt;"","IDR","")</f>
        <v>IDR</v>
      </c>
      <c r="BJ37" s="7" t="str">
        <f>CONCATENATE(Table43[[#This Row],[kode  1 Digit
(Nomor)]],Table43[[#This Row],[kode  4 Digit                (Nomor)]])</f>
        <v>0180</v>
      </c>
      <c r="BK37" s="7" t="str">
        <f>Table43[[#This Row],[Nama            Gramasi atau Jumlah Pack per CTN]]</f>
        <v>180GR</v>
      </c>
      <c r="BL37" s="7"/>
      <c r="BM37" s="7"/>
      <c r="BN37" s="4" t="str">
        <f>IF(Table43[[#This Row],[SATUAN Fix Win]]&lt;&gt;"","KRT")</f>
        <v>KRT</v>
      </c>
      <c r="BO37" s="4" t="str">
        <f>IF(Table43[[#This Row],[SATUAN Fix Win]]&lt;&gt;"","GD01")</f>
        <v>GD01</v>
      </c>
      <c r="BP37" s="4">
        <f>IF(Table43[[#This Row],[SATUAN Fix Win]]&lt;&gt;"",11611)</f>
        <v>11611</v>
      </c>
      <c r="BQ37" s="4">
        <f>IF(Table43[[#This Row],[SATUAN Fix Win]]&lt;&gt;"",11612)</f>
        <v>11612</v>
      </c>
      <c r="BS37" s="4">
        <f>IF(Table43[[#This Row],[SATUAN Fix Win]]&lt;&gt;"",1)</f>
        <v>1</v>
      </c>
      <c r="BU37" s="4">
        <f>Table43[[#This Row],[ISI/CTN]]</f>
        <v>24</v>
      </c>
    </row>
    <row r="38" spans="1:73">
      <c r="A38" s="4" t="str">
        <f>CONCATENATE(Table43[[#This Row],[Kode BARANG Win2]],Table43[[#This Row],[No. Urut
Item Sama]])</f>
        <v>G1048202018010</v>
      </c>
      <c r="B38" s="7"/>
      <c r="C38" s="31">
        <v>30042030110000</v>
      </c>
      <c r="D38" s="59">
        <v>40008280</v>
      </c>
      <c r="E38" s="60" t="s">
        <v>1893</v>
      </c>
      <c r="F38" s="59">
        <v>30046060180010</v>
      </c>
      <c r="G38" s="59">
        <v>0</v>
      </c>
      <c r="H38" s="60" t="s">
        <v>1142</v>
      </c>
      <c r="I38" s="60">
        <v>144</v>
      </c>
      <c r="J38" s="59" t="s">
        <v>1585</v>
      </c>
      <c r="K38" s="60" t="str">
        <f>Table43[[#This Row],[NamaJenisKemasan]]</f>
        <v>PCS</v>
      </c>
      <c r="L38" s="4" t="str">
        <f>TRIM(CONCATENATE(Table43[[#This Row],[Nama            KLP]]," ",Table43[[#This Row],[Nama            Sub KLP]]))</f>
        <v>CARRERA SPON</v>
      </c>
      <c r="M38" s="4" t="str">
        <f>CONCATENATE(Table43[[#This Row],[kode  2 Digit                (hrf+No)]],Table43[[#This Row],[kode  2 Digit                (Nomor)]],Table43[[#This Row],[kode  1 Digit                (Nomor)]])</f>
        <v>G1048</v>
      </c>
      <c r="N38" s="4" t="str">
        <f>IF(AI38="",CONCATENATE(S38,U38,W38,Y38,AA38,AC38,AE38,AG38,Table43[[#This Row],[Tanda Kode Revisi]]),CONCATENATE(S38,U38,W38,Y38,AA38,AC38,AE38,AI38))</f>
        <v>G1048202018010</v>
      </c>
      <c r="O38" s="11">
        <f t="shared" si="0"/>
        <v>14</v>
      </c>
      <c r="P38" s="14" t="str">
        <f>IF(AH38&lt;&gt;"",TRIM(UPPER(CONCATENATE(R38," ",T38," ",V38," ",X38," ",Z38," ",AB38," ","X"," ",Table43[[#This Row],[ISI/CTN]]," ",AH38," ",AD38," ",AF38," ",AJ38))),TRIM(UPPER(CONCATENATE(R38," ",T38," ",V38," ",X38," ",Z38," ",AB38," ","X"," ",Table43[[#This Row],[ISI/CTN]]," ",AD38," ",AF38," ",AJ38))))</f>
        <v>CARRERA SPON MOTOR 180GR X 144 PCS</v>
      </c>
      <c r="Q38" s="11">
        <f t="shared" si="1"/>
        <v>34</v>
      </c>
      <c r="S38" s="7" t="s">
        <v>34</v>
      </c>
      <c r="T38" s="4" t="s">
        <v>2211</v>
      </c>
      <c r="U38" s="47" t="s">
        <v>2540</v>
      </c>
      <c r="V38" s="48" t="s">
        <v>2218</v>
      </c>
      <c r="W38" s="7">
        <v>8</v>
      </c>
      <c r="X38" s="48" t="s">
        <v>2230</v>
      </c>
      <c r="Y38" s="47" t="s">
        <v>2572</v>
      </c>
      <c r="AA38" s="49" t="s">
        <v>2459</v>
      </c>
      <c r="AB38" s="4" t="s">
        <v>2227</v>
      </c>
      <c r="AC38" s="49" t="s">
        <v>2602</v>
      </c>
      <c r="AD38" s="4" t="s">
        <v>185</v>
      </c>
      <c r="AE38" s="7">
        <v>1</v>
      </c>
      <c r="AG38" s="7">
        <v>0</v>
      </c>
      <c r="AK38" s="70">
        <f>Table43[[#This Row],[Column4]]</f>
        <v>30046060180010</v>
      </c>
      <c r="AN38" s="7">
        <f>Table43[[#This Row],[ISI/CTN]]</f>
        <v>144</v>
      </c>
      <c r="AO38" s="38">
        <f>Table43[[#This Row],[Harga Jual Pcs GT
(-PPN)]]-(Table43[[#This Row],[Harga Jual Pcs GT
(-PPN)]]*6.5%)</f>
        <v>2215.9499999999998</v>
      </c>
      <c r="AP38" s="38">
        <f>Table43[[#This Row],[Harga Beli Pcs
(-PPN)]]*Table43[[#This Row],[ISI/CTN]]</f>
        <v>319096.8</v>
      </c>
      <c r="AQ38" s="38">
        <f>Table43[[#This Row],[Harga Beli Pcs
(-PPN)]]*1.11</f>
        <v>2459.7044999999998</v>
      </c>
      <c r="AR38" s="38">
        <f>Table43[[#This Row],[Harga Beli Krt
(- PPN)]]*1.11</f>
        <v>354197.44800000003</v>
      </c>
      <c r="AS38" s="38">
        <v>2370</v>
      </c>
      <c r="AT38" s="38">
        <f>Table43[[#This Row],[Harga Jual Pcs GT
(-PPN)]]*Table43[[#This Row],[ISI/CTN]]</f>
        <v>341280</v>
      </c>
      <c r="AU38" s="38">
        <f>Table43[[#This Row],[Harga Jual Pcs GT
(-PPN)]]*1.11</f>
        <v>2630.7000000000003</v>
      </c>
      <c r="AV38" s="38">
        <f>Table43[[#This Row],[Harga Jual Krt GT
(- PPN)]]*1.11</f>
        <v>378820.80000000005</v>
      </c>
      <c r="AW38" s="38">
        <f>IFERROR(VLOOKUP(Table43[[#This Row],[Kode Pcpl]],'[1]FEB 2026'!$A$3:$X$312,24,0),0)</f>
        <v>0</v>
      </c>
      <c r="AX38" s="38">
        <f>Table43[[#This Row],[Harga Jual Pcs MT
(-PPN)]]*Table43[[#This Row],[ISI/CTN]]</f>
        <v>0</v>
      </c>
      <c r="AY38" s="38">
        <f>Table43[[#This Row],[Harga Jual Pcs MT
(-PPN)]]*1.11</f>
        <v>0</v>
      </c>
      <c r="AZ38" s="38">
        <f>Table43[[#This Row],[Harga Jual Pcs MT
(+PPN)]]*Table43[[#This Row],[ISI/CTN]]</f>
        <v>0</v>
      </c>
      <c r="BA38" s="46">
        <f>(Table43[[#This Row],[Harga Jual Pcs GT
(-PPN)]]-Table43[[#This Row],[Harga Beli Pcs
(-PPN)]])/Table43[[#This Row],[Harga Jual Pcs GT
(-PPN)]]</f>
        <v>6.5000000000000072E-2</v>
      </c>
      <c r="BB38" s="53">
        <f>Table43[[#This Row],[Harga Jual Pcs MT
(-PPN)]]-Table43[[#This Row],[Harga Beli Pcs
(-PPN)]]</f>
        <v>-2215.9499999999998</v>
      </c>
      <c r="BC38" s="54" t="e">
        <f>Table43[[#This Row],[Column1]]/Table43[[#This Row],[Harga Jual Pcs MT
(-PPN)]]</f>
        <v>#DIV/0!</v>
      </c>
      <c r="BD38" s="52"/>
      <c r="BE38" s="7"/>
      <c r="BF38" s="7" t="str">
        <f ca="1">IF(TODAY()-Table43[[#This Row],[Efektif
Pembuatan]]&gt;60,"Lama","Baru")</f>
        <v>Lama</v>
      </c>
      <c r="BG38" s="7" t="str">
        <f ca="1">IF(TODAY()-Table43[[#This Row],[Efektif Naik Harga]]&lt;30,"Naik","Sama")</f>
        <v>Sama</v>
      </c>
      <c r="BH38" s="7"/>
      <c r="BI38" s="7" t="str">
        <f>IF(Table43[[#This Row],[Kode BARANG Win2]]&lt;&gt;"","IDR","")</f>
        <v>IDR</v>
      </c>
      <c r="BJ38" s="7" t="str">
        <f>CONCATENATE(Table43[[#This Row],[kode  1 Digit
(Nomor)]],Table43[[#This Row],[kode  4 Digit                (Nomor)]])</f>
        <v>0180</v>
      </c>
      <c r="BK38" s="7" t="str">
        <f>Table43[[#This Row],[Nama            Gramasi atau Jumlah Pack per CTN]]</f>
        <v>180GR</v>
      </c>
      <c r="BL38" s="7"/>
      <c r="BM38" s="7"/>
      <c r="BN38" s="4" t="str">
        <f>IF(Table43[[#This Row],[SATUAN Fix Win]]&lt;&gt;"","KRT")</f>
        <v>KRT</v>
      </c>
      <c r="BO38" s="4" t="str">
        <f>IF(Table43[[#This Row],[SATUAN Fix Win]]&lt;&gt;"","GD01")</f>
        <v>GD01</v>
      </c>
      <c r="BP38" s="4">
        <f>IF(Table43[[#This Row],[SATUAN Fix Win]]&lt;&gt;"",11611)</f>
        <v>11611</v>
      </c>
      <c r="BQ38" s="4">
        <f>IF(Table43[[#This Row],[SATUAN Fix Win]]&lt;&gt;"",11612)</f>
        <v>11612</v>
      </c>
      <c r="BS38" s="4">
        <f>IF(Table43[[#This Row],[SATUAN Fix Win]]&lt;&gt;"",1)</f>
        <v>1</v>
      </c>
      <c r="BU38" s="4">
        <f>Table43[[#This Row],[ISI/CTN]]</f>
        <v>144</v>
      </c>
    </row>
    <row r="39" spans="1:73">
      <c r="A39" s="4" t="str">
        <f>CONCATENATE(Table43[[#This Row],[Kode BARANG Win2]],Table43[[#This Row],[No. Urut
Item Sama]])</f>
        <v>G1048303018010</v>
      </c>
      <c r="B39" s="7"/>
      <c r="C39" s="31">
        <v>30044060100040</v>
      </c>
      <c r="D39" s="51">
        <v>40007530</v>
      </c>
      <c r="E39" s="27" t="s">
        <v>1894</v>
      </c>
      <c r="F39" s="51">
        <v>30046090180010</v>
      </c>
      <c r="G39" s="51">
        <v>0</v>
      </c>
      <c r="H39" s="27" t="s">
        <v>1143</v>
      </c>
      <c r="I39" s="27">
        <v>24</v>
      </c>
      <c r="J39" s="51" t="s">
        <v>1586</v>
      </c>
      <c r="K39" s="27" t="str">
        <f>Table43[[#This Row],[NamaJenisKemasan]]</f>
        <v>PCS</v>
      </c>
      <c r="L39" s="4" t="str">
        <f>TRIM(CONCATENATE(Table43[[#This Row],[Nama            KLP]]," ",Table43[[#This Row],[Nama            Sub KLP]]))</f>
        <v>CARRERA SPON</v>
      </c>
      <c r="M39" s="4" t="str">
        <f>CONCATENATE(Table43[[#This Row],[kode  2 Digit                (hrf+No)]],Table43[[#This Row],[kode  2 Digit                (Nomor)]],Table43[[#This Row],[kode  1 Digit                (Nomor)]])</f>
        <v>G1048</v>
      </c>
      <c r="N39" s="4" t="str">
        <f>IF(AI39="",CONCATENATE(S39,U39,W39,Y39,AA39,AC39,AE39,AG39,Table43[[#This Row],[Tanda Kode Revisi]]),CONCATENATE(S39,U39,W39,Y39,AA39,AC39,AE39,AI39))</f>
        <v>G1048303018010</v>
      </c>
      <c r="O39" s="11">
        <f t="shared" si="0"/>
        <v>14</v>
      </c>
      <c r="P39" s="14" t="str">
        <f>IF(AH39&lt;&gt;"",TRIM(UPPER(CONCATENATE(R39," ",T39," ",V39," ",X39," ",Z39," ",AB39," ","X"," ",Table43[[#This Row],[ISI/CTN]]," ",AH39," ",AD39," ",AF39," ",AJ39))),TRIM(UPPER(CONCATENATE(R39," ",T39," ",V39," ",X39," ",Z39," ",AB39," ","X"," ",Table43[[#This Row],[ISI/CTN]]," ",AD39," ",AF39," ",AJ39))))</f>
        <v>CARRERA SPON SERBA GUNA 180GR X 24 PCS</v>
      </c>
      <c r="Q39" s="11">
        <f t="shared" si="1"/>
        <v>38</v>
      </c>
      <c r="S39" s="7" t="s">
        <v>34</v>
      </c>
      <c r="T39" s="4" t="s">
        <v>2211</v>
      </c>
      <c r="U39" s="47" t="s">
        <v>2540</v>
      </c>
      <c r="V39" s="48" t="s">
        <v>2218</v>
      </c>
      <c r="W39" s="7">
        <v>8</v>
      </c>
      <c r="X39" s="48" t="s">
        <v>2216</v>
      </c>
      <c r="Y39" s="47" t="s">
        <v>2576</v>
      </c>
      <c r="AA39" s="49" t="s">
        <v>2538</v>
      </c>
      <c r="AB39" s="4" t="s">
        <v>2227</v>
      </c>
      <c r="AC39" s="49" t="s">
        <v>2602</v>
      </c>
      <c r="AD39" s="4" t="s">
        <v>185</v>
      </c>
      <c r="AE39" s="7">
        <v>1</v>
      </c>
      <c r="AG39" s="7">
        <v>0</v>
      </c>
      <c r="AK39" s="70">
        <f>Table43[[#This Row],[Column4]]</f>
        <v>30046090180010</v>
      </c>
      <c r="AN39" s="7">
        <f>Table43[[#This Row],[ISI/CTN]]</f>
        <v>24</v>
      </c>
      <c r="AO39" s="38">
        <f>Table43[[#This Row],[Harga Jual Pcs GT
(-PPN)]]-(Table43[[#This Row],[Harga Jual Pcs GT
(-PPN)]]*6.5%)</f>
        <v>7077.95</v>
      </c>
      <c r="AP39" s="38">
        <f>Table43[[#This Row],[Harga Beli Pcs
(-PPN)]]*Table43[[#This Row],[ISI/CTN]]</f>
        <v>169870.8</v>
      </c>
      <c r="AQ39" s="38">
        <f>Table43[[#This Row],[Harga Beli Pcs
(-PPN)]]*1.11</f>
        <v>7856.5245000000004</v>
      </c>
      <c r="AR39" s="38">
        <f>Table43[[#This Row],[Harga Beli Krt
(- PPN)]]*1.11</f>
        <v>188556.58800000002</v>
      </c>
      <c r="AS39" s="38">
        <v>7570</v>
      </c>
      <c r="AT39" s="38">
        <f>Table43[[#This Row],[Harga Jual Pcs GT
(-PPN)]]*Table43[[#This Row],[ISI/CTN]]</f>
        <v>181680</v>
      </c>
      <c r="AU39" s="38">
        <f>Table43[[#This Row],[Harga Jual Pcs GT
(-PPN)]]*1.11</f>
        <v>8402.7000000000007</v>
      </c>
      <c r="AV39" s="38">
        <f>Table43[[#This Row],[Harga Jual Krt GT
(- PPN)]]*1.11</f>
        <v>201664.80000000002</v>
      </c>
      <c r="AW39" s="38">
        <f>IFERROR(VLOOKUP(Table43[[#This Row],[Kode Pcpl]],'[1]FEB 2026'!$A$3:$X$312,24,0),0)</f>
        <v>0</v>
      </c>
      <c r="AX39" s="38">
        <f>Table43[[#This Row],[Harga Jual Pcs MT
(-PPN)]]*Table43[[#This Row],[ISI/CTN]]</f>
        <v>0</v>
      </c>
      <c r="AY39" s="38">
        <f>Table43[[#This Row],[Harga Jual Pcs MT
(-PPN)]]*1.11</f>
        <v>0</v>
      </c>
      <c r="AZ39" s="38">
        <f>Table43[[#This Row],[Harga Jual Pcs MT
(+PPN)]]*Table43[[#This Row],[ISI/CTN]]</f>
        <v>0</v>
      </c>
      <c r="BA39" s="46">
        <f>(Table43[[#This Row],[Harga Jual Pcs GT
(-PPN)]]-Table43[[#This Row],[Harga Beli Pcs
(-PPN)]])/Table43[[#This Row],[Harga Jual Pcs GT
(-PPN)]]</f>
        <v>6.500000000000003E-2</v>
      </c>
      <c r="BB39" s="53">
        <f>Table43[[#This Row],[Harga Jual Pcs MT
(-PPN)]]-Table43[[#This Row],[Harga Beli Pcs
(-PPN)]]</f>
        <v>-7077.95</v>
      </c>
      <c r="BC39" s="54" t="e">
        <f>Table43[[#This Row],[Column1]]/Table43[[#This Row],[Harga Jual Pcs MT
(-PPN)]]</f>
        <v>#DIV/0!</v>
      </c>
      <c r="BD39" s="52"/>
      <c r="BE39" s="7"/>
      <c r="BF39" s="7" t="str">
        <f ca="1">IF(TODAY()-Table43[[#This Row],[Efektif
Pembuatan]]&gt;60,"Lama","Baru")</f>
        <v>Lama</v>
      </c>
      <c r="BG39" s="7" t="str">
        <f ca="1">IF(TODAY()-Table43[[#This Row],[Efektif Naik Harga]]&lt;30,"Naik","Sama")</f>
        <v>Sama</v>
      </c>
      <c r="BH39" s="7"/>
      <c r="BI39" s="7" t="str">
        <f>IF(Table43[[#This Row],[Kode BARANG Win2]]&lt;&gt;"","IDR","")</f>
        <v>IDR</v>
      </c>
      <c r="BJ39" s="7" t="str">
        <f>CONCATENATE(Table43[[#This Row],[kode  1 Digit
(Nomor)]],Table43[[#This Row],[kode  4 Digit                (Nomor)]])</f>
        <v>0180</v>
      </c>
      <c r="BK39" s="7" t="str">
        <f>Table43[[#This Row],[Nama            Gramasi atau Jumlah Pack per CTN]]</f>
        <v>180GR</v>
      </c>
      <c r="BL39" s="7"/>
      <c r="BM39" s="7"/>
      <c r="BN39" s="4" t="str">
        <f>IF(Table43[[#This Row],[SATUAN Fix Win]]&lt;&gt;"","KRT")</f>
        <v>KRT</v>
      </c>
      <c r="BO39" s="4" t="str">
        <f>IF(Table43[[#This Row],[SATUAN Fix Win]]&lt;&gt;"","GD01")</f>
        <v>GD01</v>
      </c>
      <c r="BP39" s="4">
        <f>IF(Table43[[#This Row],[SATUAN Fix Win]]&lt;&gt;"",11611)</f>
        <v>11611</v>
      </c>
      <c r="BQ39" s="4">
        <f>IF(Table43[[#This Row],[SATUAN Fix Win]]&lt;&gt;"",11612)</f>
        <v>11612</v>
      </c>
      <c r="BS39" s="4">
        <f>IF(Table43[[#This Row],[SATUAN Fix Win]]&lt;&gt;"",1)</f>
        <v>1</v>
      </c>
      <c r="BU39" s="4">
        <f>Table43[[#This Row],[ISI/CTN]]</f>
        <v>24</v>
      </c>
    </row>
    <row r="40" spans="1:73">
      <c r="A40" s="4" t="str">
        <f>CONCATENATE(Table43[[#This Row],[Kode BARANG Win2]],Table43[[#This Row],[No. Urut
Item Sama]])</f>
        <v>G1049000025010</v>
      </c>
      <c r="B40" s="7"/>
      <c r="C40" s="31">
        <v>30040070250000</v>
      </c>
      <c r="D40" s="59">
        <v>40008271</v>
      </c>
      <c r="E40" s="67" t="s">
        <v>2472</v>
      </c>
      <c r="F40" s="69">
        <v>30040070250000</v>
      </c>
      <c r="G40" s="69">
        <v>0</v>
      </c>
      <c r="H40" s="60">
        <v>0</v>
      </c>
      <c r="I40" s="60">
        <v>12</v>
      </c>
      <c r="J40" s="59">
        <v>0</v>
      </c>
      <c r="K40" s="60" t="str">
        <f>Table43[[#This Row],[NamaJenisKemasan]]</f>
        <v>BTL</v>
      </c>
      <c r="L40" s="4" t="str">
        <f>TRIM(CONCATENATE(Table43[[#This Row],[Nama            KLP]]," ",Table43[[#This Row],[Nama            Sub KLP]]))</f>
        <v>CARRERA WIPER&amp;WASH</v>
      </c>
      <c r="M40" s="4" t="str">
        <f>CONCATENATE(Table43[[#This Row],[kode  2 Digit                (hrf+No)]],Table43[[#This Row],[kode  2 Digit                (Nomor)]],Table43[[#This Row],[kode  1 Digit                (Nomor)]])</f>
        <v>G1049</v>
      </c>
      <c r="N40" s="4" t="str">
        <f>IF(AI40="",CONCATENATE(S40,U40,W40,Y40,AA40,AC40,AE40,AG40,Table43[[#This Row],[Tanda Kode Revisi]]),CONCATENATE(S40,U40,W40,Y40,AA40,AC40,AE40,AI40))</f>
        <v>G1049000025010</v>
      </c>
      <c r="O40" s="11">
        <f t="shared" si="0"/>
        <v>14</v>
      </c>
      <c r="P40" s="14" t="str">
        <f>IF(AH40&lt;&gt;"",TRIM(UPPER(CONCATENATE(R40," ",T40," ",V40," ",X40," ",Z40," ",AB40," ","X"," ",Table43[[#This Row],[ISI/CTN]]," ",AH40," ",AD40," ",AF40," ",AJ40))),TRIM(UPPER(CONCATENATE(R40," ",T40," ",V40," ",X40," ",Z40," ",AB40," ","X"," ",Table43[[#This Row],[ISI/CTN]]," ",AD40," ",AF40," ",AJ40))))</f>
        <v>CARRERA WIPER&amp;WASH 250ML X 12 BTL</v>
      </c>
      <c r="Q40" s="11">
        <f t="shared" si="1"/>
        <v>33</v>
      </c>
      <c r="S40" s="7" t="s">
        <v>34</v>
      </c>
      <c r="T40" s="4" t="s">
        <v>2211</v>
      </c>
      <c r="U40" s="47" t="s">
        <v>2540</v>
      </c>
      <c r="V40" s="48" t="s">
        <v>2513</v>
      </c>
      <c r="W40" s="7">
        <v>9</v>
      </c>
      <c r="X40" s="48"/>
      <c r="Y40" s="47" t="s">
        <v>1116</v>
      </c>
      <c r="AA40" s="49" t="s">
        <v>1117</v>
      </c>
      <c r="AB40" s="4" t="s">
        <v>2370</v>
      </c>
      <c r="AC40" s="49" t="s">
        <v>2613</v>
      </c>
      <c r="AD40" s="4" t="s">
        <v>647</v>
      </c>
      <c r="AE40" s="7">
        <v>1</v>
      </c>
      <c r="AG40" s="7">
        <v>0</v>
      </c>
      <c r="AK40" s="70">
        <f>Table43[[#This Row],[Column4]]</f>
        <v>30040070250000</v>
      </c>
      <c r="AN40" s="7">
        <f>Table43[[#This Row],[ISI/CTN]]</f>
        <v>12</v>
      </c>
      <c r="AO40" s="38">
        <f>Table43[[#This Row],[Harga Jual Pcs GT
(-PPN)]]-(Table43[[#This Row],[Harga Jual Pcs GT
(-PPN)]]*6.5%)</f>
        <v>4338.3999999999996</v>
      </c>
      <c r="AP40" s="38">
        <f>Table43[[#This Row],[Harga Beli Pcs
(-PPN)]]*Table43[[#This Row],[ISI/CTN]]</f>
        <v>52060.799999999996</v>
      </c>
      <c r="AQ40" s="38">
        <f>Table43[[#This Row],[Harga Beli Pcs
(-PPN)]]*1.11</f>
        <v>4815.6239999999998</v>
      </c>
      <c r="AR40" s="38">
        <f>Table43[[#This Row],[Harga Beli Krt
(- PPN)]]*1.11</f>
        <v>57787.487999999998</v>
      </c>
      <c r="AS40" s="38">
        <v>4640</v>
      </c>
      <c r="AT40" s="38">
        <f>Table43[[#This Row],[Harga Jual Pcs GT
(-PPN)]]*Table43[[#This Row],[ISI/CTN]]</f>
        <v>55680</v>
      </c>
      <c r="AU40" s="38">
        <f>Table43[[#This Row],[Harga Jual Pcs GT
(-PPN)]]*1.11</f>
        <v>5150.4000000000005</v>
      </c>
      <c r="AV40" s="38">
        <f>Table43[[#This Row],[Harga Jual Krt GT
(- PPN)]]*1.11</f>
        <v>61804.800000000003</v>
      </c>
      <c r="AW40" s="38">
        <f>IFERROR(VLOOKUP(Table43[[#This Row],[Kode Pcpl]],'[1]FEB 2026'!$A$3:$X$312,24,0),0)</f>
        <v>0</v>
      </c>
      <c r="AX40" s="38">
        <f>Table43[[#This Row],[Harga Jual Pcs MT
(-PPN)]]*Table43[[#This Row],[ISI/CTN]]</f>
        <v>0</v>
      </c>
      <c r="AY40" s="38">
        <f>Table43[[#This Row],[Harga Jual Pcs MT
(-PPN)]]*1.11</f>
        <v>0</v>
      </c>
      <c r="AZ40" s="38">
        <f>Table43[[#This Row],[Harga Jual Pcs MT
(+PPN)]]*Table43[[#This Row],[ISI/CTN]]</f>
        <v>0</v>
      </c>
      <c r="BA40" s="46">
        <f>(Table43[[#This Row],[Harga Jual Pcs GT
(-PPN)]]-Table43[[#This Row],[Harga Beli Pcs
(-PPN)]])/Table43[[#This Row],[Harga Jual Pcs GT
(-PPN)]]</f>
        <v>6.5000000000000072E-2</v>
      </c>
      <c r="BB40" s="53">
        <f>Table43[[#This Row],[Harga Jual Pcs MT
(-PPN)]]-Table43[[#This Row],[Harga Beli Pcs
(-PPN)]]</f>
        <v>-4338.3999999999996</v>
      </c>
      <c r="BC40" s="54" t="e">
        <f>Table43[[#This Row],[Column1]]/Table43[[#This Row],[Harga Jual Pcs MT
(-PPN)]]</f>
        <v>#DIV/0!</v>
      </c>
      <c r="BD40" s="52"/>
      <c r="BE40" s="7"/>
      <c r="BF40" s="7" t="str">
        <f ca="1">IF(TODAY()-Table43[[#This Row],[Efektif
Pembuatan]]&gt;60,"Lama","Baru")</f>
        <v>Lama</v>
      </c>
      <c r="BG40" s="7" t="str">
        <f ca="1">IF(TODAY()-Table43[[#This Row],[Efektif Naik Harga]]&lt;30,"Naik","Sama")</f>
        <v>Sama</v>
      </c>
      <c r="BH40" s="7"/>
      <c r="BI40" s="7" t="str">
        <f>IF(Table43[[#This Row],[Kode BARANG Win2]]&lt;&gt;"","IDR","")</f>
        <v>IDR</v>
      </c>
      <c r="BJ40" s="7" t="str">
        <f>CONCATENATE(Table43[[#This Row],[kode  1 Digit
(Nomor)]],Table43[[#This Row],[kode  4 Digit                (Nomor)]])</f>
        <v>0250</v>
      </c>
      <c r="BK40" s="7" t="str">
        <f>Table43[[#This Row],[Nama            Gramasi atau Jumlah Pack per CTN]]</f>
        <v>250ML</v>
      </c>
      <c r="BL40" s="7"/>
      <c r="BM40" s="7"/>
      <c r="BN40" s="4" t="str">
        <f>IF(Table43[[#This Row],[SATUAN Fix Win]]&lt;&gt;"","KRT")</f>
        <v>KRT</v>
      </c>
      <c r="BO40" s="4" t="str">
        <f>IF(Table43[[#This Row],[SATUAN Fix Win]]&lt;&gt;"","GD01")</f>
        <v>GD01</v>
      </c>
      <c r="BP40" s="4">
        <f>IF(Table43[[#This Row],[SATUAN Fix Win]]&lt;&gt;"",11611)</f>
        <v>11611</v>
      </c>
      <c r="BQ40" s="4">
        <f>IF(Table43[[#This Row],[SATUAN Fix Win]]&lt;&gt;"",11612)</f>
        <v>11612</v>
      </c>
      <c r="BS40" s="4">
        <f>IF(Table43[[#This Row],[SATUAN Fix Win]]&lt;&gt;"",1)</f>
        <v>1</v>
      </c>
      <c r="BU40" s="4">
        <f>Table43[[#This Row],[ISI/CTN]]</f>
        <v>12</v>
      </c>
    </row>
    <row r="41" spans="1:73">
      <c r="A41" s="4" t="str">
        <f>CONCATENATE(Table43[[#This Row],[Kode BARANG Win2]],Table43[[#This Row],[No. Urut
Item Sama]])</f>
        <v>G1051001003010</v>
      </c>
      <c r="B41" s="7"/>
      <c r="C41" s="31">
        <v>30050020030000</v>
      </c>
      <c r="D41" s="51">
        <v>40008198</v>
      </c>
      <c r="E41" s="66" t="s">
        <v>2473</v>
      </c>
      <c r="F41" s="68">
        <v>30050020030000</v>
      </c>
      <c r="G41" s="68">
        <v>0</v>
      </c>
      <c r="H41" s="27">
        <v>0</v>
      </c>
      <c r="I41" s="27">
        <v>72</v>
      </c>
      <c r="J41" s="51">
        <v>0</v>
      </c>
      <c r="K41" s="27" t="str">
        <f>Table43[[#This Row],[NamaJenisKemasan]]</f>
        <v>PCS</v>
      </c>
      <c r="L41" s="4" t="str">
        <f>TRIM(CONCATENATE(Table43[[#This Row],[Nama            KLP]]," ",Table43[[#This Row],[Nama            Sub KLP]]))</f>
        <v>FOGO PENGHARUM LEMARI</v>
      </c>
      <c r="M41" s="4" t="str">
        <f>CONCATENATE(Table43[[#This Row],[kode  2 Digit                (hrf+No)]],Table43[[#This Row],[kode  2 Digit                (Nomor)]],Table43[[#This Row],[kode  1 Digit                (Nomor)]])</f>
        <v>G1051</v>
      </c>
      <c r="N41" s="4" t="str">
        <f>IF(AI41="",CONCATENATE(S41,U41,W41,Y41,AA41,AC41,AE41,AG41,Table43[[#This Row],[Tanda Kode Revisi]]),CONCATENATE(S41,U41,W41,Y41,AA41,AC41,AE41,AI41))</f>
        <v>G1051001003010</v>
      </c>
      <c r="O41" s="11">
        <f t="shared" si="0"/>
        <v>14</v>
      </c>
      <c r="P41" s="14" t="str">
        <f>IF(AH41&lt;&gt;"",TRIM(UPPER(CONCATENATE(R41," ",T41," ",V41," ",X41," ",Z41," ",AB41," ","X"," ",Table43[[#This Row],[ISI/CTN]]," ",AH41," ",AD41," ",AF41," ",AJ41))),TRIM(UPPER(CONCATENATE(R41," ",T41," ",V41," ",X41," ",Z41," ",AB41," ","X"," ",Table43[[#This Row],[ISI/CTN]]," ",AD41," ",AF41," ",AJ41))))</f>
        <v>FOGO PENGHARUM LEMARI BREEZE 30GR X 72 PCS</v>
      </c>
      <c r="Q41" s="11">
        <f t="shared" si="1"/>
        <v>42</v>
      </c>
      <c r="S41" s="7" t="s">
        <v>34</v>
      </c>
      <c r="T41" s="4" t="s">
        <v>2212</v>
      </c>
      <c r="U41" s="47" t="s">
        <v>2541</v>
      </c>
      <c r="V41" s="48" t="s">
        <v>2235</v>
      </c>
      <c r="W41" s="7">
        <v>1</v>
      </c>
      <c r="X41" s="48"/>
      <c r="Y41" s="47" t="s">
        <v>1116</v>
      </c>
      <c r="Z41" s="4" t="s">
        <v>2514</v>
      </c>
      <c r="AA41" s="49" t="s">
        <v>1115</v>
      </c>
      <c r="AB41" s="4" t="s">
        <v>2237</v>
      </c>
      <c r="AC41" s="49" t="s">
        <v>2617</v>
      </c>
      <c r="AD41" s="4" t="s">
        <v>185</v>
      </c>
      <c r="AE41" s="7">
        <v>1</v>
      </c>
      <c r="AG41" s="7">
        <v>0</v>
      </c>
      <c r="AK41" s="70">
        <f>Table43[[#This Row],[Column4]]</f>
        <v>30050020030000</v>
      </c>
      <c r="AN41" s="7">
        <f>Table43[[#This Row],[ISI/CTN]]</f>
        <v>72</v>
      </c>
      <c r="AO41" s="38">
        <f>Table43[[#This Row],[Harga Jual Pcs GT
(-PPN)]]-(Table43[[#This Row],[Harga Jual Pcs GT
(-PPN)]]*6.5%)</f>
        <v>5792.3249999999998</v>
      </c>
      <c r="AP41" s="38">
        <f>Table43[[#This Row],[Harga Beli Pcs
(-PPN)]]*Table43[[#This Row],[ISI/CTN]]</f>
        <v>417047.39999999997</v>
      </c>
      <c r="AQ41" s="38">
        <f>Table43[[#This Row],[Harga Beli Pcs
(-PPN)]]*1.11</f>
        <v>6429.4807500000006</v>
      </c>
      <c r="AR41" s="38">
        <f>Table43[[#This Row],[Harga Beli Krt
(- PPN)]]*1.11</f>
        <v>462922.614</v>
      </c>
      <c r="AS41" s="38">
        <v>6195</v>
      </c>
      <c r="AT41" s="38">
        <f>Table43[[#This Row],[Harga Jual Pcs GT
(-PPN)]]*Table43[[#This Row],[ISI/CTN]]</f>
        <v>446040</v>
      </c>
      <c r="AU41" s="38">
        <f>Table43[[#This Row],[Harga Jual Pcs GT
(-PPN)]]*1.11</f>
        <v>6876.4500000000007</v>
      </c>
      <c r="AV41" s="38">
        <f>Table43[[#This Row],[Harga Jual Krt GT
(- PPN)]]*1.11</f>
        <v>495104.4</v>
      </c>
      <c r="AW41" s="38">
        <f>IFERROR(VLOOKUP(Table43[[#This Row],[Kode Pcpl]],'[1]FEB 2026'!$A$3:$X$312,24,0),0)</f>
        <v>0</v>
      </c>
      <c r="AX41" s="38">
        <f>Table43[[#This Row],[Harga Jual Pcs MT
(-PPN)]]*Table43[[#This Row],[ISI/CTN]]</f>
        <v>0</v>
      </c>
      <c r="AY41" s="38">
        <f>Table43[[#This Row],[Harga Jual Pcs MT
(-PPN)]]*1.11</f>
        <v>0</v>
      </c>
      <c r="AZ41" s="38">
        <f>Table43[[#This Row],[Harga Jual Pcs MT
(+PPN)]]*Table43[[#This Row],[ISI/CTN]]</f>
        <v>0</v>
      </c>
      <c r="BA41" s="46">
        <f>(Table43[[#This Row],[Harga Jual Pcs GT
(-PPN)]]-Table43[[#This Row],[Harga Beli Pcs
(-PPN)]])/Table43[[#This Row],[Harga Jual Pcs GT
(-PPN)]]</f>
        <v>6.500000000000003E-2</v>
      </c>
      <c r="BB41" s="53">
        <f>Table43[[#This Row],[Harga Jual Pcs MT
(-PPN)]]-Table43[[#This Row],[Harga Beli Pcs
(-PPN)]]</f>
        <v>-5792.3249999999998</v>
      </c>
      <c r="BC41" s="54" t="e">
        <f>Table43[[#This Row],[Column1]]/Table43[[#This Row],[Harga Jual Pcs MT
(-PPN)]]</f>
        <v>#DIV/0!</v>
      </c>
      <c r="BD41" s="52"/>
      <c r="BE41" s="7"/>
      <c r="BF41" s="7" t="str">
        <f ca="1">IF(TODAY()-Table43[[#This Row],[Efektif
Pembuatan]]&gt;60,"Lama","Baru")</f>
        <v>Lama</v>
      </c>
      <c r="BG41" s="7" t="str">
        <f ca="1">IF(TODAY()-Table43[[#This Row],[Efektif Naik Harga]]&lt;30,"Naik","Sama")</f>
        <v>Sama</v>
      </c>
      <c r="BH41" s="7"/>
      <c r="BI41" s="7" t="str">
        <f>IF(Table43[[#This Row],[Kode BARANG Win2]]&lt;&gt;"","IDR","")</f>
        <v>IDR</v>
      </c>
      <c r="BJ41" s="7" t="str">
        <f>CONCATENATE(Table43[[#This Row],[kode  1 Digit
(Nomor)]],Table43[[#This Row],[kode  4 Digit                (Nomor)]])</f>
        <v>0030</v>
      </c>
      <c r="BK41" s="7" t="str">
        <f>Table43[[#This Row],[Nama            Gramasi atau Jumlah Pack per CTN]]</f>
        <v>30GR</v>
      </c>
      <c r="BL41" s="7"/>
      <c r="BM41" s="7"/>
      <c r="BN41" s="4" t="str">
        <f>IF(Table43[[#This Row],[SATUAN Fix Win]]&lt;&gt;"","KRT")</f>
        <v>KRT</v>
      </c>
      <c r="BO41" s="4" t="str">
        <f>IF(Table43[[#This Row],[SATUAN Fix Win]]&lt;&gt;"","GD01")</f>
        <v>GD01</v>
      </c>
      <c r="BP41" s="4">
        <f>IF(Table43[[#This Row],[SATUAN Fix Win]]&lt;&gt;"",11611)</f>
        <v>11611</v>
      </c>
      <c r="BQ41" s="4">
        <f>IF(Table43[[#This Row],[SATUAN Fix Win]]&lt;&gt;"",11612)</f>
        <v>11612</v>
      </c>
      <c r="BS41" s="4">
        <f>IF(Table43[[#This Row],[SATUAN Fix Win]]&lt;&gt;"",1)</f>
        <v>1</v>
      </c>
      <c r="BU41" s="4">
        <f>Table43[[#This Row],[ISI/CTN]]</f>
        <v>72</v>
      </c>
    </row>
    <row r="42" spans="1:73">
      <c r="A42" s="4" t="str">
        <f>CONCATENATE(Table43[[#This Row],[Kode BARANG Win2]],Table43[[#This Row],[No. Urut
Item Sama]])</f>
        <v>G1051002003010</v>
      </c>
      <c r="B42" s="7"/>
      <c r="C42" s="31">
        <v>30045060020010</v>
      </c>
      <c r="D42" s="59">
        <v>40008199</v>
      </c>
      <c r="E42" s="60" t="s">
        <v>1897</v>
      </c>
      <c r="F42" s="59">
        <v>30050030030000</v>
      </c>
      <c r="G42" s="59">
        <v>0</v>
      </c>
      <c r="H42" s="60" t="s">
        <v>1146</v>
      </c>
      <c r="I42" s="60">
        <v>72</v>
      </c>
      <c r="J42" s="59" t="s">
        <v>1589</v>
      </c>
      <c r="K42" s="60" t="str">
        <f>Table43[[#This Row],[NamaJenisKemasan]]</f>
        <v>PCS</v>
      </c>
      <c r="L42" s="4" t="str">
        <f>TRIM(CONCATENATE(Table43[[#This Row],[Nama            KLP]]," ",Table43[[#This Row],[Nama            Sub KLP]]))</f>
        <v>FOGO PENGHARUM LEMARI</v>
      </c>
      <c r="M42" s="4" t="str">
        <f>CONCATENATE(Table43[[#This Row],[kode  2 Digit                (hrf+No)]],Table43[[#This Row],[kode  2 Digit                (Nomor)]],Table43[[#This Row],[kode  1 Digit                (Nomor)]])</f>
        <v>G1051</v>
      </c>
      <c r="N42" s="4" t="str">
        <f>IF(AI42="",CONCATENATE(S42,U42,W42,Y42,AA42,AC42,AE42,AG42,Table43[[#This Row],[Tanda Kode Revisi]]),CONCATENATE(S42,U42,W42,Y42,AA42,AC42,AE42,AI42))</f>
        <v>G1051002003010</v>
      </c>
      <c r="O42" s="11">
        <f t="shared" si="0"/>
        <v>14</v>
      </c>
      <c r="P42" s="14" t="str">
        <f>IF(AH42&lt;&gt;"",TRIM(UPPER(CONCATENATE(R42," ",T42," ",V42," ",X42," ",Z42," ",AB42," ","X"," ",Table43[[#This Row],[ISI/CTN]]," ",AH42," ",AD42," ",AF42," ",AJ42))),TRIM(UPPER(CONCATENATE(R42," ",T42," ",V42," ",X42," ",Z42," ",AB42," ","X"," ",Table43[[#This Row],[ISI/CTN]]," ",AD42," ",AF42," ",AJ42))))</f>
        <v>FOGO PENGHARUM LEMARI FLORAL 30GR X 72 PCS</v>
      </c>
      <c r="Q42" s="11">
        <f t="shared" si="1"/>
        <v>42</v>
      </c>
      <c r="S42" s="7" t="s">
        <v>34</v>
      </c>
      <c r="T42" s="4" t="s">
        <v>2212</v>
      </c>
      <c r="U42" s="47" t="s">
        <v>2541</v>
      </c>
      <c r="V42" s="48" t="s">
        <v>2235</v>
      </c>
      <c r="W42" s="7">
        <v>1</v>
      </c>
      <c r="X42" s="48"/>
      <c r="Y42" s="47" t="s">
        <v>1116</v>
      </c>
      <c r="Z42" s="4" t="s">
        <v>2232</v>
      </c>
      <c r="AA42" s="49" t="s">
        <v>2459</v>
      </c>
      <c r="AB42" s="4" t="s">
        <v>2237</v>
      </c>
      <c r="AC42" s="49" t="s">
        <v>2617</v>
      </c>
      <c r="AD42" s="4" t="s">
        <v>185</v>
      </c>
      <c r="AE42" s="7">
        <v>1</v>
      </c>
      <c r="AG42" s="7">
        <v>0</v>
      </c>
      <c r="AK42" s="70">
        <f>Table43[[#This Row],[Column4]]</f>
        <v>30050030030000</v>
      </c>
      <c r="AN42" s="7">
        <f>Table43[[#This Row],[ISI/CTN]]</f>
        <v>72</v>
      </c>
      <c r="AO42" s="38">
        <f>Table43[[#This Row],[Harga Jual Pcs GT
(-PPN)]]-(Table43[[#This Row],[Harga Jual Pcs GT
(-PPN)]]*6.5%)</f>
        <v>6390.7250000000004</v>
      </c>
      <c r="AP42" s="38">
        <f>Table43[[#This Row],[Harga Beli Pcs
(-PPN)]]*Table43[[#This Row],[ISI/CTN]]</f>
        <v>460132.2</v>
      </c>
      <c r="AQ42" s="38">
        <f>Table43[[#This Row],[Harga Beli Pcs
(-PPN)]]*1.11</f>
        <v>7093.7047500000008</v>
      </c>
      <c r="AR42" s="38">
        <f>Table43[[#This Row],[Harga Beli Krt
(- PPN)]]*1.11</f>
        <v>510746.74200000009</v>
      </c>
      <c r="AS42" s="38">
        <v>6835</v>
      </c>
      <c r="AT42" s="38">
        <f>Table43[[#This Row],[Harga Jual Pcs GT
(-PPN)]]*Table43[[#This Row],[ISI/CTN]]</f>
        <v>492120</v>
      </c>
      <c r="AU42" s="38">
        <f>Table43[[#This Row],[Harga Jual Pcs GT
(-PPN)]]*1.11</f>
        <v>7586.85</v>
      </c>
      <c r="AV42" s="38">
        <f>Table43[[#This Row],[Harga Jual Krt GT
(- PPN)]]*1.11</f>
        <v>546253.20000000007</v>
      </c>
      <c r="AW42" s="38">
        <f>IFERROR(VLOOKUP(Table43[[#This Row],[Kode Pcpl]],'[1]FEB 2026'!$A$3:$X$312,24,0),0)</f>
        <v>0</v>
      </c>
      <c r="AX42" s="38">
        <f>Table43[[#This Row],[Harga Jual Pcs MT
(-PPN)]]*Table43[[#This Row],[ISI/CTN]]</f>
        <v>0</v>
      </c>
      <c r="AY42" s="38">
        <f>Table43[[#This Row],[Harga Jual Pcs MT
(-PPN)]]*1.11</f>
        <v>0</v>
      </c>
      <c r="AZ42" s="38">
        <f>Table43[[#This Row],[Harga Jual Pcs MT
(+PPN)]]*Table43[[#This Row],[ISI/CTN]]</f>
        <v>0</v>
      </c>
      <c r="BA42" s="46">
        <f>(Table43[[#This Row],[Harga Jual Pcs GT
(-PPN)]]-Table43[[#This Row],[Harga Beli Pcs
(-PPN)]])/Table43[[#This Row],[Harga Jual Pcs GT
(-PPN)]]</f>
        <v>6.4999999999999947E-2</v>
      </c>
      <c r="BB42" s="53">
        <f>Table43[[#This Row],[Harga Jual Pcs MT
(-PPN)]]-Table43[[#This Row],[Harga Beli Pcs
(-PPN)]]</f>
        <v>-6390.7250000000004</v>
      </c>
      <c r="BC42" s="54" t="e">
        <f>Table43[[#This Row],[Column1]]/Table43[[#This Row],[Harga Jual Pcs MT
(-PPN)]]</f>
        <v>#DIV/0!</v>
      </c>
      <c r="BD42" s="52"/>
      <c r="BE42" s="7"/>
      <c r="BF42" s="7" t="str">
        <f ca="1">IF(TODAY()-Table43[[#This Row],[Efektif
Pembuatan]]&gt;60,"Lama","Baru")</f>
        <v>Lama</v>
      </c>
      <c r="BG42" s="7" t="str">
        <f ca="1">IF(TODAY()-Table43[[#This Row],[Efektif Naik Harga]]&lt;30,"Naik","Sama")</f>
        <v>Sama</v>
      </c>
      <c r="BH42" s="7"/>
      <c r="BI42" s="7" t="str">
        <f>IF(Table43[[#This Row],[Kode BARANG Win2]]&lt;&gt;"","IDR","")</f>
        <v>IDR</v>
      </c>
      <c r="BJ42" s="7" t="str">
        <f>CONCATENATE(Table43[[#This Row],[kode  1 Digit
(Nomor)]],Table43[[#This Row],[kode  4 Digit                (Nomor)]])</f>
        <v>0030</v>
      </c>
      <c r="BK42" s="7" t="str">
        <f>Table43[[#This Row],[Nama            Gramasi atau Jumlah Pack per CTN]]</f>
        <v>30GR</v>
      </c>
      <c r="BL42" s="7"/>
      <c r="BM42" s="7"/>
      <c r="BN42" s="4" t="str">
        <f>IF(Table43[[#This Row],[SATUAN Fix Win]]&lt;&gt;"","KRT")</f>
        <v>KRT</v>
      </c>
      <c r="BO42" s="4" t="str">
        <f>IF(Table43[[#This Row],[SATUAN Fix Win]]&lt;&gt;"","GD01")</f>
        <v>GD01</v>
      </c>
      <c r="BP42" s="4">
        <f>IF(Table43[[#This Row],[SATUAN Fix Win]]&lt;&gt;"",11611)</f>
        <v>11611</v>
      </c>
      <c r="BQ42" s="4">
        <f>IF(Table43[[#This Row],[SATUAN Fix Win]]&lt;&gt;"",11612)</f>
        <v>11612</v>
      </c>
      <c r="BS42" s="4">
        <f>IF(Table43[[#This Row],[SATUAN Fix Win]]&lt;&gt;"",1)</f>
        <v>1</v>
      </c>
      <c r="BU42" s="4">
        <f>Table43[[#This Row],[ISI/CTN]]</f>
        <v>72</v>
      </c>
    </row>
    <row r="43" spans="1:73">
      <c r="A43" s="4" t="str">
        <f>CONCATENATE(Table43[[#This Row],[Kode BARANG Win2]],Table43[[#This Row],[No. Urut
Item Sama]])</f>
        <v>G1051003003010</v>
      </c>
      <c r="B43" s="7"/>
      <c r="C43" s="31">
        <v>30046050180010</v>
      </c>
      <c r="D43" s="59">
        <v>40008200</v>
      </c>
      <c r="E43" s="60" t="s">
        <v>1898</v>
      </c>
      <c r="F43" s="59">
        <v>30050040030000</v>
      </c>
      <c r="G43" s="59">
        <v>0</v>
      </c>
      <c r="H43" s="60" t="s">
        <v>1147</v>
      </c>
      <c r="I43" s="60">
        <v>72</v>
      </c>
      <c r="J43" s="59" t="s">
        <v>1590</v>
      </c>
      <c r="K43" s="60" t="str">
        <f>Table43[[#This Row],[NamaJenisKemasan]]</f>
        <v>PCS</v>
      </c>
      <c r="L43" s="4" t="str">
        <f>TRIM(CONCATENATE(Table43[[#This Row],[Nama            KLP]]," ",Table43[[#This Row],[Nama            Sub KLP]]))</f>
        <v>FOGO PENGHARUM LEMARI</v>
      </c>
      <c r="M43" s="4" t="str">
        <f>CONCATENATE(Table43[[#This Row],[kode  2 Digit                (hrf+No)]],Table43[[#This Row],[kode  2 Digit                (Nomor)]],Table43[[#This Row],[kode  1 Digit                (Nomor)]])</f>
        <v>G1051</v>
      </c>
      <c r="N43" s="4" t="str">
        <f>IF(AI43="",CONCATENATE(S43,U43,W43,Y43,AA43,AC43,AE43,AG43,Table43[[#This Row],[Tanda Kode Revisi]]),CONCATENATE(S43,U43,W43,Y43,AA43,AC43,AE43,AI43))</f>
        <v>G1051003003010</v>
      </c>
      <c r="O43" s="11">
        <f t="shared" si="0"/>
        <v>14</v>
      </c>
      <c r="P43" s="14" t="str">
        <f>IF(AH43&lt;&gt;"",TRIM(UPPER(CONCATENATE(R43," ",T43," ",V43," ",X43," ",Z43," ",AB43," ","X"," ",Table43[[#This Row],[ISI/CTN]]," ",AH43," ",AD43," ",AF43," ",AJ43))),TRIM(UPPER(CONCATENATE(R43," ",T43," ",V43," ",X43," ",Z43," ",AB43," ","X"," ",Table43[[#This Row],[ISI/CTN]]," ",AD43," ",AF43," ",AJ43))))</f>
        <v>FOGO PENGHARUM LEMARI FRESH 30GR X 72 PCS</v>
      </c>
      <c r="Q43" s="11">
        <f t="shared" si="1"/>
        <v>41</v>
      </c>
      <c r="S43" s="7" t="s">
        <v>34</v>
      </c>
      <c r="T43" s="4" t="s">
        <v>2212</v>
      </c>
      <c r="U43" s="47" t="s">
        <v>2541</v>
      </c>
      <c r="V43" s="48" t="s">
        <v>2235</v>
      </c>
      <c r="W43" s="7">
        <v>1</v>
      </c>
      <c r="X43" s="48"/>
      <c r="Y43" s="47" t="s">
        <v>1116</v>
      </c>
      <c r="Z43" s="4" t="s">
        <v>2233</v>
      </c>
      <c r="AA43" s="49" t="s">
        <v>2538</v>
      </c>
      <c r="AB43" s="4" t="s">
        <v>2237</v>
      </c>
      <c r="AC43" s="49" t="s">
        <v>2617</v>
      </c>
      <c r="AD43" s="4" t="s">
        <v>185</v>
      </c>
      <c r="AE43" s="7">
        <v>1</v>
      </c>
      <c r="AG43" s="7">
        <v>0</v>
      </c>
      <c r="AK43" s="70">
        <f>Table43[[#This Row],[Column4]]</f>
        <v>30050040030000</v>
      </c>
      <c r="AN43" s="7">
        <f>Table43[[#This Row],[ISI/CTN]]</f>
        <v>72</v>
      </c>
      <c r="AO43" s="61">
        <f>Table43[[#This Row],[Harga Jual Pcs GT
(-PPN)]]-(Table43[[#This Row],[Harga Jual Pcs GT
(-PPN)]]*6.5%)</f>
        <v>6390.7250000000004</v>
      </c>
      <c r="AP43" s="61">
        <f>Table43[[#This Row],[Harga Beli Pcs
(-PPN)]]*Table43[[#This Row],[ISI/CTN]]</f>
        <v>460132.2</v>
      </c>
      <c r="AQ43" s="61">
        <f>Table43[[#This Row],[Harga Beli Pcs
(-PPN)]]*1.11</f>
        <v>7093.7047500000008</v>
      </c>
      <c r="AR43" s="61">
        <f>Table43[[#This Row],[Harga Beli Krt
(- PPN)]]*1.11</f>
        <v>510746.74200000009</v>
      </c>
      <c r="AS43" s="61">
        <v>6835</v>
      </c>
      <c r="AT43" s="61">
        <f>Table43[[#This Row],[Harga Jual Pcs GT
(-PPN)]]*Table43[[#This Row],[ISI/CTN]]</f>
        <v>492120</v>
      </c>
      <c r="AU43" s="61">
        <f>Table43[[#This Row],[Harga Jual Pcs GT
(-PPN)]]*1.11</f>
        <v>7586.85</v>
      </c>
      <c r="AV43" s="61">
        <f>Table43[[#This Row],[Harga Jual Krt GT
(- PPN)]]*1.11</f>
        <v>546253.20000000007</v>
      </c>
      <c r="AW43" s="61">
        <f>IFERROR(VLOOKUP(Table43[[#This Row],[Kode Pcpl]],'[1]FEB 2026'!$A$3:$X$312,24,0),0)</f>
        <v>0</v>
      </c>
      <c r="AX43" s="61">
        <f>Table43[[#This Row],[Harga Jual Pcs MT
(-PPN)]]*Table43[[#This Row],[ISI/CTN]]</f>
        <v>0</v>
      </c>
      <c r="AY43" s="61">
        <f>Table43[[#This Row],[Harga Jual Pcs MT
(-PPN)]]*1.11</f>
        <v>0</v>
      </c>
      <c r="AZ43" s="61">
        <f>Table43[[#This Row],[Harga Jual Pcs MT
(+PPN)]]*Table43[[#This Row],[ISI/CTN]]</f>
        <v>0</v>
      </c>
      <c r="BA43" s="62">
        <f>(Table43[[#This Row],[Harga Jual Pcs GT
(-PPN)]]-Table43[[#This Row],[Harga Beli Pcs
(-PPN)]])/Table43[[#This Row],[Harga Jual Pcs GT
(-PPN)]]</f>
        <v>6.4999999999999947E-2</v>
      </c>
      <c r="BB43" s="63">
        <f>Table43[[#This Row],[Harga Jual Pcs MT
(-PPN)]]-Table43[[#This Row],[Harga Beli Pcs
(-PPN)]]</f>
        <v>-6390.7250000000004</v>
      </c>
      <c r="BC43" s="64" t="e">
        <f>Table43[[#This Row],[Column1]]/Table43[[#This Row],[Harga Jual Pcs MT
(-PPN)]]</f>
        <v>#DIV/0!</v>
      </c>
      <c r="BD43" s="52"/>
      <c r="BE43" s="7"/>
      <c r="BF43" s="7" t="str">
        <f ca="1">IF(TODAY()-Table43[[#This Row],[Efektif
Pembuatan]]&gt;60,"Lama","Baru")</f>
        <v>Lama</v>
      </c>
      <c r="BG43" s="7" t="str">
        <f ca="1">IF(TODAY()-Table43[[#This Row],[Efektif Naik Harga]]&lt;30,"Naik","Sama")</f>
        <v>Sama</v>
      </c>
      <c r="BH43" s="7"/>
      <c r="BI43" s="7" t="str">
        <f>IF(Table43[[#This Row],[Kode BARANG Win2]]&lt;&gt;"","IDR","")</f>
        <v>IDR</v>
      </c>
      <c r="BJ43" s="7" t="str">
        <f>CONCATENATE(Table43[[#This Row],[kode  1 Digit
(Nomor)]],Table43[[#This Row],[kode  4 Digit                (Nomor)]])</f>
        <v>0030</v>
      </c>
      <c r="BK43" s="7" t="str">
        <f>Table43[[#This Row],[Nama            Gramasi atau Jumlah Pack per CTN]]</f>
        <v>30GR</v>
      </c>
      <c r="BL43" s="7"/>
      <c r="BM43" s="7"/>
      <c r="BN43" s="4" t="str">
        <f>IF(Table43[[#This Row],[SATUAN Fix Win]]&lt;&gt;"","KRT")</f>
        <v>KRT</v>
      </c>
      <c r="BO43" s="4" t="str">
        <f>IF(Table43[[#This Row],[SATUAN Fix Win]]&lt;&gt;"","GD01")</f>
        <v>GD01</v>
      </c>
      <c r="BP43" s="4">
        <f>IF(Table43[[#This Row],[SATUAN Fix Win]]&lt;&gt;"",11611)</f>
        <v>11611</v>
      </c>
      <c r="BQ43" s="4">
        <f>IF(Table43[[#This Row],[SATUAN Fix Win]]&lt;&gt;"",11612)</f>
        <v>11612</v>
      </c>
      <c r="BS43" s="4">
        <f>IF(Table43[[#This Row],[SATUAN Fix Win]]&lt;&gt;"",1)</f>
        <v>1</v>
      </c>
      <c r="BU43" s="4">
        <f>Table43[[#This Row],[ISI/CTN]]</f>
        <v>72</v>
      </c>
    </row>
    <row r="44" spans="1:73">
      <c r="A44" s="4" t="str">
        <f>CONCATENATE(Table43[[#This Row],[Kode BARANG Win2]],Table43[[#This Row],[No. Urut
Item Sama]])</f>
        <v>G1051004001210</v>
      </c>
      <c r="B44" s="7"/>
      <c r="C44" s="31">
        <v>30046060180010</v>
      </c>
      <c r="D44" s="59">
        <v>40014892</v>
      </c>
      <c r="E44" s="60" t="s">
        <v>1896</v>
      </c>
      <c r="F44" s="59">
        <v>30050010012000</v>
      </c>
      <c r="G44" s="59">
        <v>0</v>
      </c>
      <c r="H44" s="60" t="s">
        <v>1145</v>
      </c>
      <c r="I44" s="60">
        <v>72</v>
      </c>
      <c r="J44" s="59" t="s">
        <v>1588</v>
      </c>
      <c r="K44" s="60" t="str">
        <f>Table43[[#This Row],[NamaJenisKemasan]]</f>
        <v>PCS</v>
      </c>
      <c r="L44" s="4" t="str">
        <f>TRIM(CONCATENATE(Table43[[#This Row],[Nama            KLP]]," ",Table43[[#This Row],[Nama            Sub KLP]]))</f>
        <v>FOGO PENGHARUM LEMARI</v>
      </c>
      <c r="M44" s="4" t="str">
        <f>CONCATENATE(Table43[[#This Row],[kode  2 Digit                (hrf+No)]],Table43[[#This Row],[kode  2 Digit                (Nomor)]],Table43[[#This Row],[kode  1 Digit                (Nomor)]])</f>
        <v>G1051</v>
      </c>
      <c r="N44" s="4" t="str">
        <f>IF(AI44="",CONCATENATE(S44,U44,W44,Y44,AA44,AC44,AE44,AG44,Table43[[#This Row],[Tanda Kode Revisi]]),CONCATENATE(S44,U44,W44,Y44,AA44,AC44,AE44,AI44))</f>
        <v>G1051004001210</v>
      </c>
      <c r="O44" s="11">
        <f t="shared" si="0"/>
        <v>14</v>
      </c>
      <c r="P44" s="14" t="str">
        <f>IF(AH44&lt;&gt;"",TRIM(UPPER(CONCATENATE(R44," ",T44," ",V44," ",X44," ",Z44," ",AB44," ","X"," ",Table43[[#This Row],[ISI/CTN]]," ",AH44," ",AD44," ",AF44," ",AJ44))),TRIM(UPPER(CONCATENATE(R44," ",T44," ",V44," ",X44," ",Z44," ",AB44," ","X"," ",Table43[[#This Row],[ISI/CTN]]," ",AD44," ",AF44," ",AJ44))))</f>
        <v>FOGO PENGHARUM LEMARI PRINCESS 12GR X 72 PCS</v>
      </c>
      <c r="Q44" s="11">
        <f t="shared" si="1"/>
        <v>44</v>
      </c>
      <c r="S44" s="7" t="s">
        <v>34</v>
      </c>
      <c r="T44" s="4" t="s">
        <v>2212</v>
      </c>
      <c r="U44" s="47" t="s">
        <v>2541</v>
      </c>
      <c r="V44" s="48" t="s">
        <v>2235</v>
      </c>
      <c r="W44" s="7">
        <v>1</v>
      </c>
      <c r="X44" s="48"/>
      <c r="Y44" s="47" t="s">
        <v>1116</v>
      </c>
      <c r="Z44" s="4" t="s">
        <v>2236</v>
      </c>
      <c r="AA44" s="49" t="s">
        <v>2540</v>
      </c>
      <c r="AB44" s="4" t="s">
        <v>2238</v>
      </c>
      <c r="AC44" s="49" t="s">
        <v>2594</v>
      </c>
      <c r="AD44" s="4" t="s">
        <v>185</v>
      </c>
      <c r="AE44" s="7">
        <v>1</v>
      </c>
      <c r="AG44" s="7">
        <v>0</v>
      </c>
      <c r="AK44" s="70">
        <f>Table43[[#This Row],[Column4]]</f>
        <v>30050010012000</v>
      </c>
      <c r="AN44" s="7">
        <f>Table43[[#This Row],[ISI/CTN]]</f>
        <v>72</v>
      </c>
      <c r="AO44" s="61">
        <f>Table43[[#This Row],[Harga Jual Pcs GT
(-PPN)]]-(Table43[[#This Row],[Harga Jual Pcs GT
(-PPN)]]*6.5%)</f>
        <v>6390.7250000000004</v>
      </c>
      <c r="AP44" s="61">
        <f>Table43[[#This Row],[Harga Beli Pcs
(-PPN)]]*Table43[[#This Row],[ISI/CTN]]</f>
        <v>460132.2</v>
      </c>
      <c r="AQ44" s="61">
        <f>Table43[[#This Row],[Harga Beli Pcs
(-PPN)]]*1.11</f>
        <v>7093.7047500000008</v>
      </c>
      <c r="AR44" s="61">
        <f>Table43[[#This Row],[Harga Beli Krt
(- PPN)]]*1.11</f>
        <v>510746.74200000009</v>
      </c>
      <c r="AS44" s="61">
        <v>6835</v>
      </c>
      <c r="AT44" s="61">
        <f>Table43[[#This Row],[Harga Jual Pcs GT
(-PPN)]]*Table43[[#This Row],[ISI/CTN]]</f>
        <v>492120</v>
      </c>
      <c r="AU44" s="61">
        <f>Table43[[#This Row],[Harga Jual Pcs GT
(-PPN)]]*1.11</f>
        <v>7586.85</v>
      </c>
      <c r="AV44" s="61">
        <f>Table43[[#This Row],[Harga Jual Krt GT
(- PPN)]]*1.11</f>
        <v>546253.20000000007</v>
      </c>
      <c r="AW44" s="61">
        <f>IFERROR(VLOOKUP(Table43[[#This Row],[Kode Pcpl]],'[1]FEB 2026'!$A$3:$X$312,24,0),0)</f>
        <v>0</v>
      </c>
      <c r="AX44" s="61">
        <f>Table43[[#This Row],[Harga Jual Pcs MT
(-PPN)]]*Table43[[#This Row],[ISI/CTN]]</f>
        <v>0</v>
      </c>
      <c r="AY44" s="61">
        <f>Table43[[#This Row],[Harga Jual Pcs MT
(-PPN)]]*1.11</f>
        <v>0</v>
      </c>
      <c r="AZ44" s="61">
        <f>Table43[[#This Row],[Harga Jual Pcs MT
(+PPN)]]*Table43[[#This Row],[ISI/CTN]]</f>
        <v>0</v>
      </c>
      <c r="BA44" s="62">
        <f>(Table43[[#This Row],[Harga Jual Pcs GT
(-PPN)]]-Table43[[#This Row],[Harga Beli Pcs
(-PPN)]])/Table43[[#This Row],[Harga Jual Pcs GT
(-PPN)]]</f>
        <v>6.4999999999999947E-2</v>
      </c>
      <c r="BB44" s="63">
        <f>Table43[[#This Row],[Harga Jual Pcs MT
(-PPN)]]-Table43[[#This Row],[Harga Beli Pcs
(-PPN)]]</f>
        <v>-6390.7250000000004</v>
      </c>
      <c r="BC44" s="64" t="e">
        <f>Table43[[#This Row],[Column1]]/Table43[[#This Row],[Harga Jual Pcs MT
(-PPN)]]</f>
        <v>#DIV/0!</v>
      </c>
      <c r="BD44" s="52"/>
      <c r="BE44" s="7"/>
      <c r="BF44" s="7" t="str">
        <f ca="1">IF(TODAY()-Table43[[#This Row],[Efektif
Pembuatan]]&gt;60,"Lama","Baru")</f>
        <v>Lama</v>
      </c>
      <c r="BG44" s="7" t="str">
        <f ca="1">IF(TODAY()-Table43[[#This Row],[Efektif Naik Harga]]&lt;30,"Naik","Sama")</f>
        <v>Sama</v>
      </c>
      <c r="BH44" s="7"/>
      <c r="BI44" s="7" t="str">
        <f>IF(Table43[[#This Row],[Kode BARANG Win2]]&lt;&gt;"","IDR","")</f>
        <v>IDR</v>
      </c>
      <c r="BJ44" s="7" t="str">
        <f>CONCATENATE(Table43[[#This Row],[kode  1 Digit
(Nomor)]],Table43[[#This Row],[kode  4 Digit                (Nomor)]])</f>
        <v>0012</v>
      </c>
      <c r="BK44" s="7" t="str">
        <f>Table43[[#This Row],[Nama            Gramasi atau Jumlah Pack per CTN]]</f>
        <v>12GR</v>
      </c>
      <c r="BL44" s="7"/>
      <c r="BM44" s="7"/>
      <c r="BN44" s="4" t="str">
        <f>IF(Table43[[#This Row],[SATUAN Fix Win]]&lt;&gt;"","KRT")</f>
        <v>KRT</v>
      </c>
      <c r="BO44" s="4" t="str">
        <f>IF(Table43[[#This Row],[SATUAN Fix Win]]&lt;&gt;"","GD01")</f>
        <v>GD01</v>
      </c>
      <c r="BP44" s="4">
        <f>IF(Table43[[#This Row],[SATUAN Fix Win]]&lt;&gt;"",11611)</f>
        <v>11611</v>
      </c>
      <c r="BQ44" s="4">
        <f>IF(Table43[[#This Row],[SATUAN Fix Win]]&lt;&gt;"",11612)</f>
        <v>11612</v>
      </c>
      <c r="BS44" s="4">
        <f>IF(Table43[[#This Row],[SATUAN Fix Win]]&lt;&gt;"",1)</f>
        <v>1</v>
      </c>
      <c r="BU44" s="4">
        <f>Table43[[#This Row],[ISI/CTN]]</f>
        <v>72</v>
      </c>
    </row>
    <row r="45" spans="1:73">
      <c r="A45" s="4" t="str">
        <f>CONCATENATE(Table43[[#This Row],[Kode BARANG Win2]],Table43[[#This Row],[No. Urut
Item Sama]])</f>
        <v>G1061000022010</v>
      </c>
      <c r="B45" s="7"/>
      <c r="C45" s="31">
        <v>30046090180010</v>
      </c>
      <c r="D45" s="59">
        <v>40007868</v>
      </c>
      <c r="E45" s="60" t="s">
        <v>2200</v>
      </c>
      <c r="F45" s="59">
        <v>30700010220000</v>
      </c>
      <c r="G45" s="59">
        <v>0</v>
      </c>
      <c r="H45" s="60" t="s">
        <v>1557</v>
      </c>
      <c r="I45" s="60">
        <v>12</v>
      </c>
      <c r="J45" s="59" t="s">
        <v>1865</v>
      </c>
      <c r="K45" s="60" t="str">
        <f>Table43[[#This Row],[NamaJenisKemasan]]</f>
        <v>KLG</v>
      </c>
      <c r="L45" s="4" t="str">
        <f>TRIM(CONCATENATE(Table43[[#This Row],[Nama            KLP]]," ",Table43[[#This Row],[Nama            Sub KLP]]))</f>
        <v>GAS WONDERFUEL</v>
      </c>
      <c r="M45" s="4" t="str">
        <f>CONCATENATE(Table43[[#This Row],[kode  2 Digit                (hrf+No)]],Table43[[#This Row],[kode  2 Digit                (Nomor)]],Table43[[#This Row],[kode  1 Digit                (Nomor)]])</f>
        <v>G1061</v>
      </c>
      <c r="N45" s="4" t="str">
        <f>IF(AI45="",CONCATENATE(S45,U45,W45,Y45,AA45,AC45,AE45,AG45,Table43[[#This Row],[Tanda Kode Revisi]]),CONCATENATE(S45,U45,W45,Y45,AA45,AC45,AE45,AI45))</f>
        <v>G1061000022010</v>
      </c>
      <c r="O45" s="11">
        <f t="shared" si="0"/>
        <v>14</v>
      </c>
      <c r="P45" s="14" t="str">
        <f>IF(AH45&lt;&gt;"",TRIM(UPPER(CONCATENATE(R45," ",T45," ",V45," ",X45," ",Z45," ",AB45," ","X"," ",Table43[[#This Row],[ISI/CTN]]," ",AH45," ",AD45," ",AF45," ",AJ45))),TRIM(UPPER(CONCATENATE(R45," ",T45," ",V45," ",X45," ",Z45," ",AB45," ","X"," ",Table43[[#This Row],[ISI/CTN]]," ",AD45," ",AF45," ",AJ45))))</f>
        <v>GAS WONDERFUEL 220GR X 12 KLG</v>
      </c>
      <c r="Q45" s="11">
        <f t="shared" si="1"/>
        <v>29</v>
      </c>
      <c r="S45" s="7" t="s">
        <v>34</v>
      </c>
      <c r="T45" s="4" t="s">
        <v>2239</v>
      </c>
      <c r="U45" s="47" t="s">
        <v>2542</v>
      </c>
      <c r="V45" s="48" t="s">
        <v>2240</v>
      </c>
      <c r="W45" s="7">
        <v>1</v>
      </c>
      <c r="X45" s="48"/>
      <c r="Y45" s="47" t="s">
        <v>1116</v>
      </c>
      <c r="AA45" s="49" t="s">
        <v>1117</v>
      </c>
      <c r="AB45" s="4" t="s">
        <v>2241</v>
      </c>
      <c r="AC45" s="49" t="s">
        <v>2608</v>
      </c>
      <c r="AD45" s="4" t="s">
        <v>2221</v>
      </c>
      <c r="AE45" s="7">
        <v>1</v>
      </c>
      <c r="AG45" s="7">
        <v>0</v>
      </c>
      <c r="AK45" s="70">
        <f>Table43[[#This Row],[Column4]]</f>
        <v>30700010220000</v>
      </c>
      <c r="AN45" s="7">
        <f>Table43[[#This Row],[ISI/CTN]]</f>
        <v>12</v>
      </c>
      <c r="AO45" s="61">
        <f>Table43[[#This Row],[Harga Jual Pcs GT
(-PPN)]]-(Table43[[#This Row],[Harga Jual Pcs GT
(-PPN)]]*6.5%)</f>
        <v>19167.5</v>
      </c>
      <c r="AP45" s="61">
        <f>Table43[[#This Row],[Harga Beli Pcs
(-PPN)]]*Table43[[#This Row],[ISI/CTN]]</f>
        <v>230010</v>
      </c>
      <c r="AQ45" s="61">
        <f>Table43[[#This Row],[Harga Beli Pcs
(-PPN)]]*1.11</f>
        <v>21275.925000000003</v>
      </c>
      <c r="AR45" s="61">
        <f>Table43[[#This Row],[Harga Beli Krt
(- PPN)]]*1.11</f>
        <v>255311.10000000003</v>
      </c>
      <c r="AS45" s="61">
        <v>20500</v>
      </c>
      <c r="AT45" s="61">
        <f>Table43[[#This Row],[Harga Jual Pcs GT
(-PPN)]]*Table43[[#This Row],[ISI/CTN]]</f>
        <v>246000</v>
      </c>
      <c r="AU45" s="61">
        <f>Table43[[#This Row],[Harga Jual Pcs GT
(-PPN)]]*1.11</f>
        <v>22755.000000000004</v>
      </c>
      <c r="AV45" s="61">
        <f>Table43[[#This Row],[Harga Jual Krt GT
(- PPN)]]*1.11</f>
        <v>273060</v>
      </c>
      <c r="AW45" s="61">
        <f>IFERROR(VLOOKUP(Table43[[#This Row],[Kode Pcpl]],'[1]FEB 2026'!$A$3:$X$312,24,0),0)</f>
        <v>0</v>
      </c>
      <c r="AX45" s="61">
        <f>Table43[[#This Row],[Harga Jual Pcs MT
(-PPN)]]*Table43[[#This Row],[ISI/CTN]]</f>
        <v>0</v>
      </c>
      <c r="AY45" s="61">
        <f>Table43[[#This Row],[Harga Jual Pcs MT
(-PPN)]]*1.11</f>
        <v>0</v>
      </c>
      <c r="AZ45" s="61">
        <f>Table43[[#This Row],[Harga Jual Pcs MT
(+PPN)]]*Table43[[#This Row],[ISI/CTN]]</f>
        <v>0</v>
      </c>
      <c r="BA45" s="62">
        <f>(Table43[[#This Row],[Harga Jual Pcs GT
(-PPN)]]-Table43[[#This Row],[Harga Beli Pcs
(-PPN)]])/Table43[[#This Row],[Harga Jual Pcs GT
(-PPN)]]</f>
        <v>6.5000000000000002E-2</v>
      </c>
      <c r="BB45" s="63">
        <f>Table43[[#This Row],[Harga Jual Pcs MT
(-PPN)]]-Table43[[#This Row],[Harga Beli Pcs
(-PPN)]]</f>
        <v>-19167.5</v>
      </c>
      <c r="BC45" s="64" t="e">
        <f>Table43[[#This Row],[Column1]]/Table43[[#This Row],[Harga Jual Pcs MT
(-PPN)]]</f>
        <v>#DIV/0!</v>
      </c>
      <c r="BD45" s="52"/>
      <c r="BE45" s="7"/>
      <c r="BF45" s="7" t="str">
        <f ca="1">IF(TODAY()-Table43[[#This Row],[Efektif
Pembuatan]]&gt;60,"Lama","Baru")</f>
        <v>Lama</v>
      </c>
      <c r="BG45" s="7" t="str">
        <f ca="1">IF(TODAY()-Table43[[#This Row],[Efektif Naik Harga]]&lt;30,"Naik","Sama")</f>
        <v>Sama</v>
      </c>
      <c r="BH45" s="7"/>
      <c r="BI45" s="7" t="str">
        <f>IF(Table43[[#This Row],[Kode BARANG Win2]]&lt;&gt;"","IDR","")</f>
        <v>IDR</v>
      </c>
      <c r="BJ45" s="7" t="str">
        <f>CONCATENATE(Table43[[#This Row],[kode  1 Digit
(Nomor)]],Table43[[#This Row],[kode  4 Digit                (Nomor)]])</f>
        <v>0220</v>
      </c>
      <c r="BK45" s="7" t="str">
        <f>Table43[[#This Row],[Nama            Gramasi atau Jumlah Pack per CTN]]</f>
        <v>220GR</v>
      </c>
      <c r="BL45" s="7"/>
      <c r="BM45" s="7"/>
      <c r="BN45" s="4" t="str">
        <f>IF(Table43[[#This Row],[SATUAN Fix Win]]&lt;&gt;"","KRT")</f>
        <v>KRT</v>
      </c>
      <c r="BO45" s="4" t="str">
        <f>IF(Table43[[#This Row],[SATUAN Fix Win]]&lt;&gt;"","GD01")</f>
        <v>GD01</v>
      </c>
      <c r="BP45" s="4">
        <f>IF(Table43[[#This Row],[SATUAN Fix Win]]&lt;&gt;"",11611)</f>
        <v>11611</v>
      </c>
      <c r="BQ45" s="4">
        <f>IF(Table43[[#This Row],[SATUAN Fix Win]]&lt;&gt;"",11612)</f>
        <v>11612</v>
      </c>
      <c r="BS45" s="4">
        <f>IF(Table43[[#This Row],[SATUAN Fix Win]]&lt;&gt;"",1)</f>
        <v>1</v>
      </c>
      <c r="BU45" s="4">
        <f>Table43[[#This Row],[ISI/CTN]]</f>
        <v>12</v>
      </c>
    </row>
    <row r="46" spans="1:73">
      <c r="A46" s="4" t="str">
        <f>CONCATENATE(Table43[[#This Row],[Kode BARANG Win2]],Table43[[#This Row],[No. Urut
Item Sama]])</f>
        <v>G1070001000010</v>
      </c>
      <c r="B46" s="7"/>
      <c r="C46" s="31">
        <v>30132060045010</v>
      </c>
      <c r="D46" s="51">
        <v>40049639</v>
      </c>
      <c r="E46" s="27" t="s">
        <v>1960</v>
      </c>
      <c r="F46" s="51">
        <v>30150010300000</v>
      </c>
      <c r="G46" s="51">
        <v>0</v>
      </c>
      <c r="H46" s="27" t="s">
        <v>1242</v>
      </c>
      <c r="I46" s="27">
        <v>120</v>
      </c>
      <c r="J46" s="51" t="s">
        <v>1651</v>
      </c>
      <c r="K46" s="27" t="str">
        <f>Table43[[#This Row],[NamaJenisKemasan]]</f>
        <v>PCS</v>
      </c>
      <c r="L46" s="4" t="str">
        <f>TRIM(CONCATENATE(Table43[[#This Row],[Nama            KLP]]," ",Table43[[#This Row],[Nama            Sub KLP]]))</f>
        <v>HIT</v>
      </c>
      <c r="M46" s="4" t="str">
        <f>CONCATENATE(Table43[[#This Row],[kode  2 Digit                (hrf+No)]],Table43[[#This Row],[kode  2 Digit                (Nomor)]],Table43[[#This Row],[kode  1 Digit                (Nomor)]])</f>
        <v>G1070</v>
      </c>
      <c r="N46" s="4" t="str">
        <f>IF(AI46="",CONCATENATE(S46,U46,W46,Y46,AA46,AC46,AE46,AG46,Table43[[#This Row],[Tanda Kode Revisi]]),CONCATENATE(S46,U46,W46,Y46,AA46,AC46,AE46,AI46))</f>
        <v>G1070001000010</v>
      </c>
      <c r="O46" s="11">
        <f t="shared" si="0"/>
        <v>14</v>
      </c>
      <c r="P46" s="14" t="str">
        <f>IF(AH46&lt;&gt;"",TRIM(UPPER(CONCATENATE(R46," ",T46," ",V46," ",X46," ",Z46," ",AB46," ","X"," ",Table43[[#This Row],[ISI/CTN]]," ",AH46," ",AD46," ",AF46," ",AJ46))),TRIM(UPPER(CONCATENATE(R46," ",T46," ",V46," ",X46," ",Z46," ",AB46," ","X"," ",Table43[[#This Row],[ISI/CTN]]," ",AD46," ",AF46," ",AJ46))))</f>
        <v>HIT POMPA PLASTIK X 120 PCS</v>
      </c>
      <c r="Q46" s="11">
        <f t="shared" si="1"/>
        <v>27</v>
      </c>
      <c r="S46" s="7" t="s">
        <v>34</v>
      </c>
      <c r="T46" s="4" t="s">
        <v>2242</v>
      </c>
      <c r="U46" s="47" t="s">
        <v>2544</v>
      </c>
      <c r="V46" s="48"/>
      <c r="W46" s="7">
        <v>0</v>
      </c>
      <c r="X46" s="48"/>
      <c r="Y46" s="47" t="s">
        <v>1116</v>
      </c>
      <c r="Z46" s="48" t="s">
        <v>2294</v>
      </c>
      <c r="AA46" s="49" t="s">
        <v>1115</v>
      </c>
      <c r="AC46" s="49" t="s">
        <v>2460</v>
      </c>
      <c r="AD46" s="4" t="s">
        <v>185</v>
      </c>
      <c r="AE46" s="7">
        <v>1</v>
      </c>
      <c r="AG46" s="7">
        <v>0</v>
      </c>
      <c r="AK46" s="70">
        <f>Table43[[#This Row],[Column4]]</f>
        <v>30150010300000</v>
      </c>
      <c r="AN46" s="7">
        <f>Table43[[#This Row],[ISI/CTN]]</f>
        <v>120</v>
      </c>
      <c r="AO46" s="61">
        <f>Table43[[#This Row],[Harga Jual Pcs GT
(-PPN)]]-(Table43[[#This Row],[Harga Jual Pcs GT
(-PPN)]]*6.5%)</f>
        <v>15708</v>
      </c>
      <c r="AP46" s="61">
        <f>Table43[[#This Row],[Harga Beli Pcs
(-PPN)]]*Table43[[#This Row],[ISI/CTN]]</f>
        <v>1884960</v>
      </c>
      <c r="AQ46" s="61">
        <f>Table43[[#This Row],[Harga Beli Pcs
(-PPN)]]*1.11</f>
        <v>17435.88</v>
      </c>
      <c r="AR46" s="61">
        <f>Table43[[#This Row],[Harga Beli Krt
(- PPN)]]*1.11</f>
        <v>2092305.6</v>
      </c>
      <c r="AS46" s="61">
        <v>16800</v>
      </c>
      <c r="AT46" s="61">
        <f>Table43[[#This Row],[Harga Jual Pcs GT
(-PPN)]]*Table43[[#This Row],[ISI/CTN]]</f>
        <v>2016000</v>
      </c>
      <c r="AU46" s="61">
        <f>Table43[[#This Row],[Harga Jual Pcs GT
(-PPN)]]*1.11</f>
        <v>18648</v>
      </c>
      <c r="AV46" s="61">
        <f>Table43[[#This Row],[Harga Jual Krt GT
(- PPN)]]*1.11</f>
        <v>2237760</v>
      </c>
      <c r="AW46" s="61">
        <f>IFERROR(VLOOKUP(Table43[[#This Row],[Kode Pcpl]],'[1]FEB 2026'!$A$3:$X$312,24,0),0)</f>
        <v>0</v>
      </c>
      <c r="AX46" s="61">
        <f>Table43[[#This Row],[Harga Jual Pcs MT
(-PPN)]]*Table43[[#This Row],[ISI/CTN]]</f>
        <v>0</v>
      </c>
      <c r="AY46" s="61">
        <f>Table43[[#This Row],[Harga Jual Pcs MT
(-PPN)]]*1.11</f>
        <v>0</v>
      </c>
      <c r="AZ46" s="61">
        <f>Table43[[#This Row],[Harga Jual Pcs MT
(+PPN)]]*Table43[[#This Row],[ISI/CTN]]</f>
        <v>0</v>
      </c>
      <c r="BA46" s="62">
        <f>(Table43[[#This Row],[Harga Jual Pcs GT
(-PPN)]]-Table43[[#This Row],[Harga Beli Pcs
(-PPN)]])/Table43[[#This Row],[Harga Jual Pcs GT
(-PPN)]]</f>
        <v>6.5000000000000002E-2</v>
      </c>
      <c r="BB46" s="63">
        <f>Table43[[#This Row],[Harga Jual Pcs MT
(-PPN)]]-Table43[[#This Row],[Harga Beli Pcs
(-PPN)]]</f>
        <v>-15708</v>
      </c>
      <c r="BC46" s="64" t="e">
        <f>Table43[[#This Row],[Column1]]/Table43[[#This Row],[Harga Jual Pcs MT
(-PPN)]]</f>
        <v>#DIV/0!</v>
      </c>
      <c r="BD46" s="52"/>
      <c r="BE46" s="7"/>
      <c r="BF46" s="7" t="str">
        <f ca="1">IF(TODAY()-Table43[[#This Row],[Efektif
Pembuatan]]&gt;60,"Lama","Baru")</f>
        <v>Lama</v>
      </c>
      <c r="BG46" s="7" t="str">
        <f ca="1">IF(TODAY()-Table43[[#This Row],[Efektif Naik Harga]]&lt;30,"Naik","Sama")</f>
        <v>Sama</v>
      </c>
      <c r="BH46" s="7"/>
      <c r="BI46" s="7" t="str">
        <f>IF(Table43[[#This Row],[Kode BARANG Win2]]&lt;&gt;"","IDR","")</f>
        <v>IDR</v>
      </c>
      <c r="BJ46" s="7" t="str">
        <f>CONCATENATE(Table43[[#This Row],[kode  1 Digit
(Nomor)]],Table43[[#This Row],[kode  4 Digit                (Nomor)]])</f>
        <v>0000</v>
      </c>
      <c r="BK46" s="7">
        <f>Table43[[#This Row],[Nama            Gramasi atau Jumlah Pack per CTN]]</f>
        <v>0</v>
      </c>
      <c r="BL46" s="7"/>
      <c r="BM46" s="7"/>
      <c r="BN46" s="4" t="str">
        <f>IF(Table43[[#This Row],[SATUAN Fix Win]]&lt;&gt;"","KRT")</f>
        <v>KRT</v>
      </c>
      <c r="BO46" s="4" t="str">
        <f>IF(Table43[[#This Row],[SATUAN Fix Win]]&lt;&gt;"","GD01")</f>
        <v>GD01</v>
      </c>
      <c r="BP46" s="4">
        <f>IF(Table43[[#This Row],[SATUAN Fix Win]]&lt;&gt;"",11611)</f>
        <v>11611</v>
      </c>
      <c r="BQ46" s="4">
        <f>IF(Table43[[#This Row],[SATUAN Fix Win]]&lt;&gt;"",11612)</f>
        <v>11612</v>
      </c>
      <c r="BS46" s="4">
        <f>IF(Table43[[#This Row],[SATUAN Fix Win]]&lt;&gt;"",1)</f>
        <v>1</v>
      </c>
      <c r="BU46" s="4">
        <f>Table43[[#This Row],[ISI/CTN]]</f>
        <v>120</v>
      </c>
    </row>
    <row r="47" spans="1:73">
      <c r="A47" s="4" t="str">
        <f>CONCATENATE(Table43[[#This Row],[Kode BARANG Win2]],Table43[[#This Row],[No. Urut
Item Sama]])</f>
        <v>G1070001000010</v>
      </c>
      <c r="B47" s="7"/>
      <c r="C47" s="31"/>
      <c r="D47" s="51">
        <v>40007596</v>
      </c>
      <c r="E47" s="27"/>
      <c r="F47" s="51"/>
      <c r="G47" s="51"/>
      <c r="H47" s="27"/>
      <c r="I47" s="27">
        <v>120</v>
      </c>
      <c r="J47" s="51" t="s">
        <v>1651</v>
      </c>
      <c r="K47" s="27" t="str">
        <f>Table43[[#This Row],[NamaJenisKemasan]]</f>
        <v>PCS</v>
      </c>
      <c r="L47" s="4" t="str">
        <f>TRIM(CONCATENATE(Table43[[#This Row],[Nama            KLP]]," ",Table43[[#This Row],[Nama            Sub KLP]]))</f>
        <v>HIT</v>
      </c>
      <c r="M47" s="4" t="str">
        <f>CONCATENATE(Table43[[#This Row],[kode  2 Digit                (hrf+No)]],Table43[[#This Row],[kode  2 Digit                (Nomor)]],Table43[[#This Row],[kode  1 Digit                (Nomor)]])</f>
        <v>G1070</v>
      </c>
      <c r="N47" s="4" t="str">
        <f>IF(AI47="",CONCATENATE(S47,U47,W47,Y47,AA47,AC47,AE47,AG47,Table43[[#This Row],[Tanda Kode Revisi]]),CONCATENATE(S47,U47,W47,Y47,AA47,AC47,AE47,AI47))</f>
        <v>G1070001000010</v>
      </c>
      <c r="O47" s="11">
        <f>LEN(N47)</f>
        <v>14</v>
      </c>
      <c r="P47" s="14" t="str">
        <f>IF(AH47&lt;&gt;"",TRIM(UPPER(CONCATENATE(R47," ",T47," ",V47," ",X47," ",Z47," ",AB47," ","X"," ",Table43[[#This Row],[ISI/CTN]]," ",AH47," ",AD47," ",AF47," ",AJ47))),TRIM(UPPER(CONCATENATE(R47," ",T47," ",V47," ",X47," ",Z47," ",AB47," ","X"," ",Table43[[#This Row],[ISI/CTN]]," ",AD47," ",AF47," ",AJ47))))</f>
        <v>HIT POMPA PLASTIK X 120 PCS</v>
      </c>
      <c r="Q47" s="11">
        <f>LEN(P47)</f>
        <v>27</v>
      </c>
      <c r="S47" s="7" t="s">
        <v>34</v>
      </c>
      <c r="T47" s="4" t="s">
        <v>2242</v>
      </c>
      <c r="U47" s="47" t="s">
        <v>2544</v>
      </c>
      <c r="V47" s="48"/>
      <c r="W47" s="7">
        <v>0</v>
      </c>
      <c r="X47" s="48"/>
      <c r="Y47" s="47" t="s">
        <v>1116</v>
      </c>
      <c r="Z47" s="48" t="s">
        <v>2294</v>
      </c>
      <c r="AA47" s="49" t="s">
        <v>1115</v>
      </c>
      <c r="AC47" s="49" t="s">
        <v>2460</v>
      </c>
      <c r="AD47" s="4" t="s">
        <v>185</v>
      </c>
      <c r="AE47" s="7">
        <v>1</v>
      </c>
      <c r="AG47" s="7">
        <v>0</v>
      </c>
      <c r="AK47" s="70">
        <f>Table43[[#This Row],[Column4]]</f>
        <v>0</v>
      </c>
      <c r="AN47" s="7">
        <f>Table43[[#This Row],[ISI/CTN]]</f>
        <v>120</v>
      </c>
      <c r="AO47" s="61">
        <f>Table43[[#This Row],[Harga Jual Pcs GT
(-PPN)]]-(Table43[[#This Row],[Harga Jual Pcs GT
(-PPN)]]*6.5%)</f>
        <v>0</v>
      </c>
      <c r="AP47" s="61">
        <f>Table43[[#This Row],[Harga Beli Pcs
(-PPN)]]*Table43[[#This Row],[ISI/CTN]]</f>
        <v>0</v>
      </c>
      <c r="AQ47" s="61">
        <f>Table43[[#This Row],[Harga Beli Pcs
(-PPN)]]*1.11</f>
        <v>0</v>
      </c>
      <c r="AR47" s="61">
        <f>Table43[[#This Row],[Harga Beli Krt
(- PPN)]]*1.11</f>
        <v>0</v>
      </c>
      <c r="AS47" s="61"/>
      <c r="AT47" s="61">
        <f>Table43[[#This Row],[Harga Jual Pcs GT
(-PPN)]]*Table43[[#This Row],[ISI/CTN]]</f>
        <v>0</v>
      </c>
      <c r="AU47" s="61">
        <f>Table43[[#This Row],[Harga Jual Pcs GT
(-PPN)]]*1.11</f>
        <v>0</v>
      </c>
      <c r="AV47" s="61">
        <f>Table43[[#This Row],[Harga Jual Krt GT
(- PPN)]]*1.11</f>
        <v>0</v>
      </c>
      <c r="AW47" s="61">
        <f>IFERROR(VLOOKUP(Table43[[#This Row],[Kode Pcpl]],'[1]FEB 2026'!$A$3:$X$312,24,0),0)</f>
        <v>0</v>
      </c>
      <c r="AX47" s="61">
        <f>Table43[[#This Row],[Harga Jual Pcs MT
(-PPN)]]*Table43[[#This Row],[ISI/CTN]]</f>
        <v>0</v>
      </c>
      <c r="AY47" s="61">
        <f>Table43[[#This Row],[Harga Jual Pcs MT
(-PPN)]]*1.11</f>
        <v>0</v>
      </c>
      <c r="AZ47" s="61">
        <f>Table43[[#This Row],[Harga Jual Pcs MT
(+PPN)]]*Table43[[#This Row],[ISI/CTN]]</f>
        <v>0</v>
      </c>
      <c r="BA47" s="62" t="e">
        <f>(Table43[[#This Row],[Harga Jual Pcs GT
(-PPN)]]-Table43[[#This Row],[Harga Beli Pcs
(-PPN)]])/Table43[[#This Row],[Harga Jual Pcs GT
(-PPN)]]</f>
        <v>#DIV/0!</v>
      </c>
      <c r="BB47" s="63">
        <f>Table43[[#This Row],[Harga Jual Pcs MT
(-PPN)]]-Table43[[#This Row],[Harga Beli Pcs
(-PPN)]]</f>
        <v>0</v>
      </c>
      <c r="BC47" s="64" t="e">
        <f>Table43[[#This Row],[Column1]]/Table43[[#This Row],[Harga Jual Pcs MT
(-PPN)]]</f>
        <v>#DIV/0!</v>
      </c>
      <c r="BD47" s="52"/>
      <c r="BE47" s="7"/>
      <c r="BF47" s="7" t="str">
        <f ca="1">IF(TODAY()-Table43[[#This Row],[Efektif
Pembuatan]]&gt;60,"Lama","Baru")</f>
        <v>Lama</v>
      </c>
      <c r="BG47" s="7" t="str">
        <f ca="1">IF(TODAY()-Table43[[#This Row],[Efektif Naik Harga]]&lt;30,"Naik","Sama")</f>
        <v>Sama</v>
      </c>
      <c r="BH47" s="7"/>
      <c r="BI47" s="7" t="str">
        <f>IF(Table43[[#This Row],[Kode BARANG Win2]]&lt;&gt;"","IDR","")</f>
        <v>IDR</v>
      </c>
      <c r="BJ47" s="7" t="str">
        <f>CONCATENATE(Table43[[#This Row],[kode  1 Digit
(Nomor)]],Table43[[#This Row],[kode  4 Digit                (Nomor)]])</f>
        <v>0000</v>
      </c>
      <c r="BK47" s="7">
        <f>Table43[[#This Row],[Nama            Gramasi atau Jumlah Pack per CTN]]</f>
        <v>0</v>
      </c>
      <c r="BL47" s="7"/>
      <c r="BM47" s="7"/>
      <c r="BN47" s="4" t="str">
        <f>IF(Table43[[#This Row],[SATUAN Fix Win]]&lt;&gt;"","KRT")</f>
        <v>KRT</v>
      </c>
      <c r="BO47" s="4" t="str">
        <f>IF(Table43[[#This Row],[SATUAN Fix Win]]&lt;&gt;"","GD01")</f>
        <v>GD01</v>
      </c>
      <c r="BP47" s="4">
        <f>IF(Table43[[#This Row],[SATUAN Fix Win]]&lt;&gt;"",11611)</f>
        <v>11611</v>
      </c>
      <c r="BQ47" s="4">
        <f>IF(Table43[[#This Row],[SATUAN Fix Win]]&lt;&gt;"",11612)</f>
        <v>11612</v>
      </c>
      <c r="BS47" s="4">
        <f>IF(Table43[[#This Row],[SATUAN Fix Win]]&lt;&gt;"",1)</f>
        <v>1</v>
      </c>
      <c r="BU47" s="4">
        <f>Table43[[#This Row],[ISI/CTN]]</f>
        <v>120</v>
      </c>
    </row>
    <row r="48" spans="1:73">
      <c r="A48" s="4" t="str">
        <f>CONCATENATE(Table43[[#This Row],[Kode BARANG Win2]],Table43[[#This Row],[No. Urut
Item Sama]])</f>
        <v>G1071001020010</v>
      </c>
      <c r="B48" s="7"/>
      <c r="C48" s="31">
        <v>30071030200000</v>
      </c>
      <c r="D48" s="59">
        <v>40034832</v>
      </c>
      <c r="E48" s="67" t="s">
        <v>2474</v>
      </c>
      <c r="F48" s="68">
        <v>30071030200000</v>
      </c>
      <c r="G48" s="69">
        <v>0</v>
      </c>
      <c r="H48" s="60">
        <v>0</v>
      </c>
      <c r="I48" s="60">
        <v>12</v>
      </c>
      <c r="J48" s="59">
        <v>0</v>
      </c>
      <c r="K48" s="60" t="str">
        <f>Table43[[#This Row],[NamaJenisKemasan]]</f>
        <v>KLG</v>
      </c>
      <c r="L48" s="4" t="str">
        <f>TRIM(CONCATENATE(Table43[[#This Row],[Nama            KLP]]," ",Table43[[#This Row],[Nama            Sub KLP]]))</f>
        <v>HIT AEROSOL</v>
      </c>
      <c r="M48" s="4" t="str">
        <f>CONCATENATE(Table43[[#This Row],[kode  2 Digit                (hrf+No)]],Table43[[#This Row],[kode  2 Digit                (Nomor)]],Table43[[#This Row],[kode  1 Digit                (Nomor)]])</f>
        <v>G1071</v>
      </c>
      <c r="N48" s="4" t="str">
        <f>IF(AI48="",CONCATENATE(S48,U48,W48,Y48,AA48,AC48,AE48,AG48,Table43[[#This Row],[Tanda Kode Revisi]]),CONCATENATE(S48,U48,W48,Y48,AA48,AC48,AE48,AI48))</f>
        <v>G1071001020010</v>
      </c>
      <c r="O48" s="11">
        <f t="shared" si="0"/>
        <v>14</v>
      </c>
      <c r="P48" s="14" t="str">
        <f>IF(AH48&lt;&gt;"",TRIM(UPPER(CONCATENATE(R48," ",T48," ",V48," ",X48," ",Z48," ",AB48," ","X"," ",Table43[[#This Row],[ISI/CTN]]," ",AH48," ",AD48," ",AF48," ",AJ48))),TRIM(UPPER(CONCATENATE(R48," ",T48," ",V48," ",X48," ",Z48," ",AB48," ","X"," ",Table43[[#This Row],[ISI/CTN]]," ",AD48," ",AF48," ",AJ48))))</f>
        <v>HIT AEROSOL BLOOMING TEA 200ML X 12 KLG</v>
      </c>
      <c r="Q48" s="11">
        <f t="shared" si="1"/>
        <v>39</v>
      </c>
      <c r="S48" s="7" t="s">
        <v>34</v>
      </c>
      <c r="T48" s="4" t="s">
        <v>2242</v>
      </c>
      <c r="U48" s="47" t="s">
        <v>2544</v>
      </c>
      <c r="V48" s="48" t="s">
        <v>2243</v>
      </c>
      <c r="W48" s="7">
        <v>1</v>
      </c>
      <c r="X48" s="48"/>
      <c r="Y48" s="47" t="s">
        <v>1116</v>
      </c>
      <c r="Z48" s="4" t="s">
        <v>2515</v>
      </c>
      <c r="AA48" s="49" t="s">
        <v>1115</v>
      </c>
      <c r="AB48" s="4" t="s">
        <v>640</v>
      </c>
      <c r="AC48" s="49" t="s">
        <v>2606</v>
      </c>
      <c r="AD48" s="4" t="s">
        <v>2221</v>
      </c>
      <c r="AE48" s="7">
        <v>1</v>
      </c>
      <c r="AG48" s="7">
        <v>0</v>
      </c>
      <c r="AK48" s="70">
        <f>Table43[[#This Row],[Column4]]</f>
        <v>30071030200000</v>
      </c>
      <c r="AN48" s="7">
        <f>Table43[[#This Row],[ISI/CTN]]</f>
        <v>12</v>
      </c>
      <c r="AO48" s="38">
        <f>Table43[[#This Row],[Harga Jual Pcs GT
(-PPN)]]-(Table43[[#This Row],[Harga Jual Pcs GT
(-PPN)]]*6.5%)</f>
        <v>12435.5</v>
      </c>
      <c r="AP48" s="38">
        <f>Table43[[#This Row],[Harga Beli Pcs
(-PPN)]]*Table43[[#This Row],[ISI/CTN]]</f>
        <v>149226</v>
      </c>
      <c r="AQ48" s="38">
        <f>Table43[[#This Row],[Harga Beli Pcs
(-PPN)]]*1.11</f>
        <v>13803.405000000001</v>
      </c>
      <c r="AR48" s="38">
        <f>Table43[[#This Row],[Harga Beli Krt
(- PPN)]]*1.11</f>
        <v>165640.86000000002</v>
      </c>
      <c r="AS48" s="38">
        <v>13300</v>
      </c>
      <c r="AT48" s="38">
        <f>Table43[[#This Row],[Harga Jual Pcs GT
(-PPN)]]*Table43[[#This Row],[ISI/CTN]]</f>
        <v>159600</v>
      </c>
      <c r="AU48" s="38">
        <f>Table43[[#This Row],[Harga Jual Pcs GT
(-PPN)]]*1.11</f>
        <v>14763.000000000002</v>
      </c>
      <c r="AV48" s="38">
        <f>Table43[[#This Row],[Harga Jual Krt GT
(- PPN)]]*1.11</f>
        <v>177156.00000000003</v>
      </c>
      <c r="AW48" s="38">
        <f>IFERROR(VLOOKUP(Table43[[#This Row],[Kode Pcpl]],'[1]FEB 2026'!$A$3:$X$312,24,0),0)</f>
        <v>0</v>
      </c>
      <c r="AX48" s="38">
        <f>Table43[[#This Row],[Harga Jual Pcs MT
(-PPN)]]*Table43[[#This Row],[ISI/CTN]]</f>
        <v>0</v>
      </c>
      <c r="AY48" s="38">
        <f>Table43[[#This Row],[Harga Jual Pcs MT
(-PPN)]]*1.11</f>
        <v>0</v>
      </c>
      <c r="AZ48" s="38">
        <f>Table43[[#This Row],[Harga Jual Pcs MT
(+PPN)]]*Table43[[#This Row],[ISI/CTN]]</f>
        <v>0</v>
      </c>
      <c r="BA48" s="46">
        <f>(Table43[[#This Row],[Harga Jual Pcs GT
(-PPN)]]-Table43[[#This Row],[Harga Beli Pcs
(-PPN)]])/Table43[[#This Row],[Harga Jual Pcs GT
(-PPN)]]</f>
        <v>6.5000000000000002E-2</v>
      </c>
      <c r="BB48" s="53">
        <f>Table43[[#This Row],[Harga Jual Pcs MT
(-PPN)]]-Table43[[#This Row],[Harga Beli Pcs
(-PPN)]]</f>
        <v>-12435.5</v>
      </c>
      <c r="BC48" s="54" t="e">
        <f>Table43[[#This Row],[Column1]]/Table43[[#This Row],[Harga Jual Pcs MT
(-PPN)]]</f>
        <v>#DIV/0!</v>
      </c>
      <c r="BD48" s="52"/>
      <c r="BE48" s="7"/>
      <c r="BF48" s="7" t="str">
        <f ca="1">IF(TODAY()-Table43[[#This Row],[Efektif
Pembuatan]]&gt;60,"Lama","Baru")</f>
        <v>Lama</v>
      </c>
      <c r="BG48" s="7" t="str">
        <f ca="1">IF(TODAY()-Table43[[#This Row],[Efektif Naik Harga]]&lt;30,"Naik","Sama")</f>
        <v>Sama</v>
      </c>
      <c r="BH48" s="7"/>
      <c r="BI48" s="7" t="str">
        <f>IF(Table43[[#This Row],[Kode BARANG Win2]]&lt;&gt;"","IDR","")</f>
        <v>IDR</v>
      </c>
      <c r="BJ48" s="7" t="str">
        <f>CONCATENATE(Table43[[#This Row],[kode  1 Digit
(Nomor)]],Table43[[#This Row],[kode  4 Digit                (Nomor)]])</f>
        <v>0200</v>
      </c>
      <c r="BK48" s="7" t="str">
        <f>Table43[[#This Row],[Nama            Gramasi atau Jumlah Pack per CTN]]</f>
        <v>200ML</v>
      </c>
      <c r="BL48" s="7"/>
      <c r="BM48" s="7"/>
      <c r="BN48" s="4" t="str">
        <f>IF(Table43[[#This Row],[SATUAN Fix Win]]&lt;&gt;"","KRT")</f>
        <v>KRT</v>
      </c>
      <c r="BO48" s="4" t="str">
        <f>IF(Table43[[#This Row],[SATUAN Fix Win]]&lt;&gt;"","GD01")</f>
        <v>GD01</v>
      </c>
      <c r="BP48" s="4">
        <f>IF(Table43[[#This Row],[SATUAN Fix Win]]&lt;&gt;"",11611)</f>
        <v>11611</v>
      </c>
      <c r="BQ48" s="4">
        <f>IF(Table43[[#This Row],[SATUAN Fix Win]]&lt;&gt;"",11612)</f>
        <v>11612</v>
      </c>
      <c r="BS48" s="4">
        <f>IF(Table43[[#This Row],[SATUAN Fix Win]]&lt;&gt;"",1)</f>
        <v>1</v>
      </c>
      <c r="BU48" s="4">
        <f>Table43[[#This Row],[ISI/CTN]]</f>
        <v>12</v>
      </c>
    </row>
    <row r="49" spans="1:73">
      <c r="A49" s="4" t="str">
        <f>CONCATENATE(Table43[[#This Row],[Kode BARANG Win2]],Table43[[#This Row],[No. Urut
Item Sama]])</f>
        <v>G1071002060010</v>
      </c>
      <c r="B49" s="7"/>
      <c r="C49" s="31">
        <v>30071050600000</v>
      </c>
      <c r="D49" s="51">
        <v>40037980</v>
      </c>
      <c r="E49" s="66" t="s">
        <v>2462</v>
      </c>
      <c r="F49" s="68">
        <v>30071050600000</v>
      </c>
      <c r="G49" s="68">
        <v>0</v>
      </c>
      <c r="H49" s="27">
        <v>0</v>
      </c>
      <c r="I49" s="27">
        <v>12</v>
      </c>
      <c r="J49" s="51">
        <v>0</v>
      </c>
      <c r="K49" s="27" t="str">
        <f>Table43[[#This Row],[NamaJenisKemasan]]</f>
        <v>KLG</v>
      </c>
      <c r="L49" s="4" t="str">
        <f>TRIM(CONCATENATE(Table43[[#This Row],[Nama            KLP]]," ",Table43[[#This Row],[Nama            Sub KLP]]))</f>
        <v>HIT AEROSOL</v>
      </c>
      <c r="M49" s="4" t="str">
        <f>CONCATENATE(Table43[[#This Row],[kode  2 Digit                (hrf+No)]],Table43[[#This Row],[kode  2 Digit                (Nomor)]],Table43[[#This Row],[kode  1 Digit                (Nomor)]])</f>
        <v>G1071</v>
      </c>
      <c r="N49" s="4" t="str">
        <f>IF(AI49="",CONCATENATE(S49,U49,W49,Y49,AA49,AC49,AE49,AG49,Table43[[#This Row],[Tanda Kode Revisi]]),CONCATENATE(S49,U49,W49,Y49,AA49,AC49,AE49,AI49))</f>
        <v>G1071002060010</v>
      </c>
      <c r="O49" s="11">
        <f t="shared" si="0"/>
        <v>14</v>
      </c>
      <c r="P49" s="14" t="str">
        <f>IF(AH49&lt;&gt;"",TRIM(UPPER(CONCATENATE(R49," ",T49," ",V49," ",X49," ",Z49," ",AB49," ","X"," ",Table43[[#This Row],[ISI/CTN]]," ",AH49," ",AD49," ",AF49," ",AJ49))),TRIM(UPPER(CONCATENATE(R49," ",T49," ",V49," ",X49," ",Z49," ",AB49," ","X"," ",Table43[[#This Row],[ISI/CTN]]," ",AD49," ",AF49," ",AJ49))))</f>
        <v>HIT AEROSOL CITRUS 600ML X 12 KLG</v>
      </c>
      <c r="Q49" s="11">
        <f t="shared" si="1"/>
        <v>33</v>
      </c>
      <c r="S49" s="7" t="s">
        <v>34</v>
      </c>
      <c r="T49" s="4" t="s">
        <v>2242</v>
      </c>
      <c r="U49" s="47" t="s">
        <v>2544</v>
      </c>
      <c r="V49" s="48" t="s">
        <v>2243</v>
      </c>
      <c r="W49" s="7">
        <v>1</v>
      </c>
      <c r="X49" s="48"/>
      <c r="Y49" s="47" t="s">
        <v>1116</v>
      </c>
      <c r="Z49" s="4" t="s">
        <v>2390</v>
      </c>
      <c r="AA49" s="49" t="s">
        <v>2459</v>
      </c>
      <c r="AB49" s="4" t="s">
        <v>2246</v>
      </c>
      <c r="AC49" s="49" t="s">
        <v>2632</v>
      </c>
      <c r="AD49" s="4" t="s">
        <v>2221</v>
      </c>
      <c r="AE49" s="7">
        <v>1</v>
      </c>
      <c r="AG49" s="7">
        <v>0</v>
      </c>
      <c r="AK49" s="70">
        <f>Table43[[#This Row],[Column4]]</f>
        <v>30071050600000</v>
      </c>
      <c r="AN49" s="7">
        <f>Table43[[#This Row],[ISI/CTN]]</f>
        <v>12</v>
      </c>
      <c r="AO49" s="38">
        <f>Table43[[#This Row],[Harga Jual Pcs GT
(-PPN)]]-(Table43[[#This Row],[Harga Jual Pcs GT
(-PPN)]]*6.5%)</f>
        <v>28564.25</v>
      </c>
      <c r="AP49" s="38">
        <f>Table43[[#This Row],[Harga Beli Pcs
(-PPN)]]*Table43[[#This Row],[ISI/CTN]]</f>
        <v>342771</v>
      </c>
      <c r="AQ49" s="38">
        <f>Table43[[#This Row],[Harga Beli Pcs
(-PPN)]]*1.11</f>
        <v>31706.317500000001</v>
      </c>
      <c r="AR49" s="38">
        <f>Table43[[#This Row],[Harga Beli Krt
(- PPN)]]*1.11</f>
        <v>380475.81000000006</v>
      </c>
      <c r="AS49" s="38">
        <v>30550</v>
      </c>
      <c r="AT49" s="38">
        <f>Table43[[#This Row],[Harga Jual Pcs GT
(-PPN)]]*Table43[[#This Row],[ISI/CTN]]</f>
        <v>366600</v>
      </c>
      <c r="AU49" s="38">
        <f>Table43[[#This Row],[Harga Jual Pcs GT
(-PPN)]]*1.11</f>
        <v>33910.5</v>
      </c>
      <c r="AV49" s="38">
        <f>Table43[[#This Row],[Harga Jual Krt GT
(- PPN)]]*1.11</f>
        <v>406926.00000000006</v>
      </c>
      <c r="AW49" s="38">
        <f>IFERROR(VLOOKUP(Table43[[#This Row],[Kode Pcpl]],'[1]FEB 2026'!$A$3:$X$312,24,0),0)</f>
        <v>0</v>
      </c>
      <c r="AX49" s="38">
        <f>Table43[[#This Row],[Harga Jual Pcs MT
(-PPN)]]*Table43[[#This Row],[ISI/CTN]]</f>
        <v>0</v>
      </c>
      <c r="AY49" s="38">
        <f>Table43[[#This Row],[Harga Jual Pcs MT
(-PPN)]]*1.11</f>
        <v>0</v>
      </c>
      <c r="AZ49" s="38">
        <f>Table43[[#This Row],[Harga Jual Pcs MT
(+PPN)]]*Table43[[#This Row],[ISI/CTN]]</f>
        <v>0</v>
      </c>
      <c r="BA49" s="46">
        <f>(Table43[[#This Row],[Harga Jual Pcs GT
(-PPN)]]-Table43[[#This Row],[Harga Beli Pcs
(-PPN)]])/Table43[[#This Row],[Harga Jual Pcs GT
(-PPN)]]</f>
        <v>6.5000000000000002E-2</v>
      </c>
      <c r="BB49" s="53">
        <f>Table43[[#This Row],[Harga Jual Pcs MT
(-PPN)]]-Table43[[#This Row],[Harga Beli Pcs
(-PPN)]]</f>
        <v>-28564.25</v>
      </c>
      <c r="BC49" s="54" t="e">
        <f>Table43[[#This Row],[Column1]]/Table43[[#This Row],[Harga Jual Pcs MT
(-PPN)]]</f>
        <v>#DIV/0!</v>
      </c>
      <c r="BD49" s="52"/>
      <c r="BE49" s="7"/>
      <c r="BF49" s="7" t="str">
        <f ca="1">IF(TODAY()-Table43[[#This Row],[Efektif
Pembuatan]]&gt;60,"Lama","Baru")</f>
        <v>Lama</v>
      </c>
      <c r="BG49" s="7" t="str">
        <f ca="1">IF(TODAY()-Table43[[#This Row],[Efektif Naik Harga]]&lt;30,"Naik","Sama")</f>
        <v>Sama</v>
      </c>
      <c r="BH49" s="7"/>
      <c r="BI49" s="7" t="str">
        <f>IF(Table43[[#This Row],[Kode BARANG Win2]]&lt;&gt;"","IDR","")</f>
        <v>IDR</v>
      </c>
      <c r="BJ49" s="7" t="str">
        <f>CONCATENATE(Table43[[#This Row],[kode  1 Digit
(Nomor)]],Table43[[#This Row],[kode  4 Digit                (Nomor)]])</f>
        <v>0600</v>
      </c>
      <c r="BK49" s="7" t="str">
        <f>Table43[[#This Row],[Nama            Gramasi atau Jumlah Pack per CTN]]</f>
        <v>600ML</v>
      </c>
      <c r="BL49" s="7"/>
      <c r="BM49" s="7"/>
      <c r="BN49" s="4" t="str">
        <f>IF(Table43[[#This Row],[SATUAN Fix Win]]&lt;&gt;"","KRT")</f>
        <v>KRT</v>
      </c>
      <c r="BO49" s="4" t="str">
        <f>IF(Table43[[#This Row],[SATUAN Fix Win]]&lt;&gt;"","GD01")</f>
        <v>GD01</v>
      </c>
      <c r="BP49" s="4">
        <f>IF(Table43[[#This Row],[SATUAN Fix Win]]&lt;&gt;"",11611)</f>
        <v>11611</v>
      </c>
      <c r="BQ49" s="4">
        <f>IF(Table43[[#This Row],[SATUAN Fix Win]]&lt;&gt;"",11612)</f>
        <v>11612</v>
      </c>
      <c r="BS49" s="4">
        <f>IF(Table43[[#This Row],[SATUAN Fix Win]]&lt;&gt;"",1)</f>
        <v>1</v>
      </c>
      <c r="BU49" s="4">
        <f>Table43[[#This Row],[ISI/CTN]]</f>
        <v>12</v>
      </c>
    </row>
    <row r="50" spans="1:73">
      <c r="A50" s="4" t="str">
        <f>CONCATENATE(Table43[[#This Row],[Kode BARANG Win2]],Table43[[#This Row],[No. Urut
Item Sama]])</f>
        <v>G1071003040010</v>
      </c>
      <c r="B50" s="7"/>
      <c r="C50" s="31">
        <v>30047110200000</v>
      </c>
      <c r="D50" s="59">
        <v>40060008</v>
      </c>
      <c r="E50" s="60" t="s">
        <v>1908</v>
      </c>
      <c r="F50" s="51">
        <v>30070030400000</v>
      </c>
      <c r="G50" s="59">
        <v>0</v>
      </c>
      <c r="H50" s="60" t="s">
        <v>1165</v>
      </c>
      <c r="I50" s="60">
        <v>12</v>
      </c>
      <c r="J50" s="59" t="s">
        <v>1600</v>
      </c>
      <c r="K50" s="60" t="str">
        <f>Table43[[#This Row],[NamaJenisKemasan]]</f>
        <v>KLG</v>
      </c>
      <c r="L50" s="4" t="str">
        <f>TRIM(CONCATENATE(Table43[[#This Row],[Nama            KLP]]," ",Table43[[#This Row],[Nama            Sub KLP]]))</f>
        <v>HIT AEROSOL</v>
      </c>
      <c r="M50" s="4" t="str">
        <f>CONCATENATE(Table43[[#This Row],[kode  2 Digit                (hrf+No)]],Table43[[#This Row],[kode  2 Digit                (Nomor)]],Table43[[#This Row],[kode  1 Digit                (Nomor)]])</f>
        <v>G1071</v>
      </c>
      <c r="N50" s="4" t="str">
        <f>IF(AI50="",CONCATENATE(S50,U50,W50,Y50,AA50,AC50,AE50,AG50,Table43[[#This Row],[Tanda Kode Revisi]]),CONCATENATE(S50,U50,W50,Y50,AA50,AC50,AE50,AI50))</f>
        <v>G1071003040010</v>
      </c>
      <c r="O50" s="11">
        <f t="shared" si="0"/>
        <v>14</v>
      </c>
      <c r="P50" s="14" t="str">
        <f>IF(AH50&lt;&gt;"",TRIM(UPPER(CONCATENATE(R50," ",T50," ",V50," ",X50," ",Z50," ",AB50," ","X"," ",Table43[[#This Row],[ISI/CTN]]," ",AH50," ",AD50," ",AF50," ",AJ50))),TRIM(UPPER(CONCATENATE(R50," ",T50," ",V50," ",X50," ",Z50," ",AB50," ","X"," ",Table43[[#This Row],[ISI/CTN]]," ",AD50," ",AF50," ",AJ50))))</f>
        <v>HIT AEROSOL COTTON POWDER 400ML X 12 KLG</v>
      </c>
      <c r="Q50" s="11">
        <f t="shared" si="1"/>
        <v>40</v>
      </c>
      <c r="S50" s="7" t="s">
        <v>34</v>
      </c>
      <c r="T50" s="4" t="s">
        <v>2242</v>
      </c>
      <c r="U50" s="47" t="s">
        <v>2544</v>
      </c>
      <c r="V50" s="48" t="s">
        <v>2243</v>
      </c>
      <c r="W50" s="7">
        <v>1</v>
      </c>
      <c r="X50" s="48"/>
      <c r="Y50" s="47" t="s">
        <v>1116</v>
      </c>
      <c r="Z50" s="4" t="s">
        <v>2244</v>
      </c>
      <c r="AA50" s="49" t="s">
        <v>2538</v>
      </c>
      <c r="AB50" s="4" t="s">
        <v>635</v>
      </c>
      <c r="AC50" s="49" t="s">
        <v>2624</v>
      </c>
      <c r="AD50" s="4" t="s">
        <v>2221</v>
      </c>
      <c r="AE50" s="7">
        <v>1</v>
      </c>
      <c r="AG50" s="7">
        <v>0</v>
      </c>
      <c r="AK50" s="70">
        <f>Table43[[#This Row],[Column4]]</f>
        <v>30070030400000</v>
      </c>
      <c r="AN50" s="7">
        <f>Table43[[#This Row],[ISI/CTN]]</f>
        <v>12</v>
      </c>
      <c r="AO50" s="38">
        <f>Table43[[#This Row],[Harga Jual Pcs GT
(-PPN)]]-(Table43[[#This Row],[Harga Jual Pcs GT
(-PPN)]]*6.5%)</f>
        <v>20429.75</v>
      </c>
      <c r="AP50" s="38">
        <f>Table43[[#This Row],[Harga Beli Pcs
(-PPN)]]*Table43[[#This Row],[ISI/CTN]]</f>
        <v>245157</v>
      </c>
      <c r="AQ50" s="38">
        <f>Table43[[#This Row],[Harga Beli Pcs
(-PPN)]]*1.11</f>
        <v>22677.022500000003</v>
      </c>
      <c r="AR50" s="38">
        <f>Table43[[#This Row],[Harga Beli Krt
(- PPN)]]*1.11</f>
        <v>272124.27</v>
      </c>
      <c r="AS50" s="38">
        <v>21850</v>
      </c>
      <c r="AT50" s="38">
        <f>Table43[[#This Row],[Harga Jual Pcs GT
(-PPN)]]*Table43[[#This Row],[ISI/CTN]]</f>
        <v>262200</v>
      </c>
      <c r="AU50" s="38">
        <f>Table43[[#This Row],[Harga Jual Pcs GT
(-PPN)]]*1.11</f>
        <v>24253.500000000004</v>
      </c>
      <c r="AV50" s="38">
        <f>Table43[[#This Row],[Harga Jual Krt GT
(- PPN)]]*1.11</f>
        <v>291042</v>
      </c>
      <c r="AW50" s="38">
        <f>IFERROR(VLOOKUP(Table43[[#This Row],[Kode Pcpl]],'[1]FEB 2026'!$A$3:$X$312,24,0),0)</f>
        <v>0</v>
      </c>
      <c r="AX50" s="38">
        <f>Table43[[#This Row],[Harga Jual Pcs MT
(-PPN)]]*Table43[[#This Row],[ISI/CTN]]</f>
        <v>0</v>
      </c>
      <c r="AY50" s="38">
        <f>Table43[[#This Row],[Harga Jual Pcs MT
(-PPN)]]*1.11</f>
        <v>0</v>
      </c>
      <c r="AZ50" s="38">
        <f>Table43[[#This Row],[Harga Jual Pcs MT
(+PPN)]]*Table43[[#This Row],[ISI/CTN]]</f>
        <v>0</v>
      </c>
      <c r="BA50" s="46">
        <f>(Table43[[#This Row],[Harga Jual Pcs GT
(-PPN)]]-Table43[[#This Row],[Harga Beli Pcs
(-PPN)]])/Table43[[#This Row],[Harga Jual Pcs GT
(-PPN)]]</f>
        <v>6.5000000000000002E-2</v>
      </c>
      <c r="BB50" s="53">
        <f>Table43[[#This Row],[Harga Jual Pcs MT
(-PPN)]]-Table43[[#This Row],[Harga Beli Pcs
(-PPN)]]</f>
        <v>-20429.75</v>
      </c>
      <c r="BC50" s="54" t="e">
        <f>Table43[[#This Row],[Column1]]/Table43[[#This Row],[Harga Jual Pcs MT
(-PPN)]]</f>
        <v>#DIV/0!</v>
      </c>
      <c r="BD50" s="52"/>
      <c r="BE50" s="7"/>
      <c r="BF50" s="7" t="str">
        <f ca="1">IF(TODAY()-Table43[[#This Row],[Efektif
Pembuatan]]&gt;60,"Lama","Baru")</f>
        <v>Lama</v>
      </c>
      <c r="BG50" s="7" t="str">
        <f ca="1">IF(TODAY()-Table43[[#This Row],[Efektif Naik Harga]]&lt;30,"Naik","Sama")</f>
        <v>Sama</v>
      </c>
      <c r="BH50" s="7"/>
      <c r="BI50" s="7" t="str">
        <f>IF(Table43[[#This Row],[Kode BARANG Win2]]&lt;&gt;"","IDR","")</f>
        <v>IDR</v>
      </c>
      <c r="BJ50" s="7" t="str">
        <f>CONCATENATE(Table43[[#This Row],[kode  1 Digit
(Nomor)]],Table43[[#This Row],[kode  4 Digit                (Nomor)]])</f>
        <v>0400</v>
      </c>
      <c r="BK50" s="7" t="str">
        <f>Table43[[#This Row],[Nama            Gramasi atau Jumlah Pack per CTN]]</f>
        <v>400ML</v>
      </c>
      <c r="BL50" s="7"/>
      <c r="BM50" s="7"/>
      <c r="BN50" s="4" t="str">
        <f>IF(Table43[[#This Row],[SATUAN Fix Win]]&lt;&gt;"","KRT")</f>
        <v>KRT</v>
      </c>
      <c r="BO50" s="4" t="str">
        <f>IF(Table43[[#This Row],[SATUAN Fix Win]]&lt;&gt;"","GD01")</f>
        <v>GD01</v>
      </c>
      <c r="BP50" s="4">
        <f>IF(Table43[[#This Row],[SATUAN Fix Win]]&lt;&gt;"",11611)</f>
        <v>11611</v>
      </c>
      <c r="BQ50" s="4">
        <f>IF(Table43[[#This Row],[SATUAN Fix Win]]&lt;&gt;"",11612)</f>
        <v>11612</v>
      </c>
      <c r="BS50" s="4">
        <f>IF(Table43[[#This Row],[SATUAN Fix Win]]&lt;&gt;"",1)</f>
        <v>1</v>
      </c>
      <c r="BU50" s="4">
        <f>Table43[[#This Row],[ISI/CTN]]</f>
        <v>12</v>
      </c>
    </row>
    <row r="51" spans="1:73">
      <c r="A51" s="4" t="str">
        <f>CONCATENATE(Table43[[#This Row],[Kode BARANG Win2]],Table43[[#This Row],[No. Urut
Item Sama]])</f>
        <v>G1071003040010</v>
      </c>
      <c r="B51" s="7"/>
      <c r="C51" s="31">
        <v>30050010012000</v>
      </c>
      <c r="D51" s="51">
        <v>40058477</v>
      </c>
      <c r="E51" s="27" t="s">
        <v>1908</v>
      </c>
      <c r="F51" s="51">
        <v>30070030400000</v>
      </c>
      <c r="G51" s="51">
        <v>0</v>
      </c>
      <c r="H51" s="27" t="s">
        <v>1164</v>
      </c>
      <c r="I51" s="27">
        <v>12</v>
      </c>
      <c r="J51" s="51" t="s">
        <v>1600</v>
      </c>
      <c r="K51" s="27" t="str">
        <f>Table43[[#This Row],[NamaJenisKemasan]]</f>
        <v>KLG</v>
      </c>
      <c r="L51" s="4" t="str">
        <f>TRIM(CONCATENATE(Table43[[#This Row],[Nama            KLP]]," ",Table43[[#This Row],[Nama            Sub KLP]]))</f>
        <v>HIT AEROSOL</v>
      </c>
      <c r="M51" s="4" t="str">
        <f>CONCATENATE(Table43[[#This Row],[kode  2 Digit                (hrf+No)]],Table43[[#This Row],[kode  2 Digit                (Nomor)]],Table43[[#This Row],[kode  1 Digit                (Nomor)]])</f>
        <v>G1071</v>
      </c>
      <c r="N51" s="4" t="str">
        <f>IF(AI51="",CONCATENATE(S51,U51,W51,Y51,AA51,AC51,AE51,AG51,Table43[[#This Row],[Tanda Kode Revisi]]),CONCATENATE(S51,U51,W51,Y51,AA51,AC51,AE51,AI51))</f>
        <v>G1071003040010</v>
      </c>
      <c r="O51" s="11">
        <f t="shared" si="0"/>
        <v>14</v>
      </c>
      <c r="P51" s="14" t="str">
        <f>IF(AH51&lt;&gt;"",TRIM(UPPER(CONCATENATE(R51," ",T51," ",V51," ",X51," ",Z51," ",AB51," ","X"," ",Table43[[#This Row],[ISI/CTN]]," ",AH51," ",AD51," ",AF51," ",AJ51))),TRIM(UPPER(CONCATENATE(R51," ",T51," ",V51," ",X51," ",Z51," ",AB51," ","X"," ",Table43[[#This Row],[ISI/CTN]]," ",AD51," ",AF51," ",AJ51))))</f>
        <v>HIT AEROSOL COTTON POWDER 400ML X 12 KLG</v>
      </c>
      <c r="Q51" s="11">
        <f t="shared" si="1"/>
        <v>40</v>
      </c>
      <c r="S51" s="7" t="s">
        <v>34</v>
      </c>
      <c r="T51" s="4" t="s">
        <v>2242</v>
      </c>
      <c r="U51" s="47" t="s">
        <v>2544</v>
      </c>
      <c r="V51" s="48" t="s">
        <v>2243</v>
      </c>
      <c r="W51" s="7">
        <v>1</v>
      </c>
      <c r="X51" s="48"/>
      <c r="Y51" s="47" t="s">
        <v>1116</v>
      </c>
      <c r="Z51" s="4" t="s">
        <v>2244</v>
      </c>
      <c r="AA51" s="49" t="s">
        <v>2538</v>
      </c>
      <c r="AB51" s="4" t="s">
        <v>635</v>
      </c>
      <c r="AC51" s="49" t="s">
        <v>2624</v>
      </c>
      <c r="AD51" s="4" t="s">
        <v>2221</v>
      </c>
      <c r="AE51" s="7">
        <v>1</v>
      </c>
      <c r="AG51" s="7">
        <v>0</v>
      </c>
      <c r="AK51" s="70">
        <f>Table43[[#This Row],[Column4]]</f>
        <v>30070030400000</v>
      </c>
      <c r="AN51" s="7">
        <f>Table43[[#This Row],[ISI/CTN]]</f>
        <v>12</v>
      </c>
      <c r="AO51" s="38">
        <f>Table43[[#This Row],[Harga Jual Pcs GT
(-PPN)]]-(Table43[[#This Row],[Harga Jual Pcs GT
(-PPN)]]*6.5%)</f>
        <v>20429.75</v>
      </c>
      <c r="AP51" s="38">
        <f>Table43[[#This Row],[Harga Beli Pcs
(-PPN)]]*Table43[[#This Row],[ISI/CTN]]</f>
        <v>245157</v>
      </c>
      <c r="AQ51" s="38">
        <f>Table43[[#This Row],[Harga Beli Pcs
(-PPN)]]*1.11</f>
        <v>22677.022500000003</v>
      </c>
      <c r="AR51" s="38">
        <f>Table43[[#This Row],[Harga Beli Krt
(- PPN)]]*1.11</f>
        <v>272124.27</v>
      </c>
      <c r="AS51" s="38">
        <v>21850</v>
      </c>
      <c r="AT51" s="38">
        <f>Table43[[#This Row],[Harga Jual Pcs GT
(-PPN)]]*Table43[[#This Row],[ISI/CTN]]</f>
        <v>262200</v>
      </c>
      <c r="AU51" s="38">
        <f>Table43[[#This Row],[Harga Jual Pcs GT
(-PPN)]]*1.11</f>
        <v>24253.500000000004</v>
      </c>
      <c r="AV51" s="38">
        <f>Table43[[#This Row],[Harga Jual Krt GT
(- PPN)]]*1.11</f>
        <v>291042</v>
      </c>
      <c r="AW51" s="38">
        <f>IFERROR(VLOOKUP(Table43[[#This Row],[Kode Pcpl]],'[1]FEB 2026'!$A$3:$X$312,24,0),0)</f>
        <v>0</v>
      </c>
      <c r="AX51" s="38">
        <f>Table43[[#This Row],[Harga Jual Pcs MT
(-PPN)]]*Table43[[#This Row],[ISI/CTN]]</f>
        <v>0</v>
      </c>
      <c r="AY51" s="38">
        <f>Table43[[#This Row],[Harga Jual Pcs MT
(-PPN)]]*1.11</f>
        <v>0</v>
      </c>
      <c r="AZ51" s="38">
        <f>Table43[[#This Row],[Harga Jual Pcs MT
(+PPN)]]*Table43[[#This Row],[ISI/CTN]]</f>
        <v>0</v>
      </c>
      <c r="BA51" s="46">
        <f>(Table43[[#This Row],[Harga Jual Pcs GT
(-PPN)]]-Table43[[#This Row],[Harga Beli Pcs
(-PPN)]])/Table43[[#This Row],[Harga Jual Pcs GT
(-PPN)]]</f>
        <v>6.5000000000000002E-2</v>
      </c>
      <c r="BB51" s="53">
        <f>Table43[[#This Row],[Harga Jual Pcs MT
(-PPN)]]-Table43[[#This Row],[Harga Beli Pcs
(-PPN)]]</f>
        <v>-20429.75</v>
      </c>
      <c r="BC51" s="54" t="e">
        <f>Table43[[#This Row],[Column1]]/Table43[[#This Row],[Harga Jual Pcs MT
(-PPN)]]</f>
        <v>#DIV/0!</v>
      </c>
      <c r="BD51" s="52"/>
      <c r="BE51" s="7"/>
      <c r="BF51" s="7" t="str">
        <f ca="1">IF(TODAY()-Table43[[#This Row],[Efektif
Pembuatan]]&gt;60,"Lama","Baru")</f>
        <v>Lama</v>
      </c>
      <c r="BG51" s="7" t="str">
        <f ca="1">IF(TODAY()-Table43[[#This Row],[Efektif Naik Harga]]&lt;30,"Naik","Sama")</f>
        <v>Sama</v>
      </c>
      <c r="BH51" s="7"/>
      <c r="BI51" s="7" t="str">
        <f>IF(Table43[[#This Row],[Kode BARANG Win2]]&lt;&gt;"","IDR","")</f>
        <v>IDR</v>
      </c>
      <c r="BJ51" s="7" t="str">
        <f>CONCATENATE(Table43[[#This Row],[kode  1 Digit
(Nomor)]],Table43[[#This Row],[kode  4 Digit                (Nomor)]])</f>
        <v>0400</v>
      </c>
      <c r="BK51" s="7" t="str">
        <f>Table43[[#This Row],[Nama            Gramasi atau Jumlah Pack per CTN]]</f>
        <v>400ML</v>
      </c>
      <c r="BL51" s="7"/>
      <c r="BM51" s="7"/>
      <c r="BN51" s="4" t="str">
        <f>IF(Table43[[#This Row],[SATUAN Fix Win]]&lt;&gt;"","KRT")</f>
        <v>KRT</v>
      </c>
      <c r="BO51" s="4" t="str">
        <f>IF(Table43[[#This Row],[SATUAN Fix Win]]&lt;&gt;"","GD01")</f>
        <v>GD01</v>
      </c>
      <c r="BP51" s="4">
        <f>IF(Table43[[#This Row],[SATUAN Fix Win]]&lt;&gt;"",11611)</f>
        <v>11611</v>
      </c>
      <c r="BQ51" s="4">
        <f>IF(Table43[[#This Row],[SATUAN Fix Win]]&lt;&gt;"",11612)</f>
        <v>11612</v>
      </c>
      <c r="BS51" s="4">
        <f>IF(Table43[[#This Row],[SATUAN Fix Win]]&lt;&gt;"",1)</f>
        <v>1</v>
      </c>
      <c r="BU51" s="4">
        <f>Table43[[#This Row],[ISI/CTN]]</f>
        <v>12</v>
      </c>
    </row>
    <row r="52" spans="1:73">
      <c r="A52" s="4" t="str">
        <f>CONCATENATE(Table43[[#This Row],[Kode BARANG Win2]],Table43[[#This Row],[No. Urut
Item Sama]])</f>
        <v>G1071003060010</v>
      </c>
      <c r="B52" s="7"/>
      <c r="C52" s="31">
        <v>30050030030000</v>
      </c>
      <c r="D52" s="59">
        <v>40060009</v>
      </c>
      <c r="E52" s="60" t="s">
        <v>1909</v>
      </c>
      <c r="F52" s="59">
        <v>30070030600000</v>
      </c>
      <c r="G52" s="59">
        <v>0</v>
      </c>
      <c r="H52" s="60" t="s">
        <v>1167</v>
      </c>
      <c r="I52" s="60">
        <v>12</v>
      </c>
      <c r="J52" s="59" t="s">
        <v>1601</v>
      </c>
      <c r="K52" s="60" t="str">
        <f>Table43[[#This Row],[NamaJenisKemasan]]</f>
        <v>KLG</v>
      </c>
      <c r="L52" s="4" t="str">
        <f>TRIM(CONCATENATE(Table43[[#This Row],[Nama            KLP]]," ",Table43[[#This Row],[Nama            Sub KLP]]))</f>
        <v>HIT AEROSOL</v>
      </c>
      <c r="M52" s="4" t="str">
        <f>CONCATENATE(Table43[[#This Row],[kode  2 Digit                (hrf+No)]],Table43[[#This Row],[kode  2 Digit                (Nomor)]],Table43[[#This Row],[kode  1 Digit                (Nomor)]])</f>
        <v>G1071</v>
      </c>
      <c r="N52" s="4" t="str">
        <f>IF(AI52="",CONCATENATE(S52,U52,W52,Y52,AA52,AC52,AE52,AG52,Table43[[#This Row],[Tanda Kode Revisi]]),CONCATENATE(S52,U52,W52,Y52,AA52,AC52,AE52,AI52))</f>
        <v>G1071003060010</v>
      </c>
      <c r="O52" s="11">
        <f t="shared" si="0"/>
        <v>14</v>
      </c>
      <c r="P52" s="14" t="str">
        <f>IF(AH52&lt;&gt;"",TRIM(UPPER(CONCATENATE(R52," ",T52," ",V52," ",X52," ",Z52," ",AB52," ","X"," ",Table43[[#This Row],[ISI/CTN]]," ",AH52," ",AD52," ",AF52," ",AJ52))),TRIM(UPPER(CONCATENATE(R52," ",T52," ",V52," ",X52," ",Z52," ",AB52," ","X"," ",Table43[[#This Row],[ISI/CTN]]," ",AD52," ",AF52," ",AJ52))))</f>
        <v>HIT AEROSOL COTTON POWDER 600ML X 12 KLG</v>
      </c>
      <c r="Q52" s="11">
        <f t="shared" si="1"/>
        <v>40</v>
      </c>
      <c r="S52" s="7" t="s">
        <v>34</v>
      </c>
      <c r="T52" s="4" t="s">
        <v>2242</v>
      </c>
      <c r="U52" s="47" t="s">
        <v>2544</v>
      </c>
      <c r="V52" s="48" t="s">
        <v>2243</v>
      </c>
      <c r="W52" s="7">
        <v>1</v>
      </c>
      <c r="X52" s="48"/>
      <c r="Y52" s="47" t="s">
        <v>1116</v>
      </c>
      <c r="Z52" s="4" t="s">
        <v>2244</v>
      </c>
      <c r="AA52" s="49" t="s">
        <v>2538</v>
      </c>
      <c r="AB52" s="4" t="s">
        <v>2246</v>
      </c>
      <c r="AC52" s="49" t="s">
        <v>2632</v>
      </c>
      <c r="AD52" s="4" t="s">
        <v>2221</v>
      </c>
      <c r="AE52" s="7">
        <v>1</v>
      </c>
      <c r="AG52" s="7">
        <v>0</v>
      </c>
      <c r="AK52" s="70">
        <f>Table43[[#This Row],[Column4]]</f>
        <v>30070030600000</v>
      </c>
      <c r="AN52" s="7">
        <f>Table43[[#This Row],[ISI/CTN]]</f>
        <v>12</v>
      </c>
      <c r="AO52" s="38">
        <f>Table43[[#This Row],[Harga Jual Pcs GT
(-PPN)]]-(Table43[[#This Row],[Harga Jual Pcs GT
(-PPN)]]*6.5%)</f>
        <v>27115</v>
      </c>
      <c r="AP52" s="38">
        <f>Table43[[#This Row],[Harga Beli Pcs
(-PPN)]]*Table43[[#This Row],[ISI/CTN]]</f>
        <v>325380</v>
      </c>
      <c r="AQ52" s="38">
        <f>Table43[[#This Row],[Harga Beli Pcs
(-PPN)]]*1.11</f>
        <v>30097.65</v>
      </c>
      <c r="AR52" s="38">
        <f>Table43[[#This Row],[Harga Beli Krt
(- PPN)]]*1.11</f>
        <v>361171.80000000005</v>
      </c>
      <c r="AS52" s="38">
        <v>29000</v>
      </c>
      <c r="AT52" s="38">
        <f>Table43[[#This Row],[Harga Jual Pcs GT
(-PPN)]]*Table43[[#This Row],[ISI/CTN]]</f>
        <v>348000</v>
      </c>
      <c r="AU52" s="38">
        <f>Table43[[#This Row],[Harga Jual Pcs GT
(-PPN)]]*1.11</f>
        <v>32190.000000000004</v>
      </c>
      <c r="AV52" s="38">
        <f>Table43[[#This Row],[Harga Jual Krt GT
(- PPN)]]*1.11</f>
        <v>386280.00000000006</v>
      </c>
      <c r="AW52" s="38">
        <f>IFERROR(VLOOKUP(Table43[[#This Row],[Kode Pcpl]],'[1]FEB 2026'!$A$3:$X$312,24,0),0)</f>
        <v>0</v>
      </c>
      <c r="AX52" s="38">
        <f>Table43[[#This Row],[Harga Jual Pcs MT
(-PPN)]]*Table43[[#This Row],[ISI/CTN]]</f>
        <v>0</v>
      </c>
      <c r="AY52" s="38">
        <f>Table43[[#This Row],[Harga Jual Pcs MT
(-PPN)]]*1.11</f>
        <v>0</v>
      </c>
      <c r="AZ52" s="38">
        <f>Table43[[#This Row],[Harga Jual Pcs MT
(+PPN)]]*Table43[[#This Row],[ISI/CTN]]</f>
        <v>0</v>
      </c>
      <c r="BA52" s="46">
        <f>(Table43[[#This Row],[Harga Jual Pcs GT
(-PPN)]]-Table43[[#This Row],[Harga Beli Pcs
(-PPN)]])/Table43[[#This Row],[Harga Jual Pcs GT
(-PPN)]]</f>
        <v>6.5000000000000002E-2</v>
      </c>
      <c r="BB52" s="53">
        <f>Table43[[#This Row],[Harga Jual Pcs MT
(-PPN)]]-Table43[[#This Row],[Harga Beli Pcs
(-PPN)]]</f>
        <v>-27115</v>
      </c>
      <c r="BC52" s="54" t="e">
        <f>Table43[[#This Row],[Column1]]/Table43[[#This Row],[Harga Jual Pcs MT
(-PPN)]]</f>
        <v>#DIV/0!</v>
      </c>
      <c r="BD52" s="52"/>
      <c r="BE52" s="7"/>
      <c r="BF52" s="7" t="str">
        <f ca="1">IF(TODAY()-Table43[[#This Row],[Efektif
Pembuatan]]&gt;60,"Lama","Baru")</f>
        <v>Lama</v>
      </c>
      <c r="BG52" s="7" t="str">
        <f ca="1">IF(TODAY()-Table43[[#This Row],[Efektif Naik Harga]]&lt;30,"Naik","Sama")</f>
        <v>Sama</v>
      </c>
      <c r="BH52" s="7"/>
      <c r="BI52" s="7" t="str">
        <f>IF(Table43[[#This Row],[Kode BARANG Win2]]&lt;&gt;"","IDR","")</f>
        <v>IDR</v>
      </c>
      <c r="BJ52" s="7" t="str">
        <f>CONCATENATE(Table43[[#This Row],[kode  1 Digit
(Nomor)]],Table43[[#This Row],[kode  4 Digit                (Nomor)]])</f>
        <v>0600</v>
      </c>
      <c r="BK52" s="7" t="str">
        <f>Table43[[#This Row],[Nama            Gramasi atau Jumlah Pack per CTN]]</f>
        <v>600ML</v>
      </c>
      <c r="BL52" s="7"/>
      <c r="BM52" s="7"/>
      <c r="BN52" s="4" t="str">
        <f>IF(Table43[[#This Row],[SATUAN Fix Win]]&lt;&gt;"","KRT")</f>
        <v>KRT</v>
      </c>
      <c r="BO52" s="4" t="str">
        <f>IF(Table43[[#This Row],[SATUAN Fix Win]]&lt;&gt;"","GD01")</f>
        <v>GD01</v>
      </c>
      <c r="BP52" s="4">
        <f>IF(Table43[[#This Row],[SATUAN Fix Win]]&lt;&gt;"",11611)</f>
        <v>11611</v>
      </c>
      <c r="BQ52" s="4">
        <f>IF(Table43[[#This Row],[SATUAN Fix Win]]&lt;&gt;"",11612)</f>
        <v>11612</v>
      </c>
      <c r="BS52" s="4">
        <f>IF(Table43[[#This Row],[SATUAN Fix Win]]&lt;&gt;"",1)</f>
        <v>1</v>
      </c>
      <c r="BU52" s="4">
        <f>Table43[[#This Row],[ISI/CTN]]</f>
        <v>12</v>
      </c>
    </row>
    <row r="53" spans="1:73">
      <c r="A53" s="4" t="str">
        <f>CONCATENATE(Table43[[#This Row],[Kode BARANG Win2]],Table43[[#This Row],[No. Urut
Item Sama]])</f>
        <v>G1071003060010</v>
      </c>
      <c r="B53" s="7"/>
      <c r="C53" s="31">
        <v>30050040030000</v>
      </c>
      <c r="D53" s="59">
        <v>40058478</v>
      </c>
      <c r="E53" s="60" t="s">
        <v>1909</v>
      </c>
      <c r="F53" s="59">
        <v>30070030600000</v>
      </c>
      <c r="G53" s="59">
        <v>0</v>
      </c>
      <c r="H53" s="60" t="s">
        <v>1166</v>
      </c>
      <c r="I53" s="60">
        <v>12</v>
      </c>
      <c r="J53" s="59" t="s">
        <v>1601</v>
      </c>
      <c r="K53" s="60" t="str">
        <f>Table43[[#This Row],[NamaJenisKemasan]]</f>
        <v>KLG</v>
      </c>
      <c r="L53" s="4" t="str">
        <f>TRIM(CONCATENATE(Table43[[#This Row],[Nama            KLP]]," ",Table43[[#This Row],[Nama            Sub KLP]]))</f>
        <v>HIT AEROSOL</v>
      </c>
      <c r="M53" s="4" t="str">
        <f>CONCATENATE(Table43[[#This Row],[kode  2 Digit                (hrf+No)]],Table43[[#This Row],[kode  2 Digit                (Nomor)]],Table43[[#This Row],[kode  1 Digit                (Nomor)]])</f>
        <v>G1071</v>
      </c>
      <c r="N53" s="4" t="str">
        <f>IF(AI53="",CONCATENATE(S53,U53,W53,Y53,AA53,AC53,AE53,AG53,Table43[[#This Row],[Tanda Kode Revisi]]),CONCATENATE(S53,U53,W53,Y53,AA53,AC53,AE53,AI53))</f>
        <v>G1071003060010</v>
      </c>
      <c r="O53" s="11">
        <f t="shared" si="0"/>
        <v>14</v>
      </c>
      <c r="P53" s="14" t="str">
        <f>IF(AH53&lt;&gt;"",TRIM(UPPER(CONCATENATE(R53," ",T53," ",V53," ",X53," ",Z53," ",AB53," ","X"," ",Table43[[#This Row],[ISI/CTN]]," ",AH53," ",AD53," ",AF53," ",AJ53))),TRIM(UPPER(CONCATENATE(R53," ",T53," ",V53," ",X53," ",Z53," ",AB53," ","X"," ",Table43[[#This Row],[ISI/CTN]]," ",AD53," ",AF53," ",AJ53))))</f>
        <v>HIT AEROSOL COTTON POWDER 600ML X 12 KLG</v>
      </c>
      <c r="Q53" s="11">
        <f t="shared" si="1"/>
        <v>40</v>
      </c>
      <c r="S53" s="7" t="s">
        <v>34</v>
      </c>
      <c r="T53" s="4" t="s">
        <v>2242</v>
      </c>
      <c r="U53" s="47" t="s">
        <v>2544</v>
      </c>
      <c r="V53" s="48" t="s">
        <v>2243</v>
      </c>
      <c r="W53" s="7">
        <v>1</v>
      </c>
      <c r="X53" s="48"/>
      <c r="Y53" s="47" t="s">
        <v>1116</v>
      </c>
      <c r="Z53" s="4" t="s">
        <v>2244</v>
      </c>
      <c r="AA53" s="49" t="s">
        <v>2538</v>
      </c>
      <c r="AB53" s="4" t="s">
        <v>2246</v>
      </c>
      <c r="AC53" s="49" t="s">
        <v>2632</v>
      </c>
      <c r="AD53" s="4" t="s">
        <v>2221</v>
      </c>
      <c r="AE53" s="7">
        <v>1</v>
      </c>
      <c r="AG53" s="7">
        <v>0</v>
      </c>
      <c r="AK53" s="70">
        <f>Table43[[#This Row],[Column4]]</f>
        <v>30070030600000</v>
      </c>
      <c r="AN53" s="7">
        <f>Table43[[#This Row],[ISI/CTN]]</f>
        <v>12</v>
      </c>
      <c r="AO53" s="38">
        <f>Table43[[#This Row],[Harga Jual Pcs GT
(-PPN)]]-(Table43[[#This Row],[Harga Jual Pcs GT
(-PPN)]]*6.5%)</f>
        <v>27115</v>
      </c>
      <c r="AP53" s="38">
        <f>Table43[[#This Row],[Harga Beli Pcs
(-PPN)]]*Table43[[#This Row],[ISI/CTN]]</f>
        <v>325380</v>
      </c>
      <c r="AQ53" s="38">
        <f>Table43[[#This Row],[Harga Beli Pcs
(-PPN)]]*1.11</f>
        <v>30097.65</v>
      </c>
      <c r="AR53" s="38">
        <f>Table43[[#This Row],[Harga Beli Krt
(- PPN)]]*1.11</f>
        <v>361171.80000000005</v>
      </c>
      <c r="AS53" s="38">
        <v>29000</v>
      </c>
      <c r="AT53" s="38">
        <f>Table43[[#This Row],[Harga Jual Pcs GT
(-PPN)]]*Table43[[#This Row],[ISI/CTN]]</f>
        <v>348000</v>
      </c>
      <c r="AU53" s="38">
        <f>Table43[[#This Row],[Harga Jual Pcs GT
(-PPN)]]*1.11</f>
        <v>32190.000000000004</v>
      </c>
      <c r="AV53" s="38">
        <f>Table43[[#This Row],[Harga Jual Krt GT
(- PPN)]]*1.11</f>
        <v>386280.00000000006</v>
      </c>
      <c r="AW53" s="38">
        <f>IFERROR(VLOOKUP(Table43[[#This Row],[Kode Pcpl]],'[1]FEB 2026'!$A$3:$X$312,24,0),0)</f>
        <v>0</v>
      </c>
      <c r="AX53" s="38">
        <f>Table43[[#This Row],[Harga Jual Pcs MT
(-PPN)]]*Table43[[#This Row],[ISI/CTN]]</f>
        <v>0</v>
      </c>
      <c r="AY53" s="38">
        <f>Table43[[#This Row],[Harga Jual Pcs MT
(-PPN)]]*1.11</f>
        <v>0</v>
      </c>
      <c r="AZ53" s="38">
        <f>Table43[[#This Row],[Harga Jual Pcs MT
(+PPN)]]*Table43[[#This Row],[ISI/CTN]]</f>
        <v>0</v>
      </c>
      <c r="BA53" s="46">
        <f>(Table43[[#This Row],[Harga Jual Pcs GT
(-PPN)]]-Table43[[#This Row],[Harga Beli Pcs
(-PPN)]])/Table43[[#This Row],[Harga Jual Pcs GT
(-PPN)]]</f>
        <v>6.5000000000000002E-2</v>
      </c>
      <c r="BB53" s="53">
        <f>Table43[[#This Row],[Harga Jual Pcs MT
(-PPN)]]-Table43[[#This Row],[Harga Beli Pcs
(-PPN)]]</f>
        <v>-27115</v>
      </c>
      <c r="BC53" s="54" t="e">
        <f>Table43[[#This Row],[Column1]]/Table43[[#This Row],[Harga Jual Pcs MT
(-PPN)]]</f>
        <v>#DIV/0!</v>
      </c>
      <c r="BD53" s="52"/>
      <c r="BE53" s="7"/>
      <c r="BF53" s="7" t="str">
        <f ca="1">IF(TODAY()-Table43[[#This Row],[Efektif
Pembuatan]]&gt;60,"Lama","Baru")</f>
        <v>Lama</v>
      </c>
      <c r="BG53" s="7" t="str">
        <f ca="1">IF(TODAY()-Table43[[#This Row],[Efektif Naik Harga]]&lt;30,"Naik","Sama")</f>
        <v>Sama</v>
      </c>
      <c r="BH53" s="7"/>
      <c r="BI53" s="7" t="str">
        <f>IF(Table43[[#This Row],[Kode BARANG Win2]]&lt;&gt;"","IDR","")</f>
        <v>IDR</v>
      </c>
      <c r="BJ53" s="7" t="str">
        <f>CONCATENATE(Table43[[#This Row],[kode  1 Digit
(Nomor)]],Table43[[#This Row],[kode  4 Digit                (Nomor)]])</f>
        <v>0600</v>
      </c>
      <c r="BK53" s="7" t="str">
        <f>Table43[[#This Row],[Nama            Gramasi atau Jumlah Pack per CTN]]</f>
        <v>600ML</v>
      </c>
      <c r="BL53" s="7"/>
      <c r="BM53" s="7"/>
      <c r="BN53" s="4" t="str">
        <f>IF(Table43[[#This Row],[SATUAN Fix Win]]&lt;&gt;"","KRT")</f>
        <v>KRT</v>
      </c>
      <c r="BO53" s="4" t="str">
        <f>IF(Table43[[#This Row],[SATUAN Fix Win]]&lt;&gt;"","GD01")</f>
        <v>GD01</v>
      </c>
      <c r="BP53" s="4">
        <f>IF(Table43[[#This Row],[SATUAN Fix Win]]&lt;&gt;"",11611)</f>
        <v>11611</v>
      </c>
      <c r="BQ53" s="4">
        <f>IF(Table43[[#This Row],[SATUAN Fix Win]]&lt;&gt;"",11612)</f>
        <v>11612</v>
      </c>
      <c r="BS53" s="4">
        <f>IF(Table43[[#This Row],[SATUAN Fix Win]]&lt;&gt;"",1)</f>
        <v>1</v>
      </c>
      <c r="BU53" s="4">
        <f>Table43[[#This Row],[ISI/CTN]]</f>
        <v>12</v>
      </c>
    </row>
    <row r="54" spans="1:73">
      <c r="A54" s="4" t="str">
        <f>CONCATENATE(Table43[[#This Row],[Kode BARANG Win2]],Table43[[#This Row],[No. Urut
Item Sama]])</f>
        <v>G1071003075010</v>
      </c>
      <c r="B54" s="7"/>
      <c r="C54" s="31">
        <v>30070090600000</v>
      </c>
      <c r="D54" s="59">
        <v>40060525</v>
      </c>
      <c r="E54" s="60" t="s">
        <v>1910</v>
      </c>
      <c r="F54" s="59">
        <v>30070030750000</v>
      </c>
      <c r="G54" s="59">
        <v>0</v>
      </c>
      <c r="H54" s="60" t="s">
        <v>1168</v>
      </c>
      <c r="I54" s="60">
        <v>12</v>
      </c>
      <c r="J54" s="59" t="s">
        <v>1602</v>
      </c>
      <c r="K54" s="60" t="str">
        <f>Table43[[#This Row],[NamaJenisKemasan]]</f>
        <v>KLG</v>
      </c>
      <c r="L54" s="4" t="str">
        <f>TRIM(CONCATENATE(Table43[[#This Row],[Nama            KLP]]," ",Table43[[#This Row],[Nama            Sub KLP]]))</f>
        <v>HIT AEROSOL</v>
      </c>
      <c r="M54" s="4" t="str">
        <f>CONCATENATE(Table43[[#This Row],[kode  2 Digit                (hrf+No)]],Table43[[#This Row],[kode  2 Digit                (Nomor)]],Table43[[#This Row],[kode  1 Digit                (Nomor)]])</f>
        <v>G1071</v>
      </c>
      <c r="N54" s="4" t="str">
        <f>IF(AI54="",CONCATENATE(S54,U54,W54,Y54,AA54,AC54,AE54,AG54,Table43[[#This Row],[Tanda Kode Revisi]]),CONCATENATE(S54,U54,W54,Y54,AA54,AC54,AE54,AI54))</f>
        <v>G1071003075010</v>
      </c>
      <c r="O54" s="11">
        <f t="shared" si="0"/>
        <v>14</v>
      </c>
      <c r="P54" s="14" t="str">
        <f>IF(AH54&lt;&gt;"",TRIM(UPPER(CONCATENATE(R54," ",T54," ",V54," ",X54," ",Z54," ",AB54," ","X"," ",Table43[[#This Row],[ISI/CTN]]," ",AH54," ",AD54," ",AF54," ",AJ54))),TRIM(UPPER(CONCATENATE(R54," ",T54," ",V54," ",X54," ",Z54," ",AB54," ","X"," ",Table43[[#This Row],[ISI/CTN]]," ",AD54," ",AF54," ",AJ54))))</f>
        <v>HIT AEROSOL COTTON POWDER 750ML X 12 KLG</v>
      </c>
      <c r="Q54" s="11">
        <f t="shared" si="1"/>
        <v>40</v>
      </c>
      <c r="S54" s="7" t="s">
        <v>34</v>
      </c>
      <c r="T54" s="4" t="s">
        <v>2242</v>
      </c>
      <c r="U54" s="47" t="s">
        <v>2544</v>
      </c>
      <c r="V54" s="48" t="s">
        <v>2243</v>
      </c>
      <c r="W54" s="7">
        <v>1</v>
      </c>
      <c r="X54" s="48"/>
      <c r="Y54" s="47" t="s">
        <v>1116</v>
      </c>
      <c r="Z54" s="4" t="s">
        <v>2244</v>
      </c>
      <c r="AA54" s="49" t="s">
        <v>2538</v>
      </c>
      <c r="AB54" s="4" t="s">
        <v>2259</v>
      </c>
      <c r="AC54" s="49" t="s">
        <v>2637</v>
      </c>
      <c r="AD54" s="4" t="s">
        <v>2221</v>
      </c>
      <c r="AE54" s="7">
        <v>1</v>
      </c>
      <c r="AG54" s="7">
        <v>0</v>
      </c>
      <c r="AK54" s="70">
        <f>Table43[[#This Row],[Column4]]</f>
        <v>30070030750000</v>
      </c>
      <c r="AN54" s="7">
        <f>Table43[[#This Row],[ISI/CTN]]</f>
        <v>12</v>
      </c>
      <c r="AO54" s="38">
        <f>Table43[[#This Row],[Harga Jual Pcs GT
(-PPN)]]-(Table43[[#This Row],[Harga Jual Pcs GT
(-PPN)]]*6.5%)</f>
        <v>35191.53</v>
      </c>
      <c r="AP54" s="38">
        <f>Table43[[#This Row],[Harga Beli Pcs
(-PPN)]]*Table43[[#This Row],[ISI/CTN]]</f>
        <v>422298.36</v>
      </c>
      <c r="AQ54" s="38">
        <f>Table43[[#This Row],[Harga Beli Pcs
(-PPN)]]*1.11</f>
        <v>39062.598300000005</v>
      </c>
      <c r="AR54" s="38">
        <f>Table43[[#This Row],[Harga Beli Krt
(- PPN)]]*1.11</f>
        <v>468751.17960000003</v>
      </c>
      <c r="AS54" s="38">
        <v>37638</v>
      </c>
      <c r="AT54" s="38">
        <f>Table43[[#This Row],[Harga Jual Pcs GT
(-PPN)]]*Table43[[#This Row],[ISI/CTN]]</f>
        <v>451656</v>
      </c>
      <c r="AU54" s="38">
        <f>Table43[[#This Row],[Harga Jual Pcs GT
(-PPN)]]*1.11</f>
        <v>41778.18</v>
      </c>
      <c r="AV54" s="38">
        <f>Table43[[#This Row],[Harga Jual Krt GT
(- PPN)]]*1.11</f>
        <v>501338.16000000003</v>
      </c>
      <c r="AW54" s="38">
        <f>IFERROR(VLOOKUP(Table43[[#This Row],[Kode Pcpl]],'[1]FEB 2026'!$A$3:$X$312,24,0),0)</f>
        <v>0</v>
      </c>
      <c r="AX54" s="38">
        <f>Table43[[#This Row],[Harga Jual Pcs MT
(-PPN)]]*Table43[[#This Row],[ISI/CTN]]</f>
        <v>0</v>
      </c>
      <c r="AY54" s="38">
        <f>Table43[[#This Row],[Harga Jual Pcs MT
(-PPN)]]*1.11</f>
        <v>0</v>
      </c>
      <c r="AZ54" s="38">
        <f>Table43[[#This Row],[Harga Jual Pcs MT
(+PPN)]]*Table43[[#This Row],[ISI/CTN]]</f>
        <v>0</v>
      </c>
      <c r="BA54" s="46">
        <f>(Table43[[#This Row],[Harga Jual Pcs GT
(-PPN)]]-Table43[[#This Row],[Harga Beli Pcs
(-PPN)]])/Table43[[#This Row],[Harga Jual Pcs GT
(-PPN)]]</f>
        <v>6.500000000000003E-2</v>
      </c>
      <c r="BB54" s="53">
        <f>Table43[[#This Row],[Harga Jual Pcs MT
(-PPN)]]-Table43[[#This Row],[Harga Beli Pcs
(-PPN)]]</f>
        <v>-35191.53</v>
      </c>
      <c r="BC54" s="54" t="e">
        <f>Table43[[#This Row],[Column1]]/Table43[[#This Row],[Harga Jual Pcs MT
(-PPN)]]</f>
        <v>#DIV/0!</v>
      </c>
      <c r="BD54" s="52"/>
      <c r="BE54" s="7"/>
      <c r="BF54" s="7" t="str">
        <f ca="1">IF(TODAY()-Table43[[#This Row],[Efektif
Pembuatan]]&gt;60,"Lama","Baru")</f>
        <v>Lama</v>
      </c>
      <c r="BG54" s="7" t="str">
        <f ca="1">IF(TODAY()-Table43[[#This Row],[Efektif Naik Harga]]&lt;30,"Naik","Sama")</f>
        <v>Sama</v>
      </c>
      <c r="BH54" s="7"/>
      <c r="BI54" s="7" t="str">
        <f>IF(Table43[[#This Row],[Kode BARANG Win2]]&lt;&gt;"","IDR","")</f>
        <v>IDR</v>
      </c>
      <c r="BJ54" s="7" t="str">
        <f>CONCATENATE(Table43[[#This Row],[kode  1 Digit
(Nomor)]],Table43[[#This Row],[kode  4 Digit                (Nomor)]])</f>
        <v>0750</v>
      </c>
      <c r="BK54" s="7" t="str">
        <f>Table43[[#This Row],[Nama            Gramasi atau Jumlah Pack per CTN]]</f>
        <v>750ML</v>
      </c>
      <c r="BL54" s="7"/>
      <c r="BM54" s="7"/>
      <c r="BN54" s="4" t="str">
        <f>IF(Table43[[#This Row],[SATUAN Fix Win]]&lt;&gt;"","KRT")</f>
        <v>KRT</v>
      </c>
      <c r="BO54" s="4" t="str">
        <f>IF(Table43[[#This Row],[SATUAN Fix Win]]&lt;&gt;"","GD01")</f>
        <v>GD01</v>
      </c>
      <c r="BP54" s="4">
        <f>IF(Table43[[#This Row],[SATUAN Fix Win]]&lt;&gt;"",11611)</f>
        <v>11611</v>
      </c>
      <c r="BQ54" s="4">
        <f>IF(Table43[[#This Row],[SATUAN Fix Win]]&lt;&gt;"",11612)</f>
        <v>11612</v>
      </c>
      <c r="BS54" s="4">
        <f>IF(Table43[[#This Row],[SATUAN Fix Win]]&lt;&gt;"",1)</f>
        <v>1</v>
      </c>
      <c r="BU54" s="4">
        <f>Table43[[#This Row],[ISI/CTN]]</f>
        <v>12</v>
      </c>
    </row>
    <row r="55" spans="1:73">
      <c r="A55" s="4" t="str">
        <f>CONCATENATE(Table43[[#This Row],[Kode BARANG Win2]],Table43[[#This Row],[No. Urut
Item Sama]])</f>
        <v>G1071004040010</v>
      </c>
      <c r="B55" s="7"/>
      <c r="C55" s="31">
        <v>30070010150000</v>
      </c>
      <c r="D55" s="51">
        <v>40059924</v>
      </c>
      <c r="E55" s="27" t="s">
        <v>1923</v>
      </c>
      <c r="F55" s="59">
        <v>30071050415000</v>
      </c>
      <c r="G55" s="51">
        <v>0</v>
      </c>
      <c r="H55" s="27" t="s">
        <v>1194</v>
      </c>
      <c r="I55" s="27">
        <v>12</v>
      </c>
      <c r="J55" s="51" t="s">
        <v>1614</v>
      </c>
      <c r="K55" s="27" t="str">
        <f>Table43[[#This Row],[NamaJenisKemasan]]</f>
        <v>KLG</v>
      </c>
      <c r="L55" s="4" t="str">
        <f>TRIM(CONCATENATE(Table43[[#This Row],[Nama            KLP]]," ",Table43[[#This Row],[Nama            Sub KLP]]))</f>
        <v>HIT AEROSOL</v>
      </c>
      <c r="M55" s="4" t="str">
        <f>CONCATENATE(Table43[[#This Row],[kode  2 Digit                (hrf+No)]],Table43[[#This Row],[kode  2 Digit                (Nomor)]],Table43[[#This Row],[kode  1 Digit                (Nomor)]])</f>
        <v>G1071</v>
      </c>
      <c r="N55" s="4" t="str">
        <f>IF(AI55="",CONCATENATE(S55,U55,W55,Y55,AA55,AC55,AE55,AG55,Table43[[#This Row],[Tanda Kode Revisi]]),CONCATENATE(S55,U55,W55,Y55,AA55,AC55,AE55,AI55))</f>
        <v>G1071004040010</v>
      </c>
      <c r="O55" s="11">
        <f t="shared" si="0"/>
        <v>14</v>
      </c>
      <c r="P55" s="14" t="str">
        <f>IF(AH55&lt;&gt;"",TRIM(UPPER(CONCATENATE(R55," ",T55," ",V55," ",X55," ",Z55," ",AB55," ","X"," ",Table43[[#This Row],[ISI/CTN]]," ",AH55," ",AD55," ",AF55," ",AJ55))),TRIM(UPPER(CONCATENATE(R55," ",T55," ",V55," ",X55," ",Z55," ",AB55," ","X"," ",Table43[[#This Row],[ISI/CTN]]," ",AD55," ",AF55," ",AJ55))))</f>
        <v>HIT AEROSOL FRESH CITRUS 415/400ML X 12 KLG</v>
      </c>
      <c r="Q55" s="11">
        <f t="shared" si="1"/>
        <v>43</v>
      </c>
      <c r="S55" s="7" t="s">
        <v>34</v>
      </c>
      <c r="T55" s="4" t="s">
        <v>2242</v>
      </c>
      <c r="U55" s="47" t="s">
        <v>2544</v>
      </c>
      <c r="V55" s="48" t="s">
        <v>2243</v>
      </c>
      <c r="W55" s="7">
        <v>1</v>
      </c>
      <c r="X55" s="48"/>
      <c r="Y55" s="47" t="s">
        <v>1116</v>
      </c>
      <c r="Z55" s="4" t="s">
        <v>2247</v>
      </c>
      <c r="AA55" s="49" t="s">
        <v>2540</v>
      </c>
      <c r="AB55" s="4" t="s">
        <v>2245</v>
      </c>
      <c r="AC55" s="49" t="s">
        <v>2624</v>
      </c>
      <c r="AD55" s="4" t="s">
        <v>2221</v>
      </c>
      <c r="AE55" s="7">
        <v>1</v>
      </c>
      <c r="AG55" s="7">
        <v>0</v>
      </c>
      <c r="AK55" s="70">
        <f>Table43[[#This Row],[Column4]]</f>
        <v>30071050415000</v>
      </c>
      <c r="AN55" s="7">
        <f>Table43[[#This Row],[ISI/CTN]]</f>
        <v>12</v>
      </c>
      <c r="AO55" s="61">
        <f>Table43[[#This Row],[Harga Jual Pcs GT
(-PPN)]]-(Table43[[#This Row],[Harga Jual Pcs GT
(-PPN)]]*6.5%)</f>
        <v>20429.75</v>
      </c>
      <c r="AP55" s="61">
        <f>Table43[[#This Row],[Harga Beli Pcs
(-PPN)]]*Table43[[#This Row],[ISI/CTN]]</f>
        <v>245157</v>
      </c>
      <c r="AQ55" s="61">
        <f>Table43[[#This Row],[Harga Beli Pcs
(-PPN)]]*1.11</f>
        <v>22677.022500000003</v>
      </c>
      <c r="AR55" s="61">
        <f>Table43[[#This Row],[Harga Beli Krt
(- PPN)]]*1.11</f>
        <v>272124.27</v>
      </c>
      <c r="AS55" s="61">
        <v>21850</v>
      </c>
      <c r="AT55" s="61">
        <f>Table43[[#This Row],[Harga Jual Pcs GT
(-PPN)]]*Table43[[#This Row],[ISI/CTN]]</f>
        <v>262200</v>
      </c>
      <c r="AU55" s="61">
        <f>Table43[[#This Row],[Harga Jual Pcs GT
(-PPN)]]*1.11</f>
        <v>24253.500000000004</v>
      </c>
      <c r="AV55" s="61">
        <f>Table43[[#This Row],[Harga Jual Krt GT
(- PPN)]]*1.11</f>
        <v>291042</v>
      </c>
      <c r="AW55" s="61">
        <f>IFERROR(VLOOKUP(Table43[[#This Row],[Kode Pcpl]],'[1]FEB 2026'!$A$3:$X$312,24,0),0)</f>
        <v>0</v>
      </c>
      <c r="AX55" s="61">
        <f>Table43[[#This Row],[Harga Jual Pcs MT
(-PPN)]]*Table43[[#This Row],[ISI/CTN]]</f>
        <v>0</v>
      </c>
      <c r="AY55" s="61">
        <f>Table43[[#This Row],[Harga Jual Pcs MT
(-PPN)]]*1.11</f>
        <v>0</v>
      </c>
      <c r="AZ55" s="61">
        <f>Table43[[#This Row],[Harga Jual Pcs MT
(+PPN)]]*Table43[[#This Row],[ISI/CTN]]</f>
        <v>0</v>
      </c>
      <c r="BA55" s="62">
        <f>(Table43[[#This Row],[Harga Jual Pcs GT
(-PPN)]]-Table43[[#This Row],[Harga Beli Pcs
(-PPN)]])/Table43[[#This Row],[Harga Jual Pcs GT
(-PPN)]]</f>
        <v>6.5000000000000002E-2</v>
      </c>
      <c r="BB55" s="63">
        <f>Table43[[#This Row],[Harga Jual Pcs MT
(-PPN)]]-Table43[[#This Row],[Harga Beli Pcs
(-PPN)]]</f>
        <v>-20429.75</v>
      </c>
      <c r="BC55" s="64" t="e">
        <f>Table43[[#This Row],[Column1]]/Table43[[#This Row],[Harga Jual Pcs MT
(-PPN)]]</f>
        <v>#DIV/0!</v>
      </c>
      <c r="BD55" s="52"/>
      <c r="BE55" s="7"/>
      <c r="BF55" s="7" t="str">
        <f ca="1">IF(TODAY()-Table43[[#This Row],[Efektif
Pembuatan]]&gt;60,"Lama","Baru")</f>
        <v>Lama</v>
      </c>
      <c r="BG55" s="7" t="str">
        <f ca="1">IF(TODAY()-Table43[[#This Row],[Efektif Naik Harga]]&lt;30,"Naik","Sama")</f>
        <v>Sama</v>
      </c>
      <c r="BH55" s="7"/>
      <c r="BI55" s="7" t="str">
        <f>IF(Table43[[#This Row],[Kode BARANG Win2]]&lt;&gt;"","IDR","")</f>
        <v>IDR</v>
      </c>
      <c r="BJ55" s="7" t="str">
        <f>CONCATENATE(Table43[[#This Row],[kode  1 Digit
(Nomor)]],Table43[[#This Row],[kode  4 Digit                (Nomor)]])</f>
        <v>0400</v>
      </c>
      <c r="BK55" s="7" t="str">
        <f>Table43[[#This Row],[Nama            Gramasi atau Jumlah Pack per CTN]]</f>
        <v>415/400ML</v>
      </c>
      <c r="BL55" s="7"/>
      <c r="BM55" s="7"/>
      <c r="BN55" s="4" t="str">
        <f>IF(Table43[[#This Row],[SATUAN Fix Win]]&lt;&gt;"","KRT")</f>
        <v>KRT</v>
      </c>
      <c r="BO55" s="4" t="str">
        <f>IF(Table43[[#This Row],[SATUAN Fix Win]]&lt;&gt;"","GD01")</f>
        <v>GD01</v>
      </c>
      <c r="BP55" s="4">
        <f>IF(Table43[[#This Row],[SATUAN Fix Win]]&lt;&gt;"",11611)</f>
        <v>11611</v>
      </c>
      <c r="BQ55" s="4">
        <f>IF(Table43[[#This Row],[SATUAN Fix Win]]&lt;&gt;"",11612)</f>
        <v>11612</v>
      </c>
      <c r="BS55" s="4">
        <f>IF(Table43[[#This Row],[SATUAN Fix Win]]&lt;&gt;"",1)</f>
        <v>1</v>
      </c>
      <c r="BU55" s="4">
        <f>Table43[[#This Row],[ISI/CTN]]</f>
        <v>12</v>
      </c>
    </row>
    <row r="56" spans="1:73">
      <c r="A56" s="4" t="str">
        <f>CONCATENATE(Table43[[#This Row],[Kode BARANG Win2]],Table43[[#This Row],[No. Urut
Item Sama]])</f>
        <v>G1071004040010</v>
      </c>
      <c r="B56" s="7"/>
      <c r="C56" s="31">
        <v>30070010150000</v>
      </c>
      <c r="D56" s="51">
        <v>40039290</v>
      </c>
      <c r="E56" s="27" t="s">
        <v>1923</v>
      </c>
      <c r="F56" s="59">
        <v>30071050415000</v>
      </c>
      <c r="G56" s="51">
        <v>0</v>
      </c>
      <c r="H56" s="27" t="s">
        <v>1193</v>
      </c>
      <c r="I56" s="27">
        <v>12</v>
      </c>
      <c r="J56" s="51" t="s">
        <v>1614</v>
      </c>
      <c r="K56" s="27" t="str">
        <f>Table43[[#This Row],[NamaJenisKemasan]]</f>
        <v>KLG</v>
      </c>
      <c r="L56" s="4" t="str">
        <f>TRIM(CONCATENATE(Table43[[#This Row],[Nama            KLP]]," ",Table43[[#This Row],[Nama            Sub KLP]]))</f>
        <v>HIT AEROSOL</v>
      </c>
      <c r="M56" s="4" t="str">
        <f>CONCATENATE(Table43[[#This Row],[kode  2 Digit                (hrf+No)]],Table43[[#This Row],[kode  2 Digit                (Nomor)]],Table43[[#This Row],[kode  1 Digit                (Nomor)]])</f>
        <v>G1071</v>
      </c>
      <c r="N56" s="4" t="str">
        <f>IF(AI56="",CONCATENATE(S56,U56,W56,Y56,AA56,AC56,AE56,AG56,Table43[[#This Row],[Tanda Kode Revisi]]),CONCATENATE(S56,U56,W56,Y56,AA56,AC56,AE56,AI56))</f>
        <v>G1071004040010</v>
      </c>
      <c r="O56" s="11">
        <f t="shared" si="0"/>
        <v>14</v>
      </c>
      <c r="P56" s="14" t="str">
        <f>IF(AH56&lt;&gt;"",TRIM(UPPER(CONCATENATE(R56," ",T56," ",V56," ",X56," ",Z56," ",AB56," ","X"," ",Table43[[#This Row],[ISI/CTN]]," ",AH56," ",AD56," ",AF56," ",AJ56))),TRIM(UPPER(CONCATENATE(R56," ",T56," ",V56," ",X56," ",Z56," ",AB56," ","X"," ",Table43[[#This Row],[ISI/CTN]]," ",AD56," ",AF56," ",AJ56))))</f>
        <v>HIT AEROSOL FRESH CITRUS 415/400ML X 12 KLG</v>
      </c>
      <c r="Q56" s="11">
        <f t="shared" si="1"/>
        <v>43</v>
      </c>
      <c r="S56" s="7" t="s">
        <v>34</v>
      </c>
      <c r="T56" s="4" t="s">
        <v>2242</v>
      </c>
      <c r="U56" s="47" t="s">
        <v>2544</v>
      </c>
      <c r="V56" s="48" t="s">
        <v>2243</v>
      </c>
      <c r="W56" s="7">
        <v>1</v>
      </c>
      <c r="X56" s="48"/>
      <c r="Y56" s="47" t="s">
        <v>1116</v>
      </c>
      <c r="Z56" s="4" t="s">
        <v>2247</v>
      </c>
      <c r="AA56" s="49" t="s">
        <v>2540</v>
      </c>
      <c r="AB56" s="4" t="s">
        <v>2245</v>
      </c>
      <c r="AC56" s="49" t="s">
        <v>2624</v>
      </c>
      <c r="AD56" s="4" t="s">
        <v>2221</v>
      </c>
      <c r="AE56" s="7">
        <v>1</v>
      </c>
      <c r="AG56" s="7">
        <v>0</v>
      </c>
      <c r="AK56" s="70">
        <f>Table43[[#This Row],[Column4]]</f>
        <v>30071050415000</v>
      </c>
      <c r="AN56" s="7">
        <f>Table43[[#This Row],[ISI/CTN]]</f>
        <v>12</v>
      </c>
      <c r="AO56" s="61">
        <f>Table43[[#This Row],[Harga Jual Pcs GT
(-PPN)]]-(Table43[[#This Row],[Harga Jual Pcs GT
(-PPN)]]*6.5%)</f>
        <v>20429.75</v>
      </c>
      <c r="AP56" s="61">
        <f>Table43[[#This Row],[Harga Beli Pcs
(-PPN)]]*Table43[[#This Row],[ISI/CTN]]</f>
        <v>245157</v>
      </c>
      <c r="AQ56" s="61">
        <f>Table43[[#This Row],[Harga Beli Pcs
(-PPN)]]*1.11</f>
        <v>22677.022500000003</v>
      </c>
      <c r="AR56" s="61">
        <f>Table43[[#This Row],[Harga Beli Krt
(- PPN)]]*1.11</f>
        <v>272124.27</v>
      </c>
      <c r="AS56" s="61">
        <v>21850</v>
      </c>
      <c r="AT56" s="61">
        <f>Table43[[#This Row],[Harga Jual Pcs GT
(-PPN)]]*Table43[[#This Row],[ISI/CTN]]</f>
        <v>262200</v>
      </c>
      <c r="AU56" s="61">
        <f>Table43[[#This Row],[Harga Jual Pcs GT
(-PPN)]]*1.11</f>
        <v>24253.500000000004</v>
      </c>
      <c r="AV56" s="61">
        <f>Table43[[#This Row],[Harga Jual Krt GT
(- PPN)]]*1.11</f>
        <v>291042</v>
      </c>
      <c r="AW56" s="61">
        <f>IFERROR(VLOOKUP(Table43[[#This Row],[Kode Pcpl]],'[1]FEB 2026'!$A$3:$X$312,24,0),0)</f>
        <v>0</v>
      </c>
      <c r="AX56" s="61">
        <f>Table43[[#This Row],[Harga Jual Pcs MT
(-PPN)]]*Table43[[#This Row],[ISI/CTN]]</f>
        <v>0</v>
      </c>
      <c r="AY56" s="61">
        <f>Table43[[#This Row],[Harga Jual Pcs MT
(-PPN)]]*1.11</f>
        <v>0</v>
      </c>
      <c r="AZ56" s="61">
        <f>Table43[[#This Row],[Harga Jual Pcs MT
(+PPN)]]*Table43[[#This Row],[ISI/CTN]]</f>
        <v>0</v>
      </c>
      <c r="BA56" s="62">
        <f>(Table43[[#This Row],[Harga Jual Pcs GT
(-PPN)]]-Table43[[#This Row],[Harga Beli Pcs
(-PPN)]])/Table43[[#This Row],[Harga Jual Pcs GT
(-PPN)]]</f>
        <v>6.5000000000000002E-2</v>
      </c>
      <c r="BB56" s="63">
        <f>Table43[[#This Row],[Harga Jual Pcs MT
(-PPN)]]-Table43[[#This Row],[Harga Beli Pcs
(-PPN)]]</f>
        <v>-20429.75</v>
      </c>
      <c r="BC56" s="64" t="e">
        <f>Table43[[#This Row],[Column1]]/Table43[[#This Row],[Harga Jual Pcs MT
(-PPN)]]</f>
        <v>#DIV/0!</v>
      </c>
      <c r="BD56" s="52"/>
      <c r="BE56" s="7"/>
      <c r="BF56" s="7" t="str">
        <f ca="1">IF(TODAY()-Table43[[#This Row],[Efektif
Pembuatan]]&gt;60,"Lama","Baru")</f>
        <v>Lama</v>
      </c>
      <c r="BG56" s="7" t="str">
        <f ca="1">IF(TODAY()-Table43[[#This Row],[Efektif Naik Harga]]&lt;30,"Naik","Sama")</f>
        <v>Sama</v>
      </c>
      <c r="BH56" s="7"/>
      <c r="BI56" s="7" t="str">
        <f>IF(Table43[[#This Row],[Kode BARANG Win2]]&lt;&gt;"","IDR","")</f>
        <v>IDR</v>
      </c>
      <c r="BJ56" s="7" t="str">
        <f>CONCATENATE(Table43[[#This Row],[kode  1 Digit
(Nomor)]],Table43[[#This Row],[kode  4 Digit                (Nomor)]])</f>
        <v>0400</v>
      </c>
      <c r="BK56" s="7" t="str">
        <f>Table43[[#This Row],[Nama            Gramasi atau Jumlah Pack per CTN]]</f>
        <v>415/400ML</v>
      </c>
      <c r="BL56" s="7"/>
      <c r="BM56" s="7"/>
      <c r="BN56" s="4" t="str">
        <f>IF(Table43[[#This Row],[SATUAN Fix Win]]&lt;&gt;"","KRT")</f>
        <v>KRT</v>
      </c>
      <c r="BO56" s="4" t="str">
        <f>IF(Table43[[#This Row],[SATUAN Fix Win]]&lt;&gt;"","GD01")</f>
        <v>GD01</v>
      </c>
      <c r="BP56" s="4">
        <f>IF(Table43[[#This Row],[SATUAN Fix Win]]&lt;&gt;"",11611)</f>
        <v>11611</v>
      </c>
      <c r="BQ56" s="4">
        <f>IF(Table43[[#This Row],[SATUAN Fix Win]]&lt;&gt;"",11612)</f>
        <v>11612</v>
      </c>
      <c r="BS56" s="4">
        <f>IF(Table43[[#This Row],[SATUAN Fix Win]]&lt;&gt;"",1)</f>
        <v>1</v>
      </c>
      <c r="BU56" s="4">
        <f>Table43[[#This Row],[ISI/CTN]]</f>
        <v>12</v>
      </c>
    </row>
    <row r="57" spans="1:73">
      <c r="A57" s="4" t="str">
        <f>CONCATENATE(Table43[[#This Row],[Kode BARANG Win2]],Table43[[#This Row],[No. Urut
Item Sama]])</f>
        <v>G1071004060010</v>
      </c>
      <c r="B57" s="7"/>
      <c r="C57" s="31">
        <v>30070010200000</v>
      </c>
      <c r="D57" s="51">
        <v>40060013</v>
      </c>
      <c r="E57" s="27" t="s">
        <v>1911</v>
      </c>
      <c r="F57" s="51">
        <v>30070050600000</v>
      </c>
      <c r="G57" s="51">
        <v>0</v>
      </c>
      <c r="H57" s="27" t="s">
        <v>1170</v>
      </c>
      <c r="I57" s="27">
        <v>12</v>
      </c>
      <c r="J57" s="51" t="s">
        <v>1603</v>
      </c>
      <c r="K57" s="27" t="str">
        <f>Table43[[#This Row],[NamaJenisKemasan]]</f>
        <v>KLG</v>
      </c>
      <c r="L57" s="4" t="str">
        <f>TRIM(CONCATENATE(Table43[[#This Row],[Nama            KLP]]," ",Table43[[#This Row],[Nama            Sub KLP]]))</f>
        <v>HIT AEROSOL</v>
      </c>
      <c r="M57" s="4" t="str">
        <f>CONCATENATE(Table43[[#This Row],[kode  2 Digit                (hrf+No)]],Table43[[#This Row],[kode  2 Digit                (Nomor)]],Table43[[#This Row],[kode  1 Digit                (Nomor)]])</f>
        <v>G1071</v>
      </c>
      <c r="N57" s="4" t="str">
        <f>IF(AI57="",CONCATENATE(S57,U57,W57,Y57,AA57,AC57,AE57,AG57,Table43[[#This Row],[Tanda Kode Revisi]]),CONCATENATE(S57,U57,W57,Y57,AA57,AC57,AE57,AI57))</f>
        <v>G1071004060010</v>
      </c>
      <c r="O57" s="11">
        <f t="shared" si="0"/>
        <v>14</v>
      </c>
      <c r="P57" s="14" t="str">
        <f>IF(AH57&lt;&gt;"",TRIM(UPPER(CONCATENATE(R57," ",T57," ",V57," ",X57," ",Z57," ",AB57," ","X"," ",Table43[[#This Row],[ISI/CTN]]," ",AH57," ",AD57," ",AF57," ",AJ57))),TRIM(UPPER(CONCATENATE(R57," ",T57," ",V57," ",X57," ",Z57," ",AB57," ","X"," ",Table43[[#This Row],[ISI/CTN]]," ",AD57," ",AF57," ",AJ57))))</f>
        <v>HIT AEROSOL FRESH CITRUS 600ML X 12 KLG</v>
      </c>
      <c r="Q57" s="11">
        <f t="shared" si="1"/>
        <v>39</v>
      </c>
      <c r="S57" s="7" t="s">
        <v>34</v>
      </c>
      <c r="T57" s="4" t="s">
        <v>2242</v>
      </c>
      <c r="U57" s="47" t="s">
        <v>2544</v>
      </c>
      <c r="V57" s="48" t="s">
        <v>2243</v>
      </c>
      <c r="W57" s="7">
        <v>1</v>
      </c>
      <c r="X57" s="48"/>
      <c r="Y57" s="47" t="s">
        <v>1116</v>
      </c>
      <c r="Z57" s="4" t="s">
        <v>2247</v>
      </c>
      <c r="AA57" s="49" t="s">
        <v>2540</v>
      </c>
      <c r="AB57" s="4" t="s">
        <v>2246</v>
      </c>
      <c r="AC57" s="49" t="s">
        <v>2632</v>
      </c>
      <c r="AD57" s="4" t="s">
        <v>2221</v>
      </c>
      <c r="AE57" s="7">
        <v>1</v>
      </c>
      <c r="AG57" s="7">
        <v>0</v>
      </c>
      <c r="AK57" s="70">
        <f>Table43[[#This Row],[Column4]]</f>
        <v>30070050600000</v>
      </c>
      <c r="AN57" s="7">
        <f>Table43[[#This Row],[ISI/CTN]]</f>
        <v>12</v>
      </c>
      <c r="AO57" s="61">
        <f>Table43[[#This Row],[Harga Jual Pcs GT
(-PPN)]]-(Table43[[#This Row],[Harga Jual Pcs GT
(-PPN)]]*6.5%)</f>
        <v>27115</v>
      </c>
      <c r="AP57" s="61">
        <f>Table43[[#This Row],[Harga Beli Pcs
(-PPN)]]*Table43[[#This Row],[ISI/CTN]]</f>
        <v>325380</v>
      </c>
      <c r="AQ57" s="61">
        <f>Table43[[#This Row],[Harga Beli Pcs
(-PPN)]]*1.11</f>
        <v>30097.65</v>
      </c>
      <c r="AR57" s="61">
        <f>Table43[[#This Row],[Harga Beli Krt
(- PPN)]]*1.11</f>
        <v>361171.80000000005</v>
      </c>
      <c r="AS57" s="61">
        <v>29000</v>
      </c>
      <c r="AT57" s="61">
        <f>Table43[[#This Row],[Harga Jual Pcs GT
(-PPN)]]*Table43[[#This Row],[ISI/CTN]]</f>
        <v>348000</v>
      </c>
      <c r="AU57" s="61">
        <f>Table43[[#This Row],[Harga Jual Pcs GT
(-PPN)]]*1.11</f>
        <v>32190.000000000004</v>
      </c>
      <c r="AV57" s="61">
        <f>Table43[[#This Row],[Harga Jual Krt GT
(- PPN)]]*1.11</f>
        <v>386280.00000000006</v>
      </c>
      <c r="AW57" s="61">
        <f>IFERROR(VLOOKUP(Table43[[#This Row],[Kode Pcpl]],'[1]FEB 2026'!$A$3:$X$312,24,0),0)</f>
        <v>0</v>
      </c>
      <c r="AX57" s="61">
        <f>Table43[[#This Row],[Harga Jual Pcs MT
(-PPN)]]*Table43[[#This Row],[ISI/CTN]]</f>
        <v>0</v>
      </c>
      <c r="AY57" s="61">
        <f>Table43[[#This Row],[Harga Jual Pcs MT
(-PPN)]]*1.11</f>
        <v>0</v>
      </c>
      <c r="AZ57" s="61">
        <f>Table43[[#This Row],[Harga Jual Pcs MT
(+PPN)]]*Table43[[#This Row],[ISI/CTN]]</f>
        <v>0</v>
      </c>
      <c r="BA57" s="62">
        <f>(Table43[[#This Row],[Harga Jual Pcs GT
(-PPN)]]-Table43[[#This Row],[Harga Beli Pcs
(-PPN)]])/Table43[[#This Row],[Harga Jual Pcs GT
(-PPN)]]</f>
        <v>6.5000000000000002E-2</v>
      </c>
      <c r="BB57" s="63">
        <f>Table43[[#This Row],[Harga Jual Pcs MT
(-PPN)]]-Table43[[#This Row],[Harga Beli Pcs
(-PPN)]]</f>
        <v>-27115</v>
      </c>
      <c r="BC57" s="64" t="e">
        <f>Table43[[#This Row],[Column1]]/Table43[[#This Row],[Harga Jual Pcs MT
(-PPN)]]</f>
        <v>#DIV/0!</v>
      </c>
      <c r="BD57" s="52"/>
      <c r="BE57" s="7"/>
      <c r="BF57" s="7" t="str">
        <f ca="1">IF(TODAY()-Table43[[#This Row],[Efektif
Pembuatan]]&gt;60,"Lama","Baru")</f>
        <v>Lama</v>
      </c>
      <c r="BG57" s="7" t="str">
        <f ca="1">IF(TODAY()-Table43[[#This Row],[Efektif Naik Harga]]&lt;30,"Naik","Sama")</f>
        <v>Sama</v>
      </c>
      <c r="BH57" s="7"/>
      <c r="BI57" s="7" t="str">
        <f>IF(Table43[[#This Row],[Kode BARANG Win2]]&lt;&gt;"","IDR","")</f>
        <v>IDR</v>
      </c>
      <c r="BJ57" s="7" t="str">
        <f>CONCATENATE(Table43[[#This Row],[kode  1 Digit
(Nomor)]],Table43[[#This Row],[kode  4 Digit                (Nomor)]])</f>
        <v>0600</v>
      </c>
      <c r="BK57" s="7" t="str">
        <f>Table43[[#This Row],[Nama            Gramasi atau Jumlah Pack per CTN]]</f>
        <v>600ML</v>
      </c>
      <c r="BL57" s="7"/>
      <c r="BM57" s="7"/>
      <c r="BN57" s="4" t="str">
        <f>IF(Table43[[#This Row],[SATUAN Fix Win]]&lt;&gt;"","KRT")</f>
        <v>KRT</v>
      </c>
      <c r="BO57" s="4" t="str">
        <f>IF(Table43[[#This Row],[SATUAN Fix Win]]&lt;&gt;"","GD01")</f>
        <v>GD01</v>
      </c>
      <c r="BP57" s="4">
        <f>IF(Table43[[#This Row],[SATUAN Fix Win]]&lt;&gt;"",11611)</f>
        <v>11611</v>
      </c>
      <c r="BQ57" s="4">
        <f>IF(Table43[[#This Row],[SATUAN Fix Win]]&lt;&gt;"",11612)</f>
        <v>11612</v>
      </c>
      <c r="BS57" s="4">
        <f>IF(Table43[[#This Row],[SATUAN Fix Win]]&lt;&gt;"",1)</f>
        <v>1</v>
      </c>
      <c r="BU57" s="4">
        <f>Table43[[#This Row],[ISI/CTN]]</f>
        <v>12</v>
      </c>
    </row>
    <row r="58" spans="1:73">
      <c r="A58" s="4" t="str">
        <f>CONCATENATE(Table43[[#This Row],[Kode BARANG Win2]],Table43[[#This Row],[No. Urut
Item Sama]])</f>
        <v>G1071004060010</v>
      </c>
      <c r="B58" s="7"/>
      <c r="C58" s="31">
        <v>30070010200000</v>
      </c>
      <c r="D58" s="51">
        <v>40039286</v>
      </c>
      <c r="E58" s="27" t="s">
        <v>1911</v>
      </c>
      <c r="F58" s="51">
        <v>30070050600000</v>
      </c>
      <c r="G58" s="51">
        <v>30070050600000</v>
      </c>
      <c r="H58" s="27" t="s">
        <v>1169</v>
      </c>
      <c r="I58" s="27">
        <v>12</v>
      </c>
      <c r="J58" s="51" t="s">
        <v>1603</v>
      </c>
      <c r="K58" s="27" t="str">
        <f>Table43[[#This Row],[NamaJenisKemasan]]</f>
        <v>KLG</v>
      </c>
      <c r="L58" s="4" t="str">
        <f>TRIM(CONCATENATE(Table43[[#This Row],[Nama            KLP]]," ",Table43[[#This Row],[Nama            Sub KLP]]))</f>
        <v>HIT AEROSOL</v>
      </c>
      <c r="M58" s="4" t="str">
        <f>CONCATENATE(Table43[[#This Row],[kode  2 Digit                (hrf+No)]],Table43[[#This Row],[kode  2 Digit                (Nomor)]],Table43[[#This Row],[kode  1 Digit                (Nomor)]])</f>
        <v>G1071</v>
      </c>
      <c r="N58" s="4" t="str">
        <f>IF(AI58="",CONCATENATE(S58,U58,W58,Y58,AA58,AC58,AE58,AG58,Table43[[#This Row],[Tanda Kode Revisi]]),CONCATENATE(S58,U58,W58,Y58,AA58,AC58,AE58,AI58))</f>
        <v>G1071004060010</v>
      </c>
      <c r="O58" s="11">
        <f t="shared" si="0"/>
        <v>14</v>
      </c>
      <c r="P58" s="14" t="str">
        <f>IF(AH58&lt;&gt;"",TRIM(UPPER(CONCATENATE(R58," ",T58," ",V58," ",X58," ",Z58," ",AB58," ","X"," ",Table43[[#This Row],[ISI/CTN]]," ",AH58," ",AD58," ",AF58," ",AJ58))),TRIM(UPPER(CONCATENATE(R58," ",T58," ",V58," ",X58," ",Z58," ",AB58," ","X"," ",Table43[[#This Row],[ISI/CTN]]," ",AD58," ",AF58," ",AJ58))))</f>
        <v>HIT AEROSOL FRESH CITRUS 600ML X 12 KLG</v>
      </c>
      <c r="Q58" s="11">
        <f t="shared" si="1"/>
        <v>39</v>
      </c>
      <c r="S58" s="7" t="s">
        <v>34</v>
      </c>
      <c r="T58" s="4" t="s">
        <v>2242</v>
      </c>
      <c r="U58" s="47" t="s">
        <v>2544</v>
      </c>
      <c r="V58" s="48" t="s">
        <v>2243</v>
      </c>
      <c r="W58" s="7">
        <v>1</v>
      </c>
      <c r="X58" s="48"/>
      <c r="Y58" s="47" t="s">
        <v>1116</v>
      </c>
      <c r="Z58" s="4" t="s">
        <v>2247</v>
      </c>
      <c r="AA58" s="49" t="s">
        <v>2540</v>
      </c>
      <c r="AB58" s="4" t="s">
        <v>2246</v>
      </c>
      <c r="AC58" s="49" t="s">
        <v>2632</v>
      </c>
      <c r="AD58" s="4" t="s">
        <v>2221</v>
      </c>
      <c r="AE58" s="7">
        <v>1</v>
      </c>
      <c r="AG58" s="7">
        <v>0</v>
      </c>
      <c r="AK58" s="70">
        <f>Table43[[#This Row],[Column4]]</f>
        <v>30070050600000</v>
      </c>
      <c r="AN58" s="7">
        <f>Table43[[#This Row],[ISI/CTN]]</f>
        <v>12</v>
      </c>
      <c r="AO58" s="61">
        <f>Table43[[#This Row],[Harga Jual Pcs GT
(-PPN)]]-(Table43[[#This Row],[Harga Jual Pcs GT
(-PPN)]]*6.5%)</f>
        <v>27115</v>
      </c>
      <c r="AP58" s="61">
        <f>Table43[[#This Row],[Harga Beli Pcs
(-PPN)]]*Table43[[#This Row],[ISI/CTN]]</f>
        <v>325380</v>
      </c>
      <c r="AQ58" s="61">
        <f>Table43[[#This Row],[Harga Beli Pcs
(-PPN)]]*1.11</f>
        <v>30097.65</v>
      </c>
      <c r="AR58" s="61">
        <f>Table43[[#This Row],[Harga Beli Krt
(- PPN)]]*1.11</f>
        <v>361171.80000000005</v>
      </c>
      <c r="AS58" s="61">
        <v>29000</v>
      </c>
      <c r="AT58" s="61">
        <f>Table43[[#This Row],[Harga Jual Pcs GT
(-PPN)]]*Table43[[#This Row],[ISI/CTN]]</f>
        <v>348000</v>
      </c>
      <c r="AU58" s="61">
        <f>Table43[[#This Row],[Harga Jual Pcs GT
(-PPN)]]*1.11</f>
        <v>32190.000000000004</v>
      </c>
      <c r="AV58" s="61">
        <f>Table43[[#This Row],[Harga Jual Krt GT
(- PPN)]]*1.11</f>
        <v>386280.00000000006</v>
      </c>
      <c r="AW58" s="61">
        <f>IFERROR(VLOOKUP(Table43[[#This Row],[Kode Pcpl]],'[1]FEB 2026'!$A$3:$X$312,24,0),0)</f>
        <v>0</v>
      </c>
      <c r="AX58" s="61">
        <f>Table43[[#This Row],[Harga Jual Pcs MT
(-PPN)]]*Table43[[#This Row],[ISI/CTN]]</f>
        <v>0</v>
      </c>
      <c r="AY58" s="61">
        <f>Table43[[#This Row],[Harga Jual Pcs MT
(-PPN)]]*1.11</f>
        <v>0</v>
      </c>
      <c r="AZ58" s="61">
        <f>Table43[[#This Row],[Harga Jual Pcs MT
(+PPN)]]*Table43[[#This Row],[ISI/CTN]]</f>
        <v>0</v>
      </c>
      <c r="BA58" s="62">
        <f>(Table43[[#This Row],[Harga Jual Pcs GT
(-PPN)]]-Table43[[#This Row],[Harga Beli Pcs
(-PPN)]])/Table43[[#This Row],[Harga Jual Pcs GT
(-PPN)]]</f>
        <v>6.5000000000000002E-2</v>
      </c>
      <c r="BB58" s="63">
        <f>Table43[[#This Row],[Harga Jual Pcs MT
(-PPN)]]-Table43[[#This Row],[Harga Beli Pcs
(-PPN)]]</f>
        <v>-27115</v>
      </c>
      <c r="BC58" s="64" t="e">
        <f>Table43[[#This Row],[Column1]]/Table43[[#This Row],[Harga Jual Pcs MT
(-PPN)]]</f>
        <v>#DIV/0!</v>
      </c>
      <c r="BD58" s="52"/>
      <c r="BE58" s="7"/>
      <c r="BF58" s="7" t="str">
        <f ca="1">IF(TODAY()-Table43[[#This Row],[Efektif
Pembuatan]]&gt;60,"Lama","Baru")</f>
        <v>Lama</v>
      </c>
      <c r="BG58" s="7" t="str">
        <f ca="1">IF(TODAY()-Table43[[#This Row],[Efektif Naik Harga]]&lt;30,"Naik","Sama")</f>
        <v>Sama</v>
      </c>
      <c r="BH58" s="7"/>
      <c r="BI58" s="7" t="str">
        <f>IF(Table43[[#This Row],[Kode BARANG Win2]]&lt;&gt;"","IDR","")</f>
        <v>IDR</v>
      </c>
      <c r="BJ58" s="7" t="str">
        <f>CONCATENATE(Table43[[#This Row],[kode  1 Digit
(Nomor)]],Table43[[#This Row],[kode  4 Digit                (Nomor)]])</f>
        <v>0600</v>
      </c>
      <c r="BK58" s="7" t="str">
        <f>Table43[[#This Row],[Nama            Gramasi atau Jumlah Pack per CTN]]</f>
        <v>600ML</v>
      </c>
      <c r="BL58" s="7"/>
      <c r="BM58" s="7"/>
      <c r="BN58" s="4" t="str">
        <f>IF(Table43[[#This Row],[SATUAN Fix Win]]&lt;&gt;"","KRT")</f>
        <v>KRT</v>
      </c>
      <c r="BO58" s="4" t="str">
        <f>IF(Table43[[#This Row],[SATUAN Fix Win]]&lt;&gt;"","GD01")</f>
        <v>GD01</v>
      </c>
      <c r="BP58" s="4">
        <f>IF(Table43[[#This Row],[SATUAN Fix Win]]&lt;&gt;"",11611)</f>
        <v>11611</v>
      </c>
      <c r="BQ58" s="4">
        <f>IF(Table43[[#This Row],[SATUAN Fix Win]]&lt;&gt;"",11612)</f>
        <v>11612</v>
      </c>
      <c r="BS58" s="4">
        <f>IF(Table43[[#This Row],[SATUAN Fix Win]]&lt;&gt;"",1)</f>
        <v>1</v>
      </c>
      <c r="BU58" s="4">
        <f>Table43[[#This Row],[ISI/CTN]]</f>
        <v>12</v>
      </c>
    </row>
    <row r="59" spans="1:73">
      <c r="A59" s="4" t="str">
        <f>CONCATENATE(Table43[[#This Row],[Kode BARANG Win2]],Table43[[#This Row],[No. Urut
Item Sama]])</f>
        <v>G1071004060010</v>
      </c>
      <c r="B59" s="7"/>
      <c r="C59" s="31">
        <v>30070010200000</v>
      </c>
      <c r="D59" s="51">
        <v>40039442</v>
      </c>
      <c r="E59" s="27"/>
      <c r="F59" s="51">
        <v>30070050600000</v>
      </c>
      <c r="G59" s="51"/>
      <c r="H59" s="27"/>
      <c r="I59" s="27">
        <v>12</v>
      </c>
      <c r="J59" s="51"/>
      <c r="K59" s="27" t="str">
        <f>Table43[[#This Row],[NamaJenisKemasan]]</f>
        <v>KLG</v>
      </c>
      <c r="L59" s="4" t="str">
        <f>TRIM(CONCATENATE(Table43[[#This Row],[Nama            KLP]]," ",Table43[[#This Row],[Nama            Sub KLP]]))</f>
        <v>HIT AEROSOL</v>
      </c>
      <c r="M59" s="4" t="str">
        <f>CONCATENATE(Table43[[#This Row],[kode  2 Digit                (hrf+No)]],Table43[[#This Row],[kode  2 Digit                (Nomor)]],Table43[[#This Row],[kode  1 Digit                (Nomor)]])</f>
        <v>G1071</v>
      </c>
      <c r="N59" s="4" t="str">
        <f>IF(AI59="",CONCATENATE(S59,U59,W59,Y59,AA59,AC59,AE59,AG59,Table43[[#This Row],[Tanda Kode Revisi]]),CONCATENATE(S59,U59,W59,Y59,AA59,AC59,AE59,AI59))</f>
        <v>G1071004060010</v>
      </c>
      <c r="O59" s="11">
        <f t="shared" si="0"/>
        <v>14</v>
      </c>
      <c r="P59" s="14" t="str">
        <f>IF(AH59&lt;&gt;"",TRIM(UPPER(CONCATENATE(R59," ",T59," ",V59," ",X59," ",Z59," ",AB59," ","X"," ",Table43[[#This Row],[ISI/CTN]]," ",AH59," ",AD59," ",AF59," ",AJ59))),TRIM(UPPER(CONCATENATE(R59," ",T59," ",V59," ",X59," ",Z59," ",AB59," ","X"," ",Table43[[#This Row],[ISI/CTN]]," ",AD59," ",AF59," ",AJ59))))</f>
        <v>HIT AEROSOL FRESH CITRUS 600ML X 12 KLG</v>
      </c>
      <c r="Q59" s="11">
        <f t="shared" si="1"/>
        <v>39</v>
      </c>
      <c r="S59" s="7" t="s">
        <v>34</v>
      </c>
      <c r="T59" s="4" t="s">
        <v>2242</v>
      </c>
      <c r="U59" s="47" t="s">
        <v>2544</v>
      </c>
      <c r="V59" s="48" t="s">
        <v>2243</v>
      </c>
      <c r="W59" s="7">
        <v>1</v>
      </c>
      <c r="X59" s="48"/>
      <c r="Y59" s="47" t="s">
        <v>1116</v>
      </c>
      <c r="Z59" s="4" t="s">
        <v>2247</v>
      </c>
      <c r="AA59" s="49" t="s">
        <v>2540</v>
      </c>
      <c r="AB59" s="4" t="s">
        <v>2246</v>
      </c>
      <c r="AC59" s="49" t="s">
        <v>2632</v>
      </c>
      <c r="AD59" s="4" t="s">
        <v>2221</v>
      </c>
      <c r="AE59" s="7">
        <v>1</v>
      </c>
      <c r="AG59" s="7">
        <v>0</v>
      </c>
      <c r="AK59" s="70">
        <f>Table43[[#This Row],[Column4]]</f>
        <v>30070050600000</v>
      </c>
      <c r="AN59" s="7">
        <f>Table43[[#This Row],[ISI/CTN]]</f>
        <v>12</v>
      </c>
      <c r="AO59" s="61">
        <f>Table43[[#This Row],[Harga Jual Pcs GT
(-PPN)]]-(Table43[[#This Row],[Harga Jual Pcs GT
(-PPN)]]*6.5%)</f>
        <v>27115</v>
      </c>
      <c r="AP59" s="61">
        <f>Table43[[#This Row],[Harga Beli Pcs
(-PPN)]]*Table43[[#This Row],[ISI/CTN]]</f>
        <v>325380</v>
      </c>
      <c r="AQ59" s="61">
        <f>Table43[[#This Row],[Harga Beli Pcs
(-PPN)]]*1.11</f>
        <v>30097.65</v>
      </c>
      <c r="AR59" s="61">
        <f>Table43[[#This Row],[Harga Beli Krt
(- PPN)]]*1.11</f>
        <v>361171.80000000005</v>
      </c>
      <c r="AS59" s="61">
        <v>29000</v>
      </c>
      <c r="AT59" s="61">
        <f>Table43[[#This Row],[Harga Jual Pcs GT
(-PPN)]]*Table43[[#This Row],[ISI/CTN]]</f>
        <v>348000</v>
      </c>
      <c r="AU59" s="61">
        <f>Table43[[#This Row],[Harga Jual Pcs GT
(-PPN)]]*1.11</f>
        <v>32190.000000000004</v>
      </c>
      <c r="AV59" s="61">
        <f>Table43[[#This Row],[Harga Jual Krt GT
(- PPN)]]*1.11</f>
        <v>386280.00000000006</v>
      </c>
      <c r="AW59" s="61">
        <f>IFERROR(VLOOKUP(Table43[[#This Row],[Kode Pcpl]],'[1]FEB 2026'!$A$3:$X$312,24,0),0)</f>
        <v>0</v>
      </c>
      <c r="AX59" s="61">
        <f>Table43[[#This Row],[Harga Jual Pcs MT
(-PPN)]]*Table43[[#This Row],[ISI/CTN]]</f>
        <v>0</v>
      </c>
      <c r="AY59" s="61">
        <f>Table43[[#This Row],[Harga Jual Pcs MT
(-PPN)]]*1.11</f>
        <v>0</v>
      </c>
      <c r="AZ59" s="61">
        <f>Table43[[#This Row],[Harga Jual Pcs MT
(+PPN)]]*Table43[[#This Row],[ISI/CTN]]</f>
        <v>0</v>
      </c>
      <c r="BA59" s="62">
        <f>(Table43[[#This Row],[Harga Jual Pcs GT
(-PPN)]]-Table43[[#This Row],[Harga Beli Pcs
(-PPN)]])/Table43[[#This Row],[Harga Jual Pcs GT
(-PPN)]]</f>
        <v>6.5000000000000002E-2</v>
      </c>
      <c r="BB59" s="63">
        <f>Table43[[#This Row],[Harga Jual Pcs MT
(-PPN)]]-Table43[[#This Row],[Harga Beli Pcs
(-PPN)]]</f>
        <v>-27115</v>
      </c>
      <c r="BC59" s="64" t="e">
        <f>Table43[[#This Row],[Column1]]/Table43[[#This Row],[Harga Jual Pcs MT
(-PPN)]]</f>
        <v>#DIV/0!</v>
      </c>
      <c r="BD59" s="52"/>
      <c r="BE59" s="7"/>
      <c r="BF59" s="7" t="str">
        <f ca="1">IF(TODAY()-Table43[[#This Row],[Efektif
Pembuatan]]&gt;60,"Lama","Baru")</f>
        <v>Lama</v>
      </c>
      <c r="BG59" s="7" t="str">
        <f ca="1">IF(TODAY()-Table43[[#This Row],[Efektif Naik Harga]]&lt;30,"Naik","Sama")</f>
        <v>Sama</v>
      </c>
      <c r="BH59" s="7"/>
      <c r="BI59" s="7" t="str">
        <f>IF(Table43[[#This Row],[Kode BARANG Win2]]&lt;&gt;"","IDR","")</f>
        <v>IDR</v>
      </c>
      <c r="BJ59" s="7" t="str">
        <f>CONCATENATE(Table43[[#This Row],[kode  1 Digit
(Nomor)]],Table43[[#This Row],[kode  4 Digit                (Nomor)]])</f>
        <v>0600</v>
      </c>
      <c r="BK59" s="7" t="str">
        <f>Table43[[#This Row],[Nama            Gramasi atau Jumlah Pack per CTN]]</f>
        <v>600ML</v>
      </c>
      <c r="BL59" s="7"/>
      <c r="BM59" s="7"/>
      <c r="BN59" s="4" t="str">
        <f>IF(Table43[[#This Row],[SATUAN Fix Win]]&lt;&gt;"","KRT")</f>
        <v>KRT</v>
      </c>
      <c r="BO59" s="4" t="str">
        <f>IF(Table43[[#This Row],[SATUAN Fix Win]]&lt;&gt;"","GD01")</f>
        <v>GD01</v>
      </c>
      <c r="BP59" s="4">
        <f>IF(Table43[[#This Row],[SATUAN Fix Win]]&lt;&gt;"",11611)</f>
        <v>11611</v>
      </c>
      <c r="BQ59" s="4">
        <f>IF(Table43[[#This Row],[SATUAN Fix Win]]&lt;&gt;"",11612)</f>
        <v>11612</v>
      </c>
      <c r="BS59" s="4">
        <f>IF(Table43[[#This Row],[SATUAN Fix Win]]&lt;&gt;"",1)</f>
        <v>1</v>
      </c>
      <c r="BU59" s="4">
        <f>Table43[[#This Row],[ISI/CTN]]</f>
        <v>12</v>
      </c>
    </row>
    <row r="60" spans="1:73">
      <c r="A60" s="4" t="str">
        <f>CONCATENATE(Table43[[#This Row],[Kode BARANG Win2]],Table43[[#This Row],[No. Urut
Item Sama]])</f>
        <v>G1071005018010</v>
      </c>
      <c r="B60" s="7"/>
      <c r="C60" s="31">
        <v>30070010415000</v>
      </c>
      <c r="D60" s="51">
        <v>40060021</v>
      </c>
      <c r="E60" s="27" t="s">
        <v>1915</v>
      </c>
      <c r="F60" s="51">
        <v>30070090200000</v>
      </c>
      <c r="G60" s="51">
        <v>0</v>
      </c>
      <c r="H60" s="27" t="s">
        <v>1180</v>
      </c>
      <c r="I60" s="27">
        <v>12</v>
      </c>
      <c r="J60" s="51" t="s">
        <v>1607</v>
      </c>
      <c r="K60" s="27" t="str">
        <f>Table43[[#This Row],[NamaJenisKemasan]]</f>
        <v>KLG</v>
      </c>
      <c r="L60" s="4" t="str">
        <f>TRIM(CONCATENATE(Table43[[#This Row],[Nama            KLP]]," ",Table43[[#This Row],[Nama            Sub KLP]]))</f>
        <v>HIT AEROSOL</v>
      </c>
      <c r="M60" s="4" t="str">
        <f>CONCATENATE(Table43[[#This Row],[kode  2 Digit                (hrf+No)]],Table43[[#This Row],[kode  2 Digit                (Nomor)]],Table43[[#This Row],[kode  1 Digit                (Nomor)]])</f>
        <v>G1071</v>
      </c>
      <c r="N60" s="4" t="str">
        <f>IF(AI60="",CONCATENATE(S60,U60,W60,Y60,AA60,AC60,AE60,AG60,Table43[[#This Row],[Tanda Kode Revisi]]),CONCATENATE(S60,U60,W60,Y60,AA60,AC60,AE60,AI60))</f>
        <v>G1071005018010</v>
      </c>
      <c r="O60" s="11">
        <f t="shared" si="0"/>
        <v>14</v>
      </c>
      <c r="P60" s="14" t="str">
        <f>IF(AH60&lt;&gt;"",TRIM(UPPER(CONCATENATE(R60," ",T60," ",V60," ",X60," ",Z60," ",AB60," ","X"," ",Table43[[#This Row],[ISI/CTN]]," ",AH60," ",AD60," ",AF60," ",AJ60))),TRIM(UPPER(CONCATENATE(R60," ",T60," ",V60," ",X60," ",Z60," ",AB60," ","X"," ",Table43[[#This Row],[ISI/CTN]]," ",AD60," ",AF60," ",AJ60))))</f>
        <v>HIT AEROSOL JAPANESE SAKURA 180ML X 12 KLG</v>
      </c>
      <c r="Q60" s="11">
        <f t="shared" si="1"/>
        <v>42</v>
      </c>
      <c r="S60" s="7" t="s">
        <v>34</v>
      </c>
      <c r="T60" s="4" t="s">
        <v>2242</v>
      </c>
      <c r="U60" s="47" t="s">
        <v>2544</v>
      </c>
      <c r="V60" s="48" t="s">
        <v>2243</v>
      </c>
      <c r="W60" s="7">
        <v>1</v>
      </c>
      <c r="X60" s="48"/>
      <c r="Y60" s="47" t="s">
        <v>1116</v>
      </c>
      <c r="Z60" s="4" t="s">
        <v>2248</v>
      </c>
      <c r="AA60" s="49" t="s">
        <v>2541</v>
      </c>
      <c r="AB60" s="4" t="s">
        <v>641</v>
      </c>
      <c r="AC60" s="49" t="s">
        <v>2602</v>
      </c>
      <c r="AD60" s="4" t="s">
        <v>2221</v>
      </c>
      <c r="AE60" s="7">
        <v>1</v>
      </c>
      <c r="AG60" s="7">
        <v>0</v>
      </c>
      <c r="AK60" s="70">
        <f>Table43[[#This Row],[Column4]]</f>
        <v>30070090200000</v>
      </c>
      <c r="AN60" s="7">
        <f>Table43[[#This Row],[ISI/CTN]]</f>
        <v>12</v>
      </c>
      <c r="AO60" s="61">
        <f>Table43[[#This Row],[Harga Jual Pcs GT
(-PPN)]]-(Table43[[#This Row],[Harga Jual Pcs GT
(-PPN)]]*6.5%)</f>
        <v>13161.06</v>
      </c>
      <c r="AP60" s="61">
        <f>Table43[[#This Row],[Harga Beli Pcs
(-PPN)]]*Table43[[#This Row],[ISI/CTN]]</f>
        <v>157932.72</v>
      </c>
      <c r="AQ60" s="61">
        <f>Table43[[#This Row],[Harga Beli Pcs
(-PPN)]]*1.11</f>
        <v>14608.776600000001</v>
      </c>
      <c r="AR60" s="61">
        <f>Table43[[#This Row],[Harga Beli Krt
(- PPN)]]*1.11</f>
        <v>175305.31920000003</v>
      </c>
      <c r="AS60" s="61">
        <v>14076</v>
      </c>
      <c r="AT60" s="61">
        <f>Table43[[#This Row],[Harga Jual Pcs GT
(-PPN)]]*Table43[[#This Row],[ISI/CTN]]</f>
        <v>168912</v>
      </c>
      <c r="AU60" s="61">
        <f>Table43[[#This Row],[Harga Jual Pcs GT
(-PPN)]]*1.11</f>
        <v>15624.36</v>
      </c>
      <c r="AV60" s="61">
        <f>Table43[[#This Row],[Harga Jual Krt GT
(- PPN)]]*1.11</f>
        <v>187492.32</v>
      </c>
      <c r="AW60" s="61">
        <f>IFERROR(VLOOKUP(Table43[[#This Row],[Kode Pcpl]],'[1]FEB 2026'!$A$3:$X$312,24,0),0)</f>
        <v>0</v>
      </c>
      <c r="AX60" s="61">
        <f>Table43[[#This Row],[Harga Jual Pcs MT
(-PPN)]]*Table43[[#This Row],[ISI/CTN]]</f>
        <v>0</v>
      </c>
      <c r="AY60" s="61">
        <f>Table43[[#This Row],[Harga Jual Pcs MT
(-PPN)]]*1.11</f>
        <v>0</v>
      </c>
      <c r="AZ60" s="61">
        <f>Table43[[#This Row],[Harga Jual Pcs MT
(+PPN)]]*Table43[[#This Row],[ISI/CTN]]</f>
        <v>0</v>
      </c>
      <c r="BA60" s="62">
        <f>(Table43[[#This Row],[Harga Jual Pcs GT
(-PPN)]]-Table43[[#This Row],[Harga Beli Pcs
(-PPN)]])/Table43[[#This Row],[Harga Jual Pcs GT
(-PPN)]]</f>
        <v>6.500000000000003E-2</v>
      </c>
      <c r="BB60" s="63">
        <f>Table43[[#This Row],[Harga Jual Pcs MT
(-PPN)]]-Table43[[#This Row],[Harga Beli Pcs
(-PPN)]]</f>
        <v>-13161.06</v>
      </c>
      <c r="BC60" s="64" t="e">
        <f>Table43[[#This Row],[Column1]]/Table43[[#This Row],[Harga Jual Pcs MT
(-PPN)]]</f>
        <v>#DIV/0!</v>
      </c>
      <c r="BD60" s="52"/>
      <c r="BE60" s="7"/>
      <c r="BF60" s="7" t="str">
        <f ca="1">IF(TODAY()-Table43[[#This Row],[Efektif
Pembuatan]]&gt;60,"Lama","Baru")</f>
        <v>Lama</v>
      </c>
      <c r="BG60" s="7" t="str">
        <f ca="1">IF(TODAY()-Table43[[#This Row],[Efektif Naik Harga]]&lt;30,"Naik","Sama")</f>
        <v>Sama</v>
      </c>
      <c r="BH60" s="7"/>
      <c r="BI60" s="7" t="str">
        <f>IF(Table43[[#This Row],[Kode BARANG Win2]]&lt;&gt;"","IDR","")</f>
        <v>IDR</v>
      </c>
      <c r="BJ60" s="7" t="str">
        <f>CONCATENATE(Table43[[#This Row],[kode  1 Digit
(Nomor)]],Table43[[#This Row],[kode  4 Digit                (Nomor)]])</f>
        <v>0180</v>
      </c>
      <c r="BK60" s="7" t="str">
        <f>Table43[[#This Row],[Nama            Gramasi atau Jumlah Pack per CTN]]</f>
        <v>180ML</v>
      </c>
      <c r="BL60" s="7"/>
      <c r="BM60" s="7"/>
      <c r="BN60" s="4" t="str">
        <f>IF(Table43[[#This Row],[SATUAN Fix Win]]&lt;&gt;"","KRT")</f>
        <v>KRT</v>
      </c>
      <c r="BO60" s="4" t="str">
        <f>IF(Table43[[#This Row],[SATUAN Fix Win]]&lt;&gt;"","GD01")</f>
        <v>GD01</v>
      </c>
      <c r="BP60" s="4">
        <f>IF(Table43[[#This Row],[SATUAN Fix Win]]&lt;&gt;"",11611)</f>
        <v>11611</v>
      </c>
      <c r="BQ60" s="4">
        <f>IF(Table43[[#This Row],[SATUAN Fix Win]]&lt;&gt;"",11612)</f>
        <v>11612</v>
      </c>
      <c r="BS60" s="4">
        <f>IF(Table43[[#This Row],[SATUAN Fix Win]]&lt;&gt;"",1)</f>
        <v>1</v>
      </c>
      <c r="BU60" s="4">
        <f>Table43[[#This Row],[ISI/CTN]]</f>
        <v>12</v>
      </c>
    </row>
    <row r="61" spans="1:73">
      <c r="A61" s="4" t="str">
        <f>CONCATENATE(Table43[[#This Row],[Kode BARANG Win2]],Table43[[#This Row],[No. Urut
Item Sama]])</f>
        <v>G1071005018010</v>
      </c>
      <c r="B61" s="7"/>
      <c r="C61" s="31">
        <v>30070010600000</v>
      </c>
      <c r="D61" s="51">
        <v>40049657</v>
      </c>
      <c r="E61" s="27" t="s">
        <v>1915</v>
      </c>
      <c r="F61" s="51">
        <v>30070090200000</v>
      </c>
      <c r="G61" s="51">
        <v>0</v>
      </c>
      <c r="H61" s="27" t="s">
        <v>1179</v>
      </c>
      <c r="I61" s="27">
        <v>12</v>
      </c>
      <c r="J61" s="51" t="s">
        <v>1607</v>
      </c>
      <c r="K61" s="27" t="str">
        <f>Table43[[#This Row],[NamaJenisKemasan]]</f>
        <v>KLG</v>
      </c>
      <c r="L61" s="4" t="str">
        <f>TRIM(CONCATENATE(Table43[[#This Row],[Nama            KLP]]," ",Table43[[#This Row],[Nama            Sub KLP]]))</f>
        <v>HIT AEROSOL</v>
      </c>
      <c r="M61" s="4" t="str">
        <f>CONCATENATE(Table43[[#This Row],[kode  2 Digit                (hrf+No)]],Table43[[#This Row],[kode  2 Digit                (Nomor)]],Table43[[#This Row],[kode  1 Digit                (Nomor)]])</f>
        <v>G1071</v>
      </c>
      <c r="N61" s="4" t="str">
        <f>IF(AI61="",CONCATENATE(S61,U61,W61,Y61,AA61,AC61,AE61,AG61,Table43[[#This Row],[Tanda Kode Revisi]]),CONCATENATE(S61,U61,W61,Y61,AA61,AC61,AE61,AI61))</f>
        <v>G1071005018010</v>
      </c>
      <c r="O61" s="11">
        <f t="shared" si="0"/>
        <v>14</v>
      </c>
      <c r="P61" s="14" t="str">
        <f>IF(AH61&lt;&gt;"",TRIM(UPPER(CONCATENATE(R61," ",T61," ",V61," ",X61," ",Z61," ",AB61," ","X"," ",Table43[[#This Row],[ISI/CTN]]," ",AH61," ",AD61," ",AF61," ",AJ61))),TRIM(UPPER(CONCATENATE(R61," ",T61," ",V61," ",X61," ",Z61," ",AB61," ","X"," ",Table43[[#This Row],[ISI/CTN]]," ",AD61," ",AF61," ",AJ61))))</f>
        <v>HIT AEROSOL JAPANESE SAKURA 180ML X 12 KLG</v>
      </c>
      <c r="Q61" s="11">
        <f t="shared" si="1"/>
        <v>42</v>
      </c>
      <c r="S61" s="7" t="s">
        <v>34</v>
      </c>
      <c r="T61" s="4" t="s">
        <v>2242</v>
      </c>
      <c r="U61" s="47" t="s">
        <v>2544</v>
      </c>
      <c r="V61" s="48" t="s">
        <v>2243</v>
      </c>
      <c r="W61" s="7">
        <v>1</v>
      </c>
      <c r="X61" s="48"/>
      <c r="Y61" s="47" t="s">
        <v>1116</v>
      </c>
      <c r="Z61" s="4" t="s">
        <v>2248</v>
      </c>
      <c r="AA61" s="49" t="s">
        <v>2541</v>
      </c>
      <c r="AB61" s="4" t="s">
        <v>641</v>
      </c>
      <c r="AC61" s="49" t="s">
        <v>2602</v>
      </c>
      <c r="AD61" s="4" t="s">
        <v>2221</v>
      </c>
      <c r="AE61" s="7">
        <v>1</v>
      </c>
      <c r="AG61" s="7">
        <v>0</v>
      </c>
      <c r="AK61" s="70">
        <f>Table43[[#This Row],[Column4]]</f>
        <v>30070090200000</v>
      </c>
      <c r="AN61" s="7">
        <f>Table43[[#This Row],[ISI/CTN]]</f>
        <v>12</v>
      </c>
      <c r="AO61" s="38">
        <f>Table43[[#This Row],[Harga Jual Pcs GT
(-PPN)]]-(Table43[[#This Row],[Harga Jual Pcs GT
(-PPN)]]*6.5%)</f>
        <v>13161.06</v>
      </c>
      <c r="AP61" s="38">
        <f>Table43[[#This Row],[Harga Beli Pcs
(-PPN)]]*Table43[[#This Row],[ISI/CTN]]</f>
        <v>157932.72</v>
      </c>
      <c r="AQ61" s="38">
        <f>Table43[[#This Row],[Harga Beli Pcs
(-PPN)]]*1.11</f>
        <v>14608.776600000001</v>
      </c>
      <c r="AR61" s="38">
        <f>Table43[[#This Row],[Harga Beli Krt
(- PPN)]]*1.11</f>
        <v>175305.31920000003</v>
      </c>
      <c r="AS61" s="38">
        <v>14076</v>
      </c>
      <c r="AT61" s="38">
        <f>Table43[[#This Row],[Harga Jual Pcs GT
(-PPN)]]*Table43[[#This Row],[ISI/CTN]]</f>
        <v>168912</v>
      </c>
      <c r="AU61" s="38">
        <f>Table43[[#This Row],[Harga Jual Pcs GT
(-PPN)]]*1.11</f>
        <v>15624.36</v>
      </c>
      <c r="AV61" s="38">
        <f>Table43[[#This Row],[Harga Jual Krt GT
(- PPN)]]*1.11</f>
        <v>187492.32</v>
      </c>
      <c r="AW61" s="38">
        <f>IFERROR(VLOOKUP(Table43[[#This Row],[Kode Pcpl]],'[1]FEB 2026'!$A$3:$X$312,24,0),0)</f>
        <v>0</v>
      </c>
      <c r="AX61" s="38">
        <f>Table43[[#This Row],[Harga Jual Pcs MT
(-PPN)]]*Table43[[#This Row],[ISI/CTN]]</f>
        <v>0</v>
      </c>
      <c r="AY61" s="38">
        <f>Table43[[#This Row],[Harga Jual Pcs MT
(-PPN)]]*1.11</f>
        <v>0</v>
      </c>
      <c r="AZ61" s="38">
        <f>Table43[[#This Row],[Harga Jual Pcs MT
(+PPN)]]*Table43[[#This Row],[ISI/CTN]]</f>
        <v>0</v>
      </c>
      <c r="BA61" s="46">
        <f>(Table43[[#This Row],[Harga Jual Pcs GT
(-PPN)]]-Table43[[#This Row],[Harga Beli Pcs
(-PPN)]])/Table43[[#This Row],[Harga Jual Pcs GT
(-PPN)]]</f>
        <v>6.500000000000003E-2</v>
      </c>
      <c r="BB61" s="53">
        <f>Table43[[#This Row],[Harga Jual Pcs MT
(-PPN)]]-Table43[[#This Row],[Harga Beli Pcs
(-PPN)]]</f>
        <v>-13161.06</v>
      </c>
      <c r="BC61" s="54" t="e">
        <f>Table43[[#This Row],[Column1]]/Table43[[#This Row],[Harga Jual Pcs MT
(-PPN)]]</f>
        <v>#DIV/0!</v>
      </c>
      <c r="BD61" s="52"/>
      <c r="BE61" s="7"/>
      <c r="BF61" s="7" t="str">
        <f ca="1">IF(TODAY()-Table43[[#This Row],[Efektif
Pembuatan]]&gt;60,"Lama","Baru")</f>
        <v>Lama</v>
      </c>
      <c r="BG61" s="7" t="str">
        <f ca="1">IF(TODAY()-Table43[[#This Row],[Efektif Naik Harga]]&lt;30,"Naik","Sama")</f>
        <v>Sama</v>
      </c>
      <c r="BH61" s="7"/>
      <c r="BI61" s="7" t="str">
        <f>IF(Table43[[#This Row],[Kode BARANG Win2]]&lt;&gt;"","IDR","")</f>
        <v>IDR</v>
      </c>
      <c r="BJ61" s="7" t="str">
        <f>CONCATENATE(Table43[[#This Row],[kode  1 Digit
(Nomor)]],Table43[[#This Row],[kode  4 Digit                (Nomor)]])</f>
        <v>0180</v>
      </c>
      <c r="BK61" s="7" t="str">
        <f>Table43[[#This Row],[Nama            Gramasi atau Jumlah Pack per CTN]]</f>
        <v>180ML</v>
      </c>
      <c r="BL61" s="7"/>
      <c r="BM61" s="7"/>
      <c r="BN61" s="4" t="str">
        <f>IF(Table43[[#This Row],[SATUAN Fix Win]]&lt;&gt;"","KRT")</f>
        <v>KRT</v>
      </c>
      <c r="BO61" s="4" t="str">
        <f>IF(Table43[[#This Row],[SATUAN Fix Win]]&lt;&gt;"","GD01")</f>
        <v>GD01</v>
      </c>
      <c r="BP61" s="4">
        <f>IF(Table43[[#This Row],[SATUAN Fix Win]]&lt;&gt;"",11611)</f>
        <v>11611</v>
      </c>
      <c r="BQ61" s="4">
        <f>IF(Table43[[#This Row],[SATUAN Fix Win]]&lt;&gt;"",11612)</f>
        <v>11612</v>
      </c>
      <c r="BS61" s="4">
        <f>IF(Table43[[#This Row],[SATUAN Fix Win]]&lt;&gt;"",1)</f>
        <v>1</v>
      </c>
      <c r="BU61" s="4">
        <f>Table43[[#This Row],[ISI/CTN]]</f>
        <v>12</v>
      </c>
    </row>
    <row r="62" spans="1:73">
      <c r="A62" s="4" t="str">
        <f>CONCATENATE(Table43[[#This Row],[Kode BARANG Win2]],Table43[[#This Row],[No. Urut
Item Sama]])</f>
        <v>G1071005040010</v>
      </c>
      <c r="B62" s="7"/>
      <c r="C62" s="31">
        <v>30070010600000</v>
      </c>
      <c r="D62" s="59">
        <v>40060006</v>
      </c>
      <c r="E62" s="60" t="s">
        <v>1916</v>
      </c>
      <c r="F62" s="59">
        <v>30070090400000</v>
      </c>
      <c r="G62" s="59">
        <v>0</v>
      </c>
      <c r="H62" s="60" t="s">
        <v>1183</v>
      </c>
      <c r="I62" s="60">
        <v>12</v>
      </c>
      <c r="J62" s="59" t="s">
        <v>1608</v>
      </c>
      <c r="K62" s="60" t="str">
        <f>Table43[[#This Row],[NamaJenisKemasan]]</f>
        <v>KLG</v>
      </c>
      <c r="L62" s="4" t="str">
        <f>TRIM(CONCATENATE(Table43[[#This Row],[Nama            KLP]]," ",Table43[[#This Row],[Nama            Sub KLP]]))</f>
        <v>HIT AEROSOL</v>
      </c>
      <c r="M62" s="4" t="str">
        <f>CONCATENATE(Table43[[#This Row],[kode  2 Digit                (hrf+No)]],Table43[[#This Row],[kode  2 Digit                (Nomor)]],Table43[[#This Row],[kode  1 Digit                (Nomor)]])</f>
        <v>G1071</v>
      </c>
      <c r="N62" s="4" t="str">
        <f>IF(AI62="",CONCATENATE(S62,U62,W62,Y62,AA62,AC62,AE62,AG62,Table43[[#This Row],[Tanda Kode Revisi]]),CONCATENATE(S62,U62,W62,Y62,AA62,AC62,AE62,AI62))</f>
        <v>G1071005040010</v>
      </c>
      <c r="O62" s="11">
        <f t="shared" si="0"/>
        <v>14</v>
      </c>
      <c r="P62" s="14" t="str">
        <f>IF(AH62&lt;&gt;"",TRIM(UPPER(CONCATENATE(R62," ",T62," ",V62," ",X62," ",Z62," ",AB62," ","X"," ",Table43[[#This Row],[ISI/CTN]]," ",AH62," ",AD62," ",AF62," ",AJ62))),TRIM(UPPER(CONCATENATE(R62," ",T62," ",V62," ",X62," ",Z62," ",AB62," ","X"," ",Table43[[#This Row],[ISI/CTN]]," ",AD62," ",AF62," ",AJ62))))</f>
        <v>HIT AEROSOL JAPANESE SAKURA 400ML X 12 KLG</v>
      </c>
      <c r="Q62" s="11">
        <f t="shared" si="1"/>
        <v>42</v>
      </c>
      <c r="S62" s="7" t="s">
        <v>34</v>
      </c>
      <c r="T62" s="4" t="s">
        <v>2242</v>
      </c>
      <c r="U62" s="47" t="s">
        <v>2544</v>
      </c>
      <c r="V62" s="48" t="s">
        <v>2243</v>
      </c>
      <c r="W62" s="7">
        <v>1</v>
      </c>
      <c r="X62" s="48"/>
      <c r="Y62" s="47" t="s">
        <v>1116</v>
      </c>
      <c r="Z62" s="4" t="s">
        <v>2248</v>
      </c>
      <c r="AA62" s="49" t="s">
        <v>2541</v>
      </c>
      <c r="AB62" s="4" t="s">
        <v>635</v>
      </c>
      <c r="AC62" s="49" t="s">
        <v>2624</v>
      </c>
      <c r="AD62" s="4" t="s">
        <v>2221</v>
      </c>
      <c r="AE62" s="7">
        <v>1</v>
      </c>
      <c r="AG62" s="7">
        <v>0</v>
      </c>
      <c r="AK62" s="70">
        <f>Table43[[#This Row],[Column4]]</f>
        <v>30070090400000</v>
      </c>
      <c r="AN62" s="7">
        <f>Table43[[#This Row],[ISI/CTN]]</f>
        <v>12</v>
      </c>
      <c r="AO62" s="61">
        <f>Table43[[#This Row],[Harga Jual Pcs GT
(-PPN)]]-(Table43[[#This Row],[Harga Jual Pcs GT
(-PPN)]]*6.5%)</f>
        <v>20429.75</v>
      </c>
      <c r="AP62" s="61">
        <f>Table43[[#This Row],[Harga Beli Pcs
(-PPN)]]*Table43[[#This Row],[ISI/CTN]]</f>
        <v>245157</v>
      </c>
      <c r="AQ62" s="61">
        <f>Table43[[#This Row],[Harga Beli Pcs
(-PPN)]]*1.11</f>
        <v>22677.022500000003</v>
      </c>
      <c r="AR62" s="61">
        <f>Table43[[#This Row],[Harga Beli Krt
(- PPN)]]*1.11</f>
        <v>272124.27</v>
      </c>
      <c r="AS62" s="61">
        <v>21850</v>
      </c>
      <c r="AT62" s="61">
        <f>Table43[[#This Row],[Harga Jual Pcs GT
(-PPN)]]*Table43[[#This Row],[ISI/CTN]]</f>
        <v>262200</v>
      </c>
      <c r="AU62" s="61">
        <f>Table43[[#This Row],[Harga Jual Pcs GT
(-PPN)]]*1.11</f>
        <v>24253.500000000004</v>
      </c>
      <c r="AV62" s="61">
        <f>Table43[[#This Row],[Harga Jual Krt GT
(- PPN)]]*1.11</f>
        <v>291042</v>
      </c>
      <c r="AW62" s="61">
        <f>IFERROR(VLOOKUP(Table43[[#This Row],[Kode Pcpl]],'[1]FEB 2026'!$A$3:$X$312,24,0),0)</f>
        <v>0</v>
      </c>
      <c r="AX62" s="61">
        <f>Table43[[#This Row],[Harga Jual Pcs MT
(-PPN)]]*Table43[[#This Row],[ISI/CTN]]</f>
        <v>0</v>
      </c>
      <c r="AY62" s="61">
        <f>Table43[[#This Row],[Harga Jual Pcs MT
(-PPN)]]*1.11</f>
        <v>0</v>
      </c>
      <c r="AZ62" s="61">
        <f>Table43[[#This Row],[Harga Jual Pcs MT
(+PPN)]]*Table43[[#This Row],[ISI/CTN]]</f>
        <v>0</v>
      </c>
      <c r="BA62" s="62">
        <f>(Table43[[#This Row],[Harga Jual Pcs GT
(-PPN)]]-Table43[[#This Row],[Harga Beli Pcs
(-PPN)]])/Table43[[#This Row],[Harga Jual Pcs GT
(-PPN)]]</f>
        <v>6.5000000000000002E-2</v>
      </c>
      <c r="BB62" s="63">
        <f>Table43[[#This Row],[Harga Jual Pcs MT
(-PPN)]]-Table43[[#This Row],[Harga Beli Pcs
(-PPN)]]</f>
        <v>-20429.75</v>
      </c>
      <c r="BC62" s="64" t="e">
        <f>Table43[[#This Row],[Column1]]/Table43[[#This Row],[Harga Jual Pcs MT
(-PPN)]]</f>
        <v>#DIV/0!</v>
      </c>
      <c r="BD62" s="52"/>
      <c r="BE62" s="7"/>
      <c r="BF62" s="7" t="str">
        <f ca="1">IF(TODAY()-Table43[[#This Row],[Efektif
Pembuatan]]&gt;60,"Lama","Baru")</f>
        <v>Lama</v>
      </c>
      <c r="BG62" s="7" t="str">
        <f ca="1">IF(TODAY()-Table43[[#This Row],[Efektif Naik Harga]]&lt;30,"Naik","Sama")</f>
        <v>Sama</v>
      </c>
      <c r="BH62" s="7"/>
      <c r="BI62" s="7" t="str">
        <f>IF(Table43[[#This Row],[Kode BARANG Win2]]&lt;&gt;"","IDR","")</f>
        <v>IDR</v>
      </c>
      <c r="BJ62" s="7" t="str">
        <f>CONCATENATE(Table43[[#This Row],[kode  1 Digit
(Nomor)]],Table43[[#This Row],[kode  4 Digit                (Nomor)]])</f>
        <v>0400</v>
      </c>
      <c r="BK62" s="7" t="str">
        <f>Table43[[#This Row],[Nama            Gramasi atau Jumlah Pack per CTN]]</f>
        <v>400ML</v>
      </c>
      <c r="BL62" s="7"/>
      <c r="BM62" s="7"/>
      <c r="BN62" s="4" t="str">
        <f>IF(Table43[[#This Row],[SATUAN Fix Win]]&lt;&gt;"","KRT")</f>
        <v>KRT</v>
      </c>
      <c r="BO62" s="4" t="str">
        <f>IF(Table43[[#This Row],[SATUAN Fix Win]]&lt;&gt;"","GD01")</f>
        <v>GD01</v>
      </c>
      <c r="BP62" s="4">
        <f>IF(Table43[[#This Row],[SATUAN Fix Win]]&lt;&gt;"",11611)</f>
        <v>11611</v>
      </c>
      <c r="BQ62" s="4">
        <f>IF(Table43[[#This Row],[SATUAN Fix Win]]&lt;&gt;"",11612)</f>
        <v>11612</v>
      </c>
      <c r="BS62" s="4">
        <f>IF(Table43[[#This Row],[SATUAN Fix Win]]&lt;&gt;"",1)</f>
        <v>1</v>
      </c>
      <c r="BU62" s="4">
        <f>Table43[[#This Row],[ISI/CTN]]</f>
        <v>12</v>
      </c>
    </row>
    <row r="63" spans="1:73">
      <c r="A63" s="4" t="str">
        <f>CONCATENATE(Table43[[#This Row],[Kode BARANG Win2]],Table43[[#This Row],[No. Urut
Item Sama]])</f>
        <v>G1071005040010</v>
      </c>
      <c r="B63" s="7"/>
      <c r="C63" s="31">
        <v>30070020150000</v>
      </c>
      <c r="D63" s="59">
        <v>40039317</v>
      </c>
      <c r="E63" s="60" t="s">
        <v>1916</v>
      </c>
      <c r="F63" s="59">
        <v>30070090400000</v>
      </c>
      <c r="G63" s="59">
        <v>0</v>
      </c>
      <c r="H63" s="60" t="s">
        <v>1181</v>
      </c>
      <c r="I63" s="60">
        <v>12</v>
      </c>
      <c r="J63" s="59" t="s">
        <v>1608</v>
      </c>
      <c r="K63" s="60" t="str">
        <f>Table43[[#This Row],[NamaJenisKemasan]]</f>
        <v>KLG</v>
      </c>
      <c r="L63" s="4" t="str">
        <f>TRIM(CONCATENATE(Table43[[#This Row],[Nama            KLP]]," ",Table43[[#This Row],[Nama            Sub KLP]]))</f>
        <v>HIT AEROSOL</v>
      </c>
      <c r="M63" s="4" t="str">
        <f>CONCATENATE(Table43[[#This Row],[kode  2 Digit                (hrf+No)]],Table43[[#This Row],[kode  2 Digit                (Nomor)]],Table43[[#This Row],[kode  1 Digit                (Nomor)]])</f>
        <v>G1071</v>
      </c>
      <c r="N63" s="4" t="str">
        <f>IF(AI63="",CONCATENATE(S63,U63,W63,Y63,AA63,AC63,AE63,AG63,Table43[[#This Row],[Tanda Kode Revisi]]),CONCATENATE(S63,U63,W63,Y63,AA63,AC63,AE63,AI63))</f>
        <v>G1071005040010</v>
      </c>
      <c r="O63" s="11">
        <f t="shared" si="0"/>
        <v>14</v>
      </c>
      <c r="P63" s="14" t="str">
        <f>IF(AH63&lt;&gt;"",TRIM(UPPER(CONCATENATE(R63," ",T63," ",V63," ",X63," ",Z63," ",AB63," ","X"," ",Table43[[#This Row],[ISI/CTN]]," ",AH63," ",AD63," ",AF63," ",AJ63))),TRIM(UPPER(CONCATENATE(R63," ",T63," ",V63," ",X63," ",Z63," ",AB63," ","X"," ",Table43[[#This Row],[ISI/CTN]]," ",AD63," ",AF63," ",AJ63))))</f>
        <v>HIT AEROSOL JAPANESE SAKURA 400ML X 12 KLG</v>
      </c>
      <c r="Q63" s="11">
        <f t="shared" si="1"/>
        <v>42</v>
      </c>
      <c r="S63" s="7" t="s">
        <v>34</v>
      </c>
      <c r="T63" s="4" t="s">
        <v>2242</v>
      </c>
      <c r="U63" s="47" t="s">
        <v>2544</v>
      </c>
      <c r="V63" s="48" t="s">
        <v>2243</v>
      </c>
      <c r="W63" s="7">
        <v>1</v>
      </c>
      <c r="X63" s="48"/>
      <c r="Y63" s="47" t="s">
        <v>1116</v>
      </c>
      <c r="Z63" s="4" t="s">
        <v>2248</v>
      </c>
      <c r="AA63" s="49" t="s">
        <v>2541</v>
      </c>
      <c r="AB63" s="4" t="s">
        <v>635</v>
      </c>
      <c r="AC63" s="49" t="s">
        <v>2624</v>
      </c>
      <c r="AD63" s="4" t="s">
        <v>2221</v>
      </c>
      <c r="AE63" s="7">
        <v>1</v>
      </c>
      <c r="AG63" s="7">
        <v>0</v>
      </c>
      <c r="AK63" s="70">
        <f>Table43[[#This Row],[Column4]]</f>
        <v>30070090400000</v>
      </c>
      <c r="AN63" s="7">
        <f>Table43[[#This Row],[ISI/CTN]]</f>
        <v>12</v>
      </c>
      <c r="AO63" s="38">
        <f>Table43[[#This Row],[Harga Jual Pcs GT
(-PPN)]]-(Table43[[#This Row],[Harga Jual Pcs GT
(-PPN)]]*6.5%)</f>
        <v>20429.75</v>
      </c>
      <c r="AP63" s="38">
        <f>Table43[[#This Row],[Harga Beli Pcs
(-PPN)]]*Table43[[#This Row],[ISI/CTN]]</f>
        <v>245157</v>
      </c>
      <c r="AQ63" s="38">
        <f>Table43[[#This Row],[Harga Beli Pcs
(-PPN)]]*1.11</f>
        <v>22677.022500000003</v>
      </c>
      <c r="AR63" s="38">
        <f>Table43[[#This Row],[Harga Beli Krt
(- PPN)]]*1.11</f>
        <v>272124.27</v>
      </c>
      <c r="AS63" s="38">
        <v>21850</v>
      </c>
      <c r="AT63" s="38">
        <f>Table43[[#This Row],[Harga Jual Pcs GT
(-PPN)]]*Table43[[#This Row],[ISI/CTN]]</f>
        <v>262200</v>
      </c>
      <c r="AU63" s="38">
        <f>Table43[[#This Row],[Harga Jual Pcs GT
(-PPN)]]*1.11</f>
        <v>24253.500000000004</v>
      </c>
      <c r="AV63" s="38">
        <f>Table43[[#This Row],[Harga Jual Krt GT
(- PPN)]]*1.11</f>
        <v>291042</v>
      </c>
      <c r="AW63" s="38">
        <f>IFERROR(VLOOKUP(Table43[[#This Row],[Kode Pcpl]],'[1]FEB 2026'!$A$3:$X$312,24,0),0)</f>
        <v>0</v>
      </c>
      <c r="AX63" s="38">
        <f>Table43[[#This Row],[Harga Jual Pcs MT
(-PPN)]]*Table43[[#This Row],[ISI/CTN]]</f>
        <v>0</v>
      </c>
      <c r="AY63" s="38">
        <f>Table43[[#This Row],[Harga Jual Pcs MT
(-PPN)]]*1.11</f>
        <v>0</v>
      </c>
      <c r="AZ63" s="38">
        <f>Table43[[#This Row],[Harga Jual Pcs MT
(+PPN)]]*Table43[[#This Row],[ISI/CTN]]</f>
        <v>0</v>
      </c>
      <c r="BA63" s="46">
        <f>(Table43[[#This Row],[Harga Jual Pcs GT
(-PPN)]]-Table43[[#This Row],[Harga Beli Pcs
(-PPN)]])/Table43[[#This Row],[Harga Jual Pcs GT
(-PPN)]]</f>
        <v>6.5000000000000002E-2</v>
      </c>
      <c r="BB63" s="53">
        <f>Table43[[#This Row],[Harga Jual Pcs MT
(-PPN)]]-Table43[[#This Row],[Harga Beli Pcs
(-PPN)]]</f>
        <v>-20429.75</v>
      </c>
      <c r="BC63" s="54" t="e">
        <f>Table43[[#This Row],[Column1]]/Table43[[#This Row],[Harga Jual Pcs MT
(-PPN)]]</f>
        <v>#DIV/0!</v>
      </c>
      <c r="BD63" s="52"/>
      <c r="BE63" s="7"/>
      <c r="BF63" s="7" t="str">
        <f ca="1">IF(TODAY()-Table43[[#This Row],[Efektif
Pembuatan]]&gt;60,"Lama","Baru")</f>
        <v>Lama</v>
      </c>
      <c r="BG63" s="7" t="str">
        <f ca="1">IF(TODAY()-Table43[[#This Row],[Efektif Naik Harga]]&lt;30,"Naik","Sama")</f>
        <v>Sama</v>
      </c>
      <c r="BH63" s="7"/>
      <c r="BI63" s="7" t="str">
        <f>IF(Table43[[#This Row],[Kode BARANG Win2]]&lt;&gt;"","IDR","")</f>
        <v>IDR</v>
      </c>
      <c r="BJ63" s="7" t="str">
        <f>CONCATENATE(Table43[[#This Row],[kode  1 Digit
(Nomor)]],Table43[[#This Row],[kode  4 Digit                (Nomor)]])</f>
        <v>0400</v>
      </c>
      <c r="BK63" s="7" t="str">
        <f>Table43[[#This Row],[Nama            Gramasi atau Jumlah Pack per CTN]]</f>
        <v>400ML</v>
      </c>
      <c r="BL63" s="7"/>
      <c r="BM63" s="7"/>
      <c r="BN63" s="4" t="str">
        <f>IF(Table43[[#This Row],[SATUAN Fix Win]]&lt;&gt;"","KRT")</f>
        <v>KRT</v>
      </c>
      <c r="BO63" s="4" t="str">
        <f>IF(Table43[[#This Row],[SATUAN Fix Win]]&lt;&gt;"","GD01")</f>
        <v>GD01</v>
      </c>
      <c r="BP63" s="4">
        <f>IF(Table43[[#This Row],[SATUAN Fix Win]]&lt;&gt;"",11611)</f>
        <v>11611</v>
      </c>
      <c r="BQ63" s="4">
        <f>IF(Table43[[#This Row],[SATUAN Fix Win]]&lt;&gt;"",11612)</f>
        <v>11612</v>
      </c>
      <c r="BS63" s="4">
        <f>IF(Table43[[#This Row],[SATUAN Fix Win]]&lt;&gt;"",1)</f>
        <v>1</v>
      </c>
      <c r="BU63" s="4">
        <f>Table43[[#This Row],[ISI/CTN]]</f>
        <v>12</v>
      </c>
    </row>
    <row r="64" spans="1:73">
      <c r="A64" s="4" t="str">
        <f>CONCATENATE(Table43[[#This Row],[Kode BARANG Win2]],Table43[[#This Row],[No. Urut
Item Sama]])</f>
        <v>G1071005040010</v>
      </c>
      <c r="B64" s="7"/>
      <c r="C64" s="31">
        <v>30070020150000</v>
      </c>
      <c r="D64" s="51">
        <v>40039469</v>
      </c>
      <c r="E64" s="27" t="s">
        <v>1916</v>
      </c>
      <c r="F64" s="59">
        <v>30070090400000</v>
      </c>
      <c r="G64" s="51">
        <v>0</v>
      </c>
      <c r="H64" s="27" t="s">
        <v>1182</v>
      </c>
      <c r="I64" s="27">
        <v>12</v>
      </c>
      <c r="J64" s="51" t="s">
        <v>1608</v>
      </c>
      <c r="K64" s="27" t="str">
        <f>Table43[[#This Row],[NamaJenisKemasan]]</f>
        <v>KLG</v>
      </c>
      <c r="L64" s="4" t="str">
        <f>TRIM(CONCATENATE(Table43[[#This Row],[Nama            KLP]]," ",Table43[[#This Row],[Nama            Sub KLP]]))</f>
        <v>HIT AEROSOL</v>
      </c>
      <c r="M64" s="4" t="str">
        <f>CONCATENATE(Table43[[#This Row],[kode  2 Digit                (hrf+No)]],Table43[[#This Row],[kode  2 Digit                (Nomor)]],Table43[[#This Row],[kode  1 Digit                (Nomor)]])</f>
        <v>G1071</v>
      </c>
      <c r="N64" s="4" t="str">
        <f>IF(AI64="",CONCATENATE(S64,U64,W64,Y64,AA64,AC64,AE64,AG64,Table43[[#This Row],[Tanda Kode Revisi]]),CONCATENATE(S64,U64,W64,Y64,AA64,AC64,AE64,AI64))</f>
        <v>G1071005040010</v>
      </c>
      <c r="O64" s="11">
        <f t="shared" si="0"/>
        <v>14</v>
      </c>
      <c r="P64" s="14" t="str">
        <f>IF(AH64&lt;&gt;"",TRIM(UPPER(CONCATENATE(R64," ",T64," ",V64," ",X64," ",Z64," ",AB64," ","X"," ",Table43[[#This Row],[ISI/CTN]]," ",AH64," ",AD64," ",AF64," ",AJ64))),TRIM(UPPER(CONCATENATE(R64," ",T64," ",V64," ",X64," ",Z64," ",AB64," ","X"," ",Table43[[#This Row],[ISI/CTN]]," ",AD64," ",AF64," ",AJ64))))</f>
        <v>HIT AEROSOL JAPANESE SAKURA 400ML X 12 KLG</v>
      </c>
      <c r="Q64" s="11">
        <f t="shared" si="1"/>
        <v>42</v>
      </c>
      <c r="S64" s="7" t="s">
        <v>34</v>
      </c>
      <c r="T64" s="4" t="s">
        <v>2242</v>
      </c>
      <c r="U64" s="47" t="s">
        <v>2544</v>
      </c>
      <c r="V64" s="48" t="s">
        <v>2243</v>
      </c>
      <c r="W64" s="7">
        <v>1</v>
      </c>
      <c r="X64" s="48"/>
      <c r="Y64" s="47" t="s">
        <v>1116</v>
      </c>
      <c r="Z64" s="4" t="s">
        <v>2248</v>
      </c>
      <c r="AA64" s="49" t="s">
        <v>2541</v>
      </c>
      <c r="AB64" s="4" t="s">
        <v>635</v>
      </c>
      <c r="AC64" s="49" t="s">
        <v>2624</v>
      </c>
      <c r="AD64" s="4" t="s">
        <v>2221</v>
      </c>
      <c r="AE64" s="7">
        <v>1</v>
      </c>
      <c r="AG64" s="7">
        <v>0</v>
      </c>
      <c r="AK64" s="70">
        <f>Table43[[#This Row],[Column4]]</f>
        <v>30070090400000</v>
      </c>
      <c r="AN64" s="7">
        <f>Table43[[#This Row],[ISI/CTN]]</f>
        <v>12</v>
      </c>
      <c r="AO64" s="38">
        <f>Table43[[#This Row],[Harga Jual Pcs GT
(-PPN)]]-(Table43[[#This Row],[Harga Jual Pcs GT
(-PPN)]]*6.5%)</f>
        <v>20429.75</v>
      </c>
      <c r="AP64" s="38">
        <f>Table43[[#This Row],[Harga Beli Pcs
(-PPN)]]*Table43[[#This Row],[ISI/CTN]]</f>
        <v>245157</v>
      </c>
      <c r="AQ64" s="38">
        <f>Table43[[#This Row],[Harga Beli Pcs
(-PPN)]]*1.11</f>
        <v>22677.022500000003</v>
      </c>
      <c r="AR64" s="38">
        <f>Table43[[#This Row],[Harga Beli Krt
(- PPN)]]*1.11</f>
        <v>272124.27</v>
      </c>
      <c r="AS64" s="38">
        <v>21850</v>
      </c>
      <c r="AT64" s="38">
        <f>Table43[[#This Row],[Harga Jual Pcs GT
(-PPN)]]*Table43[[#This Row],[ISI/CTN]]</f>
        <v>262200</v>
      </c>
      <c r="AU64" s="38">
        <f>Table43[[#This Row],[Harga Jual Pcs GT
(-PPN)]]*1.11</f>
        <v>24253.500000000004</v>
      </c>
      <c r="AV64" s="38">
        <f>Table43[[#This Row],[Harga Jual Krt GT
(- PPN)]]*1.11</f>
        <v>291042</v>
      </c>
      <c r="AW64" s="38">
        <f>IFERROR(VLOOKUP(Table43[[#This Row],[Kode Pcpl]],'[1]FEB 2026'!$A$3:$X$312,24,0),0)</f>
        <v>0</v>
      </c>
      <c r="AX64" s="38">
        <f>Table43[[#This Row],[Harga Jual Pcs MT
(-PPN)]]*Table43[[#This Row],[ISI/CTN]]</f>
        <v>0</v>
      </c>
      <c r="AY64" s="38">
        <f>Table43[[#This Row],[Harga Jual Pcs MT
(-PPN)]]*1.11</f>
        <v>0</v>
      </c>
      <c r="AZ64" s="38">
        <f>Table43[[#This Row],[Harga Jual Pcs MT
(+PPN)]]*Table43[[#This Row],[ISI/CTN]]</f>
        <v>0</v>
      </c>
      <c r="BA64" s="46">
        <f>(Table43[[#This Row],[Harga Jual Pcs GT
(-PPN)]]-Table43[[#This Row],[Harga Beli Pcs
(-PPN)]])/Table43[[#This Row],[Harga Jual Pcs GT
(-PPN)]]</f>
        <v>6.5000000000000002E-2</v>
      </c>
      <c r="BB64" s="53">
        <f>Table43[[#This Row],[Harga Jual Pcs MT
(-PPN)]]-Table43[[#This Row],[Harga Beli Pcs
(-PPN)]]</f>
        <v>-20429.75</v>
      </c>
      <c r="BC64" s="54" t="e">
        <f>Table43[[#This Row],[Column1]]/Table43[[#This Row],[Harga Jual Pcs MT
(-PPN)]]</f>
        <v>#DIV/0!</v>
      </c>
      <c r="BD64" s="52"/>
      <c r="BE64" s="7"/>
      <c r="BF64" s="7" t="str">
        <f ca="1">IF(TODAY()-Table43[[#This Row],[Efektif
Pembuatan]]&gt;60,"Lama","Baru")</f>
        <v>Lama</v>
      </c>
      <c r="BG64" s="7" t="str">
        <f ca="1">IF(TODAY()-Table43[[#This Row],[Efektif Naik Harga]]&lt;30,"Naik","Sama")</f>
        <v>Sama</v>
      </c>
      <c r="BH64" s="7"/>
      <c r="BI64" s="7" t="str">
        <f>IF(Table43[[#This Row],[Kode BARANG Win2]]&lt;&gt;"","IDR","")</f>
        <v>IDR</v>
      </c>
      <c r="BJ64" s="7" t="str">
        <f>CONCATENATE(Table43[[#This Row],[kode  1 Digit
(Nomor)]],Table43[[#This Row],[kode  4 Digit                (Nomor)]])</f>
        <v>0400</v>
      </c>
      <c r="BK64" s="7" t="str">
        <f>Table43[[#This Row],[Nama            Gramasi atau Jumlah Pack per CTN]]</f>
        <v>400ML</v>
      </c>
      <c r="BL64" s="7"/>
      <c r="BM64" s="7"/>
      <c r="BN64" s="4" t="str">
        <f>IF(Table43[[#This Row],[SATUAN Fix Win]]&lt;&gt;"","KRT")</f>
        <v>KRT</v>
      </c>
      <c r="BO64" s="4" t="str">
        <f>IF(Table43[[#This Row],[SATUAN Fix Win]]&lt;&gt;"","GD01")</f>
        <v>GD01</v>
      </c>
      <c r="BP64" s="4">
        <f>IF(Table43[[#This Row],[SATUAN Fix Win]]&lt;&gt;"",11611)</f>
        <v>11611</v>
      </c>
      <c r="BQ64" s="4">
        <f>IF(Table43[[#This Row],[SATUAN Fix Win]]&lt;&gt;"",11612)</f>
        <v>11612</v>
      </c>
      <c r="BS64" s="4">
        <f>IF(Table43[[#This Row],[SATUAN Fix Win]]&lt;&gt;"",1)</f>
        <v>1</v>
      </c>
      <c r="BU64" s="4">
        <f>Table43[[#This Row],[ISI/CTN]]</f>
        <v>12</v>
      </c>
    </row>
    <row r="65" spans="1:75">
      <c r="A65" s="4" t="str">
        <f>CONCATENATE(Table43[[#This Row],[Kode BARANG Win2]],Table43[[#This Row],[No. Urut
Item Sama]])</f>
        <v>G1071005060010</v>
      </c>
      <c r="B65" s="7"/>
      <c r="C65" s="31">
        <v>30070020200000</v>
      </c>
      <c r="D65" s="51">
        <v>40060015</v>
      </c>
      <c r="E65" s="27" t="s">
        <v>1917</v>
      </c>
      <c r="F65" s="51">
        <v>30070090600000</v>
      </c>
      <c r="G65" s="51">
        <v>0</v>
      </c>
      <c r="H65" s="27" t="s">
        <v>1186</v>
      </c>
      <c r="I65" s="27">
        <v>12</v>
      </c>
      <c r="J65" s="51" t="s">
        <v>1609</v>
      </c>
      <c r="K65" s="27" t="str">
        <f>Table43[[#This Row],[NamaJenisKemasan]]</f>
        <v>KLG</v>
      </c>
      <c r="L65" s="4" t="str">
        <f>TRIM(CONCATENATE(Table43[[#This Row],[Nama            KLP]]," ",Table43[[#This Row],[Nama            Sub KLP]]))</f>
        <v>HIT AEROSOL</v>
      </c>
      <c r="M65" s="4" t="str">
        <f>CONCATENATE(Table43[[#This Row],[kode  2 Digit                (hrf+No)]],Table43[[#This Row],[kode  2 Digit                (Nomor)]],Table43[[#This Row],[kode  1 Digit                (Nomor)]])</f>
        <v>G1071</v>
      </c>
      <c r="N65" s="4" t="str">
        <f>IF(AI65="",CONCATENATE(S65,U65,W65,Y65,AA65,AC65,AE65,AG65,Table43[[#This Row],[Tanda Kode Revisi]]),CONCATENATE(S65,U65,W65,Y65,AA65,AC65,AE65,AI65))</f>
        <v>G1071005060010</v>
      </c>
      <c r="O65" s="11">
        <f t="shared" si="0"/>
        <v>14</v>
      </c>
      <c r="P65" s="14" t="str">
        <f>IF(AH65&lt;&gt;"",TRIM(UPPER(CONCATENATE(R65," ",T65," ",V65," ",X65," ",Z65," ",AB65," ","X"," ",Table43[[#This Row],[ISI/CTN]]," ",AH65," ",AD65," ",AF65," ",AJ65))),TRIM(UPPER(CONCATENATE(R65," ",T65," ",V65," ",X65," ",Z65," ",AB65," ","X"," ",Table43[[#This Row],[ISI/CTN]]," ",AD65," ",AF65," ",AJ65))))</f>
        <v>HIT AEROSOL JAPANESE SAKURA 600ML X 12 KLG</v>
      </c>
      <c r="Q65" s="11">
        <f t="shared" si="1"/>
        <v>42</v>
      </c>
      <c r="S65" s="7" t="s">
        <v>34</v>
      </c>
      <c r="T65" s="4" t="s">
        <v>2242</v>
      </c>
      <c r="U65" s="47" t="s">
        <v>2544</v>
      </c>
      <c r="V65" s="48" t="s">
        <v>2243</v>
      </c>
      <c r="W65" s="7">
        <v>1</v>
      </c>
      <c r="X65" s="48"/>
      <c r="Y65" s="47" t="s">
        <v>1116</v>
      </c>
      <c r="Z65" s="4" t="s">
        <v>2248</v>
      </c>
      <c r="AA65" s="49" t="s">
        <v>2541</v>
      </c>
      <c r="AB65" s="4" t="s">
        <v>2246</v>
      </c>
      <c r="AC65" s="49" t="s">
        <v>2632</v>
      </c>
      <c r="AD65" s="4" t="s">
        <v>2221</v>
      </c>
      <c r="AE65" s="7">
        <v>1</v>
      </c>
      <c r="AG65" s="7">
        <v>0</v>
      </c>
      <c r="AK65" s="70">
        <f>Table43[[#This Row],[Column4]]</f>
        <v>30070090600000</v>
      </c>
      <c r="AN65" s="7">
        <f>Table43[[#This Row],[ISI/CTN]]</f>
        <v>12</v>
      </c>
      <c r="AO65" s="38">
        <f>Table43[[#This Row],[Harga Jual Pcs GT
(-PPN)]]-(Table43[[#This Row],[Harga Jual Pcs GT
(-PPN)]]*6.5%)</f>
        <v>27115</v>
      </c>
      <c r="AP65" s="38">
        <f>Table43[[#This Row],[Harga Beli Pcs
(-PPN)]]*Table43[[#This Row],[ISI/CTN]]</f>
        <v>325380</v>
      </c>
      <c r="AQ65" s="38">
        <f>Table43[[#This Row],[Harga Beli Pcs
(-PPN)]]*1.11</f>
        <v>30097.65</v>
      </c>
      <c r="AR65" s="38">
        <f>Table43[[#This Row],[Harga Beli Krt
(- PPN)]]*1.11</f>
        <v>361171.80000000005</v>
      </c>
      <c r="AS65" s="38">
        <v>29000</v>
      </c>
      <c r="AT65" s="38">
        <f>Table43[[#This Row],[Harga Jual Pcs GT
(-PPN)]]*Table43[[#This Row],[ISI/CTN]]</f>
        <v>348000</v>
      </c>
      <c r="AU65" s="38">
        <f>Table43[[#This Row],[Harga Jual Pcs GT
(-PPN)]]*1.11</f>
        <v>32190.000000000004</v>
      </c>
      <c r="AV65" s="38">
        <f>Table43[[#This Row],[Harga Jual Krt GT
(- PPN)]]*1.11</f>
        <v>386280.00000000006</v>
      </c>
      <c r="AW65" s="38">
        <f>IFERROR(VLOOKUP(Table43[[#This Row],[Kode Pcpl]],'[1]FEB 2026'!$A$3:$X$312,24,0),0)</f>
        <v>0</v>
      </c>
      <c r="AX65" s="38">
        <f>Table43[[#This Row],[Harga Jual Pcs MT
(-PPN)]]*Table43[[#This Row],[ISI/CTN]]</f>
        <v>0</v>
      </c>
      <c r="AY65" s="38">
        <f>Table43[[#This Row],[Harga Jual Pcs MT
(-PPN)]]*1.11</f>
        <v>0</v>
      </c>
      <c r="AZ65" s="38">
        <f>Table43[[#This Row],[Harga Jual Pcs MT
(+PPN)]]*Table43[[#This Row],[ISI/CTN]]</f>
        <v>0</v>
      </c>
      <c r="BA65" s="46">
        <f>(Table43[[#This Row],[Harga Jual Pcs GT
(-PPN)]]-Table43[[#This Row],[Harga Beli Pcs
(-PPN)]])/Table43[[#This Row],[Harga Jual Pcs GT
(-PPN)]]</f>
        <v>6.5000000000000002E-2</v>
      </c>
      <c r="BB65" s="53">
        <f>Table43[[#This Row],[Harga Jual Pcs MT
(-PPN)]]-Table43[[#This Row],[Harga Beli Pcs
(-PPN)]]</f>
        <v>-27115</v>
      </c>
      <c r="BC65" s="54" t="e">
        <f>Table43[[#This Row],[Column1]]/Table43[[#This Row],[Harga Jual Pcs MT
(-PPN)]]</f>
        <v>#DIV/0!</v>
      </c>
      <c r="BD65" s="52"/>
      <c r="BE65" s="7"/>
      <c r="BF65" s="7" t="str">
        <f ca="1">IF(TODAY()-Table43[[#This Row],[Efektif
Pembuatan]]&gt;60,"Lama","Baru")</f>
        <v>Lama</v>
      </c>
      <c r="BG65" s="7" t="str">
        <f ca="1">IF(TODAY()-Table43[[#This Row],[Efektif Naik Harga]]&lt;30,"Naik","Sama")</f>
        <v>Sama</v>
      </c>
      <c r="BH65" s="7"/>
      <c r="BI65" s="7" t="str">
        <f>IF(Table43[[#This Row],[Kode BARANG Win2]]&lt;&gt;"","IDR","")</f>
        <v>IDR</v>
      </c>
      <c r="BJ65" s="7" t="str">
        <f>CONCATENATE(Table43[[#This Row],[kode  1 Digit
(Nomor)]],Table43[[#This Row],[kode  4 Digit                (Nomor)]])</f>
        <v>0600</v>
      </c>
      <c r="BK65" s="7" t="str">
        <f>Table43[[#This Row],[Nama            Gramasi atau Jumlah Pack per CTN]]</f>
        <v>600ML</v>
      </c>
      <c r="BL65" s="7"/>
      <c r="BM65" s="7"/>
      <c r="BN65" s="4" t="str">
        <f>IF(Table43[[#This Row],[SATUAN Fix Win]]&lt;&gt;"","KRT")</f>
        <v>KRT</v>
      </c>
      <c r="BO65" s="4" t="str">
        <f>IF(Table43[[#This Row],[SATUAN Fix Win]]&lt;&gt;"","GD01")</f>
        <v>GD01</v>
      </c>
      <c r="BP65" s="4">
        <f>IF(Table43[[#This Row],[SATUAN Fix Win]]&lt;&gt;"",11611)</f>
        <v>11611</v>
      </c>
      <c r="BQ65" s="4">
        <f>IF(Table43[[#This Row],[SATUAN Fix Win]]&lt;&gt;"",11612)</f>
        <v>11612</v>
      </c>
      <c r="BS65" s="4">
        <f>IF(Table43[[#This Row],[SATUAN Fix Win]]&lt;&gt;"",1)</f>
        <v>1</v>
      </c>
      <c r="BU65" s="4">
        <f>Table43[[#This Row],[ISI/CTN]]</f>
        <v>12</v>
      </c>
    </row>
    <row r="66" spans="1:75">
      <c r="A66" s="4" t="str">
        <f>CONCATENATE(Table43[[#This Row],[Kode BARANG Win2]],Table43[[#This Row],[No. Urut
Item Sama]])</f>
        <v>G1071005060010</v>
      </c>
      <c r="B66" s="7"/>
      <c r="C66" s="31">
        <v>30070020200000</v>
      </c>
      <c r="D66" s="51">
        <v>40039318</v>
      </c>
      <c r="E66" s="27" t="s">
        <v>1917</v>
      </c>
      <c r="F66" s="51">
        <v>30070090600000</v>
      </c>
      <c r="G66" s="51">
        <v>0</v>
      </c>
      <c r="H66" s="27" t="s">
        <v>1184</v>
      </c>
      <c r="I66" s="27">
        <v>12</v>
      </c>
      <c r="J66" s="51" t="s">
        <v>1609</v>
      </c>
      <c r="K66" s="27" t="str">
        <f>Table43[[#This Row],[NamaJenisKemasan]]</f>
        <v>KLG</v>
      </c>
      <c r="L66" s="4" t="str">
        <f>TRIM(CONCATENATE(Table43[[#This Row],[Nama            KLP]]," ",Table43[[#This Row],[Nama            Sub KLP]]))</f>
        <v>HIT AEROSOL</v>
      </c>
      <c r="M66" s="4" t="str">
        <f>CONCATENATE(Table43[[#This Row],[kode  2 Digit                (hrf+No)]],Table43[[#This Row],[kode  2 Digit                (Nomor)]],Table43[[#This Row],[kode  1 Digit                (Nomor)]])</f>
        <v>G1071</v>
      </c>
      <c r="N66" s="4" t="str">
        <f>IF(AI66="",CONCATENATE(S66,U66,W66,Y66,AA66,AC66,AE66,AG66,Table43[[#This Row],[Tanda Kode Revisi]]),CONCATENATE(S66,U66,W66,Y66,AA66,AC66,AE66,AI66))</f>
        <v>G1071005060010</v>
      </c>
      <c r="O66" s="11">
        <f t="shared" si="0"/>
        <v>14</v>
      </c>
      <c r="P66" s="14" t="str">
        <f>IF(AH66&lt;&gt;"",TRIM(UPPER(CONCATENATE(R66," ",T66," ",V66," ",X66," ",Z66," ",AB66," ","X"," ",Table43[[#This Row],[ISI/CTN]]," ",AH66," ",AD66," ",AF66," ",AJ66))),TRIM(UPPER(CONCATENATE(R66," ",T66," ",V66," ",X66," ",Z66," ",AB66," ","X"," ",Table43[[#This Row],[ISI/CTN]]," ",AD66," ",AF66," ",AJ66))))</f>
        <v>HIT AEROSOL JAPANESE SAKURA 600ML X 12 KLG</v>
      </c>
      <c r="Q66" s="11">
        <f t="shared" si="1"/>
        <v>42</v>
      </c>
      <c r="S66" s="7" t="s">
        <v>34</v>
      </c>
      <c r="T66" s="4" t="s">
        <v>2242</v>
      </c>
      <c r="U66" s="47" t="s">
        <v>2544</v>
      </c>
      <c r="V66" s="48" t="s">
        <v>2243</v>
      </c>
      <c r="W66" s="7">
        <v>1</v>
      </c>
      <c r="X66" s="48"/>
      <c r="Y66" s="47" t="s">
        <v>1116</v>
      </c>
      <c r="Z66" s="4" t="s">
        <v>2248</v>
      </c>
      <c r="AA66" s="49" t="s">
        <v>2541</v>
      </c>
      <c r="AB66" s="4" t="s">
        <v>2246</v>
      </c>
      <c r="AC66" s="49" t="s">
        <v>2632</v>
      </c>
      <c r="AD66" s="4" t="s">
        <v>2221</v>
      </c>
      <c r="AE66" s="7">
        <v>1</v>
      </c>
      <c r="AG66" s="7">
        <v>0</v>
      </c>
      <c r="AK66" s="70">
        <f>Table43[[#This Row],[Column4]]</f>
        <v>30070090600000</v>
      </c>
      <c r="AN66" s="7">
        <f>Table43[[#This Row],[ISI/CTN]]</f>
        <v>12</v>
      </c>
      <c r="AO66" s="38">
        <f>Table43[[#This Row],[Harga Jual Pcs GT
(-PPN)]]-(Table43[[#This Row],[Harga Jual Pcs GT
(-PPN)]]*6.5%)</f>
        <v>27115</v>
      </c>
      <c r="AP66" s="38">
        <f>Table43[[#This Row],[Harga Beli Pcs
(-PPN)]]*Table43[[#This Row],[ISI/CTN]]</f>
        <v>325380</v>
      </c>
      <c r="AQ66" s="38">
        <f>Table43[[#This Row],[Harga Beli Pcs
(-PPN)]]*1.11</f>
        <v>30097.65</v>
      </c>
      <c r="AR66" s="38">
        <f>Table43[[#This Row],[Harga Beli Krt
(- PPN)]]*1.11</f>
        <v>361171.80000000005</v>
      </c>
      <c r="AS66" s="38">
        <v>29000</v>
      </c>
      <c r="AT66" s="38">
        <f>Table43[[#This Row],[Harga Jual Pcs GT
(-PPN)]]*Table43[[#This Row],[ISI/CTN]]</f>
        <v>348000</v>
      </c>
      <c r="AU66" s="38">
        <f>Table43[[#This Row],[Harga Jual Pcs GT
(-PPN)]]*1.11</f>
        <v>32190.000000000004</v>
      </c>
      <c r="AV66" s="38">
        <f>Table43[[#This Row],[Harga Jual Krt GT
(- PPN)]]*1.11</f>
        <v>386280.00000000006</v>
      </c>
      <c r="AW66" s="38">
        <f>IFERROR(VLOOKUP(Table43[[#This Row],[Kode Pcpl]],'[1]FEB 2026'!$A$3:$X$312,24,0),0)</f>
        <v>0</v>
      </c>
      <c r="AX66" s="38">
        <f>Table43[[#This Row],[Harga Jual Pcs MT
(-PPN)]]*Table43[[#This Row],[ISI/CTN]]</f>
        <v>0</v>
      </c>
      <c r="AY66" s="38">
        <f>Table43[[#This Row],[Harga Jual Pcs MT
(-PPN)]]*1.11</f>
        <v>0</v>
      </c>
      <c r="AZ66" s="38">
        <f>Table43[[#This Row],[Harga Jual Pcs MT
(+PPN)]]*Table43[[#This Row],[ISI/CTN]]</f>
        <v>0</v>
      </c>
      <c r="BA66" s="46">
        <f>(Table43[[#This Row],[Harga Jual Pcs GT
(-PPN)]]-Table43[[#This Row],[Harga Beli Pcs
(-PPN)]])/Table43[[#This Row],[Harga Jual Pcs GT
(-PPN)]]</f>
        <v>6.5000000000000002E-2</v>
      </c>
      <c r="BB66" s="53">
        <f>Table43[[#This Row],[Harga Jual Pcs MT
(-PPN)]]-Table43[[#This Row],[Harga Beli Pcs
(-PPN)]]</f>
        <v>-27115</v>
      </c>
      <c r="BC66" s="54" t="e">
        <f>Table43[[#This Row],[Column1]]/Table43[[#This Row],[Harga Jual Pcs MT
(-PPN)]]</f>
        <v>#DIV/0!</v>
      </c>
      <c r="BD66" s="52"/>
      <c r="BE66" s="7"/>
      <c r="BF66" s="7" t="str">
        <f ca="1">IF(TODAY()-Table43[[#This Row],[Efektif
Pembuatan]]&gt;60,"Lama","Baru")</f>
        <v>Lama</v>
      </c>
      <c r="BG66" s="7" t="str">
        <f ca="1">IF(TODAY()-Table43[[#This Row],[Efektif Naik Harga]]&lt;30,"Naik","Sama")</f>
        <v>Sama</v>
      </c>
      <c r="BH66" s="7"/>
      <c r="BI66" s="7" t="str">
        <f>IF(Table43[[#This Row],[Kode BARANG Win2]]&lt;&gt;"","IDR","")</f>
        <v>IDR</v>
      </c>
      <c r="BJ66" s="7" t="str">
        <f>CONCATENATE(Table43[[#This Row],[kode  1 Digit
(Nomor)]],Table43[[#This Row],[kode  4 Digit                (Nomor)]])</f>
        <v>0600</v>
      </c>
      <c r="BK66" s="7" t="str">
        <f>Table43[[#This Row],[Nama            Gramasi atau Jumlah Pack per CTN]]</f>
        <v>600ML</v>
      </c>
      <c r="BL66" s="7"/>
      <c r="BM66" s="7"/>
      <c r="BN66" s="4" t="str">
        <f>IF(Table43[[#This Row],[SATUAN Fix Win]]&lt;&gt;"","KRT")</f>
        <v>KRT</v>
      </c>
      <c r="BO66" s="4" t="str">
        <f>IF(Table43[[#This Row],[SATUAN Fix Win]]&lt;&gt;"","GD01")</f>
        <v>GD01</v>
      </c>
      <c r="BP66" s="4">
        <f>IF(Table43[[#This Row],[SATUAN Fix Win]]&lt;&gt;"",11611)</f>
        <v>11611</v>
      </c>
      <c r="BQ66" s="4">
        <f>IF(Table43[[#This Row],[SATUAN Fix Win]]&lt;&gt;"",11612)</f>
        <v>11612</v>
      </c>
      <c r="BS66" s="4">
        <f>IF(Table43[[#This Row],[SATUAN Fix Win]]&lt;&gt;"",1)</f>
        <v>1</v>
      </c>
      <c r="BU66" s="4">
        <f>Table43[[#This Row],[ISI/CTN]]</f>
        <v>12</v>
      </c>
    </row>
    <row r="67" spans="1:75">
      <c r="A67" s="4" t="str">
        <f>CONCATENATE(Table43[[#This Row],[Kode BARANG Win2]],Table43[[#This Row],[No. Urut
Item Sama]])</f>
        <v>G1071005060010</v>
      </c>
      <c r="B67" s="7"/>
      <c r="C67" s="31">
        <v>30070020415000</v>
      </c>
      <c r="D67" s="51">
        <v>40039444</v>
      </c>
      <c r="E67" s="27" t="s">
        <v>1917</v>
      </c>
      <c r="F67" s="51">
        <v>30070090600000</v>
      </c>
      <c r="G67" s="51">
        <v>0</v>
      </c>
      <c r="H67" s="27" t="s">
        <v>1185</v>
      </c>
      <c r="I67" s="27">
        <v>12</v>
      </c>
      <c r="J67" s="51" t="s">
        <v>1609</v>
      </c>
      <c r="K67" s="27" t="str">
        <f>Table43[[#This Row],[NamaJenisKemasan]]</f>
        <v>KLG</v>
      </c>
      <c r="L67" s="4" t="str">
        <f>TRIM(CONCATENATE(Table43[[#This Row],[Nama            KLP]]," ",Table43[[#This Row],[Nama            Sub KLP]]))</f>
        <v>HIT AEROSOL</v>
      </c>
      <c r="M67" s="4" t="str">
        <f>CONCATENATE(Table43[[#This Row],[kode  2 Digit                (hrf+No)]],Table43[[#This Row],[kode  2 Digit                (Nomor)]],Table43[[#This Row],[kode  1 Digit                (Nomor)]])</f>
        <v>G1071</v>
      </c>
      <c r="N67" s="4" t="str">
        <f>IF(AI67="",CONCATENATE(S67,U67,W67,Y67,AA67,AC67,AE67,AG67,Table43[[#This Row],[Tanda Kode Revisi]]),CONCATENATE(S67,U67,W67,Y67,AA67,AC67,AE67,AI67))</f>
        <v>G1071005060010</v>
      </c>
      <c r="O67" s="11">
        <f t="shared" si="0"/>
        <v>14</v>
      </c>
      <c r="P67" s="14" t="str">
        <f>IF(AH67&lt;&gt;"",TRIM(UPPER(CONCATENATE(R67," ",T67," ",V67," ",X67," ",Z67," ",AB67," ","X"," ",Table43[[#This Row],[ISI/CTN]]," ",AH67," ",AD67," ",AF67," ",AJ67))),TRIM(UPPER(CONCATENATE(R67," ",T67," ",V67," ",X67," ",Z67," ",AB67," ","X"," ",Table43[[#This Row],[ISI/CTN]]," ",AD67," ",AF67," ",AJ67))))</f>
        <v>HIT AEROSOL JAPANESE SAKURA 600ML X 12 KLG</v>
      </c>
      <c r="Q67" s="11">
        <f t="shared" si="1"/>
        <v>42</v>
      </c>
      <c r="S67" s="7" t="s">
        <v>34</v>
      </c>
      <c r="T67" s="4" t="s">
        <v>2242</v>
      </c>
      <c r="U67" s="47" t="s">
        <v>2544</v>
      </c>
      <c r="V67" s="48" t="s">
        <v>2243</v>
      </c>
      <c r="W67" s="7">
        <v>1</v>
      </c>
      <c r="X67" s="48"/>
      <c r="Y67" s="47" t="s">
        <v>1116</v>
      </c>
      <c r="Z67" s="4" t="s">
        <v>2248</v>
      </c>
      <c r="AA67" s="49" t="s">
        <v>2541</v>
      </c>
      <c r="AB67" s="4" t="s">
        <v>2246</v>
      </c>
      <c r="AC67" s="49" t="s">
        <v>2632</v>
      </c>
      <c r="AD67" s="4" t="s">
        <v>2221</v>
      </c>
      <c r="AE67" s="7">
        <v>1</v>
      </c>
      <c r="AG67" s="7">
        <v>0</v>
      </c>
      <c r="AK67" s="70">
        <f>Table43[[#This Row],[Column4]]</f>
        <v>30070090600000</v>
      </c>
      <c r="AN67" s="7">
        <f>Table43[[#This Row],[ISI/CTN]]</f>
        <v>12</v>
      </c>
      <c r="AO67" s="38">
        <f>Table43[[#This Row],[Harga Jual Pcs GT
(-PPN)]]-(Table43[[#This Row],[Harga Jual Pcs GT
(-PPN)]]*6.5%)</f>
        <v>27115</v>
      </c>
      <c r="AP67" s="38">
        <f>Table43[[#This Row],[Harga Beli Pcs
(-PPN)]]*Table43[[#This Row],[ISI/CTN]]</f>
        <v>325380</v>
      </c>
      <c r="AQ67" s="38">
        <f>Table43[[#This Row],[Harga Beli Pcs
(-PPN)]]*1.11</f>
        <v>30097.65</v>
      </c>
      <c r="AR67" s="38">
        <f>Table43[[#This Row],[Harga Beli Krt
(- PPN)]]*1.11</f>
        <v>361171.80000000005</v>
      </c>
      <c r="AS67" s="38">
        <v>29000</v>
      </c>
      <c r="AT67" s="38">
        <f>Table43[[#This Row],[Harga Jual Pcs GT
(-PPN)]]*Table43[[#This Row],[ISI/CTN]]</f>
        <v>348000</v>
      </c>
      <c r="AU67" s="38">
        <f>Table43[[#This Row],[Harga Jual Pcs GT
(-PPN)]]*1.11</f>
        <v>32190.000000000004</v>
      </c>
      <c r="AV67" s="38">
        <f>Table43[[#This Row],[Harga Jual Krt GT
(- PPN)]]*1.11</f>
        <v>386280.00000000006</v>
      </c>
      <c r="AW67" s="38">
        <f>IFERROR(VLOOKUP(Table43[[#This Row],[Kode Pcpl]],'[1]FEB 2026'!$A$3:$X$312,24,0),0)</f>
        <v>0</v>
      </c>
      <c r="AX67" s="38">
        <f>Table43[[#This Row],[Harga Jual Pcs MT
(-PPN)]]*Table43[[#This Row],[ISI/CTN]]</f>
        <v>0</v>
      </c>
      <c r="AY67" s="38">
        <f>Table43[[#This Row],[Harga Jual Pcs MT
(-PPN)]]*1.11</f>
        <v>0</v>
      </c>
      <c r="AZ67" s="38">
        <f>Table43[[#This Row],[Harga Jual Pcs MT
(+PPN)]]*Table43[[#This Row],[ISI/CTN]]</f>
        <v>0</v>
      </c>
      <c r="BA67" s="46">
        <f>(Table43[[#This Row],[Harga Jual Pcs GT
(-PPN)]]-Table43[[#This Row],[Harga Beli Pcs
(-PPN)]])/Table43[[#This Row],[Harga Jual Pcs GT
(-PPN)]]</f>
        <v>6.5000000000000002E-2</v>
      </c>
      <c r="BB67" s="53">
        <f>Table43[[#This Row],[Harga Jual Pcs MT
(-PPN)]]-Table43[[#This Row],[Harga Beli Pcs
(-PPN)]]</f>
        <v>-27115</v>
      </c>
      <c r="BC67" s="54" t="e">
        <f>Table43[[#This Row],[Column1]]/Table43[[#This Row],[Harga Jual Pcs MT
(-PPN)]]</f>
        <v>#DIV/0!</v>
      </c>
      <c r="BD67" s="52"/>
      <c r="BE67" s="7"/>
      <c r="BF67" s="7" t="str">
        <f ca="1">IF(TODAY()-Table43[[#This Row],[Efektif
Pembuatan]]&gt;60,"Lama","Baru")</f>
        <v>Lama</v>
      </c>
      <c r="BG67" s="7" t="str">
        <f ca="1">IF(TODAY()-Table43[[#This Row],[Efektif Naik Harga]]&lt;30,"Naik","Sama")</f>
        <v>Sama</v>
      </c>
      <c r="BH67" s="7"/>
      <c r="BI67" s="7" t="str">
        <f>IF(Table43[[#This Row],[Kode BARANG Win2]]&lt;&gt;"","IDR","")</f>
        <v>IDR</v>
      </c>
      <c r="BJ67" s="7" t="str">
        <f>CONCATENATE(Table43[[#This Row],[kode  1 Digit
(Nomor)]],Table43[[#This Row],[kode  4 Digit                (Nomor)]])</f>
        <v>0600</v>
      </c>
      <c r="BK67" s="7" t="str">
        <f>Table43[[#This Row],[Nama            Gramasi atau Jumlah Pack per CTN]]</f>
        <v>600ML</v>
      </c>
      <c r="BL67" s="7"/>
      <c r="BM67" s="7"/>
      <c r="BN67" s="4" t="str">
        <f>IF(Table43[[#This Row],[SATUAN Fix Win]]&lt;&gt;"","KRT")</f>
        <v>KRT</v>
      </c>
      <c r="BO67" s="4" t="str">
        <f>IF(Table43[[#This Row],[SATUAN Fix Win]]&lt;&gt;"","GD01")</f>
        <v>GD01</v>
      </c>
      <c r="BP67" s="4">
        <f>IF(Table43[[#This Row],[SATUAN Fix Win]]&lt;&gt;"",11611)</f>
        <v>11611</v>
      </c>
      <c r="BQ67" s="4">
        <f>IF(Table43[[#This Row],[SATUAN Fix Win]]&lt;&gt;"",11612)</f>
        <v>11612</v>
      </c>
      <c r="BS67" s="4">
        <f>IF(Table43[[#This Row],[SATUAN Fix Win]]&lt;&gt;"",1)</f>
        <v>1</v>
      </c>
      <c r="BU67" s="4">
        <f>Table43[[#This Row],[ISI/CTN]]</f>
        <v>12</v>
      </c>
    </row>
    <row r="68" spans="1:75" s="87" customFormat="1">
      <c r="A68" s="71" t="str">
        <f>CONCATENATE(Table43[[#This Row],[Kode BARANG Win2]],Table43[[#This Row],[No. Urut
Item Sama]])</f>
        <v>G1071010060010</v>
      </c>
      <c r="B68" s="72"/>
      <c r="C68" s="73">
        <v>30070080600000</v>
      </c>
      <c r="D68" s="74">
        <v>40037981</v>
      </c>
      <c r="E68" s="75" t="s">
        <v>3447</v>
      </c>
      <c r="F68" s="74"/>
      <c r="G68" s="74">
        <v>0</v>
      </c>
      <c r="H68" s="75" t="s">
        <v>3448</v>
      </c>
      <c r="I68" s="75">
        <v>12</v>
      </c>
      <c r="J68" s="74"/>
      <c r="K68" s="75" t="str">
        <f>Table43[[#This Row],[NamaJenisKemasan]]</f>
        <v>KLG</v>
      </c>
      <c r="L68" s="71" t="str">
        <f>TRIM(CONCATENATE(Table43[[#This Row],[Nama            KLP]]," ",Table43[[#This Row],[Nama            Sub KLP]]))</f>
        <v>HIT AEROSOL</v>
      </c>
      <c r="M68" s="71" t="str">
        <f>CONCATENATE(Table43[[#This Row],[kode  2 Digit                (hrf+No)]],Table43[[#This Row],[kode  2 Digit                (Nomor)]],Table43[[#This Row],[kode  1 Digit                (Nomor)]])</f>
        <v>G1071</v>
      </c>
      <c r="N68" s="71" t="str">
        <f>IF(AI68="",CONCATENATE(S68,U68,W68,Y68,AA68,AC68,AE68,AG68,Table43[[#This Row],[Tanda Kode Revisi]]),CONCATENATE(S68,U68,W68,Y68,AA68,AC68,AE68,AI68))</f>
        <v>G1071010060010</v>
      </c>
      <c r="O68" s="76">
        <f>LEN(N68)</f>
        <v>14</v>
      </c>
      <c r="P68" s="77" t="str">
        <f>IF(AH68&lt;&gt;"",TRIM(UPPER(CONCATENATE(R68," ",T68," ",V68," ",X68," ",Z68," ",AB68," ","X"," ",Table43[[#This Row],[ISI/CTN]]," ",AH68," ",AD68," ",AF68," ",AJ68))),TRIM(UPPER(CONCATENATE(R68," ",T68," ",V68," ",X68," ",Z68," ",AB68," ","X"," ",Table43[[#This Row],[ISI/CTN]]," ",AD68," ",AF68," ",AJ68))))</f>
        <v>HIT AEROSOL GREEN FOREST 600ML X 12 KLG</v>
      </c>
      <c r="Q68" s="76">
        <f>LEN(P68)</f>
        <v>39</v>
      </c>
      <c r="R68" s="71"/>
      <c r="S68" s="72" t="s">
        <v>34</v>
      </c>
      <c r="T68" s="71" t="s">
        <v>2242</v>
      </c>
      <c r="U68" s="78" t="s">
        <v>2544</v>
      </c>
      <c r="V68" s="79" t="s">
        <v>2243</v>
      </c>
      <c r="W68" s="72">
        <v>1</v>
      </c>
      <c r="X68" s="79"/>
      <c r="Y68" s="78" t="s">
        <v>1116</v>
      </c>
      <c r="Z68" s="71" t="s">
        <v>3449</v>
      </c>
      <c r="AA68" s="80" t="s">
        <v>2556</v>
      </c>
      <c r="AB68" s="71" t="s">
        <v>2246</v>
      </c>
      <c r="AC68" s="80" t="s">
        <v>2632</v>
      </c>
      <c r="AD68" s="71" t="s">
        <v>2221</v>
      </c>
      <c r="AE68" s="72">
        <v>1</v>
      </c>
      <c r="AF68" s="71"/>
      <c r="AG68" s="72">
        <v>0</v>
      </c>
      <c r="AH68" s="72"/>
      <c r="AI68" s="72"/>
      <c r="AJ68" s="72"/>
      <c r="AK68" s="81">
        <f>Table43[[#This Row],[Column4]]</f>
        <v>0</v>
      </c>
      <c r="AL68" s="72"/>
      <c r="AM68" s="72"/>
      <c r="AN68" s="72">
        <f>Table43[[#This Row],[ISI/CTN]]</f>
        <v>12</v>
      </c>
      <c r="AO68" s="88">
        <f>Table43[[#This Row],[Harga Jual Pcs GT
(-PPN)]]-(Table43[[#This Row],[Harga Jual Pcs GT
(-PPN)]]*6.5%)</f>
        <v>0</v>
      </c>
      <c r="AP68" s="88">
        <f>Table43[[#This Row],[Harga Beli Pcs
(-PPN)]]*Table43[[#This Row],[ISI/CTN]]</f>
        <v>0</v>
      </c>
      <c r="AQ68" s="88">
        <f>Table43[[#This Row],[Harga Beli Pcs
(-PPN)]]*1.11</f>
        <v>0</v>
      </c>
      <c r="AR68" s="88">
        <f>Table43[[#This Row],[Harga Beli Krt
(- PPN)]]*1.11</f>
        <v>0</v>
      </c>
      <c r="AS68" s="88"/>
      <c r="AT68" s="88">
        <f>Table43[[#This Row],[Harga Jual Pcs GT
(-PPN)]]*Table43[[#This Row],[ISI/CTN]]</f>
        <v>0</v>
      </c>
      <c r="AU68" s="88">
        <f>Table43[[#This Row],[Harga Jual Pcs GT
(-PPN)]]*1.11</f>
        <v>0</v>
      </c>
      <c r="AV68" s="88">
        <f>Table43[[#This Row],[Harga Jual Krt GT
(- PPN)]]*1.11</f>
        <v>0</v>
      </c>
      <c r="AW68" s="88">
        <f>IFERROR(VLOOKUP(Table43[[#This Row],[Kode Pcpl]],'[1]FEB 2026'!$A$3:$X$312,24,0),0)</f>
        <v>0</v>
      </c>
      <c r="AX68" s="88">
        <f>Table43[[#This Row],[Harga Jual Pcs MT
(-PPN)]]*Table43[[#This Row],[ISI/CTN]]</f>
        <v>0</v>
      </c>
      <c r="AY68" s="88">
        <f>Table43[[#This Row],[Harga Jual Pcs MT
(-PPN)]]*1.11</f>
        <v>0</v>
      </c>
      <c r="AZ68" s="88">
        <f>Table43[[#This Row],[Harga Jual Pcs MT
(+PPN)]]*Table43[[#This Row],[ISI/CTN]]</f>
        <v>0</v>
      </c>
      <c r="BA68" s="89" t="e">
        <f>(Table43[[#This Row],[Harga Jual Pcs GT
(-PPN)]]-Table43[[#This Row],[Harga Beli Pcs
(-PPN)]])/Table43[[#This Row],[Harga Jual Pcs GT
(-PPN)]]</f>
        <v>#DIV/0!</v>
      </c>
      <c r="BB68" s="90">
        <f>Table43[[#This Row],[Harga Jual Pcs MT
(-PPN)]]-Table43[[#This Row],[Harga Beli Pcs
(-PPN)]]</f>
        <v>0</v>
      </c>
      <c r="BC68" s="91" t="e">
        <f>Table43[[#This Row],[Column1]]/Table43[[#This Row],[Harga Jual Pcs MT
(-PPN)]]</f>
        <v>#DIV/0!</v>
      </c>
      <c r="BD68" s="86"/>
      <c r="BE68" s="72"/>
      <c r="BF68" s="72" t="str">
        <f ca="1">IF(TODAY()-Table43[[#This Row],[Efektif
Pembuatan]]&gt;60,"Lama","Baru")</f>
        <v>Lama</v>
      </c>
      <c r="BG68" s="72" t="str">
        <f ca="1">IF(TODAY()-Table43[[#This Row],[Efektif Naik Harga]]&lt;30,"Naik","Sama")</f>
        <v>Sama</v>
      </c>
      <c r="BH68" s="72"/>
      <c r="BI68" s="72" t="str">
        <f>IF(Table43[[#This Row],[Kode BARANG Win2]]&lt;&gt;"","IDR","")</f>
        <v>IDR</v>
      </c>
      <c r="BJ68" s="72" t="str">
        <f>CONCATENATE(Table43[[#This Row],[kode  1 Digit
(Nomor)]],Table43[[#This Row],[kode  4 Digit                (Nomor)]])</f>
        <v>0600</v>
      </c>
      <c r="BK68" s="72" t="str">
        <f>Table43[[#This Row],[Nama            Gramasi atau Jumlah Pack per CTN]]</f>
        <v>600ML</v>
      </c>
      <c r="BL68" s="72"/>
      <c r="BM68" s="72"/>
      <c r="BN68" s="71" t="str">
        <f>IF(Table43[[#This Row],[SATUAN Fix Win]]&lt;&gt;"","KRT")</f>
        <v>KRT</v>
      </c>
      <c r="BO68" s="71" t="str">
        <f>IF(Table43[[#This Row],[SATUAN Fix Win]]&lt;&gt;"","GD01")</f>
        <v>GD01</v>
      </c>
      <c r="BP68" s="71">
        <f>IF(Table43[[#This Row],[SATUAN Fix Win]]&lt;&gt;"",11611)</f>
        <v>11611</v>
      </c>
      <c r="BQ68" s="71">
        <f>IF(Table43[[#This Row],[SATUAN Fix Win]]&lt;&gt;"",11612)</f>
        <v>11612</v>
      </c>
      <c r="BR68" s="71"/>
      <c r="BS68" s="71">
        <f>IF(Table43[[#This Row],[SATUAN Fix Win]]&lt;&gt;"",1)</f>
        <v>1</v>
      </c>
      <c r="BT68" s="71"/>
      <c r="BU68" s="71">
        <f>Table43[[#This Row],[ISI/CTN]]</f>
        <v>12</v>
      </c>
      <c r="BV68" s="71"/>
      <c r="BW68" s="71"/>
    </row>
    <row r="69" spans="1:75" s="87" customFormat="1">
      <c r="A69" s="4" t="str">
        <f>CONCATENATE(Table43[[#This Row],[Kode BARANG Win2]],Table43[[#This Row],[No. Urut
Item Sama]])</f>
        <v>G1071010060010</v>
      </c>
      <c r="B69" s="7"/>
      <c r="C69" s="31"/>
      <c r="D69" s="51">
        <v>40028383</v>
      </c>
      <c r="E69" s="27"/>
      <c r="F69" s="74"/>
      <c r="G69" s="74"/>
      <c r="H69" s="27"/>
      <c r="I69" s="75">
        <v>12</v>
      </c>
      <c r="J69" s="51"/>
      <c r="K69" s="27" t="str">
        <f>Table43[[#This Row],[NamaJenisKemasan]]</f>
        <v>KLG</v>
      </c>
      <c r="L69" s="4" t="str">
        <f>TRIM(CONCATENATE(Table43[[#This Row],[Nama            KLP]]," ",Table43[[#This Row],[Nama            Sub KLP]]))</f>
        <v>HIT AEROSOL</v>
      </c>
      <c r="M69" s="4" t="str">
        <f>CONCATENATE(Table43[[#This Row],[kode  2 Digit                (hrf+No)]],Table43[[#This Row],[kode  2 Digit                (Nomor)]],Table43[[#This Row],[kode  1 Digit                (Nomor)]])</f>
        <v>G1071</v>
      </c>
      <c r="N69" s="4" t="str">
        <f>IF(AI69="",CONCATENATE(S69,U69,W69,Y69,AA69,AC69,AE69,AG69,Table43[[#This Row],[Tanda Kode Revisi]]),CONCATENATE(S69,U69,W69,Y69,AA69,AC69,AE69,AI69))</f>
        <v>G1071010060010</v>
      </c>
      <c r="O69" s="11">
        <f>LEN(N69)</f>
        <v>14</v>
      </c>
      <c r="P69" s="14" t="str">
        <f>IF(AH69&lt;&gt;"",TRIM(UPPER(CONCATENATE(R69," ",T69," ",V69," ",X69," ",Z69," ",AB69," ","X"," ",Table43[[#This Row],[ISI/CTN]]," ",AH69," ",AD69," ",AF69," ",AJ69))),TRIM(UPPER(CONCATENATE(R69," ",T69," ",V69," ",X69," ",Z69," ",AB69," ","X"," ",Table43[[#This Row],[ISI/CTN]]," ",AD69," ",AF69," ",AJ69))))</f>
        <v>HIT AEROSOL GREEN FOREST 600ML X 12 KLG</v>
      </c>
      <c r="Q69" s="11">
        <f>LEN(P69)</f>
        <v>39</v>
      </c>
      <c r="R69" s="4"/>
      <c r="S69" s="7" t="s">
        <v>34</v>
      </c>
      <c r="T69" s="4" t="s">
        <v>2242</v>
      </c>
      <c r="U69" s="47" t="s">
        <v>2544</v>
      </c>
      <c r="V69" s="48" t="s">
        <v>2243</v>
      </c>
      <c r="W69" s="7">
        <v>1</v>
      </c>
      <c r="X69" s="48"/>
      <c r="Y69" s="47" t="s">
        <v>1116</v>
      </c>
      <c r="Z69" s="4" t="s">
        <v>3449</v>
      </c>
      <c r="AA69" s="49" t="s">
        <v>2556</v>
      </c>
      <c r="AB69" s="4" t="s">
        <v>2246</v>
      </c>
      <c r="AC69" s="49" t="s">
        <v>2632</v>
      </c>
      <c r="AD69" s="4" t="s">
        <v>2221</v>
      </c>
      <c r="AE69" s="7">
        <v>1</v>
      </c>
      <c r="AF69" s="4"/>
      <c r="AG69" s="7">
        <v>0</v>
      </c>
      <c r="AH69" s="7"/>
      <c r="AI69" s="7"/>
      <c r="AJ69" s="7"/>
      <c r="AK69" s="70">
        <f>Table43[[#This Row],[Column4]]</f>
        <v>0</v>
      </c>
      <c r="AL69" s="7"/>
      <c r="AM69" s="7"/>
      <c r="AN69" s="72">
        <f>Table43[[#This Row],[ISI/CTN]]</f>
        <v>12</v>
      </c>
      <c r="AO69" s="38">
        <f>Table43[[#This Row],[Harga Jual Pcs GT
(-PPN)]]-(Table43[[#This Row],[Harga Jual Pcs GT
(-PPN)]]*6.5%)</f>
        <v>0</v>
      </c>
      <c r="AP69" s="38">
        <f>Table43[[#This Row],[Harga Beli Pcs
(-PPN)]]*Table43[[#This Row],[ISI/CTN]]</f>
        <v>0</v>
      </c>
      <c r="AQ69" s="38">
        <f>Table43[[#This Row],[Harga Beli Pcs
(-PPN)]]*1.11</f>
        <v>0</v>
      </c>
      <c r="AR69" s="38">
        <f>Table43[[#This Row],[Harga Beli Krt
(- PPN)]]*1.11</f>
        <v>0</v>
      </c>
      <c r="AS69" s="38"/>
      <c r="AT69" s="38">
        <f>Table43[[#This Row],[Harga Jual Pcs GT
(-PPN)]]*Table43[[#This Row],[ISI/CTN]]</f>
        <v>0</v>
      </c>
      <c r="AU69" s="38">
        <f>Table43[[#This Row],[Harga Jual Pcs GT
(-PPN)]]*1.11</f>
        <v>0</v>
      </c>
      <c r="AV69" s="38">
        <f>Table43[[#This Row],[Harga Jual Krt GT
(- PPN)]]*1.11</f>
        <v>0</v>
      </c>
      <c r="AW69" s="38">
        <f>IFERROR(VLOOKUP(Table43[[#This Row],[Kode Pcpl]],'[1]FEB 2026'!$A$3:$X$312,24,0),0)</f>
        <v>0</v>
      </c>
      <c r="AX69" s="38">
        <f>Table43[[#This Row],[Harga Jual Pcs MT
(-PPN)]]*Table43[[#This Row],[ISI/CTN]]</f>
        <v>0</v>
      </c>
      <c r="AY69" s="38">
        <f>Table43[[#This Row],[Harga Jual Pcs MT
(-PPN)]]*1.11</f>
        <v>0</v>
      </c>
      <c r="AZ69" s="38">
        <f>Table43[[#This Row],[Harga Jual Pcs MT
(+PPN)]]*Table43[[#This Row],[ISI/CTN]]</f>
        <v>0</v>
      </c>
      <c r="BA69" s="46" t="e">
        <f>(Table43[[#This Row],[Harga Jual Pcs GT
(-PPN)]]-Table43[[#This Row],[Harga Beli Pcs
(-PPN)]])/Table43[[#This Row],[Harga Jual Pcs GT
(-PPN)]]</f>
        <v>#DIV/0!</v>
      </c>
      <c r="BB69" s="53">
        <f>Table43[[#This Row],[Harga Jual Pcs MT
(-PPN)]]-Table43[[#This Row],[Harga Beli Pcs
(-PPN)]]</f>
        <v>0</v>
      </c>
      <c r="BC69" s="54" t="e">
        <f>Table43[[#This Row],[Column1]]/Table43[[#This Row],[Harga Jual Pcs MT
(-PPN)]]</f>
        <v>#DIV/0!</v>
      </c>
      <c r="BD69" s="52"/>
      <c r="BE69" s="7"/>
      <c r="BF69" s="7" t="str">
        <f ca="1">IF(TODAY()-Table43[[#This Row],[Efektif
Pembuatan]]&gt;60,"Lama","Baru")</f>
        <v>Lama</v>
      </c>
      <c r="BG69" s="7" t="str">
        <f ca="1">IF(TODAY()-Table43[[#This Row],[Efektif Naik Harga]]&lt;30,"Naik","Sama")</f>
        <v>Sama</v>
      </c>
      <c r="BH69" s="7"/>
      <c r="BI69" s="7" t="str">
        <f>IF(Table43[[#This Row],[Kode BARANG Win2]]&lt;&gt;"","IDR","")</f>
        <v>IDR</v>
      </c>
      <c r="BJ69" s="7" t="str">
        <f>CONCATENATE(Table43[[#This Row],[kode  1 Digit
(Nomor)]],Table43[[#This Row],[kode  4 Digit                (Nomor)]])</f>
        <v>0600</v>
      </c>
      <c r="BK69" s="7" t="str">
        <f>Table43[[#This Row],[Nama            Gramasi atau Jumlah Pack per CTN]]</f>
        <v>600ML</v>
      </c>
      <c r="BL69" s="7"/>
      <c r="BM69" s="7"/>
      <c r="BN69" s="4" t="str">
        <f>IF(Table43[[#This Row],[SATUAN Fix Win]]&lt;&gt;"","KRT")</f>
        <v>KRT</v>
      </c>
      <c r="BO69" s="4" t="str">
        <f>IF(Table43[[#This Row],[SATUAN Fix Win]]&lt;&gt;"","GD01")</f>
        <v>GD01</v>
      </c>
      <c r="BP69" s="4">
        <f>IF(Table43[[#This Row],[SATUAN Fix Win]]&lt;&gt;"",11611)</f>
        <v>11611</v>
      </c>
      <c r="BQ69" s="4">
        <f>IF(Table43[[#This Row],[SATUAN Fix Win]]&lt;&gt;"",11612)</f>
        <v>11612</v>
      </c>
      <c r="BR69" s="4"/>
      <c r="BS69" s="4">
        <f>IF(Table43[[#This Row],[SATUAN Fix Win]]&lt;&gt;"",1)</f>
        <v>1</v>
      </c>
      <c r="BT69" s="4"/>
      <c r="BU69" s="4">
        <f>Table43[[#This Row],[ISI/CTN]]</f>
        <v>12</v>
      </c>
      <c r="BV69" s="71"/>
      <c r="BW69" s="71"/>
    </row>
    <row r="70" spans="1:75">
      <c r="A70" s="4" t="str">
        <f>CONCATENATE(Table43[[#This Row],[Kode BARANG Win2]],Table43[[#This Row],[No. Urut
Item Sama]])</f>
        <v>G1071006040010</v>
      </c>
      <c r="B70" s="7"/>
      <c r="C70" s="31">
        <v>30070020415000</v>
      </c>
      <c r="D70" s="51">
        <v>40050816</v>
      </c>
      <c r="E70" s="27" t="s">
        <v>1918</v>
      </c>
      <c r="F70" s="51">
        <v>30070100400000</v>
      </c>
      <c r="G70" s="51">
        <v>0</v>
      </c>
      <c r="H70" s="27" t="s">
        <v>1187</v>
      </c>
      <c r="I70" s="27">
        <v>12</v>
      </c>
      <c r="J70" s="51">
        <v>8992745000365</v>
      </c>
      <c r="K70" s="27" t="str">
        <f>Table43[[#This Row],[NamaJenisKemasan]]</f>
        <v>KLG</v>
      </c>
      <c r="L70" s="4" t="str">
        <f>TRIM(CONCATENATE(Table43[[#This Row],[Nama            KLP]]," ",Table43[[#This Row],[Nama            Sub KLP]]))</f>
        <v>HIT AEROSOL</v>
      </c>
      <c r="M70" s="4" t="str">
        <f>CONCATENATE(Table43[[#This Row],[kode  2 Digit                (hrf+No)]],Table43[[#This Row],[kode  2 Digit                (Nomor)]],Table43[[#This Row],[kode  1 Digit                (Nomor)]])</f>
        <v>G1071</v>
      </c>
      <c r="N70" s="4" t="str">
        <f>IF(AI70="",CONCATENATE(S70,U70,W70,Y70,AA70,AC70,AE70,AG70,Table43[[#This Row],[Tanda Kode Revisi]]),CONCATENATE(S70,U70,W70,Y70,AA70,AC70,AE70,AI70))</f>
        <v>G1071006040010</v>
      </c>
      <c r="O70" s="11">
        <f t="shared" si="0"/>
        <v>14</v>
      </c>
      <c r="P70" s="14" t="str">
        <f>IF(AH70&lt;&gt;"",TRIM(UPPER(CONCATENATE(R70," ",T70," ",V70," ",X70," ",Z70," ",AB70," ","X"," ",Table43[[#This Row],[ISI/CTN]]," ",AH70," ",AD70," ",AF70," ",AJ70))),TRIM(UPPER(CONCATENATE(R70," ",T70," ",V70," ",X70," ",Z70," ",AB70," ","X"," ",Table43[[#This Row],[ISI/CTN]]," ",AD70," ",AF70," ",AJ70))))</f>
        <v>HIT AEROSOL LAVENDER BREEZE 400ML X 12 KLG</v>
      </c>
      <c r="Q70" s="11">
        <f t="shared" si="1"/>
        <v>42</v>
      </c>
      <c r="S70" s="7" t="s">
        <v>34</v>
      </c>
      <c r="T70" s="4" t="s">
        <v>2242</v>
      </c>
      <c r="U70" s="47" t="s">
        <v>2544</v>
      </c>
      <c r="V70" s="48" t="s">
        <v>2243</v>
      </c>
      <c r="W70" s="7">
        <v>1</v>
      </c>
      <c r="X70" s="48"/>
      <c r="Y70" s="47" t="s">
        <v>1116</v>
      </c>
      <c r="Z70" s="4" t="s">
        <v>2250</v>
      </c>
      <c r="AA70" s="49" t="s">
        <v>2542</v>
      </c>
      <c r="AB70" s="4" t="s">
        <v>635</v>
      </c>
      <c r="AC70" s="49" t="s">
        <v>2624</v>
      </c>
      <c r="AD70" s="4" t="s">
        <v>2221</v>
      </c>
      <c r="AE70" s="7">
        <v>1</v>
      </c>
      <c r="AG70" s="7">
        <v>0</v>
      </c>
      <c r="AK70" s="70">
        <f>Table43[[#This Row],[Column4]]</f>
        <v>30070100400000</v>
      </c>
      <c r="AN70" s="7">
        <f>Table43[[#This Row],[ISI/CTN]]</f>
        <v>12</v>
      </c>
      <c r="AO70" s="38">
        <f>Table43[[#This Row],[Harga Jual Pcs GT
(-PPN)]]-(Table43[[#This Row],[Harga Jual Pcs GT
(-PPN)]]*6.5%)</f>
        <v>20429.75</v>
      </c>
      <c r="AP70" s="38">
        <f>Table43[[#This Row],[Harga Beli Pcs
(-PPN)]]*Table43[[#This Row],[ISI/CTN]]</f>
        <v>245157</v>
      </c>
      <c r="AQ70" s="38">
        <f>Table43[[#This Row],[Harga Beli Pcs
(-PPN)]]*1.11</f>
        <v>22677.022500000003</v>
      </c>
      <c r="AR70" s="38">
        <f>Table43[[#This Row],[Harga Beli Krt
(- PPN)]]*1.11</f>
        <v>272124.27</v>
      </c>
      <c r="AS70" s="38">
        <v>21850</v>
      </c>
      <c r="AT70" s="38">
        <f>Table43[[#This Row],[Harga Jual Pcs GT
(-PPN)]]*Table43[[#This Row],[ISI/CTN]]</f>
        <v>262200</v>
      </c>
      <c r="AU70" s="38">
        <f>Table43[[#This Row],[Harga Jual Pcs GT
(-PPN)]]*1.11</f>
        <v>24253.500000000004</v>
      </c>
      <c r="AV70" s="38">
        <f>Table43[[#This Row],[Harga Jual Krt GT
(- PPN)]]*1.11</f>
        <v>291042</v>
      </c>
      <c r="AW70" s="38">
        <f>IFERROR(VLOOKUP(Table43[[#This Row],[Kode Pcpl]],'[1]FEB 2026'!$A$3:$X$312,24,0),0)</f>
        <v>0</v>
      </c>
      <c r="AX70" s="38">
        <f>Table43[[#This Row],[Harga Jual Pcs MT
(-PPN)]]*Table43[[#This Row],[ISI/CTN]]</f>
        <v>0</v>
      </c>
      <c r="AY70" s="38">
        <f>Table43[[#This Row],[Harga Jual Pcs MT
(-PPN)]]*1.11</f>
        <v>0</v>
      </c>
      <c r="AZ70" s="38">
        <f>Table43[[#This Row],[Harga Jual Pcs MT
(+PPN)]]*Table43[[#This Row],[ISI/CTN]]</f>
        <v>0</v>
      </c>
      <c r="BA70" s="46">
        <f>(Table43[[#This Row],[Harga Jual Pcs GT
(-PPN)]]-Table43[[#This Row],[Harga Beli Pcs
(-PPN)]])/Table43[[#This Row],[Harga Jual Pcs GT
(-PPN)]]</f>
        <v>6.5000000000000002E-2</v>
      </c>
      <c r="BB70" s="53">
        <f>Table43[[#This Row],[Harga Jual Pcs MT
(-PPN)]]-Table43[[#This Row],[Harga Beli Pcs
(-PPN)]]</f>
        <v>-20429.75</v>
      </c>
      <c r="BC70" s="54" t="e">
        <f>Table43[[#This Row],[Column1]]/Table43[[#This Row],[Harga Jual Pcs MT
(-PPN)]]</f>
        <v>#DIV/0!</v>
      </c>
      <c r="BD70" s="52"/>
      <c r="BE70" s="7"/>
      <c r="BF70" s="7" t="str">
        <f ca="1">IF(TODAY()-Table43[[#This Row],[Efektif
Pembuatan]]&gt;60,"Lama","Baru")</f>
        <v>Lama</v>
      </c>
      <c r="BG70" s="7" t="str">
        <f ca="1">IF(TODAY()-Table43[[#This Row],[Efektif Naik Harga]]&lt;30,"Naik","Sama")</f>
        <v>Sama</v>
      </c>
      <c r="BH70" s="7"/>
      <c r="BI70" s="7" t="str">
        <f>IF(Table43[[#This Row],[Kode BARANG Win2]]&lt;&gt;"","IDR","")</f>
        <v>IDR</v>
      </c>
      <c r="BJ70" s="7" t="str">
        <f>CONCATENATE(Table43[[#This Row],[kode  1 Digit
(Nomor)]],Table43[[#This Row],[kode  4 Digit                (Nomor)]])</f>
        <v>0400</v>
      </c>
      <c r="BK70" s="7" t="str">
        <f>Table43[[#This Row],[Nama            Gramasi atau Jumlah Pack per CTN]]</f>
        <v>400ML</v>
      </c>
      <c r="BL70" s="7"/>
      <c r="BM70" s="7"/>
      <c r="BN70" s="4" t="str">
        <f>IF(Table43[[#This Row],[SATUAN Fix Win]]&lt;&gt;"","KRT")</f>
        <v>KRT</v>
      </c>
      <c r="BO70" s="4" t="str">
        <f>IF(Table43[[#This Row],[SATUAN Fix Win]]&lt;&gt;"","GD01")</f>
        <v>GD01</v>
      </c>
      <c r="BP70" s="4">
        <f>IF(Table43[[#This Row],[SATUAN Fix Win]]&lt;&gt;"",11611)</f>
        <v>11611</v>
      </c>
      <c r="BQ70" s="4">
        <f>IF(Table43[[#This Row],[SATUAN Fix Win]]&lt;&gt;"",11612)</f>
        <v>11612</v>
      </c>
      <c r="BS70" s="4">
        <f>IF(Table43[[#This Row],[SATUAN Fix Win]]&lt;&gt;"",1)</f>
        <v>1</v>
      </c>
      <c r="BU70" s="4">
        <f>Table43[[#This Row],[ISI/CTN]]</f>
        <v>12</v>
      </c>
    </row>
    <row r="71" spans="1:75">
      <c r="A71" s="4" t="str">
        <f>CONCATENATE(Table43[[#This Row],[Kode BARANG Win2]],Table43[[#This Row],[No. Urut
Item Sama]])</f>
        <v>G1071006040010</v>
      </c>
      <c r="B71" s="7"/>
      <c r="C71" s="31">
        <v>30070020600000</v>
      </c>
      <c r="D71" s="59">
        <v>40060007</v>
      </c>
      <c r="E71" s="60" t="s">
        <v>1919</v>
      </c>
      <c r="F71" s="59">
        <v>30070100400000</v>
      </c>
      <c r="G71" s="59">
        <v>0</v>
      </c>
      <c r="H71" s="60" t="s">
        <v>1188</v>
      </c>
      <c r="I71" s="60">
        <v>12</v>
      </c>
      <c r="J71" s="59" t="s">
        <v>1610</v>
      </c>
      <c r="K71" s="60" t="str">
        <f>Table43[[#This Row],[NamaJenisKemasan]]</f>
        <v>KLG</v>
      </c>
      <c r="L71" s="4" t="str">
        <f>TRIM(CONCATENATE(Table43[[#This Row],[Nama            KLP]]," ",Table43[[#This Row],[Nama            Sub KLP]]))</f>
        <v>HIT AEROSOL</v>
      </c>
      <c r="M71" s="4" t="str">
        <f>CONCATENATE(Table43[[#This Row],[kode  2 Digit                (hrf+No)]],Table43[[#This Row],[kode  2 Digit                (Nomor)]],Table43[[#This Row],[kode  1 Digit                (Nomor)]])</f>
        <v>G1071</v>
      </c>
      <c r="N71" s="4" t="str">
        <f>IF(AI71="",CONCATENATE(S71,U71,W71,Y71,AA71,AC71,AE71,AG71,Table43[[#This Row],[Tanda Kode Revisi]]),CONCATENATE(S71,U71,W71,Y71,AA71,AC71,AE71,AI71))</f>
        <v>G1071006040010</v>
      </c>
      <c r="O71" s="11">
        <f t="shared" si="0"/>
        <v>14</v>
      </c>
      <c r="P71" s="14" t="str">
        <f>IF(AH71&lt;&gt;"",TRIM(UPPER(CONCATENATE(R71," ",T71," ",V71," ",X71," ",Z71," ",AB71," ","X"," ",Table43[[#This Row],[ISI/CTN]]," ",AH71," ",AD71," ",AF71," ",AJ71))),TRIM(UPPER(CONCATENATE(R71," ",T71," ",V71," ",X71," ",Z71," ",AB71," ","X"," ",Table43[[#This Row],[ISI/CTN]]," ",AD71," ",AF71," ",AJ71))))</f>
        <v>HIT AEROSOL LAVENDER BREEZE 400ML X 12 KLG</v>
      </c>
      <c r="Q71" s="11">
        <f t="shared" si="1"/>
        <v>42</v>
      </c>
      <c r="S71" s="7" t="s">
        <v>34</v>
      </c>
      <c r="T71" s="4" t="s">
        <v>2242</v>
      </c>
      <c r="U71" s="47" t="s">
        <v>2544</v>
      </c>
      <c r="V71" s="48" t="s">
        <v>2243</v>
      </c>
      <c r="W71" s="7">
        <v>1</v>
      </c>
      <c r="X71" s="48"/>
      <c r="Y71" s="47" t="s">
        <v>1116</v>
      </c>
      <c r="Z71" s="4" t="s">
        <v>2250</v>
      </c>
      <c r="AA71" s="49" t="s">
        <v>2542</v>
      </c>
      <c r="AB71" s="4" t="s">
        <v>635</v>
      </c>
      <c r="AC71" s="49" t="s">
        <v>2624</v>
      </c>
      <c r="AD71" s="4" t="s">
        <v>2221</v>
      </c>
      <c r="AE71" s="7">
        <v>1</v>
      </c>
      <c r="AG71" s="7">
        <v>0</v>
      </c>
      <c r="AK71" s="70">
        <f>Table43[[#This Row],[Column4]]</f>
        <v>30070100400000</v>
      </c>
      <c r="AN71" s="7">
        <f>Table43[[#This Row],[ISI/CTN]]</f>
        <v>12</v>
      </c>
      <c r="AO71" s="38">
        <f>Table43[[#This Row],[Harga Jual Pcs GT
(-PPN)]]-(Table43[[#This Row],[Harga Jual Pcs GT
(-PPN)]]*6.5%)</f>
        <v>20429.75</v>
      </c>
      <c r="AP71" s="38">
        <f>Table43[[#This Row],[Harga Beli Pcs
(-PPN)]]*Table43[[#This Row],[ISI/CTN]]</f>
        <v>245157</v>
      </c>
      <c r="AQ71" s="38">
        <f>Table43[[#This Row],[Harga Beli Pcs
(-PPN)]]*1.11</f>
        <v>22677.022500000003</v>
      </c>
      <c r="AR71" s="38">
        <f>Table43[[#This Row],[Harga Beli Krt
(- PPN)]]*1.11</f>
        <v>272124.27</v>
      </c>
      <c r="AS71" s="38">
        <v>21850</v>
      </c>
      <c r="AT71" s="38">
        <f>Table43[[#This Row],[Harga Jual Pcs GT
(-PPN)]]*Table43[[#This Row],[ISI/CTN]]</f>
        <v>262200</v>
      </c>
      <c r="AU71" s="38">
        <f>Table43[[#This Row],[Harga Jual Pcs GT
(-PPN)]]*1.11</f>
        <v>24253.500000000004</v>
      </c>
      <c r="AV71" s="38">
        <f>Table43[[#This Row],[Harga Jual Krt GT
(- PPN)]]*1.11</f>
        <v>291042</v>
      </c>
      <c r="AW71" s="38">
        <f>IFERROR(VLOOKUP(Table43[[#This Row],[Kode Pcpl]],'[1]FEB 2026'!$A$3:$X$312,24,0),0)</f>
        <v>0</v>
      </c>
      <c r="AX71" s="38">
        <f>Table43[[#This Row],[Harga Jual Pcs MT
(-PPN)]]*Table43[[#This Row],[ISI/CTN]]</f>
        <v>0</v>
      </c>
      <c r="AY71" s="38">
        <f>Table43[[#This Row],[Harga Jual Pcs MT
(-PPN)]]*1.11</f>
        <v>0</v>
      </c>
      <c r="AZ71" s="38">
        <f>Table43[[#This Row],[Harga Jual Pcs MT
(+PPN)]]*Table43[[#This Row],[ISI/CTN]]</f>
        <v>0</v>
      </c>
      <c r="BA71" s="46">
        <f>(Table43[[#This Row],[Harga Jual Pcs GT
(-PPN)]]-Table43[[#This Row],[Harga Beli Pcs
(-PPN)]])/Table43[[#This Row],[Harga Jual Pcs GT
(-PPN)]]</f>
        <v>6.5000000000000002E-2</v>
      </c>
      <c r="BB71" s="53">
        <f>Table43[[#This Row],[Harga Jual Pcs MT
(-PPN)]]-Table43[[#This Row],[Harga Beli Pcs
(-PPN)]]</f>
        <v>-20429.75</v>
      </c>
      <c r="BC71" s="54" t="e">
        <f>Table43[[#This Row],[Column1]]/Table43[[#This Row],[Harga Jual Pcs MT
(-PPN)]]</f>
        <v>#DIV/0!</v>
      </c>
      <c r="BD71" s="52"/>
      <c r="BE71" s="7"/>
      <c r="BF71" s="7" t="str">
        <f ca="1">IF(TODAY()-Table43[[#This Row],[Efektif
Pembuatan]]&gt;60,"Lama","Baru")</f>
        <v>Lama</v>
      </c>
      <c r="BG71" s="7" t="str">
        <f ca="1">IF(TODAY()-Table43[[#This Row],[Efektif Naik Harga]]&lt;30,"Naik","Sama")</f>
        <v>Sama</v>
      </c>
      <c r="BH71" s="7"/>
      <c r="BI71" s="7" t="str">
        <f>IF(Table43[[#This Row],[Kode BARANG Win2]]&lt;&gt;"","IDR","")</f>
        <v>IDR</v>
      </c>
      <c r="BJ71" s="7" t="str">
        <f>CONCATENATE(Table43[[#This Row],[kode  1 Digit
(Nomor)]],Table43[[#This Row],[kode  4 Digit                (Nomor)]])</f>
        <v>0400</v>
      </c>
      <c r="BK71" s="7" t="str">
        <f>Table43[[#This Row],[Nama            Gramasi atau Jumlah Pack per CTN]]</f>
        <v>400ML</v>
      </c>
      <c r="BL71" s="7"/>
      <c r="BM71" s="7"/>
      <c r="BN71" s="4" t="str">
        <f>IF(Table43[[#This Row],[SATUAN Fix Win]]&lt;&gt;"","KRT")</f>
        <v>KRT</v>
      </c>
      <c r="BO71" s="4" t="str">
        <f>IF(Table43[[#This Row],[SATUAN Fix Win]]&lt;&gt;"","GD01")</f>
        <v>GD01</v>
      </c>
      <c r="BP71" s="4">
        <f>IF(Table43[[#This Row],[SATUAN Fix Win]]&lt;&gt;"",11611)</f>
        <v>11611</v>
      </c>
      <c r="BQ71" s="4">
        <f>IF(Table43[[#This Row],[SATUAN Fix Win]]&lt;&gt;"",11612)</f>
        <v>11612</v>
      </c>
      <c r="BS71" s="4">
        <f>IF(Table43[[#This Row],[SATUAN Fix Win]]&lt;&gt;"",1)</f>
        <v>1</v>
      </c>
      <c r="BU71" s="4">
        <f>Table43[[#This Row],[ISI/CTN]]</f>
        <v>12</v>
      </c>
    </row>
    <row r="72" spans="1:75">
      <c r="A72" s="4" t="str">
        <f>CONCATENATE(Table43[[#This Row],[Kode BARANG Win2]],Table43[[#This Row],[No. Urut
Item Sama]])</f>
        <v>G1071006060010</v>
      </c>
      <c r="B72" s="7"/>
      <c r="C72" s="31">
        <v>30070020600000</v>
      </c>
      <c r="D72" s="51">
        <v>40050322</v>
      </c>
      <c r="E72" s="27" t="s">
        <v>1920</v>
      </c>
      <c r="F72" s="51">
        <v>30070100600000</v>
      </c>
      <c r="G72" s="51">
        <v>0</v>
      </c>
      <c r="H72" s="27" t="s">
        <v>1189</v>
      </c>
      <c r="I72" s="27">
        <v>12</v>
      </c>
      <c r="J72" s="51" t="s">
        <v>1611</v>
      </c>
      <c r="K72" s="27" t="str">
        <f>Table43[[#This Row],[NamaJenisKemasan]]</f>
        <v>KLG</v>
      </c>
      <c r="L72" s="4" t="str">
        <f>TRIM(CONCATENATE(Table43[[#This Row],[Nama            KLP]]," ",Table43[[#This Row],[Nama            Sub KLP]]))</f>
        <v>HIT AEROSOL</v>
      </c>
      <c r="M72" s="4" t="str">
        <f>CONCATENATE(Table43[[#This Row],[kode  2 Digit                (hrf+No)]],Table43[[#This Row],[kode  2 Digit                (Nomor)]],Table43[[#This Row],[kode  1 Digit                (Nomor)]])</f>
        <v>G1071</v>
      </c>
      <c r="N72" s="4" t="str">
        <f>IF(AI72="",CONCATENATE(S72,U72,W72,Y72,AA72,AC72,AE72,AG72,Table43[[#This Row],[Tanda Kode Revisi]]),CONCATENATE(S72,U72,W72,Y72,AA72,AC72,AE72,AI72))</f>
        <v>G1071006060010</v>
      </c>
      <c r="O72" s="11">
        <f t="shared" si="0"/>
        <v>14</v>
      </c>
      <c r="P72" s="14" t="str">
        <f>IF(AH72&lt;&gt;"",TRIM(UPPER(CONCATENATE(R72," ",T72," ",V72," ",X72," ",Z72," ",AB72," ","X"," ",Table43[[#This Row],[ISI/CTN]]," ",AH72," ",AD72," ",AF72," ",AJ72))),TRIM(UPPER(CONCATENATE(R72," ",T72," ",V72," ",X72," ",Z72," ",AB72," ","X"," ",Table43[[#This Row],[ISI/CTN]]," ",AD72," ",AF72," ",AJ72))))</f>
        <v>HIT AEROSOL LAVENDER BREEZE 600ML X 12 KLG</v>
      </c>
      <c r="Q72" s="11">
        <f t="shared" si="1"/>
        <v>42</v>
      </c>
      <c r="S72" s="7" t="s">
        <v>34</v>
      </c>
      <c r="T72" s="4" t="s">
        <v>2242</v>
      </c>
      <c r="U72" s="47" t="s">
        <v>2544</v>
      </c>
      <c r="V72" s="48" t="s">
        <v>2243</v>
      </c>
      <c r="W72" s="7">
        <v>1</v>
      </c>
      <c r="X72" s="48"/>
      <c r="Y72" s="47" t="s">
        <v>1116</v>
      </c>
      <c r="Z72" s="4" t="s">
        <v>2250</v>
      </c>
      <c r="AA72" s="49" t="s">
        <v>2542</v>
      </c>
      <c r="AB72" s="4" t="s">
        <v>2246</v>
      </c>
      <c r="AC72" s="49" t="s">
        <v>2632</v>
      </c>
      <c r="AD72" s="4" t="s">
        <v>2221</v>
      </c>
      <c r="AE72" s="7">
        <v>1</v>
      </c>
      <c r="AG72" s="7">
        <v>0</v>
      </c>
      <c r="AK72" s="70">
        <f>Table43[[#This Row],[Column4]]</f>
        <v>30070100600000</v>
      </c>
      <c r="AN72" s="7">
        <f>Table43[[#This Row],[ISI/CTN]]</f>
        <v>12</v>
      </c>
      <c r="AO72" s="38">
        <f>Table43[[#This Row],[Harga Jual Pcs GT
(-PPN)]]-(Table43[[#This Row],[Harga Jual Pcs GT
(-PPN)]]*6.5%)</f>
        <v>27115</v>
      </c>
      <c r="AP72" s="38">
        <f>Table43[[#This Row],[Harga Beli Pcs
(-PPN)]]*Table43[[#This Row],[ISI/CTN]]</f>
        <v>325380</v>
      </c>
      <c r="AQ72" s="38">
        <f>Table43[[#This Row],[Harga Beli Pcs
(-PPN)]]*1.11</f>
        <v>30097.65</v>
      </c>
      <c r="AR72" s="38">
        <f>Table43[[#This Row],[Harga Beli Krt
(- PPN)]]*1.11</f>
        <v>361171.80000000005</v>
      </c>
      <c r="AS72" s="38">
        <v>29000</v>
      </c>
      <c r="AT72" s="38">
        <f>Table43[[#This Row],[Harga Jual Pcs GT
(-PPN)]]*Table43[[#This Row],[ISI/CTN]]</f>
        <v>348000</v>
      </c>
      <c r="AU72" s="38">
        <f>Table43[[#This Row],[Harga Jual Pcs GT
(-PPN)]]*1.11</f>
        <v>32190.000000000004</v>
      </c>
      <c r="AV72" s="38">
        <f>Table43[[#This Row],[Harga Jual Krt GT
(- PPN)]]*1.11</f>
        <v>386280.00000000006</v>
      </c>
      <c r="AW72" s="38">
        <f>IFERROR(VLOOKUP(Table43[[#This Row],[Kode Pcpl]],'[1]FEB 2026'!$A$3:$X$312,24,0),0)</f>
        <v>0</v>
      </c>
      <c r="AX72" s="38">
        <f>Table43[[#This Row],[Harga Jual Pcs MT
(-PPN)]]*Table43[[#This Row],[ISI/CTN]]</f>
        <v>0</v>
      </c>
      <c r="AY72" s="38">
        <f>Table43[[#This Row],[Harga Jual Pcs MT
(-PPN)]]*1.11</f>
        <v>0</v>
      </c>
      <c r="AZ72" s="38">
        <f>Table43[[#This Row],[Harga Jual Pcs MT
(+PPN)]]*Table43[[#This Row],[ISI/CTN]]</f>
        <v>0</v>
      </c>
      <c r="BA72" s="46">
        <f>(Table43[[#This Row],[Harga Jual Pcs GT
(-PPN)]]-Table43[[#This Row],[Harga Beli Pcs
(-PPN)]])/Table43[[#This Row],[Harga Jual Pcs GT
(-PPN)]]</f>
        <v>6.5000000000000002E-2</v>
      </c>
      <c r="BB72" s="53">
        <f>Table43[[#This Row],[Harga Jual Pcs MT
(-PPN)]]-Table43[[#This Row],[Harga Beli Pcs
(-PPN)]]</f>
        <v>-27115</v>
      </c>
      <c r="BC72" s="54" t="e">
        <f>Table43[[#This Row],[Column1]]/Table43[[#This Row],[Harga Jual Pcs MT
(-PPN)]]</f>
        <v>#DIV/0!</v>
      </c>
      <c r="BD72" s="52"/>
      <c r="BE72" s="7"/>
      <c r="BF72" s="7" t="str">
        <f ca="1">IF(TODAY()-Table43[[#This Row],[Efektif
Pembuatan]]&gt;60,"Lama","Baru")</f>
        <v>Lama</v>
      </c>
      <c r="BG72" s="7" t="str">
        <f ca="1">IF(TODAY()-Table43[[#This Row],[Efektif Naik Harga]]&lt;30,"Naik","Sama")</f>
        <v>Sama</v>
      </c>
      <c r="BH72" s="7"/>
      <c r="BI72" s="7" t="str">
        <f>IF(Table43[[#This Row],[Kode BARANG Win2]]&lt;&gt;"","IDR","")</f>
        <v>IDR</v>
      </c>
      <c r="BJ72" s="7" t="str">
        <f>CONCATENATE(Table43[[#This Row],[kode  1 Digit
(Nomor)]],Table43[[#This Row],[kode  4 Digit                (Nomor)]])</f>
        <v>0600</v>
      </c>
      <c r="BK72" s="7" t="str">
        <f>Table43[[#This Row],[Nama            Gramasi atau Jumlah Pack per CTN]]</f>
        <v>600ML</v>
      </c>
      <c r="BL72" s="7"/>
      <c r="BM72" s="7"/>
      <c r="BN72" s="4" t="str">
        <f>IF(Table43[[#This Row],[SATUAN Fix Win]]&lt;&gt;"","KRT")</f>
        <v>KRT</v>
      </c>
      <c r="BO72" s="4" t="str">
        <f>IF(Table43[[#This Row],[SATUAN Fix Win]]&lt;&gt;"","GD01")</f>
        <v>GD01</v>
      </c>
      <c r="BP72" s="4">
        <f>IF(Table43[[#This Row],[SATUAN Fix Win]]&lt;&gt;"",11611)</f>
        <v>11611</v>
      </c>
      <c r="BQ72" s="4">
        <f>IF(Table43[[#This Row],[SATUAN Fix Win]]&lt;&gt;"",11612)</f>
        <v>11612</v>
      </c>
      <c r="BS72" s="4">
        <f>IF(Table43[[#This Row],[SATUAN Fix Win]]&lt;&gt;"",1)</f>
        <v>1</v>
      </c>
      <c r="BU72" s="4">
        <f>Table43[[#This Row],[ISI/CTN]]</f>
        <v>12</v>
      </c>
    </row>
    <row r="73" spans="1:75">
      <c r="A73" s="4" t="str">
        <f>CONCATENATE(Table43[[#This Row],[Kode BARANG Win2]],Table43[[#This Row],[No. Urut
Item Sama]])</f>
        <v>G1071006060010</v>
      </c>
      <c r="B73" s="7"/>
      <c r="C73" s="31">
        <v>30070020750000</v>
      </c>
      <c r="D73" s="59">
        <v>40060010</v>
      </c>
      <c r="E73" s="60" t="s">
        <v>1920</v>
      </c>
      <c r="F73" s="51">
        <v>30070100600000</v>
      </c>
      <c r="G73" s="59">
        <v>0</v>
      </c>
      <c r="H73" s="60" t="s">
        <v>1190</v>
      </c>
      <c r="I73" s="60">
        <v>12</v>
      </c>
      <c r="J73" s="59" t="s">
        <v>1611</v>
      </c>
      <c r="K73" s="60" t="str">
        <f>Table43[[#This Row],[NamaJenisKemasan]]</f>
        <v>KLG</v>
      </c>
      <c r="L73" s="4" t="str">
        <f>TRIM(CONCATENATE(Table43[[#This Row],[Nama            KLP]]," ",Table43[[#This Row],[Nama            Sub KLP]]))</f>
        <v>HIT AEROSOL</v>
      </c>
      <c r="M73" s="4" t="str">
        <f>CONCATENATE(Table43[[#This Row],[kode  2 Digit                (hrf+No)]],Table43[[#This Row],[kode  2 Digit                (Nomor)]],Table43[[#This Row],[kode  1 Digit                (Nomor)]])</f>
        <v>G1071</v>
      </c>
      <c r="N73" s="4" t="str">
        <f>IF(AI73="",CONCATENATE(S73,U73,W73,Y73,AA73,AC73,AE73,AG73,Table43[[#This Row],[Tanda Kode Revisi]]),CONCATENATE(S73,U73,W73,Y73,AA73,AC73,AE73,AI73))</f>
        <v>G1071006060010</v>
      </c>
      <c r="O73" s="11">
        <f t="shared" si="0"/>
        <v>14</v>
      </c>
      <c r="P73" s="14" t="str">
        <f>IF(AH73&lt;&gt;"",TRIM(UPPER(CONCATENATE(R73," ",T73," ",V73," ",X73," ",Z73," ",AB73," ","X"," ",Table43[[#This Row],[ISI/CTN]]," ",AH73," ",AD73," ",AF73," ",AJ73))),TRIM(UPPER(CONCATENATE(R73," ",T73," ",V73," ",X73," ",Z73," ",AB73," ","X"," ",Table43[[#This Row],[ISI/CTN]]," ",AD73," ",AF73," ",AJ73))))</f>
        <v>HIT AEROSOL LAVENDER BREEZE 600ML X 12 KLG</v>
      </c>
      <c r="Q73" s="11">
        <f t="shared" si="1"/>
        <v>42</v>
      </c>
      <c r="S73" s="7" t="s">
        <v>34</v>
      </c>
      <c r="T73" s="4" t="s">
        <v>2242</v>
      </c>
      <c r="U73" s="47" t="s">
        <v>2544</v>
      </c>
      <c r="V73" s="48" t="s">
        <v>2243</v>
      </c>
      <c r="W73" s="7">
        <v>1</v>
      </c>
      <c r="X73" s="48"/>
      <c r="Y73" s="47" t="s">
        <v>1116</v>
      </c>
      <c r="Z73" s="4" t="s">
        <v>2250</v>
      </c>
      <c r="AA73" s="49" t="s">
        <v>2542</v>
      </c>
      <c r="AB73" s="4" t="s">
        <v>2246</v>
      </c>
      <c r="AC73" s="49" t="s">
        <v>2632</v>
      </c>
      <c r="AD73" s="4" t="s">
        <v>2221</v>
      </c>
      <c r="AE73" s="7">
        <v>1</v>
      </c>
      <c r="AG73" s="7">
        <v>0</v>
      </c>
      <c r="AK73" s="70">
        <f>Table43[[#This Row],[Column4]]</f>
        <v>30070100600000</v>
      </c>
      <c r="AN73" s="7">
        <f>Table43[[#This Row],[ISI/CTN]]</f>
        <v>12</v>
      </c>
      <c r="AO73" s="38">
        <f>Table43[[#This Row],[Harga Jual Pcs GT
(-PPN)]]-(Table43[[#This Row],[Harga Jual Pcs GT
(-PPN)]]*6.5%)</f>
        <v>27115</v>
      </c>
      <c r="AP73" s="38">
        <f>Table43[[#This Row],[Harga Beli Pcs
(-PPN)]]*Table43[[#This Row],[ISI/CTN]]</f>
        <v>325380</v>
      </c>
      <c r="AQ73" s="38">
        <f>Table43[[#This Row],[Harga Beli Pcs
(-PPN)]]*1.11</f>
        <v>30097.65</v>
      </c>
      <c r="AR73" s="38">
        <f>Table43[[#This Row],[Harga Beli Krt
(- PPN)]]*1.11</f>
        <v>361171.80000000005</v>
      </c>
      <c r="AS73" s="38">
        <v>29000</v>
      </c>
      <c r="AT73" s="38">
        <f>Table43[[#This Row],[Harga Jual Pcs GT
(-PPN)]]*Table43[[#This Row],[ISI/CTN]]</f>
        <v>348000</v>
      </c>
      <c r="AU73" s="38">
        <f>Table43[[#This Row],[Harga Jual Pcs GT
(-PPN)]]*1.11</f>
        <v>32190.000000000004</v>
      </c>
      <c r="AV73" s="38">
        <f>Table43[[#This Row],[Harga Jual Krt GT
(- PPN)]]*1.11</f>
        <v>386280.00000000006</v>
      </c>
      <c r="AW73" s="38">
        <f>IFERROR(VLOOKUP(Table43[[#This Row],[Kode Pcpl]],'[1]FEB 2026'!$A$3:$X$312,24,0),0)</f>
        <v>0</v>
      </c>
      <c r="AX73" s="38">
        <f>Table43[[#This Row],[Harga Jual Pcs MT
(-PPN)]]*Table43[[#This Row],[ISI/CTN]]</f>
        <v>0</v>
      </c>
      <c r="AY73" s="38">
        <f>Table43[[#This Row],[Harga Jual Pcs MT
(-PPN)]]*1.11</f>
        <v>0</v>
      </c>
      <c r="AZ73" s="38">
        <f>Table43[[#This Row],[Harga Jual Pcs MT
(+PPN)]]*Table43[[#This Row],[ISI/CTN]]</f>
        <v>0</v>
      </c>
      <c r="BA73" s="46">
        <f>(Table43[[#This Row],[Harga Jual Pcs GT
(-PPN)]]-Table43[[#This Row],[Harga Beli Pcs
(-PPN)]])/Table43[[#This Row],[Harga Jual Pcs GT
(-PPN)]]</f>
        <v>6.5000000000000002E-2</v>
      </c>
      <c r="BB73" s="53">
        <f>Table43[[#This Row],[Harga Jual Pcs MT
(-PPN)]]-Table43[[#This Row],[Harga Beli Pcs
(-PPN)]]</f>
        <v>-27115</v>
      </c>
      <c r="BC73" s="54" t="e">
        <f>Table43[[#This Row],[Column1]]/Table43[[#This Row],[Harga Jual Pcs MT
(-PPN)]]</f>
        <v>#DIV/0!</v>
      </c>
      <c r="BD73" s="52"/>
      <c r="BE73" s="7"/>
      <c r="BF73" s="7" t="str">
        <f ca="1">IF(TODAY()-Table43[[#This Row],[Efektif
Pembuatan]]&gt;60,"Lama","Baru")</f>
        <v>Lama</v>
      </c>
      <c r="BG73" s="7" t="str">
        <f ca="1">IF(TODAY()-Table43[[#This Row],[Efektif Naik Harga]]&lt;30,"Naik","Sama")</f>
        <v>Sama</v>
      </c>
      <c r="BH73" s="7"/>
      <c r="BI73" s="7" t="str">
        <f>IF(Table43[[#This Row],[Kode BARANG Win2]]&lt;&gt;"","IDR","")</f>
        <v>IDR</v>
      </c>
      <c r="BJ73" s="7" t="str">
        <f>CONCATENATE(Table43[[#This Row],[kode  1 Digit
(Nomor)]],Table43[[#This Row],[kode  4 Digit                (Nomor)]])</f>
        <v>0600</v>
      </c>
      <c r="BK73" s="7" t="str">
        <f>Table43[[#This Row],[Nama            Gramasi atau Jumlah Pack per CTN]]</f>
        <v>600ML</v>
      </c>
      <c r="BL73" s="7"/>
      <c r="BM73" s="7"/>
      <c r="BN73" s="4" t="str">
        <f>IF(Table43[[#This Row],[SATUAN Fix Win]]&lt;&gt;"","KRT")</f>
        <v>KRT</v>
      </c>
      <c r="BO73" s="4" t="str">
        <f>IF(Table43[[#This Row],[SATUAN Fix Win]]&lt;&gt;"","GD01")</f>
        <v>GD01</v>
      </c>
      <c r="BP73" s="4">
        <f>IF(Table43[[#This Row],[SATUAN Fix Win]]&lt;&gt;"",11611)</f>
        <v>11611</v>
      </c>
      <c r="BQ73" s="4">
        <f>IF(Table43[[#This Row],[SATUAN Fix Win]]&lt;&gt;"",11612)</f>
        <v>11612</v>
      </c>
      <c r="BS73" s="4">
        <f>IF(Table43[[#This Row],[SATUAN Fix Win]]&lt;&gt;"",1)</f>
        <v>1</v>
      </c>
      <c r="BU73" s="4">
        <f>Table43[[#This Row],[ISI/CTN]]</f>
        <v>12</v>
      </c>
    </row>
    <row r="74" spans="1:75">
      <c r="A74" s="4" t="str">
        <f>CONCATENATE(Table43[[#This Row],[Kode BARANG Win2]],Table43[[#This Row],[No. Urut
Item Sama]])</f>
        <v>G1071006075010</v>
      </c>
      <c r="B74" s="7"/>
      <c r="C74" s="31">
        <v>30070090600000</v>
      </c>
      <c r="D74" s="51">
        <v>40057355</v>
      </c>
      <c r="E74" s="27" t="s">
        <v>1922</v>
      </c>
      <c r="F74" s="51">
        <v>30070110750000</v>
      </c>
      <c r="G74" s="51">
        <v>0</v>
      </c>
      <c r="H74" s="27" t="s">
        <v>1192</v>
      </c>
      <c r="I74" s="27">
        <v>12</v>
      </c>
      <c r="J74" s="59" t="s">
        <v>1613</v>
      </c>
      <c r="K74" s="27" t="str">
        <f>Table43[[#This Row],[NamaJenisKemasan]]</f>
        <v>KLG</v>
      </c>
      <c r="L74" s="4" t="str">
        <f>TRIM(CONCATENATE(Table43[[#This Row],[Nama            KLP]]," ",Table43[[#This Row],[Nama            Sub KLP]]))</f>
        <v>HIT AEROSOL</v>
      </c>
      <c r="M74" s="4" t="str">
        <f>CONCATENATE(Table43[[#This Row],[kode  2 Digit                (hrf+No)]],Table43[[#This Row],[kode  2 Digit                (Nomor)]],Table43[[#This Row],[kode  1 Digit                (Nomor)]])</f>
        <v>G1071</v>
      </c>
      <c r="N74" s="4" t="str">
        <f>IF(AI74="",CONCATENATE(S74,U74,W74,Y74,AA74,AC74,AE74,AG74,Table43[[#This Row],[Tanda Kode Revisi]]),CONCATENATE(S74,U74,W74,Y74,AA74,AC74,AE74,AI74))</f>
        <v>G1071006075010</v>
      </c>
      <c r="O74" s="11">
        <f t="shared" si="0"/>
        <v>14</v>
      </c>
      <c r="P74" s="14" t="str">
        <f>IF(AH74&lt;&gt;"",TRIM(UPPER(CONCATENATE(R74," ",T74," ",V74," ",X74," ",Z74," ",AB74," ","X"," ",Table43[[#This Row],[ISI/CTN]]," ",AH74," ",AD74," ",AF74," ",AJ74))),TRIM(UPPER(CONCATENATE(R74," ",T74," ",V74," ",X74," ",Z74," ",AB74," ","X"," ",Table43[[#This Row],[ISI/CTN]]," ",AD74," ",AF74," ",AJ74))))</f>
        <v>HIT AEROSOL LAVENDER BREEZE 750ML X 12 KLG</v>
      </c>
      <c r="Q74" s="11">
        <f t="shared" si="1"/>
        <v>42</v>
      </c>
      <c r="S74" s="7" t="s">
        <v>34</v>
      </c>
      <c r="T74" s="4" t="s">
        <v>2242</v>
      </c>
      <c r="U74" s="47" t="s">
        <v>2544</v>
      </c>
      <c r="V74" s="48" t="s">
        <v>2243</v>
      </c>
      <c r="W74" s="7">
        <v>1</v>
      </c>
      <c r="X74" s="48"/>
      <c r="Y74" s="47" t="s">
        <v>1116</v>
      </c>
      <c r="Z74" s="4" t="s">
        <v>2250</v>
      </c>
      <c r="AA74" s="49" t="s">
        <v>2542</v>
      </c>
      <c r="AB74" s="4" t="s">
        <v>2259</v>
      </c>
      <c r="AC74" s="49" t="s">
        <v>2637</v>
      </c>
      <c r="AD74" s="4" t="s">
        <v>2221</v>
      </c>
      <c r="AE74" s="7">
        <v>1</v>
      </c>
      <c r="AG74" s="7">
        <v>0</v>
      </c>
      <c r="AK74" s="70">
        <f>Table43[[#This Row],[Column4]]</f>
        <v>30070110750000</v>
      </c>
      <c r="AN74" s="7">
        <f>Table43[[#This Row],[ISI/CTN]]</f>
        <v>12</v>
      </c>
      <c r="AO74" s="61">
        <f>Table43[[#This Row],[Harga Jual Pcs GT
(-PPN)]]-(Table43[[#This Row],[Harga Jual Pcs GT
(-PPN)]]*6.5%)</f>
        <v>35191.53</v>
      </c>
      <c r="AP74" s="61">
        <f>Table43[[#This Row],[Harga Beli Pcs
(-PPN)]]*Table43[[#This Row],[ISI/CTN]]</f>
        <v>422298.36</v>
      </c>
      <c r="AQ74" s="61">
        <f>Table43[[#This Row],[Harga Beli Pcs
(-PPN)]]*1.11</f>
        <v>39062.598300000005</v>
      </c>
      <c r="AR74" s="61">
        <f>Table43[[#This Row],[Harga Beli Krt
(- PPN)]]*1.11</f>
        <v>468751.17960000003</v>
      </c>
      <c r="AS74" s="61">
        <v>37638</v>
      </c>
      <c r="AT74" s="61">
        <f>Table43[[#This Row],[Harga Jual Pcs GT
(-PPN)]]*Table43[[#This Row],[ISI/CTN]]</f>
        <v>451656</v>
      </c>
      <c r="AU74" s="61">
        <f>Table43[[#This Row],[Harga Jual Pcs GT
(-PPN)]]*1.11</f>
        <v>41778.18</v>
      </c>
      <c r="AV74" s="61">
        <f>Table43[[#This Row],[Harga Jual Krt GT
(- PPN)]]*1.11</f>
        <v>501338.16000000003</v>
      </c>
      <c r="AW74" s="61">
        <f>IFERROR(VLOOKUP(Table43[[#This Row],[Kode Pcpl]],'[1]FEB 2026'!$A$3:$X$312,24,0),0)</f>
        <v>0</v>
      </c>
      <c r="AX74" s="61">
        <f>Table43[[#This Row],[Harga Jual Pcs MT
(-PPN)]]*Table43[[#This Row],[ISI/CTN]]</f>
        <v>0</v>
      </c>
      <c r="AY74" s="61">
        <f>Table43[[#This Row],[Harga Jual Pcs MT
(-PPN)]]*1.11</f>
        <v>0</v>
      </c>
      <c r="AZ74" s="61">
        <f>Table43[[#This Row],[Harga Jual Pcs MT
(+PPN)]]*Table43[[#This Row],[ISI/CTN]]</f>
        <v>0</v>
      </c>
      <c r="BA74" s="62">
        <f>(Table43[[#This Row],[Harga Jual Pcs GT
(-PPN)]]-Table43[[#This Row],[Harga Beli Pcs
(-PPN)]])/Table43[[#This Row],[Harga Jual Pcs GT
(-PPN)]]</f>
        <v>6.500000000000003E-2</v>
      </c>
      <c r="BB74" s="63">
        <f>Table43[[#This Row],[Harga Jual Pcs MT
(-PPN)]]-Table43[[#This Row],[Harga Beli Pcs
(-PPN)]]</f>
        <v>-35191.53</v>
      </c>
      <c r="BC74" s="64" t="e">
        <f>Table43[[#This Row],[Column1]]/Table43[[#This Row],[Harga Jual Pcs MT
(-PPN)]]</f>
        <v>#DIV/0!</v>
      </c>
      <c r="BD74" s="52"/>
      <c r="BE74" s="7"/>
      <c r="BF74" s="7" t="str">
        <f ca="1">IF(TODAY()-Table43[[#This Row],[Efektif
Pembuatan]]&gt;60,"Lama","Baru")</f>
        <v>Lama</v>
      </c>
      <c r="BG74" s="7" t="str">
        <f ca="1">IF(TODAY()-Table43[[#This Row],[Efektif Naik Harga]]&lt;30,"Naik","Sama")</f>
        <v>Sama</v>
      </c>
      <c r="BH74" s="7"/>
      <c r="BI74" s="7" t="str">
        <f>IF(Table43[[#This Row],[Kode BARANG Win2]]&lt;&gt;"","IDR","")</f>
        <v>IDR</v>
      </c>
      <c r="BJ74" s="7" t="str">
        <f>CONCATENATE(Table43[[#This Row],[kode  1 Digit
(Nomor)]],Table43[[#This Row],[kode  4 Digit                (Nomor)]])</f>
        <v>0750</v>
      </c>
      <c r="BK74" s="7" t="str">
        <f>Table43[[#This Row],[Nama            Gramasi atau Jumlah Pack per CTN]]</f>
        <v>750ML</v>
      </c>
      <c r="BL74" s="7"/>
      <c r="BM74" s="7"/>
      <c r="BN74" s="4" t="str">
        <f>IF(Table43[[#This Row],[SATUAN Fix Win]]&lt;&gt;"","KRT")</f>
        <v>KRT</v>
      </c>
      <c r="BO74" s="4" t="str">
        <f>IF(Table43[[#This Row],[SATUAN Fix Win]]&lt;&gt;"","GD01")</f>
        <v>GD01</v>
      </c>
      <c r="BP74" s="4">
        <f>IF(Table43[[#This Row],[SATUAN Fix Win]]&lt;&gt;"",11611)</f>
        <v>11611</v>
      </c>
      <c r="BQ74" s="4">
        <f>IF(Table43[[#This Row],[SATUAN Fix Win]]&lt;&gt;"",11612)</f>
        <v>11612</v>
      </c>
      <c r="BS74" s="4">
        <f>IF(Table43[[#This Row],[SATUAN Fix Win]]&lt;&gt;"",1)</f>
        <v>1</v>
      </c>
      <c r="BU74" s="4">
        <f>Table43[[#This Row],[ISI/CTN]]</f>
        <v>12</v>
      </c>
    </row>
    <row r="75" spans="1:75">
      <c r="A75" s="4" t="str">
        <f>CONCATENATE(Table43[[#This Row],[Kode BARANG Win2]],Table43[[#This Row],[No. Urut
Item Sama]])</f>
        <v>G1071007015010</v>
      </c>
      <c r="B75" s="7"/>
      <c r="C75" s="31">
        <v>30070090600000</v>
      </c>
      <c r="D75" s="51">
        <v>40060017</v>
      </c>
      <c r="E75" s="27" t="s">
        <v>1899</v>
      </c>
      <c r="F75" s="51">
        <v>30070010150000</v>
      </c>
      <c r="G75" s="51">
        <v>0</v>
      </c>
      <c r="H75" s="27" t="s">
        <v>1149</v>
      </c>
      <c r="I75" s="27">
        <v>24</v>
      </c>
      <c r="J75" s="59" t="s">
        <v>1591</v>
      </c>
      <c r="K75" s="27" t="str">
        <f>Table43[[#This Row],[NamaJenisKemasan]]</f>
        <v>KLG</v>
      </c>
      <c r="L75" s="4" t="str">
        <f>TRIM(CONCATENATE(Table43[[#This Row],[Nama            KLP]]," ",Table43[[#This Row],[Nama            Sub KLP]]))</f>
        <v>HIT AEROSOL</v>
      </c>
      <c r="M75" s="4" t="str">
        <f>CONCATENATE(Table43[[#This Row],[kode  2 Digit                (hrf+No)]],Table43[[#This Row],[kode  2 Digit                (Nomor)]],Table43[[#This Row],[kode  1 Digit                (Nomor)]])</f>
        <v>G1071</v>
      </c>
      <c r="N75" s="4" t="str">
        <f>IF(AI75="",CONCATENATE(S75,U75,W75,Y75,AA75,AC75,AE75,AG75,Table43[[#This Row],[Tanda Kode Revisi]]),CONCATENATE(S75,U75,W75,Y75,AA75,AC75,AE75,AI75))</f>
        <v>G1071007015010</v>
      </c>
      <c r="O75" s="11">
        <f t="shared" si="0"/>
        <v>14</v>
      </c>
      <c r="P75" s="14" t="str">
        <f>IF(AH75&lt;&gt;"",TRIM(UPPER(CONCATENATE(R75," ",T75," ",V75," ",X75," ",Z75," ",AB75," ","X"," ",Table43[[#This Row],[ISI/CTN]]," ",AH75," ",AD75," ",AF75," ",AJ75))),TRIM(UPPER(CONCATENATE(R75," ",T75," ",V75," ",X75," ",Z75," ",AB75," ","X"," ",Table43[[#This Row],[ISI/CTN]]," ",AD75," ",AF75," ",AJ75))))</f>
        <v>HIT AEROSOL LILY BLOSSOM 150ML X 24 KLG</v>
      </c>
      <c r="Q75" s="11">
        <f t="shared" si="1"/>
        <v>39</v>
      </c>
      <c r="S75" s="7" t="s">
        <v>34</v>
      </c>
      <c r="T75" s="4" t="s">
        <v>2242</v>
      </c>
      <c r="U75" s="47" t="s">
        <v>2544</v>
      </c>
      <c r="V75" s="48" t="s">
        <v>2243</v>
      </c>
      <c r="W75" s="7">
        <v>1</v>
      </c>
      <c r="X75" s="48"/>
      <c r="Y75" s="47" t="s">
        <v>1116</v>
      </c>
      <c r="Z75" s="4" t="s">
        <v>2249</v>
      </c>
      <c r="AA75" s="49" t="s">
        <v>2544</v>
      </c>
      <c r="AB75" s="4" t="s">
        <v>2260</v>
      </c>
      <c r="AC75" s="49" t="s">
        <v>2597</v>
      </c>
      <c r="AD75" s="4" t="s">
        <v>2221</v>
      </c>
      <c r="AE75" s="7">
        <v>1</v>
      </c>
      <c r="AG75" s="7">
        <v>0</v>
      </c>
      <c r="AK75" s="70">
        <f>Table43[[#This Row],[Column4]]</f>
        <v>30070010150000</v>
      </c>
      <c r="AN75" s="7">
        <f>Table43[[#This Row],[ISI/CTN]]</f>
        <v>24</v>
      </c>
      <c r="AO75" s="61">
        <f>Table43[[#This Row],[Harga Jual Pcs GT
(-PPN)]]-(Table43[[#This Row],[Harga Jual Pcs GT
(-PPN)]]*6.5%)</f>
        <v>9256.5</v>
      </c>
      <c r="AP75" s="61">
        <f>Table43[[#This Row],[Harga Beli Pcs
(-PPN)]]*Table43[[#This Row],[ISI/CTN]]</f>
        <v>222156</v>
      </c>
      <c r="AQ75" s="61">
        <f>Table43[[#This Row],[Harga Beli Pcs
(-PPN)]]*1.11</f>
        <v>10274.715</v>
      </c>
      <c r="AR75" s="61">
        <f>Table43[[#This Row],[Harga Beli Krt
(- PPN)]]*1.11</f>
        <v>246593.16000000003</v>
      </c>
      <c r="AS75" s="61">
        <v>9900</v>
      </c>
      <c r="AT75" s="61">
        <f>Table43[[#This Row],[Harga Jual Pcs GT
(-PPN)]]*Table43[[#This Row],[ISI/CTN]]</f>
        <v>237600</v>
      </c>
      <c r="AU75" s="61">
        <f>Table43[[#This Row],[Harga Jual Pcs GT
(-PPN)]]*1.11</f>
        <v>10989.000000000002</v>
      </c>
      <c r="AV75" s="61">
        <f>Table43[[#This Row],[Harga Jual Krt GT
(- PPN)]]*1.11</f>
        <v>263736</v>
      </c>
      <c r="AW75" s="61">
        <f>IFERROR(VLOOKUP(Table43[[#This Row],[Kode Pcpl]],'[1]FEB 2026'!$A$3:$X$312,24,0),0)</f>
        <v>0</v>
      </c>
      <c r="AX75" s="61">
        <f>Table43[[#This Row],[Harga Jual Pcs MT
(-PPN)]]*Table43[[#This Row],[ISI/CTN]]</f>
        <v>0</v>
      </c>
      <c r="AY75" s="61">
        <f>Table43[[#This Row],[Harga Jual Pcs MT
(-PPN)]]*1.11</f>
        <v>0</v>
      </c>
      <c r="AZ75" s="61">
        <f>Table43[[#This Row],[Harga Jual Pcs MT
(+PPN)]]*Table43[[#This Row],[ISI/CTN]]</f>
        <v>0</v>
      </c>
      <c r="BA75" s="62">
        <f>(Table43[[#This Row],[Harga Jual Pcs GT
(-PPN)]]-Table43[[#This Row],[Harga Beli Pcs
(-PPN)]])/Table43[[#This Row],[Harga Jual Pcs GT
(-PPN)]]</f>
        <v>6.5000000000000002E-2</v>
      </c>
      <c r="BB75" s="63">
        <f>Table43[[#This Row],[Harga Jual Pcs MT
(-PPN)]]-Table43[[#This Row],[Harga Beli Pcs
(-PPN)]]</f>
        <v>-9256.5</v>
      </c>
      <c r="BC75" s="64" t="e">
        <f>Table43[[#This Row],[Column1]]/Table43[[#This Row],[Harga Jual Pcs MT
(-PPN)]]</f>
        <v>#DIV/0!</v>
      </c>
      <c r="BD75" s="52"/>
      <c r="BE75" s="7"/>
      <c r="BF75" s="7" t="str">
        <f ca="1">IF(TODAY()-Table43[[#This Row],[Efektif
Pembuatan]]&gt;60,"Lama","Baru")</f>
        <v>Lama</v>
      </c>
      <c r="BG75" s="7" t="str">
        <f ca="1">IF(TODAY()-Table43[[#This Row],[Efektif Naik Harga]]&lt;30,"Naik","Sama")</f>
        <v>Sama</v>
      </c>
      <c r="BH75" s="7"/>
      <c r="BI75" s="7" t="str">
        <f>IF(Table43[[#This Row],[Kode BARANG Win2]]&lt;&gt;"","IDR","")</f>
        <v>IDR</v>
      </c>
      <c r="BJ75" s="7" t="str">
        <f>CONCATENATE(Table43[[#This Row],[kode  1 Digit
(Nomor)]],Table43[[#This Row],[kode  4 Digit                (Nomor)]])</f>
        <v>0150</v>
      </c>
      <c r="BK75" s="7" t="str">
        <f>Table43[[#This Row],[Nama            Gramasi atau Jumlah Pack per CTN]]</f>
        <v>150ML</v>
      </c>
      <c r="BL75" s="7"/>
      <c r="BM75" s="7"/>
      <c r="BN75" s="4" t="str">
        <f>IF(Table43[[#This Row],[SATUAN Fix Win]]&lt;&gt;"","KRT")</f>
        <v>KRT</v>
      </c>
      <c r="BO75" s="4" t="str">
        <f>IF(Table43[[#This Row],[SATUAN Fix Win]]&lt;&gt;"","GD01")</f>
        <v>GD01</v>
      </c>
      <c r="BP75" s="4">
        <f>IF(Table43[[#This Row],[SATUAN Fix Win]]&lt;&gt;"",11611)</f>
        <v>11611</v>
      </c>
      <c r="BQ75" s="4">
        <f>IF(Table43[[#This Row],[SATUAN Fix Win]]&lt;&gt;"",11612)</f>
        <v>11612</v>
      </c>
      <c r="BS75" s="4">
        <f>IF(Table43[[#This Row],[SATUAN Fix Win]]&lt;&gt;"",1)</f>
        <v>1</v>
      </c>
      <c r="BU75" s="4">
        <f>Table43[[#This Row],[ISI/CTN]]</f>
        <v>24</v>
      </c>
    </row>
    <row r="76" spans="1:75">
      <c r="A76" s="4" t="str">
        <f>CONCATENATE(Table43[[#This Row],[Kode BARANG Win2]],Table43[[#This Row],[No. Urut
Item Sama]])</f>
        <v>G1071007015010</v>
      </c>
      <c r="B76" s="7"/>
      <c r="C76" s="31">
        <v>30070100400000</v>
      </c>
      <c r="D76" s="51">
        <v>40057866</v>
      </c>
      <c r="E76" s="27" t="s">
        <v>1899</v>
      </c>
      <c r="F76" s="51">
        <v>30070010150000</v>
      </c>
      <c r="G76" s="51">
        <v>0</v>
      </c>
      <c r="H76" s="27" t="s">
        <v>1148</v>
      </c>
      <c r="I76" s="27">
        <v>24</v>
      </c>
      <c r="J76" s="51" t="s">
        <v>1591</v>
      </c>
      <c r="K76" s="27" t="str">
        <f>Table43[[#This Row],[NamaJenisKemasan]]</f>
        <v>KLG</v>
      </c>
      <c r="L76" s="4" t="str">
        <f>TRIM(CONCATENATE(Table43[[#This Row],[Nama            KLP]]," ",Table43[[#This Row],[Nama            Sub KLP]]))</f>
        <v>HIT AEROSOL</v>
      </c>
      <c r="M76" s="4" t="str">
        <f>CONCATENATE(Table43[[#This Row],[kode  2 Digit                (hrf+No)]],Table43[[#This Row],[kode  2 Digit                (Nomor)]],Table43[[#This Row],[kode  1 Digit                (Nomor)]])</f>
        <v>G1071</v>
      </c>
      <c r="N76" s="4" t="str">
        <f>IF(AI76="",CONCATENATE(S76,U76,W76,Y76,AA76,AC76,AE76,AG76,Table43[[#This Row],[Tanda Kode Revisi]]),CONCATENATE(S76,U76,W76,Y76,AA76,AC76,AE76,AI76))</f>
        <v>G1071007015010</v>
      </c>
      <c r="O76" s="11">
        <f t="shared" si="0"/>
        <v>14</v>
      </c>
      <c r="P76" s="14" t="str">
        <f>IF(AH76&lt;&gt;"",TRIM(UPPER(CONCATENATE(R76," ",T76," ",V76," ",X76," ",Z76," ",AB76," ","X"," ",Table43[[#This Row],[ISI/CTN]]," ",AH76," ",AD76," ",AF76," ",AJ76))),TRIM(UPPER(CONCATENATE(R76," ",T76," ",V76," ",X76," ",Z76," ",AB76," ","X"," ",Table43[[#This Row],[ISI/CTN]]," ",AD76," ",AF76," ",AJ76))))</f>
        <v>HIT AEROSOL LILY BLOSSOM 150ML X 24 KLG</v>
      </c>
      <c r="Q76" s="11">
        <f t="shared" si="1"/>
        <v>39</v>
      </c>
      <c r="S76" s="7" t="s">
        <v>34</v>
      </c>
      <c r="T76" s="4" t="s">
        <v>2242</v>
      </c>
      <c r="U76" s="47" t="s">
        <v>2544</v>
      </c>
      <c r="V76" s="48" t="s">
        <v>2243</v>
      </c>
      <c r="W76" s="7">
        <v>1</v>
      </c>
      <c r="X76" s="48"/>
      <c r="Y76" s="47" t="s">
        <v>1116</v>
      </c>
      <c r="Z76" s="4" t="s">
        <v>2249</v>
      </c>
      <c r="AA76" s="49" t="s">
        <v>2544</v>
      </c>
      <c r="AB76" s="4" t="s">
        <v>2260</v>
      </c>
      <c r="AC76" s="49" t="s">
        <v>2597</v>
      </c>
      <c r="AD76" s="4" t="s">
        <v>2221</v>
      </c>
      <c r="AE76" s="7">
        <v>1</v>
      </c>
      <c r="AG76" s="7">
        <v>0</v>
      </c>
      <c r="AK76" s="70">
        <f>Table43[[#This Row],[Column4]]</f>
        <v>30070010150000</v>
      </c>
      <c r="AN76" s="7">
        <f>Table43[[#This Row],[ISI/CTN]]</f>
        <v>24</v>
      </c>
      <c r="AO76" s="38">
        <f>Table43[[#This Row],[Harga Jual Pcs GT
(-PPN)]]-(Table43[[#This Row],[Harga Jual Pcs GT
(-PPN)]]*6.5%)</f>
        <v>9256.5</v>
      </c>
      <c r="AP76" s="38">
        <f>Table43[[#This Row],[Harga Beli Pcs
(-PPN)]]*Table43[[#This Row],[ISI/CTN]]</f>
        <v>222156</v>
      </c>
      <c r="AQ76" s="38">
        <f>Table43[[#This Row],[Harga Beli Pcs
(-PPN)]]*1.11</f>
        <v>10274.715</v>
      </c>
      <c r="AR76" s="38">
        <f>Table43[[#This Row],[Harga Beli Krt
(- PPN)]]*1.11</f>
        <v>246593.16000000003</v>
      </c>
      <c r="AS76" s="38">
        <v>9900</v>
      </c>
      <c r="AT76" s="38">
        <f>Table43[[#This Row],[Harga Jual Pcs GT
(-PPN)]]*Table43[[#This Row],[ISI/CTN]]</f>
        <v>237600</v>
      </c>
      <c r="AU76" s="38">
        <f>Table43[[#This Row],[Harga Jual Pcs GT
(-PPN)]]*1.11</f>
        <v>10989.000000000002</v>
      </c>
      <c r="AV76" s="38">
        <f>Table43[[#This Row],[Harga Jual Krt GT
(- PPN)]]*1.11</f>
        <v>263736</v>
      </c>
      <c r="AW76" s="38">
        <f>IFERROR(VLOOKUP(Table43[[#This Row],[Kode Pcpl]],'[1]FEB 2026'!$A$3:$X$312,24,0),0)</f>
        <v>0</v>
      </c>
      <c r="AX76" s="38">
        <f>Table43[[#This Row],[Harga Jual Pcs MT
(-PPN)]]*Table43[[#This Row],[ISI/CTN]]</f>
        <v>0</v>
      </c>
      <c r="AY76" s="38">
        <f>Table43[[#This Row],[Harga Jual Pcs MT
(-PPN)]]*1.11</f>
        <v>0</v>
      </c>
      <c r="AZ76" s="38">
        <f>Table43[[#This Row],[Harga Jual Pcs MT
(+PPN)]]*Table43[[#This Row],[ISI/CTN]]</f>
        <v>0</v>
      </c>
      <c r="BA76" s="46">
        <f>(Table43[[#This Row],[Harga Jual Pcs GT
(-PPN)]]-Table43[[#This Row],[Harga Beli Pcs
(-PPN)]])/Table43[[#This Row],[Harga Jual Pcs GT
(-PPN)]]</f>
        <v>6.5000000000000002E-2</v>
      </c>
      <c r="BB76" s="53">
        <f>Table43[[#This Row],[Harga Jual Pcs MT
(-PPN)]]-Table43[[#This Row],[Harga Beli Pcs
(-PPN)]]</f>
        <v>-9256.5</v>
      </c>
      <c r="BC76" s="54" t="e">
        <f>Table43[[#This Row],[Column1]]/Table43[[#This Row],[Harga Jual Pcs MT
(-PPN)]]</f>
        <v>#DIV/0!</v>
      </c>
      <c r="BD76" s="52"/>
      <c r="BE76" s="7"/>
      <c r="BF76" s="7" t="str">
        <f ca="1">IF(TODAY()-Table43[[#This Row],[Efektif
Pembuatan]]&gt;60,"Lama","Baru")</f>
        <v>Lama</v>
      </c>
      <c r="BG76" s="7" t="str">
        <f ca="1">IF(TODAY()-Table43[[#This Row],[Efektif Naik Harga]]&lt;30,"Naik","Sama")</f>
        <v>Sama</v>
      </c>
      <c r="BH76" s="7"/>
      <c r="BI76" s="7" t="str">
        <f>IF(Table43[[#This Row],[Kode BARANG Win2]]&lt;&gt;"","IDR","")</f>
        <v>IDR</v>
      </c>
      <c r="BJ76" s="7" t="str">
        <f>CONCATENATE(Table43[[#This Row],[kode  1 Digit
(Nomor)]],Table43[[#This Row],[kode  4 Digit                (Nomor)]])</f>
        <v>0150</v>
      </c>
      <c r="BK76" s="7" t="str">
        <f>Table43[[#This Row],[Nama            Gramasi atau Jumlah Pack per CTN]]</f>
        <v>150ML</v>
      </c>
      <c r="BL76" s="7"/>
      <c r="BM76" s="7"/>
      <c r="BN76" s="4" t="str">
        <f>IF(Table43[[#This Row],[SATUAN Fix Win]]&lt;&gt;"","KRT")</f>
        <v>KRT</v>
      </c>
      <c r="BO76" s="4" t="str">
        <f>IF(Table43[[#This Row],[SATUAN Fix Win]]&lt;&gt;"","GD01")</f>
        <v>GD01</v>
      </c>
      <c r="BP76" s="4">
        <f>IF(Table43[[#This Row],[SATUAN Fix Win]]&lt;&gt;"",11611)</f>
        <v>11611</v>
      </c>
      <c r="BQ76" s="4">
        <f>IF(Table43[[#This Row],[SATUAN Fix Win]]&lt;&gt;"",11612)</f>
        <v>11612</v>
      </c>
      <c r="BS76" s="4">
        <f>IF(Table43[[#This Row],[SATUAN Fix Win]]&lt;&gt;"",1)</f>
        <v>1</v>
      </c>
      <c r="BU76" s="4">
        <f>Table43[[#This Row],[ISI/CTN]]</f>
        <v>24</v>
      </c>
    </row>
    <row r="77" spans="1:75">
      <c r="A77" s="4" t="str">
        <f>CONCATENATE(Table43[[#This Row],[Kode BARANG Win2]],Table43[[#This Row],[No. Urut
Item Sama]])</f>
        <v>G1071007015010</v>
      </c>
      <c r="B77" s="7"/>
      <c r="C77" s="31">
        <v>30070100400000</v>
      </c>
      <c r="D77" s="51">
        <v>40043133</v>
      </c>
      <c r="E77" s="27"/>
      <c r="F77" s="59">
        <v>30070010150000</v>
      </c>
      <c r="G77" s="51"/>
      <c r="H77" s="27"/>
      <c r="I77" s="27">
        <v>24</v>
      </c>
      <c r="J77" s="51" t="s">
        <v>1591</v>
      </c>
      <c r="K77" s="27" t="str">
        <f>Table43[[#This Row],[NamaJenisKemasan]]</f>
        <v>KLG</v>
      </c>
      <c r="L77" s="4" t="str">
        <f>TRIM(CONCATENATE(Table43[[#This Row],[Nama            KLP]]," ",Table43[[#This Row],[Nama            Sub KLP]]))</f>
        <v>HIT AEROSOL</v>
      </c>
      <c r="M77" s="4" t="str">
        <f>CONCATENATE(Table43[[#This Row],[kode  2 Digit                (hrf+No)]],Table43[[#This Row],[kode  2 Digit                (Nomor)]],Table43[[#This Row],[kode  1 Digit                (Nomor)]])</f>
        <v>G1071</v>
      </c>
      <c r="N77" s="4" t="str">
        <f>IF(AI77="",CONCATENATE(S77,U77,W77,Y77,AA77,AC77,AE77,AG77,Table43[[#This Row],[Tanda Kode Revisi]]),CONCATENATE(S77,U77,W77,Y77,AA77,AC77,AE77,AI77))</f>
        <v>G1071007015010</v>
      </c>
      <c r="O77" s="11">
        <f t="shared" ref="O77:O152" si="2">LEN(N77)</f>
        <v>14</v>
      </c>
      <c r="P77" s="14" t="str">
        <f>IF(AH77&lt;&gt;"",TRIM(UPPER(CONCATENATE(R77," ",T77," ",V77," ",X77," ",Z77," ",AB77," ","X"," ",Table43[[#This Row],[ISI/CTN]]," ",AH77," ",AD77," ",AF77," ",AJ77))),TRIM(UPPER(CONCATENATE(R77," ",T77," ",V77," ",X77," ",Z77," ",AB77," ","X"," ",Table43[[#This Row],[ISI/CTN]]," ",AD77," ",AF77," ",AJ77))))</f>
        <v>HIT AEROSOL LILY BLOSSOM 150ML X 24 KLG</v>
      </c>
      <c r="Q77" s="11">
        <f t="shared" ref="Q77:Q152" si="3">LEN(P77)</f>
        <v>39</v>
      </c>
      <c r="S77" s="7" t="s">
        <v>34</v>
      </c>
      <c r="T77" s="4" t="s">
        <v>2242</v>
      </c>
      <c r="U77" s="47" t="s">
        <v>2544</v>
      </c>
      <c r="V77" s="48" t="s">
        <v>2243</v>
      </c>
      <c r="W77" s="7">
        <v>1</v>
      </c>
      <c r="X77" s="48"/>
      <c r="Y77" s="47" t="s">
        <v>1116</v>
      </c>
      <c r="Z77" s="4" t="s">
        <v>2249</v>
      </c>
      <c r="AA77" s="49" t="s">
        <v>2544</v>
      </c>
      <c r="AB77" s="4" t="s">
        <v>2260</v>
      </c>
      <c r="AC77" s="49" t="s">
        <v>2597</v>
      </c>
      <c r="AD77" s="4" t="s">
        <v>2221</v>
      </c>
      <c r="AE77" s="7">
        <v>1</v>
      </c>
      <c r="AG77" s="7">
        <v>0</v>
      </c>
      <c r="AK77" s="70">
        <f>Table43[[#This Row],[Column4]]</f>
        <v>30070010150000</v>
      </c>
      <c r="AN77" s="7">
        <f>Table43[[#This Row],[ISI/CTN]]</f>
        <v>24</v>
      </c>
      <c r="AO77" s="38">
        <f>Table43[[#This Row],[Harga Jual Pcs GT
(-PPN)]]-(Table43[[#This Row],[Harga Jual Pcs GT
(-PPN)]]*6.5%)</f>
        <v>9256.5</v>
      </c>
      <c r="AP77" s="38">
        <f>Table43[[#This Row],[Harga Beli Pcs
(-PPN)]]*Table43[[#This Row],[ISI/CTN]]</f>
        <v>222156</v>
      </c>
      <c r="AQ77" s="38">
        <f>Table43[[#This Row],[Harga Beli Pcs
(-PPN)]]*1.11</f>
        <v>10274.715</v>
      </c>
      <c r="AR77" s="38">
        <f>Table43[[#This Row],[Harga Beli Krt
(- PPN)]]*1.11</f>
        <v>246593.16000000003</v>
      </c>
      <c r="AS77" s="38">
        <v>9900</v>
      </c>
      <c r="AT77" s="38">
        <f>Table43[[#This Row],[Harga Jual Pcs GT
(-PPN)]]*Table43[[#This Row],[ISI/CTN]]</f>
        <v>237600</v>
      </c>
      <c r="AU77" s="38">
        <f>Table43[[#This Row],[Harga Jual Pcs GT
(-PPN)]]*1.11</f>
        <v>10989.000000000002</v>
      </c>
      <c r="AV77" s="38">
        <f>Table43[[#This Row],[Harga Jual Krt GT
(- PPN)]]*1.11</f>
        <v>263736</v>
      </c>
      <c r="AW77" s="38">
        <f>IFERROR(VLOOKUP(Table43[[#This Row],[Kode Pcpl]],'[1]FEB 2026'!$A$3:$X$312,24,0),0)</f>
        <v>0</v>
      </c>
      <c r="AX77" s="38">
        <f>Table43[[#This Row],[Harga Jual Pcs MT
(-PPN)]]*Table43[[#This Row],[ISI/CTN]]</f>
        <v>0</v>
      </c>
      <c r="AY77" s="38">
        <f>Table43[[#This Row],[Harga Jual Pcs MT
(-PPN)]]*1.11</f>
        <v>0</v>
      </c>
      <c r="AZ77" s="38">
        <f>Table43[[#This Row],[Harga Jual Pcs MT
(+PPN)]]*Table43[[#This Row],[ISI/CTN]]</f>
        <v>0</v>
      </c>
      <c r="BA77" s="46">
        <f>(Table43[[#This Row],[Harga Jual Pcs GT
(-PPN)]]-Table43[[#This Row],[Harga Beli Pcs
(-PPN)]])/Table43[[#This Row],[Harga Jual Pcs GT
(-PPN)]]</f>
        <v>6.5000000000000002E-2</v>
      </c>
      <c r="BB77" s="53">
        <f>Table43[[#This Row],[Harga Jual Pcs MT
(-PPN)]]-Table43[[#This Row],[Harga Beli Pcs
(-PPN)]]</f>
        <v>-9256.5</v>
      </c>
      <c r="BC77" s="54" t="e">
        <f>Table43[[#This Row],[Column1]]/Table43[[#This Row],[Harga Jual Pcs MT
(-PPN)]]</f>
        <v>#DIV/0!</v>
      </c>
      <c r="BD77" s="52"/>
      <c r="BE77" s="7"/>
      <c r="BF77" s="7" t="str">
        <f ca="1">IF(TODAY()-Table43[[#This Row],[Efektif
Pembuatan]]&gt;60,"Lama","Baru")</f>
        <v>Lama</v>
      </c>
      <c r="BG77" s="7" t="str">
        <f ca="1">IF(TODAY()-Table43[[#This Row],[Efektif Naik Harga]]&lt;30,"Naik","Sama")</f>
        <v>Sama</v>
      </c>
      <c r="BH77" s="7"/>
      <c r="BI77" s="7" t="str">
        <f>IF(Table43[[#This Row],[Kode BARANG Win2]]&lt;&gt;"","IDR","")</f>
        <v>IDR</v>
      </c>
      <c r="BJ77" s="7" t="str">
        <f>CONCATENATE(Table43[[#This Row],[kode  1 Digit
(Nomor)]],Table43[[#This Row],[kode  4 Digit                (Nomor)]])</f>
        <v>0150</v>
      </c>
      <c r="BK77" s="7" t="str">
        <f>Table43[[#This Row],[Nama            Gramasi atau Jumlah Pack per CTN]]</f>
        <v>150ML</v>
      </c>
      <c r="BL77" s="7"/>
      <c r="BM77" s="7"/>
      <c r="BN77" s="4" t="str">
        <f>IF(Table43[[#This Row],[SATUAN Fix Win]]&lt;&gt;"","KRT")</f>
        <v>KRT</v>
      </c>
      <c r="BO77" s="4" t="str">
        <f>IF(Table43[[#This Row],[SATUAN Fix Win]]&lt;&gt;"","GD01")</f>
        <v>GD01</v>
      </c>
      <c r="BP77" s="4">
        <f>IF(Table43[[#This Row],[SATUAN Fix Win]]&lt;&gt;"",11611)</f>
        <v>11611</v>
      </c>
      <c r="BQ77" s="4">
        <f>IF(Table43[[#This Row],[SATUAN Fix Win]]&lt;&gt;"",11612)</f>
        <v>11612</v>
      </c>
      <c r="BS77" s="4">
        <f>IF(Table43[[#This Row],[SATUAN Fix Win]]&lt;&gt;"",1)</f>
        <v>1</v>
      </c>
      <c r="BU77" s="4">
        <f>Table43[[#This Row],[ISI/CTN]]</f>
        <v>24</v>
      </c>
    </row>
    <row r="78" spans="1:75">
      <c r="A78" s="4" t="str">
        <f>CONCATENATE(Table43[[#This Row],[Kode BARANG Win2]],Table43[[#This Row],[No. Urut
Item Sama]])</f>
        <v>G1071007015010</v>
      </c>
      <c r="B78" s="7"/>
      <c r="C78" s="31">
        <v>30070100400000</v>
      </c>
      <c r="D78" s="59">
        <v>40044130</v>
      </c>
      <c r="E78" s="60"/>
      <c r="F78" s="59">
        <v>30070010150000</v>
      </c>
      <c r="G78" s="59"/>
      <c r="H78" s="60"/>
      <c r="I78" s="60">
        <v>24</v>
      </c>
      <c r="J78" s="59" t="s">
        <v>1591</v>
      </c>
      <c r="K78" s="60" t="str">
        <f>Table43[[#This Row],[NamaJenisKemasan]]</f>
        <v>KLG</v>
      </c>
      <c r="L78" s="4" t="str">
        <f>TRIM(CONCATENATE(Table43[[#This Row],[Nama            KLP]]," ",Table43[[#This Row],[Nama            Sub KLP]]))</f>
        <v>HIT AEROSOL</v>
      </c>
      <c r="M78" s="4" t="str">
        <f>CONCATENATE(Table43[[#This Row],[kode  2 Digit                (hrf+No)]],Table43[[#This Row],[kode  2 Digit                (Nomor)]],Table43[[#This Row],[kode  1 Digit                (Nomor)]])</f>
        <v>G1071</v>
      </c>
      <c r="N78" s="4" t="str">
        <f>IF(AI78="",CONCATENATE(S78,U78,W78,Y78,AA78,AC78,AE78,AG78,Table43[[#This Row],[Tanda Kode Revisi]]),CONCATENATE(S78,U78,W78,Y78,AA78,AC78,AE78,AI78))</f>
        <v>G1071007015010</v>
      </c>
      <c r="O78" s="11">
        <f t="shared" si="2"/>
        <v>14</v>
      </c>
      <c r="P78" s="14" t="str">
        <f>IF(AH78&lt;&gt;"",TRIM(UPPER(CONCATENATE(R78," ",T78," ",V78," ",X78," ",Z78," ",AB78," ","X"," ",Table43[[#This Row],[ISI/CTN]]," ",AH78," ",AD78," ",AF78," ",AJ78))),TRIM(UPPER(CONCATENATE(R78," ",T78," ",V78," ",X78," ",Z78," ",AB78," ","X"," ",Table43[[#This Row],[ISI/CTN]]," ",AD78," ",AF78," ",AJ78))))</f>
        <v>HIT AEROSOL LILY BLOSSOM 150ML X 24 KLG</v>
      </c>
      <c r="Q78" s="11">
        <f t="shared" si="3"/>
        <v>39</v>
      </c>
      <c r="S78" s="7" t="s">
        <v>34</v>
      </c>
      <c r="T78" s="4" t="s">
        <v>2242</v>
      </c>
      <c r="U78" s="47" t="s">
        <v>2544</v>
      </c>
      <c r="V78" s="48" t="s">
        <v>2243</v>
      </c>
      <c r="W78" s="7">
        <v>1</v>
      </c>
      <c r="X78" s="48"/>
      <c r="Y78" s="47" t="s">
        <v>1116</v>
      </c>
      <c r="Z78" s="4" t="s">
        <v>2249</v>
      </c>
      <c r="AA78" s="49" t="s">
        <v>2544</v>
      </c>
      <c r="AB78" s="4" t="s">
        <v>2260</v>
      </c>
      <c r="AC78" s="49" t="s">
        <v>2597</v>
      </c>
      <c r="AD78" s="4" t="s">
        <v>2221</v>
      </c>
      <c r="AE78" s="7">
        <v>1</v>
      </c>
      <c r="AG78" s="7">
        <v>0</v>
      </c>
      <c r="AK78" s="70">
        <f>Table43[[#This Row],[Column4]]</f>
        <v>30070010150000</v>
      </c>
      <c r="AN78" s="7">
        <f>Table43[[#This Row],[ISI/CTN]]</f>
        <v>24</v>
      </c>
      <c r="AO78" s="38">
        <f>Table43[[#This Row],[Harga Jual Pcs GT
(-PPN)]]-(Table43[[#This Row],[Harga Jual Pcs GT
(-PPN)]]*6.5%)</f>
        <v>9256.5</v>
      </c>
      <c r="AP78" s="38">
        <f>Table43[[#This Row],[Harga Beli Pcs
(-PPN)]]*Table43[[#This Row],[ISI/CTN]]</f>
        <v>222156</v>
      </c>
      <c r="AQ78" s="38">
        <f>Table43[[#This Row],[Harga Beli Pcs
(-PPN)]]*1.11</f>
        <v>10274.715</v>
      </c>
      <c r="AR78" s="38">
        <f>Table43[[#This Row],[Harga Beli Krt
(- PPN)]]*1.11</f>
        <v>246593.16000000003</v>
      </c>
      <c r="AS78" s="38">
        <v>9900</v>
      </c>
      <c r="AT78" s="38">
        <f>Table43[[#This Row],[Harga Jual Pcs GT
(-PPN)]]*Table43[[#This Row],[ISI/CTN]]</f>
        <v>237600</v>
      </c>
      <c r="AU78" s="38">
        <f>Table43[[#This Row],[Harga Jual Pcs GT
(-PPN)]]*1.11</f>
        <v>10989.000000000002</v>
      </c>
      <c r="AV78" s="38">
        <f>Table43[[#This Row],[Harga Jual Krt GT
(- PPN)]]*1.11</f>
        <v>263736</v>
      </c>
      <c r="AW78" s="38">
        <f>IFERROR(VLOOKUP(Table43[[#This Row],[Kode Pcpl]],'[1]FEB 2026'!$A$3:$X$312,24,0),0)</f>
        <v>0</v>
      </c>
      <c r="AX78" s="38">
        <f>Table43[[#This Row],[Harga Jual Pcs MT
(-PPN)]]*Table43[[#This Row],[ISI/CTN]]</f>
        <v>0</v>
      </c>
      <c r="AY78" s="38">
        <f>Table43[[#This Row],[Harga Jual Pcs MT
(-PPN)]]*1.11</f>
        <v>0</v>
      </c>
      <c r="AZ78" s="38">
        <f>Table43[[#This Row],[Harga Jual Pcs MT
(+PPN)]]*Table43[[#This Row],[ISI/CTN]]</f>
        <v>0</v>
      </c>
      <c r="BA78" s="46">
        <f>(Table43[[#This Row],[Harga Jual Pcs GT
(-PPN)]]-Table43[[#This Row],[Harga Beli Pcs
(-PPN)]])/Table43[[#This Row],[Harga Jual Pcs GT
(-PPN)]]</f>
        <v>6.5000000000000002E-2</v>
      </c>
      <c r="BB78" s="53">
        <f>Table43[[#This Row],[Harga Jual Pcs MT
(-PPN)]]-Table43[[#This Row],[Harga Beli Pcs
(-PPN)]]</f>
        <v>-9256.5</v>
      </c>
      <c r="BC78" s="54" t="e">
        <f>Table43[[#This Row],[Column1]]/Table43[[#This Row],[Harga Jual Pcs MT
(-PPN)]]</f>
        <v>#DIV/0!</v>
      </c>
      <c r="BD78" s="52"/>
      <c r="BE78" s="7"/>
      <c r="BF78" s="7" t="str">
        <f ca="1">IF(TODAY()-Table43[[#This Row],[Efektif
Pembuatan]]&gt;60,"Lama","Baru")</f>
        <v>Lama</v>
      </c>
      <c r="BG78" s="7" t="str">
        <f ca="1">IF(TODAY()-Table43[[#This Row],[Efektif Naik Harga]]&lt;30,"Naik","Sama")</f>
        <v>Sama</v>
      </c>
      <c r="BH78" s="7"/>
      <c r="BI78" s="7" t="str">
        <f>IF(Table43[[#This Row],[Kode BARANG Win2]]&lt;&gt;"","IDR","")</f>
        <v>IDR</v>
      </c>
      <c r="BJ78" s="7" t="str">
        <f>CONCATENATE(Table43[[#This Row],[kode  1 Digit
(Nomor)]],Table43[[#This Row],[kode  4 Digit                (Nomor)]])</f>
        <v>0150</v>
      </c>
      <c r="BK78" s="7" t="str">
        <f>Table43[[#This Row],[Nama            Gramasi atau Jumlah Pack per CTN]]</f>
        <v>150ML</v>
      </c>
      <c r="BL78" s="7"/>
      <c r="BM78" s="7"/>
      <c r="BN78" s="4" t="str">
        <f>IF(Table43[[#This Row],[SATUAN Fix Win]]&lt;&gt;"","KRT")</f>
        <v>KRT</v>
      </c>
      <c r="BO78" s="4" t="str">
        <f>IF(Table43[[#This Row],[SATUAN Fix Win]]&lt;&gt;"","GD01")</f>
        <v>GD01</v>
      </c>
      <c r="BP78" s="4">
        <f>IF(Table43[[#This Row],[SATUAN Fix Win]]&lt;&gt;"",11611)</f>
        <v>11611</v>
      </c>
      <c r="BQ78" s="4">
        <f>IF(Table43[[#This Row],[SATUAN Fix Win]]&lt;&gt;"",11612)</f>
        <v>11612</v>
      </c>
      <c r="BS78" s="4">
        <f>IF(Table43[[#This Row],[SATUAN Fix Win]]&lt;&gt;"",1)</f>
        <v>1</v>
      </c>
      <c r="BU78" s="4">
        <f>Table43[[#This Row],[ISI/CTN]]</f>
        <v>24</v>
      </c>
    </row>
    <row r="79" spans="1:75">
      <c r="A79" s="4" t="str">
        <f>CONCATENATE(Table43[[#This Row],[Kode BARANG Win2]],Table43[[#This Row],[No. Urut
Item Sama]])</f>
        <v>G1071007015010</v>
      </c>
      <c r="B79" s="7"/>
      <c r="C79" s="31"/>
      <c r="D79" s="51">
        <v>40035894</v>
      </c>
      <c r="E79" s="27"/>
      <c r="F79" s="51"/>
      <c r="G79" s="51"/>
      <c r="H79" s="27"/>
      <c r="I79" s="27">
        <v>24</v>
      </c>
      <c r="J79" s="59" t="s">
        <v>1591</v>
      </c>
      <c r="K79" s="27" t="str">
        <f>Table43[[#This Row],[NamaJenisKemasan]]</f>
        <v>KLG</v>
      </c>
      <c r="L79" s="4" t="str">
        <f>TRIM(CONCATENATE(Table43[[#This Row],[Nama            KLP]]," ",Table43[[#This Row],[Nama            Sub KLP]]))</f>
        <v>HIT AEROSOL</v>
      </c>
      <c r="M79" s="4" t="str">
        <f>CONCATENATE(Table43[[#This Row],[kode  2 Digit                (hrf+No)]],Table43[[#This Row],[kode  2 Digit                (Nomor)]],Table43[[#This Row],[kode  1 Digit                (Nomor)]])</f>
        <v>G1071</v>
      </c>
      <c r="N79" s="4" t="str">
        <f>IF(AI79="",CONCATENATE(S79,U79,W79,Y79,AA79,AC79,AE79,AG79,Table43[[#This Row],[Tanda Kode Revisi]]),CONCATENATE(S79,U79,W79,Y79,AA79,AC79,AE79,AI79))</f>
        <v>G1071007015010</v>
      </c>
      <c r="O79" s="11">
        <f t="shared" si="2"/>
        <v>14</v>
      </c>
      <c r="P79" s="14" t="str">
        <f>IF(AH79&lt;&gt;"",TRIM(UPPER(CONCATENATE(R79," ",T79," ",V79," ",X79," ",Z79," ",AB79," ","X"," ",Table43[[#This Row],[ISI/CTN]]," ",AH79," ",AD79," ",AF79," ",AJ79))),TRIM(UPPER(CONCATENATE(R79," ",T79," ",V79," ",X79," ",Z79," ",AB79," ","X"," ",Table43[[#This Row],[ISI/CTN]]," ",AD79," ",AF79," ",AJ79))))</f>
        <v>HIT AEROSOL LILY BLOSSOM 150ML X 24 KLG</v>
      </c>
      <c r="Q79" s="11">
        <f t="shared" si="3"/>
        <v>39</v>
      </c>
      <c r="S79" s="7" t="s">
        <v>34</v>
      </c>
      <c r="T79" s="4" t="s">
        <v>2242</v>
      </c>
      <c r="U79" s="47" t="s">
        <v>2544</v>
      </c>
      <c r="V79" s="48" t="s">
        <v>2243</v>
      </c>
      <c r="W79" s="7">
        <v>1</v>
      </c>
      <c r="X79" s="48"/>
      <c r="Y79" s="47" t="s">
        <v>1116</v>
      </c>
      <c r="Z79" s="4" t="s">
        <v>2249</v>
      </c>
      <c r="AA79" s="49" t="s">
        <v>2544</v>
      </c>
      <c r="AB79" s="4" t="s">
        <v>2260</v>
      </c>
      <c r="AC79" s="49" t="s">
        <v>2597</v>
      </c>
      <c r="AD79" s="4" t="s">
        <v>2221</v>
      </c>
      <c r="AE79" s="7">
        <v>1</v>
      </c>
      <c r="AG79" s="7">
        <v>0</v>
      </c>
      <c r="AK79" s="70">
        <f>Table43[[#This Row],[Column4]]</f>
        <v>0</v>
      </c>
      <c r="AN79" s="7">
        <f>Table43[[#This Row],[ISI/CTN]]</f>
        <v>24</v>
      </c>
      <c r="AO79" s="38">
        <f>Table43[[#This Row],[Harga Jual Pcs GT
(-PPN)]]-(Table43[[#This Row],[Harga Jual Pcs GT
(-PPN)]]*6.5%)</f>
        <v>9256.5</v>
      </c>
      <c r="AP79" s="38">
        <f>Table43[[#This Row],[Harga Beli Pcs
(-PPN)]]*Table43[[#This Row],[ISI/CTN]]</f>
        <v>222156</v>
      </c>
      <c r="AQ79" s="38">
        <f>Table43[[#This Row],[Harga Beli Pcs
(-PPN)]]*1.11</f>
        <v>10274.715</v>
      </c>
      <c r="AR79" s="38">
        <f>Table43[[#This Row],[Harga Beli Krt
(- PPN)]]*1.11</f>
        <v>246593.16000000003</v>
      </c>
      <c r="AS79" s="38">
        <v>9900</v>
      </c>
      <c r="AT79" s="38">
        <f>Table43[[#This Row],[Harga Jual Pcs GT
(-PPN)]]*Table43[[#This Row],[ISI/CTN]]</f>
        <v>237600</v>
      </c>
      <c r="AU79" s="38">
        <f>Table43[[#This Row],[Harga Jual Pcs GT
(-PPN)]]*1.11</f>
        <v>10989.000000000002</v>
      </c>
      <c r="AV79" s="38">
        <f>Table43[[#This Row],[Harga Jual Krt GT
(- PPN)]]*1.11</f>
        <v>263736</v>
      </c>
      <c r="AW79" s="38">
        <f>IFERROR(VLOOKUP(Table43[[#This Row],[Kode Pcpl]],'[1]FEB 2026'!$A$3:$X$312,24,0),0)</f>
        <v>0</v>
      </c>
      <c r="AX79" s="38">
        <f>Table43[[#This Row],[Harga Jual Pcs MT
(-PPN)]]*Table43[[#This Row],[ISI/CTN]]</f>
        <v>0</v>
      </c>
      <c r="AY79" s="38">
        <f>Table43[[#This Row],[Harga Jual Pcs MT
(-PPN)]]*1.11</f>
        <v>0</v>
      </c>
      <c r="AZ79" s="38">
        <f>Table43[[#This Row],[Harga Jual Pcs MT
(+PPN)]]*Table43[[#This Row],[ISI/CTN]]</f>
        <v>0</v>
      </c>
      <c r="BA79" s="46">
        <f>(Table43[[#This Row],[Harga Jual Pcs GT
(-PPN)]]-Table43[[#This Row],[Harga Beli Pcs
(-PPN)]])/Table43[[#This Row],[Harga Jual Pcs GT
(-PPN)]]</f>
        <v>6.5000000000000002E-2</v>
      </c>
      <c r="BB79" s="53">
        <f>Table43[[#This Row],[Harga Jual Pcs MT
(-PPN)]]-Table43[[#This Row],[Harga Beli Pcs
(-PPN)]]</f>
        <v>-9256.5</v>
      </c>
      <c r="BC79" s="54" t="e">
        <f>Table43[[#This Row],[Column1]]/Table43[[#This Row],[Harga Jual Pcs MT
(-PPN)]]</f>
        <v>#DIV/0!</v>
      </c>
      <c r="BD79" s="52"/>
      <c r="BE79" s="7"/>
      <c r="BF79" s="7" t="str">
        <f ca="1">IF(TODAY()-Table43[[#This Row],[Efektif
Pembuatan]]&gt;60,"Lama","Baru")</f>
        <v>Lama</v>
      </c>
      <c r="BG79" s="7" t="str">
        <f ca="1">IF(TODAY()-Table43[[#This Row],[Efektif Naik Harga]]&lt;30,"Naik","Sama")</f>
        <v>Sama</v>
      </c>
      <c r="BH79" s="7"/>
      <c r="BI79" s="7" t="str">
        <f>IF(Table43[[#This Row],[Kode BARANG Win2]]&lt;&gt;"","IDR","")</f>
        <v>IDR</v>
      </c>
      <c r="BJ79" s="7" t="str">
        <f>CONCATENATE(Table43[[#This Row],[kode  1 Digit
(Nomor)]],Table43[[#This Row],[kode  4 Digit                (Nomor)]])</f>
        <v>0150</v>
      </c>
      <c r="BK79" s="7" t="str">
        <f>Table43[[#This Row],[Nama            Gramasi atau Jumlah Pack per CTN]]</f>
        <v>150ML</v>
      </c>
      <c r="BL79" s="7"/>
      <c r="BM79" s="7"/>
      <c r="BN79" s="4" t="str">
        <f>IF(Table43[[#This Row],[SATUAN Fix Win]]&lt;&gt;"","KRT")</f>
        <v>KRT</v>
      </c>
      <c r="BO79" s="4" t="str">
        <f>IF(Table43[[#This Row],[SATUAN Fix Win]]&lt;&gt;"","GD01")</f>
        <v>GD01</v>
      </c>
      <c r="BP79" s="4">
        <f>IF(Table43[[#This Row],[SATUAN Fix Win]]&lt;&gt;"",11611)</f>
        <v>11611</v>
      </c>
      <c r="BQ79" s="4">
        <f>IF(Table43[[#This Row],[SATUAN Fix Win]]&lt;&gt;"",11612)</f>
        <v>11612</v>
      </c>
      <c r="BS79" s="4">
        <f>IF(Table43[[#This Row],[SATUAN Fix Win]]&lt;&gt;"",1)</f>
        <v>1</v>
      </c>
      <c r="BU79" s="4">
        <f>Table43[[#This Row],[ISI/CTN]]</f>
        <v>24</v>
      </c>
    </row>
    <row r="80" spans="1:75">
      <c r="A80" s="4" t="str">
        <f>CONCATENATE(Table43[[#This Row],[Kode BARANG Win2]],Table43[[#This Row],[No. Urut
Item Sama]])</f>
        <v>G1071007018010</v>
      </c>
      <c r="B80" s="7"/>
      <c r="C80" s="31">
        <v>30070030400000</v>
      </c>
      <c r="D80" s="51">
        <v>40049644</v>
      </c>
      <c r="E80" s="27" t="s">
        <v>1900</v>
      </c>
      <c r="F80" s="51">
        <v>30070010200000</v>
      </c>
      <c r="G80" s="51">
        <v>0</v>
      </c>
      <c r="H80" s="27" t="s">
        <v>1150</v>
      </c>
      <c r="I80" s="27">
        <v>12</v>
      </c>
      <c r="J80" s="51" t="s">
        <v>1592</v>
      </c>
      <c r="K80" s="27" t="str">
        <f>Table43[[#This Row],[NamaJenisKemasan]]</f>
        <v>KLG</v>
      </c>
      <c r="L80" s="4" t="str">
        <f>TRIM(CONCATENATE(Table43[[#This Row],[Nama            KLP]]," ",Table43[[#This Row],[Nama            Sub KLP]]))</f>
        <v>HIT AEROSOL</v>
      </c>
      <c r="M80" s="4" t="str">
        <f>CONCATENATE(Table43[[#This Row],[kode  2 Digit                (hrf+No)]],Table43[[#This Row],[kode  2 Digit                (Nomor)]],Table43[[#This Row],[kode  1 Digit                (Nomor)]])</f>
        <v>G1071</v>
      </c>
      <c r="N80" s="4" t="str">
        <f>IF(AI80="",CONCATENATE(S80,U80,W80,Y80,AA80,AC80,AE80,AG80,Table43[[#This Row],[Tanda Kode Revisi]]),CONCATENATE(S80,U80,W80,Y80,AA80,AC80,AE80,AI80))</f>
        <v>G1071007018010</v>
      </c>
      <c r="O80" s="11">
        <f t="shared" si="2"/>
        <v>14</v>
      </c>
      <c r="P80" s="14" t="str">
        <f>IF(AH80&lt;&gt;"",TRIM(UPPER(CONCATENATE(R80," ",T80," ",V80," ",X80," ",Z80," ",AB80," ","X"," ",Table43[[#This Row],[ISI/CTN]]," ",AH80," ",AD80," ",AF80," ",AJ80))),TRIM(UPPER(CONCATENATE(R80," ",T80," ",V80," ",X80," ",Z80," ",AB80," ","X"," ",Table43[[#This Row],[ISI/CTN]]," ",AD80," ",AF80," ",AJ80))))</f>
        <v>HIT AEROSOL LILY BLOSSOM 180ML X 12 KLG</v>
      </c>
      <c r="Q80" s="11">
        <f t="shared" si="3"/>
        <v>39</v>
      </c>
      <c r="S80" s="7" t="s">
        <v>34</v>
      </c>
      <c r="T80" s="4" t="s">
        <v>2242</v>
      </c>
      <c r="U80" s="47" t="s">
        <v>2544</v>
      </c>
      <c r="V80" s="48" t="s">
        <v>2243</v>
      </c>
      <c r="W80" s="7">
        <v>1</v>
      </c>
      <c r="X80" s="48"/>
      <c r="Y80" s="47" t="s">
        <v>1116</v>
      </c>
      <c r="Z80" s="4" t="s">
        <v>2249</v>
      </c>
      <c r="AA80" s="49" t="s">
        <v>2544</v>
      </c>
      <c r="AB80" s="4" t="s">
        <v>641</v>
      </c>
      <c r="AC80" s="49" t="s">
        <v>2602</v>
      </c>
      <c r="AD80" s="4" t="s">
        <v>2221</v>
      </c>
      <c r="AE80" s="7">
        <v>1</v>
      </c>
      <c r="AG80" s="7">
        <v>0</v>
      </c>
      <c r="AK80" s="70">
        <f>Table43[[#This Row],[Column4]]</f>
        <v>30070010200000</v>
      </c>
      <c r="AN80" s="7">
        <f>Table43[[#This Row],[ISI/CTN]]</f>
        <v>12</v>
      </c>
      <c r="AO80" s="38">
        <f>Table43[[#This Row],[Harga Jual Pcs GT
(-PPN)]]-(Table43[[#This Row],[Harga Jual Pcs GT
(-PPN)]]*6.5%)</f>
        <v>13161.06</v>
      </c>
      <c r="AP80" s="38">
        <f>Table43[[#This Row],[Harga Beli Pcs
(-PPN)]]*Table43[[#This Row],[ISI/CTN]]</f>
        <v>157932.72</v>
      </c>
      <c r="AQ80" s="38">
        <f>Table43[[#This Row],[Harga Beli Pcs
(-PPN)]]*1.11</f>
        <v>14608.776600000001</v>
      </c>
      <c r="AR80" s="38">
        <f>Table43[[#This Row],[Harga Beli Krt
(- PPN)]]*1.11</f>
        <v>175305.31920000003</v>
      </c>
      <c r="AS80" s="38">
        <v>14076</v>
      </c>
      <c r="AT80" s="38">
        <f>Table43[[#This Row],[Harga Jual Pcs GT
(-PPN)]]*Table43[[#This Row],[ISI/CTN]]</f>
        <v>168912</v>
      </c>
      <c r="AU80" s="38">
        <f>Table43[[#This Row],[Harga Jual Pcs GT
(-PPN)]]*1.11</f>
        <v>15624.36</v>
      </c>
      <c r="AV80" s="38">
        <f>Table43[[#This Row],[Harga Jual Krt GT
(- PPN)]]*1.11</f>
        <v>187492.32</v>
      </c>
      <c r="AW80" s="38">
        <f>IFERROR(VLOOKUP(Table43[[#This Row],[Kode Pcpl]],'[1]FEB 2026'!$A$3:$X$312,24,0),0)</f>
        <v>0</v>
      </c>
      <c r="AX80" s="38">
        <f>Table43[[#This Row],[Harga Jual Pcs MT
(-PPN)]]*Table43[[#This Row],[ISI/CTN]]</f>
        <v>0</v>
      </c>
      <c r="AY80" s="38">
        <f>Table43[[#This Row],[Harga Jual Pcs MT
(-PPN)]]*1.11</f>
        <v>0</v>
      </c>
      <c r="AZ80" s="38">
        <f>Table43[[#This Row],[Harga Jual Pcs MT
(+PPN)]]*Table43[[#This Row],[ISI/CTN]]</f>
        <v>0</v>
      </c>
      <c r="BA80" s="46">
        <f>(Table43[[#This Row],[Harga Jual Pcs GT
(-PPN)]]-Table43[[#This Row],[Harga Beli Pcs
(-PPN)]])/Table43[[#This Row],[Harga Jual Pcs GT
(-PPN)]]</f>
        <v>6.500000000000003E-2</v>
      </c>
      <c r="BB80" s="53">
        <f>Table43[[#This Row],[Harga Jual Pcs MT
(-PPN)]]-Table43[[#This Row],[Harga Beli Pcs
(-PPN)]]</f>
        <v>-13161.06</v>
      </c>
      <c r="BC80" s="54" t="e">
        <f>Table43[[#This Row],[Column1]]/Table43[[#This Row],[Harga Jual Pcs MT
(-PPN)]]</f>
        <v>#DIV/0!</v>
      </c>
      <c r="BD80" s="52"/>
      <c r="BE80" s="7"/>
      <c r="BF80" s="7" t="str">
        <f ca="1">IF(TODAY()-Table43[[#This Row],[Efektif
Pembuatan]]&gt;60,"Lama","Baru")</f>
        <v>Lama</v>
      </c>
      <c r="BG80" s="7" t="str">
        <f ca="1">IF(TODAY()-Table43[[#This Row],[Efektif Naik Harga]]&lt;30,"Naik","Sama")</f>
        <v>Sama</v>
      </c>
      <c r="BH80" s="7"/>
      <c r="BI80" s="7" t="str">
        <f>IF(Table43[[#This Row],[Kode BARANG Win2]]&lt;&gt;"","IDR","")</f>
        <v>IDR</v>
      </c>
      <c r="BJ80" s="7" t="str">
        <f>CONCATENATE(Table43[[#This Row],[kode  1 Digit
(Nomor)]],Table43[[#This Row],[kode  4 Digit                (Nomor)]])</f>
        <v>0180</v>
      </c>
      <c r="BK80" s="7" t="str">
        <f>Table43[[#This Row],[Nama            Gramasi atau Jumlah Pack per CTN]]</f>
        <v>180ML</v>
      </c>
      <c r="BL80" s="7"/>
      <c r="BM80" s="7"/>
      <c r="BN80" s="4" t="str">
        <f>IF(Table43[[#This Row],[SATUAN Fix Win]]&lt;&gt;"","KRT")</f>
        <v>KRT</v>
      </c>
      <c r="BO80" s="4" t="str">
        <f>IF(Table43[[#This Row],[SATUAN Fix Win]]&lt;&gt;"","GD01")</f>
        <v>GD01</v>
      </c>
      <c r="BP80" s="4">
        <f>IF(Table43[[#This Row],[SATUAN Fix Win]]&lt;&gt;"",11611)</f>
        <v>11611</v>
      </c>
      <c r="BQ80" s="4">
        <f>IF(Table43[[#This Row],[SATUAN Fix Win]]&lt;&gt;"",11612)</f>
        <v>11612</v>
      </c>
      <c r="BS80" s="4">
        <f>IF(Table43[[#This Row],[SATUAN Fix Win]]&lt;&gt;"",1)</f>
        <v>1</v>
      </c>
      <c r="BU80" s="4">
        <f>Table43[[#This Row],[ISI/CTN]]</f>
        <v>12</v>
      </c>
    </row>
    <row r="81" spans="1:73">
      <c r="A81" s="4" t="str">
        <f>CONCATENATE(Table43[[#This Row],[Kode BARANG Win2]],Table43[[#This Row],[No. Urut
Item Sama]])</f>
        <v>G1071007018010</v>
      </c>
      <c r="B81" s="7"/>
      <c r="C81" s="31"/>
      <c r="D81" s="51">
        <v>40039292</v>
      </c>
      <c r="E81" s="27"/>
      <c r="F81" s="51"/>
      <c r="G81" s="51"/>
      <c r="H81" s="27"/>
      <c r="I81" s="27">
        <v>12</v>
      </c>
      <c r="J81" s="51" t="s">
        <v>1592</v>
      </c>
      <c r="K81" s="27" t="str">
        <f>Table43[[#This Row],[NamaJenisKemasan]]</f>
        <v>KLG</v>
      </c>
      <c r="L81" s="4" t="str">
        <f>TRIM(CONCATENATE(Table43[[#This Row],[Nama            KLP]]," ",Table43[[#This Row],[Nama            Sub KLP]]))</f>
        <v>HIT AEROSOL</v>
      </c>
      <c r="M81" s="4" t="str">
        <f>CONCATENATE(Table43[[#This Row],[kode  2 Digit                (hrf+No)]],Table43[[#This Row],[kode  2 Digit                (Nomor)]],Table43[[#This Row],[kode  1 Digit                (Nomor)]])</f>
        <v>G1071</v>
      </c>
      <c r="N81" s="4" t="str">
        <f>IF(AI81="",CONCATENATE(S81,U81,W81,Y81,AA81,AC81,AE81,AG81,Table43[[#This Row],[Tanda Kode Revisi]]),CONCATENATE(S81,U81,W81,Y81,AA81,AC81,AE81,AI81))</f>
        <v>G1071007018010</v>
      </c>
      <c r="O81" s="11">
        <f>LEN(N81)</f>
        <v>14</v>
      </c>
      <c r="P81" s="14" t="str">
        <f>IF(AH81&lt;&gt;"",TRIM(UPPER(CONCATENATE(R81," ",T81," ",V81," ",X81," ",Z81," ",AB81," ","X"," ",Table43[[#This Row],[ISI/CTN]]," ",AH81," ",AD81," ",AF81," ",AJ81))),TRIM(UPPER(CONCATENATE(R81," ",T81," ",V81," ",X81," ",Z81," ",AB81," ","X"," ",Table43[[#This Row],[ISI/CTN]]," ",AD81," ",AF81," ",AJ81))))</f>
        <v>HIT AEROSOL LILY BLOSSOM 180ML X 12 KLG</v>
      </c>
      <c r="Q81" s="11">
        <f>LEN(P81)</f>
        <v>39</v>
      </c>
      <c r="S81" s="7" t="s">
        <v>34</v>
      </c>
      <c r="T81" s="4" t="s">
        <v>2242</v>
      </c>
      <c r="U81" s="47" t="s">
        <v>2544</v>
      </c>
      <c r="V81" s="48" t="s">
        <v>2243</v>
      </c>
      <c r="W81" s="7">
        <v>1</v>
      </c>
      <c r="X81" s="48"/>
      <c r="Y81" s="47" t="s">
        <v>1116</v>
      </c>
      <c r="Z81" s="4" t="s">
        <v>2249</v>
      </c>
      <c r="AA81" s="49" t="s">
        <v>2544</v>
      </c>
      <c r="AB81" s="4" t="s">
        <v>641</v>
      </c>
      <c r="AC81" s="49" t="s">
        <v>2602</v>
      </c>
      <c r="AD81" s="4" t="s">
        <v>2221</v>
      </c>
      <c r="AE81" s="7">
        <v>1</v>
      </c>
      <c r="AG81" s="7">
        <v>0</v>
      </c>
      <c r="AK81" s="70">
        <f>Table43[[#This Row],[Column4]]</f>
        <v>0</v>
      </c>
      <c r="AN81" s="7">
        <f>Table43[[#This Row],[ISI/CTN]]</f>
        <v>12</v>
      </c>
      <c r="AO81" s="38">
        <f>Table43[[#This Row],[Harga Jual Pcs GT
(-PPN)]]-(Table43[[#This Row],[Harga Jual Pcs GT
(-PPN)]]*6.5%)</f>
        <v>0</v>
      </c>
      <c r="AP81" s="38">
        <f>Table43[[#This Row],[Harga Beli Pcs
(-PPN)]]*Table43[[#This Row],[ISI/CTN]]</f>
        <v>0</v>
      </c>
      <c r="AQ81" s="38">
        <f>Table43[[#This Row],[Harga Beli Pcs
(-PPN)]]*1.11</f>
        <v>0</v>
      </c>
      <c r="AR81" s="38">
        <f>Table43[[#This Row],[Harga Beli Krt
(- PPN)]]*1.11</f>
        <v>0</v>
      </c>
      <c r="AS81" s="38"/>
      <c r="AT81" s="38">
        <f>Table43[[#This Row],[Harga Jual Pcs GT
(-PPN)]]*Table43[[#This Row],[ISI/CTN]]</f>
        <v>0</v>
      </c>
      <c r="AU81" s="38">
        <f>Table43[[#This Row],[Harga Jual Pcs GT
(-PPN)]]*1.11</f>
        <v>0</v>
      </c>
      <c r="AV81" s="38">
        <f>Table43[[#This Row],[Harga Jual Krt GT
(- PPN)]]*1.11</f>
        <v>0</v>
      </c>
      <c r="AW81" s="38">
        <f>IFERROR(VLOOKUP(Table43[[#This Row],[Kode Pcpl]],'[1]FEB 2026'!$A$3:$X$312,24,0),0)</f>
        <v>0</v>
      </c>
      <c r="AX81" s="38">
        <f>Table43[[#This Row],[Harga Jual Pcs MT
(-PPN)]]*Table43[[#This Row],[ISI/CTN]]</f>
        <v>0</v>
      </c>
      <c r="AY81" s="38">
        <f>Table43[[#This Row],[Harga Jual Pcs MT
(-PPN)]]*1.11</f>
        <v>0</v>
      </c>
      <c r="AZ81" s="38">
        <f>Table43[[#This Row],[Harga Jual Pcs MT
(+PPN)]]*Table43[[#This Row],[ISI/CTN]]</f>
        <v>0</v>
      </c>
      <c r="BA81" s="46" t="e">
        <f>(Table43[[#This Row],[Harga Jual Pcs GT
(-PPN)]]-Table43[[#This Row],[Harga Beli Pcs
(-PPN)]])/Table43[[#This Row],[Harga Jual Pcs GT
(-PPN)]]</f>
        <v>#DIV/0!</v>
      </c>
      <c r="BB81" s="53">
        <f>Table43[[#This Row],[Harga Jual Pcs MT
(-PPN)]]-Table43[[#This Row],[Harga Beli Pcs
(-PPN)]]</f>
        <v>0</v>
      </c>
      <c r="BC81" s="54" t="e">
        <f>Table43[[#This Row],[Column1]]/Table43[[#This Row],[Harga Jual Pcs MT
(-PPN)]]</f>
        <v>#DIV/0!</v>
      </c>
      <c r="BD81" s="52"/>
      <c r="BE81" s="7"/>
      <c r="BF81" s="7" t="str">
        <f ca="1">IF(TODAY()-Table43[[#This Row],[Efektif
Pembuatan]]&gt;60,"Lama","Baru")</f>
        <v>Lama</v>
      </c>
      <c r="BG81" s="7" t="str">
        <f ca="1">IF(TODAY()-Table43[[#This Row],[Efektif Naik Harga]]&lt;30,"Naik","Sama")</f>
        <v>Sama</v>
      </c>
      <c r="BH81" s="7"/>
      <c r="BI81" s="7" t="str">
        <f>IF(Table43[[#This Row],[Kode BARANG Win2]]&lt;&gt;"","IDR","")</f>
        <v>IDR</v>
      </c>
      <c r="BJ81" s="7" t="str">
        <f>CONCATENATE(Table43[[#This Row],[kode  1 Digit
(Nomor)]],Table43[[#This Row],[kode  4 Digit                (Nomor)]])</f>
        <v>0180</v>
      </c>
      <c r="BK81" s="7" t="str">
        <f>Table43[[#This Row],[Nama            Gramasi atau Jumlah Pack per CTN]]</f>
        <v>180ML</v>
      </c>
      <c r="BL81" s="7"/>
      <c r="BM81" s="7"/>
      <c r="BN81" s="4" t="str">
        <f>IF(Table43[[#This Row],[SATUAN Fix Win]]&lt;&gt;"","KRT")</f>
        <v>KRT</v>
      </c>
      <c r="BO81" s="4" t="str">
        <f>IF(Table43[[#This Row],[SATUAN Fix Win]]&lt;&gt;"","GD01")</f>
        <v>GD01</v>
      </c>
      <c r="BP81" s="4">
        <f>IF(Table43[[#This Row],[SATUAN Fix Win]]&lt;&gt;"",11611)</f>
        <v>11611</v>
      </c>
      <c r="BQ81" s="4">
        <f>IF(Table43[[#This Row],[SATUAN Fix Win]]&lt;&gt;"",11612)</f>
        <v>11612</v>
      </c>
      <c r="BS81" s="4">
        <f>IF(Table43[[#This Row],[SATUAN Fix Win]]&lt;&gt;"",1)</f>
        <v>1</v>
      </c>
      <c r="BU81" s="4">
        <f>Table43[[#This Row],[ISI/CTN]]</f>
        <v>12</v>
      </c>
    </row>
    <row r="82" spans="1:73">
      <c r="A82" s="4" t="str">
        <f>CONCATENATE(Table43[[#This Row],[Kode BARANG Win2]],Table43[[#This Row],[No. Urut
Item Sama]])</f>
        <v>G1071007018010</v>
      </c>
      <c r="B82" s="7"/>
      <c r="C82" s="31">
        <v>30070100400000</v>
      </c>
      <c r="D82" s="51">
        <v>40060019</v>
      </c>
      <c r="E82" s="27" t="s">
        <v>1900</v>
      </c>
      <c r="F82" s="51">
        <v>30070010200000</v>
      </c>
      <c r="G82" s="51">
        <v>0</v>
      </c>
      <c r="H82" s="27" t="s">
        <v>1151</v>
      </c>
      <c r="I82" s="27">
        <v>12</v>
      </c>
      <c r="J82" s="51" t="s">
        <v>1592</v>
      </c>
      <c r="K82" s="27" t="str">
        <f>Table43[[#This Row],[NamaJenisKemasan]]</f>
        <v>KLG</v>
      </c>
      <c r="L82" s="4" t="str">
        <f>TRIM(CONCATENATE(Table43[[#This Row],[Nama            KLP]]," ",Table43[[#This Row],[Nama            Sub KLP]]))</f>
        <v>HIT AEROSOL</v>
      </c>
      <c r="M82" s="4" t="str">
        <f>CONCATENATE(Table43[[#This Row],[kode  2 Digit                (hrf+No)]],Table43[[#This Row],[kode  2 Digit                (Nomor)]],Table43[[#This Row],[kode  1 Digit                (Nomor)]])</f>
        <v>G1071</v>
      </c>
      <c r="N82" s="4" t="str">
        <f>IF(AI82="",CONCATENATE(S82,U82,W82,Y82,AA82,AC82,AE82,AG82,Table43[[#This Row],[Tanda Kode Revisi]]),CONCATENATE(S82,U82,W82,Y82,AA82,AC82,AE82,AI82))</f>
        <v>G1071007018010</v>
      </c>
      <c r="O82" s="11">
        <f t="shared" si="2"/>
        <v>14</v>
      </c>
      <c r="P82" s="14" t="str">
        <f>IF(AH82&lt;&gt;"",TRIM(UPPER(CONCATENATE(R82," ",T82," ",V82," ",X82," ",Z82," ",AB82," ","X"," ",Table43[[#This Row],[ISI/CTN]]," ",AH82," ",AD82," ",AF82," ",AJ82))),TRIM(UPPER(CONCATENATE(R82," ",T82," ",V82," ",X82," ",Z82," ",AB82," ","X"," ",Table43[[#This Row],[ISI/CTN]]," ",AD82," ",AF82," ",AJ82))))</f>
        <v>HIT AEROSOL LILY BLOSSOM 180ML X 12 KLG</v>
      </c>
      <c r="Q82" s="11">
        <f t="shared" si="3"/>
        <v>39</v>
      </c>
      <c r="S82" s="7" t="s">
        <v>34</v>
      </c>
      <c r="T82" s="4" t="s">
        <v>2242</v>
      </c>
      <c r="U82" s="47" t="s">
        <v>2544</v>
      </c>
      <c r="V82" s="48" t="s">
        <v>2243</v>
      </c>
      <c r="W82" s="7">
        <v>1</v>
      </c>
      <c r="X82" s="48"/>
      <c r="Y82" s="47" t="s">
        <v>1116</v>
      </c>
      <c r="Z82" s="4" t="s">
        <v>2249</v>
      </c>
      <c r="AA82" s="49" t="s">
        <v>2544</v>
      </c>
      <c r="AB82" s="4" t="s">
        <v>641</v>
      </c>
      <c r="AC82" s="49" t="s">
        <v>2602</v>
      </c>
      <c r="AD82" s="4" t="s">
        <v>2221</v>
      </c>
      <c r="AE82" s="7">
        <v>1</v>
      </c>
      <c r="AG82" s="7">
        <v>0</v>
      </c>
      <c r="AK82" s="70">
        <f>Table43[[#This Row],[Column4]]</f>
        <v>30070010200000</v>
      </c>
      <c r="AN82" s="7">
        <f>Table43[[#This Row],[ISI/CTN]]</f>
        <v>12</v>
      </c>
      <c r="AO82" s="61">
        <f>Table43[[#This Row],[Harga Jual Pcs GT
(-PPN)]]-(Table43[[#This Row],[Harga Jual Pcs GT
(-PPN)]]*6.5%)</f>
        <v>13161.06</v>
      </c>
      <c r="AP82" s="61">
        <f>Table43[[#This Row],[Harga Beli Pcs
(-PPN)]]*Table43[[#This Row],[ISI/CTN]]</f>
        <v>157932.72</v>
      </c>
      <c r="AQ82" s="61">
        <f>Table43[[#This Row],[Harga Beli Pcs
(-PPN)]]*1.11</f>
        <v>14608.776600000001</v>
      </c>
      <c r="AR82" s="61">
        <f>Table43[[#This Row],[Harga Beli Krt
(- PPN)]]*1.11</f>
        <v>175305.31920000003</v>
      </c>
      <c r="AS82" s="61">
        <v>14076</v>
      </c>
      <c r="AT82" s="61">
        <f>Table43[[#This Row],[Harga Jual Pcs GT
(-PPN)]]*Table43[[#This Row],[ISI/CTN]]</f>
        <v>168912</v>
      </c>
      <c r="AU82" s="61">
        <f>Table43[[#This Row],[Harga Jual Pcs GT
(-PPN)]]*1.11</f>
        <v>15624.36</v>
      </c>
      <c r="AV82" s="61">
        <f>Table43[[#This Row],[Harga Jual Krt GT
(- PPN)]]*1.11</f>
        <v>187492.32</v>
      </c>
      <c r="AW82" s="61">
        <f>IFERROR(VLOOKUP(Table43[[#This Row],[Kode Pcpl]],'[1]FEB 2026'!$A$3:$X$312,24,0),0)</f>
        <v>0</v>
      </c>
      <c r="AX82" s="61">
        <f>Table43[[#This Row],[Harga Jual Pcs MT
(-PPN)]]*Table43[[#This Row],[ISI/CTN]]</f>
        <v>0</v>
      </c>
      <c r="AY82" s="61">
        <f>Table43[[#This Row],[Harga Jual Pcs MT
(-PPN)]]*1.11</f>
        <v>0</v>
      </c>
      <c r="AZ82" s="61">
        <f>Table43[[#This Row],[Harga Jual Pcs MT
(+PPN)]]*Table43[[#This Row],[ISI/CTN]]</f>
        <v>0</v>
      </c>
      <c r="BA82" s="62">
        <f>(Table43[[#This Row],[Harga Jual Pcs GT
(-PPN)]]-Table43[[#This Row],[Harga Beli Pcs
(-PPN)]])/Table43[[#This Row],[Harga Jual Pcs GT
(-PPN)]]</f>
        <v>6.500000000000003E-2</v>
      </c>
      <c r="BB82" s="63">
        <f>Table43[[#This Row],[Harga Jual Pcs MT
(-PPN)]]-Table43[[#This Row],[Harga Beli Pcs
(-PPN)]]</f>
        <v>-13161.06</v>
      </c>
      <c r="BC82" s="64" t="e">
        <f>Table43[[#This Row],[Column1]]/Table43[[#This Row],[Harga Jual Pcs MT
(-PPN)]]</f>
        <v>#DIV/0!</v>
      </c>
      <c r="BD82" s="52"/>
      <c r="BE82" s="7"/>
      <c r="BF82" s="7" t="str">
        <f ca="1">IF(TODAY()-Table43[[#This Row],[Efektif
Pembuatan]]&gt;60,"Lama","Baru")</f>
        <v>Lama</v>
      </c>
      <c r="BG82" s="7" t="str">
        <f ca="1">IF(TODAY()-Table43[[#This Row],[Efektif Naik Harga]]&lt;30,"Naik","Sama")</f>
        <v>Sama</v>
      </c>
      <c r="BH82" s="7"/>
      <c r="BI82" s="7" t="str">
        <f>IF(Table43[[#This Row],[Kode BARANG Win2]]&lt;&gt;"","IDR","")</f>
        <v>IDR</v>
      </c>
      <c r="BJ82" s="7" t="str">
        <f>CONCATENATE(Table43[[#This Row],[kode  1 Digit
(Nomor)]],Table43[[#This Row],[kode  4 Digit                (Nomor)]])</f>
        <v>0180</v>
      </c>
      <c r="BK82" s="7" t="str">
        <f>Table43[[#This Row],[Nama            Gramasi atau Jumlah Pack per CTN]]</f>
        <v>180ML</v>
      </c>
      <c r="BL82" s="7"/>
      <c r="BM82" s="7"/>
      <c r="BN82" s="4" t="str">
        <f>IF(Table43[[#This Row],[SATUAN Fix Win]]&lt;&gt;"","KRT")</f>
        <v>KRT</v>
      </c>
      <c r="BO82" s="4" t="str">
        <f>IF(Table43[[#This Row],[SATUAN Fix Win]]&lt;&gt;"","GD01")</f>
        <v>GD01</v>
      </c>
      <c r="BP82" s="4">
        <f>IF(Table43[[#This Row],[SATUAN Fix Win]]&lt;&gt;"",11611)</f>
        <v>11611</v>
      </c>
      <c r="BQ82" s="4">
        <f>IF(Table43[[#This Row],[SATUAN Fix Win]]&lt;&gt;"",11612)</f>
        <v>11612</v>
      </c>
      <c r="BS82" s="4">
        <f>IF(Table43[[#This Row],[SATUAN Fix Win]]&lt;&gt;"",1)</f>
        <v>1</v>
      </c>
      <c r="BU82" s="4">
        <f>Table43[[#This Row],[ISI/CTN]]</f>
        <v>12</v>
      </c>
    </row>
    <row r="83" spans="1:73">
      <c r="A83" s="4" t="str">
        <f>CONCATENATE(Table43[[#This Row],[Kode BARANG Win2]],Table43[[#This Row],[No. Urut
Item Sama]])</f>
        <v>G1071007018010</v>
      </c>
      <c r="B83" s="7"/>
      <c r="C83" s="31"/>
      <c r="D83" s="51">
        <v>40023905</v>
      </c>
      <c r="E83" s="27"/>
      <c r="F83" s="51"/>
      <c r="G83" s="51"/>
      <c r="H83" s="27"/>
      <c r="I83" s="27">
        <v>12</v>
      </c>
      <c r="J83" s="51" t="s">
        <v>1592</v>
      </c>
      <c r="K83" s="27" t="str">
        <f>Table43[[#This Row],[NamaJenisKemasan]]</f>
        <v>KLG</v>
      </c>
      <c r="L83" s="4" t="str">
        <f>TRIM(CONCATENATE(Table43[[#This Row],[Nama            KLP]]," ",Table43[[#This Row],[Nama            Sub KLP]]))</f>
        <v>HIT AEROSOL</v>
      </c>
      <c r="M83" s="4" t="str">
        <f>CONCATENATE(Table43[[#This Row],[kode  2 Digit                (hrf+No)]],Table43[[#This Row],[kode  2 Digit                (Nomor)]],Table43[[#This Row],[kode  1 Digit                (Nomor)]])</f>
        <v>G1071</v>
      </c>
      <c r="N83" s="4" t="str">
        <f>IF(AI83="",CONCATENATE(S83,U83,W83,Y83,AA83,AC83,AE83,AG83,Table43[[#This Row],[Tanda Kode Revisi]]),CONCATENATE(S83,U83,W83,Y83,AA83,AC83,AE83,AI83))</f>
        <v>G1071007018010</v>
      </c>
      <c r="O83" s="11">
        <f>LEN(N83)</f>
        <v>14</v>
      </c>
      <c r="P83" s="14" t="str">
        <f>IF(AH83&lt;&gt;"",TRIM(UPPER(CONCATENATE(R83," ",T83," ",V83," ",X83," ",Z83," ",AB83," ","X"," ",Table43[[#This Row],[ISI/CTN]]," ",AH83," ",AD83," ",AF83," ",AJ83))),TRIM(UPPER(CONCATENATE(R83," ",T83," ",V83," ",X83," ",Z83," ",AB83," ","X"," ",Table43[[#This Row],[ISI/CTN]]," ",AD83," ",AF83," ",AJ83))))</f>
        <v>HIT AEROSOL LILY BLOSSOM 180ML X 12 KLG</v>
      </c>
      <c r="Q83" s="11">
        <f>LEN(P83)</f>
        <v>39</v>
      </c>
      <c r="S83" s="7" t="s">
        <v>34</v>
      </c>
      <c r="T83" s="4" t="s">
        <v>2242</v>
      </c>
      <c r="U83" s="47" t="s">
        <v>2544</v>
      </c>
      <c r="V83" s="48" t="s">
        <v>2243</v>
      </c>
      <c r="W83" s="7">
        <v>1</v>
      </c>
      <c r="X83" s="48"/>
      <c r="Y83" s="47" t="s">
        <v>1116</v>
      </c>
      <c r="Z83" s="4" t="s">
        <v>2249</v>
      </c>
      <c r="AA83" s="49" t="s">
        <v>2544</v>
      </c>
      <c r="AB83" s="4" t="s">
        <v>641</v>
      </c>
      <c r="AC83" s="49" t="s">
        <v>2602</v>
      </c>
      <c r="AD83" s="4" t="s">
        <v>2221</v>
      </c>
      <c r="AE83" s="7">
        <v>1</v>
      </c>
      <c r="AG83" s="7">
        <v>0</v>
      </c>
      <c r="AK83" s="70">
        <f>Table43[[#This Row],[Column4]]</f>
        <v>0</v>
      </c>
      <c r="AN83" s="7">
        <f>Table43[[#This Row],[ISI/CTN]]</f>
        <v>12</v>
      </c>
      <c r="AO83" s="61">
        <f>Table43[[#This Row],[Harga Jual Pcs GT
(-PPN)]]-(Table43[[#This Row],[Harga Jual Pcs GT
(-PPN)]]*6.5%)</f>
        <v>0</v>
      </c>
      <c r="AP83" s="61">
        <f>Table43[[#This Row],[Harga Beli Pcs
(-PPN)]]*Table43[[#This Row],[ISI/CTN]]</f>
        <v>0</v>
      </c>
      <c r="AQ83" s="61">
        <f>Table43[[#This Row],[Harga Beli Pcs
(-PPN)]]*1.11</f>
        <v>0</v>
      </c>
      <c r="AR83" s="61">
        <f>Table43[[#This Row],[Harga Beli Krt
(- PPN)]]*1.11</f>
        <v>0</v>
      </c>
      <c r="AS83" s="61"/>
      <c r="AT83" s="61">
        <f>Table43[[#This Row],[Harga Jual Pcs GT
(-PPN)]]*Table43[[#This Row],[ISI/CTN]]</f>
        <v>0</v>
      </c>
      <c r="AU83" s="61">
        <f>Table43[[#This Row],[Harga Jual Pcs GT
(-PPN)]]*1.11</f>
        <v>0</v>
      </c>
      <c r="AV83" s="61">
        <f>Table43[[#This Row],[Harga Jual Krt GT
(- PPN)]]*1.11</f>
        <v>0</v>
      </c>
      <c r="AW83" s="61">
        <f>IFERROR(VLOOKUP(Table43[[#This Row],[Kode Pcpl]],'[1]FEB 2026'!$A$3:$X$312,24,0),0)</f>
        <v>0</v>
      </c>
      <c r="AX83" s="61">
        <f>Table43[[#This Row],[Harga Jual Pcs MT
(-PPN)]]*Table43[[#This Row],[ISI/CTN]]</f>
        <v>0</v>
      </c>
      <c r="AY83" s="61">
        <f>Table43[[#This Row],[Harga Jual Pcs MT
(-PPN)]]*1.11</f>
        <v>0</v>
      </c>
      <c r="AZ83" s="61">
        <f>Table43[[#This Row],[Harga Jual Pcs MT
(+PPN)]]*Table43[[#This Row],[ISI/CTN]]</f>
        <v>0</v>
      </c>
      <c r="BA83" s="62" t="e">
        <f>(Table43[[#This Row],[Harga Jual Pcs GT
(-PPN)]]-Table43[[#This Row],[Harga Beli Pcs
(-PPN)]])/Table43[[#This Row],[Harga Jual Pcs GT
(-PPN)]]</f>
        <v>#DIV/0!</v>
      </c>
      <c r="BB83" s="63">
        <f>Table43[[#This Row],[Harga Jual Pcs MT
(-PPN)]]-Table43[[#This Row],[Harga Beli Pcs
(-PPN)]]</f>
        <v>0</v>
      </c>
      <c r="BC83" s="64" t="e">
        <f>Table43[[#This Row],[Column1]]/Table43[[#This Row],[Harga Jual Pcs MT
(-PPN)]]</f>
        <v>#DIV/0!</v>
      </c>
      <c r="BD83" s="52"/>
      <c r="BE83" s="7"/>
      <c r="BF83" s="7" t="str">
        <f ca="1">IF(TODAY()-Table43[[#This Row],[Efektif
Pembuatan]]&gt;60,"Lama","Baru")</f>
        <v>Lama</v>
      </c>
      <c r="BG83" s="7" t="str">
        <f ca="1">IF(TODAY()-Table43[[#This Row],[Efektif Naik Harga]]&lt;30,"Naik","Sama")</f>
        <v>Sama</v>
      </c>
      <c r="BH83" s="7"/>
      <c r="BI83" s="7" t="str">
        <f>IF(Table43[[#This Row],[Kode BARANG Win2]]&lt;&gt;"","IDR","")</f>
        <v>IDR</v>
      </c>
      <c r="BJ83" s="7" t="str">
        <f>CONCATENATE(Table43[[#This Row],[kode  1 Digit
(Nomor)]],Table43[[#This Row],[kode  4 Digit                (Nomor)]])</f>
        <v>0180</v>
      </c>
      <c r="BK83" s="7" t="str">
        <f>Table43[[#This Row],[Nama            Gramasi atau Jumlah Pack per CTN]]</f>
        <v>180ML</v>
      </c>
      <c r="BL83" s="7"/>
      <c r="BM83" s="7"/>
      <c r="BN83" s="4" t="str">
        <f>IF(Table43[[#This Row],[SATUAN Fix Win]]&lt;&gt;"","KRT")</f>
        <v>KRT</v>
      </c>
      <c r="BO83" s="4" t="str">
        <f>IF(Table43[[#This Row],[SATUAN Fix Win]]&lt;&gt;"","GD01")</f>
        <v>GD01</v>
      </c>
      <c r="BP83" s="4">
        <f>IF(Table43[[#This Row],[SATUAN Fix Win]]&lt;&gt;"",11611)</f>
        <v>11611</v>
      </c>
      <c r="BQ83" s="4">
        <f>IF(Table43[[#This Row],[SATUAN Fix Win]]&lt;&gt;"",11612)</f>
        <v>11612</v>
      </c>
      <c r="BS83" s="4">
        <f>IF(Table43[[#This Row],[SATUAN Fix Win]]&lt;&gt;"",1)</f>
        <v>1</v>
      </c>
      <c r="BU83" s="4">
        <f>Table43[[#This Row],[ISI/CTN]]</f>
        <v>12</v>
      </c>
    </row>
    <row r="84" spans="1:73">
      <c r="A84" s="4" t="str">
        <f>CONCATENATE(Table43[[#This Row],[Kode BARANG Win2]],Table43[[#This Row],[No. Urut
Item Sama]])</f>
        <v>G1071007018010</v>
      </c>
      <c r="B84" s="7"/>
      <c r="C84" s="31"/>
      <c r="D84" s="51">
        <v>40038010</v>
      </c>
      <c r="E84" s="27"/>
      <c r="F84" s="51"/>
      <c r="G84" s="51"/>
      <c r="H84" s="27"/>
      <c r="I84" s="27">
        <v>12</v>
      </c>
      <c r="J84" s="51" t="s">
        <v>1592</v>
      </c>
      <c r="K84" s="27" t="str">
        <f>Table43[[#This Row],[NamaJenisKemasan]]</f>
        <v>KLG</v>
      </c>
      <c r="L84" s="4" t="str">
        <f>TRIM(CONCATENATE(Table43[[#This Row],[Nama            KLP]]," ",Table43[[#This Row],[Nama            Sub KLP]]))</f>
        <v>HIT AEROSOL</v>
      </c>
      <c r="M84" s="4" t="str">
        <f>CONCATENATE(Table43[[#This Row],[kode  2 Digit                (hrf+No)]],Table43[[#This Row],[kode  2 Digit                (Nomor)]],Table43[[#This Row],[kode  1 Digit                (Nomor)]])</f>
        <v>G1071</v>
      </c>
      <c r="N84" s="4" t="str">
        <f>IF(AI84="",CONCATENATE(S84,U84,W84,Y84,AA84,AC84,AE84,AG84,Table43[[#This Row],[Tanda Kode Revisi]]),CONCATENATE(S84,U84,W84,Y84,AA84,AC84,AE84,AI84))</f>
        <v>G1071007018010</v>
      </c>
      <c r="O84" s="11">
        <f t="shared" si="2"/>
        <v>14</v>
      </c>
      <c r="P84" s="14" t="str">
        <f>IF(AH84&lt;&gt;"",TRIM(UPPER(CONCATENATE(R84," ",T84," ",V84," ",X84," ",Z84," ",AB84," ","X"," ",Table43[[#This Row],[ISI/CTN]]," ",AH84," ",AD84," ",AF84," ",AJ84))),TRIM(UPPER(CONCATENATE(R84," ",T84," ",V84," ",X84," ",Z84," ",AB84," ","X"," ",Table43[[#This Row],[ISI/CTN]]," ",AD84," ",AF84," ",AJ84))))</f>
        <v>HIT AEROSOL LILY BLOSSOM 180ML X 12 KLG</v>
      </c>
      <c r="Q84" s="11">
        <f t="shared" si="3"/>
        <v>39</v>
      </c>
      <c r="S84" s="7" t="s">
        <v>34</v>
      </c>
      <c r="T84" s="4" t="s">
        <v>2242</v>
      </c>
      <c r="U84" s="47" t="s">
        <v>2544</v>
      </c>
      <c r="V84" s="48" t="s">
        <v>2243</v>
      </c>
      <c r="W84" s="7">
        <v>1</v>
      </c>
      <c r="X84" s="48"/>
      <c r="Y84" s="47" t="s">
        <v>1116</v>
      </c>
      <c r="Z84" s="4" t="s">
        <v>2249</v>
      </c>
      <c r="AA84" s="49" t="s">
        <v>2544</v>
      </c>
      <c r="AB84" s="4" t="s">
        <v>641</v>
      </c>
      <c r="AC84" s="49" t="s">
        <v>2602</v>
      </c>
      <c r="AD84" s="4" t="s">
        <v>2221</v>
      </c>
      <c r="AE84" s="7">
        <v>1</v>
      </c>
      <c r="AG84" s="7">
        <v>0</v>
      </c>
      <c r="AK84" s="70">
        <f>Table43[[#This Row],[Column4]]</f>
        <v>0</v>
      </c>
      <c r="AN84" s="7">
        <f>Table43[[#This Row],[ISI/CTN]]</f>
        <v>12</v>
      </c>
      <c r="AO84" s="61">
        <f>Table43[[#This Row],[Harga Jual Pcs GT
(-PPN)]]-(Table43[[#This Row],[Harga Jual Pcs GT
(-PPN)]]*6.5%)</f>
        <v>13161.06</v>
      </c>
      <c r="AP84" s="61">
        <f>Table43[[#This Row],[Harga Beli Pcs
(-PPN)]]*Table43[[#This Row],[ISI/CTN]]</f>
        <v>157932.72</v>
      </c>
      <c r="AQ84" s="61">
        <f>Table43[[#This Row],[Harga Beli Pcs
(-PPN)]]*1.11</f>
        <v>14608.776600000001</v>
      </c>
      <c r="AR84" s="61">
        <f>Table43[[#This Row],[Harga Beli Krt
(- PPN)]]*1.11</f>
        <v>175305.31920000003</v>
      </c>
      <c r="AS84" s="61">
        <v>14076</v>
      </c>
      <c r="AT84" s="61">
        <f>Table43[[#This Row],[Harga Jual Pcs GT
(-PPN)]]*Table43[[#This Row],[ISI/CTN]]</f>
        <v>168912</v>
      </c>
      <c r="AU84" s="61">
        <f>Table43[[#This Row],[Harga Jual Pcs GT
(-PPN)]]*1.11</f>
        <v>15624.36</v>
      </c>
      <c r="AV84" s="61">
        <f>Table43[[#This Row],[Harga Jual Krt GT
(- PPN)]]*1.11</f>
        <v>187492.32</v>
      </c>
      <c r="AW84" s="61">
        <f>IFERROR(VLOOKUP(Table43[[#This Row],[Kode Pcpl]],'[1]FEB 2026'!$A$3:$X$312,24,0),0)</f>
        <v>0</v>
      </c>
      <c r="AX84" s="61">
        <f>Table43[[#This Row],[Harga Jual Pcs MT
(-PPN)]]*Table43[[#This Row],[ISI/CTN]]</f>
        <v>0</v>
      </c>
      <c r="AY84" s="61">
        <f>Table43[[#This Row],[Harga Jual Pcs MT
(-PPN)]]*1.11</f>
        <v>0</v>
      </c>
      <c r="AZ84" s="61">
        <f>Table43[[#This Row],[Harga Jual Pcs MT
(+PPN)]]*Table43[[#This Row],[ISI/CTN]]</f>
        <v>0</v>
      </c>
      <c r="BA84" s="62">
        <f>(Table43[[#This Row],[Harga Jual Pcs GT
(-PPN)]]-Table43[[#This Row],[Harga Beli Pcs
(-PPN)]])/Table43[[#This Row],[Harga Jual Pcs GT
(-PPN)]]</f>
        <v>6.500000000000003E-2</v>
      </c>
      <c r="BB84" s="63">
        <f>Table43[[#This Row],[Harga Jual Pcs MT
(-PPN)]]-Table43[[#This Row],[Harga Beli Pcs
(-PPN)]]</f>
        <v>-13161.06</v>
      </c>
      <c r="BC84" s="64" t="e">
        <f>Table43[[#This Row],[Column1]]/Table43[[#This Row],[Harga Jual Pcs MT
(-PPN)]]</f>
        <v>#DIV/0!</v>
      </c>
      <c r="BD84" s="52"/>
      <c r="BE84" s="7"/>
      <c r="BF84" s="7" t="str">
        <f ca="1">IF(TODAY()-Table43[[#This Row],[Efektif
Pembuatan]]&gt;60,"Lama","Baru")</f>
        <v>Lama</v>
      </c>
      <c r="BG84" s="7" t="str">
        <f ca="1">IF(TODAY()-Table43[[#This Row],[Efektif Naik Harga]]&lt;30,"Naik","Sama")</f>
        <v>Sama</v>
      </c>
      <c r="BH84" s="7"/>
      <c r="BI84" s="7" t="str">
        <f>IF(Table43[[#This Row],[Kode BARANG Win2]]&lt;&gt;"","IDR","")</f>
        <v>IDR</v>
      </c>
      <c r="BJ84" s="7" t="str">
        <f>CONCATENATE(Table43[[#This Row],[kode  1 Digit
(Nomor)]],Table43[[#This Row],[kode  4 Digit                (Nomor)]])</f>
        <v>0180</v>
      </c>
      <c r="BK84" s="7" t="str">
        <f>Table43[[#This Row],[Nama            Gramasi atau Jumlah Pack per CTN]]</f>
        <v>180ML</v>
      </c>
      <c r="BL84" s="7"/>
      <c r="BM84" s="7"/>
      <c r="BN84" s="4" t="str">
        <f>IF(Table43[[#This Row],[SATUAN Fix Win]]&lt;&gt;"","KRT")</f>
        <v>KRT</v>
      </c>
      <c r="BO84" s="4" t="str">
        <f>IF(Table43[[#This Row],[SATUAN Fix Win]]&lt;&gt;"","GD01")</f>
        <v>GD01</v>
      </c>
      <c r="BP84" s="4">
        <f>IF(Table43[[#This Row],[SATUAN Fix Win]]&lt;&gt;"",11611)</f>
        <v>11611</v>
      </c>
      <c r="BQ84" s="4">
        <f>IF(Table43[[#This Row],[SATUAN Fix Win]]&lt;&gt;"",11612)</f>
        <v>11612</v>
      </c>
      <c r="BS84" s="4">
        <f>IF(Table43[[#This Row],[SATUAN Fix Win]]&lt;&gt;"",1)</f>
        <v>1</v>
      </c>
      <c r="BU84" s="4">
        <f>Table43[[#This Row],[ISI/CTN]]</f>
        <v>12</v>
      </c>
    </row>
    <row r="85" spans="1:73">
      <c r="A85" s="4" t="str">
        <f>CONCATENATE(Table43[[#This Row],[Kode BARANG Win2]],Table43[[#This Row],[No. Urut
Item Sama]])</f>
        <v>G1071007040010</v>
      </c>
      <c r="B85" s="7"/>
      <c r="C85" s="31">
        <v>30070030400000</v>
      </c>
      <c r="D85" s="59">
        <v>40059922</v>
      </c>
      <c r="E85" s="60" t="s">
        <v>1901</v>
      </c>
      <c r="F85" s="59">
        <v>30070010415000</v>
      </c>
      <c r="G85" s="59">
        <v>0</v>
      </c>
      <c r="H85" s="60" t="s">
        <v>1564</v>
      </c>
      <c r="I85" s="60">
        <v>12</v>
      </c>
      <c r="J85" s="59" t="s">
        <v>1593</v>
      </c>
      <c r="K85" s="60" t="str">
        <f>Table43[[#This Row],[NamaJenisKemasan]]</f>
        <v>KLG</v>
      </c>
      <c r="L85" s="4" t="str">
        <f>TRIM(CONCATENATE(Table43[[#This Row],[Nama            KLP]]," ",Table43[[#This Row],[Nama            Sub KLP]]))</f>
        <v>HIT AEROSOL</v>
      </c>
      <c r="M85" s="4" t="str">
        <f>CONCATENATE(Table43[[#This Row],[kode  2 Digit                (hrf+No)]],Table43[[#This Row],[kode  2 Digit                (Nomor)]],Table43[[#This Row],[kode  1 Digit                (Nomor)]])</f>
        <v>G1071</v>
      </c>
      <c r="N85" s="4" t="str">
        <f>IF(AI85="",CONCATENATE(S85,U85,W85,Y85,AA85,AC85,AE85,AG85,Table43[[#This Row],[Tanda Kode Revisi]]),CONCATENATE(S85,U85,W85,Y85,AA85,AC85,AE85,AI85))</f>
        <v>G1071007040010</v>
      </c>
      <c r="O85" s="11">
        <f t="shared" si="2"/>
        <v>14</v>
      </c>
      <c r="P85" s="14" t="str">
        <f>IF(AH85&lt;&gt;"",TRIM(UPPER(CONCATENATE(R85," ",T85," ",V85," ",X85," ",Z85," ",AB85," ","X"," ",Table43[[#This Row],[ISI/CTN]]," ",AH85," ",AD85," ",AF85," ",AJ85))),TRIM(UPPER(CONCATENATE(R85," ",T85," ",V85," ",X85," ",Z85," ",AB85," ","X"," ",Table43[[#This Row],[ISI/CTN]]," ",AD85," ",AF85," ",AJ85))))</f>
        <v>HIT AEROSOL LILY BLOSSOM 415/400ML X 12 KLG</v>
      </c>
      <c r="Q85" s="11">
        <f t="shared" si="3"/>
        <v>43</v>
      </c>
      <c r="S85" s="7" t="s">
        <v>34</v>
      </c>
      <c r="T85" s="4" t="s">
        <v>2242</v>
      </c>
      <c r="U85" s="47" t="s">
        <v>2544</v>
      </c>
      <c r="V85" s="48" t="s">
        <v>2243</v>
      </c>
      <c r="W85" s="7">
        <v>1</v>
      </c>
      <c r="X85" s="48"/>
      <c r="Y85" s="47" t="s">
        <v>1116</v>
      </c>
      <c r="Z85" s="4" t="s">
        <v>2249</v>
      </c>
      <c r="AA85" s="49" t="s">
        <v>2544</v>
      </c>
      <c r="AB85" s="4" t="s">
        <v>2245</v>
      </c>
      <c r="AC85" s="49" t="s">
        <v>2624</v>
      </c>
      <c r="AD85" s="4" t="s">
        <v>2221</v>
      </c>
      <c r="AE85" s="7">
        <v>1</v>
      </c>
      <c r="AG85" s="7">
        <v>0</v>
      </c>
      <c r="AK85" s="70">
        <f>Table43[[#This Row],[Column4]]</f>
        <v>30070010415000</v>
      </c>
      <c r="AN85" s="7">
        <f>Table43[[#This Row],[ISI/CTN]]</f>
        <v>12</v>
      </c>
      <c r="AO85" s="61">
        <f>Table43[[#This Row],[Harga Jual Pcs GT
(-PPN)]]-(Table43[[#This Row],[Harga Jual Pcs GT
(-PPN)]]*6.5%)</f>
        <v>20429.75</v>
      </c>
      <c r="AP85" s="61">
        <f>Table43[[#This Row],[Harga Beli Pcs
(-PPN)]]*Table43[[#This Row],[ISI/CTN]]</f>
        <v>245157</v>
      </c>
      <c r="AQ85" s="61">
        <f>Table43[[#This Row],[Harga Beli Pcs
(-PPN)]]*1.11</f>
        <v>22677.022500000003</v>
      </c>
      <c r="AR85" s="61">
        <f>Table43[[#This Row],[Harga Beli Krt
(- PPN)]]*1.11</f>
        <v>272124.27</v>
      </c>
      <c r="AS85" s="61">
        <v>21850</v>
      </c>
      <c r="AT85" s="61">
        <f>Table43[[#This Row],[Harga Jual Pcs GT
(-PPN)]]*Table43[[#This Row],[ISI/CTN]]</f>
        <v>262200</v>
      </c>
      <c r="AU85" s="61">
        <f>Table43[[#This Row],[Harga Jual Pcs GT
(-PPN)]]*1.11</f>
        <v>24253.500000000004</v>
      </c>
      <c r="AV85" s="61">
        <f>Table43[[#This Row],[Harga Jual Krt GT
(- PPN)]]*1.11</f>
        <v>291042</v>
      </c>
      <c r="AW85" s="61">
        <f>IFERROR(VLOOKUP(Table43[[#This Row],[Kode Pcpl]],'[1]FEB 2026'!$A$3:$X$312,24,0),0)</f>
        <v>0</v>
      </c>
      <c r="AX85" s="61">
        <f>Table43[[#This Row],[Harga Jual Pcs MT
(-PPN)]]*Table43[[#This Row],[ISI/CTN]]</f>
        <v>0</v>
      </c>
      <c r="AY85" s="61">
        <f>Table43[[#This Row],[Harga Jual Pcs MT
(-PPN)]]*1.11</f>
        <v>0</v>
      </c>
      <c r="AZ85" s="61">
        <f>Table43[[#This Row],[Harga Jual Pcs MT
(+PPN)]]*Table43[[#This Row],[ISI/CTN]]</f>
        <v>0</v>
      </c>
      <c r="BA85" s="62">
        <f>(Table43[[#This Row],[Harga Jual Pcs GT
(-PPN)]]-Table43[[#This Row],[Harga Beli Pcs
(-PPN)]])/Table43[[#This Row],[Harga Jual Pcs GT
(-PPN)]]</f>
        <v>6.5000000000000002E-2</v>
      </c>
      <c r="BB85" s="63">
        <f>Table43[[#This Row],[Harga Jual Pcs MT
(-PPN)]]-Table43[[#This Row],[Harga Beli Pcs
(-PPN)]]</f>
        <v>-20429.75</v>
      </c>
      <c r="BC85" s="64" t="e">
        <f>Table43[[#This Row],[Column1]]/Table43[[#This Row],[Harga Jual Pcs MT
(-PPN)]]</f>
        <v>#DIV/0!</v>
      </c>
      <c r="BD85" s="52"/>
      <c r="BE85" s="7"/>
      <c r="BF85" s="7" t="str">
        <f ca="1">IF(TODAY()-Table43[[#This Row],[Efektif
Pembuatan]]&gt;60,"Lama","Baru")</f>
        <v>Lama</v>
      </c>
      <c r="BG85" s="7" t="str">
        <f ca="1">IF(TODAY()-Table43[[#This Row],[Efektif Naik Harga]]&lt;30,"Naik","Sama")</f>
        <v>Sama</v>
      </c>
      <c r="BH85" s="7"/>
      <c r="BI85" s="7" t="str">
        <f>IF(Table43[[#This Row],[Kode BARANG Win2]]&lt;&gt;"","IDR","")</f>
        <v>IDR</v>
      </c>
      <c r="BJ85" s="7" t="str">
        <f>CONCATENATE(Table43[[#This Row],[kode  1 Digit
(Nomor)]],Table43[[#This Row],[kode  4 Digit                (Nomor)]])</f>
        <v>0400</v>
      </c>
      <c r="BK85" s="7" t="str">
        <f>Table43[[#This Row],[Nama            Gramasi atau Jumlah Pack per CTN]]</f>
        <v>415/400ML</v>
      </c>
      <c r="BL85" s="7"/>
      <c r="BM85" s="7"/>
      <c r="BN85" s="4" t="str">
        <f>IF(Table43[[#This Row],[SATUAN Fix Win]]&lt;&gt;"","KRT")</f>
        <v>KRT</v>
      </c>
      <c r="BO85" s="4" t="str">
        <f>IF(Table43[[#This Row],[SATUAN Fix Win]]&lt;&gt;"","GD01")</f>
        <v>GD01</v>
      </c>
      <c r="BP85" s="4">
        <f>IF(Table43[[#This Row],[SATUAN Fix Win]]&lt;&gt;"",11611)</f>
        <v>11611</v>
      </c>
      <c r="BQ85" s="4">
        <f>IF(Table43[[#This Row],[SATUAN Fix Win]]&lt;&gt;"",11612)</f>
        <v>11612</v>
      </c>
      <c r="BS85" s="4">
        <f>IF(Table43[[#This Row],[SATUAN Fix Win]]&lt;&gt;"",1)</f>
        <v>1</v>
      </c>
      <c r="BU85" s="4">
        <f>Table43[[#This Row],[ISI/CTN]]</f>
        <v>12</v>
      </c>
    </row>
    <row r="86" spans="1:73">
      <c r="A86" s="4" t="str">
        <f>CONCATENATE(Table43[[#This Row],[Kode BARANG Win2]],Table43[[#This Row],[No. Urut
Item Sama]])</f>
        <v>G1071007040010</v>
      </c>
      <c r="B86" s="7"/>
      <c r="C86" s="31">
        <v>30070030600000</v>
      </c>
      <c r="D86" s="51">
        <v>40039288</v>
      </c>
      <c r="E86" s="27" t="s">
        <v>1901</v>
      </c>
      <c r="F86" s="59">
        <v>30070010415000</v>
      </c>
      <c r="G86" s="51">
        <v>0</v>
      </c>
      <c r="H86" s="27" t="s">
        <v>1152</v>
      </c>
      <c r="I86" s="27">
        <v>12</v>
      </c>
      <c r="J86" s="51" t="s">
        <v>1593</v>
      </c>
      <c r="K86" s="27" t="str">
        <f>Table43[[#This Row],[NamaJenisKemasan]]</f>
        <v>KLG</v>
      </c>
      <c r="L86" s="4" t="str">
        <f>TRIM(CONCATENATE(Table43[[#This Row],[Nama            KLP]]," ",Table43[[#This Row],[Nama            Sub KLP]]))</f>
        <v>HIT AEROSOL</v>
      </c>
      <c r="M86" s="4" t="str">
        <f>CONCATENATE(Table43[[#This Row],[kode  2 Digit                (hrf+No)]],Table43[[#This Row],[kode  2 Digit                (Nomor)]],Table43[[#This Row],[kode  1 Digit                (Nomor)]])</f>
        <v>G1071</v>
      </c>
      <c r="N86" s="4" t="str">
        <f>IF(AI86="",CONCATENATE(S86,U86,W86,Y86,AA86,AC86,AE86,AG86,Table43[[#This Row],[Tanda Kode Revisi]]),CONCATENATE(S86,U86,W86,Y86,AA86,AC86,AE86,AI86))</f>
        <v>G1071007040010</v>
      </c>
      <c r="O86" s="11">
        <f t="shared" si="2"/>
        <v>14</v>
      </c>
      <c r="P86" s="14" t="str">
        <f>IF(AH86&lt;&gt;"",TRIM(UPPER(CONCATENATE(R86," ",T86," ",V86," ",X86," ",Z86," ",AB86," ","X"," ",Table43[[#This Row],[ISI/CTN]]," ",AH86," ",AD86," ",AF86," ",AJ86))),TRIM(UPPER(CONCATENATE(R86," ",T86," ",V86," ",X86," ",Z86," ",AB86," ","X"," ",Table43[[#This Row],[ISI/CTN]]," ",AD86," ",AF86," ",AJ86))))</f>
        <v>HIT AEROSOL LILY BLOSSOM 415/400ML X 12 KLG</v>
      </c>
      <c r="Q86" s="11">
        <f t="shared" si="3"/>
        <v>43</v>
      </c>
      <c r="S86" s="7" t="s">
        <v>34</v>
      </c>
      <c r="T86" s="4" t="s">
        <v>2242</v>
      </c>
      <c r="U86" s="47" t="s">
        <v>2544</v>
      </c>
      <c r="V86" s="48" t="s">
        <v>2243</v>
      </c>
      <c r="W86" s="7">
        <v>1</v>
      </c>
      <c r="X86" s="48"/>
      <c r="Y86" s="47" t="s">
        <v>1116</v>
      </c>
      <c r="Z86" s="4" t="s">
        <v>2249</v>
      </c>
      <c r="AA86" s="49" t="s">
        <v>2544</v>
      </c>
      <c r="AB86" s="4" t="s">
        <v>2245</v>
      </c>
      <c r="AC86" s="49" t="s">
        <v>2624</v>
      </c>
      <c r="AD86" s="4" t="s">
        <v>2221</v>
      </c>
      <c r="AE86" s="7">
        <v>1</v>
      </c>
      <c r="AG86" s="7">
        <v>0</v>
      </c>
      <c r="AK86" s="70">
        <f>Table43[[#This Row],[Column4]]</f>
        <v>30070010415000</v>
      </c>
      <c r="AN86" s="7">
        <f>Table43[[#This Row],[ISI/CTN]]</f>
        <v>12</v>
      </c>
      <c r="AO86" s="61">
        <f>Table43[[#This Row],[Harga Jual Pcs GT
(-PPN)]]-(Table43[[#This Row],[Harga Jual Pcs GT
(-PPN)]]*6.5%)</f>
        <v>20429.75</v>
      </c>
      <c r="AP86" s="61">
        <f>Table43[[#This Row],[Harga Beli Pcs
(-PPN)]]*Table43[[#This Row],[ISI/CTN]]</f>
        <v>245157</v>
      </c>
      <c r="AQ86" s="61">
        <f>Table43[[#This Row],[Harga Beli Pcs
(-PPN)]]*1.11</f>
        <v>22677.022500000003</v>
      </c>
      <c r="AR86" s="61">
        <f>Table43[[#This Row],[Harga Beli Krt
(- PPN)]]*1.11</f>
        <v>272124.27</v>
      </c>
      <c r="AS86" s="61">
        <v>21850</v>
      </c>
      <c r="AT86" s="61">
        <f>Table43[[#This Row],[Harga Jual Pcs GT
(-PPN)]]*Table43[[#This Row],[ISI/CTN]]</f>
        <v>262200</v>
      </c>
      <c r="AU86" s="61">
        <f>Table43[[#This Row],[Harga Jual Pcs GT
(-PPN)]]*1.11</f>
        <v>24253.500000000004</v>
      </c>
      <c r="AV86" s="61">
        <f>Table43[[#This Row],[Harga Jual Krt GT
(- PPN)]]*1.11</f>
        <v>291042</v>
      </c>
      <c r="AW86" s="61">
        <f>IFERROR(VLOOKUP(Table43[[#This Row],[Kode Pcpl]],'[1]FEB 2026'!$A$3:$X$312,24,0),0)</f>
        <v>0</v>
      </c>
      <c r="AX86" s="61">
        <f>Table43[[#This Row],[Harga Jual Pcs MT
(-PPN)]]*Table43[[#This Row],[ISI/CTN]]</f>
        <v>0</v>
      </c>
      <c r="AY86" s="61">
        <f>Table43[[#This Row],[Harga Jual Pcs MT
(-PPN)]]*1.11</f>
        <v>0</v>
      </c>
      <c r="AZ86" s="61">
        <f>Table43[[#This Row],[Harga Jual Pcs MT
(+PPN)]]*Table43[[#This Row],[ISI/CTN]]</f>
        <v>0</v>
      </c>
      <c r="BA86" s="62">
        <f>(Table43[[#This Row],[Harga Jual Pcs GT
(-PPN)]]-Table43[[#This Row],[Harga Beli Pcs
(-PPN)]])/Table43[[#This Row],[Harga Jual Pcs GT
(-PPN)]]</f>
        <v>6.5000000000000002E-2</v>
      </c>
      <c r="BB86" s="63">
        <f>Table43[[#This Row],[Harga Jual Pcs MT
(-PPN)]]-Table43[[#This Row],[Harga Beli Pcs
(-PPN)]]</f>
        <v>-20429.75</v>
      </c>
      <c r="BC86" s="64" t="e">
        <f>Table43[[#This Row],[Column1]]/Table43[[#This Row],[Harga Jual Pcs MT
(-PPN)]]</f>
        <v>#DIV/0!</v>
      </c>
      <c r="BD86" s="52"/>
      <c r="BE86" s="7"/>
      <c r="BF86" s="7" t="str">
        <f ca="1">IF(TODAY()-Table43[[#This Row],[Efektif
Pembuatan]]&gt;60,"Lama","Baru")</f>
        <v>Lama</v>
      </c>
      <c r="BG86" s="7" t="str">
        <f ca="1">IF(TODAY()-Table43[[#This Row],[Efektif Naik Harga]]&lt;30,"Naik","Sama")</f>
        <v>Sama</v>
      </c>
      <c r="BH86" s="7"/>
      <c r="BI86" s="7" t="str">
        <f>IF(Table43[[#This Row],[Kode BARANG Win2]]&lt;&gt;"","IDR","")</f>
        <v>IDR</v>
      </c>
      <c r="BJ86" s="7" t="str">
        <f>CONCATENATE(Table43[[#This Row],[kode  1 Digit
(Nomor)]],Table43[[#This Row],[kode  4 Digit                (Nomor)]])</f>
        <v>0400</v>
      </c>
      <c r="BK86" s="7" t="str">
        <f>Table43[[#This Row],[Nama            Gramasi atau Jumlah Pack per CTN]]</f>
        <v>415/400ML</v>
      </c>
      <c r="BL86" s="7"/>
      <c r="BM86" s="7"/>
      <c r="BN86" s="4" t="str">
        <f>IF(Table43[[#This Row],[SATUAN Fix Win]]&lt;&gt;"","KRT")</f>
        <v>KRT</v>
      </c>
      <c r="BO86" s="4" t="str">
        <f>IF(Table43[[#This Row],[SATUAN Fix Win]]&lt;&gt;"","GD01")</f>
        <v>GD01</v>
      </c>
      <c r="BP86" s="4">
        <f>IF(Table43[[#This Row],[SATUAN Fix Win]]&lt;&gt;"",11611)</f>
        <v>11611</v>
      </c>
      <c r="BQ86" s="4">
        <f>IF(Table43[[#This Row],[SATUAN Fix Win]]&lt;&gt;"",11612)</f>
        <v>11612</v>
      </c>
      <c r="BS86" s="4">
        <f>IF(Table43[[#This Row],[SATUAN Fix Win]]&lt;&gt;"",1)</f>
        <v>1</v>
      </c>
      <c r="BU86" s="4">
        <f>Table43[[#This Row],[ISI/CTN]]</f>
        <v>12</v>
      </c>
    </row>
    <row r="87" spans="1:73">
      <c r="A87" s="4" t="str">
        <f>CONCATENATE(Table43[[#This Row],[Kode BARANG Win2]],Table43[[#This Row],[No. Urut
Item Sama]])</f>
        <v>G1071007040010</v>
      </c>
      <c r="B87" s="7"/>
      <c r="C87" s="31"/>
      <c r="D87" s="51">
        <v>40038011</v>
      </c>
      <c r="E87" s="27"/>
      <c r="F87" s="51"/>
      <c r="G87" s="51"/>
      <c r="H87" s="27"/>
      <c r="I87" s="27">
        <v>12</v>
      </c>
      <c r="J87" s="51" t="s">
        <v>1593</v>
      </c>
      <c r="K87" s="27" t="str">
        <f>Table43[[#This Row],[NamaJenisKemasan]]</f>
        <v>KLG</v>
      </c>
      <c r="L87" s="4" t="str">
        <f>TRIM(CONCATENATE(Table43[[#This Row],[Nama            KLP]]," ",Table43[[#This Row],[Nama            Sub KLP]]))</f>
        <v>HIT AEROSOL</v>
      </c>
      <c r="M87" s="4" t="str">
        <f>CONCATENATE(Table43[[#This Row],[kode  2 Digit                (hrf+No)]],Table43[[#This Row],[kode  2 Digit                (Nomor)]],Table43[[#This Row],[kode  1 Digit                (Nomor)]])</f>
        <v>G1071</v>
      </c>
      <c r="N87" s="4" t="str">
        <f>IF(AI87="",CONCATENATE(S87,U87,W87,Y87,AA87,AC87,AE87,AG87,Table43[[#This Row],[Tanda Kode Revisi]]),CONCATENATE(S87,U87,W87,Y87,AA87,AC87,AE87,AI87))</f>
        <v>G1071007040010</v>
      </c>
      <c r="O87" s="11">
        <f t="shared" si="2"/>
        <v>14</v>
      </c>
      <c r="P87" s="14" t="str">
        <f>IF(AH87&lt;&gt;"",TRIM(UPPER(CONCATENATE(R87," ",T87," ",V87," ",X87," ",Z87," ",AB87," ","X"," ",Table43[[#This Row],[ISI/CTN]]," ",AH87," ",AD87," ",AF87," ",AJ87))),TRIM(UPPER(CONCATENATE(R87," ",T87," ",V87," ",X87," ",Z87," ",AB87," ","X"," ",Table43[[#This Row],[ISI/CTN]]," ",AD87," ",AF87," ",AJ87))))</f>
        <v>HIT AEROSOL LILY BLOSSOM 415/400ML X 12 KLG</v>
      </c>
      <c r="Q87" s="11">
        <f t="shared" si="3"/>
        <v>43</v>
      </c>
      <c r="S87" s="7" t="s">
        <v>34</v>
      </c>
      <c r="T87" s="4" t="s">
        <v>2242</v>
      </c>
      <c r="U87" s="47" t="s">
        <v>2544</v>
      </c>
      <c r="V87" s="48" t="s">
        <v>2243</v>
      </c>
      <c r="W87" s="7">
        <v>1</v>
      </c>
      <c r="X87" s="48"/>
      <c r="Y87" s="47" t="s">
        <v>1116</v>
      </c>
      <c r="Z87" s="4" t="s">
        <v>2249</v>
      </c>
      <c r="AA87" s="49" t="s">
        <v>2544</v>
      </c>
      <c r="AB87" s="4" t="s">
        <v>2245</v>
      </c>
      <c r="AC87" s="49" t="s">
        <v>2624</v>
      </c>
      <c r="AD87" s="4" t="s">
        <v>2221</v>
      </c>
      <c r="AE87" s="7">
        <v>1</v>
      </c>
      <c r="AG87" s="7">
        <v>0</v>
      </c>
      <c r="AK87" s="70">
        <f>Table43[[#This Row],[Column4]]</f>
        <v>0</v>
      </c>
      <c r="AN87" s="7">
        <f>Table43[[#This Row],[ISI/CTN]]</f>
        <v>12</v>
      </c>
      <c r="AO87" s="61">
        <f>Table43[[#This Row],[Harga Jual Pcs GT
(-PPN)]]-(Table43[[#This Row],[Harga Jual Pcs GT
(-PPN)]]*6.5%)</f>
        <v>20429.75</v>
      </c>
      <c r="AP87" s="61">
        <f>Table43[[#This Row],[Harga Beli Pcs
(-PPN)]]*Table43[[#This Row],[ISI/CTN]]</f>
        <v>245157</v>
      </c>
      <c r="AQ87" s="61">
        <f>Table43[[#This Row],[Harga Beli Pcs
(-PPN)]]*1.11</f>
        <v>22677.022500000003</v>
      </c>
      <c r="AR87" s="61">
        <f>Table43[[#This Row],[Harga Beli Krt
(- PPN)]]*1.11</f>
        <v>272124.27</v>
      </c>
      <c r="AS87" s="61">
        <v>21850</v>
      </c>
      <c r="AT87" s="61">
        <f>Table43[[#This Row],[Harga Jual Pcs GT
(-PPN)]]*Table43[[#This Row],[ISI/CTN]]</f>
        <v>262200</v>
      </c>
      <c r="AU87" s="61">
        <f>Table43[[#This Row],[Harga Jual Pcs GT
(-PPN)]]*1.11</f>
        <v>24253.500000000004</v>
      </c>
      <c r="AV87" s="61">
        <f>Table43[[#This Row],[Harga Jual Krt GT
(- PPN)]]*1.11</f>
        <v>291042</v>
      </c>
      <c r="AW87" s="61">
        <f>IFERROR(VLOOKUP(Table43[[#This Row],[Kode Pcpl]],'[1]FEB 2026'!$A$3:$X$312,24,0),0)</f>
        <v>0</v>
      </c>
      <c r="AX87" s="61">
        <f>Table43[[#This Row],[Harga Jual Pcs MT
(-PPN)]]*Table43[[#This Row],[ISI/CTN]]</f>
        <v>0</v>
      </c>
      <c r="AY87" s="61">
        <f>Table43[[#This Row],[Harga Jual Pcs MT
(-PPN)]]*1.11</f>
        <v>0</v>
      </c>
      <c r="AZ87" s="61">
        <f>Table43[[#This Row],[Harga Jual Pcs MT
(+PPN)]]*Table43[[#This Row],[ISI/CTN]]</f>
        <v>0</v>
      </c>
      <c r="BA87" s="62">
        <f>(Table43[[#This Row],[Harga Jual Pcs GT
(-PPN)]]-Table43[[#This Row],[Harga Beli Pcs
(-PPN)]])/Table43[[#This Row],[Harga Jual Pcs GT
(-PPN)]]</f>
        <v>6.5000000000000002E-2</v>
      </c>
      <c r="BB87" s="63">
        <f>Table43[[#This Row],[Harga Jual Pcs MT
(-PPN)]]-Table43[[#This Row],[Harga Beli Pcs
(-PPN)]]</f>
        <v>-20429.75</v>
      </c>
      <c r="BC87" s="64" t="e">
        <f>Table43[[#This Row],[Column1]]/Table43[[#This Row],[Harga Jual Pcs MT
(-PPN)]]</f>
        <v>#DIV/0!</v>
      </c>
      <c r="BD87" s="52"/>
      <c r="BE87" s="7"/>
      <c r="BF87" s="7" t="str">
        <f ca="1">IF(TODAY()-Table43[[#This Row],[Efektif
Pembuatan]]&gt;60,"Lama","Baru")</f>
        <v>Lama</v>
      </c>
      <c r="BG87" s="7" t="str">
        <f ca="1">IF(TODAY()-Table43[[#This Row],[Efektif Naik Harga]]&lt;30,"Naik","Sama")</f>
        <v>Sama</v>
      </c>
      <c r="BH87" s="7"/>
      <c r="BI87" s="7" t="str">
        <f>IF(Table43[[#This Row],[Kode BARANG Win2]]&lt;&gt;"","IDR","")</f>
        <v>IDR</v>
      </c>
      <c r="BJ87" s="7" t="str">
        <f>CONCATENATE(Table43[[#This Row],[kode  1 Digit
(Nomor)]],Table43[[#This Row],[kode  4 Digit                (Nomor)]])</f>
        <v>0400</v>
      </c>
      <c r="BK87" s="7" t="str">
        <f>Table43[[#This Row],[Nama            Gramasi atau Jumlah Pack per CTN]]</f>
        <v>415/400ML</v>
      </c>
      <c r="BL87" s="7"/>
      <c r="BM87" s="7"/>
      <c r="BN87" s="4" t="str">
        <f>IF(Table43[[#This Row],[SATUAN Fix Win]]&lt;&gt;"","KRT")</f>
        <v>KRT</v>
      </c>
      <c r="BO87" s="4" t="str">
        <f>IF(Table43[[#This Row],[SATUAN Fix Win]]&lt;&gt;"","GD01")</f>
        <v>GD01</v>
      </c>
      <c r="BP87" s="4">
        <f>IF(Table43[[#This Row],[SATUAN Fix Win]]&lt;&gt;"",11611)</f>
        <v>11611</v>
      </c>
      <c r="BQ87" s="4">
        <f>IF(Table43[[#This Row],[SATUAN Fix Win]]&lt;&gt;"",11612)</f>
        <v>11612</v>
      </c>
      <c r="BS87" s="4">
        <f>IF(Table43[[#This Row],[SATUAN Fix Win]]&lt;&gt;"",1)</f>
        <v>1</v>
      </c>
      <c r="BU87" s="4">
        <f>Table43[[#This Row],[ISI/CTN]]</f>
        <v>12</v>
      </c>
    </row>
    <row r="88" spans="1:73">
      <c r="A88" s="4" t="str">
        <f>CONCATENATE(Table43[[#This Row],[Kode BARANG Win2]],Table43[[#This Row],[No. Urut
Item Sama]])</f>
        <v>G1071007060010</v>
      </c>
      <c r="B88" s="7"/>
      <c r="C88" s="31">
        <v>30070030600000</v>
      </c>
      <c r="D88" s="51">
        <v>40060011</v>
      </c>
      <c r="E88" s="27" t="s">
        <v>1902</v>
      </c>
      <c r="F88" s="51">
        <v>30070010600000</v>
      </c>
      <c r="G88" s="51">
        <v>0</v>
      </c>
      <c r="H88" s="27" t="s">
        <v>1154</v>
      </c>
      <c r="I88" s="27">
        <v>12</v>
      </c>
      <c r="J88" s="51" t="s">
        <v>1594</v>
      </c>
      <c r="K88" s="27" t="str">
        <f>Table43[[#This Row],[NamaJenisKemasan]]</f>
        <v>KLG</v>
      </c>
      <c r="L88" s="4" t="str">
        <f>TRIM(CONCATENATE(Table43[[#This Row],[Nama            KLP]]," ",Table43[[#This Row],[Nama            Sub KLP]]))</f>
        <v>HIT AEROSOL</v>
      </c>
      <c r="M88" s="4" t="str">
        <f>CONCATENATE(Table43[[#This Row],[kode  2 Digit                (hrf+No)]],Table43[[#This Row],[kode  2 Digit                (Nomor)]],Table43[[#This Row],[kode  1 Digit                (Nomor)]])</f>
        <v>G1071</v>
      </c>
      <c r="N88" s="4" t="str">
        <f>IF(AI88="",CONCATENATE(S88,U88,W88,Y88,AA88,AC88,AE88,AG88,Table43[[#This Row],[Tanda Kode Revisi]]),CONCATENATE(S88,U88,W88,Y88,AA88,AC88,AE88,AI88))</f>
        <v>G1071007060010</v>
      </c>
      <c r="O88" s="11">
        <f t="shared" si="2"/>
        <v>14</v>
      </c>
      <c r="P88" s="14" t="str">
        <f>IF(AH88&lt;&gt;"",TRIM(UPPER(CONCATENATE(R88," ",T88," ",V88," ",X88," ",Z88," ",AB88," ","X"," ",Table43[[#This Row],[ISI/CTN]]," ",AH88," ",AD88," ",AF88," ",AJ88))),TRIM(UPPER(CONCATENATE(R88," ",T88," ",V88," ",X88," ",Z88," ",AB88," ","X"," ",Table43[[#This Row],[ISI/CTN]]," ",AD88," ",AF88," ",AJ88))))</f>
        <v>HIT AEROSOL LILY BLOSSOM 600ML X 12 KLG</v>
      </c>
      <c r="Q88" s="11">
        <f t="shared" si="3"/>
        <v>39</v>
      </c>
      <c r="S88" s="7" t="s">
        <v>34</v>
      </c>
      <c r="T88" s="4" t="s">
        <v>2242</v>
      </c>
      <c r="U88" s="47" t="s">
        <v>2544</v>
      </c>
      <c r="V88" s="48" t="s">
        <v>2243</v>
      </c>
      <c r="W88" s="7">
        <v>1</v>
      </c>
      <c r="X88" s="48"/>
      <c r="Y88" s="47" t="s">
        <v>1116</v>
      </c>
      <c r="Z88" s="4" t="s">
        <v>2249</v>
      </c>
      <c r="AA88" s="49" t="s">
        <v>2544</v>
      </c>
      <c r="AB88" s="4" t="s">
        <v>2246</v>
      </c>
      <c r="AC88" s="49" t="s">
        <v>2632</v>
      </c>
      <c r="AD88" s="4" t="s">
        <v>2221</v>
      </c>
      <c r="AE88" s="7">
        <v>1</v>
      </c>
      <c r="AG88" s="7">
        <v>0</v>
      </c>
      <c r="AK88" s="70">
        <f>Table43[[#This Row],[Column4]]</f>
        <v>30070010600000</v>
      </c>
      <c r="AN88" s="7">
        <f>Table43[[#This Row],[ISI/CTN]]</f>
        <v>12</v>
      </c>
      <c r="AO88" s="61">
        <f>Table43[[#This Row],[Harga Jual Pcs GT
(-PPN)]]-(Table43[[#This Row],[Harga Jual Pcs GT
(-PPN)]]*6.5%)</f>
        <v>27115</v>
      </c>
      <c r="AP88" s="61">
        <f>Table43[[#This Row],[Harga Beli Pcs
(-PPN)]]*Table43[[#This Row],[ISI/CTN]]</f>
        <v>325380</v>
      </c>
      <c r="AQ88" s="61">
        <f>Table43[[#This Row],[Harga Beli Pcs
(-PPN)]]*1.11</f>
        <v>30097.65</v>
      </c>
      <c r="AR88" s="61">
        <f>Table43[[#This Row],[Harga Beli Krt
(- PPN)]]*1.11</f>
        <v>361171.80000000005</v>
      </c>
      <c r="AS88" s="61">
        <v>29000</v>
      </c>
      <c r="AT88" s="61">
        <f>Table43[[#This Row],[Harga Jual Pcs GT
(-PPN)]]*Table43[[#This Row],[ISI/CTN]]</f>
        <v>348000</v>
      </c>
      <c r="AU88" s="61">
        <f>Table43[[#This Row],[Harga Jual Pcs GT
(-PPN)]]*1.11</f>
        <v>32190.000000000004</v>
      </c>
      <c r="AV88" s="61">
        <f>Table43[[#This Row],[Harga Jual Krt GT
(- PPN)]]*1.11</f>
        <v>386280.00000000006</v>
      </c>
      <c r="AW88" s="61">
        <f>IFERROR(VLOOKUP(Table43[[#This Row],[Kode Pcpl]],'[1]FEB 2026'!$A$3:$X$312,24,0),0)</f>
        <v>0</v>
      </c>
      <c r="AX88" s="61">
        <f>Table43[[#This Row],[Harga Jual Pcs MT
(-PPN)]]*Table43[[#This Row],[ISI/CTN]]</f>
        <v>0</v>
      </c>
      <c r="AY88" s="61">
        <f>Table43[[#This Row],[Harga Jual Pcs MT
(-PPN)]]*1.11</f>
        <v>0</v>
      </c>
      <c r="AZ88" s="61">
        <f>Table43[[#This Row],[Harga Jual Pcs MT
(+PPN)]]*Table43[[#This Row],[ISI/CTN]]</f>
        <v>0</v>
      </c>
      <c r="BA88" s="62">
        <f>(Table43[[#This Row],[Harga Jual Pcs GT
(-PPN)]]-Table43[[#This Row],[Harga Beli Pcs
(-PPN)]])/Table43[[#This Row],[Harga Jual Pcs GT
(-PPN)]]</f>
        <v>6.5000000000000002E-2</v>
      </c>
      <c r="BB88" s="63">
        <f>Table43[[#This Row],[Harga Jual Pcs MT
(-PPN)]]-Table43[[#This Row],[Harga Beli Pcs
(-PPN)]]</f>
        <v>-27115</v>
      </c>
      <c r="BC88" s="64" t="e">
        <f>Table43[[#This Row],[Column1]]/Table43[[#This Row],[Harga Jual Pcs MT
(-PPN)]]</f>
        <v>#DIV/0!</v>
      </c>
      <c r="BD88" s="52"/>
      <c r="BE88" s="7"/>
      <c r="BF88" s="7" t="str">
        <f ca="1">IF(TODAY()-Table43[[#This Row],[Efektif
Pembuatan]]&gt;60,"Lama","Baru")</f>
        <v>Lama</v>
      </c>
      <c r="BG88" s="7" t="str">
        <f ca="1">IF(TODAY()-Table43[[#This Row],[Efektif Naik Harga]]&lt;30,"Naik","Sama")</f>
        <v>Sama</v>
      </c>
      <c r="BH88" s="7"/>
      <c r="BI88" s="7" t="str">
        <f>IF(Table43[[#This Row],[Kode BARANG Win2]]&lt;&gt;"","IDR","")</f>
        <v>IDR</v>
      </c>
      <c r="BJ88" s="7" t="str">
        <f>CONCATENATE(Table43[[#This Row],[kode  1 Digit
(Nomor)]],Table43[[#This Row],[kode  4 Digit                (Nomor)]])</f>
        <v>0600</v>
      </c>
      <c r="BK88" s="7" t="str">
        <f>Table43[[#This Row],[Nama            Gramasi atau Jumlah Pack per CTN]]</f>
        <v>600ML</v>
      </c>
      <c r="BL88" s="7"/>
      <c r="BM88" s="7"/>
      <c r="BN88" s="4" t="str">
        <f>IF(Table43[[#This Row],[SATUAN Fix Win]]&lt;&gt;"","KRT")</f>
        <v>KRT</v>
      </c>
      <c r="BO88" s="4" t="str">
        <f>IF(Table43[[#This Row],[SATUAN Fix Win]]&lt;&gt;"","GD01")</f>
        <v>GD01</v>
      </c>
      <c r="BP88" s="4">
        <f>IF(Table43[[#This Row],[SATUAN Fix Win]]&lt;&gt;"",11611)</f>
        <v>11611</v>
      </c>
      <c r="BQ88" s="4">
        <f>IF(Table43[[#This Row],[SATUAN Fix Win]]&lt;&gt;"",11612)</f>
        <v>11612</v>
      </c>
      <c r="BS88" s="4">
        <f>IF(Table43[[#This Row],[SATUAN Fix Win]]&lt;&gt;"",1)</f>
        <v>1</v>
      </c>
      <c r="BU88" s="4">
        <f>Table43[[#This Row],[ISI/CTN]]</f>
        <v>12</v>
      </c>
    </row>
    <row r="89" spans="1:73">
      <c r="A89" s="4" t="str">
        <f>CONCATENATE(Table43[[#This Row],[Kode BARANG Win2]],Table43[[#This Row],[No. Urut
Item Sama]])</f>
        <v>G1071007060010</v>
      </c>
      <c r="B89" s="7"/>
      <c r="C89" s="31">
        <v>30070030750000</v>
      </c>
      <c r="D89" s="51">
        <v>40039274</v>
      </c>
      <c r="E89" s="27" t="s">
        <v>1902</v>
      </c>
      <c r="F89" s="51">
        <v>30070010600000</v>
      </c>
      <c r="G89" s="51">
        <v>0</v>
      </c>
      <c r="H89" s="27" t="s">
        <v>1153</v>
      </c>
      <c r="I89" s="27">
        <v>12</v>
      </c>
      <c r="J89" s="51" t="s">
        <v>1594</v>
      </c>
      <c r="K89" s="27" t="str">
        <f>Table43[[#This Row],[NamaJenisKemasan]]</f>
        <v>KLG</v>
      </c>
      <c r="L89" s="4" t="str">
        <f>TRIM(CONCATENATE(Table43[[#This Row],[Nama            KLP]]," ",Table43[[#This Row],[Nama            Sub KLP]]))</f>
        <v>HIT AEROSOL</v>
      </c>
      <c r="M89" s="4" t="str">
        <f>CONCATENATE(Table43[[#This Row],[kode  2 Digit                (hrf+No)]],Table43[[#This Row],[kode  2 Digit                (Nomor)]],Table43[[#This Row],[kode  1 Digit                (Nomor)]])</f>
        <v>G1071</v>
      </c>
      <c r="N89" s="4" t="str">
        <f>IF(AI89="",CONCATENATE(S89,U89,W89,Y89,AA89,AC89,AE89,AG89,Table43[[#This Row],[Tanda Kode Revisi]]),CONCATENATE(S89,U89,W89,Y89,AA89,AC89,AE89,AI89))</f>
        <v>G1071007060010</v>
      </c>
      <c r="O89" s="11">
        <f t="shared" si="2"/>
        <v>14</v>
      </c>
      <c r="P89" s="14" t="str">
        <f>IF(AH89&lt;&gt;"",TRIM(UPPER(CONCATENATE(R89," ",T89," ",V89," ",X89," ",Z89," ",AB89," ","X"," ",Table43[[#This Row],[ISI/CTN]]," ",AH89," ",AD89," ",AF89," ",AJ89))),TRIM(UPPER(CONCATENATE(R89," ",T89," ",V89," ",X89," ",Z89," ",AB89," ","X"," ",Table43[[#This Row],[ISI/CTN]]," ",AD89," ",AF89," ",AJ89))))</f>
        <v>HIT AEROSOL LILY BLOSSOM 600ML X 12 KLG</v>
      </c>
      <c r="Q89" s="11">
        <f t="shared" si="3"/>
        <v>39</v>
      </c>
      <c r="S89" s="7" t="s">
        <v>34</v>
      </c>
      <c r="T89" s="4" t="s">
        <v>2242</v>
      </c>
      <c r="U89" s="47" t="s">
        <v>2544</v>
      </c>
      <c r="V89" s="48" t="s">
        <v>2243</v>
      </c>
      <c r="W89" s="7">
        <v>1</v>
      </c>
      <c r="X89" s="48"/>
      <c r="Y89" s="47" t="s">
        <v>1116</v>
      </c>
      <c r="Z89" s="4" t="s">
        <v>2249</v>
      </c>
      <c r="AA89" s="49" t="s">
        <v>2544</v>
      </c>
      <c r="AB89" s="4" t="s">
        <v>2246</v>
      </c>
      <c r="AC89" s="49" t="s">
        <v>2632</v>
      </c>
      <c r="AD89" s="4" t="s">
        <v>2221</v>
      </c>
      <c r="AE89" s="7">
        <v>1</v>
      </c>
      <c r="AG89" s="7">
        <v>0</v>
      </c>
      <c r="AK89" s="70">
        <f>Table43[[#This Row],[Column4]]</f>
        <v>30070010600000</v>
      </c>
      <c r="AN89" s="7">
        <f>Table43[[#This Row],[ISI/CTN]]</f>
        <v>12</v>
      </c>
      <c r="AO89" s="61">
        <f>Table43[[#This Row],[Harga Jual Pcs GT
(-PPN)]]-(Table43[[#This Row],[Harga Jual Pcs GT
(-PPN)]]*6.5%)</f>
        <v>27115</v>
      </c>
      <c r="AP89" s="61">
        <f>Table43[[#This Row],[Harga Beli Pcs
(-PPN)]]*Table43[[#This Row],[ISI/CTN]]</f>
        <v>325380</v>
      </c>
      <c r="AQ89" s="61">
        <f>Table43[[#This Row],[Harga Beli Pcs
(-PPN)]]*1.11</f>
        <v>30097.65</v>
      </c>
      <c r="AR89" s="61">
        <f>Table43[[#This Row],[Harga Beli Krt
(- PPN)]]*1.11</f>
        <v>361171.80000000005</v>
      </c>
      <c r="AS89" s="61">
        <v>29000</v>
      </c>
      <c r="AT89" s="61">
        <f>Table43[[#This Row],[Harga Jual Pcs GT
(-PPN)]]*Table43[[#This Row],[ISI/CTN]]</f>
        <v>348000</v>
      </c>
      <c r="AU89" s="61">
        <f>Table43[[#This Row],[Harga Jual Pcs GT
(-PPN)]]*1.11</f>
        <v>32190.000000000004</v>
      </c>
      <c r="AV89" s="61">
        <f>Table43[[#This Row],[Harga Jual Krt GT
(- PPN)]]*1.11</f>
        <v>386280.00000000006</v>
      </c>
      <c r="AW89" s="61">
        <f>IFERROR(VLOOKUP(Table43[[#This Row],[Kode Pcpl]],'[1]FEB 2026'!$A$3:$X$312,24,0),0)</f>
        <v>0</v>
      </c>
      <c r="AX89" s="61">
        <f>Table43[[#This Row],[Harga Jual Pcs MT
(-PPN)]]*Table43[[#This Row],[ISI/CTN]]</f>
        <v>0</v>
      </c>
      <c r="AY89" s="61">
        <f>Table43[[#This Row],[Harga Jual Pcs MT
(-PPN)]]*1.11</f>
        <v>0</v>
      </c>
      <c r="AZ89" s="61">
        <f>Table43[[#This Row],[Harga Jual Pcs MT
(+PPN)]]*Table43[[#This Row],[ISI/CTN]]</f>
        <v>0</v>
      </c>
      <c r="BA89" s="62">
        <f>(Table43[[#This Row],[Harga Jual Pcs GT
(-PPN)]]-Table43[[#This Row],[Harga Beli Pcs
(-PPN)]])/Table43[[#This Row],[Harga Jual Pcs GT
(-PPN)]]</f>
        <v>6.5000000000000002E-2</v>
      </c>
      <c r="BB89" s="63">
        <f>Table43[[#This Row],[Harga Jual Pcs MT
(-PPN)]]-Table43[[#This Row],[Harga Beli Pcs
(-PPN)]]</f>
        <v>-27115</v>
      </c>
      <c r="BC89" s="64" t="e">
        <f>Table43[[#This Row],[Column1]]/Table43[[#This Row],[Harga Jual Pcs MT
(-PPN)]]</f>
        <v>#DIV/0!</v>
      </c>
      <c r="BD89" s="52"/>
      <c r="BE89" s="7"/>
      <c r="BF89" s="7" t="str">
        <f ca="1">IF(TODAY()-Table43[[#This Row],[Efektif
Pembuatan]]&gt;60,"Lama","Baru")</f>
        <v>Lama</v>
      </c>
      <c r="BG89" s="7" t="str">
        <f ca="1">IF(TODAY()-Table43[[#This Row],[Efektif Naik Harga]]&lt;30,"Naik","Sama")</f>
        <v>Sama</v>
      </c>
      <c r="BH89" s="7"/>
      <c r="BI89" s="7" t="str">
        <f>IF(Table43[[#This Row],[Kode BARANG Win2]]&lt;&gt;"","IDR","")</f>
        <v>IDR</v>
      </c>
      <c r="BJ89" s="7" t="str">
        <f>CONCATENATE(Table43[[#This Row],[kode  1 Digit
(Nomor)]],Table43[[#This Row],[kode  4 Digit                (Nomor)]])</f>
        <v>0600</v>
      </c>
      <c r="BK89" s="7" t="str">
        <f>Table43[[#This Row],[Nama            Gramasi atau Jumlah Pack per CTN]]</f>
        <v>600ML</v>
      </c>
      <c r="BL89" s="7"/>
      <c r="BM89" s="7"/>
      <c r="BN89" s="4" t="str">
        <f>IF(Table43[[#This Row],[SATUAN Fix Win]]&lt;&gt;"","KRT")</f>
        <v>KRT</v>
      </c>
      <c r="BO89" s="4" t="str">
        <f>IF(Table43[[#This Row],[SATUAN Fix Win]]&lt;&gt;"","GD01")</f>
        <v>GD01</v>
      </c>
      <c r="BP89" s="4">
        <f>IF(Table43[[#This Row],[SATUAN Fix Win]]&lt;&gt;"",11611)</f>
        <v>11611</v>
      </c>
      <c r="BQ89" s="4">
        <f>IF(Table43[[#This Row],[SATUAN Fix Win]]&lt;&gt;"",11612)</f>
        <v>11612</v>
      </c>
      <c r="BS89" s="4">
        <f>IF(Table43[[#This Row],[SATUAN Fix Win]]&lt;&gt;"",1)</f>
        <v>1</v>
      </c>
      <c r="BU89" s="4">
        <f>Table43[[#This Row],[ISI/CTN]]</f>
        <v>12</v>
      </c>
    </row>
    <row r="90" spans="1:73">
      <c r="A90" s="4" t="str">
        <f>CONCATENATE(Table43[[#This Row],[Kode BARANG Win2]],Table43[[#This Row],[No. Urut
Item Sama]])</f>
        <v>G1071007075010</v>
      </c>
      <c r="B90" s="7"/>
      <c r="C90" s="31">
        <v>30070050600000</v>
      </c>
      <c r="D90" s="51">
        <v>40043770</v>
      </c>
      <c r="E90" s="27" t="s">
        <v>1921</v>
      </c>
      <c r="F90" s="51">
        <v>30070100750000</v>
      </c>
      <c r="G90" s="51">
        <v>0</v>
      </c>
      <c r="H90" s="27" t="s">
        <v>1191</v>
      </c>
      <c r="I90" s="27">
        <v>12</v>
      </c>
      <c r="J90" s="51" t="s">
        <v>1612</v>
      </c>
      <c r="K90" s="27" t="str">
        <f>Table43[[#This Row],[NamaJenisKemasan]]</f>
        <v>KLG</v>
      </c>
      <c r="L90" s="4" t="str">
        <f>TRIM(CONCATENATE(Table43[[#This Row],[Nama            KLP]]," ",Table43[[#This Row],[Nama            Sub KLP]]))</f>
        <v>HIT AEROSOL</v>
      </c>
      <c r="M90" s="4" t="str">
        <f>CONCATENATE(Table43[[#This Row],[kode  2 Digit                (hrf+No)]],Table43[[#This Row],[kode  2 Digit                (Nomor)]],Table43[[#This Row],[kode  1 Digit                (Nomor)]])</f>
        <v>G1071</v>
      </c>
      <c r="N90" s="4" t="str">
        <f>IF(AI90="",CONCATENATE(S90,U90,W90,Y90,AA90,AC90,AE90,AG90,Table43[[#This Row],[Tanda Kode Revisi]]),CONCATENATE(S90,U90,W90,Y90,AA90,AC90,AE90,AI90))</f>
        <v>G1071007075010</v>
      </c>
      <c r="O90" s="11">
        <f t="shared" si="2"/>
        <v>14</v>
      </c>
      <c r="P90" s="14" t="str">
        <f>IF(AH90&lt;&gt;"",TRIM(UPPER(CONCATENATE(R90," ",T90," ",V90," ",X90," ",Z90," ",AB90," ","X"," ",Table43[[#This Row],[ISI/CTN]]," ",AH90," ",AD90," ",AF90," ",AJ90))),TRIM(UPPER(CONCATENATE(R90," ",T90," ",V90," ",X90," ",Z90," ",AB90," ","X"," ",Table43[[#This Row],[ISI/CTN]]," ",AD90," ",AF90," ",AJ90))))</f>
        <v>HIT AEROSOL LILY BLOSSOM 750ML X 12 KLG</v>
      </c>
      <c r="Q90" s="11">
        <f t="shared" si="3"/>
        <v>39</v>
      </c>
      <c r="S90" s="7" t="s">
        <v>34</v>
      </c>
      <c r="T90" s="4" t="s">
        <v>2242</v>
      </c>
      <c r="U90" s="47" t="s">
        <v>2544</v>
      </c>
      <c r="V90" s="48" t="s">
        <v>2243</v>
      </c>
      <c r="W90" s="7">
        <v>1</v>
      </c>
      <c r="X90" s="48"/>
      <c r="Y90" s="47" t="s">
        <v>1116</v>
      </c>
      <c r="Z90" s="4" t="s">
        <v>2249</v>
      </c>
      <c r="AA90" s="49" t="s">
        <v>2544</v>
      </c>
      <c r="AB90" s="4" t="s">
        <v>2259</v>
      </c>
      <c r="AC90" s="49" t="s">
        <v>2637</v>
      </c>
      <c r="AD90" s="4" t="s">
        <v>2221</v>
      </c>
      <c r="AE90" s="7">
        <v>1</v>
      </c>
      <c r="AG90" s="7">
        <v>0</v>
      </c>
      <c r="AK90" s="70">
        <f>Table43[[#This Row],[Column4]]</f>
        <v>30070100750000</v>
      </c>
      <c r="AN90" s="7">
        <f>Table43[[#This Row],[ISI/CTN]]</f>
        <v>12</v>
      </c>
      <c r="AO90" s="38">
        <f>Table43[[#This Row],[Harga Jual Pcs GT
(-PPN)]]-(Table43[[#This Row],[Harga Jual Pcs GT
(-PPN)]]*6.5%)</f>
        <v>35191.53</v>
      </c>
      <c r="AP90" s="38">
        <f>Table43[[#This Row],[Harga Beli Pcs
(-PPN)]]*Table43[[#This Row],[ISI/CTN]]</f>
        <v>422298.36</v>
      </c>
      <c r="AQ90" s="38">
        <f>Table43[[#This Row],[Harga Beli Pcs
(-PPN)]]*1.11</f>
        <v>39062.598300000005</v>
      </c>
      <c r="AR90" s="38">
        <f>Table43[[#This Row],[Harga Beli Krt
(- PPN)]]*1.11</f>
        <v>468751.17960000003</v>
      </c>
      <c r="AS90" s="38">
        <v>37638</v>
      </c>
      <c r="AT90" s="38">
        <f>Table43[[#This Row],[Harga Jual Pcs GT
(-PPN)]]*Table43[[#This Row],[ISI/CTN]]</f>
        <v>451656</v>
      </c>
      <c r="AU90" s="38">
        <f>Table43[[#This Row],[Harga Jual Pcs GT
(-PPN)]]*1.11</f>
        <v>41778.18</v>
      </c>
      <c r="AV90" s="38">
        <f>Table43[[#This Row],[Harga Jual Krt GT
(- PPN)]]*1.11</f>
        <v>501338.16000000003</v>
      </c>
      <c r="AW90" s="38">
        <f>IFERROR(VLOOKUP(Table43[[#This Row],[Kode Pcpl]],'[1]FEB 2026'!$A$3:$X$312,24,0),0)</f>
        <v>0</v>
      </c>
      <c r="AX90" s="38">
        <f>Table43[[#This Row],[Harga Jual Pcs MT
(-PPN)]]*Table43[[#This Row],[ISI/CTN]]</f>
        <v>0</v>
      </c>
      <c r="AY90" s="38">
        <f>Table43[[#This Row],[Harga Jual Pcs MT
(-PPN)]]*1.11</f>
        <v>0</v>
      </c>
      <c r="AZ90" s="38">
        <f>Table43[[#This Row],[Harga Jual Pcs MT
(+PPN)]]*Table43[[#This Row],[ISI/CTN]]</f>
        <v>0</v>
      </c>
      <c r="BA90" s="46">
        <f>(Table43[[#This Row],[Harga Jual Pcs GT
(-PPN)]]-Table43[[#This Row],[Harga Beli Pcs
(-PPN)]])/Table43[[#This Row],[Harga Jual Pcs GT
(-PPN)]]</f>
        <v>6.500000000000003E-2</v>
      </c>
      <c r="BB90" s="53">
        <f>Table43[[#This Row],[Harga Jual Pcs MT
(-PPN)]]-Table43[[#This Row],[Harga Beli Pcs
(-PPN)]]</f>
        <v>-35191.53</v>
      </c>
      <c r="BC90" s="54" t="e">
        <f>Table43[[#This Row],[Column1]]/Table43[[#This Row],[Harga Jual Pcs MT
(-PPN)]]</f>
        <v>#DIV/0!</v>
      </c>
      <c r="BD90" s="52"/>
      <c r="BE90" s="7"/>
      <c r="BF90" s="7" t="str">
        <f ca="1">IF(TODAY()-Table43[[#This Row],[Efektif
Pembuatan]]&gt;60,"Lama","Baru")</f>
        <v>Lama</v>
      </c>
      <c r="BG90" s="7" t="str">
        <f ca="1">IF(TODAY()-Table43[[#This Row],[Efektif Naik Harga]]&lt;30,"Naik","Sama")</f>
        <v>Sama</v>
      </c>
      <c r="BH90" s="7"/>
      <c r="BI90" s="7" t="str">
        <f>IF(Table43[[#This Row],[Kode BARANG Win2]]&lt;&gt;"","IDR","")</f>
        <v>IDR</v>
      </c>
      <c r="BJ90" s="7" t="str">
        <f>CONCATENATE(Table43[[#This Row],[kode  1 Digit
(Nomor)]],Table43[[#This Row],[kode  4 Digit                (Nomor)]])</f>
        <v>0750</v>
      </c>
      <c r="BK90" s="7" t="str">
        <f>Table43[[#This Row],[Nama            Gramasi atau Jumlah Pack per CTN]]</f>
        <v>750ML</v>
      </c>
      <c r="BL90" s="7"/>
      <c r="BM90" s="7"/>
      <c r="BN90" s="4" t="str">
        <f>IF(Table43[[#This Row],[SATUAN Fix Win]]&lt;&gt;"","KRT")</f>
        <v>KRT</v>
      </c>
      <c r="BO90" s="4" t="str">
        <f>IF(Table43[[#This Row],[SATUAN Fix Win]]&lt;&gt;"","GD01")</f>
        <v>GD01</v>
      </c>
      <c r="BP90" s="4">
        <f>IF(Table43[[#This Row],[SATUAN Fix Win]]&lt;&gt;"",11611)</f>
        <v>11611</v>
      </c>
      <c r="BQ90" s="4">
        <f>IF(Table43[[#This Row],[SATUAN Fix Win]]&lt;&gt;"",11612)</f>
        <v>11612</v>
      </c>
      <c r="BS90" s="4">
        <f>IF(Table43[[#This Row],[SATUAN Fix Win]]&lt;&gt;"",1)</f>
        <v>1</v>
      </c>
      <c r="BU90" s="4">
        <f>Table43[[#This Row],[ISI/CTN]]</f>
        <v>12</v>
      </c>
    </row>
    <row r="91" spans="1:73">
      <c r="A91" s="4" t="str">
        <f>CONCATENATE(Table43[[#This Row],[Kode BARANG Win2]],Table43[[#This Row],[No. Urut
Item Sama]])</f>
        <v>G1071008015010</v>
      </c>
      <c r="B91" s="7"/>
      <c r="C91" s="31">
        <v>30070100600000</v>
      </c>
      <c r="D91" s="51">
        <v>40060018</v>
      </c>
      <c r="E91" s="27" t="s">
        <v>1903</v>
      </c>
      <c r="F91" s="51">
        <v>30070020150000</v>
      </c>
      <c r="G91" s="51">
        <v>0</v>
      </c>
      <c r="H91" s="27" t="s">
        <v>1156</v>
      </c>
      <c r="I91" s="27">
        <v>24</v>
      </c>
      <c r="J91" s="51" t="s">
        <v>1595</v>
      </c>
      <c r="K91" s="27" t="str">
        <f>Table43[[#This Row],[NamaJenisKemasan]]</f>
        <v>KLG</v>
      </c>
      <c r="L91" s="4" t="str">
        <f>TRIM(CONCATENATE(Table43[[#This Row],[Nama            KLP]]," ",Table43[[#This Row],[Nama            Sub KLP]]))</f>
        <v>HIT AEROSOL</v>
      </c>
      <c r="M91" s="4" t="str">
        <f>CONCATENATE(Table43[[#This Row],[kode  2 Digit                (hrf+No)]],Table43[[#This Row],[kode  2 Digit                (Nomor)]],Table43[[#This Row],[kode  1 Digit                (Nomor)]])</f>
        <v>G1071</v>
      </c>
      <c r="N91" s="4" t="str">
        <f>IF(AI91="",CONCATENATE(S91,U91,W91,Y91,AA91,AC91,AE91,AG91,Table43[[#This Row],[Tanda Kode Revisi]]),CONCATENATE(S91,U91,W91,Y91,AA91,AC91,AE91,AI91))</f>
        <v>G1071008015010</v>
      </c>
      <c r="O91" s="11">
        <f t="shared" si="2"/>
        <v>14</v>
      </c>
      <c r="P91" s="14" t="str">
        <f>IF(AH91&lt;&gt;"",TRIM(UPPER(CONCATENATE(R91," ",T91," ",V91," ",X91," ",Z91," ",AB91," ","X"," ",Table43[[#This Row],[ISI/CTN]]," ",AH91," ",AD91," ",AF91," ",AJ91))),TRIM(UPPER(CONCATENATE(R91," ",T91," ",V91," ",X91," ",Z91," ",AB91," ","X"," ",Table43[[#This Row],[ISI/CTN]]," ",AD91," ",AF91," ",AJ91))))</f>
        <v>HIT AEROSOL ORANGE 150ML X 24 KLG</v>
      </c>
      <c r="Q91" s="11">
        <f t="shared" si="3"/>
        <v>33</v>
      </c>
      <c r="S91" s="7" t="s">
        <v>34</v>
      </c>
      <c r="T91" s="4" t="s">
        <v>2242</v>
      </c>
      <c r="U91" s="47" t="s">
        <v>2544</v>
      </c>
      <c r="V91" s="48" t="s">
        <v>2243</v>
      </c>
      <c r="W91" s="7">
        <v>1</v>
      </c>
      <c r="X91" s="48"/>
      <c r="Y91" s="47" t="s">
        <v>1116</v>
      </c>
      <c r="Z91" s="4" t="s">
        <v>2251</v>
      </c>
      <c r="AA91" s="49" t="s">
        <v>2545</v>
      </c>
      <c r="AB91" s="4" t="s">
        <v>2260</v>
      </c>
      <c r="AC91" s="49" t="s">
        <v>2597</v>
      </c>
      <c r="AD91" s="4" t="s">
        <v>2221</v>
      </c>
      <c r="AE91" s="7">
        <v>1</v>
      </c>
      <c r="AG91" s="7">
        <v>0</v>
      </c>
      <c r="AK91" s="70">
        <f>Table43[[#This Row],[Column4]]</f>
        <v>30070020150000</v>
      </c>
      <c r="AN91" s="7">
        <f>Table43[[#This Row],[ISI/CTN]]</f>
        <v>24</v>
      </c>
      <c r="AO91" s="61">
        <f>Table43[[#This Row],[Harga Jual Pcs GT
(-PPN)]]-(Table43[[#This Row],[Harga Jual Pcs GT
(-PPN)]]*6.5%)</f>
        <v>9256.5</v>
      </c>
      <c r="AP91" s="61">
        <f>Table43[[#This Row],[Harga Beli Pcs
(-PPN)]]*Table43[[#This Row],[ISI/CTN]]</f>
        <v>222156</v>
      </c>
      <c r="AQ91" s="61">
        <f>Table43[[#This Row],[Harga Beli Pcs
(-PPN)]]*1.11</f>
        <v>10274.715</v>
      </c>
      <c r="AR91" s="61">
        <f>Table43[[#This Row],[Harga Beli Krt
(- PPN)]]*1.11</f>
        <v>246593.16000000003</v>
      </c>
      <c r="AS91" s="61">
        <v>9900</v>
      </c>
      <c r="AT91" s="61">
        <f>Table43[[#This Row],[Harga Jual Pcs GT
(-PPN)]]*Table43[[#This Row],[ISI/CTN]]</f>
        <v>237600</v>
      </c>
      <c r="AU91" s="61">
        <f>Table43[[#This Row],[Harga Jual Pcs GT
(-PPN)]]*1.11</f>
        <v>10989.000000000002</v>
      </c>
      <c r="AV91" s="61">
        <f>Table43[[#This Row],[Harga Jual Krt GT
(- PPN)]]*1.11</f>
        <v>263736</v>
      </c>
      <c r="AW91" s="61">
        <f>IFERROR(VLOOKUP(Table43[[#This Row],[Kode Pcpl]],'[1]FEB 2026'!$A$3:$X$312,24,0),0)</f>
        <v>0</v>
      </c>
      <c r="AX91" s="61">
        <f>Table43[[#This Row],[Harga Jual Pcs MT
(-PPN)]]*Table43[[#This Row],[ISI/CTN]]</f>
        <v>0</v>
      </c>
      <c r="AY91" s="61">
        <f>Table43[[#This Row],[Harga Jual Pcs MT
(-PPN)]]*1.11</f>
        <v>0</v>
      </c>
      <c r="AZ91" s="61">
        <f>Table43[[#This Row],[Harga Jual Pcs MT
(+PPN)]]*Table43[[#This Row],[ISI/CTN]]</f>
        <v>0</v>
      </c>
      <c r="BA91" s="62">
        <f>(Table43[[#This Row],[Harga Jual Pcs GT
(-PPN)]]-Table43[[#This Row],[Harga Beli Pcs
(-PPN)]])/Table43[[#This Row],[Harga Jual Pcs GT
(-PPN)]]</f>
        <v>6.5000000000000002E-2</v>
      </c>
      <c r="BB91" s="63">
        <f>Table43[[#This Row],[Harga Jual Pcs MT
(-PPN)]]-Table43[[#This Row],[Harga Beli Pcs
(-PPN)]]</f>
        <v>-9256.5</v>
      </c>
      <c r="BC91" s="64" t="e">
        <f>Table43[[#This Row],[Column1]]/Table43[[#This Row],[Harga Jual Pcs MT
(-PPN)]]</f>
        <v>#DIV/0!</v>
      </c>
      <c r="BD91" s="52"/>
      <c r="BE91" s="7"/>
      <c r="BF91" s="7" t="str">
        <f ca="1">IF(TODAY()-Table43[[#This Row],[Efektif
Pembuatan]]&gt;60,"Lama","Baru")</f>
        <v>Lama</v>
      </c>
      <c r="BG91" s="7" t="str">
        <f ca="1">IF(TODAY()-Table43[[#This Row],[Efektif Naik Harga]]&lt;30,"Naik","Sama")</f>
        <v>Sama</v>
      </c>
      <c r="BH91" s="7"/>
      <c r="BI91" s="7" t="str">
        <f>IF(Table43[[#This Row],[Kode BARANG Win2]]&lt;&gt;"","IDR","")</f>
        <v>IDR</v>
      </c>
      <c r="BJ91" s="7" t="str">
        <f>CONCATENATE(Table43[[#This Row],[kode  1 Digit
(Nomor)]],Table43[[#This Row],[kode  4 Digit                (Nomor)]])</f>
        <v>0150</v>
      </c>
      <c r="BK91" s="7" t="str">
        <f>Table43[[#This Row],[Nama            Gramasi atau Jumlah Pack per CTN]]</f>
        <v>150ML</v>
      </c>
      <c r="BL91" s="7"/>
      <c r="BM91" s="7"/>
      <c r="BN91" s="4" t="str">
        <f>IF(Table43[[#This Row],[SATUAN Fix Win]]&lt;&gt;"","KRT")</f>
        <v>KRT</v>
      </c>
      <c r="BO91" s="4" t="str">
        <f>IF(Table43[[#This Row],[SATUAN Fix Win]]&lt;&gt;"","GD01")</f>
        <v>GD01</v>
      </c>
      <c r="BP91" s="4">
        <f>IF(Table43[[#This Row],[SATUAN Fix Win]]&lt;&gt;"",11611)</f>
        <v>11611</v>
      </c>
      <c r="BQ91" s="4">
        <f>IF(Table43[[#This Row],[SATUAN Fix Win]]&lt;&gt;"",11612)</f>
        <v>11612</v>
      </c>
      <c r="BS91" s="4">
        <f>IF(Table43[[#This Row],[SATUAN Fix Win]]&lt;&gt;"",1)</f>
        <v>1</v>
      </c>
      <c r="BU91" s="4">
        <f>Table43[[#This Row],[ISI/CTN]]</f>
        <v>24</v>
      </c>
    </row>
    <row r="92" spans="1:73">
      <c r="A92" s="4" t="str">
        <f>CONCATENATE(Table43[[#This Row],[Kode BARANG Win2]],Table43[[#This Row],[No. Urut
Item Sama]])</f>
        <v>G1071008015010</v>
      </c>
      <c r="B92" s="7"/>
      <c r="C92" s="31">
        <v>30070100600000</v>
      </c>
      <c r="D92" s="51">
        <v>40057867</v>
      </c>
      <c r="E92" s="27" t="s">
        <v>1903</v>
      </c>
      <c r="F92" s="51">
        <v>30070020150000</v>
      </c>
      <c r="G92" s="51">
        <v>0</v>
      </c>
      <c r="H92" s="27" t="s">
        <v>1155</v>
      </c>
      <c r="I92" s="27">
        <v>24</v>
      </c>
      <c r="J92" s="51" t="s">
        <v>1595</v>
      </c>
      <c r="K92" s="27" t="str">
        <f>Table43[[#This Row],[NamaJenisKemasan]]</f>
        <v>KLG</v>
      </c>
      <c r="L92" s="4" t="str">
        <f>TRIM(CONCATENATE(Table43[[#This Row],[Nama            KLP]]," ",Table43[[#This Row],[Nama            Sub KLP]]))</f>
        <v>HIT AEROSOL</v>
      </c>
      <c r="M92" s="4" t="str">
        <f>CONCATENATE(Table43[[#This Row],[kode  2 Digit                (hrf+No)]],Table43[[#This Row],[kode  2 Digit                (Nomor)]],Table43[[#This Row],[kode  1 Digit                (Nomor)]])</f>
        <v>G1071</v>
      </c>
      <c r="N92" s="4" t="str">
        <f>IF(AI92="",CONCATENATE(S92,U92,W92,Y92,AA92,AC92,AE92,AG92,Table43[[#This Row],[Tanda Kode Revisi]]),CONCATENATE(S92,U92,W92,Y92,AA92,AC92,AE92,AI92))</f>
        <v>G1071008015010</v>
      </c>
      <c r="O92" s="11">
        <f t="shared" si="2"/>
        <v>14</v>
      </c>
      <c r="P92" s="14" t="str">
        <f>IF(AH92&lt;&gt;"",TRIM(UPPER(CONCATENATE(R92," ",T92," ",V92," ",X92," ",Z92," ",AB92," ","X"," ",Table43[[#This Row],[ISI/CTN]]," ",AH92," ",AD92," ",AF92," ",AJ92))),TRIM(UPPER(CONCATENATE(R92," ",T92," ",V92," ",X92," ",Z92," ",AB92," ","X"," ",Table43[[#This Row],[ISI/CTN]]," ",AD92," ",AF92," ",AJ92))))</f>
        <v>HIT AEROSOL ORANGE 150ML X 24 KLG</v>
      </c>
      <c r="Q92" s="11">
        <f t="shared" si="3"/>
        <v>33</v>
      </c>
      <c r="S92" s="7" t="s">
        <v>34</v>
      </c>
      <c r="T92" s="4" t="s">
        <v>2242</v>
      </c>
      <c r="U92" s="47" t="s">
        <v>2544</v>
      </c>
      <c r="V92" s="48" t="s">
        <v>2243</v>
      </c>
      <c r="W92" s="7">
        <v>1</v>
      </c>
      <c r="X92" s="48"/>
      <c r="Y92" s="47" t="s">
        <v>1116</v>
      </c>
      <c r="Z92" s="4" t="s">
        <v>2251</v>
      </c>
      <c r="AA92" s="49" t="s">
        <v>2545</v>
      </c>
      <c r="AB92" s="4" t="s">
        <v>2260</v>
      </c>
      <c r="AC92" s="49" t="s">
        <v>2597</v>
      </c>
      <c r="AD92" s="4" t="s">
        <v>2221</v>
      </c>
      <c r="AE92" s="7">
        <v>1</v>
      </c>
      <c r="AG92" s="7">
        <v>0</v>
      </c>
      <c r="AK92" s="70">
        <f>Table43[[#This Row],[Column4]]</f>
        <v>30070020150000</v>
      </c>
      <c r="AN92" s="7">
        <f>Table43[[#This Row],[ISI/CTN]]</f>
        <v>24</v>
      </c>
      <c r="AO92" s="38">
        <f>Table43[[#This Row],[Harga Jual Pcs GT
(-PPN)]]-(Table43[[#This Row],[Harga Jual Pcs GT
(-PPN)]]*6.5%)</f>
        <v>9256.5</v>
      </c>
      <c r="AP92" s="38">
        <f>Table43[[#This Row],[Harga Beli Pcs
(-PPN)]]*Table43[[#This Row],[ISI/CTN]]</f>
        <v>222156</v>
      </c>
      <c r="AQ92" s="38">
        <f>Table43[[#This Row],[Harga Beli Pcs
(-PPN)]]*1.11</f>
        <v>10274.715</v>
      </c>
      <c r="AR92" s="38">
        <f>Table43[[#This Row],[Harga Beli Krt
(- PPN)]]*1.11</f>
        <v>246593.16000000003</v>
      </c>
      <c r="AS92" s="38">
        <v>9900</v>
      </c>
      <c r="AT92" s="38">
        <f>Table43[[#This Row],[Harga Jual Pcs GT
(-PPN)]]*Table43[[#This Row],[ISI/CTN]]</f>
        <v>237600</v>
      </c>
      <c r="AU92" s="38">
        <f>Table43[[#This Row],[Harga Jual Pcs GT
(-PPN)]]*1.11</f>
        <v>10989.000000000002</v>
      </c>
      <c r="AV92" s="38">
        <f>Table43[[#This Row],[Harga Jual Krt GT
(- PPN)]]*1.11</f>
        <v>263736</v>
      </c>
      <c r="AW92" s="38">
        <f>IFERROR(VLOOKUP(Table43[[#This Row],[Kode Pcpl]],'[1]FEB 2026'!$A$3:$X$312,24,0),0)</f>
        <v>0</v>
      </c>
      <c r="AX92" s="38">
        <f>Table43[[#This Row],[Harga Jual Pcs MT
(-PPN)]]*Table43[[#This Row],[ISI/CTN]]</f>
        <v>0</v>
      </c>
      <c r="AY92" s="38">
        <f>Table43[[#This Row],[Harga Jual Pcs MT
(-PPN)]]*1.11</f>
        <v>0</v>
      </c>
      <c r="AZ92" s="38">
        <f>Table43[[#This Row],[Harga Jual Pcs MT
(+PPN)]]*Table43[[#This Row],[ISI/CTN]]</f>
        <v>0</v>
      </c>
      <c r="BA92" s="46">
        <f>(Table43[[#This Row],[Harga Jual Pcs GT
(-PPN)]]-Table43[[#This Row],[Harga Beli Pcs
(-PPN)]])/Table43[[#This Row],[Harga Jual Pcs GT
(-PPN)]]</f>
        <v>6.5000000000000002E-2</v>
      </c>
      <c r="BB92" s="53">
        <f>Table43[[#This Row],[Harga Jual Pcs MT
(-PPN)]]-Table43[[#This Row],[Harga Beli Pcs
(-PPN)]]</f>
        <v>-9256.5</v>
      </c>
      <c r="BC92" s="54" t="e">
        <f>Table43[[#This Row],[Column1]]/Table43[[#This Row],[Harga Jual Pcs MT
(-PPN)]]</f>
        <v>#DIV/0!</v>
      </c>
      <c r="BD92" s="52"/>
      <c r="BE92" s="7"/>
      <c r="BF92" s="7" t="str">
        <f ca="1">IF(TODAY()-Table43[[#This Row],[Efektif
Pembuatan]]&gt;60,"Lama","Baru")</f>
        <v>Lama</v>
      </c>
      <c r="BG92" s="7" t="str">
        <f ca="1">IF(TODAY()-Table43[[#This Row],[Efektif Naik Harga]]&lt;30,"Naik","Sama")</f>
        <v>Sama</v>
      </c>
      <c r="BH92" s="7"/>
      <c r="BI92" s="7" t="str">
        <f>IF(Table43[[#This Row],[Kode BARANG Win2]]&lt;&gt;"","IDR","")</f>
        <v>IDR</v>
      </c>
      <c r="BJ92" s="7" t="str">
        <f>CONCATENATE(Table43[[#This Row],[kode  1 Digit
(Nomor)]],Table43[[#This Row],[kode  4 Digit                (Nomor)]])</f>
        <v>0150</v>
      </c>
      <c r="BK92" s="7" t="str">
        <f>Table43[[#This Row],[Nama            Gramasi atau Jumlah Pack per CTN]]</f>
        <v>150ML</v>
      </c>
      <c r="BL92" s="7"/>
      <c r="BM92" s="7"/>
      <c r="BN92" s="4" t="str">
        <f>IF(Table43[[#This Row],[SATUAN Fix Win]]&lt;&gt;"","KRT")</f>
        <v>KRT</v>
      </c>
      <c r="BO92" s="4" t="str">
        <f>IF(Table43[[#This Row],[SATUAN Fix Win]]&lt;&gt;"","GD01")</f>
        <v>GD01</v>
      </c>
      <c r="BP92" s="4">
        <f>IF(Table43[[#This Row],[SATUAN Fix Win]]&lt;&gt;"",11611)</f>
        <v>11611</v>
      </c>
      <c r="BQ92" s="4">
        <f>IF(Table43[[#This Row],[SATUAN Fix Win]]&lt;&gt;"",11612)</f>
        <v>11612</v>
      </c>
      <c r="BS92" s="4">
        <f>IF(Table43[[#This Row],[SATUAN Fix Win]]&lt;&gt;"",1)</f>
        <v>1</v>
      </c>
      <c r="BU92" s="4">
        <f>Table43[[#This Row],[ISI/CTN]]</f>
        <v>24</v>
      </c>
    </row>
    <row r="93" spans="1:73">
      <c r="A93" s="4" t="str">
        <f>CONCATENATE(Table43[[#This Row],[Kode BARANG Win2]],Table43[[#This Row],[No. Urut
Item Sama]])</f>
        <v>G1071008015010</v>
      </c>
      <c r="B93" s="7"/>
      <c r="C93" s="31">
        <v>30070100600000</v>
      </c>
      <c r="D93" s="51">
        <v>40043134</v>
      </c>
      <c r="E93" s="27"/>
      <c r="F93" s="51">
        <v>30070020150000</v>
      </c>
      <c r="G93" s="51"/>
      <c r="H93" s="27"/>
      <c r="I93" s="27">
        <v>24</v>
      </c>
      <c r="J93" s="51"/>
      <c r="K93" s="27" t="str">
        <f>Table43[[#This Row],[NamaJenisKemasan]]</f>
        <v>KLG</v>
      </c>
      <c r="L93" s="4" t="str">
        <f>TRIM(CONCATENATE(Table43[[#This Row],[Nama            KLP]]," ",Table43[[#This Row],[Nama            Sub KLP]]))</f>
        <v>HIT AEROSOL</v>
      </c>
      <c r="M93" s="4" t="str">
        <f>CONCATENATE(Table43[[#This Row],[kode  2 Digit                (hrf+No)]],Table43[[#This Row],[kode  2 Digit                (Nomor)]],Table43[[#This Row],[kode  1 Digit                (Nomor)]])</f>
        <v>G1071</v>
      </c>
      <c r="N93" s="4" t="str">
        <f>IF(AI93="",CONCATENATE(S93,U93,W93,Y93,AA93,AC93,AE93,AG93,Table43[[#This Row],[Tanda Kode Revisi]]),CONCATENATE(S93,U93,W93,Y93,AA93,AC93,AE93,AI93))</f>
        <v>G1071008015010</v>
      </c>
      <c r="O93" s="11">
        <f t="shared" si="2"/>
        <v>14</v>
      </c>
      <c r="P93" s="14" t="str">
        <f>IF(AH93&lt;&gt;"",TRIM(UPPER(CONCATENATE(R93," ",T93," ",V93," ",X93," ",Z93," ",AB93," ","X"," ",Table43[[#This Row],[ISI/CTN]]," ",AH93," ",AD93," ",AF93," ",AJ93))),TRIM(UPPER(CONCATENATE(R93," ",T93," ",V93," ",X93," ",Z93," ",AB93," ","X"," ",Table43[[#This Row],[ISI/CTN]]," ",AD93," ",AF93," ",AJ93))))</f>
        <v>HIT AEROSOL ORANGE 150ML X 24 KLG</v>
      </c>
      <c r="Q93" s="11">
        <f t="shared" si="3"/>
        <v>33</v>
      </c>
      <c r="S93" s="7" t="s">
        <v>34</v>
      </c>
      <c r="T93" s="4" t="s">
        <v>2242</v>
      </c>
      <c r="U93" s="47" t="s">
        <v>2544</v>
      </c>
      <c r="V93" s="48" t="s">
        <v>2243</v>
      </c>
      <c r="W93" s="7">
        <v>1</v>
      </c>
      <c r="X93" s="48"/>
      <c r="Y93" s="47" t="s">
        <v>1116</v>
      </c>
      <c r="Z93" s="4" t="s">
        <v>2251</v>
      </c>
      <c r="AA93" s="49" t="s">
        <v>2545</v>
      </c>
      <c r="AB93" s="4" t="s">
        <v>2260</v>
      </c>
      <c r="AC93" s="49" t="s">
        <v>2597</v>
      </c>
      <c r="AD93" s="4" t="s">
        <v>2221</v>
      </c>
      <c r="AE93" s="7">
        <v>1</v>
      </c>
      <c r="AG93" s="7">
        <v>0</v>
      </c>
      <c r="AK93" s="70">
        <f>Table43[[#This Row],[Column4]]</f>
        <v>30070020150000</v>
      </c>
      <c r="AN93" s="7">
        <f>Table43[[#This Row],[ISI/CTN]]</f>
        <v>24</v>
      </c>
      <c r="AO93" s="38">
        <f>Table43[[#This Row],[Harga Jual Pcs GT
(-PPN)]]-(Table43[[#This Row],[Harga Jual Pcs GT
(-PPN)]]*6.5%)</f>
        <v>9256.5</v>
      </c>
      <c r="AP93" s="38">
        <f>Table43[[#This Row],[Harga Beli Pcs
(-PPN)]]*Table43[[#This Row],[ISI/CTN]]</f>
        <v>222156</v>
      </c>
      <c r="AQ93" s="38">
        <f>Table43[[#This Row],[Harga Beli Pcs
(-PPN)]]*1.11</f>
        <v>10274.715</v>
      </c>
      <c r="AR93" s="38">
        <f>Table43[[#This Row],[Harga Beli Krt
(- PPN)]]*1.11</f>
        <v>246593.16000000003</v>
      </c>
      <c r="AS93" s="38">
        <v>9900</v>
      </c>
      <c r="AT93" s="38">
        <f>Table43[[#This Row],[Harga Jual Pcs GT
(-PPN)]]*Table43[[#This Row],[ISI/CTN]]</f>
        <v>237600</v>
      </c>
      <c r="AU93" s="38">
        <f>Table43[[#This Row],[Harga Jual Pcs GT
(-PPN)]]*1.11</f>
        <v>10989.000000000002</v>
      </c>
      <c r="AV93" s="38">
        <f>Table43[[#This Row],[Harga Jual Krt GT
(- PPN)]]*1.11</f>
        <v>263736</v>
      </c>
      <c r="AW93" s="38">
        <f>IFERROR(VLOOKUP(Table43[[#This Row],[Kode Pcpl]],'[1]FEB 2026'!$A$3:$X$312,24,0),0)</f>
        <v>0</v>
      </c>
      <c r="AX93" s="38">
        <f>Table43[[#This Row],[Harga Jual Pcs MT
(-PPN)]]*Table43[[#This Row],[ISI/CTN]]</f>
        <v>0</v>
      </c>
      <c r="AY93" s="38">
        <f>Table43[[#This Row],[Harga Jual Pcs MT
(-PPN)]]*1.11</f>
        <v>0</v>
      </c>
      <c r="AZ93" s="38">
        <f>Table43[[#This Row],[Harga Jual Pcs MT
(+PPN)]]*Table43[[#This Row],[ISI/CTN]]</f>
        <v>0</v>
      </c>
      <c r="BA93" s="46">
        <f>(Table43[[#This Row],[Harga Jual Pcs GT
(-PPN)]]-Table43[[#This Row],[Harga Beli Pcs
(-PPN)]])/Table43[[#This Row],[Harga Jual Pcs GT
(-PPN)]]</f>
        <v>6.5000000000000002E-2</v>
      </c>
      <c r="BB93" s="53">
        <f>Table43[[#This Row],[Harga Jual Pcs MT
(-PPN)]]-Table43[[#This Row],[Harga Beli Pcs
(-PPN)]]</f>
        <v>-9256.5</v>
      </c>
      <c r="BC93" s="54" t="e">
        <f>Table43[[#This Row],[Column1]]/Table43[[#This Row],[Harga Jual Pcs MT
(-PPN)]]</f>
        <v>#DIV/0!</v>
      </c>
      <c r="BD93" s="52"/>
      <c r="BE93" s="7"/>
      <c r="BF93" s="7" t="str">
        <f ca="1">IF(TODAY()-Table43[[#This Row],[Efektif
Pembuatan]]&gt;60,"Lama","Baru")</f>
        <v>Lama</v>
      </c>
      <c r="BG93" s="7" t="str">
        <f ca="1">IF(TODAY()-Table43[[#This Row],[Efektif Naik Harga]]&lt;30,"Naik","Sama")</f>
        <v>Sama</v>
      </c>
      <c r="BH93" s="7"/>
      <c r="BI93" s="7" t="str">
        <f>IF(Table43[[#This Row],[Kode BARANG Win2]]&lt;&gt;"","IDR","")</f>
        <v>IDR</v>
      </c>
      <c r="BJ93" s="7" t="str">
        <f>CONCATENATE(Table43[[#This Row],[kode  1 Digit
(Nomor)]],Table43[[#This Row],[kode  4 Digit                (Nomor)]])</f>
        <v>0150</v>
      </c>
      <c r="BK93" s="7" t="str">
        <f>Table43[[#This Row],[Nama            Gramasi atau Jumlah Pack per CTN]]</f>
        <v>150ML</v>
      </c>
      <c r="BL93" s="7"/>
      <c r="BM93" s="7"/>
      <c r="BN93" s="4" t="str">
        <f>IF(Table43[[#This Row],[SATUAN Fix Win]]&lt;&gt;"","KRT")</f>
        <v>KRT</v>
      </c>
      <c r="BO93" s="4" t="str">
        <f>IF(Table43[[#This Row],[SATUAN Fix Win]]&lt;&gt;"","GD01")</f>
        <v>GD01</v>
      </c>
      <c r="BP93" s="4">
        <f>IF(Table43[[#This Row],[SATUAN Fix Win]]&lt;&gt;"",11611)</f>
        <v>11611</v>
      </c>
      <c r="BQ93" s="4">
        <f>IF(Table43[[#This Row],[SATUAN Fix Win]]&lt;&gt;"",11612)</f>
        <v>11612</v>
      </c>
      <c r="BS93" s="4">
        <f>IF(Table43[[#This Row],[SATUAN Fix Win]]&lt;&gt;"",1)</f>
        <v>1</v>
      </c>
      <c r="BU93" s="4">
        <f>Table43[[#This Row],[ISI/CTN]]</f>
        <v>24</v>
      </c>
    </row>
    <row r="94" spans="1:73">
      <c r="A94" s="4" t="str">
        <f>CONCATENATE(Table43[[#This Row],[Kode BARANG Win2]],Table43[[#This Row],[No. Urut
Item Sama]])</f>
        <v>G1071008015010</v>
      </c>
      <c r="B94" s="7"/>
      <c r="C94" s="31">
        <v>30070100600000</v>
      </c>
      <c r="D94" s="51">
        <v>40044131</v>
      </c>
      <c r="E94" s="27"/>
      <c r="F94" s="51">
        <v>30070020150000</v>
      </c>
      <c r="G94" s="51"/>
      <c r="H94" s="27"/>
      <c r="I94" s="27">
        <v>24</v>
      </c>
      <c r="J94" s="51"/>
      <c r="K94" s="27" t="str">
        <f>Table43[[#This Row],[NamaJenisKemasan]]</f>
        <v>KLG</v>
      </c>
      <c r="L94" s="4" t="str">
        <f>TRIM(CONCATENATE(Table43[[#This Row],[Nama            KLP]]," ",Table43[[#This Row],[Nama            Sub KLP]]))</f>
        <v>HIT AEROSOL</v>
      </c>
      <c r="M94" s="4" t="str">
        <f>CONCATENATE(Table43[[#This Row],[kode  2 Digit                (hrf+No)]],Table43[[#This Row],[kode  2 Digit                (Nomor)]],Table43[[#This Row],[kode  1 Digit                (Nomor)]])</f>
        <v>G1071</v>
      </c>
      <c r="N94" s="4" t="str">
        <f>IF(AI94="",CONCATENATE(S94,U94,W94,Y94,AA94,AC94,AE94,AG94,Table43[[#This Row],[Tanda Kode Revisi]]),CONCATENATE(S94,U94,W94,Y94,AA94,AC94,AE94,AI94))</f>
        <v>G1071008015010</v>
      </c>
      <c r="O94" s="11">
        <f t="shared" si="2"/>
        <v>14</v>
      </c>
      <c r="P94" s="14" t="str">
        <f>IF(AH94&lt;&gt;"",TRIM(UPPER(CONCATENATE(R94," ",T94," ",V94," ",X94," ",Z94," ",AB94," ","X"," ",Table43[[#This Row],[ISI/CTN]]," ",AH94," ",AD94," ",AF94," ",AJ94))),TRIM(UPPER(CONCATENATE(R94," ",T94," ",V94," ",X94," ",Z94," ",AB94," ","X"," ",Table43[[#This Row],[ISI/CTN]]," ",AD94," ",AF94," ",AJ94))))</f>
        <v>HIT AEROSOL ORANGE 150ML X 24 KLG</v>
      </c>
      <c r="Q94" s="11">
        <f t="shared" si="3"/>
        <v>33</v>
      </c>
      <c r="S94" s="7" t="s">
        <v>34</v>
      </c>
      <c r="T94" s="4" t="s">
        <v>2242</v>
      </c>
      <c r="U94" s="47" t="s">
        <v>2544</v>
      </c>
      <c r="V94" s="48" t="s">
        <v>2243</v>
      </c>
      <c r="W94" s="7">
        <v>1</v>
      </c>
      <c r="X94" s="48"/>
      <c r="Y94" s="47" t="s">
        <v>1116</v>
      </c>
      <c r="Z94" s="4" t="s">
        <v>2251</v>
      </c>
      <c r="AA94" s="49" t="s">
        <v>2545</v>
      </c>
      <c r="AB94" s="4" t="s">
        <v>2260</v>
      </c>
      <c r="AC94" s="49" t="s">
        <v>2597</v>
      </c>
      <c r="AD94" s="4" t="s">
        <v>2221</v>
      </c>
      <c r="AE94" s="7">
        <v>1</v>
      </c>
      <c r="AG94" s="7">
        <v>0</v>
      </c>
      <c r="AK94" s="70">
        <f>Table43[[#This Row],[Column4]]</f>
        <v>30070020150000</v>
      </c>
      <c r="AN94" s="7">
        <f>Table43[[#This Row],[ISI/CTN]]</f>
        <v>24</v>
      </c>
      <c r="AO94" s="38">
        <f>Table43[[#This Row],[Harga Jual Pcs GT
(-PPN)]]-(Table43[[#This Row],[Harga Jual Pcs GT
(-PPN)]]*6.5%)</f>
        <v>9256.5</v>
      </c>
      <c r="AP94" s="38">
        <f>Table43[[#This Row],[Harga Beli Pcs
(-PPN)]]*Table43[[#This Row],[ISI/CTN]]</f>
        <v>222156</v>
      </c>
      <c r="AQ94" s="38">
        <f>Table43[[#This Row],[Harga Beli Pcs
(-PPN)]]*1.11</f>
        <v>10274.715</v>
      </c>
      <c r="AR94" s="38">
        <f>Table43[[#This Row],[Harga Beli Krt
(- PPN)]]*1.11</f>
        <v>246593.16000000003</v>
      </c>
      <c r="AS94" s="38">
        <v>9900</v>
      </c>
      <c r="AT94" s="38">
        <f>Table43[[#This Row],[Harga Jual Pcs GT
(-PPN)]]*Table43[[#This Row],[ISI/CTN]]</f>
        <v>237600</v>
      </c>
      <c r="AU94" s="38">
        <f>Table43[[#This Row],[Harga Jual Pcs GT
(-PPN)]]*1.11</f>
        <v>10989.000000000002</v>
      </c>
      <c r="AV94" s="38">
        <f>Table43[[#This Row],[Harga Jual Krt GT
(- PPN)]]*1.11</f>
        <v>263736</v>
      </c>
      <c r="AW94" s="38">
        <f>IFERROR(VLOOKUP(Table43[[#This Row],[Kode Pcpl]],'[1]FEB 2026'!$A$3:$X$312,24,0),0)</f>
        <v>0</v>
      </c>
      <c r="AX94" s="38">
        <f>Table43[[#This Row],[Harga Jual Pcs MT
(-PPN)]]*Table43[[#This Row],[ISI/CTN]]</f>
        <v>0</v>
      </c>
      <c r="AY94" s="38">
        <f>Table43[[#This Row],[Harga Jual Pcs MT
(-PPN)]]*1.11</f>
        <v>0</v>
      </c>
      <c r="AZ94" s="38">
        <f>Table43[[#This Row],[Harga Jual Pcs MT
(+PPN)]]*Table43[[#This Row],[ISI/CTN]]</f>
        <v>0</v>
      </c>
      <c r="BA94" s="46">
        <f>(Table43[[#This Row],[Harga Jual Pcs GT
(-PPN)]]-Table43[[#This Row],[Harga Beli Pcs
(-PPN)]])/Table43[[#This Row],[Harga Jual Pcs GT
(-PPN)]]</f>
        <v>6.5000000000000002E-2</v>
      </c>
      <c r="BB94" s="53">
        <f>Table43[[#This Row],[Harga Jual Pcs MT
(-PPN)]]-Table43[[#This Row],[Harga Beli Pcs
(-PPN)]]</f>
        <v>-9256.5</v>
      </c>
      <c r="BC94" s="54" t="e">
        <f>Table43[[#This Row],[Column1]]/Table43[[#This Row],[Harga Jual Pcs MT
(-PPN)]]</f>
        <v>#DIV/0!</v>
      </c>
      <c r="BD94" s="52"/>
      <c r="BE94" s="7"/>
      <c r="BF94" s="7" t="str">
        <f ca="1">IF(TODAY()-Table43[[#This Row],[Efektif
Pembuatan]]&gt;60,"Lama","Baru")</f>
        <v>Lama</v>
      </c>
      <c r="BG94" s="7" t="str">
        <f ca="1">IF(TODAY()-Table43[[#This Row],[Efektif Naik Harga]]&lt;30,"Naik","Sama")</f>
        <v>Sama</v>
      </c>
      <c r="BH94" s="7"/>
      <c r="BI94" s="7" t="str">
        <f>IF(Table43[[#This Row],[Kode BARANG Win2]]&lt;&gt;"","IDR","")</f>
        <v>IDR</v>
      </c>
      <c r="BJ94" s="7" t="str">
        <f>CONCATENATE(Table43[[#This Row],[kode  1 Digit
(Nomor)]],Table43[[#This Row],[kode  4 Digit                (Nomor)]])</f>
        <v>0150</v>
      </c>
      <c r="BK94" s="7" t="str">
        <f>Table43[[#This Row],[Nama            Gramasi atau Jumlah Pack per CTN]]</f>
        <v>150ML</v>
      </c>
      <c r="BL94" s="7"/>
      <c r="BM94" s="7"/>
      <c r="BN94" s="4" t="str">
        <f>IF(Table43[[#This Row],[SATUAN Fix Win]]&lt;&gt;"","KRT")</f>
        <v>KRT</v>
      </c>
      <c r="BO94" s="4" t="str">
        <f>IF(Table43[[#This Row],[SATUAN Fix Win]]&lt;&gt;"","GD01")</f>
        <v>GD01</v>
      </c>
      <c r="BP94" s="4">
        <f>IF(Table43[[#This Row],[SATUAN Fix Win]]&lt;&gt;"",11611)</f>
        <v>11611</v>
      </c>
      <c r="BQ94" s="4">
        <f>IF(Table43[[#This Row],[SATUAN Fix Win]]&lt;&gt;"",11612)</f>
        <v>11612</v>
      </c>
      <c r="BS94" s="4">
        <f>IF(Table43[[#This Row],[SATUAN Fix Win]]&lt;&gt;"",1)</f>
        <v>1</v>
      </c>
      <c r="BU94" s="4">
        <f>Table43[[#This Row],[ISI/CTN]]</f>
        <v>24</v>
      </c>
    </row>
    <row r="95" spans="1:73">
      <c r="A95" s="4" t="str">
        <f>CONCATENATE(Table43[[#This Row],[Kode BARANG Win2]],Table43[[#This Row],[No. Urut
Item Sama]])</f>
        <v>G1071008018010</v>
      </c>
      <c r="B95" s="7"/>
      <c r="C95" s="31">
        <v>30070050600000</v>
      </c>
      <c r="D95" s="51">
        <v>40060020</v>
      </c>
      <c r="E95" s="27" t="s">
        <v>1904</v>
      </c>
      <c r="F95" s="51">
        <v>30070020200000</v>
      </c>
      <c r="G95" s="51">
        <v>0</v>
      </c>
      <c r="H95" s="27" t="s">
        <v>1158</v>
      </c>
      <c r="I95" s="27">
        <v>12</v>
      </c>
      <c r="J95" s="51" t="s">
        <v>1596</v>
      </c>
      <c r="K95" s="27" t="str">
        <f>Table43[[#This Row],[NamaJenisKemasan]]</f>
        <v>KLG</v>
      </c>
      <c r="L95" s="4" t="str">
        <f>TRIM(CONCATENATE(Table43[[#This Row],[Nama            KLP]]," ",Table43[[#This Row],[Nama            Sub KLP]]))</f>
        <v>HIT AEROSOL</v>
      </c>
      <c r="M95" s="4" t="str">
        <f>CONCATENATE(Table43[[#This Row],[kode  2 Digit                (hrf+No)]],Table43[[#This Row],[kode  2 Digit                (Nomor)]],Table43[[#This Row],[kode  1 Digit                (Nomor)]])</f>
        <v>G1071</v>
      </c>
      <c r="N95" s="4" t="str">
        <f>IF(AI95="",CONCATENATE(S95,U95,W95,Y95,AA95,AC95,AE95,AG95,Table43[[#This Row],[Tanda Kode Revisi]]),CONCATENATE(S95,U95,W95,Y95,AA95,AC95,AE95,AI95))</f>
        <v>G1071008018010</v>
      </c>
      <c r="O95" s="11">
        <f t="shared" si="2"/>
        <v>14</v>
      </c>
      <c r="P95" s="14" t="str">
        <f>IF(AH95&lt;&gt;"",TRIM(UPPER(CONCATENATE(R95," ",T95," ",V95," ",X95," ",Z95," ",AB95," ","X"," ",Table43[[#This Row],[ISI/CTN]]," ",AH95," ",AD95," ",AF95," ",AJ95))),TRIM(UPPER(CONCATENATE(R95," ",T95," ",V95," ",X95," ",Z95," ",AB95," ","X"," ",Table43[[#This Row],[ISI/CTN]]," ",AD95," ",AF95," ",AJ95))))</f>
        <v>HIT AEROSOL ORANGE 180ML X 12 KLG</v>
      </c>
      <c r="Q95" s="11">
        <f t="shared" si="3"/>
        <v>33</v>
      </c>
      <c r="S95" s="7" t="s">
        <v>34</v>
      </c>
      <c r="T95" s="4" t="s">
        <v>2242</v>
      </c>
      <c r="U95" s="47" t="s">
        <v>2544</v>
      </c>
      <c r="V95" s="48" t="s">
        <v>2243</v>
      </c>
      <c r="W95" s="7">
        <v>1</v>
      </c>
      <c r="X95" s="48"/>
      <c r="Y95" s="47" t="s">
        <v>1116</v>
      </c>
      <c r="Z95" s="4" t="s">
        <v>2251</v>
      </c>
      <c r="AA95" s="49" t="s">
        <v>2545</v>
      </c>
      <c r="AB95" s="4" t="s">
        <v>641</v>
      </c>
      <c r="AC95" s="49" t="s">
        <v>2602</v>
      </c>
      <c r="AD95" s="4" t="s">
        <v>2221</v>
      </c>
      <c r="AE95" s="7">
        <v>1</v>
      </c>
      <c r="AG95" s="7">
        <v>0</v>
      </c>
      <c r="AK95" s="70">
        <f>Table43[[#This Row],[Column4]]</f>
        <v>30070020200000</v>
      </c>
      <c r="AN95" s="7">
        <f>Table43[[#This Row],[ISI/CTN]]</f>
        <v>12</v>
      </c>
      <c r="AO95" s="61">
        <f>Table43[[#This Row],[Harga Jual Pcs GT
(-PPN)]]-(Table43[[#This Row],[Harga Jual Pcs GT
(-PPN)]]*6.5%)</f>
        <v>13161.06</v>
      </c>
      <c r="AP95" s="61">
        <f>Table43[[#This Row],[Harga Beli Pcs
(-PPN)]]*Table43[[#This Row],[ISI/CTN]]</f>
        <v>157932.72</v>
      </c>
      <c r="AQ95" s="61">
        <f>Table43[[#This Row],[Harga Beli Pcs
(-PPN)]]*1.11</f>
        <v>14608.776600000001</v>
      </c>
      <c r="AR95" s="61">
        <f>Table43[[#This Row],[Harga Beli Krt
(- PPN)]]*1.11</f>
        <v>175305.31920000003</v>
      </c>
      <c r="AS95" s="61">
        <v>14076</v>
      </c>
      <c r="AT95" s="61">
        <f>Table43[[#This Row],[Harga Jual Pcs GT
(-PPN)]]*Table43[[#This Row],[ISI/CTN]]</f>
        <v>168912</v>
      </c>
      <c r="AU95" s="61">
        <f>Table43[[#This Row],[Harga Jual Pcs GT
(-PPN)]]*1.11</f>
        <v>15624.36</v>
      </c>
      <c r="AV95" s="61">
        <f>Table43[[#This Row],[Harga Jual Krt GT
(- PPN)]]*1.11</f>
        <v>187492.32</v>
      </c>
      <c r="AW95" s="61">
        <f>IFERROR(VLOOKUP(Table43[[#This Row],[Kode Pcpl]],'[1]FEB 2026'!$A$3:$X$312,24,0),0)</f>
        <v>0</v>
      </c>
      <c r="AX95" s="61">
        <f>Table43[[#This Row],[Harga Jual Pcs MT
(-PPN)]]*Table43[[#This Row],[ISI/CTN]]</f>
        <v>0</v>
      </c>
      <c r="AY95" s="61">
        <f>Table43[[#This Row],[Harga Jual Pcs MT
(-PPN)]]*1.11</f>
        <v>0</v>
      </c>
      <c r="AZ95" s="61">
        <f>Table43[[#This Row],[Harga Jual Pcs MT
(+PPN)]]*Table43[[#This Row],[ISI/CTN]]</f>
        <v>0</v>
      </c>
      <c r="BA95" s="62">
        <f>(Table43[[#This Row],[Harga Jual Pcs GT
(-PPN)]]-Table43[[#This Row],[Harga Beli Pcs
(-PPN)]])/Table43[[#This Row],[Harga Jual Pcs GT
(-PPN)]]</f>
        <v>6.500000000000003E-2</v>
      </c>
      <c r="BB95" s="63">
        <f>Table43[[#This Row],[Harga Jual Pcs MT
(-PPN)]]-Table43[[#This Row],[Harga Beli Pcs
(-PPN)]]</f>
        <v>-13161.06</v>
      </c>
      <c r="BC95" s="64" t="e">
        <f>Table43[[#This Row],[Column1]]/Table43[[#This Row],[Harga Jual Pcs MT
(-PPN)]]</f>
        <v>#DIV/0!</v>
      </c>
      <c r="BD95" s="52"/>
      <c r="BE95" s="7"/>
      <c r="BF95" s="7" t="str">
        <f ca="1">IF(TODAY()-Table43[[#This Row],[Efektif
Pembuatan]]&gt;60,"Lama","Baru")</f>
        <v>Lama</v>
      </c>
      <c r="BG95" s="7" t="str">
        <f ca="1">IF(TODAY()-Table43[[#This Row],[Efektif Naik Harga]]&lt;30,"Naik","Sama")</f>
        <v>Sama</v>
      </c>
      <c r="BH95" s="7"/>
      <c r="BI95" s="7" t="str">
        <f>IF(Table43[[#This Row],[Kode BARANG Win2]]&lt;&gt;"","IDR","")</f>
        <v>IDR</v>
      </c>
      <c r="BJ95" s="7" t="str">
        <f>CONCATENATE(Table43[[#This Row],[kode  1 Digit
(Nomor)]],Table43[[#This Row],[kode  4 Digit                (Nomor)]])</f>
        <v>0180</v>
      </c>
      <c r="BK95" s="7" t="str">
        <f>Table43[[#This Row],[Nama            Gramasi atau Jumlah Pack per CTN]]</f>
        <v>180ML</v>
      </c>
      <c r="BL95" s="7"/>
      <c r="BM95" s="7"/>
      <c r="BN95" s="4" t="str">
        <f>IF(Table43[[#This Row],[SATUAN Fix Win]]&lt;&gt;"","KRT")</f>
        <v>KRT</v>
      </c>
      <c r="BO95" s="4" t="str">
        <f>IF(Table43[[#This Row],[SATUAN Fix Win]]&lt;&gt;"","GD01")</f>
        <v>GD01</v>
      </c>
      <c r="BP95" s="4">
        <f>IF(Table43[[#This Row],[SATUAN Fix Win]]&lt;&gt;"",11611)</f>
        <v>11611</v>
      </c>
      <c r="BQ95" s="4">
        <f>IF(Table43[[#This Row],[SATUAN Fix Win]]&lt;&gt;"",11612)</f>
        <v>11612</v>
      </c>
      <c r="BS95" s="4">
        <f>IF(Table43[[#This Row],[SATUAN Fix Win]]&lt;&gt;"",1)</f>
        <v>1</v>
      </c>
      <c r="BU95" s="4">
        <f>Table43[[#This Row],[ISI/CTN]]</f>
        <v>12</v>
      </c>
    </row>
    <row r="96" spans="1:73">
      <c r="A96" s="4" t="str">
        <f>CONCATENATE(Table43[[#This Row],[Kode BARANG Win2]],Table43[[#This Row],[No. Urut
Item Sama]])</f>
        <v>G1071008018010</v>
      </c>
      <c r="B96" s="7"/>
      <c r="C96" s="31">
        <v>30070070150001</v>
      </c>
      <c r="D96" s="51">
        <v>40049655</v>
      </c>
      <c r="E96" s="27" t="s">
        <v>1904</v>
      </c>
      <c r="F96" s="51">
        <v>30070020200000</v>
      </c>
      <c r="G96" s="51">
        <v>0</v>
      </c>
      <c r="H96" s="27" t="s">
        <v>1157</v>
      </c>
      <c r="I96" s="27">
        <v>12</v>
      </c>
      <c r="J96" s="51" t="s">
        <v>1596</v>
      </c>
      <c r="K96" s="27" t="str">
        <f>Table43[[#This Row],[NamaJenisKemasan]]</f>
        <v>KLG</v>
      </c>
      <c r="L96" s="4" t="str">
        <f>TRIM(CONCATENATE(Table43[[#This Row],[Nama            KLP]]," ",Table43[[#This Row],[Nama            Sub KLP]]))</f>
        <v>HIT AEROSOL</v>
      </c>
      <c r="M96" s="4" t="str">
        <f>CONCATENATE(Table43[[#This Row],[kode  2 Digit                (hrf+No)]],Table43[[#This Row],[kode  2 Digit                (Nomor)]],Table43[[#This Row],[kode  1 Digit                (Nomor)]])</f>
        <v>G1071</v>
      </c>
      <c r="N96" s="4" t="str">
        <f>IF(AI96="",CONCATENATE(S96,U96,W96,Y96,AA96,AC96,AE96,AG96,Table43[[#This Row],[Tanda Kode Revisi]]),CONCATENATE(S96,U96,W96,Y96,AA96,AC96,AE96,AI96))</f>
        <v>G1071008018010</v>
      </c>
      <c r="O96" s="11">
        <f t="shared" si="2"/>
        <v>14</v>
      </c>
      <c r="P96" s="14" t="str">
        <f>IF(AH96&lt;&gt;"",TRIM(UPPER(CONCATENATE(R96," ",T96," ",V96," ",X96," ",Z96," ",AB96," ","X"," ",Table43[[#This Row],[ISI/CTN]]," ",AH96," ",AD96," ",AF96," ",AJ96))),TRIM(UPPER(CONCATENATE(R96," ",T96," ",V96," ",X96," ",Z96," ",AB96," ","X"," ",Table43[[#This Row],[ISI/CTN]]," ",AD96," ",AF96," ",AJ96))))</f>
        <v>HIT AEROSOL ORANGE 180ML X 12 KLG</v>
      </c>
      <c r="Q96" s="11">
        <f t="shared" si="3"/>
        <v>33</v>
      </c>
      <c r="S96" s="7" t="s">
        <v>34</v>
      </c>
      <c r="T96" s="4" t="s">
        <v>2242</v>
      </c>
      <c r="U96" s="47" t="s">
        <v>2544</v>
      </c>
      <c r="V96" s="48" t="s">
        <v>2243</v>
      </c>
      <c r="W96" s="7">
        <v>1</v>
      </c>
      <c r="X96" s="48"/>
      <c r="Y96" s="47" t="s">
        <v>1116</v>
      </c>
      <c r="Z96" s="4" t="s">
        <v>2251</v>
      </c>
      <c r="AA96" s="49" t="s">
        <v>2545</v>
      </c>
      <c r="AB96" s="4" t="s">
        <v>641</v>
      </c>
      <c r="AC96" s="49" t="s">
        <v>2602</v>
      </c>
      <c r="AD96" s="4" t="s">
        <v>2221</v>
      </c>
      <c r="AE96" s="7">
        <v>1</v>
      </c>
      <c r="AG96" s="7">
        <v>0</v>
      </c>
      <c r="AK96" s="70">
        <f>Table43[[#This Row],[Column4]]</f>
        <v>30070020200000</v>
      </c>
      <c r="AN96" s="7">
        <f>Table43[[#This Row],[ISI/CTN]]</f>
        <v>12</v>
      </c>
      <c r="AO96" s="38">
        <f>Table43[[#This Row],[Harga Jual Pcs GT
(-PPN)]]-(Table43[[#This Row],[Harga Jual Pcs GT
(-PPN)]]*6.5%)</f>
        <v>13161.06</v>
      </c>
      <c r="AP96" s="38">
        <f>Table43[[#This Row],[Harga Beli Pcs
(-PPN)]]*Table43[[#This Row],[ISI/CTN]]</f>
        <v>157932.72</v>
      </c>
      <c r="AQ96" s="38">
        <f>Table43[[#This Row],[Harga Beli Pcs
(-PPN)]]*1.11</f>
        <v>14608.776600000001</v>
      </c>
      <c r="AR96" s="38">
        <f>Table43[[#This Row],[Harga Beli Krt
(- PPN)]]*1.11</f>
        <v>175305.31920000003</v>
      </c>
      <c r="AS96" s="38">
        <v>14076</v>
      </c>
      <c r="AT96" s="38">
        <f>Table43[[#This Row],[Harga Jual Pcs GT
(-PPN)]]*Table43[[#This Row],[ISI/CTN]]</f>
        <v>168912</v>
      </c>
      <c r="AU96" s="38">
        <f>Table43[[#This Row],[Harga Jual Pcs GT
(-PPN)]]*1.11</f>
        <v>15624.36</v>
      </c>
      <c r="AV96" s="38">
        <f>Table43[[#This Row],[Harga Jual Krt GT
(- PPN)]]*1.11</f>
        <v>187492.32</v>
      </c>
      <c r="AW96" s="38">
        <f>IFERROR(VLOOKUP(Table43[[#This Row],[Kode Pcpl]],'[1]FEB 2026'!$A$3:$X$312,24,0),0)</f>
        <v>0</v>
      </c>
      <c r="AX96" s="38">
        <f>Table43[[#This Row],[Harga Jual Pcs MT
(-PPN)]]*Table43[[#This Row],[ISI/CTN]]</f>
        <v>0</v>
      </c>
      <c r="AY96" s="38">
        <f>Table43[[#This Row],[Harga Jual Pcs MT
(-PPN)]]*1.11</f>
        <v>0</v>
      </c>
      <c r="AZ96" s="38">
        <f>Table43[[#This Row],[Harga Jual Pcs MT
(+PPN)]]*Table43[[#This Row],[ISI/CTN]]</f>
        <v>0</v>
      </c>
      <c r="BA96" s="46">
        <f>(Table43[[#This Row],[Harga Jual Pcs GT
(-PPN)]]-Table43[[#This Row],[Harga Beli Pcs
(-PPN)]])/Table43[[#This Row],[Harga Jual Pcs GT
(-PPN)]]</f>
        <v>6.500000000000003E-2</v>
      </c>
      <c r="BB96" s="53">
        <f>Table43[[#This Row],[Harga Jual Pcs MT
(-PPN)]]-Table43[[#This Row],[Harga Beli Pcs
(-PPN)]]</f>
        <v>-13161.06</v>
      </c>
      <c r="BC96" s="54" t="e">
        <f>Table43[[#This Row],[Column1]]/Table43[[#This Row],[Harga Jual Pcs MT
(-PPN)]]</f>
        <v>#DIV/0!</v>
      </c>
      <c r="BD96" s="52"/>
      <c r="BE96" s="7"/>
      <c r="BF96" s="7" t="str">
        <f ca="1">IF(TODAY()-Table43[[#This Row],[Efektif
Pembuatan]]&gt;60,"Lama","Baru")</f>
        <v>Lama</v>
      </c>
      <c r="BG96" s="7" t="str">
        <f ca="1">IF(TODAY()-Table43[[#This Row],[Efektif Naik Harga]]&lt;30,"Naik","Sama")</f>
        <v>Sama</v>
      </c>
      <c r="BH96" s="7"/>
      <c r="BI96" s="7" t="str">
        <f>IF(Table43[[#This Row],[Kode BARANG Win2]]&lt;&gt;"","IDR","")</f>
        <v>IDR</v>
      </c>
      <c r="BJ96" s="7" t="str">
        <f>CONCATENATE(Table43[[#This Row],[kode  1 Digit
(Nomor)]],Table43[[#This Row],[kode  4 Digit                (Nomor)]])</f>
        <v>0180</v>
      </c>
      <c r="BK96" s="7" t="str">
        <f>Table43[[#This Row],[Nama            Gramasi atau Jumlah Pack per CTN]]</f>
        <v>180ML</v>
      </c>
      <c r="BL96" s="7"/>
      <c r="BM96" s="7"/>
      <c r="BN96" s="4" t="str">
        <f>IF(Table43[[#This Row],[SATUAN Fix Win]]&lt;&gt;"","KRT")</f>
        <v>KRT</v>
      </c>
      <c r="BO96" s="4" t="str">
        <f>IF(Table43[[#This Row],[SATUAN Fix Win]]&lt;&gt;"","GD01")</f>
        <v>GD01</v>
      </c>
      <c r="BP96" s="4">
        <f>IF(Table43[[#This Row],[SATUAN Fix Win]]&lt;&gt;"",11611)</f>
        <v>11611</v>
      </c>
      <c r="BQ96" s="4">
        <f>IF(Table43[[#This Row],[SATUAN Fix Win]]&lt;&gt;"",11612)</f>
        <v>11612</v>
      </c>
      <c r="BS96" s="4">
        <f>IF(Table43[[#This Row],[SATUAN Fix Win]]&lt;&gt;"",1)</f>
        <v>1</v>
      </c>
      <c r="BU96" s="4">
        <f>Table43[[#This Row],[ISI/CTN]]</f>
        <v>12</v>
      </c>
    </row>
    <row r="97" spans="1:73">
      <c r="A97" s="4" t="str">
        <f>CONCATENATE(Table43[[#This Row],[Kode BARANG Win2]],Table43[[#This Row],[No. Urut
Item Sama]])</f>
        <v>G1071008018010</v>
      </c>
      <c r="B97" s="7"/>
      <c r="C97" s="31"/>
      <c r="D97" s="51">
        <v>40039293</v>
      </c>
      <c r="E97" s="27"/>
      <c r="F97" s="51"/>
      <c r="G97" s="51"/>
      <c r="H97" s="27"/>
      <c r="I97" s="27">
        <v>12</v>
      </c>
      <c r="J97" s="51" t="s">
        <v>1596</v>
      </c>
      <c r="K97" s="27" t="str">
        <f>Table43[[#This Row],[NamaJenisKemasan]]</f>
        <v>KLG</v>
      </c>
      <c r="L97" s="4" t="str">
        <f>TRIM(CONCATENATE(Table43[[#This Row],[Nama            KLP]]," ",Table43[[#This Row],[Nama            Sub KLP]]))</f>
        <v>HIT AEROSOL</v>
      </c>
      <c r="M97" s="4" t="str">
        <f>CONCATENATE(Table43[[#This Row],[kode  2 Digit                (hrf+No)]],Table43[[#This Row],[kode  2 Digit                (Nomor)]],Table43[[#This Row],[kode  1 Digit                (Nomor)]])</f>
        <v>G1071</v>
      </c>
      <c r="N97" s="4" t="str">
        <f>IF(AI97="",CONCATENATE(S97,U97,W97,Y97,AA97,AC97,AE97,AG97,Table43[[#This Row],[Tanda Kode Revisi]]),CONCATENATE(S97,U97,W97,Y97,AA97,AC97,AE97,AI97))</f>
        <v>G1071008018010</v>
      </c>
      <c r="O97" s="11">
        <f>LEN(N97)</f>
        <v>14</v>
      </c>
      <c r="P97" s="14" t="str">
        <f>IF(AH97&lt;&gt;"",TRIM(UPPER(CONCATENATE(R97," ",T97," ",V97," ",X97," ",Z97," ",AB97," ","X"," ",Table43[[#This Row],[ISI/CTN]]," ",AH97," ",AD97," ",AF97," ",AJ97))),TRIM(UPPER(CONCATENATE(R97," ",T97," ",V97," ",X97," ",Z97," ",AB97," ","X"," ",Table43[[#This Row],[ISI/CTN]]," ",AD97," ",AF97," ",AJ97))))</f>
        <v>HIT AEROSOL ORANGE 180ML X 12 KLG</v>
      </c>
      <c r="Q97" s="11">
        <f>LEN(P97)</f>
        <v>33</v>
      </c>
      <c r="S97" s="7" t="s">
        <v>34</v>
      </c>
      <c r="T97" s="4" t="s">
        <v>2242</v>
      </c>
      <c r="U97" s="47" t="s">
        <v>2544</v>
      </c>
      <c r="V97" s="48" t="s">
        <v>2243</v>
      </c>
      <c r="W97" s="7">
        <v>1</v>
      </c>
      <c r="X97" s="48"/>
      <c r="Y97" s="47" t="s">
        <v>1116</v>
      </c>
      <c r="Z97" s="4" t="s">
        <v>2251</v>
      </c>
      <c r="AA97" s="49" t="s">
        <v>2545</v>
      </c>
      <c r="AB97" s="4" t="s">
        <v>641</v>
      </c>
      <c r="AC97" s="49" t="s">
        <v>2602</v>
      </c>
      <c r="AD97" s="4" t="s">
        <v>2221</v>
      </c>
      <c r="AE97" s="7">
        <v>1</v>
      </c>
      <c r="AG97" s="7">
        <v>0</v>
      </c>
      <c r="AK97" s="70">
        <f>Table43[[#This Row],[Column4]]</f>
        <v>0</v>
      </c>
      <c r="AN97" s="7">
        <f>Table43[[#This Row],[ISI/CTN]]</f>
        <v>12</v>
      </c>
      <c r="AO97" s="38">
        <f>Table43[[#This Row],[Harga Jual Pcs GT
(-PPN)]]-(Table43[[#This Row],[Harga Jual Pcs GT
(-PPN)]]*6.5%)</f>
        <v>0</v>
      </c>
      <c r="AP97" s="38">
        <f>Table43[[#This Row],[Harga Beli Pcs
(-PPN)]]*Table43[[#This Row],[ISI/CTN]]</f>
        <v>0</v>
      </c>
      <c r="AQ97" s="38">
        <f>Table43[[#This Row],[Harga Beli Pcs
(-PPN)]]*1.11</f>
        <v>0</v>
      </c>
      <c r="AR97" s="38">
        <f>Table43[[#This Row],[Harga Beli Krt
(- PPN)]]*1.11</f>
        <v>0</v>
      </c>
      <c r="AS97" s="38"/>
      <c r="AT97" s="38">
        <f>Table43[[#This Row],[Harga Jual Pcs GT
(-PPN)]]*Table43[[#This Row],[ISI/CTN]]</f>
        <v>0</v>
      </c>
      <c r="AU97" s="38">
        <f>Table43[[#This Row],[Harga Jual Pcs GT
(-PPN)]]*1.11</f>
        <v>0</v>
      </c>
      <c r="AV97" s="38">
        <f>Table43[[#This Row],[Harga Jual Krt GT
(- PPN)]]*1.11</f>
        <v>0</v>
      </c>
      <c r="AW97" s="38">
        <f>IFERROR(VLOOKUP(Table43[[#This Row],[Kode Pcpl]],'[1]FEB 2026'!$A$3:$X$312,24,0),0)</f>
        <v>0</v>
      </c>
      <c r="AX97" s="38">
        <f>Table43[[#This Row],[Harga Jual Pcs MT
(-PPN)]]*Table43[[#This Row],[ISI/CTN]]</f>
        <v>0</v>
      </c>
      <c r="AY97" s="38">
        <f>Table43[[#This Row],[Harga Jual Pcs MT
(-PPN)]]*1.11</f>
        <v>0</v>
      </c>
      <c r="AZ97" s="38">
        <f>Table43[[#This Row],[Harga Jual Pcs MT
(+PPN)]]*Table43[[#This Row],[ISI/CTN]]</f>
        <v>0</v>
      </c>
      <c r="BA97" s="46" t="e">
        <f>(Table43[[#This Row],[Harga Jual Pcs GT
(-PPN)]]-Table43[[#This Row],[Harga Beli Pcs
(-PPN)]])/Table43[[#This Row],[Harga Jual Pcs GT
(-PPN)]]</f>
        <v>#DIV/0!</v>
      </c>
      <c r="BB97" s="53">
        <f>Table43[[#This Row],[Harga Jual Pcs MT
(-PPN)]]-Table43[[#This Row],[Harga Beli Pcs
(-PPN)]]</f>
        <v>0</v>
      </c>
      <c r="BC97" s="54" t="e">
        <f>Table43[[#This Row],[Column1]]/Table43[[#This Row],[Harga Jual Pcs MT
(-PPN)]]</f>
        <v>#DIV/0!</v>
      </c>
      <c r="BD97" s="52"/>
      <c r="BE97" s="7"/>
      <c r="BF97" s="7" t="str">
        <f ca="1">IF(TODAY()-Table43[[#This Row],[Efektif
Pembuatan]]&gt;60,"Lama","Baru")</f>
        <v>Lama</v>
      </c>
      <c r="BG97" s="7" t="str">
        <f ca="1">IF(TODAY()-Table43[[#This Row],[Efektif Naik Harga]]&lt;30,"Naik","Sama")</f>
        <v>Sama</v>
      </c>
      <c r="BH97" s="7"/>
      <c r="BI97" s="7" t="str">
        <f>IF(Table43[[#This Row],[Kode BARANG Win2]]&lt;&gt;"","IDR","")</f>
        <v>IDR</v>
      </c>
      <c r="BJ97" s="7" t="str">
        <f>CONCATENATE(Table43[[#This Row],[kode  1 Digit
(Nomor)]],Table43[[#This Row],[kode  4 Digit                (Nomor)]])</f>
        <v>0180</v>
      </c>
      <c r="BK97" s="7" t="str">
        <f>Table43[[#This Row],[Nama            Gramasi atau Jumlah Pack per CTN]]</f>
        <v>180ML</v>
      </c>
      <c r="BL97" s="7"/>
      <c r="BM97" s="7"/>
      <c r="BN97" s="4" t="str">
        <f>IF(Table43[[#This Row],[SATUAN Fix Win]]&lt;&gt;"","KRT")</f>
        <v>KRT</v>
      </c>
      <c r="BO97" s="4" t="str">
        <f>IF(Table43[[#This Row],[SATUAN Fix Win]]&lt;&gt;"","GD01")</f>
        <v>GD01</v>
      </c>
      <c r="BP97" s="4">
        <f>IF(Table43[[#This Row],[SATUAN Fix Win]]&lt;&gt;"",11611)</f>
        <v>11611</v>
      </c>
      <c r="BQ97" s="4">
        <f>IF(Table43[[#This Row],[SATUAN Fix Win]]&lt;&gt;"",11612)</f>
        <v>11612</v>
      </c>
      <c r="BS97" s="4">
        <f>IF(Table43[[#This Row],[SATUAN Fix Win]]&lt;&gt;"",1)</f>
        <v>1</v>
      </c>
      <c r="BU97" s="4">
        <f>Table43[[#This Row],[ISI/CTN]]</f>
        <v>12</v>
      </c>
    </row>
    <row r="98" spans="1:73">
      <c r="A98" s="4" t="str">
        <f>CONCATENATE(Table43[[#This Row],[Kode BARANG Win2]],Table43[[#This Row],[No. Urut
Item Sama]])</f>
        <v>G1071008018010</v>
      </c>
      <c r="B98" s="7"/>
      <c r="C98" s="31"/>
      <c r="D98" s="51">
        <v>40038014</v>
      </c>
      <c r="E98" s="27"/>
      <c r="F98" s="51"/>
      <c r="G98" s="51"/>
      <c r="H98" s="27"/>
      <c r="I98" s="27">
        <v>12</v>
      </c>
      <c r="J98" s="51" t="s">
        <v>1596</v>
      </c>
      <c r="K98" s="27" t="str">
        <f>Table43[[#This Row],[NamaJenisKemasan]]</f>
        <v>KLG</v>
      </c>
      <c r="L98" s="4" t="str">
        <f>TRIM(CONCATENATE(Table43[[#This Row],[Nama            KLP]]," ",Table43[[#This Row],[Nama            Sub KLP]]))</f>
        <v>HIT AEROSOL</v>
      </c>
      <c r="M98" s="4" t="str">
        <f>CONCATENATE(Table43[[#This Row],[kode  2 Digit                (hrf+No)]],Table43[[#This Row],[kode  2 Digit                (Nomor)]],Table43[[#This Row],[kode  1 Digit                (Nomor)]])</f>
        <v>G1071</v>
      </c>
      <c r="N98" s="4" t="str">
        <f>IF(AI98="",CONCATENATE(S98,U98,W98,Y98,AA98,AC98,AE98,AG98,Table43[[#This Row],[Tanda Kode Revisi]]),CONCATENATE(S98,U98,W98,Y98,AA98,AC98,AE98,AI98))</f>
        <v>G1071008018010</v>
      </c>
      <c r="O98" s="11">
        <f t="shared" si="2"/>
        <v>14</v>
      </c>
      <c r="P98" s="14" t="str">
        <f>IF(AH98&lt;&gt;"",TRIM(UPPER(CONCATENATE(R98," ",T98," ",V98," ",X98," ",Z98," ",AB98," ","X"," ",Table43[[#This Row],[ISI/CTN]]," ",AH98," ",AD98," ",AF98," ",AJ98))),TRIM(UPPER(CONCATENATE(R98," ",T98," ",V98," ",X98," ",Z98," ",AB98," ","X"," ",Table43[[#This Row],[ISI/CTN]]," ",AD98," ",AF98," ",AJ98))))</f>
        <v>HIT AEROSOL ORANGE 180ML X 12 KLG</v>
      </c>
      <c r="Q98" s="11">
        <f t="shared" si="3"/>
        <v>33</v>
      </c>
      <c r="S98" s="7" t="s">
        <v>34</v>
      </c>
      <c r="T98" s="4" t="s">
        <v>2242</v>
      </c>
      <c r="U98" s="47" t="s">
        <v>2544</v>
      </c>
      <c r="V98" s="48" t="s">
        <v>2243</v>
      </c>
      <c r="W98" s="7">
        <v>1</v>
      </c>
      <c r="X98" s="48"/>
      <c r="Y98" s="47" t="s">
        <v>1116</v>
      </c>
      <c r="Z98" s="4" t="s">
        <v>2251</v>
      </c>
      <c r="AA98" s="49" t="s">
        <v>2545</v>
      </c>
      <c r="AB98" s="4" t="s">
        <v>641</v>
      </c>
      <c r="AC98" s="49" t="s">
        <v>2602</v>
      </c>
      <c r="AD98" s="4" t="s">
        <v>2221</v>
      </c>
      <c r="AE98" s="7">
        <v>1</v>
      </c>
      <c r="AG98" s="7">
        <v>0</v>
      </c>
      <c r="AK98" s="70">
        <f>Table43[[#This Row],[Column4]]</f>
        <v>0</v>
      </c>
      <c r="AN98" s="7">
        <f>Table43[[#This Row],[ISI/CTN]]</f>
        <v>12</v>
      </c>
      <c r="AO98" s="38">
        <f>Table43[[#This Row],[Harga Jual Pcs GT
(-PPN)]]-(Table43[[#This Row],[Harga Jual Pcs GT
(-PPN)]]*6.5%)</f>
        <v>13161.06</v>
      </c>
      <c r="AP98" s="38">
        <f>Table43[[#This Row],[Harga Beli Pcs
(-PPN)]]*Table43[[#This Row],[ISI/CTN]]</f>
        <v>157932.72</v>
      </c>
      <c r="AQ98" s="38">
        <f>Table43[[#This Row],[Harga Beli Pcs
(-PPN)]]*1.11</f>
        <v>14608.776600000001</v>
      </c>
      <c r="AR98" s="38">
        <f>Table43[[#This Row],[Harga Beli Krt
(- PPN)]]*1.11</f>
        <v>175305.31920000003</v>
      </c>
      <c r="AS98" s="38">
        <v>14076</v>
      </c>
      <c r="AT98" s="38">
        <f>Table43[[#This Row],[Harga Jual Pcs GT
(-PPN)]]*Table43[[#This Row],[ISI/CTN]]</f>
        <v>168912</v>
      </c>
      <c r="AU98" s="38">
        <f>Table43[[#This Row],[Harga Jual Pcs GT
(-PPN)]]*1.11</f>
        <v>15624.36</v>
      </c>
      <c r="AV98" s="38">
        <f>Table43[[#This Row],[Harga Jual Krt GT
(- PPN)]]*1.11</f>
        <v>187492.32</v>
      </c>
      <c r="AW98" s="38">
        <f>IFERROR(VLOOKUP(Table43[[#This Row],[Kode Pcpl]],'[1]FEB 2026'!$A$3:$X$312,24,0),0)</f>
        <v>0</v>
      </c>
      <c r="AX98" s="38">
        <f>Table43[[#This Row],[Harga Jual Pcs MT
(-PPN)]]*Table43[[#This Row],[ISI/CTN]]</f>
        <v>0</v>
      </c>
      <c r="AY98" s="38">
        <f>Table43[[#This Row],[Harga Jual Pcs MT
(-PPN)]]*1.11</f>
        <v>0</v>
      </c>
      <c r="AZ98" s="38">
        <f>Table43[[#This Row],[Harga Jual Pcs MT
(+PPN)]]*Table43[[#This Row],[ISI/CTN]]</f>
        <v>0</v>
      </c>
      <c r="BA98" s="46">
        <f>(Table43[[#This Row],[Harga Jual Pcs GT
(-PPN)]]-Table43[[#This Row],[Harga Beli Pcs
(-PPN)]])/Table43[[#This Row],[Harga Jual Pcs GT
(-PPN)]]</f>
        <v>6.500000000000003E-2</v>
      </c>
      <c r="BB98" s="53">
        <f>Table43[[#This Row],[Harga Jual Pcs MT
(-PPN)]]-Table43[[#This Row],[Harga Beli Pcs
(-PPN)]]</f>
        <v>-13161.06</v>
      </c>
      <c r="BC98" s="54" t="e">
        <f>Table43[[#This Row],[Column1]]/Table43[[#This Row],[Harga Jual Pcs MT
(-PPN)]]</f>
        <v>#DIV/0!</v>
      </c>
      <c r="BD98" s="52"/>
      <c r="BE98" s="7"/>
      <c r="BF98" s="7" t="str">
        <f ca="1">IF(TODAY()-Table43[[#This Row],[Efektif
Pembuatan]]&gt;60,"Lama","Baru")</f>
        <v>Lama</v>
      </c>
      <c r="BG98" s="7" t="str">
        <f ca="1">IF(TODAY()-Table43[[#This Row],[Efektif Naik Harga]]&lt;30,"Naik","Sama")</f>
        <v>Sama</v>
      </c>
      <c r="BH98" s="7"/>
      <c r="BI98" s="7" t="str">
        <f>IF(Table43[[#This Row],[Kode BARANG Win2]]&lt;&gt;"","IDR","")</f>
        <v>IDR</v>
      </c>
      <c r="BJ98" s="7" t="str">
        <f>CONCATENATE(Table43[[#This Row],[kode  1 Digit
(Nomor)]],Table43[[#This Row],[kode  4 Digit                (Nomor)]])</f>
        <v>0180</v>
      </c>
      <c r="BK98" s="7" t="str">
        <f>Table43[[#This Row],[Nama            Gramasi atau Jumlah Pack per CTN]]</f>
        <v>180ML</v>
      </c>
      <c r="BL98" s="7"/>
      <c r="BM98" s="7"/>
      <c r="BN98" s="4" t="str">
        <f>IF(Table43[[#This Row],[SATUAN Fix Win]]&lt;&gt;"","KRT")</f>
        <v>KRT</v>
      </c>
      <c r="BO98" s="4" t="str">
        <f>IF(Table43[[#This Row],[SATUAN Fix Win]]&lt;&gt;"","GD01")</f>
        <v>GD01</v>
      </c>
      <c r="BP98" s="4">
        <f>IF(Table43[[#This Row],[SATUAN Fix Win]]&lt;&gt;"",11611)</f>
        <v>11611</v>
      </c>
      <c r="BQ98" s="4">
        <f>IF(Table43[[#This Row],[SATUAN Fix Win]]&lt;&gt;"",11612)</f>
        <v>11612</v>
      </c>
      <c r="BS98" s="4">
        <f>IF(Table43[[#This Row],[SATUAN Fix Win]]&lt;&gt;"",1)</f>
        <v>1</v>
      </c>
      <c r="BU98" s="4">
        <f>Table43[[#This Row],[ISI/CTN]]</f>
        <v>12</v>
      </c>
    </row>
    <row r="99" spans="1:73">
      <c r="A99" s="4" t="str">
        <f>CONCATENATE(Table43[[#This Row],[Kode BARANG Win2]],Table43[[#This Row],[No. Urut
Item Sama]])</f>
        <v>G1071008040010</v>
      </c>
      <c r="B99" s="7"/>
      <c r="C99" s="31">
        <v>30070070150001</v>
      </c>
      <c r="D99" s="59">
        <v>40059923</v>
      </c>
      <c r="E99" s="60" t="s">
        <v>1905</v>
      </c>
      <c r="F99" s="59">
        <v>30070020415000</v>
      </c>
      <c r="G99" s="59">
        <v>0</v>
      </c>
      <c r="H99" s="60" t="s">
        <v>1160</v>
      </c>
      <c r="I99" s="60">
        <v>12</v>
      </c>
      <c r="J99" s="59" t="s">
        <v>1597</v>
      </c>
      <c r="K99" s="60" t="str">
        <f>Table43[[#This Row],[NamaJenisKemasan]]</f>
        <v>KLG</v>
      </c>
      <c r="L99" s="4" t="str">
        <f>TRIM(CONCATENATE(Table43[[#This Row],[Nama            KLP]]," ",Table43[[#This Row],[Nama            Sub KLP]]))</f>
        <v>HIT AEROSOL</v>
      </c>
      <c r="M99" s="4" t="str">
        <f>CONCATENATE(Table43[[#This Row],[kode  2 Digit                (hrf+No)]],Table43[[#This Row],[kode  2 Digit                (Nomor)]],Table43[[#This Row],[kode  1 Digit                (Nomor)]])</f>
        <v>G1071</v>
      </c>
      <c r="N99" s="4" t="str">
        <f>IF(AI99="",CONCATENATE(S99,U99,W99,Y99,AA99,AC99,AE99,AG99,Table43[[#This Row],[Tanda Kode Revisi]]),CONCATENATE(S99,U99,W99,Y99,AA99,AC99,AE99,AI99))</f>
        <v>G1071008040010</v>
      </c>
      <c r="O99" s="11">
        <f t="shared" si="2"/>
        <v>14</v>
      </c>
      <c r="P99" s="14" t="str">
        <f>IF(AH99&lt;&gt;"",TRIM(UPPER(CONCATENATE(R99," ",T99," ",V99," ",X99," ",Z99," ",AB99," ","X"," ",Table43[[#This Row],[ISI/CTN]]," ",AH99," ",AD99," ",AF99," ",AJ99))),TRIM(UPPER(CONCATENATE(R99," ",T99," ",V99," ",X99," ",Z99," ",AB99," ","X"," ",Table43[[#This Row],[ISI/CTN]]," ",AD99," ",AF99," ",AJ99))))</f>
        <v>HIT AEROSOL ORANGE 415/400ML X 12 KLG</v>
      </c>
      <c r="Q99" s="11">
        <f t="shared" si="3"/>
        <v>37</v>
      </c>
      <c r="S99" s="7" t="s">
        <v>34</v>
      </c>
      <c r="T99" s="4" t="s">
        <v>2242</v>
      </c>
      <c r="U99" s="47" t="s">
        <v>2544</v>
      </c>
      <c r="V99" s="48" t="s">
        <v>2243</v>
      </c>
      <c r="W99" s="7">
        <v>1</v>
      </c>
      <c r="X99" s="48"/>
      <c r="Y99" s="47" t="s">
        <v>1116</v>
      </c>
      <c r="Z99" s="4" t="s">
        <v>2251</v>
      </c>
      <c r="AA99" s="49" t="s">
        <v>2545</v>
      </c>
      <c r="AB99" s="4" t="s">
        <v>2245</v>
      </c>
      <c r="AC99" s="49" t="s">
        <v>2624</v>
      </c>
      <c r="AD99" s="4" t="s">
        <v>2221</v>
      </c>
      <c r="AE99" s="7">
        <v>1</v>
      </c>
      <c r="AG99" s="7">
        <v>0</v>
      </c>
      <c r="AK99" s="70">
        <f>Table43[[#This Row],[Column4]]</f>
        <v>30070020415000</v>
      </c>
      <c r="AN99" s="7">
        <f>Table43[[#This Row],[ISI/CTN]]</f>
        <v>12</v>
      </c>
      <c r="AO99" s="61">
        <f>Table43[[#This Row],[Harga Jual Pcs GT
(-PPN)]]-(Table43[[#This Row],[Harga Jual Pcs GT
(-PPN)]]*6.5%)</f>
        <v>20429.75</v>
      </c>
      <c r="AP99" s="61">
        <f>Table43[[#This Row],[Harga Beli Pcs
(-PPN)]]*Table43[[#This Row],[ISI/CTN]]</f>
        <v>245157</v>
      </c>
      <c r="AQ99" s="61">
        <f>Table43[[#This Row],[Harga Beli Pcs
(-PPN)]]*1.11</f>
        <v>22677.022500000003</v>
      </c>
      <c r="AR99" s="61">
        <f>Table43[[#This Row],[Harga Beli Krt
(- PPN)]]*1.11</f>
        <v>272124.27</v>
      </c>
      <c r="AS99" s="61">
        <v>21850</v>
      </c>
      <c r="AT99" s="61">
        <f>Table43[[#This Row],[Harga Jual Pcs GT
(-PPN)]]*Table43[[#This Row],[ISI/CTN]]</f>
        <v>262200</v>
      </c>
      <c r="AU99" s="61">
        <f>Table43[[#This Row],[Harga Jual Pcs GT
(-PPN)]]*1.11</f>
        <v>24253.500000000004</v>
      </c>
      <c r="AV99" s="61">
        <f>Table43[[#This Row],[Harga Jual Krt GT
(- PPN)]]*1.11</f>
        <v>291042</v>
      </c>
      <c r="AW99" s="61">
        <f>IFERROR(VLOOKUP(Table43[[#This Row],[Kode Pcpl]],'[1]FEB 2026'!$A$3:$X$312,24,0),0)</f>
        <v>0</v>
      </c>
      <c r="AX99" s="61">
        <f>Table43[[#This Row],[Harga Jual Pcs MT
(-PPN)]]*Table43[[#This Row],[ISI/CTN]]</f>
        <v>0</v>
      </c>
      <c r="AY99" s="61">
        <f>Table43[[#This Row],[Harga Jual Pcs MT
(-PPN)]]*1.11</f>
        <v>0</v>
      </c>
      <c r="AZ99" s="61">
        <f>Table43[[#This Row],[Harga Jual Pcs MT
(+PPN)]]*Table43[[#This Row],[ISI/CTN]]</f>
        <v>0</v>
      </c>
      <c r="BA99" s="62">
        <f>(Table43[[#This Row],[Harga Jual Pcs GT
(-PPN)]]-Table43[[#This Row],[Harga Beli Pcs
(-PPN)]])/Table43[[#This Row],[Harga Jual Pcs GT
(-PPN)]]</f>
        <v>6.5000000000000002E-2</v>
      </c>
      <c r="BB99" s="63">
        <f>Table43[[#This Row],[Harga Jual Pcs MT
(-PPN)]]-Table43[[#This Row],[Harga Beli Pcs
(-PPN)]]</f>
        <v>-20429.75</v>
      </c>
      <c r="BC99" s="64" t="e">
        <f>Table43[[#This Row],[Column1]]/Table43[[#This Row],[Harga Jual Pcs MT
(-PPN)]]</f>
        <v>#DIV/0!</v>
      </c>
      <c r="BD99" s="52"/>
      <c r="BE99" s="7"/>
      <c r="BF99" s="7" t="str">
        <f ca="1">IF(TODAY()-Table43[[#This Row],[Efektif
Pembuatan]]&gt;60,"Lama","Baru")</f>
        <v>Lama</v>
      </c>
      <c r="BG99" s="7" t="str">
        <f ca="1">IF(TODAY()-Table43[[#This Row],[Efektif Naik Harga]]&lt;30,"Naik","Sama")</f>
        <v>Sama</v>
      </c>
      <c r="BH99" s="7"/>
      <c r="BI99" s="7" t="str">
        <f>IF(Table43[[#This Row],[Kode BARANG Win2]]&lt;&gt;"","IDR","")</f>
        <v>IDR</v>
      </c>
      <c r="BJ99" s="7" t="str">
        <f>CONCATENATE(Table43[[#This Row],[kode  1 Digit
(Nomor)]],Table43[[#This Row],[kode  4 Digit                (Nomor)]])</f>
        <v>0400</v>
      </c>
      <c r="BK99" s="7" t="str">
        <f>Table43[[#This Row],[Nama            Gramasi atau Jumlah Pack per CTN]]</f>
        <v>415/400ML</v>
      </c>
      <c r="BL99" s="7"/>
      <c r="BM99" s="7"/>
      <c r="BN99" s="4" t="str">
        <f>IF(Table43[[#This Row],[SATUAN Fix Win]]&lt;&gt;"","KRT")</f>
        <v>KRT</v>
      </c>
      <c r="BO99" s="4" t="str">
        <f>IF(Table43[[#This Row],[SATUAN Fix Win]]&lt;&gt;"","GD01")</f>
        <v>GD01</v>
      </c>
      <c r="BP99" s="4">
        <f>IF(Table43[[#This Row],[SATUAN Fix Win]]&lt;&gt;"",11611)</f>
        <v>11611</v>
      </c>
      <c r="BQ99" s="4">
        <f>IF(Table43[[#This Row],[SATUAN Fix Win]]&lt;&gt;"",11612)</f>
        <v>11612</v>
      </c>
      <c r="BS99" s="4">
        <f>IF(Table43[[#This Row],[SATUAN Fix Win]]&lt;&gt;"",1)</f>
        <v>1</v>
      </c>
      <c r="BU99" s="4">
        <f>Table43[[#This Row],[ISI/CTN]]</f>
        <v>12</v>
      </c>
    </row>
    <row r="100" spans="1:73">
      <c r="A100" s="4" t="str">
        <f>CONCATENATE(Table43[[#This Row],[Kode BARANG Win2]],Table43[[#This Row],[No. Urut
Item Sama]])</f>
        <v>G1071008040010</v>
      </c>
      <c r="B100" s="7"/>
      <c r="C100" s="31">
        <v>30070070150001</v>
      </c>
      <c r="D100" s="59">
        <v>40039289</v>
      </c>
      <c r="E100" s="60" t="s">
        <v>1905</v>
      </c>
      <c r="F100" s="59">
        <v>30070020415000</v>
      </c>
      <c r="G100" s="59">
        <v>0</v>
      </c>
      <c r="H100" s="60" t="s">
        <v>1159</v>
      </c>
      <c r="I100" s="60">
        <v>12</v>
      </c>
      <c r="J100" s="59" t="s">
        <v>1597</v>
      </c>
      <c r="K100" s="60" t="str">
        <f>Table43[[#This Row],[NamaJenisKemasan]]</f>
        <v>KLG</v>
      </c>
      <c r="L100" s="4" t="str">
        <f>TRIM(CONCATENATE(Table43[[#This Row],[Nama            KLP]]," ",Table43[[#This Row],[Nama            Sub KLP]]))</f>
        <v>HIT AEROSOL</v>
      </c>
      <c r="M100" s="4" t="str">
        <f>CONCATENATE(Table43[[#This Row],[kode  2 Digit                (hrf+No)]],Table43[[#This Row],[kode  2 Digit                (Nomor)]],Table43[[#This Row],[kode  1 Digit                (Nomor)]])</f>
        <v>G1071</v>
      </c>
      <c r="N100" s="4" t="str">
        <f>IF(AI100="",CONCATENATE(S100,U100,W100,Y100,AA100,AC100,AE100,AG100,Table43[[#This Row],[Tanda Kode Revisi]]),CONCATENATE(S100,U100,W100,Y100,AA100,AC100,AE100,AI100))</f>
        <v>G1071008040010</v>
      </c>
      <c r="O100" s="11">
        <f t="shared" si="2"/>
        <v>14</v>
      </c>
      <c r="P100" s="14" t="str">
        <f>IF(AH100&lt;&gt;"",TRIM(UPPER(CONCATENATE(R100," ",T100," ",V100," ",X100," ",Z100," ",AB100," ","X"," ",Table43[[#This Row],[ISI/CTN]]," ",AH100," ",AD100," ",AF100," ",AJ100))),TRIM(UPPER(CONCATENATE(R100," ",T100," ",V100," ",X100," ",Z100," ",AB100," ","X"," ",Table43[[#This Row],[ISI/CTN]]," ",AD100," ",AF100," ",AJ100))))</f>
        <v>HIT AEROSOL ORANGE 415/400ML X 12 KLG</v>
      </c>
      <c r="Q100" s="11">
        <f t="shared" si="3"/>
        <v>37</v>
      </c>
      <c r="S100" s="7" t="s">
        <v>34</v>
      </c>
      <c r="T100" s="4" t="s">
        <v>2242</v>
      </c>
      <c r="U100" s="47" t="s">
        <v>2544</v>
      </c>
      <c r="V100" s="48" t="s">
        <v>2243</v>
      </c>
      <c r="W100" s="7">
        <v>1</v>
      </c>
      <c r="X100" s="48"/>
      <c r="Y100" s="47" t="s">
        <v>1116</v>
      </c>
      <c r="Z100" s="4" t="s">
        <v>2251</v>
      </c>
      <c r="AA100" s="49" t="s">
        <v>2545</v>
      </c>
      <c r="AB100" s="4" t="s">
        <v>2245</v>
      </c>
      <c r="AC100" s="49" t="s">
        <v>2624</v>
      </c>
      <c r="AD100" s="4" t="s">
        <v>2221</v>
      </c>
      <c r="AE100" s="7">
        <v>1</v>
      </c>
      <c r="AG100" s="7">
        <v>0</v>
      </c>
      <c r="AK100" s="70">
        <f>Table43[[#This Row],[Column4]]</f>
        <v>30070020415000</v>
      </c>
      <c r="AN100" s="7">
        <f>Table43[[#This Row],[ISI/CTN]]</f>
        <v>12</v>
      </c>
      <c r="AO100" s="38">
        <f>Table43[[#This Row],[Harga Jual Pcs GT
(-PPN)]]-(Table43[[#This Row],[Harga Jual Pcs GT
(-PPN)]]*6.5%)</f>
        <v>20429.75</v>
      </c>
      <c r="AP100" s="38">
        <f>Table43[[#This Row],[Harga Beli Pcs
(-PPN)]]*Table43[[#This Row],[ISI/CTN]]</f>
        <v>245157</v>
      </c>
      <c r="AQ100" s="38">
        <f>Table43[[#This Row],[Harga Beli Pcs
(-PPN)]]*1.11</f>
        <v>22677.022500000003</v>
      </c>
      <c r="AR100" s="38">
        <f>Table43[[#This Row],[Harga Beli Krt
(- PPN)]]*1.11</f>
        <v>272124.27</v>
      </c>
      <c r="AS100" s="38">
        <v>21850</v>
      </c>
      <c r="AT100" s="38">
        <f>Table43[[#This Row],[Harga Jual Pcs GT
(-PPN)]]*Table43[[#This Row],[ISI/CTN]]</f>
        <v>262200</v>
      </c>
      <c r="AU100" s="38">
        <f>Table43[[#This Row],[Harga Jual Pcs GT
(-PPN)]]*1.11</f>
        <v>24253.500000000004</v>
      </c>
      <c r="AV100" s="38">
        <f>Table43[[#This Row],[Harga Jual Krt GT
(- PPN)]]*1.11</f>
        <v>291042</v>
      </c>
      <c r="AW100" s="38">
        <f>IFERROR(VLOOKUP(Table43[[#This Row],[Kode Pcpl]],'[1]FEB 2026'!$A$3:$X$312,24,0),0)</f>
        <v>0</v>
      </c>
      <c r="AX100" s="38">
        <f>Table43[[#This Row],[Harga Jual Pcs MT
(-PPN)]]*Table43[[#This Row],[ISI/CTN]]</f>
        <v>0</v>
      </c>
      <c r="AY100" s="38">
        <f>Table43[[#This Row],[Harga Jual Pcs MT
(-PPN)]]*1.11</f>
        <v>0</v>
      </c>
      <c r="AZ100" s="38">
        <f>Table43[[#This Row],[Harga Jual Pcs MT
(+PPN)]]*Table43[[#This Row],[ISI/CTN]]</f>
        <v>0</v>
      </c>
      <c r="BA100" s="46">
        <f>(Table43[[#This Row],[Harga Jual Pcs GT
(-PPN)]]-Table43[[#This Row],[Harga Beli Pcs
(-PPN)]])/Table43[[#This Row],[Harga Jual Pcs GT
(-PPN)]]</f>
        <v>6.5000000000000002E-2</v>
      </c>
      <c r="BB100" s="53">
        <f>Table43[[#This Row],[Harga Jual Pcs MT
(-PPN)]]-Table43[[#This Row],[Harga Beli Pcs
(-PPN)]]</f>
        <v>-20429.75</v>
      </c>
      <c r="BC100" s="54" t="e">
        <f>Table43[[#This Row],[Column1]]/Table43[[#This Row],[Harga Jual Pcs MT
(-PPN)]]</f>
        <v>#DIV/0!</v>
      </c>
      <c r="BD100" s="52"/>
      <c r="BE100" s="7"/>
      <c r="BF100" s="7" t="str">
        <f ca="1">IF(TODAY()-Table43[[#This Row],[Efektif
Pembuatan]]&gt;60,"Lama","Baru")</f>
        <v>Lama</v>
      </c>
      <c r="BG100" s="7" t="str">
        <f ca="1">IF(TODAY()-Table43[[#This Row],[Efektif Naik Harga]]&lt;30,"Naik","Sama")</f>
        <v>Sama</v>
      </c>
      <c r="BH100" s="7"/>
      <c r="BI100" s="7" t="str">
        <f>IF(Table43[[#This Row],[Kode BARANG Win2]]&lt;&gt;"","IDR","")</f>
        <v>IDR</v>
      </c>
      <c r="BJ100" s="7" t="str">
        <f>CONCATENATE(Table43[[#This Row],[kode  1 Digit
(Nomor)]],Table43[[#This Row],[kode  4 Digit                (Nomor)]])</f>
        <v>0400</v>
      </c>
      <c r="BK100" s="7" t="str">
        <f>Table43[[#This Row],[Nama            Gramasi atau Jumlah Pack per CTN]]</f>
        <v>415/400ML</v>
      </c>
      <c r="BL100" s="7"/>
      <c r="BM100" s="7"/>
      <c r="BN100" s="4" t="str">
        <f>IF(Table43[[#This Row],[SATUAN Fix Win]]&lt;&gt;"","KRT")</f>
        <v>KRT</v>
      </c>
      <c r="BO100" s="4" t="str">
        <f>IF(Table43[[#This Row],[SATUAN Fix Win]]&lt;&gt;"","GD01")</f>
        <v>GD01</v>
      </c>
      <c r="BP100" s="4">
        <f>IF(Table43[[#This Row],[SATUAN Fix Win]]&lt;&gt;"",11611)</f>
        <v>11611</v>
      </c>
      <c r="BQ100" s="4">
        <f>IF(Table43[[#This Row],[SATUAN Fix Win]]&lt;&gt;"",11612)</f>
        <v>11612</v>
      </c>
      <c r="BS100" s="4">
        <f>IF(Table43[[#This Row],[SATUAN Fix Win]]&lt;&gt;"",1)</f>
        <v>1</v>
      </c>
      <c r="BU100" s="4">
        <f>Table43[[#This Row],[ISI/CTN]]</f>
        <v>12</v>
      </c>
    </row>
    <row r="101" spans="1:73">
      <c r="A101" s="4" t="str">
        <f>CONCATENATE(Table43[[#This Row],[Kode BARANG Win2]],Table43[[#This Row],[No. Urut
Item Sama]])</f>
        <v>G1071008040010</v>
      </c>
      <c r="B101" s="7"/>
      <c r="C101" s="31"/>
      <c r="D101" s="51">
        <v>40038015</v>
      </c>
      <c r="E101" s="27"/>
      <c r="F101" s="51"/>
      <c r="G101" s="51"/>
      <c r="H101" s="27"/>
      <c r="I101" s="27">
        <v>12</v>
      </c>
      <c r="J101" s="51"/>
      <c r="K101" s="27" t="str">
        <f>Table43[[#This Row],[NamaJenisKemasan]]</f>
        <v>KLG</v>
      </c>
      <c r="L101" s="4" t="str">
        <f>TRIM(CONCATENATE(Table43[[#This Row],[Nama            KLP]]," ",Table43[[#This Row],[Nama            Sub KLP]]))</f>
        <v>HIT AEROSOL</v>
      </c>
      <c r="M101" s="4" t="str">
        <f>CONCATENATE(Table43[[#This Row],[kode  2 Digit                (hrf+No)]],Table43[[#This Row],[kode  2 Digit                (Nomor)]],Table43[[#This Row],[kode  1 Digit                (Nomor)]])</f>
        <v>G1071</v>
      </c>
      <c r="N101" s="4" t="str">
        <f>IF(AI101="",CONCATENATE(S101,U101,W101,Y101,AA101,AC101,AE101,AG101,Table43[[#This Row],[Tanda Kode Revisi]]),CONCATENATE(S101,U101,W101,Y101,AA101,AC101,AE101,AI101))</f>
        <v>G1071008040010</v>
      </c>
      <c r="O101" s="11">
        <f t="shared" si="2"/>
        <v>14</v>
      </c>
      <c r="P101" s="14" t="str">
        <f>IF(AH101&lt;&gt;"",TRIM(UPPER(CONCATENATE(R101," ",T101," ",V101," ",X101," ",Z101," ",AB101," ","X"," ",Table43[[#This Row],[ISI/CTN]]," ",AH101," ",AD101," ",AF101," ",AJ101))),TRIM(UPPER(CONCATENATE(R101," ",T101," ",V101," ",X101," ",Z101," ",AB101," ","X"," ",Table43[[#This Row],[ISI/CTN]]," ",AD101," ",AF101," ",AJ101))))</f>
        <v>HIT AEROSOL ORANGE 415/400ML X 12 KLG</v>
      </c>
      <c r="Q101" s="11">
        <f t="shared" si="3"/>
        <v>37</v>
      </c>
      <c r="S101" s="7" t="s">
        <v>34</v>
      </c>
      <c r="T101" s="4" t="s">
        <v>2242</v>
      </c>
      <c r="U101" s="47" t="s">
        <v>2544</v>
      </c>
      <c r="V101" s="48" t="s">
        <v>2243</v>
      </c>
      <c r="W101" s="7">
        <v>1</v>
      </c>
      <c r="X101" s="48"/>
      <c r="Y101" s="47" t="s">
        <v>1116</v>
      </c>
      <c r="Z101" s="4" t="s">
        <v>2251</v>
      </c>
      <c r="AA101" s="49" t="s">
        <v>2545</v>
      </c>
      <c r="AB101" s="4" t="s">
        <v>2245</v>
      </c>
      <c r="AC101" s="49" t="s">
        <v>2624</v>
      </c>
      <c r="AD101" s="4" t="s">
        <v>2221</v>
      </c>
      <c r="AE101" s="7">
        <v>1</v>
      </c>
      <c r="AG101" s="7">
        <v>0</v>
      </c>
      <c r="AK101" s="70">
        <f>Table43[[#This Row],[Column4]]</f>
        <v>0</v>
      </c>
      <c r="AN101" s="7">
        <f>Table43[[#This Row],[ISI/CTN]]</f>
        <v>12</v>
      </c>
      <c r="AO101" s="38">
        <f>Table43[[#This Row],[Harga Jual Pcs GT
(-PPN)]]-(Table43[[#This Row],[Harga Jual Pcs GT
(-PPN)]]*6.5%)</f>
        <v>20429.75</v>
      </c>
      <c r="AP101" s="38">
        <f>Table43[[#This Row],[Harga Beli Pcs
(-PPN)]]*Table43[[#This Row],[ISI/CTN]]</f>
        <v>245157</v>
      </c>
      <c r="AQ101" s="38">
        <f>Table43[[#This Row],[Harga Beli Pcs
(-PPN)]]*1.11</f>
        <v>22677.022500000003</v>
      </c>
      <c r="AR101" s="38">
        <f>Table43[[#This Row],[Harga Beli Krt
(- PPN)]]*1.11</f>
        <v>272124.27</v>
      </c>
      <c r="AS101" s="38">
        <v>21850</v>
      </c>
      <c r="AT101" s="38">
        <f>Table43[[#This Row],[Harga Jual Pcs GT
(-PPN)]]*Table43[[#This Row],[ISI/CTN]]</f>
        <v>262200</v>
      </c>
      <c r="AU101" s="38">
        <f>Table43[[#This Row],[Harga Jual Pcs GT
(-PPN)]]*1.11</f>
        <v>24253.500000000004</v>
      </c>
      <c r="AV101" s="38">
        <f>Table43[[#This Row],[Harga Jual Krt GT
(- PPN)]]*1.11</f>
        <v>291042</v>
      </c>
      <c r="AW101" s="38">
        <f>IFERROR(VLOOKUP(Table43[[#This Row],[Kode Pcpl]],'[1]FEB 2026'!$A$3:$X$312,24,0),0)</f>
        <v>0</v>
      </c>
      <c r="AX101" s="38">
        <f>Table43[[#This Row],[Harga Jual Pcs MT
(-PPN)]]*Table43[[#This Row],[ISI/CTN]]</f>
        <v>0</v>
      </c>
      <c r="AY101" s="38">
        <f>Table43[[#This Row],[Harga Jual Pcs MT
(-PPN)]]*1.11</f>
        <v>0</v>
      </c>
      <c r="AZ101" s="38">
        <f>Table43[[#This Row],[Harga Jual Pcs MT
(+PPN)]]*Table43[[#This Row],[ISI/CTN]]</f>
        <v>0</v>
      </c>
      <c r="BA101" s="46">
        <f>(Table43[[#This Row],[Harga Jual Pcs GT
(-PPN)]]-Table43[[#This Row],[Harga Beli Pcs
(-PPN)]])/Table43[[#This Row],[Harga Jual Pcs GT
(-PPN)]]</f>
        <v>6.5000000000000002E-2</v>
      </c>
      <c r="BB101" s="53">
        <f>Table43[[#This Row],[Harga Jual Pcs MT
(-PPN)]]-Table43[[#This Row],[Harga Beli Pcs
(-PPN)]]</f>
        <v>-20429.75</v>
      </c>
      <c r="BC101" s="54" t="e">
        <f>Table43[[#This Row],[Column1]]/Table43[[#This Row],[Harga Jual Pcs MT
(-PPN)]]</f>
        <v>#DIV/0!</v>
      </c>
      <c r="BD101" s="52"/>
      <c r="BE101" s="7"/>
      <c r="BF101" s="7" t="str">
        <f ca="1">IF(TODAY()-Table43[[#This Row],[Efektif
Pembuatan]]&gt;60,"Lama","Baru")</f>
        <v>Lama</v>
      </c>
      <c r="BG101" s="7" t="str">
        <f ca="1">IF(TODAY()-Table43[[#This Row],[Efektif Naik Harga]]&lt;30,"Naik","Sama")</f>
        <v>Sama</v>
      </c>
      <c r="BH101" s="7"/>
      <c r="BI101" s="7" t="str">
        <f>IF(Table43[[#This Row],[Kode BARANG Win2]]&lt;&gt;"","IDR","")</f>
        <v>IDR</v>
      </c>
      <c r="BJ101" s="7" t="str">
        <f>CONCATENATE(Table43[[#This Row],[kode  1 Digit
(Nomor)]],Table43[[#This Row],[kode  4 Digit                (Nomor)]])</f>
        <v>0400</v>
      </c>
      <c r="BK101" s="7" t="str">
        <f>Table43[[#This Row],[Nama            Gramasi atau Jumlah Pack per CTN]]</f>
        <v>415/400ML</v>
      </c>
      <c r="BL101" s="7"/>
      <c r="BM101" s="7"/>
      <c r="BN101" s="4" t="str">
        <f>IF(Table43[[#This Row],[SATUAN Fix Win]]&lt;&gt;"","KRT")</f>
        <v>KRT</v>
      </c>
      <c r="BO101" s="4" t="str">
        <f>IF(Table43[[#This Row],[SATUAN Fix Win]]&lt;&gt;"","GD01")</f>
        <v>GD01</v>
      </c>
      <c r="BP101" s="4">
        <f>IF(Table43[[#This Row],[SATUAN Fix Win]]&lt;&gt;"",11611)</f>
        <v>11611</v>
      </c>
      <c r="BQ101" s="4">
        <f>IF(Table43[[#This Row],[SATUAN Fix Win]]&lt;&gt;"",11612)</f>
        <v>11612</v>
      </c>
      <c r="BS101" s="4">
        <f>IF(Table43[[#This Row],[SATUAN Fix Win]]&lt;&gt;"",1)</f>
        <v>1</v>
      </c>
      <c r="BU101" s="4">
        <f>Table43[[#This Row],[ISI/CTN]]</f>
        <v>12</v>
      </c>
    </row>
    <row r="102" spans="1:73">
      <c r="A102" s="4" t="str">
        <f>CONCATENATE(Table43[[#This Row],[Kode BARANG Win2]],Table43[[#This Row],[No. Urut
Item Sama]])</f>
        <v>G1071008060010</v>
      </c>
      <c r="B102" s="7"/>
      <c r="C102" s="31">
        <v>30070070200000</v>
      </c>
      <c r="D102" s="59">
        <v>40060012</v>
      </c>
      <c r="E102" s="60" t="s">
        <v>1906</v>
      </c>
      <c r="F102" s="59">
        <v>30070020600000</v>
      </c>
      <c r="G102" s="59">
        <v>0</v>
      </c>
      <c r="H102" s="60" t="s">
        <v>1162</v>
      </c>
      <c r="I102" s="60">
        <v>12</v>
      </c>
      <c r="J102" s="59" t="s">
        <v>1598</v>
      </c>
      <c r="K102" s="60" t="str">
        <f>Table43[[#This Row],[NamaJenisKemasan]]</f>
        <v>KLG</v>
      </c>
      <c r="L102" s="4" t="str">
        <f>TRIM(CONCATENATE(Table43[[#This Row],[Nama            KLP]]," ",Table43[[#This Row],[Nama            Sub KLP]]))</f>
        <v>HIT AEROSOL</v>
      </c>
      <c r="M102" s="4" t="str">
        <f>CONCATENATE(Table43[[#This Row],[kode  2 Digit                (hrf+No)]],Table43[[#This Row],[kode  2 Digit                (Nomor)]],Table43[[#This Row],[kode  1 Digit                (Nomor)]])</f>
        <v>G1071</v>
      </c>
      <c r="N102" s="4" t="str">
        <f>IF(AI102="",CONCATENATE(S102,U102,W102,Y102,AA102,AC102,AE102,AG102,Table43[[#This Row],[Tanda Kode Revisi]]),CONCATENATE(S102,U102,W102,Y102,AA102,AC102,AE102,AI102))</f>
        <v>G1071008060010</v>
      </c>
      <c r="O102" s="11">
        <f t="shared" si="2"/>
        <v>14</v>
      </c>
      <c r="P102" s="14" t="str">
        <f>IF(AH102&lt;&gt;"",TRIM(UPPER(CONCATENATE(R102," ",T102," ",V102," ",X102," ",Z102," ",AB102," ","X"," ",Table43[[#This Row],[ISI/CTN]]," ",AH102," ",AD102," ",AF102," ",AJ102))),TRIM(UPPER(CONCATENATE(R102," ",T102," ",V102," ",X102," ",Z102," ",AB102," ","X"," ",Table43[[#This Row],[ISI/CTN]]," ",AD102," ",AF102," ",AJ102))))</f>
        <v>HIT AEROSOL ORANGE 600ML X 12 KLG</v>
      </c>
      <c r="Q102" s="11">
        <f t="shared" si="3"/>
        <v>33</v>
      </c>
      <c r="S102" s="7" t="s">
        <v>34</v>
      </c>
      <c r="T102" s="4" t="s">
        <v>2242</v>
      </c>
      <c r="U102" s="47" t="s">
        <v>2544</v>
      </c>
      <c r="V102" s="48" t="s">
        <v>2243</v>
      </c>
      <c r="W102" s="7">
        <v>1</v>
      </c>
      <c r="X102" s="48"/>
      <c r="Y102" s="47" t="s">
        <v>1116</v>
      </c>
      <c r="Z102" s="4" t="s">
        <v>2251</v>
      </c>
      <c r="AA102" s="49" t="s">
        <v>2545</v>
      </c>
      <c r="AB102" s="4" t="s">
        <v>2246</v>
      </c>
      <c r="AC102" s="49" t="s">
        <v>2632</v>
      </c>
      <c r="AD102" s="4" t="s">
        <v>2221</v>
      </c>
      <c r="AE102" s="7">
        <v>1</v>
      </c>
      <c r="AG102" s="7">
        <v>0</v>
      </c>
      <c r="AK102" s="70">
        <f>Table43[[#This Row],[Column4]]</f>
        <v>30070020600000</v>
      </c>
      <c r="AN102" s="7">
        <f>Table43[[#This Row],[ISI/CTN]]</f>
        <v>12</v>
      </c>
      <c r="AO102" s="61">
        <f>Table43[[#This Row],[Harga Jual Pcs GT
(-PPN)]]-(Table43[[#This Row],[Harga Jual Pcs GT
(-PPN)]]*6.5%)</f>
        <v>27115</v>
      </c>
      <c r="AP102" s="61">
        <f>Table43[[#This Row],[Harga Beli Pcs
(-PPN)]]*Table43[[#This Row],[ISI/CTN]]</f>
        <v>325380</v>
      </c>
      <c r="AQ102" s="61">
        <f>Table43[[#This Row],[Harga Beli Pcs
(-PPN)]]*1.11</f>
        <v>30097.65</v>
      </c>
      <c r="AR102" s="61">
        <f>Table43[[#This Row],[Harga Beli Krt
(- PPN)]]*1.11</f>
        <v>361171.80000000005</v>
      </c>
      <c r="AS102" s="61">
        <v>29000</v>
      </c>
      <c r="AT102" s="61">
        <f>Table43[[#This Row],[Harga Jual Pcs GT
(-PPN)]]*Table43[[#This Row],[ISI/CTN]]</f>
        <v>348000</v>
      </c>
      <c r="AU102" s="61">
        <f>Table43[[#This Row],[Harga Jual Pcs GT
(-PPN)]]*1.11</f>
        <v>32190.000000000004</v>
      </c>
      <c r="AV102" s="61">
        <f>Table43[[#This Row],[Harga Jual Krt GT
(- PPN)]]*1.11</f>
        <v>386280.00000000006</v>
      </c>
      <c r="AW102" s="61">
        <f>IFERROR(VLOOKUP(Table43[[#This Row],[Kode Pcpl]],'[1]FEB 2026'!$A$3:$X$312,24,0),0)</f>
        <v>0</v>
      </c>
      <c r="AX102" s="61">
        <f>Table43[[#This Row],[Harga Jual Pcs MT
(-PPN)]]*Table43[[#This Row],[ISI/CTN]]</f>
        <v>0</v>
      </c>
      <c r="AY102" s="61">
        <f>Table43[[#This Row],[Harga Jual Pcs MT
(-PPN)]]*1.11</f>
        <v>0</v>
      </c>
      <c r="AZ102" s="61">
        <f>Table43[[#This Row],[Harga Jual Pcs MT
(+PPN)]]*Table43[[#This Row],[ISI/CTN]]</f>
        <v>0</v>
      </c>
      <c r="BA102" s="62">
        <f>(Table43[[#This Row],[Harga Jual Pcs GT
(-PPN)]]-Table43[[#This Row],[Harga Beli Pcs
(-PPN)]])/Table43[[#This Row],[Harga Jual Pcs GT
(-PPN)]]</f>
        <v>6.5000000000000002E-2</v>
      </c>
      <c r="BB102" s="63">
        <f>Table43[[#This Row],[Harga Jual Pcs MT
(-PPN)]]-Table43[[#This Row],[Harga Beli Pcs
(-PPN)]]</f>
        <v>-27115</v>
      </c>
      <c r="BC102" s="64" t="e">
        <f>Table43[[#This Row],[Column1]]/Table43[[#This Row],[Harga Jual Pcs MT
(-PPN)]]</f>
        <v>#DIV/0!</v>
      </c>
      <c r="BD102" s="52"/>
      <c r="BE102" s="7"/>
      <c r="BF102" s="7" t="str">
        <f ca="1">IF(TODAY()-Table43[[#This Row],[Efektif
Pembuatan]]&gt;60,"Lama","Baru")</f>
        <v>Lama</v>
      </c>
      <c r="BG102" s="7" t="str">
        <f ca="1">IF(TODAY()-Table43[[#This Row],[Efektif Naik Harga]]&lt;30,"Naik","Sama")</f>
        <v>Sama</v>
      </c>
      <c r="BH102" s="7"/>
      <c r="BI102" s="7" t="str">
        <f>IF(Table43[[#This Row],[Kode BARANG Win2]]&lt;&gt;"","IDR","")</f>
        <v>IDR</v>
      </c>
      <c r="BJ102" s="7" t="str">
        <f>CONCATENATE(Table43[[#This Row],[kode  1 Digit
(Nomor)]],Table43[[#This Row],[kode  4 Digit                (Nomor)]])</f>
        <v>0600</v>
      </c>
      <c r="BK102" s="7" t="str">
        <f>Table43[[#This Row],[Nama            Gramasi atau Jumlah Pack per CTN]]</f>
        <v>600ML</v>
      </c>
      <c r="BL102" s="7"/>
      <c r="BM102" s="7"/>
      <c r="BN102" s="4" t="str">
        <f>IF(Table43[[#This Row],[SATUAN Fix Win]]&lt;&gt;"","KRT")</f>
        <v>KRT</v>
      </c>
      <c r="BO102" s="4" t="str">
        <f>IF(Table43[[#This Row],[SATUAN Fix Win]]&lt;&gt;"","GD01")</f>
        <v>GD01</v>
      </c>
      <c r="BP102" s="4">
        <f>IF(Table43[[#This Row],[SATUAN Fix Win]]&lt;&gt;"",11611)</f>
        <v>11611</v>
      </c>
      <c r="BQ102" s="4">
        <f>IF(Table43[[#This Row],[SATUAN Fix Win]]&lt;&gt;"",11612)</f>
        <v>11612</v>
      </c>
      <c r="BS102" s="4">
        <f>IF(Table43[[#This Row],[SATUAN Fix Win]]&lt;&gt;"",1)</f>
        <v>1</v>
      </c>
      <c r="BU102" s="4">
        <f>Table43[[#This Row],[ISI/CTN]]</f>
        <v>12</v>
      </c>
    </row>
    <row r="103" spans="1:73">
      <c r="A103" s="4" t="str">
        <f>CONCATENATE(Table43[[#This Row],[Kode BARANG Win2]],Table43[[#This Row],[No. Urut
Item Sama]])</f>
        <v>G1071008060010</v>
      </c>
      <c r="B103" s="7"/>
      <c r="C103" s="31">
        <v>30070070200000</v>
      </c>
      <c r="D103" s="59">
        <v>40039285</v>
      </c>
      <c r="E103" s="60" t="s">
        <v>1906</v>
      </c>
      <c r="F103" s="59">
        <v>30070020600000</v>
      </c>
      <c r="G103" s="59">
        <v>0</v>
      </c>
      <c r="H103" s="60" t="s">
        <v>1161</v>
      </c>
      <c r="I103" s="60">
        <v>12</v>
      </c>
      <c r="J103" s="59" t="s">
        <v>1598</v>
      </c>
      <c r="K103" s="60" t="str">
        <f>Table43[[#This Row],[NamaJenisKemasan]]</f>
        <v>KLG</v>
      </c>
      <c r="L103" s="4" t="str">
        <f>TRIM(CONCATENATE(Table43[[#This Row],[Nama            KLP]]," ",Table43[[#This Row],[Nama            Sub KLP]]))</f>
        <v>HIT AEROSOL</v>
      </c>
      <c r="M103" s="4" t="str">
        <f>CONCATENATE(Table43[[#This Row],[kode  2 Digit                (hrf+No)]],Table43[[#This Row],[kode  2 Digit                (Nomor)]],Table43[[#This Row],[kode  1 Digit                (Nomor)]])</f>
        <v>G1071</v>
      </c>
      <c r="N103" s="4" t="str">
        <f>IF(AI103="",CONCATENATE(S103,U103,W103,Y103,AA103,AC103,AE103,AG103,Table43[[#This Row],[Tanda Kode Revisi]]),CONCATENATE(S103,U103,W103,Y103,AA103,AC103,AE103,AI103))</f>
        <v>G1071008060010</v>
      </c>
      <c r="O103" s="11">
        <f t="shared" si="2"/>
        <v>14</v>
      </c>
      <c r="P103" s="14" t="str">
        <f>IF(AH103&lt;&gt;"",TRIM(UPPER(CONCATENATE(R103," ",T103," ",V103," ",X103," ",Z103," ",AB103," ","X"," ",Table43[[#This Row],[ISI/CTN]]," ",AH103," ",AD103," ",AF103," ",AJ103))),TRIM(UPPER(CONCATENATE(R103," ",T103," ",V103," ",X103," ",Z103," ",AB103," ","X"," ",Table43[[#This Row],[ISI/CTN]]," ",AD103," ",AF103," ",AJ103))))</f>
        <v>HIT AEROSOL ORANGE 600ML X 12 KLG</v>
      </c>
      <c r="Q103" s="11">
        <f t="shared" si="3"/>
        <v>33</v>
      </c>
      <c r="S103" s="7" t="s">
        <v>34</v>
      </c>
      <c r="T103" s="4" t="s">
        <v>2242</v>
      </c>
      <c r="U103" s="47" t="s">
        <v>2544</v>
      </c>
      <c r="V103" s="48" t="s">
        <v>2243</v>
      </c>
      <c r="W103" s="7">
        <v>1</v>
      </c>
      <c r="X103" s="48"/>
      <c r="Y103" s="47" t="s">
        <v>1116</v>
      </c>
      <c r="Z103" s="4" t="s">
        <v>2251</v>
      </c>
      <c r="AA103" s="49" t="s">
        <v>2545</v>
      </c>
      <c r="AB103" s="4" t="s">
        <v>2246</v>
      </c>
      <c r="AC103" s="49" t="s">
        <v>2632</v>
      </c>
      <c r="AD103" s="4" t="s">
        <v>2221</v>
      </c>
      <c r="AE103" s="7">
        <v>1</v>
      </c>
      <c r="AG103" s="7">
        <v>0</v>
      </c>
      <c r="AK103" s="70">
        <f>Table43[[#This Row],[Column4]]</f>
        <v>30070020600000</v>
      </c>
      <c r="AN103" s="7">
        <f>Table43[[#This Row],[ISI/CTN]]</f>
        <v>12</v>
      </c>
      <c r="AO103" s="61">
        <f>Table43[[#This Row],[Harga Jual Pcs GT
(-PPN)]]-(Table43[[#This Row],[Harga Jual Pcs GT
(-PPN)]]*6.5%)</f>
        <v>27115</v>
      </c>
      <c r="AP103" s="61">
        <f>Table43[[#This Row],[Harga Beli Pcs
(-PPN)]]*Table43[[#This Row],[ISI/CTN]]</f>
        <v>325380</v>
      </c>
      <c r="AQ103" s="61">
        <f>Table43[[#This Row],[Harga Beli Pcs
(-PPN)]]*1.11</f>
        <v>30097.65</v>
      </c>
      <c r="AR103" s="61">
        <f>Table43[[#This Row],[Harga Beli Krt
(- PPN)]]*1.11</f>
        <v>361171.80000000005</v>
      </c>
      <c r="AS103" s="61">
        <v>29000</v>
      </c>
      <c r="AT103" s="61">
        <f>Table43[[#This Row],[Harga Jual Pcs GT
(-PPN)]]*Table43[[#This Row],[ISI/CTN]]</f>
        <v>348000</v>
      </c>
      <c r="AU103" s="61">
        <f>Table43[[#This Row],[Harga Jual Pcs GT
(-PPN)]]*1.11</f>
        <v>32190.000000000004</v>
      </c>
      <c r="AV103" s="61">
        <f>Table43[[#This Row],[Harga Jual Krt GT
(- PPN)]]*1.11</f>
        <v>386280.00000000006</v>
      </c>
      <c r="AW103" s="61">
        <f>IFERROR(VLOOKUP(Table43[[#This Row],[Kode Pcpl]],'[1]FEB 2026'!$A$3:$X$312,24,0),0)</f>
        <v>0</v>
      </c>
      <c r="AX103" s="61">
        <f>Table43[[#This Row],[Harga Jual Pcs MT
(-PPN)]]*Table43[[#This Row],[ISI/CTN]]</f>
        <v>0</v>
      </c>
      <c r="AY103" s="61">
        <f>Table43[[#This Row],[Harga Jual Pcs MT
(-PPN)]]*1.11</f>
        <v>0</v>
      </c>
      <c r="AZ103" s="61">
        <f>Table43[[#This Row],[Harga Jual Pcs MT
(+PPN)]]*Table43[[#This Row],[ISI/CTN]]</f>
        <v>0</v>
      </c>
      <c r="BA103" s="62">
        <f>(Table43[[#This Row],[Harga Jual Pcs GT
(-PPN)]]-Table43[[#This Row],[Harga Beli Pcs
(-PPN)]])/Table43[[#This Row],[Harga Jual Pcs GT
(-PPN)]]</f>
        <v>6.5000000000000002E-2</v>
      </c>
      <c r="BB103" s="63">
        <f>Table43[[#This Row],[Harga Jual Pcs MT
(-PPN)]]-Table43[[#This Row],[Harga Beli Pcs
(-PPN)]]</f>
        <v>-27115</v>
      </c>
      <c r="BC103" s="64" t="e">
        <f>Table43[[#This Row],[Column1]]/Table43[[#This Row],[Harga Jual Pcs MT
(-PPN)]]</f>
        <v>#DIV/0!</v>
      </c>
      <c r="BD103" s="52"/>
      <c r="BE103" s="7"/>
      <c r="BF103" s="7" t="str">
        <f ca="1">IF(TODAY()-Table43[[#This Row],[Efektif
Pembuatan]]&gt;60,"Lama","Baru")</f>
        <v>Lama</v>
      </c>
      <c r="BG103" s="7" t="str">
        <f ca="1">IF(TODAY()-Table43[[#This Row],[Efektif Naik Harga]]&lt;30,"Naik","Sama")</f>
        <v>Sama</v>
      </c>
      <c r="BH103" s="7"/>
      <c r="BI103" s="7" t="str">
        <f>IF(Table43[[#This Row],[Kode BARANG Win2]]&lt;&gt;"","IDR","")</f>
        <v>IDR</v>
      </c>
      <c r="BJ103" s="7" t="str">
        <f>CONCATENATE(Table43[[#This Row],[kode  1 Digit
(Nomor)]],Table43[[#This Row],[kode  4 Digit                (Nomor)]])</f>
        <v>0600</v>
      </c>
      <c r="BK103" s="7" t="str">
        <f>Table43[[#This Row],[Nama            Gramasi atau Jumlah Pack per CTN]]</f>
        <v>600ML</v>
      </c>
      <c r="BL103" s="7"/>
      <c r="BM103" s="7"/>
      <c r="BN103" s="4" t="str">
        <f>IF(Table43[[#This Row],[SATUAN Fix Win]]&lt;&gt;"","KRT")</f>
        <v>KRT</v>
      </c>
      <c r="BO103" s="4" t="str">
        <f>IF(Table43[[#This Row],[SATUAN Fix Win]]&lt;&gt;"","GD01")</f>
        <v>GD01</v>
      </c>
      <c r="BP103" s="4">
        <f>IF(Table43[[#This Row],[SATUAN Fix Win]]&lt;&gt;"",11611)</f>
        <v>11611</v>
      </c>
      <c r="BQ103" s="4">
        <f>IF(Table43[[#This Row],[SATUAN Fix Win]]&lt;&gt;"",11612)</f>
        <v>11612</v>
      </c>
      <c r="BS103" s="4">
        <f>IF(Table43[[#This Row],[SATUAN Fix Win]]&lt;&gt;"",1)</f>
        <v>1</v>
      </c>
      <c r="BU103" s="4">
        <f>Table43[[#This Row],[ISI/CTN]]</f>
        <v>12</v>
      </c>
    </row>
    <row r="104" spans="1:73">
      <c r="A104" s="4" t="str">
        <f>CONCATENATE(Table43[[#This Row],[Kode BARANG Win2]],Table43[[#This Row],[No. Urut
Item Sama]])</f>
        <v>G1071008060010</v>
      </c>
      <c r="B104" s="7"/>
      <c r="C104" s="31"/>
      <c r="D104" s="51">
        <v>40038016</v>
      </c>
      <c r="E104" s="27"/>
      <c r="F104" s="59"/>
      <c r="G104" s="51"/>
      <c r="H104" s="27"/>
      <c r="I104" s="27">
        <v>12</v>
      </c>
      <c r="J104" s="59" t="s">
        <v>1598</v>
      </c>
      <c r="K104" s="27" t="str">
        <f>Table43[[#This Row],[NamaJenisKemasan]]</f>
        <v>KLG</v>
      </c>
      <c r="L104" s="4" t="str">
        <f>TRIM(CONCATENATE(Table43[[#This Row],[Nama            KLP]]," ",Table43[[#This Row],[Nama            Sub KLP]]))</f>
        <v>HIT AEROSOL</v>
      </c>
      <c r="M104" s="4" t="str">
        <f>CONCATENATE(Table43[[#This Row],[kode  2 Digit                (hrf+No)]],Table43[[#This Row],[kode  2 Digit                (Nomor)]],Table43[[#This Row],[kode  1 Digit                (Nomor)]])</f>
        <v>G1071</v>
      </c>
      <c r="N104" s="4" t="str">
        <f>IF(AI104="",CONCATENATE(S104,U104,W104,Y104,AA104,AC104,AE104,AG104,Table43[[#This Row],[Tanda Kode Revisi]]),CONCATENATE(S104,U104,W104,Y104,AA104,AC104,AE104,AI104))</f>
        <v>G1071008060010</v>
      </c>
      <c r="O104" s="11">
        <f t="shared" si="2"/>
        <v>14</v>
      </c>
      <c r="P104" s="14" t="str">
        <f>IF(AH104&lt;&gt;"",TRIM(UPPER(CONCATENATE(R104," ",T104," ",V104," ",X104," ",Z104," ",AB104," ","X"," ",Table43[[#This Row],[ISI/CTN]]," ",AH104," ",AD104," ",AF104," ",AJ104))),TRIM(UPPER(CONCATENATE(R104," ",T104," ",V104," ",X104," ",Z104," ",AB104," ","X"," ",Table43[[#This Row],[ISI/CTN]]," ",AD104," ",AF104," ",AJ104))))</f>
        <v>HIT AEROSOL ORANGE 600ML X 12 KLG</v>
      </c>
      <c r="Q104" s="11">
        <f t="shared" si="3"/>
        <v>33</v>
      </c>
      <c r="S104" s="7" t="s">
        <v>34</v>
      </c>
      <c r="T104" s="4" t="s">
        <v>2242</v>
      </c>
      <c r="U104" s="47" t="s">
        <v>2544</v>
      </c>
      <c r="V104" s="48" t="s">
        <v>2243</v>
      </c>
      <c r="W104" s="7">
        <v>1</v>
      </c>
      <c r="X104" s="48"/>
      <c r="Y104" s="47" t="s">
        <v>1116</v>
      </c>
      <c r="Z104" s="4" t="s">
        <v>2251</v>
      </c>
      <c r="AA104" s="49" t="s">
        <v>2545</v>
      </c>
      <c r="AB104" s="4" t="s">
        <v>2246</v>
      </c>
      <c r="AC104" s="49" t="s">
        <v>2632</v>
      </c>
      <c r="AD104" s="4" t="s">
        <v>2221</v>
      </c>
      <c r="AE104" s="7">
        <v>1</v>
      </c>
      <c r="AG104" s="7">
        <v>0</v>
      </c>
      <c r="AK104" s="70">
        <f>Table43[[#This Row],[Column4]]</f>
        <v>0</v>
      </c>
      <c r="AN104" s="7">
        <f>Table43[[#This Row],[ISI/CTN]]</f>
        <v>12</v>
      </c>
      <c r="AO104" s="61">
        <f>Table43[[#This Row],[Harga Jual Pcs GT
(-PPN)]]-(Table43[[#This Row],[Harga Jual Pcs GT
(-PPN)]]*6.5%)</f>
        <v>27115</v>
      </c>
      <c r="AP104" s="61">
        <f>Table43[[#This Row],[Harga Beli Pcs
(-PPN)]]*Table43[[#This Row],[ISI/CTN]]</f>
        <v>325380</v>
      </c>
      <c r="AQ104" s="61">
        <f>Table43[[#This Row],[Harga Beli Pcs
(-PPN)]]*1.11</f>
        <v>30097.65</v>
      </c>
      <c r="AR104" s="61">
        <f>Table43[[#This Row],[Harga Beli Krt
(- PPN)]]*1.11</f>
        <v>361171.80000000005</v>
      </c>
      <c r="AS104" s="61">
        <v>29000</v>
      </c>
      <c r="AT104" s="61">
        <f>Table43[[#This Row],[Harga Jual Pcs GT
(-PPN)]]*Table43[[#This Row],[ISI/CTN]]</f>
        <v>348000</v>
      </c>
      <c r="AU104" s="61">
        <f>Table43[[#This Row],[Harga Jual Pcs GT
(-PPN)]]*1.11</f>
        <v>32190.000000000004</v>
      </c>
      <c r="AV104" s="61">
        <f>Table43[[#This Row],[Harga Jual Krt GT
(- PPN)]]*1.11</f>
        <v>386280.00000000006</v>
      </c>
      <c r="AW104" s="61">
        <f>IFERROR(VLOOKUP(Table43[[#This Row],[Kode Pcpl]],'[1]FEB 2026'!$A$3:$X$312,24,0),0)</f>
        <v>0</v>
      </c>
      <c r="AX104" s="61">
        <f>Table43[[#This Row],[Harga Jual Pcs MT
(-PPN)]]*Table43[[#This Row],[ISI/CTN]]</f>
        <v>0</v>
      </c>
      <c r="AY104" s="61">
        <f>Table43[[#This Row],[Harga Jual Pcs MT
(-PPN)]]*1.11</f>
        <v>0</v>
      </c>
      <c r="AZ104" s="61">
        <f>Table43[[#This Row],[Harga Jual Pcs MT
(+PPN)]]*Table43[[#This Row],[ISI/CTN]]</f>
        <v>0</v>
      </c>
      <c r="BA104" s="62">
        <f>(Table43[[#This Row],[Harga Jual Pcs GT
(-PPN)]]-Table43[[#This Row],[Harga Beli Pcs
(-PPN)]])/Table43[[#This Row],[Harga Jual Pcs GT
(-PPN)]]</f>
        <v>6.5000000000000002E-2</v>
      </c>
      <c r="BB104" s="63">
        <f>Table43[[#This Row],[Harga Jual Pcs MT
(-PPN)]]-Table43[[#This Row],[Harga Beli Pcs
(-PPN)]]</f>
        <v>-27115</v>
      </c>
      <c r="BC104" s="64" t="e">
        <f>Table43[[#This Row],[Column1]]/Table43[[#This Row],[Harga Jual Pcs MT
(-PPN)]]</f>
        <v>#DIV/0!</v>
      </c>
      <c r="BD104" s="52"/>
      <c r="BE104" s="7"/>
      <c r="BF104" s="7" t="str">
        <f ca="1">IF(TODAY()-Table43[[#This Row],[Efektif
Pembuatan]]&gt;60,"Lama","Baru")</f>
        <v>Lama</v>
      </c>
      <c r="BG104" s="7" t="str">
        <f ca="1">IF(TODAY()-Table43[[#This Row],[Efektif Naik Harga]]&lt;30,"Naik","Sama")</f>
        <v>Sama</v>
      </c>
      <c r="BH104" s="7"/>
      <c r="BI104" s="7" t="str">
        <f>IF(Table43[[#This Row],[Kode BARANG Win2]]&lt;&gt;"","IDR","")</f>
        <v>IDR</v>
      </c>
      <c r="BJ104" s="7" t="str">
        <f>CONCATENATE(Table43[[#This Row],[kode  1 Digit
(Nomor)]],Table43[[#This Row],[kode  4 Digit                (Nomor)]])</f>
        <v>0600</v>
      </c>
      <c r="BK104" s="7" t="str">
        <f>Table43[[#This Row],[Nama            Gramasi atau Jumlah Pack per CTN]]</f>
        <v>600ML</v>
      </c>
      <c r="BL104" s="7"/>
      <c r="BM104" s="7"/>
      <c r="BN104" s="4" t="str">
        <f>IF(Table43[[#This Row],[SATUAN Fix Win]]&lt;&gt;"","KRT")</f>
        <v>KRT</v>
      </c>
      <c r="BO104" s="4" t="str">
        <f>IF(Table43[[#This Row],[SATUAN Fix Win]]&lt;&gt;"","GD01")</f>
        <v>GD01</v>
      </c>
      <c r="BP104" s="4">
        <f>IF(Table43[[#This Row],[SATUAN Fix Win]]&lt;&gt;"",11611)</f>
        <v>11611</v>
      </c>
      <c r="BQ104" s="4">
        <f>IF(Table43[[#This Row],[SATUAN Fix Win]]&lt;&gt;"",11612)</f>
        <v>11612</v>
      </c>
      <c r="BS104" s="4">
        <f>IF(Table43[[#This Row],[SATUAN Fix Win]]&lt;&gt;"",1)</f>
        <v>1</v>
      </c>
      <c r="BU104" s="4">
        <f>Table43[[#This Row],[ISI/CTN]]</f>
        <v>12</v>
      </c>
    </row>
    <row r="105" spans="1:73">
      <c r="A105" s="4" t="str">
        <f>CONCATENATE(Table43[[#This Row],[Kode BARANG Win2]],Table43[[#This Row],[No. Urut
Item Sama]])</f>
        <v>G1071008075010</v>
      </c>
      <c r="B105" s="7"/>
      <c r="C105" s="31">
        <v>30070070200000</v>
      </c>
      <c r="D105" s="51">
        <v>40043771</v>
      </c>
      <c r="E105" s="27" t="s">
        <v>1907</v>
      </c>
      <c r="F105" s="59">
        <v>30070020750000</v>
      </c>
      <c r="G105" s="51">
        <v>0</v>
      </c>
      <c r="H105" s="27" t="s">
        <v>1163</v>
      </c>
      <c r="I105" s="27">
        <v>12</v>
      </c>
      <c r="J105" s="51" t="s">
        <v>1599</v>
      </c>
      <c r="K105" s="27" t="str">
        <f>Table43[[#This Row],[NamaJenisKemasan]]</f>
        <v>KLG</v>
      </c>
      <c r="L105" s="4" t="str">
        <f>TRIM(CONCATENATE(Table43[[#This Row],[Nama            KLP]]," ",Table43[[#This Row],[Nama            Sub KLP]]))</f>
        <v>HIT AEROSOL</v>
      </c>
      <c r="M105" s="4" t="str">
        <f>CONCATENATE(Table43[[#This Row],[kode  2 Digit                (hrf+No)]],Table43[[#This Row],[kode  2 Digit                (Nomor)]],Table43[[#This Row],[kode  1 Digit                (Nomor)]])</f>
        <v>G1071</v>
      </c>
      <c r="N105" s="4" t="str">
        <f>IF(AI105="",CONCATENATE(S105,U105,W105,Y105,AA105,AC105,AE105,AG105,Table43[[#This Row],[Tanda Kode Revisi]]),CONCATENATE(S105,U105,W105,Y105,AA105,AC105,AE105,AI105))</f>
        <v>G1071008075010</v>
      </c>
      <c r="O105" s="11">
        <f t="shared" si="2"/>
        <v>14</v>
      </c>
      <c r="P105" s="14" t="str">
        <f>IF(AH105&lt;&gt;"",TRIM(UPPER(CONCATENATE(R105," ",T105," ",V105," ",X105," ",Z105," ",AB105," ","X"," ",Table43[[#This Row],[ISI/CTN]]," ",AH105," ",AD105," ",AF105," ",AJ105))),TRIM(UPPER(CONCATENATE(R105," ",T105," ",V105," ",X105," ",Z105," ",AB105," ","X"," ",Table43[[#This Row],[ISI/CTN]]," ",AD105," ",AF105," ",AJ105))))</f>
        <v>HIT AEROSOL ORANGE 750ML X 12 KLG</v>
      </c>
      <c r="Q105" s="11">
        <f t="shared" si="3"/>
        <v>33</v>
      </c>
      <c r="S105" s="7" t="s">
        <v>34</v>
      </c>
      <c r="T105" s="4" t="s">
        <v>2242</v>
      </c>
      <c r="U105" s="47" t="s">
        <v>2544</v>
      </c>
      <c r="V105" s="48" t="s">
        <v>2243</v>
      </c>
      <c r="W105" s="7">
        <v>1</v>
      </c>
      <c r="X105" s="48"/>
      <c r="Y105" s="47" t="s">
        <v>1116</v>
      </c>
      <c r="Z105" s="4" t="s">
        <v>2251</v>
      </c>
      <c r="AA105" s="49" t="s">
        <v>2545</v>
      </c>
      <c r="AB105" s="4" t="s">
        <v>2259</v>
      </c>
      <c r="AC105" s="49" t="s">
        <v>2637</v>
      </c>
      <c r="AD105" s="4" t="s">
        <v>2221</v>
      </c>
      <c r="AE105" s="7">
        <v>1</v>
      </c>
      <c r="AG105" s="7">
        <v>0</v>
      </c>
      <c r="AK105" s="70">
        <f>Table43[[#This Row],[Column4]]</f>
        <v>30070020750000</v>
      </c>
      <c r="AN105" s="7">
        <f>Table43[[#This Row],[ISI/CTN]]</f>
        <v>12</v>
      </c>
      <c r="AO105" s="38">
        <f>Table43[[#This Row],[Harga Jual Pcs GT
(-PPN)]]-(Table43[[#This Row],[Harga Jual Pcs GT
(-PPN)]]*6.5%)</f>
        <v>35191.53</v>
      </c>
      <c r="AP105" s="38">
        <f>Table43[[#This Row],[Harga Beli Pcs
(-PPN)]]*Table43[[#This Row],[ISI/CTN]]</f>
        <v>422298.36</v>
      </c>
      <c r="AQ105" s="38">
        <f>Table43[[#This Row],[Harga Beli Pcs
(-PPN)]]*1.11</f>
        <v>39062.598300000005</v>
      </c>
      <c r="AR105" s="38">
        <f>Table43[[#This Row],[Harga Beli Krt
(- PPN)]]*1.11</f>
        <v>468751.17960000003</v>
      </c>
      <c r="AS105" s="38">
        <v>37638</v>
      </c>
      <c r="AT105" s="38">
        <f>Table43[[#This Row],[Harga Jual Pcs GT
(-PPN)]]*Table43[[#This Row],[ISI/CTN]]</f>
        <v>451656</v>
      </c>
      <c r="AU105" s="38">
        <f>Table43[[#This Row],[Harga Jual Pcs GT
(-PPN)]]*1.11</f>
        <v>41778.18</v>
      </c>
      <c r="AV105" s="38">
        <f>Table43[[#This Row],[Harga Jual Krt GT
(- PPN)]]*1.11</f>
        <v>501338.16000000003</v>
      </c>
      <c r="AW105" s="38">
        <f>IFERROR(VLOOKUP(Table43[[#This Row],[Kode Pcpl]],'[1]FEB 2026'!$A$3:$X$312,24,0),0)</f>
        <v>0</v>
      </c>
      <c r="AX105" s="38">
        <f>Table43[[#This Row],[Harga Jual Pcs MT
(-PPN)]]*Table43[[#This Row],[ISI/CTN]]</f>
        <v>0</v>
      </c>
      <c r="AY105" s="38">
        <f>Table43[[#This Row],[Harga Jual Pcs MT
(-PPN)]]*1.11</f>
        <v>0</v>
      </c>
      <c r="AZ105" s="38">
        <f>Table43[[#This Row],[Harga Jual Pcs MT
(+PPN)]]*Table43[[#This Row],[ISI/CTN]]</f>
        <v>0</v>
      </c>
      <c r="BA105" s="46">
        <f>(Table43[[#This Row],[Harga Jual Pcs GT
(-PPN)]]-Table43[[#This Row],[Harga Beli Pcs
(-PPN)]])/Table43[[#This Row],[Harga Jual Pcs GT
(-PPN)]]</f>
        <v>6.500000000000003E-2</v>
      </c>
      <c r="BB105" s="53">
        <f>Table43[[#This Row],[Harga Jual Pcs MT
(-PPN)]]-Table43[[#This Row],[Harga Beli Pcs
(-PPN)]]</f>
        <v>-35191.53</v>
      </c>
      <c r="BC105" s="54" t="e">
        <f>Table43[[#This Row],[Column1]]/Table43[[#This Row],[Harga Jual Pcs MT
(-PPN)]]</f>
        <v>#DIV/0!</v>
      </c>
      <c r="BD105" s="52"/>
      <c r="BE105" s="7"/>
      <c r="BF105" s="7" t="str">
        <f ca="1">IF(TODAY()-Table43[[#This Row],[Efektif
Pembuatan]]&gt;60,"Lama","Baru")</f>
        <v>Lama</v>
      </c>
      <c r="BG105" s="7" t="str">
        <f ca="1">IF(TODAY()-Table43[[#This Row],[Efektif Naik Harga]]&lt;30,"Naik","Sama")</f>
        <v>Sama</v>
      </c>
      <c r="BH105" s="7"/>
      <c r="BI105" s="7" t="str">
        <f>IF(Table43[[#This Row],[Kode BARANG Win2]]&lt;&gt;"","IDR","")</f>
        <v>IDR</v>
      </c>
      <c r="BJ105" s="7" t="str">
        <f>CONCATENATE(Table43[[#This Row],[kode  1 Digit
(Nomor)]],Table43[[#This Row],[kode  4 Digit                (Nomor)]])</f>
        <v>0750</v>
      </c>
      <c r="BK105" s="7" t="str">
        <f>Table43[[#This Row],[Nama            Gramasi atau Jumlah Pack per CTN]]</f>
        <v>750ML</v>
      </c>
      <c r="BL105" s="7"/>
      <c r="BM105" s="7"/>
      <c r="BN105" s="4" t="str">
        <f>IF(Table43[[#This Row],[SATUAN Fix Win]]&lt;&gt;"","KRT")</f>
        <v>KRT</v>
      </c>
      <c r="BO105" s="4" t="str">
        <f>IF(Table43[[#This Row],[SATUAN Fix Win]]&lt;&gt;"","GD01")</f>
        <v>GD01</v>
      </c>
      <c r="BP105" s="4">
        <f>IF(Table43[[#This Row],[SATUAN Fix Win]]&lt;&gt;"",11611)</f>
        <v>11611</v>
      </c>
      <c r="BQ105" s="4">
        <f>IF(Table43[[#This Row],[SATUAN Fix Win]]&lt;&gt;"",11612)</f>
        <v>11612</v>
      </c>
      <c r="BS105" s="4">
        <f>IF(Table43[[#This Row],[SATUAN Fix Win]]&lt;&gt;"",1)</f>
        <v>1</v>
      </c>
      <c r="BU105" s="4">
        <f>Table43[[#This Row],[ISI/CTN]]</f>
        <v>12</v>
      </c>
    </row>
    <row r="106" spans="1:73">
      <c r="A106" s="4" t="str">
        <f>CONCATENATE(Table43[[#This Row],[Kode BARANG Win2]],Table43[[#This Row],[No. Urut
Item Sama]])</f>
        <v>G1071009015010</v>
      </c>
      <c r="B106" s="7"/>
      <c r="C106" s="31">
        <v>30070100750000</v>
      </c>
      <c r="D106" s="59">
        <v>40060016</v>
      </c>
      <c r="E106" s="60" t="s">
        <v>1912</v>
      </c>
      <c r="F106" s="59">
        <v>30070070150001</v>
      </c>
      <c r="G106" s="59">
        <v>0</v>
      </c>
      <c r="H106" s="60" t="s">
        <v>1173</v>
      </c>
      <c r="I106" s="60">
        <v>24</v>
      </c>
      <c r="J106" s="59" t="s">
        <v>1604</v>
      </c>
      <c r="K106" s="60" t="str">
        <f>Table43[[#This Row],[NamaJenisKemasan]]</f>
        <v>KLG</v>
      </c>
      <c r="L106" s="4" t="str">
        <f>TRIM(CONCATENATE(Table43[[#This Row],[Nama            KLP]]," ",Table43[[#This Row],[Nama            Sub KLP]]))</f>
        <v>HIT AEROSOL</v>
      </c>
      <c r="M106" s="4" t="str">
        <f>CONCATENATE(Table43[[#This Row],[kode  2 Digit                (hrf+No)]],Table43[[#This Row],[kode  2 Digit                (Nomor)]],Table43[[#This Row],[kode  1 Digit                (Nomor)]])</f>
        <v>G1071</v>
      </c>
      <c r="N106" s="4" t="str">
        <f>IF(AI106="",CONCATENATE(S106,U106,W106,Y106,AA106,AC106,AE106,AG106,Table43[[#This Row],[Tanda Kode Revisi]]),CONCATENATE(S106,U106,W106,Y106,AA106,AC106,AE106,AI106))</f>
        <v>G1071009015010</v>
      </c>
      <c r="O106" s="11">
        <f t="shared" si="2"/>
        <v>14</v>
      </c>
      <c r="P106" s="14" t="str">
        <f>IF(AH106&lt;&gt;"",TRIM(UPPER(CONCATENATE(R106," ",T106," ",V106," ",X106," ",Z106," ",AB106," ","X"," ",Table43[[#This Row],[ISI/CTN]]," ",AH106," ",AD106," ",AF106," ",AJ106))),TRIM(UPPER(CONCATENATE(R106," ",T106," ",V106," ",X106," ",Z106," ",AB106," ","X"," ",Table43[[#This Row],[ISI/CTN]]," ",AD106," ",AF106," ",AJ106))))</f>
        <v>HIT AEROSOL PINK BLOSSOM 150ML X 24 KLG</v>
      </c>
      <c r="Q106" s="11">
        <f t="shared" si="3"/>
        <v>39</v>
      </c>
      <c r="S106" s="7" t="s">
        <v>34</v>
      </c>
      <c r="T106" s="4" t="s">
        <v>2242</v>
      </c>
      <c r="U106" s="47" t="s">
        <v>2544</v>
      </c>
      <c r="V106" s="48" t="s">
        <v>2243</v>
      </c>
      <c r="W106" s="7">
        <v>1</v>
      </c>
      <c r="X106" s="48"/>
      <c r="Y106" s="47" t="s">
        <v>1116</v>
      </c>
      <c r="Z106" s="4" t="s">
        <v>2252</v>
      </c>
      <c r="AA106" s="49" t="s">
        <v>2546</v>
      </c>
      <c r="AB106" s="4" t="s">
        <v>2260</v>
      </c>
      <c r="AC106" s="49" t="s">
        <v>2597</v>
      </c>
      <c r="AD106" s="4" t="s">
        <v>2221</v>
      </c>
      <c r="AE106" s="7">
        <v>1</v>
      </c>
      <c r="AG106" s="7">
        <v>0</v>
      </c>
      <c r="AK106" s="70">
        <f>Table43[[#This Row],[Column4]]</f>
        <v>30070070150001</v>
      </c>
      <c r="AN106" s="7">
        <f>Table43[[#This Row],[ISI/CTN]]</f>
        <v>24</v>
      </c>
      <c r="AO106" s="38">
        <f>Table43[[#This Row],[Harga Jual Pcs GT
(-PPN)]]-(Table43[[#This Row],[Harga Jual Pcs GT
(-PPN)]]*6.5%)</f>
        <v>9256.5</v>
      </c>
      <c r="AP106" s="38">
        <f>Table43[[#This Row],[Harga Beli Pcs
(-PPN)]]*Table43[[#This Row],[ISI/CTN]]</f>
        <v>222156</v>
      </c>
      <c r="AQ106" s="38">
        <f>Table43[[#This Row],[Harga Beli Pcs
(-PPN)]]*1.11</f>
        <v>10274.715</v>
      </c>
      <c r="AR106" s="38">
        <f>Table43[[#This Row],[Harga Beli Krt
(- PPN)]]*1.11</f>
        <v>246593.16000000003</v>
      </c>
      <c r="AS106" s="38">
        <v>9900</v>
      </c>
      <c r="AT106" s="38">
        <f>Table43[[#This Row],[Harga Jual Pcs GT
(-PPN)]]*Table43[[#This Row],[ISI/CTN]]</f>
        <v>237600</v>
      </c>
      <c r="AU106" s="38">
        <f>Table43[[#This Row],[Harga Jual Pcs GT
(-PPN)]]*1.11</f>
        <v>10989.000000000002</v>
      </c>
      <c r="AV106" s="38">
        <f>Table43[[#This Row],[Harga Jual Krt GT
(- PPN)]]*1.11</f>
        <v>263736</v>
      </c>
      <c r="AW106" s="38">
        <f>IFERROR(VLOOKUP(Table43[[#This Row],[Kode Pcpl]],'[1]FEB 2026'!$A$3:$X$312,24,0),0)</f>
        <v>0</v>
      </c>
      <c r="AX106" s="38">
        <f>Table43[[#This Row],[Harga Jual Pcs MT
(-PPN)]]*Table43[[#This Row],[ISI/CTN]]</f>
        <v>0</v>
      </c>
      <c r="AY106" s="38">
        <f>Table43[[#This Row],[Harga Jual Pcs MT
(-PPN)]]*1.11</f>
        <v>0</v>
      </c>
      <c r="AZ106" s="38">
        <f>Table43[[#This Row],[Harga Jual Pcs MT
(+PPN)]]*Table43[[#This Row],[ISI/CTN]]</f>
        <v>0</v>
      </c>
      <c r="BA106" s="46">
        <f>(Table43[[#This Row],[Harga Jual Pcs GT
(-PPN)]]-Table43[[#This Row],[Harga Beli Pcs
(-PPN)]])/Table43[[#This Row],[Harga Jual Pcs GT
(-PPN)]]</f>
        <v>6.5000000000000002E-2</v>
      </c>
      <c r="BB106" s="53">
        <f>Table43[[#This Row],[Harga Jual Pcs MT
(-PPN)]]-Table43[[#This Row],[Harga Beli Pcs
(-PPN)]]</f>
        <v>-9256.5</v>
      </c>
      <c r="BC106" s="54" t="e">
        <f>Table43[[#This Row],[Column1]]/Table43[[#This Row],[Harga Jual Pcs MT
(-PPN)]]</f>
        <v>#DIV/0!</v>
      </c>
      <c r="BD106" s="52"/>
      <c r="BE106" s="7"/>
      <c r="BF106" s="7" t="str">
        <f ca="1">IF(TODAY()-Table43[[#This Row],[Efektif
Pembuatan]]&gt;60,"Lama","Baru")</f>
        <v>Lama</v>
      </c>
      <c r="BG106" s="7" t="str">
        <f ca="1">IF(TODAY()-Table43[[#This Row],[Efektif Naik Harga]]&lt;30,"Naik","Sama")</f>
        <v>Sama</v>
      </c>
      <c r="BH106" s="7"/>
      <c r="BI106" s="7" t="str">
        <f>IF(Table43[[#This Row],[Kode BARANG Win2]]&lt;&gt;"","IDR","")</f>
        <v>IDR</v>
      </c>
      <c r="BJ106" s="7" t="str">
        <f>CONCATENATE(Table43[[#This Row],[kode  1 Digit
(Nomor)]],Table43[[#This Row],[kode  4 Digit                (Nomor)]])</f>
        <v>0150</v>
      </c>
      <c r="BK106" s="7" t="str">
        <f>Table43[[#This Row],[Nama            Gramasi atau Jumlah Pack per CTN]]</f>
        <v>150ML</v>
      </c>
      <c r="BL106" s="7"/>
      <c r="BM106" s="7"/>
      <c r="BN106" s="4" t="str">
        <f>IF(Table43[[#This Row],[SATUAN Fix Win]]&lt;&gt;"","KRT")</f>
        <v>KRT</v>
      </c>
      <c r="BO106" s="4" t="str">
        <f>IF(Table43[[#This Row],[SATUAN Fix Win]]&lt;&gt;"","GD01")</f>
        <v>GD01</v>
      </c>
      <c r="BP106" s="4">
        <f>IF(Table43[[#This Row],[SATUAN Fix Win]]&lt;&gt;"",11611)</f>
        <v>11611</v>
      </c>
      <c r="BQ106" s="4">
        <f>IF(Table43[[#This Row],[SATUAN Fix Win]]&lt;&gt;"",11612)</f>
        <v>11612</v>
      </c>
      <c r="BS106" s="4">
        <f>IF(Table43[[#This Row],[SATUAN Fix Win]]&lt;&gt;"",1)</f>
        <v>1</v>
      </c>
      <c r="BU106" s="4">
        <f>Table43[[#This Row],[ISI/CTN]]</f>
        <v>24</v>
      </c>
    </row>
    <row r="107" spans="1:73">
      <c r="A107" s="4" t="str">
        <f>CONCATENATE(Table43[[#This Row],[Kode BARANG Win2]],Table43[[#This Row],[No. Urut
Item Sama]])</f>
        <v>G1071009015010</v>
      </c>
      <c r="B107" s="7"/>
      <c r="C107" s="31">
        <v>30070110750000</v>
      </c>
      <c r="D107" s="59">
        <v>40057865</v>
      </c>
      <c r="E107" s="60" t="s">
        <v>1912</v>
      </c>
      <c r="F107" s="59">
        <v>30070070150001</v>
      </c>
      <c r="G107" s="59">
        <v>0</v>
      </c>
      <c r="H107" s="60" t="s">
        <v>1172</v>
      </c>
      <c r="I107" s="60">
        <v>24</v>
      </c>
      <c r="J107" s="59" t="s">
        <v>1604</v>
      </c>
      <c r="K107" s="60" t="str">
        <f>Table43[[#This Row],[NamaJenisKemasan]]</f>
        <v>KLG</v>
      </c>
      <c r="L107" s="4" t="str">
        <f>TRIM(CONCATENATE(Table43[[#This Row],[Nama            KLP]]," ",Table43[[#This Row],[Nama            Sub KLP]]))</f>
        <v>HIT AEROSOL</v>
      </c>
      <c r="M107" s="4" t="str">
        <f>CONCATENATE(Table43[[#This Row],[kode  2 Digit                (hrf+No)]],Table43[[#This Row],[kode  2 Digit                (Nomor)]],Table43[[#This Row],[kode  1 Digit                (Nomor)]])</f>
        <v>G1071</v>
      </c>
      <c r="N107" s="4" t="str">
        <f>IF(AI107="",CONCATENATE(S107,U107,W107,Y107,AA107,AC107,AE107,AG107,Table43[[#This Row],[Tanda Kode Revisi]]),CONCATENATE(S107,U107,W107,Y107,AA107,AC107,AE107,AI107))</f>
        <v>G1071009015010</v>
      </c>
      <c r="O107" s="11">
        <f t="shared" si="2"/>
        <v>14</v>
      </c>
      <c r="P107" s="14" t="str">
        <f>IF(AH107&lt;&gt;"",TRIM(UPPER(CONCATENATE(R107," ",T107," ",V107," ",X107," ",Z107," ",AB107," ","X"," ",Table43[[#This Row],[ISI/CTN]]," ",AH107," ",AD107," ",AF107," ",AJ107))),TRIM(UPPER(CONCATENATE(R107," ",T107," ",V107," ",X107," ",Z107," ",AB107," ","X"," ",Table43[[#This Row],[ISI/CTN]]," ",AD107," ",AF107," ",AJ107))))</f>
        <v>HIT AEROSOL PINK BLOSSOM 150ML X 24 KLG</v>
      </c>
      <c r="Q107" s="11">
        <f t="shared" si="3"/>
        <v>39</v>
      </c>
      <c r="S107" s="7" t="s">
        <v>34</v>
      </c>
      <c r="T107" s="4" t="s">
        <v>2242</v>
      </c>
      <c r="U107" s="47" t="s">
        <v>2544</v>
      </c>
      <c r="V107" s="48" t="s">
        <v>2243</v>
      </c>
      <c r="W107" s="7">
        <v>1</v>
      </c>
      <c r="X107" s="48"/>
      <c r="Y107" s="47" t="s">
        <v>1116</v>
      </c>
      <c r="Z107" s="4" t="s">
        <v>2252</v>
      </c>
      <c r="AA107" s="49" t="s">
        <v>2546</v>
      </c>
      <c r="AB107" s="4" t="s">
        <v>2260</v>
      </c>
      <c r="AC107" s="49" t="s">
        <v>2597</v>
      </c>
      <c r="AD107" s="4" t="s">
        <v>2221</v>
      </c>
      <c r="AE107" s="7">
        <v>1</v>
      </c>
      <c r="AG107" s="7">
        <v>0</v>
      </c>
      <c r="AK107" s="70">
        <f>Table43[[#This Row],[Column4]]</f>
        <v>30070070150001</v>
      </c>
      <c r="AN107" s="7">
        <f>Table43[[#This Row],[ISI/CTN]]</f>
        <v>24</v>
      </c>
      <c r="AO107" s="38">
        <f>Table43[[#This Row],[Harga Jual Pcs GT
(-PPN)]]-(Table43[[#This Row],[Harga Jual Pcs GT
(-PPN)]]*6.5%)</f>
        <v>9256.5</v>
      </c>
      <c r="AP107" s="38">
        <f>Table43[[#This Row],[Harga Beli Pcs
(-PPN)]]*Table43[[#This Row],[ISI/CTN]]</f>
        <v>222156</v>
      </c>
      <c r="AQ107" s="38">
        <f>Table43[[#This Row],[Harga Beli Pcs
(-PPN)]]*1.11</f>
        <v>10274.715</v>
      </c>
      <c r="AR107" s="38">
        <f>Table43[[#This Row],[Harga Beli Krt
(- PPN)]]*1.11</f>
        <v>246593.16000000003</v>
      </c>
      <c r="AS107" s="38">
        <v>9900</v>
      </c>
      <c r="AT107" s="38">
        <f>Table43[[#This Row],[Harga Jual Pcs GT
(-PPN)]]*Table43[[#This Row],[ISI/CTN]]</f>
        <v>237600</v>
      </c>
      <c r="AU107" s="38">
        <f>Table43[[#This Row],[Harga Jual Pcs GT
(-PPN)]]*1.11</f>
        <v>10989.000000000002</v>
      </c>
      <c r="AV107" s="38">
        <f>Table43[[#This Row],[Harga Jual Krt GT
(- PPN)]]*1.11</f>
        <v>263736</v>
      </c>
      <c r="AW107" s="38">
        <f>IFERROR(VLOOKUP(Table43[[#This Row],[Kode Pcpl]],'[1]FEB 2026'!$A$3:$X$312,24,0),0)</f>
        <v>0</v>
      </c>
      <c r="AX107" s="38">
        <f>Table43[[#This Row],[Harga Jual Pcs MT
(-PPN)]]*Table43[[#This Row],[ISI/CTN]]</f>
        <v>0</v>
      </c>
      <c r="AY107" s="38">
        <f>Table43[[#This Row],[Harga Jual Pcs MT
(-PPN)]]*1.11</f>
        <v>0</v>
      </c>
      <c r="AZ107" s="38">
        <f>Table43[[#This Row],[Harga Jual Pcs MT
(+PPN)]]*Table43[[#This Row],[ISI/CTN]]</f>
        <v>0</v>
      </c>
      <c r="BA107" s="46">
        <f>(Table43[[#This Row],[Harga Jual Pcs GT
(-PPN)]]-Table43[[#This Row],[Harga Beli Pcs
(-PPN)]])/Table43[[#This Row],[Harga Jual Pcs GT
(-PPN)]]</f>
        <v>6.5000000000000002E-2</v>
      </c>
      <c r="BB107" s="53">
        <f>Table43[[#This Row],[Harga Jual Pcs MT
(-PPN)]]-Table43[[#This Row],[Harga Beli Pcs
(-PPN)]]</f>
        <v>-9256.5</v>
      </c>
      <c r="BC107" s="54" t="e">
        <f>Table43[[#This Row],[Column1]]/Table43[[#This Row],[Harga Jual Pcs MT
(-PPN)]]</f>
        <v>#DIV/0!</v>
      </c>
      <c r="BD107" s="52"/>
      <c r="BE107" s="7"/>
      <c r="BF107" s="7" t="str">
        <f ca="1">IF(TODAY()-Table43[[#This Row],[Efektif
Pembuatan]]&gt;60,"Lama","Baru")</f>
        <v>Lama</v>
      </c>
      <c r="BG107" s="7" t="str">
        <f ca="1">IF(TODAY()-Table43[[#This Row],[Efektif Naik Harga]]&lt;30,"Naik","Sama")</f>
        <v>Sama</v>
      </c>
      <c r="BH107" s="7"/>
      <c r="BI107" s="7" t="str">
        <f>IF(Table43[[#This Row],[Kode BARANG Win2]]&lt;&gt;"","IDR","")</f>
        <v>IDR</v>
      </c>
      <c r="BJ107" s="7" t="str">
        <f>CONCATENATE(Table43[[#This Row],[kode  1 Digit
(Nomor)]],Table43[[#This Row],[kode  4 Digit                (Nomor)]])</f>
        <v>0150</v>
      </c>
      <c r="BK107" s="7" t="str">
        <f>Table43[[#This Row],[Nama            Gramasi atau Jumlah Pack per CTN]]</f>
        <v>150ML</v>
      </c>
      <c r="BL107" s="7"/>
      <c r="BM107" s="7"/>
      <c r="BN107" s="4" t="str">
        <f>IF(Table43[[#This Row],[SATUAN Fix Win]]&lt;&gt;"","KRT")</f>
        <v>KRT</v>
      </c>
      <c r="BO107" s="4" t="str">
        <f>IF(Table43[[#This Row],[SATUAN Fix Win]]&lt;&gt;"","GD01")</f>
        <v>GD01</v>
      </c>
      <c r="BP107" s="4">
        <f>IF(Table43[[#This Row],[SATUAN Fix Win]]&lt;&gt;"",11611)</f>
        <v>11611</v>
      </c>
      <c r="BQ107" s="4">
        <f>IF(Table43[[#This Row],[SATUAN Fix Win]]&lt;&gt;"",11612)</f>
        <v>11612</v>
      </c>
      <c r="BS107" s="4">
        <f>IF(Table43[[#This Row],[SATUAN Fix Win]]&lt;&gt;"",1)</f>
        <v>1</v>
      </c>
      <c r="BU107" s="4">
        <f>Table43[[#This Row],[ISI/CTN]]</f>
        <v>24</v>
      </c>
    </row>
    <row r="108" spans="1:73">
      <c r="A108" s="4" t="str">
        <f>CONCATENATE(Table43[[#This Row],[Kode BARANG Win2]],Table43[[#This Row],[No. Urut
Item Sama]])</f>
        <v>G1071009015010</v>
      </c>
      <c r="B108" s="7"/>
      <c r="C108" s="31">
        <v>30071050415000</v>
      </c>
      <c r="D108" s="51">
        <v>40044129</v>
      </c>
      <c r="E108" s="27" t="s">
        <v>1912</v>
      </c>
      <c r="F108" s="59">
        <v>30070070150001</v>
      </c>
      <c r="G108" s="51">
        <v>0</v>
      </c>
      <c r="H108" s="27" t="s">
        <v>1171</v>
      </c>
      <c r="I108" s="27">
        <v>24</v>
      </c>
      <c r="J108" s="51" t="s">
        <v>1604</v>
      </c>
      <c r="K108" s="27" t="str">
        <f>Table43[[#This Row],[NamaJenisKemasan]]</f>
        <v>KLG</v>
      </c>
      <c r="L108" s="4" t="str">
        <f>TRIM(CONCATENATE(Table43[[#This Row],[Nama            KLP]]," ",Table43[[#This Row],[Nama            Sub KLP]]))</f>
        <v>HIT AEROSOL</v>
      </c>
      <c r="M108" s="4" t="str">
        <f>CONCATENATE(Table43[[#This Row],[kode  2 Digit                (hrf+No)]],Table43[[#This Row],[kode  2 Digit                (Nomor)]],Table43[[#This Row],[kode  1 Digit                (Nomor)]])</f>
        <v>G1071</v>
      </c>
      <c r="N108" s="4" t="str">
        <f>IF(AI108="",CONCATENATE(S108,U108,W108,Y108,AA108,AC108,AE108,AG108,Table43[[#This Row],[Tanda Kode Revisi]]),CONCATENATE(S108,U108,W108,Y108,AA108,AC108,AE108,AI108))</f>
        <v>G1071009015010</v>
      </c>
      <c r="O108" s="11">
        <f t="shared" si="2"/>
        <v>14</v>
      </c>
      <c r="P108" s="14" t="str">
        <f>IF(AH108&lt;&gt;"",TRIM(UPPER(CONCATENATE(R108," ",T108," ",V108," ",X108," ",Z108," ",AB108," ","X"," ",Table43[[#This Row],[ISI/CTN]]," ",AH108," ",AD108," ",AF108," ",AJ108))),TRIM(UPPER(CONCATENATE(R108," ",T108," ",V108," ",X108," ",Z108," ",AB108," ","X"," ",Table43[[#This Row],[ISI/CTN]]," ",AD108," ",AF108," ",AJ108))))</f>
        <v>HIT AEROSOL PINK BLOSSOM 150ML X 24 KLG</v>
      </c>
      <c r="Q108" s="11">
        <f t="shared" si="3"/>
        <v>39</v>
      </c>
      <c r="S108" s="7" t="s">
        <v>34</v>
      </c>
      <c r="T108" s="4" t="s">
        <v>2242</v>
      </c>
      <c r="U108" s="47" t="s">
        <v>2544</v>
      </c>
      <c r="V108" s="48" t="s">
        <v>2243</v>
      </c>
      <c r="W108" s="7">
        <v>1</v>
      </c>
      <c r="X108" s="48"/>
      <c r="Y108" s="47" t="s">
        <v>1116</v>
      </c>
      <c r="Z108" s="4" t="s">
        <v>2252</v>
      </c>
      <c r="AA108" s="49" t="s">
        <v>2546</v>
      </c>
      <c r="AB108" s="4" t="s">
        <v>2260</v>
      </c>
      <c r="AC108" s="49" t="s">
        <v>2597</v>
      </c>
      <c r="AD108" s="4" t="s">
        <v>2221</v>
      </c>
      <c r="AE108" s="7">
        <v>1</v>
      </c>
      <c r="AG108" s="7">
        <v>0</v>
      </c>
      <c r="AK108" s="70">
        <f>Table43[[#This Row],[Column4]]</f>
        <v>30070070150001</v>
      </c>
      <c r="AN108" s="7">
        <f>Table43[[#This Row],[ISI/CTN]]</f>
        <v>24</v>
      </c>
      <c r="AO108" s="38">
        <f>Table43[[#This Row],[Harga Jual Pcs GT
(-PPN)]]-(Table43[[#This Row],[Harga Jual Pcs GT
(-PPN)]]*6.5%)</f>
        <v>9256.5</v>
      </c>
      <c r="AP108" s="38">
        <f>Table43[[#This Row],[Harga Beli Pcs
(-PPN)]]*Table43[[#This Row],[ISI/CTN]]</f>
        <v>222156</v>
      </c>
      <c r="AQ108" s="38">
        <f>Table43[[#This Row],[Harga Beli Pcs
(-PPN)]]*1.11</f>
        <v>10274.715</v>
      </c>
      <c r="AR108" s="38">
        <f>Table43[[#This Row],[Harga Beli Krt
(- PPN)]]*1.11</f>
        <v>246593.16000000003</v>
      </c>
      <c r="AS108" s="38">
        <v>9900</v>
      </c>
      <c r="AT108" s="38">
        <f>Table43[[#This Row],[Harga Jual Pcs GT
(-PPN)]]*Table43[[#This Row],[ISI/CTN]]</f>
        <v>237600</v>
      </c>
      <c r="AU108" s="38">
        <f>Table43[[#This Row],[Harga Jual Pcs GT
(-PPN)]]*1.11</f>
        <v>10989.000000000002</v>
      </c>
      <c r="AV108" s="38">
        <f>Table43[[#This Row],[Harga Jual Krt GT
(- PPN)]]*1.11</f>
        <v>263736</v>
      </c>
      <c r="AW108" s="38">
        <f>IFERROR(VLOOKUP(Table43[[#This Row],[Kode Pcpl]],'[1]FEB 2026'!$A$3:$X$312,24,0),0)</f>
        <v>0</v>
      </c>
      <c r="AX108" s="38">
        <f>Table43[[#This Row],[Harga Jual Pcs MT
(-PPN)]]*Table43[[#This Row],[ISI/CTN]]</f>
        <v>0</v>
      </c>
      <c r="AY108" s="38">
        <f>Table43[[#This Row],[Harga Jual Pcs MT
(-PPN)]]*1.11</f>
        <v>0</v>
      </c>
      <c r="AZ108" s="38">
        <f>Table43[[#This Row],[Harga Jual Pcs MT
(+PPN)]]*Table43[[#This Row],[ISI/CTN]]</f>
        <v>0</v>
      </c>
      <c r="BA108" s="46">
        <f>(Table43[[#This Row],[Harga Jual Pcs GT
(-PPN)]]-Table43[[#This Row],[Harga Beli Pcs
(-PPN)]])/Table43[[#This Row],[Harga Jual Pcs GT
(-PPN)]]</f>
        <v>6.5000000000000002E-2</v>
      </c>
      <c r="BB108" s="53">
        <f>Table43[[#This Row],[Harga Jual Pcs MT
(-PPN)]]-Table43[[#This Row],[Harga Beli Pcs
(-PPN)]]</f>
        <v>-9256.5</v>
      </c>
      <c r="BC108" s="54" t="e">
        <f>Table43[[#This Row],[Column1]]/Table43[[#This Row],[Harga Jual Pcs MT
(-PPN)]]</f>
        <v>#DIV/0!</v>
      </c>
      <c r="BD108" s="52"/>
      <c r="BE108" s="7"/>
      <c r="BF108" s="7" t="str">
        <f ca="1">IF(TODAY()-Table43[[#This Row],[Efektif
Pembuatan]]&gt;60,"Lama","Baru")</f>
        <v>Lama</v>
      </c>
      <c r="BG108" s="7" t="str">
        <f ca="1">IF(TODAY()-Table43[[#This Row],[Efektif Naik Harga]]&lt;30,"Naik","Sama")</f>
        <v>Sama</v>
      </c>
      <c r="BH108" s="7"/>
      <c r="BI108" s="7" t="str">
        <f>IF(Table43[[#This Row],[Kode BARANG Win2]]&lt;&gt;"","IDR","")</f>
        <v>IDR</v>
      </c>
      <c r="BJ108" s="7" t="str">
        <f>CONCATENATE(Table43[[#This Row],[kode  1 Digit
(Nomor)]],Table43[[#This Row],[kode  4 Digit                (Nomor)]])</f>
        <v>0150</v>
      </c>
      <c r="BK108" s="7" t="str">
        <f>Table43[[#This Row],[Nama            Gramasi atau Jumlah Pack per CTN]]</f>
        <v>150ML</v>
      </c>
      <c r="BL108" s="7"/>
      <c r="BM108" s="7"/>
      <c r="BN108" s="4" t="str">
        <f>IF(Table43[[#This Row],[SATUAN Fix Win]]&lt;&gt;"","KRT")</f>
        <v>KRT</v>
      </c>
      <c r="BO108" s="4" t="str">
        <f>IF(Table43[[#This Row],[SATUAN Fix Win]]&lt;&gt;"","GD01")</f>
        <v>GD01</v>
      </c>
      <c r="BP108" s="4">
        <f>IF(Table43[[#This Row],[SATUAN Fix Win]]&lt;&gt;"",11611)</f>
        <v>11611</v>
      </c>
      <c r="BQ108" s="4">
        <f>IF(Table43[[#This Row],[SATUAN Fix Win]]&lt;&gt;"",11612)</f>
        <v>11612</v>
      </c>
      <c r="BS108" s="4">
        <f>IF(Table43[[#This Row],[SATUAN Fix Win]]&lt;&gt;"",1)</f>
        <v>1</v>
      </c>
      <c r="BU108" s="4">
        <f>Table43[[#This Row],[ISI/CTN]]</f>
        <v>24</v>
      </c>
    </row>
    <row r="109" spans="1:73">
      <c r="A109" s="4" t="str">
        <f>CONCATENATE(Table43[[#This Row],[Kode BARANG Win2]],Table43[[#This Row],[No. Urut
Item Sama]])</f>
        <v>G1071009015010</v>
      </c>
      <c r="B109" s="7"/>
      <c r="C109" s="31"/>
      <c r="D109" s="51">
        <v>40043130</v>
      </c>
      <c r="E109" s="27"/>
      <c r="F109" s="51"/>
      <c r="G109" s="51"/>
      <c r="H109" s="27"/>
      <c r="I109" s="27">
        <v>24</v>
      </c>
      <c r="J109" s="51" t="s">
        <v>1604</v>
      </c>
      <c r="K109" s="27" t="str">
        <f>Table43[[#This Row],[NamaJenisKemasan]]</f>
        <v>KLG</v>
      </c>
      <c r="L109" s="4" t="str">
        <f>TRIM(CONCATENATE(Table43[[#This Row],[Nama            KLP]]," ",Table43[[#This Row],[Nama            Sub KLP]]))</f>
        <v>HIT AEROSOL</v>
      </c>
      <c r="M109" s="4" t="str">
        <f>CONCATENATE(Table43[[#This Row],[kode  2 Digit                (hrf+No)]],Table43[[#This Row],[kode  2 Digit                (Nomor)]],Table43[[#This Row],[kode  1 Digit                (Nomor)]])</f>
        <v>G1071</v>
      </c>
      <c r="N109" s="4" t="str">
        <f>IF(AI109="",CONCATENATE(S109,U109,W109,Y109,AA109,AC109,AE109,AG109,Table43[[#This Row],[Tanda Kode Revisi]]),CONCATENATE(S109,U109,W109,Y109,AA109,AC109,AE109,AI109))</f>
        <v>G1071009015010</v>
      </c>
      <c r="O109" s="11">
        <f t="shared" si="2"/>
        <v>14</v>
      </c>
      <c r="P109" s="14" t="str">
        <f>IF(AH109&lt;&gt;"",TRIM(UPPER(CONCATENATE(R109," ",T109," ",V109," ",X109," ",Z109," ",AB109," ","X"," ",Table43[[#This Row],[ISI/CTN]]," ",AH109," ",AD109," ",AF109," ",AJ109))),TRIM(UPPER(CONCATENATE(R109," ",T109," ",V109," ",X109," ",Z109," ",AB109," ","X"," ",Table43[[#This Row],[ISI/CTN]]," ",AD109," ",AF109," ",AJ109))))</f>
        <v>HIT AEROSOL PINK BLOSSOM 150ML X 24 KLG</v>
      </c>
      <c r="Q109" s="11">
        <f t="shared" si="3"/>
        <v>39</v>
      </c>
      <c r="S109" s="7" t="s">
        <v>34</v>
      </c>
      <c r="T109" s="4" t="s">
        <v>2242</v>
      </c>
      <c r="U109" s="47" t="s">
        <v>2544</v>
      </c>
      <c r="V109" s="48" t="s">
        <v>2243</v>
      </c>
      <c r="W109" s="7">
        <v>1</v>
      </c>
      <c r="X109" s="48"/>
      <c r="Y109" s="47" t="s">
        <v>1116</v>
      </c>
      <c r="Z109" s="4" t="s">
        <v>2252</v>
      </c>
      <c r="AA109" s="49" t="s">
        <v>2546</v>
      </c>
      <c r="AB109" s="4" t="s">
        <v>2260</v>
      </c>
      <c r="AC109" s="49" t="s">
        <v>2597</v>
      </c>
      <c r="AD109" s="4" t="s">
        <v>2221</v>
      </c>
      <c r="AE109" s="7">
        <v>1</v>
      </c>
      <c r="AG109" s="7">
        <v>0</v>
      </c>
      <c r="AK109" s="70">
        <f>Table43[[#This Row],[Column4]]</f>
        <v>0</v>
      </c>
      <c r="AN109" s="7">
        <f>Table43[[#This Row],[ISI/CTN]]</f>
        <v>24</v>
      </c>
      <c r="AO109" s="38">
        <f>Table43[[#This Row],[Harga Jual Pcs GT
(-PPN)]]-(Table43[[#This Row],[Harga Jual Pcs GT
(-PPN)]]*6.5%)</f>
        <v>0</v>
      </c>
      <c r="AP109" s="38">
        <f>Table43[[#This Row],[Harga Beli Pcs
(-PPN)]]*Table43[[#This Row],[ISI/CTN]]</f>
        <v>0</v>
      </c>
      <c r="AQ109" s="38">
        <f>Table43[[#This Row],[Harga Beli Pcs
(-PPN)]]*1.11</f>
        <v>0</v>
      </c>
      <c r="AR109" s="38">
        <f>Table43[[#This Row],[Harga Beli Krt
(- PPN)]]*1.11</f>
        <v>0</v>
      </c>
      <c r="AS109" s="38"/>
      <c r="AT109" s="38">
        <f>Table43[[#This Row],[Harga Jual Pcs GT
(-PPN)]]*Table43[[#This Row],[ISI/CTN]]</f>
        <v>0</v>
      </c>
      <c r="AU109" s="38">
        <f>Table43[[#This Row],[Harga Jual Pcs GT
(-PPN)]]*1.11</f>
        <v>0</v>
      </c>
      <c r="AV109" s="38">
        <f>Table43[[#This Row],[Harga Jual Krt GT
(- PPN)]]*1.11</f>
        <v>0</v>
      </c>
      <c r="AW109" s="38">
        <f>IFERROR(VLOOKUP(Table43[[#This Row],[Kode Pcpl]],'[1]FEB 2026'!$A$3:$X$312,24,0),0)</f>
        <v>0</v>
      </c>
      <c r="AX109" s="38">
        <f>Table43[[#This Row],[Harga Jual Pcs MT
(-PPN)]]*Table43[[#This Row],[ISI/CTN]]</f>
        <v>0</v>
      </c>
      <c r="AY109" s="38">
        <f>Table43[[#This Row],[Harga Jual Pcs MT
(-PPN)]]*1.11</f>
        <v>0</v>
      </c>
      <c r="AZ109" s="38">
        <f>Table43[[#This Row],[Harga Jual Pcs MT
(+PPN)]]*Table43[[#This Row],[ISI/CTN]]</f>
        <v>0</v>
      </c>
      <c r="BA109" s="46" t="e">
        <f>(Table43[[#This Row],[Harga Jual Pcs GT
(-PPN)]]-Table43[[#This Row],[Harga Beli Pcs
(-PPN)]])/Table43[[#This Row],[Harga Jual Pcs GT
(-PPN)]]</f>
        <v>#DIV/0!</v>
      </c>
      <c r="BB109" s="53">
        <f>Table43[[#This Row],[Harga Jual Pcs MT
(-PPN)]]-Table43[[#This Row],[Harga Beli Pcs
(-PPN)]]</f>
        <v>0</v>
      </c>
      <c r="BC109" s="54" t="e">
        <f>Table43[[#This Row],[Column1]]/Table43[[#This Row],[Harga Jual Pcs MT
(-PPN)]]</f>
        <v>#DIV/0!</v>
      </c>
      <c r="BD109" s="52"/>
      <c r="BE109" s="7"/>
      <c r="BF109" s="7" t="str">
        <f ca="1">IF(TODAY()-Table43[[#This Row],[Efektif
Pembuatan]]&gt;60,"Lama","Baru")</f>
        <v>Lama</v>
      </c>
      <c r="BG109" s="7" t="str">
        <f ca="1">IF(TODAY()-Table43[[#This Row],[Efektif Naik Harga]]&lt;30,"Naik","Sama")</f>
        <v>Sama</v>
      </c>
      <c r="BH109" s="7"/>
      <c r="BI109" s="7" t="str">
        <f>IF(Table43[[#This Row],[Kode BARANG Win2]]&lt;&gt;"","IDR","")</f>
        <v>IDR</v>
      </c>
      <c r="BJ109" s="7" t="str">
        <f>CONCATENATE(Table43[[#This Row],[kode  1 Digit
(Nomor)]],Table43[[#This Row],[kode  4 Digit                (Nomor)]])</f>
        <v>0150</v>
      </c>
      <c r="BK109" s="7" t="str">
        <f>Table43[[#This Row],[Nama            Gramasi atau Jumlah Pack per CTN]]</f>
        <v>150ML</v>
      </c>
      <c r="BL109" s="7"/>
      <c r="BM109" s="7"/>
      <c r="BN109" s="4" t="str">
        <f>IF(Table43[[#This Row],[SATUAN Fix Win]]&lt;&gt;"","KRT")</f>
        <v>KRT</v>
      </c>
      <c r="BO109" s="4" t="str">
        <f>IF(Table43[[#This Row],[SATUAN Fix Win]]&lt;&gt;"","GD01")</f>
        <v>GD01</v>
      </c>
      <c r="BP109" s="4">
        <f>IF(Table43[[#This Row],[SATUAN Fix Win]]&lt;&gt;"",11611)</f>
        <v>11611</v>
      </c>
      <c r="BQ109" s="4">
        <f>IF(Table43[[#This Row],[SATUAN Fix Win]]&lt;&gt;"",11612)</f>
        <v>11612</v>
      </c>
      <c r="BS109" s="4">
        <f>IF(Table43[[#This Row],[SATUAN Fix Win]]&lt;&gt;"",1)</f>
        <v>1</v>
      </c>
      <c r="BU109" s="4">
        <f>Table43[[#This Row],[ISI/CTN]]</f>
        <v>24</v>
      </c>
    </row>
    <row r="110" spans="1:73" ht="14.25" customHeight="1">
      <c r="A110" s="4" t="str">
        <f>CONCATENATE(Table43[[#This Row],[Kode BARANG Win2]],Table43[[#This Row],[No. Urut
Item Sama]])</f>
        <v>G1071009018010</v>
      </c>
      <c r="B110" s="7"/>
      <c r="C110" s="31">
        <v>30070070400000</v>
      </c>
      <c r="D110" s="51">
        <v>40060053</v>
      </c>
      <c r="E110" s="27" t="s">
        <v>1913</v>
      </c>
      <c r="F110" s="51">
        <v>30070070200000</v>
      </c>
      <c r="G110" s="51">
        <v>0</v>
      </c>
      <c r="H110" s="27" t="s">
        <v>1176</v>
      </c>
      <c r="I110" s="27">
        <v>12</v>
      </c>
      <c r="J110" s="51" t="s">
        <v>1605</v>
      </c>
      <c r="K110" s="27" t="str">
        <f>Table43[[#This Row],[NamaJenisKemasan]]</f>
        <v>KLG</v>
      </c>
      <c r="L110" s="4" t="str">
        <f>TRIM(CONCATENATE(Table43[[#This Row],[Nama            KLP]]," ",Table43[[#This Row],[Nama            Sub KLP]]))</f>
        <v>HIT AEROSOL</v>
      </c>
      <c r="M110" s="4" t="str">
        <f>CONCATENATE(Table43[[#This Row],[kode  2 Digit                (hrf+No)]],Table43[[#This Row],[kode  2 Digit                (Nomor)]],Table43[[#This Row],[kode  1 Digit                (Nomor)]])</f>
        <v>G1071</v>
      </c>
      <c r="N110" s="4" t="str">
        <f>IF(AI110="",CONCATENATE(S110,U110,W110,Y110,AA110,AC110,AE110,AG110,Table43[[#This Row],[Tanda Kode Revisi]]),CONCATENATE(S110,U110,W110,Y110,AA110,AC110,AE110,AI110))</f>
        <v>G1071009018010</v>
      </c>
      <c r="O110" s="11">
        <f t="shared" si="2"/>
        <v>14</v>
      </c>
      <c r="P110" s="14" t="str">
        <f>IF(AH110&lt;&gt;"",TRIM(UPPER(CONCATENATE(R110," ",T110," ",V110," ",X110," ",Z110," ",AB110," ","X"," ",Table43[[#This Row],[ISI/CTN]]," ",AH110," ",AD110," ",AF110," ",AJ110))),TRIM(UPPER(CONCATENATE(R110," ",T110," ",V110," ",X110," ",Z110," ",AB110," ","X"," ",Table43[[#This Row],[ISI/CTN]]," ",AD110," ",AF110," ",AJ110))))</f>
        <v>HIT AEROSOL PINK BLOSSOM 180ML X 12 KLG</v>
      </c>
      <c r="Q110" s="11">
        <f t="shared" si="3"/>
        <v>39</v>
      </c>
      <c r="S110" s="7" t="s">
        <v>34</v>
      </c>
      <c r="T110" s="4" t="s">
        <v>2242</v>
      </c>
      <c r="U110" s="47" t="s">
        <v>2544</v>
      </c>
      <c r="V110" s="48" t="s">
        <v>2243</v>
      </c>
      <c r="W110" s="7">
        <v>1</v>
      </c>
      <c r="X110" s="48"/>
      <c r="Y110" s="47" t="s">
        <v>1116</v>
      </c>
      <c r="Z110" s="4" t="s">
        <v>2252</v>
      </c>
      <c r="AA110" s="49" t="s">
        <v>2546</v>
      </c>
      <c r="AB110" s="4" t="s">
        <v>641</v>
      </c>
      <c r="AC110" s="49" t="s">
        <v>2602</v>
      </c>
      <c r="AD110" s="4" t="s">
        <v>2221</v>
      </c>
      <c r="AE110" s="7">
        <v>1</v>
      </c>
      <c r="AG110" s="7">
        <v>0</v>
      </c>
      <c r="AK110" s="70">
        <f>Table43[[#This Row],[Column4]]</f>
        <v>30070070200000</v>
      </c>
      <c r="AN110" s="7">
        <f>Table43[[#This Row],[ISI/CTN]]</f>
        <v>12</v>
      </c>
      <c r="AO110" s="61">
        <f>Table43[[#This Row],[Harga Jual Pcs GT
(-PPN)]]-(Table43[[#This Row],[Harga Jual Pcs GT
(-PPN)]]*6.5%)</f>
        <v>13161.06</v>
      </c>
      <c r="AP110" s="61">
        <f>Table43[[#This Row],[Harga Beli Pcs
(-PPN)]]*Table43[[#This Row],[ISI/CTN]]</f>
        <v>157932.72</v>
      </c>
      <c r="AQ110" s="61">
        <f>Table43[[#This Row],[Harga Beli Pcs
(-PPN)]]*1.11</f>
        <v>14608.776600000001</v>
      </c>
      <c r="AR110" s="61">
        <f>Table43[[#This Row],[Harga Beli Krt
(- PPN)]]*1.11</f>
        <v>175305.31920000003</v>
      </c>
      <c r="AS110" s="61">
        <v>14076</v>
      </c>
      <c r="AT110" s="61">
        <f>Table43[[#This Row],[Harga Jual Pcs GT
(-PPN)]]*Table43[[#This Row],[ISI/CTN]]</f>
        <v>168912</v>
      </c>
      <c r="AU110" s="61">
        <f>Table43[[#This Row],[Harga Jual Pcs GT
(-PPN)]]*1.11</f>
        <v>15624.36</v>
      </c>
      <c r="AV110" s="61">
        <f>Table43[[#This Row],[Harga Jual Krt GT
(- PPN)]]*1.11</f>
        <v>187492.32</v>
      </c>
      <c r="AW110" s="61">
        <f>IFERROR(VLOOKUP(Table43[[#This Row],[Kode Pcpl]],'[1]FEB 2026'!$A$3:$X$312,24,0),0)</f>
        <v>0</v>
      </c>
      <c r="AX110" s="61">
        <f>Table43[[#This Row],[Harga Jual Pcs MT
(-PPN)]]*Table43[[#This Row],[ISI/CTN]]</f>
        <v>0</v>
      </c>
      <c r="AY110" s="61">
        <f>Table43[[#This Row],[Harga Jual Pcs MT
(-PPN)]]*1.11</f>
        <v>0</v>
      </c>
      <c r="AZ110" s="61">
        <f>Table43[[#This Row],[Harga Jual Pcs MT
(+PPN)]]*Table43[[#This Row],[ISI/CTN]]</f>
        <v>0</v>
      </c>
      <c r="BA110" s="62">
        <f>(Table43[[#This Row],[Harga Jual Pcs GT
(-PPN)]]-Table43[[#This Row],[Harga Beli Pcs
(-PPN)]])/Table43[[#This Row],[Harga Jual Pcs GT
(-PPN)]]</f>
        <v>6.500000000000003E-2</v>
      </c>
      <c r="BB110" s="63">
        <f>Table43[[#This Row],[Harga Jual Pcs MT
(-PPN)]]-Table43[[#This Row],[Harga Beli Pcs
(-PPN)]]</f>
        <v>-13161.06</v>
      </c>
      <c r="BC110" s="64" t="e">
        <f>Table43[[#This Row],[Column1]]/Table43[[#This Row],[Harga Jual Pcs MT
(-PPN)]]</f>
        <v>#DIV/0!</v>
      </c>
      <c r="BD110" s="52"/>
      <c r="BE110" s="7"/>
      <c r="BF110" s="7" t="str">
        <f ca="1">IF(TODAY()-Table43[[#This Row],[Efektif
Pembuatan]]&gt;60,"Lama","Baru")</f>
        <v>Lama</v>
      </c>
      <c r="BG110" s="7" t="str">
        <f ca="1">IF(TODAY()-Table43[[#This Row],[Efektif Naik Harga]]&lt;30,"Naik","Sama")</f>
        <v>Sama</v>
      </c>
      <c r="BH110" s="7"/>
      <c r="BI110" s="7" t="str">
        <f>IF(Table43[[#This Row],[Kode BARANG Win2]]&lt;&gt;"","IDR","")</f>
        <v>IDR</v>
      </c>
      <c r="BJ110" s="7" t="str">
        <f>CONCATENATE(Table43[[#This Row],[kode  1 Digit
(Nomor)]],Table43[[#This Row],[kode  4 Digit                (Nomor)]])</f>
        <v>0180</v>
      </c>
      <c r="BK110" s="7" t="str">
        <f>Table43[[#This Row],[Nama            Gramasi atau Jumlah Pack per CTN]]</f>
        <v>180ML</v>
      </c>
      <c r="BL110" s="7"/>
      <c r="BM110" s="7"/>
      <c r="BN110" s="4" t="str">
        <f>IF(Table43[[#This Row],[SATUAN Fix Win]]&lt;&gt;"","KRT")</f>
        <v>KRT</v>
      </c>
      <c r="BO110" s="4" t="str">
        <f>IF(Table43[[#This Row],[SATUAN Fix Win]]&lt;&gt;"","GD01")</f>
        <v>GD01</v>
      </c>
      <c r="BP110" s="4">
        <f>IF(Table43[[#This Row],[SATUAN Fix Win]]&lt;&gt;"",11611)</f>
        <v>11611</v>
      </c>
      <c r="BQ110" s="4">
        <f>IF(Table43[[#This Row],[SATUAN Fix Win]]&lt;&gt;"",11612)</f>
        <v>11612</v>
      </c>
      <c r="BS110" s="4">
        <f>IF(Table43[[#This Row],[SATUAN Fix Win]]&lt;&gt;"",1)</f>
        <v>1</v>
      </c>
      <c r="BU110" s="4">
        <f>Table43[[#This Row],[ISI/CTN]]</f>
        <v>12</v>
      </c>
    </row>
    <row r="111" spans="1:73">
      <c r="A111" s="4" t="str">
        <f>CONCATENATE(Table43[[#This Row],[Kode BARANG Win2]],Table43[[#This Row],[No. Urut
Item Sama]])</f>
        <v>G1071009018010</v>
      </c>
      <c r="B111" s="7"/>
      <c r="C111" s="31">
        <v>30070070400000</v>
      </c>
      <c r="D111" s="59">
        <v>40049656</v>
      </c>
      <c r="E111" s="60" t="s">
        <v>1913</v>
      </c>
      <c r="F111" s="51">
        <v>30070070200000</v>
      </c>
      <c r="G111" s="59">
        <v>0</v>
      </c>
      <c r="H111" s="60" t="s">
        <v>1175</v>
      </c>
      <c r="I111" s="60">
        <v>12</v>
      </c>
      <c r="J111" s="59" t="s">
        <v>1605</v>
      </c>
      <c r="K111" s="60" t="str">
        <f>Table43[[#This Row],[NamaJenisKemasan]]</f>
        <v>KLG</v>
      </c>
      <c r="L111" s="4" t="str">
        <f>TRIM(CONCATENATE(Table43[[#This Row],[Nama            KLP]]," ",Table43[[#This Row],[Nama            Sub KLP]]))</f>
        <v>HIT AEROSOL</v>
      </c>
      <c r="M111" s="4" t="str">
        <f>CONCATENATE(Table43[[#This Row],[kode  2 Digit                (hrf+No)]],Table43[[#This Row],[kode  2 Digit                (Nomor)]],Table43[[#This Row],[kode  1 Digit                (Nomor)]])</f>
        <v>G1071</v>
      </c>
      <c r="N111" s="4" t="str">
        <f>IF(AI111="",CONCATENATE(S111,U111,W111,Y111,AA111,AC111,AE111,AG111,Table43[[#This Row],[Tanda Kode Revisi]]),CONCATENATE(S111,U111,W111,Y111,AA111,AC111,AE111,AI111))</f>
        <v>G1071009018010</v>
      </c>
      <c r="O111" s="11">
        <f t="shared" si="2"/>
        <v>14</v>
      </c>
      <c r="P111" s="14" t="str">
        <f>IF(AH111&lt;&gt;"",TRIM(UPPER(CONCATENATE(R111," ",T111," ",V111," ",X111," ",Z111," ",AB111," ","X"," ",Table43[[#This Row],[ISI/CTN]]," ",AH111," ",AD111," ",AF111," ",AJ111))),TRIM(UPPER(CONCATENATE(R111," ",T111," ",V111," ",X111," ",Z111," ",AB111," ","X"," ",Table43[[#This Row],[ISI/CTN]]," ",AD111," ",AF111," ",AJ111))))</f>
        <v>HIT AEROSOL PINK BLOSSOM 180ML X 12 KLG</v>
      </c>
      <c r="Q111" s="11">
        <f t="shared" si="3"/>
        <v>39</v>
      </c>
      <c r="S111" s="7" t="s">
        <v>34</v>
      </c>
      <c r="T111" s="4" t="s">
        <v>2242</v>
      </c>
      <c r="U111" s="47" t="s">
        <v>2544</v>
      </c>
      <c r="V111" s="48" t="s">
        <v>2243</v>
      </c>
      <c r="W111" s="7">
        <v>1</v>
      </c>
      <c r="X111" s="48"/>
      <c r="Y111" s="47" t="s">
        <v>1116</v>
      </c>
      <c r="Z111" s="4" t="s">
        <v>2252</v>
      </c>
      <c r="AA111" s="49" t="s">
        <v>2546</v>
      </c>
      <c r="AB111" s="4" t="s">
        <v>641</v>
      </c>
      <c r="AC111" s="49" t="s">
        <v>2602</v>
      </c>
      <c r="AD111" s="4" t="s">
        <v>2221</v>
      </c>
      <c r="AE111" s="7">
        <v>1</v>
      </c>
      <c r="AG111" s="7">
        <v>0</v>
      </c>
      <c r="AK111" s="70">
        <f>Table43[[#This Row],[Column4]]</f>
        <v>30070070200000</v>
      </c>
      <c r="AN111" s="7">
        <f>Table43[[#This Row],[ISI/CTN]]</f>
        <v>12</v>
      </c>
      <c r="AO111" s="38">
        <f>Table43[[#This Row],[Harga Jual Pcs GT
(-PPN)]]-(Table43[[#This Row],[Harga Jual Pcs GT
(-PPN)]]*6.5%)</f>
        <v>13161.06</v>
      </c>
      <c r="AP111" s="38">
        <f>Table43[[#This Row],[Harga Beli Pcs
(-PPN)]]*Table43[[#This Row],[ISI/CTN]]</f>
        <v>157932.72</v>
      </c>
      <c r="AQ111" s="38">
        <f>Table43[[#This Row],[Harga Beli Pcs
(-PPN)]]*1.11</f>
        <v>14608.776600000001</v>
      </c>
      <c r="AR111" s="38">
        <f>Table43[[#This Row],[Harga Beli Krt
(- PPN)]]*1.11</f>
        <v>175305.31920000003</v>
      </c>
      <c r="AS111" s="38">
        <v>14076</v>
      </c>
      <c r="AT111" s="38">
        <f>Table43[[#This Row],[Harga Jual Pcs GT
(-PPN)]]*Table43[[#This Row],[ISI/CTN]]</f>
        <v>168912</v>
      </c>
      <c r="AU111" s="38">
        <f>Table43[[#This Row],[Harga Jual Pcs GT
(-PPN)]]*1.11</f>
        <v>15624.36</v>
      </c>
      <c r="AV111" s="38">
        <f>Table43[[#This Row],[Harga Jual Krt GT
(- PPN)]]*1.11</f>
        <v>187492.32</v>
      </c>
      <c r="AW111" s="38">
        <f>IFERROR(VLOOKUP(Table43[[#This Row],[Kode Pcpl]],'[1]FEB 2026'!$A$3:$X$312,24,0),0)</f>
        <v>0</v>
      </c>
      <c r="AX111" s="38">
        <f>Table43[[#This Row],[Harga Jual Pcs MT
(-PPN)]]*Table43[[#This Row],[ISI/CTN]]</f>
        <v>0</v>
      </c>
      <c r="AY111" s="38">
        <f>Table43[[#This Row],[Harga Jual Pcs MT
(-PPN)]]*1.11</f>
        <v>0</v>
      </c>
      <c r="AZ111" s="38">
        <f>Table43[[#This Row],[Harga Jual Pcs MT
(+PPN)]]*Table43[[#This Row],[ISI/CTN]]</f>
        <v>0</v>
      </c>
      <c r="BA111" s="46">
        <f>(Table43[[#This Row],[Harga Jual Pcs GT
(-PPN)]]-Table43[[#This Row],[Harga Beli Pcs
(-PPN)]])/Table43[[#This Row],[Harga Jual Pcs GT
(-PPN)]]</f>
        <v>6.500000000000003E-2</v>
      </c>
      <c r="BB111" s="53">
        <f>Table43[[#This Row],[Harga Jual Pcs MT
(-PPN)]]-Table43[[#This Row],[Harga Beli Pcs
(-PPN)]]</f>
        <v>-13161.06</v>
      </c>
      <c r="BC111" s="54" t="e">
        <f>Table43[[#This Row],[Column1]]/Table43[[#This Row],[Harga Jual Pcs MT
(-PPN)]]</f>
        <v>#DIV/0!</v>
      </c>
      <c r="BD111" s="52"/>
      <c r="BE111" s="7"/>
      <c r="BF111" s="7" t="str">
        <f ca="1">IF(TODAY()-Table43[[#This Row],[Efektif
Pembuatan]]&gt;60,"Lama","Baru")</f>
        <v>Lama</v>
      </c>
      <c r="BG111" s="7" t="str">
        <f ca="1">IF(TODAY()-Table43[[#This Row],[Efektif Naik Harga]]&lt;30,"Naik","Sama")</f>
        <v>Sama</v>
      </c>
      <c r="BH111" s="7"/>
      <c r="BI111" s="7" t="str">
        <f>IF(Table43[[#This Row],[Kode BARANG Win2]]&lt;&gt;"","IDR","")</f>
        <v>IDR</v>
      </c>
      <c r="BJ111" s="7" t="str">
        <f>CONCATENATE(Table43[[#This Row],[kode  1 Digit
(Nomor)]],Table43[[#This Row],[kode  4 Digit                (Nomor)]])</f>
        <v>0180</v>
      </c>
      <c r="BK111" s="7" t="str">
        <f>Table43[[#This Row],[Nama            Gramasi atau Jumlah Pack per CTN]]</f>
        <v>180ML</v>
      </c>
      <c r="BL111" s="7"/>
      <c r="BM111" s="7"/>
      <c r="BN111" s="4" t="str">
        <f>IF(Table43[[#This Row],[SATUAN Fix Win]]&lt;&gt;"","KRT")</f>
        <v>KRT</v>
      </c>
      <c r="BO111" s="4" t="str">
        <f>IF(Table43[[#This Row],[SATUAN Fix Win]]&lt;&gt;"","GD01")</f>
        <v>GD01</v>
      </c>
      <c r="BP111" s="4">
        <f>IF(Table43[[#This Row],[SATUAN Fix Win]]&lt;&gt;"",11611)</f>
        <v>11611</v>
      </c>
      <c r="BQ111" s="4">
        <f>IF(Table43[[#This Row],[SATUAN Fix Win]]&lt;&gt;"",11612)</f>
        <v>11612</v>
      </c>
      <c r="BS111" s="4">
        <f>IF(Table43[[#This Row],[SATUAN Fix Win]]&lt;&gt;"",1)</f>
        <v>1</v>
      </c>
      <c r="BU111" s="4">
        <f>Table43[[#This Row],[ISI/CTN]]</f>
        <v>12</v>
      </c>
    </row>
    <row r="112" spans="1:73">
      <c r="A112" s="4" t="str">
        <f>CONCATENATE(Table43[[#This Row],[Kode BARANG Win2]],Table43[[#This Row],[No. Urut
Item Sama]])</f>
        <v>G1071009018010</v>
      </c>
      <c r="B112" s="7"/>
      <c r="C112" s="31">
        <v>30070090200000</v>
      </c>
      <c r="D112" s="51">
        <v>40043544</v>
      </c>
      <c r="E112" s="27" t="s">
        <v>1913</v>
      </c>
      <c r="F112" s="51">
        <v>30070070200000</v>
      </c>
      <c r="G112" s="51">
        <v>0</v>
      </c>
      <c r="H112" s="27" t="s">
        <v>1174</v>
      </c>
      <c r="I112" s="27">
        <v>12</v>
      </c>
      <c r="J112" s="51" t="s">
        <v>1605</v>
      </c>
      <c r="K112" s="27" t="str">
        <f>Table43[[#This Row],[NamaJenisKemasan]]</f>
        <v>KLG</v>
      </c>
      <c r="L112" s="4" t="str">
        <f>TRIM(CONCATENATE(Table43[[#This Row],[Nama            KLP]]," ",Table43[[#This Row],[Nama            Sub KLP]]))</f>
        <v>HIT AEROSOL</v>
      </c>
      <c r="M112" s="4" t="str">
        <f>CONCATENATE(Table43[[#This Row],[kode  2 Digit                (hrf+No)]],Table43[[#This Row],[kode  2 Digit                (Nomor)]],Table43[[#This Row],[kode  1 Digit                (Nomor)]])</f>
        <v>G1071</v>
      </c>
      <c r="N112" s="4" t="str">
        <f>IF(AI112="",CONCATENATE(S112,U112,W112,Y112,AA112,AC112,AE112,AG112,Table43[[#This Row],[Tanda Kode Revisi]]),CONCATENATE(S112,U112,W112,Y112,AA112,AC112,AE112,AI112))</f>
        <v>G1071009018010</v>
      </c>
      <c r="O112" s="11">
        <f t="shared" si="2"/>
        <v>14</v>
      </c>
      <c r="P112" s="14" t="str">
        <f>IF(AH112&lt;&gt;"",TRIM(UPPER(CONCATENATE(R112," ",T112," ",V112," ",X112," ",Z112," ",AB112," ","X"," ",Table43[[#This Row],[ISI/CTN]]," ",AH112," ",AD112," ",AF112," ",AJ112))),TRIM(UPPER(CONCATENATE(R112," ",T112," ",V112," ",X112," ",Z112," ",AB112," ","X"," ",Table43[[#This Row],[ISI/CTN]]," ",AD112," ",AF112," ",AJ112))))</f>
        <v>HIT AEROSOL PINK BLOSSOM 180ML X 12 KLG</v>
      </c>
      <c r="Q112" s="11">
        <f t="shared" si="3"/>
        <v>39</v>
      </c>
      <c r="S112" s="7" t="s">
        <v>34</v>
      </c>
      <c r="T112" s="4" t="s">
        <v>2242</v>
      </c>
      <c r="U112" s="47" t="s">
        <v>2544</v>
      </c>
      <c r="V112" s="48" t="s">
        <v>2243</v>
      </c>
      <c r="W112" s="7">
        <v>1</v>
      </c>
      <c r="X112" s="48"/>
      <c r="Y112" s="47" t="s">
        <v>1116</v>
      </c>
      <c r="Z112" s="4" t="s">
        <v>2252</v>
      </c>
      <c r="AA112" s="49" t="s">
        <v>2546</v>
      </c>
      <c r="AB112" s="4" t="s">
        <v>641</v>
      </c>
      <c r="AC112" s="49" t="s">
        <v>2602</v>
      </c>
      <c r="AD112" s="4" t="s">
        <v>2221</v>
      </c>
      <c r="AE112" s="7">
        <v>1</v>
      </c>
      <c r="AG112" s="7">
        <v>0</v>
      </c>
      <c r="AK112" s="70">
        <f>Table43[[#This Row],[Column4]]</f>
        <v>30070070200000</v>
      </c>
      <c r="AN112" s="7">
        <f>Table43[[#This Row],[ISI/CTN]]</f>
        <v>12</v>
      </c>
      <c r="AO112" s="38">
        <f>Table43[[#This Row],[Harga Jual Pcs GT
(-PPN)]]-(Table43[[#This Row],[Harga Jual Pcs GT
(-PPN)]]*6.5%)</f>
        <v>13161.06</v>
      </c>
      <c r="AP112" s="38">
        <f>Table43[[#This Row],[Harga Beli Pcs
(-PPN)]]*Table43[[#This Row],[ISI/CTN]]</f>
        <v>157932.72</v>
      </c>
      <c r="AQ112" s="38">
        <f>Table43[[#This Row],[Harga Beli Pcs
(-PPN)]]*1.11</f>
        <v>14608.776600000001</v>
      </c>
      <c r="AR112" s="38">
        <f>Table43[[#This Row],[Harga Beli Krt
(- PPN)]]*1.11</f>
        <v>175305.31920000003</v>
      </c>
      <c r="AS112" s="38">
        <v>14076</v>
      </c>
      <c r="AT112" s="38">
        <f>Table43[[#This Row],[Harga Jual Pcs GT
(-PPN)]]*Table43[[#This Row],[ISI/CTN]]</f>
        <v>168912</v>
      </c>
      <c r="AU112" s="38">
        <f>Table43[[#This Row],[Harga Jual Pcs GT
(-PPN)]]*1.11</f>
        <v>15624.36</v>
      </c>
      <c r="AV112" s="38">
        <f>Table43[[#This Row],[Harga Jual Krt GT
(- PPN)]]*1.11</f>
        <v>187492.32</v>
      </c>
      <c r="AW112" s="38">
        <f>IFERROR(VLOOKUP(Table43[[#This Row],[Kode Pcpl]],'[1]FEB 2026'!$A$3:$X$312,24,0),0)</f>
        <v>0</v>
      </c>
      <c r="AX112" s="38">
        <f>Table43[[#This Row],[Harga Jual Pcs MT
(-PPN)]]*Table43[[#This Row],[ISI/CTN]]</f>
        <v>0</v>
      </c>
      <c r="AY112" s="38">
        <f>Table43[[#This Row],[Harga Jual Pcs MT
(-PPN)]]*1.11</f>
        <v>0</v>
      </c>
      <c r="AZ112" s="38">
        <f>Table43[[#This Row],[Harga Jual Pcs MT
(+PPN)]]*Table43[[#This Row],[ISI/CTN]]</f>
        <v>0</v>
      </c>
      <c r="BA112" s="46">
        <f>(Table43[[#This Row],[Harga Jual Pcs GT
(-PPN)]]-Table43[[#This Row],[Harga Beli Pcs
(-PPN)]])/Table43[[#This Row],[Harga Jual Pcs GT
(-PPN)]]</f>
        <v>6.500000000000003E-2</v>
      </c>
      <c r="BB112" s="53">
        <f>Table43[[#This Row],[Harga Jual Pcs MT
(-PPN)]]-Table43[[#This Row],[Harga Beli Pcs
(-PPN)]]</f>
        <v>-13161.06</v>
      </c>
      <c r="BC112" s="54" t="e">
        <f>Table43[[#This Row],[Column1]]/Table43[[#This Row],[Harga Jual Pcs MT
(-PPN)]]</f>
        <v>#DIV/0!</v>
      </c>
      <c r="BD112" s="52"/>
      <c r="BE112" s="7"/>
      <c r="BF112" s="7" t="str">
        <f ca="1">IF(TODAY()-Table43[[#This Row],[Efektif
Pembuatan]]&gt;60,"Lama","Baru")</f>
        <v>Lama</v>
      </c>
      <c r="BG112" s="7" t="str">
        <f ca="1">IF(TODAY()-Table43[[#This Row],[Efektif Naik Harga]]&lt;30,"Naik","Sama")</f>
        <v>Sama</v>
      </c>
      <c r="BH112" s="7"/>
      <c r="BI112" s="7" t="str">
        <f>IF(Table43[[#This Row],[Kode BARANG Win2]]&lt;&gt;"","IDR","")</f>
        <v>IDR</v>
      </c>
      <c r="BJ112" s="7" t="str">
        <f>CONCATENATE(Table43[[#This Row],[kode  1 Digit
(Nomor)]],Table43[[#This Row],[kode  4 Digit                (Nomor)]])</f>
        <v>0180</v>
      </c>
      <c r="BK112" s="7" t="str">
        <f>Table43[[#This Row],[Nama            Gramasi atau Jumlah Pack per CTN]]</f>
        <v>180ML</v>
      </c>
      <c r="BL112" s="7"/>
      <c r="BM112" s="7"/>
      <c r="BN112" s="4" t="str">
        <f>IF(Table43[[#This Row],[SATUAN Fix Win]]&lt;&gt;"","KRT")</f>
        <v>KRT</v>
      </c>
      <c r="BO112" s="4" t="str">
        <f>IF(Table43[[#This Row],[SATUAN Fix Win]]&lt;&gt;"","GD01")</f>
        <v>GD01</v>
      </c>
      <c r="BP112" s="4">
        <f>IF(Table43[[#This Row],[SATUAN Fix Win]]&lt;&gt;"",11611)</f>
        <v>11611</v>
      </c>
      <c r="BQ112" s="4">
        <f>IF(Table43[[#This Row],[SATUAN Fix Win]]&lt;&gt;"",11612)</f>
        <v>11612</v>
      </c>
      <c r="BS112" s="4">
        <f>IF(Table43[[#This Row],[SATUAN Fix Win]]&lt;&gt;"",1)</f>
        <v>1</v>
      </c>
      <c r="BU112" s="4">
        <f>Table43[[#This Row],[ISI/CTN]]</f>
        <v>12</v>
      </c>
    </row>
    <row r="113" spans="1:75">
      <c r="A113" s="4" t="str">
        <f>CONCATENATE(Table43[[#This Row],[Kode BARANG Win2]],Table43[[#This Row],[No. Urut
Item Sama]])</f>
        <v>G1071009040010</v>
      </c>
      <c r="B113" s="7"/>
      <c r="C113" s="31">
        <v>30070090200000</v>
      </c>
      <c r="D113" s="59">
        <v>40060005</v>
      </c>
      <c r="E113" s="60" t="s">
        <v>1914</v>
      </c>
      <c r="F113" s="51">
        <v>30070070400000</v>
      </c>
      <c r="G113" s="59">
        <v>0</v>
      </c>
      <c r="H113" s="60" t="s">
        <v>1178</v>
      </c>
      <c r="I113" s="60">
        <v>12</v>
      </c>
      <c r="J113" s="59" t="s">
        <v>1606</v>
      </c>
      <c r="K113" s="60" t="str">
        <f>Table43[[#This Row],[NamaJenisKemasan]]</f>
        <v>KLG</v>
      </c>
      <c r="L113" s="4" t="str">
        <f>TRIM(CONCATENATE(Table43[[#This Row],[Nama            KLP]]," ",Table43[[#This Row],[Nama            Sub KLP]]))</f>
        <v>HIT AEROSOL</v>
      </c>
      <c r="M113" s="4" t="str">
        <f>CONCATENATE(Table43[[#This Row],[kode  2 Digit                (hrf+No)]],Table43[[#This Row],[kode  2 Digit                (Nomor)]],Table43[[#This Row],[kode  1 Digit                (Nomor)]])</f>
        <v>G1071</v>
      </c>
      <c r="N113" s="4" t="str">
        <f>IF(AI113="",CONCATENATE(S113,U113,W113,Y113,AA113,AC113,AE113,AG113,Table43[[#This Row],[Tanda Kode Revisi]]),CONCATENATE(S113,U113,W113,Y113,AA113,AC113,AE113,AI113))</f>
        <v>G1071009040010</v>
      </c>
      <c r="O113" s="11">
        <f t="shared" si="2"/>
        <v>14</v>
      </c>
      <c r="P113" s="14" t="str">
        <f>IF(AH113&lt;&gt;"",TRIM(UPPER(CONCATENATE(R113," ",T113," ",V113," ",X113," ",Z113," ",AB113," ","X"," ",Table43[[#This Row],[ISI/CTN]]," ",AH113," ",AD113," ",AF113," ",AJ113))),TRIM(UPPER(CONCATENATE(R113," ",T113," ",V113," ",X113," ",Z113," ",AB113," ","X"," ",Table43[[#This Row],[ISI/CTN]]," ",AD113," ",AF113," ",AJ113))))</f>
        <v>HIT AEROSOL PINK BLOSSOM 400ML X 12 KLG</v>
      </c>
      <c r="Q113" s="11">
        <f t="shared" si="3"/>
        <v>39</v>
      </c>
      <c r="S113" s="7" t="s">
        <v>34</v>
      </c>
      <c r="T113" s="4" t="s">
        <v>2242</v>
      </c>
      <c r="U113" s="47" t="s">
        <v>2544</v>
      </c>
      <c r="V113" s="48" t="s">
        <v>2243</v>
      </c>
      <c r="W113" s="7">
        <v>1</v>
      </c>
      <c r="X113" s="48"/>
      <c r="Y113" s="47" t="s">
        <v>1116</v>
      </c>
      <c r="Z113" s="4" t="s">
        <v>2252</v>
      </c>
      <c r="AA113" s="49" t="s">
        <v>2546</v>
      </c>
      <c r="AB113" s="4" t="s">
        <v>635</v>
      </c>
      <c r="AC113" s="49" t="s">
        <v>2624</v>
      </c>
      <c r="AD113" s="4" t="s">
        <v>2221</v>
      </c>
      <c r="AE113" s="7">
        <v>1</v>
      </c>
      <c r="AG113" s="7">
        <v>0</v>
      </c>
      <c r="AK113" s="70">
        <f>Table43[[#This Row],[Column4]]</f>
        <v>30070070400000</v>
      </c>
      <c r="AN113" s="7">
        <f>Table43[[#This Row],[ISI/CTN]]</f>
        <v>12</v>
      </c>
      <c r="AO113" s="61">
        <f>Table43[[#This Row],[Harga Jual Pcs GT
(-PPN)]]-(Table43[[#This Row],[Harga Jual Pcs GT
(-PPN)]]*6.5%)</f>
        <v>20429.75</v>
      </c>
      <c r="AP113" s="61">
        <f>Table43[[#This Row],[Harga Beli Pcs
(-PPN)]]*Table43[[#This Row],[ISI/CTN]]</f>
        <v>245157</v>
      </c>
      <c r="AQ113" s="61">
        <f>Table43[[#This Row],[Harga Beli Pcs
(-PPN)]]*1.11</f>
        <v>22677.022500000003</v>
      </c>
      <c r="AR113" s="61">
        <f>Table43[[#This Row],[Harga Beli Krt
(- PPN)]]*1.11</f>
        <v>272124.27</v>
      </c>
      <c r="AS113" s="61">
        <v>21850</v>
      </c>
      <c r="AT113" s="61">
        <f>Table43[[#This Row],[Harga Jual Pcs GT
(-PPN)]]*Table43[[#This Row],[ISI/CTN]]</f>
        <v>262200</v>
      </c>
      <c r="AU113" s="61">
        <f>Table43[[#This Row],[Harga Jual Pcs GT
(-PPN)]]*1.11</f>
        <v>24253.500000000004</v>
      </c>
      <c r="AV113" s="61">
        <f>Table43[[#This Row],[Harga Jual Krt GT
(- PPN)]]*1.11</f>
        <v>291042</v>
      </c>
      <c r="AW113" s="61">
        <f>IFERROR(VLOOKUP(Table43[[#This Row],[Kode Pcpl]],'[1]FEB 2026'!$A$3:$X$312,24,0),0)</f>
        <v>0</v>
      </c>
      <c r="AX113" s="61">
        <f>Table43[[#This Row],[Harga Jual Pcs MT
(-PPN)]]*Table43[[#This Row],[ISI/CTN]]</f>
        <v>0</v>
      </c>
      <c r="AY113" s="61">
        <f>Table43[[#This Row],[Harga Jual Pcs MT
(-PPN)]]*1.11</f>
        <v>0</v>
      </c>
      <c r="AZ113" s="61">
        <f>Table43[[#This Row],[Harga Jual Pcs MT
(+PPN)]]*Table43[[#This Row],[ISI/CTN]]</f>
        <v>0</v>
      </c>
      <c r="BA113" s="62">
        <f>(Table43[[#This Row],[Harga Jual Pcs GT
(-PPN)]]-Table43[[#This Row],[Harga Beli Pcs
(-PPN)]])/Table43[[#This Row],[Harga Jual Pcs GT
(-PPN)]]</f>
        <v>6.5000000000000002E-2</v>
      </c>
      <c r="BB113" s="63">
        <f>Table43[[#This Row],[Harga Jual Pcs MT
(-PPN)]]-Table43[[#This Row],[Harga Beli Pcs
(-PPN)]]</f>
        <v>-20429.75</v>
      </c>
      <c r="BC113" s="64" t="e">
        <f>Table43[[#This Row],[Column1]]/Table43[[#This Row],[Harga Jual Pcs MT
(-PPN)]]</f>
        <v>#DIV/0!</v>
      </c>
      <c r="BD113" s="52"/>
      <c r="BE113" s="7"/>
      <c r="BF113" s="7" t="str">
        <f ca="1">IF(TODAY()-Table43[[#This Row],[Efektif
Pembuatan]]&gt;60,"Lama","Baru")</f>
        <v>Lama</v>
      </c>
      <c r="BG113" s="7" t="str">
        <f ca="1">IF(TODAY()-Table43[[#This Row],[Efektif Naik Harga]]&lt;30,"Naik","Sama")</f>
        <v>Sama</v>
      </c>
      <c r="BH113" s="7"/>
      <c r="BI113" s="7" t="str">
        <f>IF(Table43[[#This Row],[Kode BARANG Win2]]&lt;&gt;"","IDR","")</f>
        <v>IDR</v>
      </c>
      <c r="BJ113" s="7" t="str">
        <f>CONCATENATE(Table43[[#This Row],[kode  1 Digit
(Nomor)]],Table43[[#This Row],[kode  4 Digit                (Nomor)]])</f>
        <v>0400</v>
      </c>
      <c r="BK113" s="7" t="str">
        <f>Table43[[#This Row],[Nama            Gramasi atau Jumlah Pack per CTN]]</f>
        <v>400ML</v>
      </c>
      <c r="BL113" s="7"/>
      <c r="BM113" s="7"/>
      <c r="BN113" s="4" t="str">
        <f>IF(Table43[[#This Row],[SATUAN Fix Win]]&lt;&gt;"","KRT")</f>
        <v>KRT</v>
      </c>
      <c r="BO113" s="4" t="str">
        <f>IF(Table43[[#This Row],[SATUAN Fix Win]]&lt;&gt;"","GD01")</f>
        <v>GD01</v>
      </c>
      <c r="BP113" s="4">
        <f>IF(Table43[[#This Row],[SATUAN Fix Win]]&lt;&gt;"",11611)</f>
        <v>11611</v>
      </c>
      <c r="BQ113" s="4">
        <f>IF(Table43[[#This Row],[SATUAN Fix Win]]&lt;&gt;"",11612)</f>
        <v>11612</v>
      </c>
      <c r="BS113" s="4">
        <f>IF(Table43[[#This Row],[SATUAN Fix Win]]&lt;&gt;"",1)</f>
        <v>1</v>
      </c>
      <c r="BU113" s="4">
        <f>Table43[[#This Row],[ISI/CTN]]</f>
        <v>12</v>
      </c>
    </row>
    <row r="114" spans="1:75">
      <c r="A114" s="4" t="str">
        <f>CONCATENATE(Table43[[#This Row],[Kode BARANG Win2]],Table43[[#This Row],[No. Urut
Item Sama]])</f>
        <v>G1071009040010</v>
      </c>
      <c r="B114" s="7"/>
      <c r="C114" s="31">
        <v>30070090400000</v>
      </c>
      <c r="D114" s="51">
        <v>40039291</v>
      </c>
      <c r="E114" s="27" t="s">
        <v>1914</v>
      </c>
      <c r="F114" s="51">
        <v>30070070400000</v>
      </c>
      <c r="G114" s="51">
        <v>0</v>
      </c>
      <c r="H114" s="27" t="s">
        <v>1177</v>
      </c>
      <c r="I114" s="27">
        <v>12</v>
      </c>
      <c r="J114" s="51" t="s">
        <v>1606</v>
      </c>
      <c r="K114" s="27" t="str">
        <f>Table43[[#This Row],[NamaJenisKemasan]]</f>
        <v>KLG</v>
      </c>
      <c r="L114" s="4" t="str">
        <f>TRIM(CONCATENATE(Table43[[#This Row],[Nama            KLP]]," ",Table43[[#This Row],[Nama            Sub KLP]]))</f>
        <v>HIT AEROSOL</v>
      </c>
      <c r="M114" s="4" t="str">
        <f>CONCATENATE(Table43[[#This Row],[kode  2 Digit                (hrf+No)]],Table43[[#This Row],[kode  2 Digit                (Nomor)]],Table43[[#This Row],[kode  1 Digit                (Nomor)]])</f>
        <v>G1071</v>
      </c>
      <c r="N114" s="4" t="str">
        <f>IF(AI114="",CONCATENATE(S114,U114,W114,Y114,AA114,AC114,AE114,AG114,Table43[[#This Row],[Tanda Kode Revisi]]),CONCATENATE(S114,U114,W114,Y114,AA114,AC114,AE114,AI114))</f>
        <v>G1071009040010</v>
      </c>
      <c r="O114" s="11">
        <f t="shared" si="2"/>
        <v>14</v>
      </c>
      <c r="P114" s="14" t="str">
        <f>IF(AH114&lt;&gt;"",TRIM(UPPER(CONCATENATE(R114," ",T114," ",V114," ",X114," ",Z114," ",AB114," ","X"," ",Table43[[#This Row],[ISI/CTN]]," ",AH114," ",AD114," ",AF114," ",AJ114))),TRIM(UPPER(CONCATENATE(R114," ",T114," ",V114," ",X114," ",Z114," ",AB114," ","X"," ",Table43[[#This Row],[ISI/CTN]]," ",AD114," ",AF114," ",AJ114))))</f>
        <v>HIT AEROSOL PINK BLOSSOM 400ML X 12 KLG</v>
      </c>
      <c r="Q114" s="11">
        <f t="shared" si="3"/>
        <v>39</v>
      </c>
      <c r="S114" s="7" t="s">
        <v>34</v>
      </c>
      <c r="T114" s="4" t="s">
        <v>2242</v>
      </c>
      <c r="U114" s="47" t="s">
        <v>2544</v>
      </c>
      <c r="V114" s="48" t="s">
        <v>2243</v>
      </c>
      <c r="W114" s="7">
        <v>1</v>
      </c>
      <c r="X114" s="48"/>
      <c r="Y114" s="47" t="s">
        <v>1116</v>
      </c>
      <c r="Z114" s="4" t="s">
        <v>2252</v>
      </c>
      <c r="AA114" s="49" t="s">
        <v>2546</v>
      </c>
      <c r="AB114" s="4" t="s">
        <v>635</v>
      </c>
      <c r="AC114" s="49" t="s">
        <v>2624</v>
      </c>
      <c r="AD114" s="4" t="s">
        <v>2221</v>
      </c>
      <c r="AE114" s="7">
        <v>1</v>
      </c>
      <c r="AG114" s="7">
        <v>0</v>
      </c>
      <c r="AK114" s="70">
        <f>Table43[[#This Row],[Column4]]</f>
        <v>30070070400000</v>
      </c>
      <c r="AN114" s="7">
        <f>Table43[[#This Row],[ISI/CTN]]</f>
        <v>12</v>
      </c>
      <c r="AO114" s="38">
        <f>Table43[[#This Row],[Harga Jual Pcs GT
(-PPN)]]-(Table43[[#This Row],[Harga Jual Pcs GT
(-PPN)]]*6.5%)</f>
        <v>20429.75</v>
      </c>
      <c r="AP114" s="38">
        <f>Table43[[#This Row],[Harga Beli Pcs
(-PPN)]]*Table43[[#This Row],[ISI/CTN]]</f>
        <v>245157</v>
      </c>
      <c r="AQ114" s="38">
        <f>Table43[[#This Row],[Harga Beli Pcs
(-PPN)]]*1.11</f>
        <v>22677.022500000003</v>
      </c>
      <c r="AR114" s="38">
        <f>Table43[[#This Row],[Harga Beli Krt
(- PPN)]]*1.11</f>
        <v>272124.27</v>
      </c>
      <c r="AS114" s="38">
        <v>21850</v>
      </c>
      <c r="AT114" s="38">
        <f>Table43[[#This Row],[Harga Jual Pcs GT
(-PPN)]]*Table43[[#This Row],[ISI/CTN]]</f>
        <v>262200</v>
      </c>
      <c r="AU114" s="38">
        <f>Table43[[#This Row],[Harga Jual Pcs GT
(-PPN)]]*1.11</f>
        <v>24253.500000000004</v>
      </c>
      <c r="AV114" s="38">
        <f>Table43[[#This Row],[Harga Jual Krt GT
(- PPN)]]*1.11</f>
        <v>291042</v>
      </c>
      <c r="AW114" s="38">
        <f>IFERROR(VLOOKUP(Table43[[#This Row],[Kode Pcpl]],'[1]FEB 2026'!$A$3:$X$312,24,0),0)</f>
        <v>0</v>
      </c>
      <c r="AX114" s="38">
        <f>Table43[[#This Row],[Harga Jual Pcs MT
(-PPN)]]*Table43[[#This Row],[ISI/CTN]]</f>
        <v>0</v>
      </c>
      <c r="AY114" s="38">
        <f>Table43[[#This Row],[Harga Jual Pcs MT
(-PPN)]]*1.11</f>
        <v>0</v>
      </c>
      <c r="AZ114" s="38">
        <f>Table43[[#This Row],[Harga Jual Pcs MT
(+PPN)]]*Table43[[#This Row],[ISI/CTN]]</f>
        <v>0</v>
      </c>
      <c r="BA114" s="46">
        <f>(Table43[[#This Row],[Harga Jual Pcs GT
(-PPN)]]-Table43[[#This Row],[Harga Beli Pcs
(-PPN)]])/Table43[[#This Row],[Harga Jual Pcs GT
(-PPN)]]</f>
        <v>6.5000000000000002E-2</v>
      </c>
      <c r="BB114" s="53">
        <f>Table43[[#This Row],[Harga Jual Pcs MT
(-PPN)]]-Table43[[#This Row],[Harga Beli Pcs
(-PPN)]]</f>
        <v>-20429.75</v>
      </c>
      <c r="BC114" s="54" t="e">
        <f>Table43[[#This Row],[Column1]]/Table43[[#This Row],[Harga Jual Pcs MT
(-PPN)]]</f>
        <v>#DIV/0!</v>
      </c>
      <c r="BD114" s="52"/>
      <c r="BE114" s="7"/>
      <c r="BF114" s="7" t="str">
        <f ca="1">IF(TODAY()-Table43[[#This Row],[Efektif
Pembuatan]]&gt;60,"Lama","Baru")</f>
        <v>Lama</v>
      </c>
      <c r="BG114" s="7" t="str">
        <f ca="1">IF(TODAY()-Table43[[#This Row],[Efektif Naik Harga]]&lt;30,"Naik","Sama")</f>
        <v>Sama</v>
      </c>
      <c r="BH114" s="7"/>
      <c r="BI114" s="7" t="str">
        <f>IF(Table43[[#This Row],[Kode BARANG Win2]]&lt;&gt;"","IDR","")</f>
        <v>IDR</v>
      </c>
      <c r="BJ114" s="7" t="str">
        <f>CONCATENATE(Table43[[#This Row],[kode  1 Digit
(Nomor)]],Table43[[#This Row],[kode  4 Digit                (Nomor)]])</f>
        <v>0400</v>
      </c>
      <c r="BK114" s="7" t="str">
        <f>Table43[[#This Row],[Nama            Gramasi atau Jumlah Pack per CTN]]</f>
        <v>400ML</v>
      </c>
      <c r="BL114" s="7"/>
      <c r="BM114" s="7"/>
      <c r="BN114" s="4" t="str">
        <f>IF(Table43[[#This Row],[SATUAN Fix Win]]&lt;&gt;"","KRT")</f>
        <v>KRT</v>
      </c>
      <c r="BO114" s="4" t="str">
        <f>IF(Table43[[#This Row],[SATUAN Fix Win]]&lt;&gt;"","GD01")</f>
        <v>GD01</v>
      </c>
      <c r="BP114" s="4">
        <f>IF(Table43[[#This Row],[SATUAN Fix Win]]&lt;&gt;"",11611)</f>
        <v>11611</v>
      </c>
      <c r="BQ114" s="4">
        <f>IF(Table43[[#This Row],[SATUAN Fix Win]]&lt;&gt;"",11612)</f>
        <v>11612</v>
      </c>
      <c r="BS114" s="4">
        <f>IF(Table43[[#This Row],[SATUAN Fix Win]]&lt;&gt;"",1)</f>
        <v>1</v>
      </c>
      <c r="BU114" s="4">
        <f>Table43[[#This Row],[ISI/CTN]]</f>
        <v>12</v>
      </c>
    </row>
    <row r="115" spans="1:75">
      <c r="A115" s="4" t="str">
        <f>CONCATENATE(Table43[[#This Row],[Kode BARANG Win2]],Table43[[#This Row],[No. Urut
Item Sama]])</f>
        <v>G1071009060010</v>
      </c>
      <c r="B115" s="7"/>
      <c r="C115" s="31">
        <v>30070090400000</v>
      </c>
      <c r="D115" s="59">
        <v>40060014</v>
      </c>
      <c r="E115" s="60" t="s">
        <v>1924</v>
      </c>
      <c r="F115" s="51">
        <v>30071070600000</v>
      </c>
      <c r="G115" s="59">
        <v>0</v>
      </c>
      <c r="H115" s="60" t="s">
        <v>1196</v>
      </c>
      <c r="I115" s="60">
        <v>12</v>
      </c>
      <c r="J115" s="59" t="s">
        <v>1615</v>
      </c>
      <c r="K115" s="60" t="str">
        <f>Table43[[#This Row],[NamaJenisKemasan]]</f>
        <v>KLG</v>
      </c>
      <c r="L115" s="4" t="str">
        <f>TRIM(CONCATENATE(Table43[[#This Row],[Nama            KLP]]," ",Table43[[#This Row],[Nama            Sub KLP]]))</f>
        <v>HIT AEROSOL</v>
      </c>
      <c r="M115" s="4" t="str">
        <f>CONCATENATE(Table43[[#This Row],[kode  2 Digit                (hrf+No)]],Table43[[#This Row],[kode  2 Digit                (Nomor)]],Table43[[#This Row],[kode  1 Digit                (Nomor)]])</f>
        <v>G1071</v>
      </c>
      <c r="N115" s="4" t="str">
        <f>IF(AI115="",CONCATENATE(S115,U115,W115,Y115,AA115,AC115,AE115,AG115,Table43[[#This Row],[Tanda Kode Revisi]]),CONCATENATE(S115,U115,W115,Y115,AA115,AC115,AE115,AI115))</f>
        <v>G1071009060010</v>
      </c>
      <c r="O115" s="11">
        <f t="shared" si="2"/>
        <v>14</v>
      </c>
      <c r="P115" s="14" t="str">
        <f>IF(AH115&lt;&gt;"",TRIM(UPPER(CONCATENATE(R115," ",T115," ",V115," ",X115," ",Z115," ",AB115," ","X"," ",Table43[[#This Row],[ISI/CTN]]," ",AH115," ",AD115," ",AF115," ",AJ115))),TRIM(UPPER(CONCATENATE(R115," ",T115," ",V115," ",X115," ",Z115," ",AB115," ","X"," ",Table43[[#This Row],[ISI/CTN]]," ",AD115," ",AF115," ",AJ115))))</f>
        <v>HIT AEROSOL PINK BLOSSOM 600ML X 12 KLG</v>
      </c>
      <c r="Q115" s="11">
        <f t="shared" si="3"/>
        <v>39</v>
      </c>
      <c r="S115" s="7" t="s">
        <v>34</v>
      </c>
      <c r="T115" s="4" t="s">
        <v>2242</v>
      </c>
      <c r="U115" s="47" t="s">
        <v>2544</v>
      </c>
      <c r="V115" s="48" t="s">
        <v>2243</v>
      </c>
      <c r="W115" s="7">
        <v>1</v>
      </c>
      <c r="X115" s="48"/>
      <c r="Y115" s="47" t="s">
        <v>1116</v>
      </c>
      <c r="Z115" s="4" t="s">
        <v>2252</v>
      </c>
      <c r="AA115" s="49" t="s">
        <v>2546</v>
      </c>
      <c r="AB115" s="4" t="s">
        <v>2246</v>
      </c>
      <c r="AC115" s="49" t="s">
        <v>2632</v>
      </c>
      <c r="AD115" s="4" t="s">
        <v>2221</v>
      </c>
      <c r="AE115" s="7">
        <v>1</v>
      </c>
      <c r="AG115" s="7">
        <v>0</v>
      </c>
      <c r="AK115" s="70">
        <f>Table43[[#This Row],[Column4]]</f>
        <v>30071070600000</v>
      </c>
      <c r="AN115" s="7">
        <f>Table43[[#This Row],[ISI/CTN]]</f>
        <v>12</v>
      </c>
      <c r="AO115" s="38">
        <f>Table43[[#This Row],[Harga Jual Pcs GT
(-PPN)]]-(Table43[[#This Row],[Harga Jual Pcs GT
(-PPN)]]*6.5%)</f>
        <v>27115</v>
      </c>
      <c r="AP115" s="38">
        <f>Table43[[#This Row],[Harga Beli Pcs
(-PPN)]]*Table43[[#This Row],[ISI/CTN]]</f>
        <v>325380</v>
      </c>
      <c r="AQ115" s="38">
        <f>Table43[[#This Row],[Harga Beli Pcs
(-PPN)]]*1.11</f>
        <v>30097.65</v>
      </c>
      <c r="AR115" s="38">
        <f>Table43[[#This Row],[Harga Beli Krt
(- PPN)]]*1.11</f>
        <v>361171.80000000005</v>
      </c>
      <c r="AS115" s="38">
        <v>29000</v>
      </c>
      <c r="AT115" s="38">
        <f>Table43[[#This Row],[Harga Jual Pcs GT
(-PPN)]]*Table43[[#This Row],[ISI/CTN]]</f>
        <v>348000</v>
      </c>
      <c r="AU115" s="38">
        <f>Table43[[#This Row],[Harga Jual Pcs GT
(-PPN)]]*1.11</f>
        <v>32190.000000000004</v>
      </c>
      <c r="AV115" s="38">
        <f>Table43[[#This Row],[Harga Jual Krt GT
(- PPN)]]*1.11</f>
        <v>386280.00000000006</v>
      </c>
      <c r="AW115" s="38">
        <f>IFERROR(VLOOKUP(Table43[[#This Row],[Kode Pcpl]],'[1]FEB 2026'!$A$3:$X$312,24,0),0)</f>
        <v>0</v>
      </c>
      <c r="AX115" s="38">
        <f>Table43[[#This Row],[Harga Jual Pcs MT
(-PPN)]]*Table43[[#This Row],[ISI/CTN]]</f>
        <v>0</v>
      </c>
      <c r="AY115" s="38">
        <f>Table43[[#This Row],[Harga Jual Pcs MT
(-PPN)]]*1.11</f>
        <v>0</v>
      </c>
      <c r="AZ115" s="38">
        <f>Table43[[#This Row],[Harga Jual Pcs MT
(+PPN)]]*Table43[[#This Row],[ISI/CTN]]</f>
        <v>0</v>
      </c>
      <c r="BA115" s="46">
        <f>(Table43[[#This Row],[Harga Jual Pcs GT
(-PPN)]]-Table43[[#This Row],[Harga Beli Pcs
(-PPN)]])/Table43[[#This Row],[Harga Jual Pcs GT
(-PPN)]]</f>
        <v>6.5000000000000002E-2</v>
      </c>
      <c r="BB115" s="53">
        <f>Table43[[#This Row],[Harga Jual Pcs MT
(-PPN)]]-Table43[[#This Row],[Harga Beli Pcs
(-PPN)]]</f>
        <v>-27115</v>
      </c>
      <c r="BC115" s="54" t="e">
        <f>Table43[[#This Row],[Column1]]/Table43[[#This Row],[Harga Jual Pcs MT
(-PPN)]]</f>
        <v>#DIV/0!</v>
      </c>
      <c r="BD115" s="52"/>
      <c r="BE115" s="7"/>
      <c r="BF115" s="7" t="str">
        <f ca="1">IF(TODAY()-Table43[[#This Row],[Efektif
Pembuatan]]&gt;60,"Lama","Baru")</f>
        <v>Lama</v>
      </c>
      <c r="BG115" s="7" t="str">
        <f ca="1">IF(TODAY()-Table43[[#This Row],[Efektif Naik Harga]]&lt;30,"Naik","Sama")</f>
        <v>Sama</v>
      </c>
      <c r="BH115" s="7"/>
      <c r="BI115" s="7" t="str">
        <f>IF(Table43[[#This Row],[Kode BARANG Win2]]&lt;&gt;"","IDR","")</f>
        <v>IDR</v>
      </c>
      <c r="BJ115" s="7" t="str">
        <f>CONCATENATE(Table43[[#This Row],[kode  1 Digit
(Nomor)]],Table43[[#This Row],[kode  4 Digit                (Nomor)]])</f>
        <v>0600</v>
      </c>
      <c r="BK115" s="7" t="str">
        <f>Table43[[#This Row],[Nama            Gramasi atau Jumlah Pack per CTN]]</f>
        <v>600ML</v>
      </c>
      <c r="BL115" s="7"/>
      <c r="BM115" s="7"/>
      <c r="BN115" s="4" t="str">
        <f>IF(Table43[[#This Row],[SATUAN Fix Win]]&lt;&gt;"","KRT")</f>
        <v>KRT</v>
      </c>
      <c r="BO115" s="4" t="str">
        <f>IF(Table43[[#This Row],[SATUAN Fix Win]]&lt;&gt;"","GD01")</f>
        <v>GD01</v>
      </c>
      <c r="BP115" s="4">
        <f>IF(Table43[[#This Row],[SATUAN Fix Win]]&lt;&gt;"",11611)</f>
        <v>11611</v>
      </c>
      <c r="BQ115" s="4">
        <f>IF(Table43[[#This Row],[SATUAN Fix Win]]&lt;&gt;"",11612)</f>
        <v>11612</v>
      </c>
      <c r="BS115" s="4">
        <f>IF(Table43[[#This Row],[SATUAN Fix Win]]&lt;&gt;"",1)</f>
        <v>1</v>
      </c>
      <c r="BU115" s="4">
        <f>Table43[[#This Row],[ISI/CTN]]</f>
        <v>12</v>
      </c>
    </row>
    <row r="116" spans="1:75">
      <c r="A116" s="4" t="str">
        <f>CONCATENATE(Table43[[#This Row],[Kode BARANG Win2]],Table43[[#This Row],[No. Urut
Item Sama]])</f>
        <v>G1071009060010</v>
      </c>
      <c r="B116" s="7"/>
      <c r="C116" s="31">
        <v>30070090400000</v>
      </c>
      <c r="D116" s="51">
        <v>40039287</v>
      </c>
      <c r="E116" s="27" t="s">
        <v>1924</v>
      </c>
      <c r="F116" s="51">
        <v>30071070600000</v>
      </c>
      <c r="G116" s="51">
        <v>0</v>
      </c>
      <c r="H116" s="27" t="s">
        <v>1195</v>
      </c>
      <c r="I116" s="27">
        <v>12</v>
      </c>
      <c r="J116" s="51" t="s">
        <v>1615</v>
      </c>
      <c r="K116" s="27" t="str">
        <f>Table43[[#This Row],[NamaJenisKemasan]]</f>
        <v>KLG</v>
      </c>
      <c r="L116" s="4" t="str">
        <f>TRIM(CONCATENATE(Table43[[#This Row],[Nama            KLP]]," ",Table43[[#This Row],[Nama            Sub KLP]]))</f>
        <v>HIT AEROSOL</v>
      </c>
      <c r="M116" s="4" t="str">
        <f>CONCATENATE(Table43[[#This Row],[kode  2 Digit                (hrf+No)]],Table43[[#This Row],[kode  2 Digit                (Nomor)]],Table43[[#This Row],[kode  1 Digit                (Nomor)]])</f>
        <v>G1071</v>
      </c>
      <c r="N116" s="4" t="str">
        <f>IF(AI116="",CONCATENATE(S116,U116,W116,Y116,AA116,AC116,AE116,AG116,Table43[[#This Row],[Tanda Kode Revisi]]),CONCATENATE(S116,U116,W116,Y116,AA116,AC116,AE116,AI116))</f>
        <v>G1071009060010</v>
      </c>
      <c r="O116" s="11">
        <f t="shared" si="2"/>
        <v>14</v>
      </c>
      <c r="P116" s="14" t="str">
        <f>IF(AH116&lt;&gt;"",TRIM(UPPER(CONCATENATE(R116," ",T116," ",V116," ",X116," ",Z116," ",AB116," ","X"," ",Table43[[#This Row],[ISI/CTN]]," ",AH116," ",AD116," ",AF116," ",AJ116))),TRIM(UPPER(CONCATENATE(R116," ",T116," ",V116," ",X116," ",Z116," ",AB116," ","X"," ",Table43[[#This Row],[ISI/CTN]]," ",AD116," ",AF116," ",AJ116))))</f>
        <v>HIT AEROSOL PINK BLOSSOM 600ML X 12 KLG</v>
      </c>
      <c r="Q116" s="11">
        <f t="shared" si="3"/>
        <v>39</v>
      </c>
      <c r="S116" s="7" t="s">
        <v>34</v>
      </c>
      <c r="T116" s="4" t="s">
        <v>2242</v>
      </c>
      <c r="U116" s="47" t="s">
        <v>2544</v>
      </c>
      <c r="V116" s="48" t="s">
        <v>2243</v>
      </c>
      <c r="W116" s="7">
        <v>1</v>
      </c>
      <c r="X116" s="48"/>
      <c r="Y116" s="47" t="s">
        <v>1116</v>
      </c>
      <c r="Z116" s="4" t="s">
        <v>2252</v>
      </c>
      <c r="AA116" s="49" t="s">
        <v>2546</v>
      </c>
      <c r="AB116" s="4" t="s">
        <v>2246</v>
      </c>
      <c r="AC116" s="49" t="s">
        <v>2632</v>
      </c>
      <c r="AD116" s="4" t="s">
        <v>2221</v>
      </c>
      <c r="AE116" s="7">
        <v>1</v>
      </c>
      <c r="AG116" s="7">
        <v>0</v>
      </c>
      <c r="AK116" s="70">
        <f>Table43[[#This Row],[Column4]]</f>
        <v>30071070600000</v>
      </c>
      <c r="AN116" s="7">
        <f>Table43[[#This Row],[ISI/CTN]]</f>
        <v>12</v>
      </c>
      <c r="AO116" s="61">
        <f>Table43[[#This Row],[Harga Jual Pcs GT
(-PPN)]]-(Table43[[#This Row],[Harga Jual Pcs GT
(-PPN)]]*6.5%)</f>
        <v>27115</v>
      </c>
      <c r="AP116" s="61">
        <f>Table43[[#This Row],[Harga Beli Pcs
(-PPN)]]*Table43[[#This Row],[ISI/CTN]]</f>
        <v>325380</v>
      </c>
      <c r="AQ116" s="61">
        <f>Table43[[#This Row],[Harga Beli Pcs
(-PPN)]]*1.11</f>
        <v>30097.65</v>
      </c>
      <c r="AR116" s="61">
        <f>Table43[[#This Row],[Harga Beli Krt
(- PPN)]]*1.11</f>
        <v>361171.80000000005</v>
      </c>
      <c r="AS116" s="61">
        <v>29000</v>
      </c>
      <c r="AT116" s="61">
        <f>Table43[[#This Row],[Harga Jual Pcs GT
(-PPN)]]*Table43[[#This Row],[ISI/CTN]]</f>
        <v>348000</v>
      </c>
      <c r="AU116" s="61">
        <f>Table43[[#This Row],[Harga Jual Pcs GT
(-PPN)]]*1.11</f>
        <v>32190.000000000004</v>
      </c>
      <c r="AV116" s="61">
        <f>Table43[[#This Row],[Harga Jual Krt GT
(- PPN)]]*1.11</f>
        <v>386280.00000000006</v>
      </c>
      <c r="AW116" s="61">
        <f>IFERROR(VLOOKUP(Table43[[#This Row],[Kode Pcpl]],'[1]FEB 2026'!$A$3:$X$312,24,0),0)</f>
        <v>0</v>
      </c>
      <c r="AX116" s="61">
        <f>Table43[[#This Row],[Harga Jual Pcs MT
(-PPN)]]*Table43[[#This Row],[ISI/CTN]]</f>
        <v>0</v>
      </c>
      <c r="AY116" s="61">
        <f>Table43[[#This Row],[Harga Jual Pcs MT
(-PPN)]]*1.11</f>
        <v>0</v>
      </c>
      <c r="AZ116" s="61">
        <f>Table43[[#This Row],[Harga Jual Pcs MT
(+PPN)]]*Table43[[#This Row],[ISI/CTN]]</f>
        <v>0</v>
      </c>
      <c r="BA116" s="62">
        <f>(Table43[[#This Row],[Harga Jual Pcs GT
(-PPN)]]-Table43[[#This Row],[Harga Beli Pcs
(-PPN)]])/Table43[[#This Row],[Harga Jual Pcs GT
(-PPN)]]</f>
        <v>6.5000000000000002E-2</v>
      </c>
      <c r="BB116" s="63">
        <f>Table43[[#This Row],[Harga Jual Pcs MT
(-PPN)]]-Table43[[#This Row],[Harga Beli Pcs
(-PPN)]]</f>
        <v>-27115</v>
      </c>
      <c r="BC116" s="64" t="e">
        <f>Table43[[#This Row],[Column1]]/Table43[[#This Row],[Harga Jual Pcs MT
(-PPN)]]</f>
        <v>#DIV/0!</v>
      </c>
      <c r="BD116" s="52"/>
      <c r="BE116" s="7"/>
      <c r="BF116" s="7" t="str">
        <f ca="1">IF(TODAY()-Table43[[#This Row],[Efektif
Pembuatan]]&gt;60,"Lama","Baru")</f>
        <v>Lama</v>
      </c>
      <c r="BG116" s="7" t="str">
        <f ca="1">IF(TODAY()-Table43[[#This Row],[Efektif Naik Harga]]&lt;30,"Naik","Sama")</f>
        <v>Sama</v>
      </c>
      <c r="BH116" s="7"/>
      <c r="BI116" s="7" t="str">
        <f>IF(Table43[[#This Row],[Kode BARANG Win2]]&lt;&gt;"","IDR","")</f>
        <v>IDR</v>
      </c>
      <c r="BJ116" s="7" t="str">
        <f>CONCATENATE(Table43[[#This Row],[kode  1 Digit
(Nomor)]],Table43[[#This Row],[kode  4 Digit                (Nomor)]])</f>
        <v>0600</v>
      </c>
      <c r="BK116" s="7" t="str">
        <f>Table43[[#This Row],[Nama            Gramasi atau Jumlah Pack per CTN]]</f>
        <v>600ML</v>
      </c>
      <c r="BL116" s="7"/>
      <c r="BM116" s="7"/>
      <c r="BN116" s="4" t="str">
        <f>IF(Table43[[#This Row],[SATUAN Fix Win]]&lt;&gt;"","KRT")</f>
        <v>KRT</v>
      </c>
      <c r="BO116" s="4" t="str">
        <f>IF(Table43[[#This Row],[SATUAN Fix Win]]&lt;&gt;"","GD01")</f>
        <v>GD01</v>
      </c>
      <c r="BP116" s="4">
        <f>IF(Table43[[#This Row],[SATUAN Fix Win]]&lt;&gt;"",11611)</f>
        <v>11611</v>
      </c>
      <c r="BQ116" s="4">
        <f>IF(Table43[[#This Row],[SATUAN Fix Win]]&lt;&gt;"",11612)</f>
        <v>11612</v>
      </c>
      <c r="BS116" s="4">
        <f>IF(Table43[[#This Row],[SATUAN Fix Win]]&lt;&gt;"",1)</f>
        <v>1</v>
      </c>
      <c r="BU116" s="4">
        <f>Table43[[#This Row],[ISI/CTN]]</f>
        <v>12</v>
      </c>
    </row>
    <row r="117" spans="1:75">
      <c r="A117" s="4" t="str">
        <f>CONCATENATE(Table43[[#This Row],[Kode BARANG Win2]],Table43[[#This Row],[No. Urut
Item Sama]])</f>
        <v>G1071009060010</v>
      </c>
      <c r="B117" s="7"/>
      <c r="C117" s="31"/>
      <c r="D117" s="51">
        <v>40037982</v>
      </c>
      <c r="E117" s="27"/>
      <c r="F117" s="51"/>
      <c r="G117" s="51"/>
      <c r="H117" s="27"/>
      <c r="I117" s="27">
        <v>12</v>
      </c>
      <c r="J117" s="51" t="s">
        <v>1615</v>
      </c>
      <c r="K117" s="27" t="str">
        <f>Table43[[#This Row],[NamaJenisKemasan]]</f>
        <v>KLG</v>
      </c>
      <c r="L117" s="4" t="str">
        <f>TRIM(CONCATENATE(Table43[[#This Row],[Nama            KLP]]," ",Table43[[#This Row],[Nama            Sub KLP]]))</f>
        <v>HIT AEROSOL</v>
      </c>
      <c r="M117" s="4" t="str">
        <f>CONCATENATE(Table43[[#This Row],[kode  2 Digit                (hrf+No)]],Table43[[#This Row],[kode  2 Digit                (Nomor)]],Table43[[#This Row],[kode  1 Digit                (Nomor)]])</f>
        <v>G1071</v>
      </c>
      <c r="N117" s="4" t="str">
        <f>IF(AI117="",CONCATENATE(S117,U117,W117,Y117,AA117,AC117,AE117,AG117,Table43[[#This Row],[Tanda Kode Revisi]]),CONCATENATE(S117,U117,W117,Y117,AA117,AC117,AE117,AI117))</f>
        <v>G1071009060010</v>
      </c>
      <c r="O117" s="11">
        <f>LEN(N117)</f>
        <v>14</v>
      </c>
      <c r="P117" s="14" t="str">
        <f>IF(AH117&lt;&gt;"",TRIM(UPPER(CONCATENATE(R117," ",T117," ",V117," ",X117," ",Z117," ",AB117," ","X"," ",Table43[[#This Row],[ISI/CTN]]," ",AH117," ",AD117," ",AF117," ",AJ117))),TRIM(UPPER(CONCATENATE(R117," ",T117," ",V117," ",X117," ",Z117," ",AB117," ","X"," ",Table43[[#This Row],[ISI/CTN]]," ",AD117," ",AF117," ",AJ117))))</f>
        <v>HIT AEROSOL PINK BLOSSOM 600ML X 12 KLG</v>
      </c>
      <c r="Q117" s="11">
        <f>LEN(P117)</f>
        <v>39</v>
      </c>
      <c r="S117" s="7" t="s">
        <v>34</v>
      </c>
      <c r="T117" s="4" t="s">
        <v>2242</v>
      </c>
      <c r="U117" s="47" t="s">
        <v>2544</v>
      </c>
      <c r="V117" s="48" t="s">
        <v>2243</v>
      </c>
      <c r="W117" s="7">
        <v>1</v>
      </c>
      <c r="X117" s="48"/>
      <c r="Y117" s="47" t="s">
        <v>1116</v>
      </c>
      <c r="Z117" s="4" t="s">
        <v>2252</v>
      </c>
      <c r="AA117" s="49" t="s">
        <v>2546</v>
      </c>
      <c r="AB117" s="4" t="s">
        <v>2246</v>
      </c>
      <c r="AC117" s="49" t="s">
        <v>2632</v>
      </c>
      <c r="AD117" s="4" t="s">
        <v>2221</v>
      </c>
      <c r="AE117" s="7">
        <v>1</v>
      </c>
      <c r="AG117" s="7">
        <v>0</v>
      </c>
      <c r="AK117" s="70">
        <f>Table43[[#This Row],[Column4]]</f>
        <v>0</v>
      </c>
      <c r="AN117" s="7">
        <f>Table43[[#This Row],[ISI/CTN]]</f>
        <v>12</v>
      </c>
      <c r="AO117" s="61">
        <f>Table43[[#This Row],[Harga Jual Pcs GT
(-PPN)]]-(Table43[[#This Row],[Harga Jual Pcs GT
(-PPN)]]*6.5%)</f>
        <v>0</v>
      </c>
      <c r="AP117" s="61">
        <f>Table43[[#This Row],[Harga Beli Pcs
(-PPN)]]*Table43[[#This Row],[ISI/CTN]]</f>
        <v>0</v>
      </c>
      <c r="AQ117" s="61">
        <f>Table43[[#This Row],[Harga Beli Pcs
(-PPN)]]*1.11</f>
        <v>0</v>
      </c>
      <c r="AR117" s="61">
        <f>Table43[[#This Row],[Harga Beli Krt
(- PPN)]]*1.11</f>
        <v>0</v>
      </c>
      <c r="AS117" s="61"/>
      <c r="AT117" s="61">
        <f>Table43[[#This Row],[Harga Jual Pcs GT
(-PPN)]]*Table43[[#This Row],[ISI/CTN]]</f>
        <v>0</v>
      </c>
      <c r="AU117" s="61">
        <f>Table43[[#This Row],[Harga Jual Pcs GT
(-PPN)]]*1.11</f>
        <v>0</v>
      </c>
      <c r="AV117" s="61">
        <f>Table43[[#This Row],[Harga Jual Krt GT
(- PPN)]]*1.11</f>
        <v>0</v>
      </c>
      <c r="AW117" s="61">
        <f>IFERROR(VLOOKUP(Table43[[#This Row],[Kode Pcpl]],'[1]FEB 2026'!$A$3:$X$312,24,0),0)</f>
        <v>0</v>
      </c>
      <c r="AX117" s="61">
        <f>Table43[[#This Row],[Harga Jual Pcs MT
(-PPN)]]*Table43[[#This Row],[ISI/CTN]]</f>
        <v>0</v>
      </c>
      <c r="AY117" s="61">
        <f>Table43[[#This Row],[Harga Jual Pcs MT
(-PPN)]]*1.11</f>
        <v>0</v>
      </c>
      <c r="AZ117" s="61">
        <f>Table43[[#This Row],[Harga Jual Pcs MT
(+PPN)]]*Table43[[#This Row],[ISI/CTN]]</f>
        <v>0</v>
      </c>
      <c r="BA117" s="62" t="e">
        <f>(Table43[[#This Row],[Harga Jual Pcs GT
(-PPN)]]-Table43[[#This Row],[Harga Beli Pcs
(-PPN)]])/Table43[[#This Row],[Harga Jual Pcs GT
(-PPN)]]</f>
        <v>#DIV/0!</v>
      </c>
      <c r="BB117" s="63">
        <f>Table43[[#This Row],[Harga Jual Pcs MT
(-PPN)]]-Table43[[#This Row],[Harga Beli Pcs
(-PPN)]]</f>
        <v>0</v>
      </c>
      <c r="BC117" s="64" t="e">
        <f>Table43[[#This Row],[Column1]]/Table43[[#This Row],[Harga Jual Pcs MT
(-PPN)]]</f>
        <v>#DIV/0!</v>
      </c>
      <c r="BD117" s="52"/>
      <c r="BE117" s="7"/>
      <c r="BF117" s="7" t="str">
        <f ca="1">IF(TODAY()-Table43[[#This Row],[Efektif
Pembuatan]]&gt;60,"Lama","Baru")</f>
        <v>Lama</v>
      </c>
      <c r="BG117" s="7" t="str">
        <f ca="1">IF(TODAY()-Table43[[#This Row],[Efektif Naik Harga]]&lt;30,"Naik","Sama")</f>
        <v>Sama</v>
      </c>
      <c r="BH117" s="7"/>
      <c r="BI117" s="7" t="str">
        <f>IF(Table43[[#This Row],[Kode BARANG Win2]]&lt;&gt;"","IDR","")</f>
        <v>IDR</v>
      </c>
      <c r="BJ117" s="7" t="str">
        <f>CONCATENATE(Table43[[#This Row],[kode  1 Digit
(Nomor)]],Table43[[#This Row],[kode  4 Digit                (Nomor)]])</f>
        <v>0600</v>
      </c>
      <c r="BK117" s="7" t="str">
        <f>Table43[[#This Row],[Nama            Gramasi atau Jumlah Pack per CTN]]</f>
        <v>600ML</v>
      </c>
      <c r="BL117" s="7"/>
      <c r="BM117" s="7"/>
      <c r="BN117" s="4" t="str">
        <f>IF(Table43[[#This Row],[SATUAN Fix Win]]&lt;&gt;"","KRT")</f>
        <v>KRT</v>
      </c>
      <c r="BO117" s="4" t="str">
        <f>IF(Table43[[#This Row],[SATUAN Fix Win]]&lt;&gt;"","GD01")</f>
        <v>GD01</v>
      </c>
      <c r="BP117" s="4">
        <f>IF(Table43[[#This Row],[SATUAN Fix Win]]&lt;&gt;"",11611)</f>
        <v>11611</v>
      </c>
      <c r="BQ117" s="4">
        <f>IF(Table43[[#This Row],[SATUAN Fix Win]]&lt;&gt;"",11612)</f>
        <v>11612</v>
      </c>
      <c r="BS117" s="4">
        <f>IF(Table43[[#This Row],[SATUAN Fix Win]]&lt;&gt;"",1)</f>
        <v>1</v>
      </c>
      <c r="BU117" s="4">
        <f>Table43[[#This Row],[ISI/CTN]]</f>
        <v>12</v>
      </c>
    </row>
    <row r="118" spans="1:75">
      <c r="A118" s="4" t="str">
        <f>CONCATENATE(Table43[[#This Row],[Kode BARANG Win2]],Table43[[#This Row],[No. Urut
Item Sama]])</f>
        <v>G1072001002010</v>
      </c>
      <c r="B118" s="7"/>
      <c r="C118" s="31">
        <v>30071070600000</v>
      </c>
      <c r="D118" s="59">
        <v>40026239</v>
      </c>
      <c r="E118" s="60" t="s">
        <v>1925</v>
      </c>
      <c r="F118" s="59">
        <v>30080010020000</v>
      </c>
      <c r="G118" s="59">
        <v>0</v>
      </c>
      <c r="H118" s="60" t="s">
        <v>1197</v>
      </c>
      <c r="I118" s="60">
        <v>12</v>
      </c>
      <c r="J118" s="59" t="s">
        <v>1616</v>
      </c>
      <c r="K118" s="60" t="str">
        <f>Table43[[#This Row],[NamaJenisKemasan]]</f>
        <v>PCS</v>
      </c>
      <c r="L118" s="4" t="str">
        <f>TRIM(CONCATENATE(Table43[[#This Row],[Nama            KLP]]," ",Table43[[#This Row],[Nama            Sub KLP]]))</f>
        <v>HIT ANTI KECOA</v>
      </c>
      <c r="M118" s="4" t="str">
        <f>CONCATENATE(Table43[[#This Row],[kode  2 Digit                (hrf+No)]],Table43[[#This Row],[kode  2 Digit                (Nomor)]],Table43[[#This Row],[kode  1 Digit                (Nomor)]])</f>
        <v>G1072</v>
      </c>
      <c r="N118" s="4" t="str">
        <f>IF(AI118="",CONCATENATE(S118,U118,W118,Y118,AA118,AC118,AE118,AG118,Table43[[#This Row],[Tanda Kode Revisi]]),CONCATENATE(S118,U118,W118,Y118,AA118,AC118,AE118,AI118))</f>
        <v>G1072001002010</v>
      </c>
      <c r="O118" s="11">
        <f t="shared" si="2"/>
        <v>14</v>
      </c>
      <c r="P118" s="14" t="str">
        <f>IF(AH118&lt;&gt;"",TRIM(UPPER(CONCATENATE(R118," ",T118," ",V118," ",X118," ",Z118," ",AB118," ","X"," ",Table43[[#This Row],[ISI/CTN]]," ",AH118," ",AD118," ",AF118," ",AJ118))),TRIM(UPPER(CONCATENATE(R118," ",T118," ",V118," ",X118," ",Z118," ",AB118," ","X"," ",Table43[[#This Row],[ISI/CTN]]," ",AD118," ",AF118," ",AJ118))))</f>
        <v>HIT ANTI KECOA GEL 20GR X 12 PCS</v>
      </c>
      <c r="Q118" s="11">
        <f t="shared" si="3"/>
        <v>32</v>
      </c>
      <c r="S118" s="7" t="s">
        <v>34</v>
      </c>
      <c r="T118" s="4" t="s">
        <v>2242</v>
      </c>
      <c r="U118" s="47" t="s">
        <v>2544</v>
      </c>
      <c r="V118" s="48" t="s">
        <v>2261</v>
      </c>
      <c r="W118" s="7">
        <v>2</v>
      </c>
      <c r="X118" s="48"/>
      <c r="Y118" s="47" t="s">
        <v>1116</v>
      </c>
      <c r="Z118" s="4" t="s">
        <v>2262</v>
      </c>
      <c r="AA118" s="49" t="s">
        <v>1115</v>
      </c>
      <c r="AB118" s="4" t="s">
        <v>2267</v>
      </c>
      <c r="AC118" s="49" t="s">
        <v>2607</v>
      </c>
      <c r="AD118" s="4" t="s">
        <v>185</v>
      </c>
      <c r="AE118" s="7">
        <v>1</v>
      </c>
      <c r="AG118" s="7">
        <v>0</v>
      </c>
      <c r="AK118" s="70">
        <f>Table43[[#This Row],[Column4]]</f>
        <v>30080010020000</v>
      </c>
      <c r="AN118" s="7">
        <f>Table43[[#This Row],[ISI/CTN]]</f>
        <v>12</v>
      </c>
      <c r="AO118" s="38">
        <f>Table43[[#This Row],[Harga Jual Pcs GT
(-PPN)]]-(Table43[[#This Row],[Harga Jual Pcs GT
(-PPN)]]*6.5%)</f>
        <v>45908.5</v>
      </c>
      <c r="AP118" s="38">
        <f>Table43[[#This Row],[Harga Beli Pcs
(-PPN)]]*Table43[[#This Row],[ISI/CTN]]</f>
        <v>550902</v>
      </c>
      <c r="AQ118" s="38">
        <f>Table43[[#This Row],[Harga Beli Pcs
(-PPN)]]*1.11</f>
        <v>50958.435000000005</v>
      </c>
      <c r="AR118" s="38">
        <f>Table43[[#This Row],[Harga Beli Krt
(- PPN)]]*1.11</f>
        <v>611501.22000000009</v>
      </c>
      <c r="AS118" s="38">
        <v>49100</v>
      </c>
      <c r="AT118" s="38">
        <f>Table43[[#This Row],[Harga Jual Pcs GT
(-PPN)]]*Table43[[#This Row],[ISI/CTN]]</f>
        <v>589200</v>
      </c>
      <c r="AU118" s="38">
        <f>Table43[[#This Row],[Harga Jual Pcs GT
(-PPN)]]*1.11</f>
        <v>54501.000000000007</v>
      </c>
      <c r="AV118" s="38">
        <f>Table43[[#This Row],[Harga Jual Krt GT
(- PPN)]]*1.11</f>
        <v>654012</v>
      </c>
      <c r="AW118" s="38">
        <f>IFERROR(VLOOKUP(Table43[[#This Row],[Kode Pcpl]],'[1]FEB 2026'!$A$3:$X$312,24,0),0)</f>
        <v>0</v>
      </c>
      <c r="AX118" s="38">
        <f>Table43[[#This Row],[Harga Jual Pcs MT
(-PPN)]]*Table43[[#This Row],[ISI/CTN]]</f>
        <v>0</v>
      </c>
      <c r="AY118" s="38">
        <f>Table43[[#This Row],[Harga Jual Pcs MT
(-PPN)]]*1.11</f>
        <v>0</v>
      </c>
      <c r="AZ118" s="38">
        <f>Table43[[#This Row],[Harga Jual Pcs MT
(+PPN)]]*Table43[[#This Row],[ISI/CTN]]</f>
        <v>0</v>
      </c>
      <c r="BA118" s="46">
        <f>(Table43[[#This Row],[Harga Jual Pcs GT
(-PPN)]]-Table43[[#This Row],[Harga Beli Pcs
(-PPN)]])/Table43[[#This Row],[Harga Jual Pcs GT
(-PPN)]]</f>
        <v>6.5000000000000002E-2</v>
      </c>
      <c r="BB118" s="53">
        <f>Table43[[#This Row],[Harga Jual Pcs MT
(-PPN)]]-Table43[[#This Row],[Harga Beli Pcs
(-PPN)]]</f>
        <v>-45908.5</v>
      </c>
      <c r="BC118" s="54" t="e">
        <f>Table43[[#This Row],[Column1]]/Table43[[#This Row],[Harga Jual Pcs MT
(-PPN)]]</f>
        <v>#DIV/0!</v>
      </c>
      <c r="BD118" s="52"/>
      <c r="BE118" s="7"/>
      <c r="BF118" s="7" t="str">
        <f ca="1">IF(TODAY()-Table43[[#This Row],[Efektif
Pembuatan]]&gt;60,"Lama","Baru")</f>
        <v>Lama</v>
      </c>
      <c r="BG118" s="7" t="str">
        <f ca="1">IF(TODAY()-Table43[[#This Row],[Efektif Naik Harga]]&lt;30,"Naik","Sama")</f>
        <v>Sama</v>
      </c>
      <c r="BH118" s="7"/>
      <c r="BI118" s="7" t="str">
        <f>IF(Table43[[#This Row],[Kode BARANG Win2]]&lt;&gt;"","IDR","")</f>
        <v>IDR</v>
      </c>
      <c r="BJ118" s="7" t="str">
        <f>CONCATENATE(Table43[[#This Row],[kode  1 Digit
(Nomor)]],Table43[[#This Row],[kode  4 Digit                (Nomor)]])</f>
        <v>0020</v>
      </c>
      <c r="BK118" s="7" t="str">
        <f>Table43[[#This Row],[Nama            Gramasi atau Jumlah Pack per CTN]]</f>
        <v>20GR</v>
      </c>
      <c r="BL118" s="7"/>
      <c r="BM118" s="7"/>
      <c r="BN118" s="4" t="str">
        <f>IF(Table43[[#This Row],[SATUAN Fix Win]]&lt;&gt;"","KRT")</f>
        <v>KRT</v>
      </c>
      <c r="BO118" s="4" t="str">
        <f>IF(Table43[[#This Row],[SATUAN Fix Win]]&lt;&gt;"","GD01")</f>
        <v>GD01</v>
      </c>
      <c r="BP118" s="4">
        <f>IF(Table43[[#This Row],[SATUAN Fix Win]]&lt;&gt;"",11611)</f>
        <v>11611</v>
      </c>
      <c r="BQ118" s="4">
        <f>IF(Table43[[#This Row],[SATUAN Fix Win]]&lt;&gt;"",11612)</f>
        <v>11612</v>
      </c>
      <c r="BS118" s="4">
        <f>IF(Table43[[#This Row],[SATUAN Fix Win]]&lt;&gt;"",1)</f>
        <v>1</v>
      </c>
      <c r="BU118" s="4">
        <f>Table43[[#This Row],[ISI/CTN]]</f>
        <v>12</v>
      </c>
    </row>
    <row r="119" spans="1:75">
      <c r="A119" s="4" t="str">
        <f>CONCATENATE(Table43[[#This Row],[Kode BARANG Win2]],Table43[[#This Row],[No. Urut
Item Sama]])</f>
        <v>G1072001002010</v>
      </c>
      <c r="B119" s="7"/>
      <c r="C119" s="31">
        <v>30071070600000</v>
      </c>
      <c r="D119" s="59">
        <v>40056830</v>
      </c>
      <c r="E119" s="60" t="s">
        <v>1925</v>
      </c>
      <c r="F119" s="59">
        <v>30080010020000</v>
      </c>
      <c r="G119" s="59">
        <v>0</v>
      </c>
      <c r="H119" s="60" t="s">
        <v>1198</v>
      </c>
      <c r="I119" s="60">
        <v>12</v>
      </c>
      <c r="J119" s="59" t="s">
        <v>1616</v>
      </c>
      <c r="K119" s="60" t="str">
        <f>Table43[[#This Row],[NamaJenisKemasan]]</f>
        <v>PCS</v>
      </c>
      <c r="L119" s="4" t="str">
        <f>TRIM(CONCATENATE(Table43[[#This Row],[Nama            KLP]]," ",Table43[[#This Row],[Nama            Sub KLP]]))</f>
        <v>HIT ANTI KECOA</v>
      </c>
      <c r="M119" s="4" t="str">
        <f>CONCATENATE(Table43[[#This Row],[kode  2 Digit                (hrf+No)]],Table43[[#This Row],[kode  2 Digit                (Nomor)]],Table43[[#This Row],[kode  1 Digit                (Nomor)]])</f>
        <v>G1072</v>
      </c>
      <c r="N119" s="4" t="str">
        <f>IF(AI119="",CONCATENATE(S119,U119,W119,Y119,AA119,AC119,AE119,AG119,Table43[[#This Row],[Tanda Kode Revisi]]),CONCATENATE(S119,U119,W119,Y119,AA119,AC119,AE119,AI119))</f>
        <v>G1072001002010</v>
      </c>
      <c r="O119" s="11">
        <f t="shared" si="2"/>
        <v>14</v>
      </c>
      <c r="P119" s="14" t="str">
        <f>IF(AH119&lt;&gt;"",TRIM(UPPER(CONCATENATE(R119," ",T119," ",V119," ",X119," ",Z119," ",AB119," ","X"," ",Table43[[#This Row],[ISI/CTN]]," ",AH119," ",AD119," ",AF119," ",AJ119))),TRIM(UPPER(CONCATENATE(R119," ",T119," ",V119," ",X119," ",Z119," ",AB119," ","X"," ",Table43[[#This Row],[ISI/CTN]]," ",AD119," ",AF119," ",AJ119))))</f>
        <v>HIT ANTI KECOA GEL 20GR X 12 PCS</v>
      </c>
      <c r="Q119" s="11">
        <f t="shared" si="3"/>
        <v>32</v>
      </c>
      <c r="S119" s="7" t="s">
        <v>34</v>
      </c>
      <c r="T119" s="4" t="s">
        <v>2242</v>
      </c>
      <c r="U119" s="47" t="s">
        <v>2544</v>
      </c>
      <c r="V119" s="48" t="s">
        <v>2261</v>
      </c>
      <c r="W119" s="7">
        <v>2</v>
      </c>
      <c r="X119" s="48"/>
      <c r="Y119" s="47" t="s">
        <v>1116</v>
      </c>
      <c r="Z119" s="4" t="s">
        <v>2262</v>
      </c>
      <c r="AA119" s="49" t="s">
        <v>1115</v>
      </c>
      <c r="AB119" s="4" t="s">
        <v>2267</v>
      </c>
      <c r="AC119" s="49" t="s">
        <v>2607</v>
      </c>
      <c r="AD119" s="4" t="s">
        <v>185</v>
      </c>
      <c r="AE119" s="7">
        <v>1</v>
      </c>
      <c r="AG119" s="7">
        <v>0</v>
      </c>
      <c r="AK119" s="70">
        <f>Table43[[#This Row],[Column4]]</f>
        <v>30080010020000</v>
      </c>
      <c r="AN119" s="7">
        <f>Table43[[#This Row],[ISI/CTN]]</f>
        <v>12</v>
      </c>
      <c r="AO119" s="61">
        <f>Table43[[#This Row],[Harga Jual Pcs GT
(-PPN)]]-(Table43[[#This Row],[Harga Jual Pcs GT
(-PPN)]]*6.5%)</f>
        <v>45908.5</v>
      </c>
      <c r="AP119" s="61">
        <f>Table43[[#This Row],[Harga Beli Pcs
(-PPN)]]*Table43[[#This Row],[ISI/CTN]]</f>
        <v>550902</v>
      </c>
      <c r="AQ119" s="61">
        <f>Table43[[#This Row],[Harga Beli Pcs
(-PPN)]]*1.11</f>
        <v>50958.435000000005</v>
      </c>
      <c r="AR119" s="61">
        <f>Table43[[#This Row],[Harga Beli Krt
(- PPN)]]*1.11</f>
        <v>611501.22000000009</v>
      </c>
      <c r="AS119" s="61">
        <v>49100</v>
      </c>
      <c r="AT119" s="61">
        <f>Table43[[#This Row],[Harga Jual Pcs GT
(-PPN)]]*Table43[[#This Row],[ISI/CTN]]</f>
        <v>589200</v>
      </c>
      <c r="AU119" s="61">
        <f>Table43[[#This Row],[Harga Jual Pcs GT
(-PPN)]]*1.11</f>
        <v>54501.000000000007</v>
      </c>
      <c r="AV119" s="61">
        <f>Table43[[#This Row],[Harga Jual Krt GT
(- PPN)]]*1.11</f>
        <v>654012</v>
      </c>
      <c r="AW119" s="61">
        <f>IFERROR(VLOOKUP(Table43[[#This Row],[Kode Pcpl]],'[1]FEB 2026'!$A$3:$X$312,24,0),0)</f>
        <v>0</v>
      </c>
      <c r="AX119" s="61">
        <f>Table43[[#This Row],[Harga Jual Pcs MT
(-PPN)]]*Table43[[#This Row],[ISI/CTN]]</f>
        <v>0</v>
      </c>
      <c r="AY119" s="61">
        <f>Table43[[#This Row],[Harga Jual Pcs MT
(-PPN)]]*1.11</f>
        <v>0</v>
      </c>
      <c r="AZ119" s="61">
        <f>Table43[[#This Row],[Harga Jual Pcs MT
(+PPN)]]*Table43[[#This Row],[ISI/CTN]]</f>
        <v>0</v>
      </c>
      <c r="BA119" s="62">
        <f>(Table43[[#This Row],[Harga Jual Pcs GT
(-PPN)]]-Table43[[#This Row],[Harga Beli Pcs
(-PPN)]])/Table43[[#This Row],[Harga Jual Pcs GT
(-PPN)]]</f>
        <v>6.5000000000000002E-2</v>
      </c>
      <c r="BB119" s="63">
        <f>Table43[[#This Row],[Harga Jual Pcs MT
(-PPN)]]-Table43[[#This Row],[Harga Beli Pcs
(-PPN)]]</f>
        <v>-45908.5</v>
      </c>
      <c r="BC119" s="64" t="e">
        <f>Table43[[#This Row],[Column1]]/Table43[[#This Row],[Harga Jual Pcs MT
(-PPN)]]</f>
        <v>#DIV/0!</v>
      </c>
      <c r="BD119" s="52"/>
      <c r="BE119" s="7"/>
      <c r="BF119" s="7" t="str">
        <f ca="1">IF(TODAY()-Table43[[#This Row],[Efektif
Pembuatan]]&gt;60,"Lama","Baru")</f>
        <v>Lama</v>
      </c>
      <c r="BG119" s="7" t="str">
        <f ca="1">IF(TODAY()-Table43[[#This Row],[Efektif Naik Harga]]&lt;30,"Naik","Sama")</f>
        <v>Sama</v>
      </c>
      <c r="BH119" s="7"/>
      <c r="BI119" s="7" t="str">
        <f>IF(Table43[[#This Row],[Kode BARANG Win2]]&lt;&gt;"","IDR","")</f>
        <v>IDR</v>
      </c>
      <c r="BJ119" s="7" t="str">
        <f>CONCATENATE(Table43[[#This Row],[kode  1 Digit
(Nomor)]],Table43[[#This Row],[kode  4 Digit                (Nomor)]])</f>
        <v>0020</v>
      </c>
      <c r="BK119" s="7" t="str">
        <f>Table43[[#This Row],[Nama            Gramasi atau Jumlah Pack per CTN]]</f>
        <v>20GR</v>
      </c>
      <c r="BL119" s="7"/>
      <c r="BM119" s="7"/>
      <c r="BN119" s="4" t="str">
        <f>IF(Table43[[#This Row],[SATUAN Fix Win]]&lt;&gt;"","KRT")</f>
        <v>KRT</v>
      </c>
      <c r="BO119" s="4" t="str">
        <f>IF(Table43[[#This Row],[SATUAN Fix Win]]&lt;&gt;"","GD01")</f>
        <v>GD01</v>
      </c>
      <c r="BP119" s="4">
        <f>IF(Table43[[#This Row],[SATUAN Fix Win]]&lt;&gt;"",11611)</f>
        <v>11611</v>
      </c>
      <c r="BQ119" s="4">
        <f>IF(Table43[[#This Row],[SATUAN Fix Win]]&lt;&gt;"",11612)</f>
        <v>11612</v>
      </c>
      <c r="BS119" s="4">
        <f>IF(Table43[[#This Row],[SATUAN Fix Win]]&lt;&gt;"",1)</f>
        <v>1</v>
      </c>
      <c r="BU119" s="4">
        <f>Table43[[#This Row],[ISI/CTN]]</f>
        <v>12</v>
      </c>
    </row>
    <row r="120" spans="1:75">
      <c r="A120" s="4" t="str">
        <f>CONCATENATE(Table43[[#This Row],[Kode BARANG Win2]],Table43[[#This Row],[No. Urut
Item Sama]])</f>
        <v>G1072002015020</v>
      </c>
      <c r="B120" s="7"/>
      <c r="C120" s="31">
        <v>30071050415000</v>
      </c>
      <c r="D120" s="59">
        <v>40057598</v>
      </c>
      <c r="E120" s="60" t="s">
        <v>1926</v>
      </c>
      <c r="F120" s="59">
        <v>30080020150010</v>
      </c>
      <c r="G120" s="59">
        <v>0</v>
      </c>
      <c r="H120" s="60" t="s">
        <v>1199</v>
      </c>
      <c r="I120" s="60">
        <v>12</v>
      </c>
      <c r="J120" s="59" t="s">
        <v>1617</v>
      </c>
      <c r="K120" s="60" t="str">
        <f>Table43[[#This Row],[NamaJenisKemasan]]</f>
        <v>KLG</v>
      </c>
      <c r="L120" s="4" t="str">
        <f>TRIM(CONCATENATE(Table43[[#This Row],[Nama            KLP]]," ",Table43[[#This Row],[Nama            Sub KLP]]))</f>
        <v>HIT ANTI KECOA</v>
      </c>
      <c r="M120" s="4" t="str">
        <f>CONCATENATE(Table43[[#This Row],[kode  2 Digit                (hrf+No)]],Table43[[#This Row],[kode  2 Digit                (Nomor)]],Table43[[#This Row],[kode  1 Digit                (Nomor)]])</f>
        <v>G1072</v>
      </c>
      <c r="N120" s="4" t="str">
        <f>IF(AI120="",CONCATENATE(S120,U120,W120,Y120,AA120,AC120,AE120,AG120,Table43[[#This Row],[Tanda Kode Revisi]]),CONCATENATE(S120,U120,W120,Y120,AA120,AC120,AE120,AI120))</f>
        <v>G1072002015020</v>
      </c>
      <c r="O120" s="11">
        <f t="shared" si="2"/>
        <v>14</v>
      </c>
      <c r="P120" s="14" t="str">
        <f>IF(AH120&lt;&gt;"",TRIM(UPPER(CONCATENATE(R120," ",T120," ",V120," ",X120," ",Z120," ",AB120," ","X"," ",Table43[[#This Row],[ISI/CTN]]," ",AH120," ",AD120," ",AF120," ",AJ120))),TRIM(UPPER(CONCATENATE(R120," ",T120," ",V120," ",X120," ",Z120," ",AB120," ","X"," ",Table43[[#This Row],[ISI/CTN]]," ",AD120," ",AF120," ",AJ120))))</f>
        <v>HIT ANTI KECOA SPRAY 150ML X 12 KLG</v>
      </c>
      <c r="Q120" s="11">
        <f t="shared" si="3"/>
        <v>35</v>
      </c>
      <c r="S120" s="7" t="s">
        <v>34</v>
      </c>
      <c r="T120" s="4" t="s">
        <v>2242</v>
      </c>
      <c r="U120" s="47" t="s">
        <v>2544</v>
      </c>
      <c r="V120" s="48" t="s">
        <v>2261</v>
      </c>
      <c r="W120" s="7">
        <v>2</v>
      </c>
      <c r="X120" s="48"/>
      <c r="Y120" s="47" t="s">
        <v>1116</v>
      </c>
      <c r="Z120" s="4" t="s">
        <v>2263</v>
      </c>
      <c r="AA120" s="49" t="s">
        <v>2459</v>
      </c>
      <c r="AB120" s="4" t="s">
        <v>2260</v>
      </c>
      <c r="AC120" s="49" t="s">
        <v>2597</v>
      </c>
      <c r="AD120" s="4" t="s">
        <v>2221</v>
      </c>
      <c r="AE120" s="7">
        <v>2</v>
      </c>
      <c r="AG120" s="7">
        <v>0</v>
      </c>
      <c r="AK120" s="70">
        <f>Table43[[#This Row],[Column4]]</f>
        <v>30080020150010</v>
      </c>
      <c r="AN120" s="7">
        <f>Table43[[#This Row],[ISI/CTN]]</f>
        <v>12</v>
      </c>
      <c r="AO120" s="61">
        <f>Table43[[#This Row],[Harga Jual Pcs GT
(-PPN)]]-(Table43[[#This Row],[Harga Jual Pcs GT
(-PPN)]]*6.5%)</f>
        <v>13940.85</v>
      </c>
      <c r="AP120" s="61">
        <f>Table43[[#This Row],[Harga Beli Pcs
(-PPN)]]*Table43[[#This Row],[ISI/CTN]]</f>
        <v>167290.20000000001</v>
      </c>
      <c r="AQ120" s="61">
        <f>Table43[[#This Row],[Harga Beli Pcs
(-PPN)]]*1.11</f>
        <v>15474.343500000001</v>
      </c>
      <c r="AR120" s="61">
        <f>Table43[[#This Row],[Harga Beli Krt
(- PPN)]]*1.11</f>
        <v>185692.12200000003</v>
      </c>
      <c r="AS120" s="61">
        <v>14910</v>
      </c>
      <c r="AT120" s="61">
        <f>Table43[[#This Row],[Harga Jual Pcs GT
(-PPN)]]*Table43[[#This Row],[ISI/CTN]]</f>
        <v>178920</v>
      </c>
      <c r="AU120" s="61">
        <f>Table43[[#This Row],[Harga Jual Pcs GT
(-PPN)]]*1.11</f>
        <v>16550.100000000002</v>
      </c>
      <c r="AV120" s="61">
        <f>Table43[[#This Row],[Harga Jual Krt GT
(- PPN)]]*1.11</f>
        <v>198601.2</v>
      </c>
      <c r="AW120" s="61">
        <f>IFERROR(VLOOKUP(Table43[[#This Row],[Kode Pcpl]],'[1]FEB 2026'!$A$3:$X$312,24,0),0)</f>
        <v>0</v>
      </c>
      <c r="AX120" s="61">
        <f>Table43[[#This Row],[Harga Jual Pcs MT
(-PPN)]]*Table43[[#This Row],[ISI/CTN]]</f>
        <v>0</v>
      </c>
      <c r="AY120" s="61">
        <f>Table43[[#This Row],[Harga Jual Pcs MT
(-PPN)]]*1.11</f>
        <v>0</v>
      </c>
      <c r="AZ120" s="61">
        <f>Table43[[#This Row],[Harga Jual Pcs MT
(+PPN)]]*Table43[[#This Row],[ISI/CTN]]</f>
        <v>0</v>
      </c>
      <c r="BA120" s="62">
        <f>(Table43[[#This Row],[Harga Jual Pcs GT
(-PPN)]]-Table43[[#This Row],[Harga Beli Pcs
(-PPN)]])/Table43[[#This Row],[Harga Jual Pcs GT
(-PPN)]]</f>
        <v>6.4999999999999974E-2</v>
      </c>
      <c r="BB120" s="63">
        <f>Table43[[#This Row],[Harga Jual Pcs MT
(-PPN)]]-Table43[[#This Row],[Harga Beli Pcs
(-PPN)]]</f>
        <v>-13940.85</v>
      </c>
      <c r="BC120" s="64" t="e">
        <f>Table43[[#This Row],[Column1]]/Table43[[#This Row],[Harga Jual Pcs MT
(-PPN)]]</f>
        <v>#DIV/0!</v>
      </c>
      <c r="BD120" s="52"/>
      <c r="BE120" s="7"/>
      <c r="BF120" s="7" t="str">
        <f ca="1">IF(TODAY()-Table43[[#This Row],[Efektif
Pembuatan]]&gt;60,"Lama","Baru")</f>
        <v>Lama</v>
      </c>
      <c r="BG120" s="7" t="str">
        <f ca="1">IF(TODAY()-Table43[[#This Row],[Efektif Naik Harga]]&lt;30,"Naik","Sama")</f>
        <v>Sama</v>
      </c>
      <c r="BH120" s="7"/>
      <c r="BI120" s="7" t="str">
        <f>IF(Table43[[#This Row],[Kode BARANG Win2]]&lt;&gt;"","IDR","")</f>
        <v>IDR</v>
      </c>
      <c r="BJ120" s="7" t="str">
        <f>CONCATENATE(Table43[[#This Row],[kode  1 Digit
(Nomor)]],Table43[[#This Row],[kode  4 Digit                (Nomor)]])</f>
        <v>0150</v>
      </c>
      <c r="BK120" s="7" t="str">
        <f>Table43[[#This Row],[Nama            Gramasi atau Jumlah Pack per CTN]]</f>
        <v>150ML</v>
      </c>
      <c r="BL120" s="7"/>
      <c r="BM120" s="7"/>
      <c r="BN120" s="4" t="str">
        <f>IF(Table43[[#This Row],[SATUAN Fix Win]]&lt;&gt;"","KRT")</f>
        <v>KRT</v>
      </c>
      <c r="BO120" s="4" t="str">
        <f>IF(Table43[[#This Row],[SATUAN Fix Win]]&lt;&gt;"","GD01")</f>
        <v>GD01</v>
      </c>
      <c r="BP120" s="4">
        <f>IF(Table43[[#This Row],[SATUAN Fix Win]]&lt;&gt;"",11611)</f>
        <v>11611</v>
      </c>
      <c r="BQ120" s="4">
        <f>IF(Table43[[#This Row],[SATUAN Fix Win]]&lt;&gt;"",11612)</f>
        <v>11612</v>
      </c>
      <c r="BS120" s="4">
        <f>IF(Table43[[#This Row],[SATUAN Fix Win]]&lt;&gt;"",1)</f>
        <v>1</v>
      </c>
      <c r="BU120" s="4">
        <f>Table43[[#This Row],[ISI/CTN]]</f>
        <v>12</v>
      </c>
    </row>
    <row r="121" spans="1:75">
      <c r="A121" s="4" t="str">
        <f>CONCATENATE(Table43[[#This Row],[Kode BARANG Win2]],Table43[[#This Row],[No. Urut
Item Sama]])</f>
        <v>G1073001000010</v>
      </c>
      <c r="B121" s="7"/>
      <c r="C121" s="31">
        <v>30100020360000</v>
      </c>
      <c r="D121" s="59">
        <v>40036247</v>
      </c>
      <c r="E121" s="60" t="s">
        <v>1955</v>
      </c>
      <c r="F121" s="59">
        <v>30132020204000</v>
      </c>
      <c r="G121" s="59">
        <v>0</v>
      </c>
      <c r="H121" s="60" t="s">
        <v>1234</v>
      </c>
      <c r="I121" s="60">
        <v>24</v>
      </c>
      <c r="J121" s="59" t="s">
        <v>1646</v>
      </c>
      <c r="K121" s="60" t="str">
        <f>Table43[[#This Row],[NamaJenisKemasan]]</f>
        <v>SET</v>
      </c>
      <c r="L121" s="4" t="str">
        <f>TRIM(CONCATENATE(Table43[[#This Row],[Nama            KLP]]," ",Table43[[#This Row],[Nama            Sub KLP]]))</f>
        <v>HIT GOODKNIGHT EXPRESS</v>
      </c>
      <c r="M121" s="4" t="str">
        <f>CONCATENATE(Table43[[#This Row],[kode  2 Digit                (hrf+No)]],Table43[[#This Row],[kode  2 Digit                (Nomor)]],Table43[[#This Row],[kode  1 Digit                (Nomor)]])</f>
        <v>G1073</v>
      </c>
      <c r="N121" s="4" t="str">
        <f>IF(AI121="",CONCATENATE(S121,U121,W121,Y121,AA121,AC121,AE121,AG121,Table43[[#This Row],[Tanda Kode Revisi]]),CONCATENATE(S121,U121,W121,Y121,AA121,AC121,AE121,AI121))</f>
        <v>G1073001000010</v>
      </c>
      <c r="O121" s="11">
        <f t="shared" si="2"/>
        <v>14</v>
      </c>
      <c r="P121" s="14" t="str">
        <f>IF(AH121&lt;&gt;"",TRIM(UPPER(CONCATENATE(R121," ",T121," ",V121," ",X121," ",Z121," ",AB121," ","X"," ",Table43[[#This Row],[ISI/CTN]]," ",AH121," ",AD121," ",AF121," ",AJ121))),TRIM(UPPER(CONCATENATE(R121," ",T121," ",V121," ",X121," ",Z121," ",AB121," ","X"," ",Table43[[#This Row],[ISI/CTN]]," ",AD121," ",AF121," ",AJ121))))</f>
        <v>HIT GOODKNIGHT EXPRESS APPLE X 24 SET</v>
      </c>
      <c r="Q121" s="11">
        <f t="shared" si="3"/>
        <v>37</v>
      </c>
      <c r="S121" s="7" t="s">
        <v>34</v>
      </c>
      <c r="T121" s="4" t="s">
        <v>2242</v>
      </c>
      <c r="U121" s="47" t="s">
        <v>2544</v>
      </c>
      <c r="V121" s="48" t="s">
        <v>2272</v>
      </c>
      <c r="W121" s="7">
        <v>3</v>
      </c>
      <c r="X121" s="48"/>
      <c r="Y121" s="47" t="s">
        <v>1116</v>
      </c>
      <c r="Z121" s="4" t="s">
        <v>2264</v>
      </c>
      <c r="AA121" s="49" t="s">
        <v>1115</v>
      </c>
      <c r="AC121" s="49" t="s">
        <v>2460</v>
      </c>
      <c r="AD121" s="4" t="s">
        <v>2222</v>
      </c>
      <c r="AE121" s="7">
        <v>1</v>
      </c>
      <c r="AG121" s="7">
        <v>0</v>
      </c>
      <c r="AK121" s="70">
        <f>Table43[[#This Row],[Column4]]</f>
        <v>30132020204000</v>
      </c>
      <c r="AN121" s="7">
        <f>Table43[[#This Row],[ISI/CTN]]</f>
        <v>24</v>
      </c>
      <c r="AO121" s="38">
        <f>Table43[[#This Row],[Harga Jual Pcs GT
(-PPN)]]-(Table43[[#This Row],[Harga Jual Pcs GT
(-PPN)]]*6.5%)</f>
        <v>14492.5</v>
      </c>
      <c r="AP121" s="38">
        <f>Table43[[#This Row],[Harga Beli Pcs
(-PPN)]]*Table43[[#This Row],[ISI/CTN]]</f>
        <v>347820</v>
      </c>
      <c r="AQ121" s="38">
        <f>Table43[[#This Row],[Harga Beli Pcs
(-PPN)]]*1.11</f>
        <v>16086.675000000001</v>
      </c>
      <c r="AR121" s="38">
        <f>Table43[[#This Row],[Harga Beli Krt
(- PPN)]]*1.11</f>
        <v>386080.2</v>
      </c>
      <c r="AS121" s="38">
        <v>15500</v>
      </c>
      <c r="AT121" s="38">
        <f>Table43[[#This Row],[Harga Jual Pcs GT
(-PPN)]]*Table43[[#This Row],[ISI/CTN]]</f>
        <v>372000</v>
      </c>
      <c r="AU121" s="38">
        <f>Table43[[#This Row],[Harga Jual Pcs GT
(-PPN)]]*1.11</f>
        <v>17205</v>
      </c>
      <c r="AV121" s="38">
        <f>Table43[[#This Row],[Harga Jual Krt GT
(- PPN)]]*1.11</f>
        <v>412920.00000000006</v>
      </c>
      <c r="AW121" s="38">
        <f>IFERROR(VLOOKUP(Table43[[#This Row],[Kode Pcpl]],'[1]FEB 2026'!$A$3:$X$312,24,0),0)</f>
        <v>0</v>
      </c>
      <c r="AX121" s="38">
        <f>Table43[[#This Row],[Harga Jual Pcs MT
(-PPN)]]*Table43[[#This Row],[ISI/CTN]]</f>
        <v>0</v>
      </c>
      <c r="AY121" s="38">
        <f>Table43[[#This Row],[Harga Jual Pcs MT
(-PPN)]]*1.11</f>
        <v>0</v>
      </c>
      <c r="AZ121" s="38">
        <f>Table43[[#This Row],[Harga Jual Pcs MT
(+PPN)]]*Table43[[#This Row],[ISI/CTN]]</f>
        <v>0</v>
      </c>
      <c r="BA121" s="46">
        <f>(Table43[[#This Row],[Harga Jual Pcs GT
(-PPN)]]-Table43[[#This Row],[Harga Beli Pcs
(-PPN)]])/Table43[[#This Row],[Harga Jual Pcs GT
(-PPN)]]</f>
        <v>6.5000000000000002E-2</v>
      </c>
      <c r="BB121" s="53">
        <f>Table43[[#This Row],[Harga Jual Pcs MT
(-PPN)]]-Table43[[#This Row],[Harga Beli Pcs
(-PPN)]]</f>
        <v>-14492.5</v>
      </c>
      <c r="BC121" s="54" t="e">
        <f>Table43[[#This Row],[Column1]]/Table43[[#This Row],[Harga Jual Pcs MT
(-PPN)]]</f>
        <v>#DIV/0!</v>
      </c>
      <c r="BD121" s="52"/>
      <c r="BE121" s="7"/>
      <c r="BF121" s="7" t="str">
        <f ca="1">IF(TODAY()-Table43[[#This Row],[Efektif
Pembuatan]]&gt;60,"Lama","Baru")</f>
        <v>Lama</v>
      </c>
      <c r="BG121" s="7" t="str">
        <f ca="1">IF(TODAY()-Table43[[#This Row],[Efektif Naik Harga]]&lt;30,"Naik","Sama")</f>
        <v>Sama</v>
      </c>
      <c r="BH121" s="7"/>
      <c r="BI121" s="7" t="str">
        <f>IF(Table43[[#This Row],[Kode BARANG Win2]]&lt;&gt;"","IDR","")</f>
        <v>IDR</v>
      </c>
      <c r="BJ121" s="7" t="str">
        <f>CONCATENATE(Table43[[#This Row],[kode  1 Digit
(Nomor)]],Table43[[#This Row],[kode  4 Digit                (Nomor)]])</f>
        <v>0000</v>
      </c>
      <c r="BK121" s="7">
        <f>Table43[[#This Row],[Nama            Gramasi atau Jumlah Pack per CTN]]</f>
        <v>0</v>
      </c>
      <c r="BL121" s="7"/>
      <c r="BM121" s="7"/>
      <c r="BN121" s="4" t="str">
        <f>IF(Table43[[#This Row],[SATUAN Fix Win]]&lt;&gt;"","KRT")</f>
        <v>KRT</v>
      </c>
      <c r="BO121" s="4" t="str">
        <f>IF(Table43[[#This Row],[SATUAN Fix Win]]&lt;&gt;"","GD01")</f>
        <v>GD01</v>
      </c>
      <c r="BP121" s="4">
        <f>IF(Table43[[#This Row],[SATUAN Fix Win]]&lt;&gt;"",11611)</f>
        <v>11611</v>
      </c>
      <c r="BQ121" s="4">
        <f>IF(Table43[[#This Row],[SATUAN Fix Win]]&lt;&gt;"",11612)</f>
        <v>11612</v>
      </c>
      <c r="BS121" s="4">
        <f>IF(Table43[[#This Row],[SATUAN Fix Win]]&lt;&gt;"",1)</f>
        <v>1</v>
      </c>
      <c r="BU121" s="4">
        <f>Table43[[#This Row],[ISI/CTN]]</f>
        <v>24</v>
      </c>
    </row>
    <row r="122" spans="1:75" s="87" customFormat="1">
      <c r="A122" s="4" t="str">
        <f>CONCATENATE(Table43[[#This Row],[Kode BARANG Win2]],Table43[[#This Row],[No. Urut
Item Sama]])</f>
        <v>G1073001000010</v>
      </c>
      <c r="B122" s="7"/>
      <c r="C122" s="31">
        <v>30112040004000</v>
      </c>
      <c r="D122" s="51">
        <v>40057200</v>
      </c>
      <c r="E122" s="27" t="s">
        <v>1955</v>
      </c>
      <c r="F122" s="51">
        <v>30132020204000</v>
      </c>
      <c r="G122" s="51">
        <v>0</v>
      </c>
      <c r="H122" s="27" t="s">
        <v>1235</v>
      </c>
      <c r="I122" s="27">
        <v>24</v>
      </c>
      <c r="J122" s="51" t="s">
        <v>1646</v>
      </c>
      <c r="K122" s="27" t="str">
        <f>Table43[[#This Row],[NamaJenisKemasan]]</f>
        <v>SET</v>
      </c>
      <c r="L122" s="4" t="str">
        <f>TRIM(CONCATENATE(Table43[[#This Row],[Nama            KLP]]," ",Table43[[#This Row],[Nama            Sub KLP]]))</f>
        <v>HIT GOODKNIGHT EXPRESS</v>
      </c>
      <c r="M122" s="4" t="str">
        <f>CONCATENATE(Table43[[#This Row],[kode  2 Digit                (hrf+No)]],Table43[[#This Row],[kode  2 Digit                (Nomor)]],Table43[[#This Row],[kode  1 Digit                (Nomor)]])</f>
        <v>G1073</v>
      </c>
      <c r="N122" s="4" t="str">
        <f>IF(AI122="",CONCATENATE(S122,U122,W122,Y122,AA122,AC122,AE122,AG122,Table43[[#This Row],[Tanda Kode Revisi]]),CONCATENATE(S122,U122,W122,Y122,AA122,AC122,AE122,AI122))</f>
        <v>G1073001000010</v>
      </c>
      <c r="O122" s="11">
        <f t="shared" si="2"/>
        <v>14</v>
      </c>
      <c r="P122" s="14" t="str">
        <f>IF(AH122&lt;&gt;"",TRIM(UPPER(CONCATENATE(R122," ",T122," ",V122," ",X122," ",Z122," ",AB122," ","X"," ",Table43[[#This Row],[ISI/CTN]]," ",AH122," ",AD122," ",AF122," ",AJ122))),TRIM(UPPER(CONCATENATE(R122," ",T122," ",V122," ",X122," ",Z122," ",AB122," ","X"," ",Table43[[#This Row],[ISI/CTN]]," ",AD122," ",AF122," ",AJ122))))</f>
        <v>HIT GOODKNIGHT EXPRESS APPLE X 24 SET</v>
      </c>
      <c r="Q122" s="11">
        <f t="shared" si="3"/>
        <v>37</v>
      </c>
      <c r="R122" s="4"/>
      <c r="S122" s="7" t="s">
        <v>34</v>
      </c>
      <c r="T122" s="4" t="s">
        <v>2242</v>
      </c>
      <c r="U122" s="47" t="s">
        <v>2544</v>
      </c>
      <c r="V122" s="48" t="s">
        <v>2272</v>
      </c>
      <c r="W122" s="7">
        <v>3</v>
      </c>
      <c r="X122" s="48"/>
      <c r="Y122" s="47" t="s">
        <v>1116</v>
      </c>
      <c r="Z122" s="4" t="s">
        <v>2264</v>
      </c>
      <c r="AA122" s="49" t="s">
        <v>1115</v>
      </c>
      <c r="AB122" s="4"/>
      <c r="AC122" s="49" t="s">
        <v>2460</v>
      </c>
      <c r="AD122" s="4" t="s">
        <v>2222</v>
      </c>
      <c r="AE122" s="7">
        <v>1</v>
      </c>
      <c r="AF122" s="4"/>
      <c r="AG122" s="7">
        <v>0</v>
      </c>
      <c r="AH122" s="7"/>
      <c r="AI122" s="7"/>
      <c r="AJ122" s="7"/>
      <c r="AK122" s="70">
        <f>Table43[[#This Row],[Column4]]</f>
        <v>30132020204000</v>
      </c>
      <c r="AL122" s="7"/>
      <c r="AM122" s="7"/>
      <c r="AN122" s="7">
        <f>Table43[[#This Row],[ISI/CTN]]</f>
        <v>24</v>
      </c>
      <c r="AO122" s="38">
        <f>Table43[[#This Row],[Harga Jual Pcs GT
(-PPN)]]-(Table43[[#This Row],[Harga Jual Pcs GT
(-PPN)]]*6.5%)</f>
        <v>14492.5</v>
      </c>
      <c r="AP122" s="38">
        <f>Table43[[#This Row],[Harga Beli Pcs
(-PPN)]]*Table43[[#This Row],[ISI/CTN]]</f>
        <v>347820</v>
      </c>
      <c r="AQ122" s="38">
        <f>Table43[[#This Row],[Harga Beli Pcs
(-PPN)]]*1.11</f>
        <v>16086.675000000001</v>
      </c>
      <c r="AR122" s="38">
        <f>Table43[[#This Row],[Harga Beli Krt
(- PPN)]]*1.11</f>
        <v>386080.2</v>
      </c>
      <c r="AS122" s="38">
        <v>15500</v>
      </c>
      <c r="AT122" s="38">
        <f>Table43[[#This Row],[Harga Jual Pcs GT
(-PPN)]]*Table43[[#This Row],[ISI/CTN]]</f>
        <v>372000</v>
      </c>
      <c r="AU122" s="38">
        <f>Table43[[#This Row],[Harga Jual Pcs GT
(-PPN)]]*1.11</f>
        <v>17205</v>
      </c>
      <c r="AV122" s="38">
        <f>Table43[[#This Row],[Harga Jual Krt GT
(- PPN)]]*1.11</f>
        <v>412920.00000000006</v>
      </c>
      <c r="AW122" s="38">
        <f>IFERROR(VLOOKUP(Table43[[#This Row],[Kode Pcpl]],'[1]FEB 2026'!$A$3:$X$312,24,0),0)</f>
        <v>0</v>
      </c>
      <c r="AX122" s="38">
        <f>Table43[[#This Row],[Harga Jual Pcs MT
(-PPN)]]*Table43[[#This Row],[ISI/CTN]]</f>
        <v>0</v>
      </c>
      <c r="AY122" s="38">
        <f>Table43[[#This Row],[Harga Jual Pcs MT
(-PPN)]]*1.11</f>
        <v>0</v>
      </c>
      <c r="AZ122" s="38">
        <f>Table43[[#This Row],[Harga Jual Pcs MT
(+PPN)]]*Table43[[#This Row],[ISI/CTN]]</f>
        <v>0</v>
      </c>
      <c r="BA122" s="46">
        <f>(Table43[[#This Row],[Harga Jual Pcs GT
(-PPN)]]-Table43[[#This Row],[Harga Beli Pcs
(-PPN)]])/Table43[[#This Row],[Harga Jual Pcs GT
(-PPN)]]</f>
        <v>6.5000000000000002E-2</v>
      </c>
      <c r="BB122" s="53">
        <f>Table43[[#This Row],[Harga Jual Pcs MT
(-PPN)]]-Table43[[#This Row],[Harga Beli Pcs
(-PPN)]]</f>
        <v>-14492.5</v>
      </c>
      <c r="BC122" s="54" t="e">
        <f>Table43[[#This Row],[Column1]]/Table43[[#This Row],[Harga Jual Pcs MT
(-PPN)]]</f>
        <v>#DIV/0!</v>
      </c>
      <c r="BD122" s="52"/>
      <c r="BE122" s="7"/>
      <c r="BF122" s="7" t="str">
        <f ca="1">IF(TODAY()-Table43[[#This Row],[Efektif
Pembuatan]]&gt;60,"Lama","Baru")</f>
        <v>Lama</v>
      </c>
      <c r="BG122" s="7" t="str">
        <f ca="1">IF(TODAY()-Table43[[#This Row],[Efektif Naik Harga]]&lt;30,"Naik","Sama")</f>
        <v>Sama</v>
      </c>
      <c r="BH122" s="7"/>
      <c r="BI122" s="7" t="str">
        <f>IF(Table43[[#This Row],[Kode BARANG Win2]]&lt;&gt;"","IDR","")</f>
        <v>IDR</v>
      </c>
      <c r="BJ122" s="7" t="str">
        <f>CONCATENATE(Table43[[#This Row],[kode  1 Digit
(Nomor)]],Table43[[#This Row],[kode  4 Digit                (Nomor)]])</f>
        <v>0000</v>
      </c>
      <c r="BK122" s="7">
        <f>Table43[[#This Row],[Nama            Gramasi atau Jumlah Pack per CTN]]</f>
        <v>0</v>
      </c>
      <c r="BL122" s="7"/>
      <c r="BM122" s="7"/>
      <c r="BN122" s="4" t="str">
        <f>IF(Table43[[#This Row],[SATUAN Fix Win]]&lt;&gt;"","KRT")</f>
        <v>KRT</v>
      </c>
      <c r="BO122" s="4" t="str">
        <f>IF(Table43[[#This Row],[SATUAN Fix Win]]&lt;&gt;"","GD01")</f>
        <v>GD01</v>
      </c>
      <c r="BP122" s="4">
        <f>IF(Table43[[#This Row],[SATUAN Fix Win]]&lt;&gt;"",11611)</f>
        <v>11611</v>
      </c>
      <c r="BQ122" s="4">
        <f>IF(Table43[[#This Row],[SATUAN Fix Win]]&lt;&gt;"",11612)</f>
        <v>11612</v>
      </c>
      <c r="BR122" s="4"/>
      <c r="BS122" s="4">
        <f>IF(Table43[[#This Row],[SATUAN Fix Win]]&lt;&gt;"",1)</f>
        <v>1</v>
      </c>
      <c r="BT122" s="4"/>
      <c r="BU122" s="4">
        <f>Table43[[#This Row],[ISI/CTN]]</f>
        <v>24</v>
      </c>
      <c r="BV122" s="71"/>
      <c r="BW122" s="71"/>
    </row>
    <row r="123" spans="1:75" s="87" customFormat="1">
      <c r="A123" s="4" t="str">
        <f>CONCATENATE(Table43[[#This Row],[Kode BARANG Win2]],Table43[[#This Row],[No. Urut
Item Sama]])</f>
        <v>G1073001000010</v>
      </c>
      <c r="B123" s="7"/>
      <c r="C123" s="31"/>
      <c r="D123" s="51">
        <v>40028235</v>
      </c>
      <c r="E123" s="27"/>
      <c r="F123" s="51"/>
      <c r="G123" s="51"/>
      <c r="H123" s="27"/>
      <c r="I123" s="27">
        <v>24</v>
      </c>
      <c r="J123" s="51" t="s">
        <v>1646</v>
      </c>
      <c r="K123" s="27" t="str">
        <f>Table43[[#This Row],[NamaJenisKemasan]]</f>
        <v>SET</v>
      </c>
      <c r="L123" s="4" t="str">
        <f>TRIM(CONCATENATE(Table43[[#This Row],[Nama            KLP]]," ",Table43[[#This Row],[Nama            Sub KLP]]))</f>
        <v>HIT GOODKNIGHT EXPRESS</v>
      </c>
      <c r="M123" s="4" t="str">
        <f>CONCATENATE(Table43[[#This Row],[kode  2 Digit                (hrf+No)]],Table43[[#This Row],[kode  2 Digit                (Nomor)]],Table43[[#This Row],[kode  1 Digit                (Nomor)]])</f>
        <v>G1073</v>
      </c>
      <c r="N123" s="4" t="str">
        <f>IF(AI123="",CONCATENATE(S123,U123,W123,Y123,AA123,AC123,AE123,AG123,Table43[[#This Row],[Tanda Kode Revisi]]),CONCATENATE(S123,U123,W123,Y123,AA123,AC123,AE123,AI123))</f>
        <v>G1073001000010</v>
      </c>
      <c r="O123" s="11">
        <f>LEN(N123)</f>
        <v>14</v>
      </c>
      <c r="P123" s="14" t="str">
        <f>IF(AH123&lt;&gt;"",TRIM(UPPER(CONCATENATE(R123," ",T123," ",V123," ",X123," ",Z123," ",AB123," ","X"," ",Table43[[#This Row],[ISI/CTN]]," ",AH123," ",AD123," ",AF123," ",AJ123))),TRIM(UPPER(CONCATENATE(R123," ",T123," ",V123," ",X123," ",Z123," ",AB123," ","X"," ",Table43[[#This Row],[ISI/CTN]]," ",AD123," ",AF123," ",AJ123))))</f>
        <v>HIT GOODKNIGHT EXPRESS APPLE X 24 SET</v>
      </c>
      <c r="Q123" s="11">
        <f>LEN(P123)</f>
        <v>37</v>
      </c>
      <c r="R123" s="4"/>
      <c r="S123" s="7" t="s">
        <v>34</v>
      </c>
      <c r="T123" s="4" t="s">
        <v>2242</v>
      </c>
      <c r="U123" s="47" t="s">
        <v>2544</v>
      </c>
      <c r="V123" s="48" t="s">
        <v>2272</v>
      </c>
      <c r="W123" s="7">
        <v>3</v>
      </c>
      <c r="X123" s="48"/>
      <c r="Y123" s="47" t="s">
        <v>1116</v>
      </c>
      <c r="Z123" s="4" t="s">
        <v>2264</v>
      </c>
      <c r="AA123" s="49" t="s">
        <v>1115</v>
      </c>
      <c r="AB123" s="4"/>
      <c r="AC123" s="49" t="s">
        <v>2460</v>
      </c>
      <c r="AD123" s="4" t="s">
        <v>2222</v>
      </c>
      <c r="AE123" s="7">
        <v>1</v>
      </c>
      <c r="AF123" s="4"/>
      <c r="AG123" s="7">
        <v>0</v>
      </c>
      <c r="AH123" s="7"/>
      <c r="AI123" s="7"/>
      <c r="AJ123" s="7"/>
      <c r="AK123" s="70">
        <f>Table43[[#This Row],[Column4]]</f>
        <v>0</v>
      </c>
      <c r="AL123" s="7"/>
      <c r="AM123" s="7"/>
      <c r="AN123" s="7">
        <f>Table43[[#This Row],[ISI/CTN]]</f>
        <v>24</v>
      </c>
      <c r="AO123" s="38">
        <f>Table43[[#This Row],[Harga Jual Pcs GT
(-PPN)]]-(Table43[[#This Row],[Harga Jual Pcs GT
(-PPN)]]*6.5%)</f>
        <v>0</v>
      </c>
      <c r="AP123" s="38">
        <f>Table43[[#This Row],[Harga Beli Pcs
(-PPN)]]*Table43[[#This Row],[ISI/CTN]]</f>
        <v>0</v>
      </c>
      <c r="AQ123" s="38">
        <f>Table43[[#This Row],[Harga Beli Pcs
(-PPN)]]*1.11</f>
        <v>0</v>
      </c>
      <c r="AR123" s="38">
        <f>Table43[[#This Row],[Harga Beli Krt
(- PPN)]]*1.11</f>
        <v>0</v>
      </c>
      <c r="AS123" s="38"/>
      <c r="AT123" s="38">
        <f>Table43[[#This Row],[Harga Jual Pcs GT
(-PPN)]]*Table43[[#This Row],[ISI/CTN]]</f>
        <v>0</v>
      </c>
      <c r="AU123" s="38">
        <f>Table43[[#This Row],[Harga Jual Pcs GT
(-PPN)]]*1.11</f>
        <v>0</v>
      </c>
      <c r="AV123" s="38">
        <f>Table43[[#This Row],[Harga Jual Krt GT
(- PPN)]]*1.11</f>
        <v>0</v>
      </c>
      <c r="AW123" s="38">
        <f>IFERROR(VLOOKUP(Table43[[#This Row],[Kode Pcpl]],'[1]FEB 2026'!$A$3:$X$312,24,0),0)</f>
        <v>0</v>
      </c>
      <c r="AX123" s="38">
        <f>Table43[[#This Row],[Harga Jual Pcs MT
(-PPN)]]*Table43[[#This Row],[ISI/CTN]]</f>
        <v>0</v>
      </c>
      <c r="AY123" s="38">
        <f>Table43[[#This Row],[Harga Jual Pcs MT
(-PPN)]]*1.11</f>
        <v>0</v>
      </c>
      <c r="AZ123" s="38">
        <f>Table43[[#This Row],[Harga Jual Pcs MT
(+PPN)]]*Table43[[#This Row],[ISI/CTN]]</f>
        <v>0</v>
      </c>
      <c r="BA123" s="46" t="e">
        <f>(Table43[[#This Row],[Harga Jual Pcs GT
(-PPN)]]-Table43[[#This Row],[Harga Beli Pcs
(-PPN)]])/Table43[[#This Row],[Harga Jual Pcs GT
(-PPN)]]</f>
        <v>#DIV/0!</v>
      </c>
      <c r="BB123" s="53">
        <f>Table43[[#This Row],[Harga Jual Pcs MT
(-PPN)]]-Table43[[#This Row],[Harga Beli Pcs
(-PPN)]]</f>
        <v>0</v>
      </c>
      <c r="BC123" s="54" t="e">
        <f>Table43[[#This Row],[Column1]]/Table43[[#This Row],[Harga Jual Pcs MT
(-PPN)]]</f>
        <v>#DIV/0!</v>
      </c>
      <c r="BD123" s="52"/>
      <c r="BE123" s="7"/>
      <c r="BF123" s="7" t="str">
        <f ca="1">IF(TODAY()-Table43[[#This Row],[Efektif
Pembuatan]]&gt;60,"Lama","Baru")</f>
        <v>Lama</v>
      </c>
      <c r="BG123" s="7" t="str">
        <f ca="1">IF(TODAY()-Table43[[#This Row],[Efektif Naik Harga]]&lt;30,"Naik","Sama")</f>
        <v>Sama</v>
      </c>
      <c r="BH123" s="7"/>
      <c r="BI123" s="7" t="str">
        <f>IF(Table43[[#This Row],[Kode BARANG Win2]]&lt;&gt;"","IDR","")</f>
        <v>IDR</v>
      </c>
      <c r="BJ123" s="7" t="str">
        <f>CONCATENATE(Table43[[#This Row],[kode  1 Digit
(Nomor)]],Table43[[#This Row],[kode  4 Digit                (Nomor)]])</f>
        <v>0000</v>
      </c>
      <c r="BK123" s="7">
        <f>Table43[[#This Row],[Nama            Gramasi atau Jumlah Pack per CTN]]</f>
        <v>0</v>
      </c>
      <c r="BL123" s="7"/>
      <c r="BM123" s="7"/>
      <c r="BN123" s="4" t="str">
        <f>IF(Table43[[#This Row],[SATUAN Fix Win]]&lt;&gt;"","KRT")</f>
        <v>KRT</v>
      </c>
      <c r="BO123" s="4" t="str">
        <f>IF(Table43[[#This Row],[SATUAN Fix Win]]&lt;&gt;"","GD01")</f>
        <v>GD01</v>
      </c>
      <c r="BP123" s="4">
        <f>IF(Table43[[#This Row],[SATUAN Fix Win]]&lt;&gt;"",11611)</f>
        <v>11611</v>
      </c>
      <c r="BQ123" s="4">
        <f>IF(Table43[[#This Row],[SATUAN Fix Win]]&lt;&gt;"",11612)</f>
        <v>11612</v>
      </c>
      <c r="BR123" s="4"/>
      <c r="BS123" s="4">
        <f>IF(Table43[[#This Row],[SATUAN Fix Win]]&lt;&gt;"",1)</f>
        <v>1</v>
      </c>
      <c r="BT123" s="4"/>
      <c r="BU123" s="4">
        <f>Table43[[#This Row],[ISI/CTN]]</f>
        <v>24</v>
      </c>
      <c r="BV123" s="71"/>
      <c r="BW123" s="71"/>
    </row>
    <row r="124" spans="1:75">
      <c r="A124" s="4" t="str">
        <f>CONCATENATE(Table43[[#This Row],[Kode BARANG Win2]],Table43[[#This Row],[No. Urut
Item Sama]])</f>
        <v>G1073101004510</v>
      </c>
      <c r="B124" s="7"/>
      <c r="C124" s="31">
        <v>30100010175000</v>
      </c>
      <c r="D124" s="59">
        <v>40036248</v>
      </c>
      <c r="E124" s="60" t="s">
        <v>1958</v>
      </c>
      <c r="F124" s="59">
        <v>30132060045010</v>
      </c>
      <c r="G124" s="59">
        <v>0</v>
      </c>
      <c r="H124" s="60" t="s">
        <v>1239</v>
      </c>
      <c r="I124" s="60">
        <v>144</v>
      </c>
      <c r="J124" s="59" t="s">
        <v>1649</v>
      </c>
      <c r="K124" s="60" t="str">
        <f>Table43[[#This Row],[NamaJenisKemasan]]</f>
        <v>BOX</v>
      </c>
      <c r="L124" s="4" t="str">
        <f>TRIM(CONCATENATE(Table43[[#This Row],[Nama            KLP]]," ",Table43[[#This Row],[Nama            Sub KLP]]))</f>
        <v>HIT GOODKNIGHT EXPRESS</v>
      </c>
      <c r="M124" s="4" t="str">
        <f>CONCATENATE(Table43[[#This Row],[kode  2 Digit                (hrf+No)]],Table43[[#This Row],[kode  2 Digit                (Nomor)]],Table43[[#This Row],[kode  1 Digit                (Nomor)]])</f>
        <v>G1073</v>
      </c>
      <c r="N124" s="4" t="str">
        <f>IF(AI124="",CONCATENATE(S124,U124,W124,Y124,AA124,AC124,AE124,AG124,Table43[[#This Row],[Tanda Kode Revisi]]),CONCATENATE(S124,U124,W124,Y124,AA124,AC124,AE124,AI124))</f>
        <v>G1073101004510</v>
      </c>
      <c r="O124" s="11">
        <f t="shared" si="2"/>
        <v>14</v>
      </c>
      <c r="P124" s="14" t="str">
        <f>IF(AH124&lt;&gt;"",TRIM(UPPER(CONCATENATE(R124," ",T124," ",V124," ",X124," ",Z124," ",AB124," ","X"," ",Table43[[#This Row],[ISI/CTN]]," ",AH124," ",AD124," ",AF124," ",AJ124))),TRIM(UPPER(CONCATENATE(R124," ",T124," ",V124," ",X124," ",Z124," ",AB124," ","X"," ",Table43[[#This Row],[ISI/CTN]]," ",AD124," ",AF124," ",AJ124))))</f>
        <v>HIT GOODKNIGHT EXPRESS REFILL APPLE 45ML X 144 BOX</v>
      </c>
      <c r="Q124" s="11">
        <f t="shared" si="3"/>
        <v>50</v>
      </c>
      <c r="S124" s="7" t="s">
        <v>34</v>
      </c>
      <c r="T124" s="4" t="s">
        <v>2242</v>
      </c>
      <c r="U124" s="47" t="s">
        <v>2544</v>
      </c>
      <c r="V124" s="48" t="s">
        <v>2272</v>
      </c>
      <c r="W124" s="7">
        <v>3</v>
      </c>
      <c r="X124" s="48" t="s">
        <v>2231</v>
      </c>
      <c r="Y124" s="47" t="s">
        <v>2539</v>
      </c>
      <c r="Z124" s="4" t="s">
        <v>2264</v>
      </c>
      <c r="AA124" s="49" t="s">
        <v>1115</v>
      </c>
      <c r="AB124" s="4" t="s">
        <v>2271</v>
      </c>
      <c r="AC124" s="49" t="s">
        <v>2626</v>
      </c>
      <c r="AD124" s="4" t="s">
        <v>662</v>
      </c>
      <c r="AE124" s="7">
        <v>1</v>
      </c>
      <c r="AG124" s="7">
        <v>0</v>
      </c>
      <c r="AK124" s="70">
        <f>Table43[[#This Row],[Column4]]</f>
        <v>30132060045010</v>
      </c>
      <c r="AN124" s="7">
        <f>Table43[[#This Row],[ISI/CTN]]</f>
        <v>144</v>
      </c>
      <c r="AO124" s="38">
        <f>Table43[[#This Row],[Harga Jual Pcs GT
(-PPN)]]-(Table43[[#This Row],[Harga Jual Pcs GT
(-PPN)]]*6.5%)</f>
        <v>12248.5</v>
      </c>
      <c r="AP124" s="38">
        <f>Table43[[#This Row],[Harga Beli Pcs
(-PPN)]]*Table43[[#This Row],[ISI/CTN]]</f>
        <v>1763784</v>
      </c>
      <c r="AQ124" s="38">
        <f>Table43[[#This Row],[Harga Beli Pcs
(-PPN)]]*1.11</f>
        <v>13595.835000000001</v>
      </c>
      <c r="AR124" s="38">
        <f>Table43[[#This Row],[Harga Beli Krt
(- PPN)]]*1.11</f>
        <v>1957800.2400000002</v>
      </c>
      <c r="AS124" s="38">
        <v>13100</v>
      </c>
      <c r="AT124" s="38">
        <f>Table43[[#This Row],[Harga Jual Pcs GT
(-PPN)]]*Table43[[#This Row],[ISI/CTN]]</f>
        <v>1886400</v>
      </c>
      <c r="AU124" s="38">
        <f>Table43[[#This Row],[Harga Jual Pcs GT
(-PPN)]]*1.11</f>
        <v>14541.000000000002</v>
      </c>
      <c r="AV124" s="38">
        <f>Table43[[#This Row],[Harga Jual Krt GT
(- PPN)]]*1.11</f>
        <v>2093904.0000000002</v>
      </c>
      <c r="AW124" s="38">
        <f>IFERROR(VLOOKUP(Table43[[#This Row],[Kode Pcpl]],'[1]FEB 2026'!$A$3:$X$312,24,0),0)</f>
        <v>0</v>
      </c>
      <c r="AX124" s="38">
        <f>Table43[[#This Row],[Harga Jual Pcs MT
(-PPN)]]*Table43[[#This Row],[ISI/CTN]]</f>
        <v>0</v>
      </c>
      <c r="AY124" s="38">
        <f>Table43[[#This Row],[Harga Jual Pcs MT
(-PPN)]]*1.11</f>
        <v>0</v>
      </c>
      <c r="AZ124" s="38">
        <f>Table43[[#This Row],[Harga Jual Pcs MT
(+PPN)]]*Table43[[#This Row],[ISI/CTN]]</f>
        <v>0</v>
      </c>
      <c r="BA124" s="46">
        <f>(Table43[[#This Row],[Harga Jual Pcs GT
(-PPN)]]-Table43[[#This Row],[Harga Beli Pcs
(-PPN)]])/Table43[[#This Row],[Harga Jual Pcs GT
(-PPN)]]</f>
        <v>6.5000000000000002E-2</v>
      </c>
      <c r="BB124" s="53">
        <f>Table43[[#This Row],[Harga Jual Pcs MT
(-PPN)]]-Table43[[#This Row],[Harga Beli Pcs
(-PPN)]]</f>
        <v>-12248.5</v>
      </c>
      <c r="BC124" s="54" t="e">
        <f>Table43[[#This Row],[Column1]]/Table43[[#This Row],[Harga Jual Pcs MT
(-PPN)]]</f>
        <v>#DIV/0!</v>
      </c>
      <c r="BD124" s="52"/>
      <c r="BE124" s="7"/>
      <c r="BF124" s="7" t="str">
        <f ca="1">IF(TODAY()-Table43[[#This Row],[Efektif
Pembuatan]]&gt;60,"Lama","Baru")</f>
        <v>Lama</v>
      </c>
      <c r="BG124" s="7" t="str">
        <f ca="1">IF(TODAY()-Table43[[#This Row],[Efektif Naik Harga]]&lt;30,"Naik","Sama")</f>
        <v>Sama</v>
      </c>
      <c r="BH124" s="7"/>
      <c r="BI124" s="7" t="str">
        <f>IF(Table43[[#This Row],[Kode BARANG Win2]]&lt;&gt;"","IDR","")</f>
        <v>IDR</v>
      </c>
      <c r="BJ124" s="7" t="str">
        <f>CONCATENATE(Table43[[#This Row],[kode  1 Digit
(Nomor)]],Table43[[#This Row],[kode  4 Digit                (Nomor)]])</f>
        <v>0045</v>
      </c>
      <c r="BK124" s="7" t="str">
        <f>Table43[[#This Row],[Nama            Gramasi atau Jumlah Pack per CTN]]</f>
        <v>45ML</v>
      </c>
      <c r="BL124" s="7"/>
      <c r="BM124" s="7"/>
      <c r="BN124" s="4" t="str">
        <f>IF(Table43[[#This Row],[SATUAN Fix Win]]&lt;&gt;"","KRT")</f>
        <v>KRT</v>
      </c>
      <c r="BO124" s="4" t="str">
        <f>IF(Table43[[#This Row],[SATUAN Fix Win]]&lt;&gt;"","GD01")</f>
        <v>GD01</v>
      </c>
      <c r="BP124" s="4">
        <f>IF(Table43[[#This Row],[SATUAN Fix Win]]&lt;&gt;"",11611)</f>
        <v>11611</v>
      </c>
      <c r="BQ124" s="4">
        <f>IF(Table43[[#This Row],[SATUAN Fix Win]]&lt;&gt;"",11612)</f>
        <v>11612</v>
      </c>
      <c r="BS124" s="4">
        <f>IF(Table43[[#This Row],[SATUAN Fix Win]]&lt;&gt;"",1)</f>
        <v>1</v>
      </c>
      <c r="BU124" s="4">
        <f>Table43[[#This Row],[ISI/CTN]]</f>
        <v>144</v>
      </c>
    </row>
    <row r="125" spans="1:75">
      <c r="A125" s="4" t="str">
        <f>CONCATENATE(Table43[[#This Row],[Kode BARANG Win2]],Table43[[#This Row],[No. Urut
Item Sama]])</f>
        <v>G1073101004510</v>
      </c>
      <c r="B125" s="7"/>
      <c r="C125" s="31">
        <v>30112040004000</v>
      </c>
      <c r="D125" s="59">
        <v>40057201</v>
      </c>
      <c r="E125" s="60" t="s">
        <v>1958</v>
      </c>
      <c r="F125" s="59">
        <v>30132060045010</v>
      </c>
      <c r="G125" s="59">
        <v>0</v>
      </c>
      <c r="H125" s="60" t="s">
        <v>1240</v>
      </c>
      <c r="I125" s="60">
        <v>144</v>
      </c>
      <c r="J125" s="59" t="s">
        <v>1649</v>
      </c>
      <c r="K125" s="60" t="str">
        <f>Table43[[#This Row],[NamaJenisKemasan]]</f>
        <v>BOX</v>
      </c>
      <c r="L125" s="4" t="str">
        <f>TRIM(CONCATENATE(Table43[[#This Row],[Nama            KLP]]," ",Table43[[#This Row],[Nama            Sub KLP]]))</f>
        <v>HIT GOODKNIGHT EXPRESS</v>
      </c>
      <c r="M125" s="4" t="str">
        <f>CONCATENATE(Table43[[#This Row],[kode  2 Digit                (hrf+No)]],Table43[[#This Row],[kode  2 Digit                (Nomor)]],Table43[[#This Row],[kode  1 Digit                (Nomor)]])</f>
        <v>G1073</v>
      </c>
      <c r="N125" s="4" t="str">
        <f>IF(AI125="",CONCATENATE(S125,U125,W125,Y125,AA125,AC125,AE125,AG125,Table43[[#This Row],[Tanda Kode Revisi]]),CONCATENATE(S125,U125,W125,Y125,AA125,AC125,AE125,AI125))</f>
        <v>G1073101004510</v>
      </c>
      <c r="O125" s="11">
        <f t="shared" si="2"/>
        <v>14</v>
      </c>
      <c r="P125" s="14" t="str">
        <f>IF(AH125&lt;&gt;"",TRIM(UPPER(CONCATENATE(R125," ",T125," ",V125," ",X125," ",Z125," ",AB125," ","X"," ",Table43[[#This Row],[ISI/CTN]]," ",AH125," ",AD125," ",AF125," ",AJ125))),TRIM(UPPER(CONCATENATE(R125," ",T125," ",V125," ",X125," ",Z125," ",AB125," ","X"," ",Table43[[#This Row],[ISI/CTN]]," ",AD125," ",AF125," ",AJ125))))</f>
        <v>HIT GOODKNIGHT EXPRESS REFILL APPLE 45ML X 144 BOX</v>
      </c>
      <c r="Q125" s="11">
        <f t="shared" si="3"/>
        <v>50</v>
      </c>
      <c r="S125" s="7" t="s">
        <v>34</v>
      </c>
      <c r="T125" s="4" t="s">
        <v>2242</v>
      </c>
      <c r="U125" s="47" t="s">
        <v>2544</v>
      </c>
      <c r="V125" s="48" t="s">
        <v>2272</v>
      </c>
      <c r="W125" s="7">
        <v>3</v>
      </c>
      <c r="X125" s="48" t="s">
        <v>2231</v>
      </c>
      <c r="Y125" s="47" t="s">
        <v>2539</v>
      </c>
      <c r="Z125" s="4" t="s">
        <v>2264</v>
      </c>
      <c r="AA125" s="49" t="s">
        <v>1115</v>
      </c>
      <c r="AB125" s="4" t="s">
        <v>2271</v>
      </c>
      <c r="AC125" s="49" t="s">
        <v>2626</v>
      </c>
      <c r="AD125" s="4" t="s">
        <v>662</v>
      </c>
      <c r="AE125" s="7">
        <v>1</v>
      </c>
      <c r="AG125" s="7">
        <v>0</v>
      </c>
      <c r="AK125" s="70">
        <f>Table43[[#This Row],[Column4]]</f>
        <v>30132060045010</v>
      </c>
      <c r="AN125" s="7">
        <f>Table43[[#This Row],[ISI/CTN]]</f>
        <v>144</v>
      </c>
      <c r="AO125" s="38">
        <f>Table43[[#This Row],[Harga Jual Pcs GT
(-PPN)]]-(Table43[[#This Row],[Harga Jual Pcs GT
(-PPN)]]*6.5%)</f>
        <v>12248.5</v>
      </c>
      <c r="AP125" s="38">
        <f>Table43[[#This Row],[Harga Beli Pcs
(-PPN)]]*Table43[[#This Row],[ISI/CTN]]</f>
        <v>1763784</v>
      </c>
      <c r="AQ125" s="38">
        <f>Table43[[#This Row],[Harga Beli Pcs
(-PPN)]]*1.11</f>
        <v>13595.835000000001</v>
      </c>
      <c r="AR125" s="38">
        <f>Table43[[#This Row],[Harga Beli Krt
(- PPN)]]*1.11</f>
        <v>1957800.2400000002</v>
      </c>
      <c r="AS125" s="38">
        <v>13100</v>
      </c>
      <c r="AT125" s="38">
        <f>Table43[[#This Row],[Harga Jual Pcs GT
(-PPN)]]*Table43[[#This Row],[ISI/CTN]]</f>
        <v>1886400</v>
      </c>
      <c r="AU125" s="38">
        <f>Table43[[#This Row],[Harga Jual Pcs GT
(-PPN)]]*1.11</f>
        <v>14541.000000000002</v>
      </c>
      <c r="AV125" s="38">
        <f>Table43[[#This Row],[Harga Jual Krt GT
(- PPN)]]*1.11</f>
        <v>2093904.0000000002</v>
      </c>
      <c r="AW125" s="38">
        <f>IFERROR(VLOOKUP(Table43[[#This Row],[Kode Pcpl]],'[1]FEB 2026'!$A$3:$X$312,24,0),0)</f>
        <v>0</v>
      </c>
      <c r="AX125" s="38">
        <f>Table43[[#This Row],[Harga Jual Pcs MT
(-PPN)]]*Table43[[#This Row],[ISI/CTN]]</f>
        <v>0</v>
      </c>
      <c r="AY125" s="38">
        <f>Table43[[#This Row],[Harga Jual Pcs MT
(-PPN)]]*1.11</f>
        <v>0</v>
      </c>
      <c r="AZ125" s="38">
        <f>Table43[[#This Row],[Harga Jual Pcs MT
(+PPN)]]*Table43[[#This Row],[ISI/CTN]]</f>
        <v>0</v>
      </c>
      <c r="BA125" s="46">
        <f>(Table43[[#This Row],[Harga Jual Pcs GT
(-PPN)]]-Table43[[#This Row],[Harga Beli Pcs
(-PPN)]])/Table43[[#This Row],[Harga Jual Pcs GT
(-PPN)]]</f>
        <v>6.5000000000000002E-2</v>
      </c>
      <c r="BB125" s="53">
        <f>Table43[[#This Row],[Harga Jual Pcs MT
(-PPN)]]-Table43[[#This Row],[Harga Beli Pcs
(-PPN)]]</f>
        <v>-12248.5</v>
      </c>
      <c r="BC125" s="54" t="e">
        <f>Table43[[#This Row],[Column1]]/Table43[[#This Row],[Harga Jual Pcs MT
(-PPN)]]</f>
        <v>#DIV/0!</v>
      </c>
      <c r="BD125" s="52"/>
      <c r="BE125" s="7"/>
      <c r="BF125" s="7" t="str">
        <f ca="1">IF(TODAY()-Table43[[#This Row],[Efektif
Pembuatan]]&gt;60,"Lama","Baru")</f>
        <v>Lama</v>
      </c>
      <c r="BG125" s="7" t="str">
        <f ca="1">IF(TODAY()-Table43[[#This Row],[Efektif Naik Harga]]&lt;30,"Naik","Sama")</f>
        <v>Sama</v>
      </c>
      <c r="BH125" s="7"/>
      <c r="BI125" s="7" t="str">
        <f>IF(Table43[[#This Row],[Kode BARANG Win2]]&lt;&gt;"","IDR","")</f>
        <v>IDR</v>
      </c>
      <c r="BJ125" s="7" t="str">
        <f>CONCATENATE(Table43[[#This Row],[kode  1 Digit
(Nomor)]],Table43[[#This Row],[kode  4 Digit                (Nomor)]])</f>
        <v>0045</v>
      </c>
      <c r="BK125" s="7" t="str">
        <f>Table43[[#This Row],[Nama            Gramasi atau Jumlah Pack per CTN]]</f>
        <v>45ML</v>
      </c>
      <c r="BL125" s="7"/>
      <c r="BM125" s="7"/>
      <c r="BN125" s="4" t="str">
        <f>IF(Table43[[#This Row],[SATUAN Fix Win]]&lt;&gt;"","KRT")</f>
        <v>KRT</v>
      </c>
      <c r="BO125" s="4" t="str">
        <f>IF(Table43[[#This Row],[SATUAN Fix Win]]&lt;&gt;"","GD01")</f>
        <v>GD01</v>
      </c>
      <c r="BP125" s="4">
        <f>IF(Table43[[#This Row],[SATUAN Fix Win]]&lt;&gt;"",11611)</f>
        <v>11611</v>
      </c>
      <c r="BQ125" s="4">
        <f>IF(Table43[[#This Row],[SATUAN Fix Win]]&lt;&gt;"",11612)</f>
        <v>11612</v>
      </c>
      <c r="BS125" s="4">
        <f>IF(Table43[[#This Row],[SATUAN Fix Win]]&lt;&gt;"",1)</f>
        <v>1</v>
      </c>
      <c r="BU125" s="4">
        <f>Table43[[#This Row],[ISI/CTN]]</f>
        <v>144</v>
      </c>
    </row>
    <row r="126" spans="1:75" s="87" customFormat="1">
      <c r="A126" s="71" t="str">
        <f>CONCATENATE(Table43[[#This Row],[Kode BARANG Win2]],Table43[[#This Row],[No. Urut
Item Sama]])</f>
        <v>G1073101004510</v>
      </c>
      <c r="B126" s="72"/>
      <c r="C126" s="73"/>
      <c r="D126" s="74">
        <v>40061095</v>
      </c>
      <c r="E126" s="75" t="s">
        <v>3470</v>
      </c>
      <c r="F126" s="74"/>
      <c r="G126" s="74"/>
      <c r="H126" s="75" t="s">
        <v>3470</v>
      </c>
      <c r="I126" s="75"/>
      <c r="J126" s="74"/>
      <c r="K126" s="75" t="str">
        <f>Table43[[#This Row],[NamaJenisKemasan]]</f>
        <v>BOX</v>
      </c>
      <c r="L126" s="71" t="str">
        <f>TRIM(CONCATENATE(Table43[[#This Row],[Nama            KLP]]," ",Table43[[#This Row],[Nama            Sub KLP]]))</f>
        <v>HIT GOODKNIGHT EXPRESS</v>
      </c>
      <c r="M126" s="71" t="str">
        <f>CONCATENATE(Table43[[#This Row],[kode  2 Digit                (hrf+No)]],Table43[[#This Row],[kode  2 Digit                (Nomor)]],Table43[[#This Row],[kode  1 Digit                (Nomor)]])</f>
        <v>G1073</v>
      </c>
      <c r="N126" s="71" t="str">
        <f>IF(AI126="",CONCATENATE(S126,U126,W126,Y126,AA126,AC126,AE126,AG126,Table43[[#This Row],[Tanda Kode Revisi]]),CONCATENATE(S126,U126,W126,Y126,AA126,AC126,AE126,AI126))</f>
        <v>G1073101004510</v>
      </c>
      <c r="O126" s="76">
        <f>LEN(N126)</f>
        <v>14</v>
      </c>
      <c r="P126" s="77" t="str">
        <f>IF(AH126&lt;&gt;"",TRIM(UPPER(CONCATENATE(R126," ",T126," ",V126," ",X126," ",Z126," ",AB126," ","X"," ",Table43[[#This Row],[ISI/CTN]]," ",AH126," ",AD126," ",AF126," ",AJ126))),TRIM(UPPER(CONCATENATE(R126," ",T126," ",V126," ",X126," ",Z126," ",AB126," ","X"," ",Table43[[#This Row],[ISI/CTN]]," ",AD126," ",AF126," ",AJ126))))</f>
        <v>HIT GOODKNIGHT EXPRESS REFILL APPLE 45ML X BOX</v>
      </c>
      <c r="Q126" s="76">
        <f>LEN(P126)</f>
        <v>46</v>
      </c>
      <c r="R126" s="71"/>
      <c r="S126" s="72" t="s">
        <v>34</v>
      </c>
      <c r="T126" s="71" t="s">
        <v>2242</v>
      </c>
      <c r="U126" s="78" t="s">
        <v>2544</v>
      </c>
      <c r="V126" s="79" t="s">
        <v>2272</v>
      </c>
      <c r="W126" s="72">
        <v>3</v>
      </c>
      <c r="X126" s="79" t="s">
        <v>2231</v>
      </c>
      <c r="Y126" s="78" t="s">
        <v>2539</v>
      </c>
      <c r="Z126" s="71" t="s">
        <v>2264</v>
      </c>
      <c r="AA126" s="80" t="s">
        <v>1115</v>
      </c>
      <c r="AB126" s="71" t="s">
        <v>2271</v>
      </c>
      <c r="AC126" s="80" t="s">
        <v>2626</v>
      </c>
      <c r="AD126" s="71" t="s">
        <v>662</v>
      </c>
      <c r="AE126" s="72">
        <v>1</v>
      </c>
      <c r="AF126" s="71"/>
      <c r="AG126" s="72">
        <v>0</v>
      </c>
      <c r="AH126" s="72"/>
      <c r="AI126" s="72"/>
      <c r="AJ126" s="72"/>
      <c r="AK126" s="81">
        <f>Table43[[#This Row],[Column4]]</f>
        <v>0</v>
      </c>
      <c r="AL126" s="72"/>
      <c r="AM126" s="72"/>
      <c r="AN126" s="72">
        <f>Table43[[#This Row],[ISI/CTN]]</f>
        <v>0</v>
      </c>
      <c r="AO126" s="88">
        <f>Table43[[#This Row],[Harga Jual Pcs GT
(-PPN)]]-(Table43[[#This Row],[Harga Jual Pcs GT
(-PPN)]]*6.5%)</f>
        <v>0</v>
      </c>
      <c r="AP126" s="88">
        <f>Table43[[#This Row],[Harga Beli Pcs
(-PPN)]]*Table43[[#This Row],[ISI/CTN]]</f>
        <v>0</v>
      </c>
      <c r="AQ126" s="88">
        <f>Table43[[#This Row],[Harga Beli Pcs
(-PPN)]]*1.11</f>
        <v>0</v>
      </c>
      <c r="AR126" s="88">
        <f>Table43[[#This Row],[Harga Beli Krt
(- PPN)]]*1.11</f>
        <v>0</v>
      </c>
      <c r="AS126" s="88"/>
      <c r="AT126" s="88">
        <f>Table43[[#This Row],[Harga Jual Pcs GT
(-PPN)]]*Table43[[#This Row],[ISI/CTN]]</f>
        <v>0</v>
      </c>
      <c r="AU126" s="88">
        <f>Table43[[#This Row],[Harga Jual Pcs GT
(-PPN)]]*1.11</f>
        <v>0</v>
      </c>
      <c r="AV126" s="88">
        <f>Table43[[#This Row],[Harga Jual Krt GT
(- PPN)]]*1.11</f>
        <v>0</v>
      </c>
      <c r="AW126" s="88">
        <f>IFERROR(VLOOKUP(Table43[[#This Row],[Kode Pcpl]],'[1]FEB 2026'!$A$3:$X$312,24,0),0)</f>
        <v>0</v>
      </c>
      <c r="AX126" s="88">
        <f>Table43[[#This Row],[Harga Jual Pcs MT
(-PPN)]]*Table43[[#This Row],[ISI/CTN]]</f>
        <v>0</v>
      </c>
      <c r="AY126" s="88">
        <f>Table43[[#This Row],[Harga Jual Pcs MT
(-PPN)]]*1.11</f>
        <v>0</v>
      </c>
      <c r="AZ126" s="88">
        <f>Table43[[#This Row],[Harga Jual Pcs MT
(+PPN)]]*Table43[[#This Row],[ISI/CTN]]</f>
        <v>0</v>
      </c>
      <c r="BA126" s="89" t="e">
        <f>(Table43[[#This Row],[Harga Jual Pcs GT
(-PPN)]]-Table43[[#This Row],[Harga Beli Pcs
(-PPN)]])/Table43[[#This Row],[Harga Jual Pcs GT
(-PPN)]]</f>
        <v>#DIV/0!</v>
      </c>
      <c r="BB126" s="90">
        <f>Table43[[#This Row],[Harga Jual Pcs MT
(-PPN)]]-Table43[[#This Row],[Harga Beli Pcs
(-PPN)]]</f>
        <v>0</v>
      </c>
      <c r="BC126" s="91" t="e">
        <f>Table43[[#This Row],[Column1]]/Table43[[#This Row],[Harga Jual Pcs MT
(-PPN)]]</f>
        <v>#DIV/0!</v>
      </c>
      <c r="BD126" s="86"/>
      <c r="BE126" s="72"/>
      <c r="BF126" s="72" t="str">
        <f ca="1">IF(TODAY()-Table43[[#This Row],[Efektif
Pembuatan]]&gt;60,"Lama","Baru")</f>
        <v>Lama</v>
      </c>
      <c r="BG126" s="72" t="str">
        <f ca="1">IF(TODAY()-Table43[[#This Row],[Efektif Naik Harga]]&lt;30,"Naik","Sama")</f>
        <v>Sama</v>
      </c>
      <c r="BH126" s="72"/>
      <c r="BI126" s="72" t="str">
        <f>IF(Table43[[#This Row],[Kode BARANG Win2]]&lt;&gt;"","IDR","")</f>
        <v>IDR</v>
      </c>
      <c r="BJ126" s="72" t="str">
        <f>CONCATENATE(Table43[[#This Row],[kode  1 Digit
(Nomor)]],Table43[[#This Row],[kode  4 Digit                (Nomor)]])</f>
        <v>0045</v>
      </c>
      <c r="BK126" s="72" t="str">
        <f>Table43[[#This Row],[Nama            Gramasi atau Jumlah Pack per CTN]]</f>
        <v>45ML</v>
      </c>
      <c r="BL126" s="72"/>
      <c r="BM126" s="72"/>
      <c r="BN126" s="71" t="str">
        <f>IF(Table43[[#This Row],[SATUAN Fix Win]]&lt;&gt;"","KRT")</f>
        <v>KRT</v>
      </c>
      <c r="BO126" s="71" t="str">
        <f>IF(Table43[[#This Row],[SATUAN Fix Win]]&lt;&gt;"","GD01")</f>
        <v>GD01</v>
      </c>
      <c r="BP126" s="71">
        <f>IF(Table43[[#This Row],[SATUAN Fix Win]]&lt;&gt;"",11611)</f>
        <v>11611</v>
      </c>
      <c r="BQ126" s="71">
        <f>IF(Table43[[#This Row],[SATUAN Fix Win]]&lt;&gt;"",11612)</f>
        <v>11612</v>
      </c>
      <c r="BR126" s="71"/>
      <c r="BS126" s="71">
        <f>IF(Table43[[#This Row],[SATUAN Fix Win]]&lt;&gt;"",1)</f>
        <v>1</v>
      </c>
      <c r="BT126" s="71"/>
      <c r="BU126" s="71">
        <f>Table43[[#This Row],[ISI/CTN]]</f>
        <v>0</v>
      </c>
      <c r="BV126" s="71"/>
      <c r="BW126" s="71"/>
    </row>
    <row r="127" spans="1:75">
      <c r="A127" s="4" t="str">
        <f>CONCATENATE(Table43[[#This Row],[Kode BARANG Win2]],Table43[[#This Row],[No. Urut
Item Sama]])</f>
        <v>G1073102004510</v>
      </c>
      <c r="B127" s="7"/>
      <c r="C127" s="31">
        <v>30100010360000</v>
      </c>
      <c r="D127" s="59">
        <v>40036249</v>
      </c>
      <c r="E127" s="60" t="s">
        <v>1957</v>
      </c>
      <c r="F127" s="59">
        <v>30132050045010</v>
      </c>
      <c r="G127" s="59">
        <v>30132050045010</v>
      </c>
      <c r="H127" s="60" t="s">
        <v>1238</v>
      </c>
      <c r="I127" s="60">
        <v>144</v>
      </c>
      <c r="J127" s="59" t="s">
        <v>1648</v>
      </c>
      <c r="K127" s="60" t="str">
        <f>Table43[[#This Row],[NamaJenisKemasan]]</f>
        <v>BOX</v>
      </c>
      <c r="L127" s="4" t="str">
        <f>TRIM(CONCATENATE(Table43[[#This Row],[Nama            KLP]]," ",Table43[[#This Row],[Nama            Sub KLP]]))</f>
        <v>HIT GOODKNIGHT EXPRESS</v>
      </c>
      <c r="M127" s="4" t="str">
        <f>CONCATENATE(Table43[[#This Row],[kode  2 Digit                (hrf+No)]],Table43[[#This Row],[kode  2 Digit                (Nomor)]],Table43[[#This Row],[kode  1 Digit                (Nomor)]])</f>
        <v>G1073</v>
      </c>
      <c r="N127" s="4" t="str">
        <f>IF(AI127="",CONCATENATE(S127,U127,W127,Y127,AA127,AC127,AE127,AG127,Table43[[#This Row],[Tanda Kode Revisi]]),CONCATENATE(S127,U127,W127,Y127,AA127,AC127,AE127,AI127))</f>
        <v>G1073102004510</v>
      </c>
      <c r="O127" s="11">
        <f t="shared" si="2"/>
        <v>14</v>
      </c>
      <c r="P127" s="14" t="str">
        <f>IF(AH127&lt;&gt;"",TRIM(UPPER(CONCATENATE(R127," ",T127," ",V127," ",X127," ",Z127," ",AB127," ","X"," ",Table43[[#This Row],[ISI/CTN]]," ",AH127," ",AD127," ",AF127," ",AJ127))),TRIM(UPPER(CONCATENATE(R127," ",T127," ",V127," ",X127," ",Z127," ",AB127," ","X"," ",Table43[[#This Row],[ISI/CTN]]," ",AD127," ",AF127," ",AJ127))))</f>
        <v>HIT GOODKNIGHT EXPRESS REFILL FRESH 45ML X 144 BOX</v>
      </c>
      <c r="Q127" s="11">
        <f t="shared" si="3"/>
        <v>50</v>
      </c>
      <c r="S127" s="7" t="s">
        <v>34</v>
      </c>
      <c r="T127" s="4" t="s">
        <v>2242</v>
      </c>
      <c r="U127" s="47" t="s">
        <v>2544</v>
      </c>
      <c r="V127" s="48" t="s">
        <v>2272</v>
      </c>
      <c r="W127" s="7">
        <v>3</v>
      </c>
      <c r="X127" s="48" t="s">
        <v>2231</v>
      </c>
      <c r="Y127" s="47" t="s">
        <v>2539</v>
      </c>
      <c r="Z127" s="4" t="s">
        <v>2233</v>
      </c>
      <c r="AA127" s="49" t="s">
        <v>2459</v>
      </c>
      <c r="AB127" s="4" t="s">
        <v>2271</v>
      </c>
      <c r="AC127" s="49" t="s">
        <v>2626</v>
      </c>
      <c r="AD127" s="4" t="s">
        <v>662</v>
      </c>
      <c r="AE127" s="7">
        <v>1</v>
      </c>
      <c r="AG127" s="7">
        <v>0</v>
      </c>
      <c r="AK127" s="70">
        <f>Table43[[#This Row],[Column4]]</f>
        <v>30132050045010</v>
      </c>
      <c r="AN127" s="7">
        <f>Table43[[#This Row],[ISI/CTN]]</f>
        <v>144</v>
      </c>
      <c r="AO127" s="61">
        <f>Table43[[#This Row],[Harga Jual Pcs GT
(-PPN)]]-(Table43[[#This Row],[Harga Jual Pcs GT
(-PPN)]]*6.5%)</f>
        <v>12248.5</v>
      </c>
      <c r="AP127" s="61">
        <f>Table43[[#This Row],[Harga Beli Pcs
(-PPN)]]*Table43[[#This Row],[ISI/CTN]]</f>
        <v>1763784</v>
      </c>
      <c r="AQ127" s="61">
        <f>Table43[[#This Row],[Harga Beli Pcs
(-PPN)]]*1.11</f>
        <v>13595.835000000001</v>
      </c>
      <c r="AR127" s="61">
        <f>Table43[[#This Row],[Harga Beli Krt
(- PPN)]]*1.11</f>
        <v>1957800.2400000002</v>
      </c>
      <c r="AS127" s="61">
        <v>13100</v>
      </c>
      <c r="AT127" s="61">
        <f>Table43[[#This Row],[Harga Jual Pcs GT
(-PPN)]]*Table43[[#This Row],[ISI/CTN]]</f>
        <v>1886400</v>
      </c>
      <c r="AU127" s="61">
        <f>Table43[[#This Row],[Harga Jual Pcs GT
(-PPN)]]*1.11</f>
        <v>14541.000000000002</v>
      </c>
      <c r="AV127" s="61">
        <f>Table43[[#This Row],[Harga Jual Krt GT
(- PPN)]]*1.11</f>
        <v>2093904.0000000002</v>
      </c>
      <c r="AW127" s="61">
        <f>IFERROR(VLOOKUP(Table43[[#This Row],[Kode Pcpl]],'[1]FEB 2026'!$A$3:$X$312,24,0),0)</f>
        <v>0</v>
      </c>
      <c r="AX127" s="61">
        <f>Table43[[#This Row],[Harga Jual Pcs MT
(-PPN)]]*Table43[[#This Row],[ISI/CTN]]</f>
        <v>0</v>
      </c>
      <c r="AY127" s="61">
        <f>Table43[[#This Row],[Harga Jual Pcs MT
(-PPN)]]*1.11</f>
        <v>0</v>
      </c>
      <c r="AZ127" s="61">
        <f>Table43[[#This Row],[Harga Jual Pcs MT
(+PPN)]]*Table43[[#This Row],[ISI/CTN]]</f>
        <v>0</v>
      </c>
      <c r="BA127" s="62">
        <f>(Table43[[#This Row],[Harga Jual Pcs GT
(-PPN)]]-Table43[[#This Row],[Harga Beli Pcs
(-PPN)]])/Table43[[#This Row],[Harga Jual Pcs GT
(-PPN)]]</f>
        <v>6.5000000000000002E-2</v>
      </c>
      <c r="BB127" s="63">
        <f>Table43[[#This Row],[Harga Jual Pcs MT
(-PPN)]]-Table43[[#This Row],[Harga Beli Pcs
(-PPN)]]</f>
        <v>-12248.5</v>
      </c>
      <c r="BC127" s="64" t="e">
        <f>Table43[[#This Row],[Column1]]/Table43[[#This Row],[Harga Jual Pcs MT
(-PPN)]]</f>
        <v>#DIV/0!</v>
      </c>
      <c r="BD127" s="52"/>
      <c r="BE127" s="7"/>
      <c r="BF127" s="7" t="str">
        <f ca="1">IF(TODAY()-Table43[[#This Row],[Efektif
Pembuatan]]&gt;60,"Lama","Baru")</f>
        <v>Lama</v>
      </c>
      <c r="BG127" s="7" t="str">
        <f ca="1">IF(TODAY()-Table43[[#This Row],[Efektif Naik Harga]]&lt;30,"Naik","Sama")</f>
        <v>Sama</v>
      </c>
      <c r="BH127" s="7"/>
      <c r="BI127" s="7" t="str">
        <f>IF(Table43[[#This Row],[Kode BARANG Win2]]&lt;&gt;"","IDR","")</f>
        <v>IDR</v>
      </c>
      <c r="BJ127" s="7" t="str">
        <f>CONCATENATE(Table43[[#This Row],[kode  1 Digit
(Nomor)]],Table43[[#This Row],[kode  4 Digit                (Nomor)]])</f>
        <v>0045</v>
      </c>
      <c r="BK127" s="7" t="str">
        <f>Table43[[#This Row],[Nama            Gramasi atau Jumlah Pack per CTN]]</f>
        <v>45ML</v>
      </c>
      <c r="BL127" s="7"/>
      <c r="BM127" s="7"/>
      <c r="BN127" s="4" t="str">
        <f>IF(Table43[[#This Row],[SATUAN Fix Win]]&lt;&gt;"","KRT")</f>
        <v>KRT</v>
      </c>
      <c r="BO127" s="4" t="str">
        <f>IF(Table43[[#This Row],[SATUAN Fix Win]]&lt;&gt;"","GD01")</f>
        <v>GD01</v>
      </c>
      <c r="BP127" s="4">
        <f>IF(Table43[[#This Row],[SATUAN Fix Win]]&lt;&gt;"",11611)</f>
        <v>11611</v>
      </c>
      <c r="BQ127" s="4">
        <f>IF(Table43[[#This Row],[SATUAN Fix Win]]&lt;&gt;"",11612)</f>
        <v>11612</v>
      </c>
      <c r="BS127" s="4">
        <f>IF(Table43[[#This Row],[SATUAN Fix Win]]&lt;&gt;"",1)</f>
        <v>1</v>
      </c>
      <c r="BU127" s="4">
        <f>Table43[[#This Row],[ISI/CTN]]</f>
        <v>144</v>
      </c>
    </row>
    <row r="128" spans="1:75">
      <c r="A128" s="4" t="str">
        <f>CONCATENATE(Table43[[#This Row],[Kode BARANG Win2]],Table43[[#This Row],[No. Urut
Item Sama]])</f>
        <v>G1073102004510</v>
      </c>
      <c r="B128" s="7"/>
      <c r="C128" s="31">
        <v>30100010360000</v>
      </c>
      <c r="D128" s="51">
        <v>40057203</v>
      </c>
      <c r="E128" s="27" t="s">
        <v>3475</v>
      </c>
      <c r="F128" s="51">
        <v>30132050045010</v>
      </c>
      <c r="G128" s="51"/>
      <c r="H128" s="27" t="s">
        <v>3475</v>
      </c>
      <c r="I128" s="27">
        <v>144</v>
      </c>
      <c r="J128" s="51"/>
      <c r="K128" s="27" t="str">
        <f>Table43[[#This Row],[NamaJenisKemasan]]</f>
        <v>BOX</v>
      </c>
      <c r="L128" s="4" t="str">
        <f>TRIM(CONCATENATE(Table43[[#This Row],[Nama            KLP]]," ",Table43[[#This Row],[Nama            Sub KLP]]))</f>
        <v>HIT GOODKNIGHT EXPRESS</v>
      </c>
      <c r="M128" s="4" t="str">
        <f>CONCATENATE(Table43[[#This Row],[kode  2 Digit                (hrf+No)]],Table43[[#This Row],[kode  2 Digit                (Nomor)]],Table43[[#This Row],[kode  1 Digit                (Nomor)]])</f>
        <v>G1073</v>
      </c>
      <c r="N128" s="4" t="str">
        <f>IF(AI128="",CONCATENATE(S128,U128,W128,Y128,AA128,AC128,AE128,AG128,Table43[[#This Row],[Tanda Kode Revisi]]),CONCATENATE(S128,U128,W128,Y128,AA128,AC128,AE128,AI128))</f>
        <v>G1073102004510</v>
      </c>
      <c r="O128" s="11">
        <f t="shared" si="2"/>
        <v>14</v>
      </c>
      <c r="P128" s="14" t="str">
        <f>IF(AH128&lt;&gt;"",TRIM(UPPER(CONCATENATE(R128," ",T128," ",V128," ",X128," ",Z128," ",AB128," ","X"," ",Table43[[#This Row],[ISI/CTN]]," ",AH128," ",AD128," ",AF128," ",AJ128))),TRIM(UPPER(CONCATENATE(R128," ",T128," ",V128," ",X128," ",Z128," ",AB128," ","X"," ",Table43[[#This Row],[ISI/CTN]]," ",AD128," ",AF128," ",AJ128))))</f>
        <v>HIT GOODKNIGHT EXPRESS REFILL FRESH 45ML X 144 BOX</v>
      </c>
      <c r="Q128" s="11">
        <f t="shared" si="3"/>
        <v>50</v>
      </c>
      <c r="S128" s="7" t="s">
        <v>34</v>
      </c>
      <c r="T128" s="4" t="s">
        <v>2242</v>
      </c>
      <c r="U128" s="47" t="s">
        <v>2544</v>
      </c>
      <c r="V128" s="48" t="s">
        <v>2272</v>
      </c>
      <c r="W128" s="7">
        <v>3</v>
      </c>
      <c r="X128" s="48" t="s">
        <v>2231</v>
      </c>
      <c r="Y128" s="47" t="s">
        <v>2539</v>
      </c>
      <c r="Z128" s="4" t="s">
        <v>2233</v>
      </c>
      <c r="AA128" s="49" t="s">
        <v>2459</v>
      </c>
      <c r="AB128" s="4" t="s">
        <v>2271</v>
      </c>
      <c r="AC128" s="49" t="s">
        <v>2626</v>
      </c>
      <c r="AD128" s="4" t="s">
        <v>662</v>
      </c>
      <c r="AE128" s="7">
        <v>1</v>
      </c>
      <c r="AG128" s="7">
        <v>0</v>
      </c>
      <c r="AK128" s="70">
        <f>Table43[[#This Row],[Column4]]</f>
        <v>30132050045010</v>
      </c>
      <c r="AN128" s="7">
        <f>Table43[[#This Row],[ISI/CTN]]</f>
        <v>144</v>
      </c>
      <c r="AO128" s="61">
        <f>Table43[[#This Row],[Harga Jual Pcs GT
(-PPN)]]-(Table43[[#This Row],[Harga Jual Pcs GT
(-PPN)]]*6.5%)</f>
        <v>12248.5</v>
      </c>
      <c r="AP128" s="61">
        <f>Table43[[#This Row],[Harga Beli Pcs
(-PPN)]]*Table43[[#This Row],[ISI/CTN]]</f>
        <v>1763784</v>
      </c>
      <c r="AQ128" s="61">
        <f>Table43[[#This Row],[Harga Beli Pcs
(-PPN)]]*1.11</f>
        <v>13595.835000000001</v>
      </c>
      <c r="AR128" s="61">
        <f>Table43[[#This Row],[Harga Beli Krt
(- PPN)]]*1.11</f>
        <v>1957800.2400000002</v>
      </c>
      <c r="AS128" s="61">
        <v>13100</v>
      </c>
      <c r="AT128" s="61">
        <f>Table43[[#This Row],[Harga Jual Pcs GT
(-PPN)]]*Table43[[#This Row],[ISI/CTN]]</f>
        <v>1886400</v>
      </c>
      <c r="AU128" s="61">
        <f>Table43[[#This Row],[Harga Jual Pcs GT
(-PPN)]]*1.11</f>
        <v>14541.000000000002</v>
      </c>
      <c r="AV128" s="61">
        <f>Table43[[#This Row],[Harga Jual Krt GT
(- PPN)]]*1.11</f>
        <v>2093904.0000000002</v>
      </c>
      <c r="AW128" s="61">
        <f>IFERROR(VLOOKUP(Table43[[#This Row],[Kode Pcpl]],'[1]FEB 2026'!$A$3:$X$312,24,0),0)</f>
        <v>0</v>
      </c>
      <c r="AX128" s="61">
        <f>Table43[[#This Row],[Harga Jual Pcs MT
(-PPN)]]*Table43[[#This Row],[ISI/CTN]]</f>
        <v>0</v>
      </c>
      <c r="AY128" s="61">
        <f>Table43[[#This Row],[Harga Jual Pcs MT
(-PPN)]]*1.11</f>
        <v>0</v>
      </c>
      <c r="AZ128" s="61">
        <f>Table43[[#This Row],[Harga Jual Pcs MT
(+PPN)]]*Table43[[#This Row],[ISI/CTN]]</f>
        <v>0</v>
      </c>
      <c r="BA128" s="62">
        <f>(Table43[[#This Row],[Harga Jual Pcs GT
(-PPN)]]-Table43[[#This Row],[Harga Beli Pcs
(-PPN)]])/Table43[[#This Row],[Harga Jual Pcs GT
(-PPN)]]</f>
        <v>6.5000000000000002E-2</v>
      </c>
      <c r="BB128" s="63">
        <f>Table43[[#This Row],[Harga Jual Pcs MT
(-PPN)]]-Table43[[#This Row],[Harga Beli Pcs
(-PPN)]]</f>
        <v>-12248.5</v>
      </c>
      <c r="BC128" s="64" t="e">
        <f>Table43[[#This Row],[Column1]]/Table43[[#This Row],[Harga Jual Pcs MT
(-PPN)]]</f>
        <v>#DIV/0!</v>
      </c>
      <c r="BD128" s="52"/>
      <c r="BE128" s="7"/>
      <c r="BF128" s="7" t="str">
        <f ca="1">IF(TODAY()-Table43[[#This Row],[Efektif
Pembuatan]]&gt;60,"Lama","Baru")</f>
        <v>Lama</v>
      </c>
      <c r="BG128" s="7" t="str">
        <f ca="1">IF(TODAY()-Table43[[#This Row],[Efektif Naik Harga]]&lt;30,"Naik","Sama")</f>
        <v>Sama</v>
      </c>
      <c r="BH128" s="7"/>
      <c r="BI128" s="7" t="str">
        <f>IF(Table43[[#This Row],[Kode BARANG Win2]]&lt;&gt;"","IDR","")</f>
        <v>IDR</v>
      </c>
      <c r="BJ128" s="7" t="str">
        <f>CONCATENATE(Table43[[#This Row],[kode  1 Digit
(Nomor)]],Table43[[#This Row],[kode  4 Digit                (Nomor)]])</f>
        <v>0045</v>
      </c>
      <c r="BK128" s="7" t="str">
        <f>Table43[[#This Row],[Nama            Gramasi atau Jumlah Pack per CTN]]</f>
        <v>45ML</v>
      </c>
      <c r="BL128" s="7"/>
      <c r="BM128" s="7"/>
      <c r="BN128" s="4" t="str">
        <f>IF(Table43[[#This Row],[SATUAN Fix Win]]&lt;&gt;"","KRT")</f>
        <v>KRT</v>
      </c>
      <c r="BO128" s="4" t="str">
        <f>IF(Table43[[#This Row],[SATUAN Fix Win]]&lt;&gt;"","GD01")</f>
        <v>GD01</v>
      </c>
      <c r="BP128" s="4">
        <f>IF(Table43[[#This Row],[SATUAN Fix Win]]&lt;&gt;"",11611)</f>
        <v>11611</v>
      </c>
      <c r="BQ128" s="4">
        <f>IF(Table43[[#This Row],[SATUAN Fix Win]]&lt;&gt;"",11612)</f>
        <v>11612</v>
      </c>
      <c r="BS128" s="4">
        <f>IF(Table43[[#This Row],[SATUAN Fix Win]]&lt;&gt;"",1)</f>
        <v>1</v>
      </c>
      <c r="BU128" s="4">
        <f>Table43[[#This Row],[ISI/CTN]]</f>
        <v>144</v>
      </c>
    </row>
    <row r="129" spans="1:75" s="87" customFormat="1">
      <c r="A129" s="71" t="str">
        <f>CONCATENATE(Table43[[#This Row],[Kode BARANG Win2]],Table43[[#This Row],[No. Urut
Item Sama]])</f>
        <v>G1073102004510</v>
      </c>
      <c r="B129" s="72"/>
      <c r="C129" s="73"/>
      <c r="D129" s="74">
        <v>40061096</v>
      </c>
      <c r="E129" s="75" t="s">
        <v>3474</v>
      </c>
      <c r="F129" s="74"/>
      <c r="G129" s="74"/>
      <c r="H129" s="75" t="s">
        <v>3474</v>
      </c>
      <c r="I129" s="75">
        <v>144</v>
      </c>
      <c r="J129" s="74"/>
      <c r="K129" s="75" t="str">
        <f>Table43[[#This Row],[NamaJenisKemasan]]</f>
        <v>BOX</v>
      </c>
      <c r="L129" s="71" t="str">
        <f>TRIM(CONCATENATE(Table43[[#This Row],[Nama            KLP]]," ",Table43[[#This Row],[Nama            Sub KLP]]))</f>
        <v>HIT GOODKNIGHT EXPRESS</v>
      </c>
      <c r="M129" s="71" t="str">
        <f>CONCATENATE(Table43[[#This Row],[kode  2 Digit                (hrf+No)]],Table43[[#This Row],[kode  2 Digit                (Nomor)]],Table43[[#This Row],[kode  1 Digit                (Nomor)]])</f>
        <v>G1073</v>
      </c>
      <c r="N129" s="71" t="str">
        <f>IF(AI129="",CONCATENATE(S129,U129,W129,Y129,AA129,AC129,AE129,AG129,Table43[[#This Row],[Tanda Kode Revisi]]),CONCATENATE(S129,U129,W129,Y129,AA129,AC129,AE129,AI129))</f>
        <v>G1073102004510</v>
      </c>
      <c r="O129" s="76">
        <f>LEN(N129)</f>
        <v>14</v>
      </c>
      <c r="P129" s="77" t="str">
        <f>IF(AH129&lt;&gt;"",TRIM(UPPER(CONCATENATE(R129," ",T129," ",V129," ",X129," ",Z129," ",AB129," ","X"," ",Table43[[#This Row],[ISI/CTN]]," ",AH129," ",AD129," ",AF129," ",AJ129))),TRIM(UPPER(CONCATENATE(R129," ",T129," ",V129," ",X129," ",Z129," ",AB129," ","X"," ",Table43[[#This Row],[ISI/CTN]]," ",AD129," ",AF129," ",AJ129))))</f>
        <v>HIT GOODKNIGHT EXPRESS REFILL FRESH 45ML X 144 BOX</v>
      </c>
      <c r="Q129" s="76">
        <f>LEN(P129)</f>
        <v>50</v>
      </c>
      <c r="R129" s="71"/>
      <c r="S129" s="72" t="s">
        <v>34</v>
      </c>
      <c r="T129" s="71" t="s">
        <v>2242</v>
      </c>
      <c r="U129" s="78" t="s">
        <v>2544</v>
      </c>
      <c r="V129" s="79" t="s">
        <v>2272</v>
      </c>
      <c r="W129" s="72">
        <v>3</v>
      </c>
      <c r="X129" s="79" t="s">
        <v>2231</v>
      </c>
      <c r="Y129" s="78" t="s">
        <v>2539</v>
      </c>
      <c r="Z129" s="71" t="s">
        <v>2233</v>
      </c>
      <c r="AA129" s="80" t="s">
        <v>2459</v>
      </c>
      <c r="AB129" s="71" t="s">
        <v>2271</v>
      </c>
      <c r="AC129" s="80" t="s">
        <v>2626</v>
      </c>
      <c r="AD129" s="71" t="s">
        <v>662</v>
      </c>
      <c r="AE129" s="72">
        <v>1</v>
      </c>
      <c r="AF129" s="71"/>
      <c r="AG129" s="72">
        <v>0</v>
      </c>
      <c r="AH129" s="72"/>
      <c r="AI129" s="72"/>
      <c r="AJ129" s="72"/>
      <c r="AK129" s="81">
        <f>Table43[[#This Row],[Column4]]</f>
        <v>0</v>
      </c>
      <c r="AL129" s="72"/>
      <c r="AM129" s="72"/>
      <c r="AN129" s="72">
        <f>Table43[[#This Row],[ISI/CTN]]</f>
        <v>144</v>
      </c>
      <c r="AO129" s="82">
        <f>Table43[[#This Row],[Harga Jual Pcs GT
(-PPN)]]-(Table43[[#This Row],[Harga Jual Pcs GT
(-PPN)]]*6.5%)</f>
        <v>0</v>
      </c>
      <c r="AP129" s="82">
        <f>Table43[[#This Row],[Harga Beli Pcs
(-PPN)]]*Table43[[#This Row],[ISI/CTN]]</f>
        <v>0</v>
      </c>
      <c r="AQ129" s="82">
        <f>Table43[[#This Row],[Harga Beli Pcs
(-PPN)]]*1.11</f>
        <v>0</v>
      </c>
      <c r="AR129" s="82">
        <f>Table43[[#This Row],[Harga Beli Krt
(- PPN)]]*1.11</f>
        <v>0</v>
      </c>
      <c r="AS129" s="82"/>
      <c r="AT129" s="82">
        <f>Table43[[#This Row],[Harga Jual Pcs GT
(-PPN)]]*Table43[[#This Row],[ISI/CTN]]</f>
        <v>0</v>
      </c>
      <c r="AU129" s="82">
        <f>Table43[[#This Row],[Harga Jual Pcs GT
(-PPN)]]*1.11</f>
        <v>0</v>
      </c>
      <c r="AV129" s="82">
        <f>Table43[[#This Row],[Harga Jual Krt GT
(- PPN)]]*1.11</f>
        <v>0</v>
      </c>
      <c r="AW129" s="82">
        <f>IFERROR(VLOOKUP(Table43[[#This Row],[Kode Pcpl]],'[1]FEB 2026'!$A$3:$X$312,24,0),0)</f>
        <v>0</v>
      </c>
      <c r="AX129" s="82">
        <f>Table43[[#This Row],[Harga Jual Pcs MT
(-PPN)]]*Table43[[#This Row],[ISI/CTN]]</f>
        <v>0</v>
      </c>
      <c r="AY129" s="82">
        <f>Table43[[#This Row],[Harga Jual Pcs MT
(-PPN)]]*1.11</f>
        <v>0</v>
      </c>
      <c r="AZ129" s="82">
        <f>Table43[[#This Row],[Harga Jual Pcs MT
(+PPN)]]*Table43[[#This Row],[ISI/CTN]]</f>
        <v>0</v>
      </c>
      <c r="BA129" s="83" t="e">
        <f>(Table43[[#This Row],[Harga Jual Pcs GT
(-PPN)]]-Table43[[#This Row],[Harga Beli Pcs
(-PPN)]])/Table43[[#This Row],[Harga Jual Pcs GT
(-PPN)]]</f>
        <v>#DIV/0!</v>
      </c>
      <c r="BB129" s="84">
        <f>Table43[[#This Row],[Harga Jual Pcs MT
(-PPN)]]-Table43[[#This Row],[Harga Beli Pcs
(-PPN)]]</f>
        <v>0</v>
      </c>
      <c r="BC129" s="85" t="e">
        <f>Table43[[#This Row],[Column1]]/Table43[[#This Row],[Harga Jual Pcs MT
(-PPN)]]</f>
        <v>#DIV/0!</v>
      </c>
      <c r="BD129" s="86"/>
      <c r="BE129" s="72"/>
      <c r="BF129" s="72" t="str">
        <f ca="1">IF(TODAY()-Table43[[#This Row],[Efektif
Pembuatan]]&gt;60,"Lama","Baru")</f>
        <v>Lama</v>
      </c>
      <c r="BG129" s="72" t="str">
        <f ca="1">IF(TODAY()-Table43[[#This Row],[Efektif Naik Harga]]&lt;30,"Naik","Sama")</f>
        <v>Sama</v>
      </c>
      <c r="BH129" s="72"/>
      <c r="BI129" s="72" t="str">
        <f>IF(Table43[[#This Row],[Kode BARANG Win2]]&lt;&gt;"","IDR","")</f>
        <v>IDR</v>
      </c>
      <c r="BJ129" s="72" t="str">
        <f>CONCATENATE(Table43[[#This Row],[kode  1 Digit
(Nomor)]],Table43[[#This Row],[kode  4 Digit                (Nomor)]])</f>
        <v>0045</v>
      </c>
      <c r="BK129" s="72" t="str">
        <f>Table43[[#This Row],[Nama            Gramasi atau Jumlah Pack per CTN]]</f>
        <v>45ML</v>
      </c>
      <c r="BL129" s="72"/>
      <c r="BM129" s="72"/>
      <c r="BN129" s="71" t="str">
        <f>IF(Table43[[#This Row],[SATUAN Fix Win]]&lt;&gt;"","KRT")</f>
        <v>KRT</v>
      </c>
      <c r="BO129" s="71" t="str">
        <f>IF(Table43[[#This Row],[SATUAN Fix Win]]&lt;&gt;"","GD01")</f>
        <v>GD01</v>
      </c>
      <c r="BP129" s="71">
        <f>IF(Table43[[#This Row],[SATUAN Fix Win]]&lt;&gt;"",11611)</f>
        <v>11611</v>
      </c>
      <c r="BQ129" s="71">
        <f>IF(Table43[[#This Row],[SATUAN Fix Win]]&lt;&gt;"",11612)</f>
        <v>11612</v>
      </c>
      <c r="BR129" s="71"/>
      <c r="BS129" s="71">
        <f>IF(Table43[[#This Row],[SATUAN Fix Win]]&lt;&gt;"",1)</f>
        <v>1</v>
      </c>
      <c r="BT129" s="71"/>
      <c r="BU129" s="71">
        <f>Table43[[#This Row],[ISI/CTN]]</f>
        <v>144</v>
      </c>
      <c r="BV129" s="71"/>
      <c r="BW129" s="71"/>
    </row>
    <row r="130" spans="1:75">
      <c r="A130" s="4" t="str">
        <f>CONCATENATE(Table43[[#This Row],[Kode BARANG Win2]],Table43[[#This Row],[No. Urut
Item Sama]])</f>
        <v>G1073103004510</v>
      </c>
      <c r="B130" s="7"/>
      <c r="C130" s="31">
        <v>30110070010000</v>
      </c>
      <c r="D130" s="51">
        <v>40057315</v>
      </c>
      <c r="E130" s="27" t="s">
        <v>1959</v>
      </c>
      <c r="F130" s="51">
        <v>30132070045010</v>
      </c>
      <c r="G130" s="51">
        <v>0</v>
      </c>
      <c r="H130" s="27" t="s">
        <v>1241</v>
      </c>
      <c r="I130" s="27">
        <v>144</v>
      </c>
      <c r="J130" s="51" t="s">
        <v>1650</v>
      </c>
      <c r="K130" s="27" t="str">
        <f>Table43[[#This Row],[NamaJenisKemasan]]</f>
        <v>BOX</v>
      </c>
      <c r="L130" s="4" t="str">
        <f>TRIM(CONCATENATE(Table43[[#This Row],[Nama            KLP]]," ",Table43[[#This Row],[Nama            Sub KLP]]))</f>
        <v>HIT GOODKNIGHT EXPRESS</v>
      </c>
      <c r="M130" s="4" t="str">
        <f>CONCATENATE(Table43[[#This Row],[kode  2 Digit                (hrf+No)]],Table43[[#This Row],[kode  2 Digit                (Nomor)]],Table43[[#This Row],[kode  1 Digit                (Nomor)]])</f>
        <v>G1073</v>
      </c>
      <c r="N130" s="4" t="str">
        <f>IF(AI130="",CONCATENATE(S130,U130,W130,Y130,AA130,AC130,AE130,AG130,Table43[[#This Row],[Tanda Kode Revisi]]),CONCATENATE(S130,U130,W130,Y130,AA130,AC130,AE130,AI130))</f>
        <v>G1073103004510</v>
      </c>
      <c r="O130" s="11">
        <f t="shared" si="2"/>
        <v>14</v>
      </c>
      <c r="P130" s="14" t="str">
        <f>IF(AH130&lt;&gt;"",TRIM(UPPER(CONCATENATE(R130," ",T130," ",V130," ",X130," ",Z130," ",AB130," ","X"," ",Table43[[#This Row],[ISI/CTN]]," ",AH130," ",AD130," ",AF130," ",AJ130))),TRIM(UPPER(CONCATENATE(R130," ",T130," ",V130," ",X130," ",Z130," ",AB130," ","X"," ",Table43[[#This Row],[ISI/CTN]]," ",AD130," ",AF130," ",AJ130))))</f>
        <v>HIT GOODKNIGHT EXPRESS REFILL PINK BLOSSOM 45ML X 144 BOX</v>
      </c>
      <c r="Q130" s="11">
        <f t="shared" si="3"/>
        <v>57</v>
      </c>
      <c r="S130" s="7" t="s">
        <v>34</v>
      </c>
      <c r="T130" s="4" t="s">
        <v>2242</v>
      </c>
      <c r="U130" s="47" t="s">
        <v>2544</v>
      </c>
      <c r="V130" s="48" t="s">
        <v>2272</v>
      </c>
      <c r="W130" s="7">
        <v>3</v>
      </c>
      <c r="X130" s="48" t="s">
        <v>2231</v>
      </c>
      <c r="Y130" s="47" t="s">
        <v>2539</v>
      </c>
      <c r="Z130" s="4" t="s">
        <v>2252</v>
      </c>
      <c r="AA130" s="49" t="s">
        <v>2538</v>
      </c>
      <c r="AB130" s="4" t="s">
        <v>2271</v>
      </c>
      <c r="AC130" s="49" t="s">
        <v>2626</v>
      </c>
      <c r="AD130" s="4" t="s">
        <v>662</v>
      </c>
      <c r="AE130" s="7">
        <v>1</v>
      </c>
      <c r="AG130" s="7">
        <v>0</v>
      </c>
      <c r="AK130" s="70">
        <f>Table43[[#This Row],[Column4]]</f>
        <v>30132070045010</v>
      </c>
      <c r="AN130" s="7">
        <f>Table43[[#This Row],[ISI/CTN]]</f>
        <v>144</v>
      </c>
      <c r="AO130" s="61">
        <f>Table43[[#This Row],[Harga Jual Pcs GT
(-PPN)]]-(Table43[[#This Row],[Harga Jual Pcs GT
(-PPN)]]*6.5%)</f>
        <v>12248.5</v>
      </c>
      <c r="AP130" s="61">
        <f>Table43[[#This Row],[Harga Beli Pcs
(-PPN)]]*Table43[[#This Row],[ISI/CTN]]</f>
        <v>1763784</v>
      </c>
      <c r="AQ130" s="61">
        <f>Table43[[#This Row],[Harga Beli Pcs
(-PPN)]]*1.11</f>
        <v>13595.835000000001</v>
      </c>
      <c r="AR130" s="61">
        <f>Table43[[#This Row],[Harga Beli Krt
(- PPN)]]*1.11</f>
        <v>1957800.2400000002</v>
      </c>
      <c r="AS130" s="61">
        <v>13100</v>
      </c>
      <c r="AT130" s="61">
        <f>Table43[[#This Row],[Harga Jual Pcs GT
(-PPN)]]*Table43[[#This Row],[ISI/CTN]]</f>
        <v>1886400</v>
      </c>
      <c r="AU130" s="61">
        <f>Table43[[#This Row],[Harga Jual Pcs GT
(-PPN)]]*1.11</f>
        <v>14541.000000000002</v>
      </c>
      <c r="AV130" s="61">
        <f>Table43[[#This Row],[Harga Jual Krt GT
(- PPN)]]*1.11</f>
        <v>2093904.0000000002</v>
      </c>
      <c r="AW130" s="61">
        <f>IFERROR(VLOOKUP(Table43[[#This Row],[Kode Pcpl]],'[1]FEB 2026'!$A$3:$X$312,24,0),0)</f>
        <v>0</v>
      </c>
      <c r="AX130" s="61">
        <f>Table43[[#This Row],[Harga Jual Pcs MT
(-PPN)]]*Table43[[#This Row],[ISI/CTN]]</f>
        <v>0</v>
      </c>
      <c r="AY130" s="61">
        <f>Table43[[#This Row],[Harga Jual Pcs MT
(-PPN)]]*1.11</f>
        <v>0</v>
      </c>
      <c r="AZ130" s="61">
        <f>Table43[[#This Row],[Harga Jual Pcs MT
(+PPN)]]*Table43[[#This Row],[ISI/CTN]]</f>
        <v>0</v>
      </c>
      <c r="BA130" s="62">
        <f>(Table43[[#This Row],[Harga Jual Pcs GT
(-PPN)]]-Table43[[#This Row],[Harga Beli Pcs
(-PPN)]])/Table43[[#This Row],[Harga Jual Pcs GT
(-PPN)]]</f>
        <v>6.5000000000000002E-2</v>
      </c>
      <c r="BB130" s="63">
        <f>Table43[[#This Row],[Harga Jual Pcs MT
(-PPN)]]-Table43[[#This Row],[Harga Beli Pcs
(-PPN)]]</f>
        <v>-12248.5</v>
      </c>
      <c r="BC130" s="64" t="e">
        <f>Table43[[#This Row],[Column1]]/Table43[[#This Row],[Harga Jual Pcs MT
(-PPN)]]</f>
        <v>#DIV/0!</v>
      </c>
      <c r="BD130" s="52"/>
      <c r="BE130" s="7"/>
      <c r="BF130" s="7" t="str">
        <f ca="1">IF(TODAY()-Table43[[#This Row],[Efektif
Pembuatan]]&gt;60,"Lama","Baru")</f>
        <v>Lama</v>
      </c>
      <c r="BG130" s="7" t="str">
        <f ca="1">IF(TODAY()-Table43[[#This Row],[Efektif Naik Harga]]&lt;30,"Naik","Sama")</f>
        <v>Sama</v>
      </c>
      <c r="BH130" s="7"/>
      <c r="BI130" s="7" t="str">
        <f>IF(Table43[[#This Row],[Kode BARANG Win2]]&lt;&gt;"","IDR","")</f>
        <v>IDR</v>
      </c>
      <c r="BJ130" s="7" t="str">
        <f>CONCATENATE(Table43[[#This Row],[kode  1 Digit
(Nomor)]],Table43[[#This Row],[kode  4 Digit                (Nomor)]])</f>
        <v>0045</v>
      </c>
      <c r="BK130" s="7" t="str">
        <f>Table43[[#This Row],[Nama            Gramasi atau Jumlah Pack per CTN]]</f>
        <v>45ML</v>
      </c>
      <c r="BL130" s="7"/>
      <c r="BM130" s="7"/>
      <c r="BN130" s="4" t="str">
        <f>IF(Table43[[#This Row],[SATUAN Fix Win]]&lt;&gt;"","KRT")</f>
        <v>KRT</v>
      </c>
      <c r="BO130" s="4" t="str">
        <f>IF(Table43[[#This Row],[SATUAN Fix Win]]&lt;&gt;"","GD01")</f>
        <v>GD01</v>
      </c>
      <c r="BP130" s="4">
        <f>IF(Table43[[#This Row],[SATUAN Fix Win]]&lt;&gt;"",11611)</f>
        <v>11611</v>
      </c>
      <c r="BQ130" s="4">
        <f>IF(Table43[[#This Row],[SATUAN Fix Win]]&lt;&gt;"",11612)</f>
        <v>11612</v>
      </c>
      <c r="BS130" s="4">
        <f>IF(Table43[[#This Row],[SATUAN Fix Win]]&lt;&gt;"",1)</f>
        <v>1</v>
      </c>
      <c r="BU130" s="4">
        <f>Table43[[#This Row],[ISI/CTN]]</f>
        <v>144</v>
      </c>
    </row>
    <row r="131" spans="1:75" s="87" customFormat="1">
      <c r="A131" s="71" t="str">
        <f>CONCATENATE(Table43[[#This Row],[Kode BARANG Win2]],Table43[[#This Row],[No. Urut
Item Sama]])</f>
        <v>G1073103004510</v>
      </c>
      <c r="B131" s="72"/>
      <c r="C131" s="73"/>
      <c r="D131" s="74">
        <v>40061097</v>
      </c>
      <c r="E131" s="75" t="s">
        <v>3469</v>
      </c>
      <c r="F131" s="74"/>
      <c r="G131" s="74"/>
      <c r="H131" s="75" t="s">
        <v>3469</v>
      </c>
      <c r="I131" s="75">
        <v>144</v>
      </c>
      <c r="J131" s="74"/>
      <c r="K131" s="75" t="str">
        <f>Table43[[#This Row],[NamaJenisKemasan]]</f>
        <v>BOX</v>
      </c>
      <c r="L131" s="71" t="str">
        <f>TRIM(CONCATENATE(Table43[[#This Row],[Nama            KLP]]," ",Table43[[#This Row],[Nama            Sub KLP]]))</f>
        <v>HIT GOODKNIGHT EXPRESS</v>
      </c>
      <c r="M131" s="71" t="str">
        <f>CONCATENATE(Table43[[#This Row],[kode  2 Digit                (hrf+No)]],Table43[[#This Row],[kode  2 Digit                (Nomor)]],Table43[[#This Row],[kode  1 Digit                (Nomor)]])</f>
        <v>G1073</v>
      </c>
      <c r="N131" s="71" t="str">
        <f>IF(AI131="",CONCATENATE(S131,U131,W131,Y131,AA131,AC131,AE131,AG131,Table43[[#This Row],[Tanda Kode Revisi]]),CONCATENATE(S131,U131,W131,Y131,AA131,AC131,AE131,AI131))</f>
        <v>G1073103004510</v>
      </c>
      <c r="O131" s="76">
        <f>LEN(N131)</f>
        <v>14</v>
      </c>
      <c r="P131" s="77" t="str">
        <f>IF(AH131&lt;&gt;"",TRIM(UPPER(CONCATENATE(R131," ",T131," ",V131," ",X131," ",Z131," ",AB131," ","X"," ",Table43[[#This Row],[ISI/CTN]]," ",AH131," ",AD131," ",AF131," ",AJ131))),TRIM(UPPER(CONCATENATE(R131," ",T131," ",V131," ",X131," ",Z131," ",AB131," ","X"," ",Table43[[#This Row],[ISI/CTN]]," ",AD131," ",AF131," ",AJ131))))</f>
        <v>HIT GOODKNIGHT EXPRESS REFILL PINK BLOSSOM 45ML X 144 BOX</v>
      </c>
      <c r="Q131" s="76">
        <f>LEN(P131)</f>
        <v>57</v>
      </c>
      <c r="R131" s="71"/>
      <c r="S131" s="72" t="s">
        <v>34</v>
      </c>
      <c r="T131" s="71" t="s">
        <v>2242</v>
      </c>
      <c r="U131" s="78" t="s">
        <v>2544</v>
      </c>
      <c r="V131" s="79" t="s">
        <v>2272</v>
      </c>
      <c r="W131" s="72">
        <v>3</v>
      </c>
      <c r="X131" s="79" t="s">
        <v>2231</v>
      </c>
      <c r="Y131" s="78" t="s">
        <v>2539</v>
      </c>
      <c r="Z131" s="71" t="s">
        <v>2252</v>
      </c>
      <c r="AA131" s="80" t="s">
        <v>2538</v>
      </c>
      <c r="AB131" s="71" t="s">
        <v>2271</v>
      </c>
      <c r="AC131" s="80" t="s">
        <v>2626</v>
      </c>
      <c r="AD131" s="71" t="s">
        <v>662</v>
      </c>
      <c r="AE131" s="72">
        <v>1</v>
      </c>
      <c r="AF131" s="71"/>
      <c r="AG131" s="72">
        <v>0</v>
      </c>
      <c r="AH131" s="72"/>
      <c r="AI131" s="72"/>
      <c r="AJ131" s="72"/>
      <c r="AK131" s="81">
        <f>Table43[[#This Row],[Column4]]</f>
        <v>0</v>
      </c>
      <c r="AL131" s="72"/>
      <c r="AM131" s="72"/>
      <c r="AN131" s="72">
        <f>Table43[[#This Row],[ISI/CTN]]</f>
        <v>144</v>
      </c>
      <c r="AO131" s="82">
        <f>Table43[[#This Row],[Harga Jual Pcs GT
(-PPN)]]-(Table43[[#This Row],[Harga Jual Pcs GT
(-PPN)]]*6.5%)</f>
        <v>0</v>
      </c>
      <c r="AP131" s="82">
        <f>Table43[[#This Row],[Harga Beli Pcs
(-PPN)]]*Table43[[#This Row],[ISI/CTN]]</f>
        <v>0</v>
      </c>
      <c r="AQ131" s="82">
        <f>Table43[[#This Row],[Harga Beli Pcs
(-PPN)]]*1.11</f>
        <v>0</v>
      </c>
      <c r="AR131" s="82">
        <f>Table43[[#This Row],[Harga Beli Krt
(- PPN)]]*1.11</f>
        <v>0</v>
      </c>
      <c r="AS131" s="82"/>
      <c r="AT131" s="82">
        <f>Table43[[#This Row],[Harga Jual Pcs GT
(-PPN)]]*Table43[[#This Row],[ISI/CTN]]</f>
        <v>0</v>
      </c>
      <c r="AU131" s="82">
        <f>Table43[[#This Row],[Harga Jual Pcs GT
(-PPN)]]*1.11</f>
        <v>0</v>
      </c>
      <c r="AV131" s="82">
        <f>Table43[[#This Row],[Harga Jual Krt GT
(- PPN)]]*1.11</f>
        <v>0</v>
      </c>
      <c r="AW131" s="82">
        <f>IFERROR(VLOOKUP(Table43[[#This Row],[Kode Pcpl]],'[1]FEB 2026'!$A$3:$X$312,24,0),0)</f>
        <v>0</v>
      </c>
      <c r="AX131" s="82">
        <f>Table43[[#This Row],[Harga Jual Pcs MT
(-PPN)]]*Table43[[#This Row],[ISI/CTN]]</f>
        <v>0</v>
      </c>
      <c r="AY131" s="82">
        <f>Table43[[#This Row],[Harga Jual Pcs MT
(-PPN)]]*1.11</f>
        <v>0</v>
      </c>
      <c r="AZ131" s="82">
        <f>Table43[[#This Row],[Harga Jual Pcs MT
(+PPN)]]*Table43[[#This Row],[ISI/CTN]]</f>
        <v>0</v>
      </c>
      <c r="BA131" s="83" t="e">
        <f>(Table43[[#This Row],[Harga Jual Pcs GT
(-PPN)]]-Table43[[#This Row],[Harga Beli Pcs
(-PPN)]])/Table43[[#This Row],[Harga Jual Pcs GT
(-PPN)]]</f>
        <v>#DIV/0!</v>
      </c>
      <c r="BB131" s="84">
        <f>Table43[[#This Row],[Harga Jual Pcs MT
(-PPN)]]-Table43[[#This Row],[Harga Beli Pcs
(-PPN)]]</f>
        <v>0</v>
      </c>
      <c r="BC131" s="85" t="e">
        <f>Table43[[#This Row],[Column1]]/Table43[[#This Row],[Harga Jual Pcs MT
(-PPN)]]</f>
        <v>#DIV/0!</v>
      </c>
      <c r="BD131" s="86"/>
      <c r="BE131" s="72"/>
      <c r="BF131" s="72" t="str">
        <f ca="1">IF(TODAY()-Table43[[#This Row],[Efektif
Pembuatan]]&gt;60,"Lama","Baru")</f>
        <v>Lama</v>
      </c>
      <c r="BG131" s="72" t="str">
        <f ca="1">IF(TODAY()-Table43[[#This Row],[Efektif Naik Harga]]&lt;30,"Naik","Sama")</f>
        <v>Sama</v>
      </c>
      <c r="BH131" s="72"/>
      <c r="BI131" s="72" t="str">
        <f>IF(Table43[[#This Row],[Kode BARANG Win2]]&lt;&gt;"","IDR","")</f>
        <v>IDR</v>
      </c>
      <c r="BJ131" s="72" t="str">
        <f>CONCATENATE(Table43[[#This Row],[kode  1 Digit
(Nomor)]],Table43[[#This Row],[kode  4 Digit                (Nomor)]])</f>
        <v>0045</v>
      </c>
      <c r="BK131" s="72" t="str">
        <f>Table43[[#This Row],[Nama            Gramasi atau Jumlah Pack per CTN]]</f>
        <v>45ML</v>
      </c>
      <c r="BL131" s="72"/>
      <c r="BM131" s="72"/>
      <c r="BN131" s="71" t="str">
        <f>IF(Table43[[#This Row],[SATUAN Fix Win]]&lt;&gt;"","KRT")</f>
        <v>KRT</v>
      </c>
      <c r="BO131" s="71" t="str">
        <f>IF(Table43[[#This Row],[SATUAN Fix Win]]&lt;&gt;"","GD01")</f>
        <v>GD01</v>
      </c>
      <c r="BP131" s="71">
        <f>IF(Table43[[#This Row],[SATUAN Fix Win]]&lt;&gt;"",11611)</f>
        <v>11611</v>
      </c>
      <c r="BQ131" s="71">
        <f>IF(Table43[[#This Row],[SATUAN Fix Win]]&lt;&gt;"",11612)</f>
        <v>11612</v>
      </c>
      <c r="BR131" s="71"/>
      <c r="BS131" s="71">
        <f>IF(Table43[[#This Row],[SATUAN Fix Win]]&lt;&gt;"",1)</f>
        <v>1</v>
      </c>
      <c r="BT131" s="71"/>
      <c r="BU131" s="71">
        <f>Table43[[#This Row],[ISI/CTN]]</f>
        <v>144</v>
      </c>
      <c r="BV131" s="71"/>
      <c r="BW131" s="71"/>
    </row>
    <row r="132" spans="1:75">
      <c r="A132" s="4" t="str">
        <f>CONCATENATE(Table43[[#This Row],[Kode BARANG Win2]],Table43[[#This Row],[No. Urut
Item Sama]])</f>
        <v>G1073201004510</v>
      </c>
      <c r="B132" s="7"/>
      <c r="C132" s="31">
        <v>30080010020000</v>
      </c>
      <c r="D132" s="59">
        <v>40059201</v>
      </c>
      <c r="E132" s="60" t="s">
        <v>2204</v>
      </c>
      <c r="F132" s="59">
        <v>301320200450101</v>
      </c>
      <c r="G132" s="59">
        <v>0</v>
      </c>
      <c r="H132" s="60" t="s">
        <v>1562</v>
      </c>
      <c r="I132" s="60">
        <v>144</v>
      </c>
      <c r="J132" s="59" t="s">
        <v>1869</v>
      </c>
      <c r="K132" s="60" t="str">
        <f>Table43[[#This Row],[NamaJenisKemasan]]</f>
        <v>BOX</v>
      </c>
      <c r="L132" s="4" t="str">
        <f>TRIM(CONCATENATE(Table43[[#This Row],[Nama            KLP]]," ",Table43[[#This Row],[Nama            Sub KLP]]))</f>
        <v>HIT GOODKNIGHT EXPRESS</v>
      </c>
      <c r="M132" s="4" t="str">
        <f>CONCATENATE(Table43[[#This Row],[kode  2 Digit                (hrf+No)]],Table43[[#This Row],[kode  2 Digit                (Nomor)]],Table43[[#This Row],[kode  1 Digit                (Nomor)]])</f>
        <v>G1073</v>
      </c>
      <c r="N132" s="4" t="str">
        <f>IF(AI132="",CONCATENATE(S132,U132,W132,Y132,AA132,AC132,AE132,AG132,Table43[[#This Row],[Tanda Kode Revisi]]),CONCATENATE(S132,U132,W132,Y132,AA132,AC132,AE132,AI132))</f>
        <v>G1073201004510</v>
      </c>
      <c r="O132" s="11">
        <f t="shared" si="2"/>
        <v>14</v>
      </c>
      <c r="P132" s="14" t="str">
        <f>IF(AH132&lt;&gt;"",TRIM(UPPER(CONCATENATE(R132," ",T132," ",V132," ",X132," ",Z132," ",AB132," ","X"," ",Table43[[#This Row],[ISI/CTN]]," ",AH132," ",AD132," ",AF132," ",AJ132))),TRIM(UPPER(CONCATENATE(R132," ",T132," ",V132," ",X132," ",Z132," ",AB132," ","X"," ",Table43[[#This Row],[ISI/CTN]]," ",AD132," ",AF132," ",AJ132))))</f>
        <v>HIT GOODKNIGHT EXPRESS REFILL MULTI PACK APPLE 45ML X 144 BOX</v>
      </c>
      <c r="Q132" s="11">
        <f t="shared" si="3"/>
        <v>61</v>
      </c>
      <c r="S132" s="7" t="s">
        <v>34</v>
      </c>
      <c r="T132" s="4" t="s">
        <v>2242</v>
      </c>
      <c r="U132" s="47" t="s">
        <v>2544</v>
      </c>
      <c r="V132" s="48" t="s">
        <v>2272</v>
      </c>
      <c r="W132" s="7">
        <v>3</v>
      </c>
      <c r="X132" s="48" t="s">
        <v>2455</v>
      </c>
      <c r="Y132" s="47" t="s">
        <v>2572</v>
      </c>
      <c r="Z132" s="4" t="s">
        <v>2264</v>
      </c>
      <c r="AA132" s="49" t="s">
        <v>1115</v>
      </c>
      <c r="AB132" s="4" t="s">
        <v>2271</v>
      </c>
      <c r="AC132" s="49" t="s">
        <v>2626</v>
      </c>
      <c r="AD132" s="4" t="s">
        <v>662</v>
      </c>
      <c r="AE132" s="7">
        <v>1</v>
      </c>
      <c r="AG132" s="7">
        <v>0</v>
      </c>
      <c r="AK132" s="70">
        <f>Table43[[#This Row],[Column4]]</f>
        <v>301320200450101</v>
      </c>
      <c r="AN132" s="7">
        <f>Table43[[#This Row],[ISI/CTN]]</f>
        <v>144</v>
      </c>
      <c r="AO132" s="38">
        <f>Table43[[#This Row],[Harga Jual Pcs GT
(-PPN)]]-(Table43[[#This Row],[Harga Jual Pcs GT
(-PPN)]]*6.5%)</f>
        <v>20637.32</v>
      </c>
      <c r="AP132" s="38">
        <f>Table43[[#This Row],[Harga Beli Pcs
(-PPN)]]*Table43[[#This Row],[ISI/CTN]]</f>
        <v>2971774.08</v>
      </c>
      <c r="AQ132" s="38">
        <f>Table43[[#This Row],[Harga Beli Pcs
(-PPN)]]*1.11</f>
        <v>22907.425200000001</v>
      </c>
      <c r="AR132" s="38">
        <f>Table43[[#This Row],[Harga Beli Krt
(- PPN)]]*1.11</f>
        <v>3298669.2288000002</v>
      </c>
      <c r="AS132" s="38">
        <v>22072</v>
      </c>
      <c r="AT132" s="38">
        <f>Table43[[#This Row],[Harga Jual Pcs GT
(-PPN)]]*Table43[[#This Row],[ISI/CTN]]</f>
        <v>3178368</v>
      </c>
      <c r="AU132" s="38">
        <f>Table43[[#This Row],[Harga Jual Pcs GT
(-PPN)]]*1.11</f>
        <v>24499.920000000002</v>
      </c>
      <c r="AV132" s="38">
        <f>Table43[[#This Row],[Harga Jual Krt GT
(- PPN)]]*1.11</f>
        <v>3527988.4800000004</v>
      </c>
      <c r="AW132" s="38">
        <f>IFERROR(VLOOKUP(Table43[[#This Row],[Kode Pcpl]],'[1]FEB 2026'!$A$3:$X$312,24,0),0)</f>
        <v>0</v>
      </c>
      <c r="AX132" s="38">
        <f>Table43[[#This Row],[Harga Jual Pcs MT
(-PPN)]]*Table43[[#This Row],[ISI/CTN]]</f>
        <v>0</v>
      </c>
      <c r="AY132" s="38">
        <f>Table43[[#This Row],[Harga Jual Pcs MT
(-PPN)]]*1.11</f>
        <v>0</v>
      </c>
      <c r="AZ132" s="38">
        <f>Table43[[#This Row],[Harga Jual Pcs MT
(+PPN)]]*Table43[[#This Row],[ISI/CTN]]</f>
        <v>0</v>
      </c>
      <c r="BA132" s="46">
        <f>(Table43[[#This Row],[Harga Jual Pcs GT
(-PPN)]]-Table43[[#This Row],[Harga Beli Pcs
(-PPN)]])/Table43[[#This Row],[Harga Jual Pcs GT
(-PPN)]]</f>
        <v>6.5000000000000016E-2</v>
      </c>
      <c r="BB132" s="53">
        <f>Table43[[#This Row],[Harga Jual Pcs MT
(-PPN)]]-Table43[[#This Row],[Harga Beli Pcs
(-PPN)]]</f>
        <v>-20637.32</v>
      </c>
      <c r="BC132" s="54" t="e">
        <f>Table43[[#This Row],[Column1]]/Table43[[#This Row],[Harga Jual Pcs MT
(-PPN)]]</f>
        <v>#DIV/0!</v>
      </c>
      <c r="BD132" s="52"/>
      <c r="BE132" s="7"/>
      <c r="BF132" s="7" t="str">
        <f ca="1">IF(TODAY()-Table43[[#This Row],[Efektif
Pembuatan]]&gt;60,"Lama","Baru")</f>
        <v>Lama</v>
      </c>
      <c r="BG132" s="7" t="str">
        <f ca="1">IF(TODAY()-Table43[[#This Row],[Efektif Naik Harga]]&lt;30,"Naik","Sama")</f>
        <v>Sama</v>
      </c>
      <c r="BH132" s="7"/>
      <c r="BI132" s="7" t="str">
        <f>IF(Table43[[#This Row],[Kode BARANG Win2]]&lt;&gt;"","IDR","")</f>
        <v>IDR</v>
      </c>
      <c r="BJ132" s="7" t="str">
        <f>CONCATENATE(Table43[[#This Row],[kode  1 Digit
(Nomor)]],Table43[[#This Row],[kode  4 Digit                (Nomor)]])</f>
        <v>0045</v>
      </c>
      <c r="BK132" s="7" t="str">
        <f>Table43[[#This Row],[Nama            Gramasi atau Jumlah Pack per CTN]]</f>
        <v>45ML</v>
      </c>
      <c r="BL132" s="7"/>
      <c r="BM132" s="7"/>
      <c r="BN132" s="4" t="str">
        <f>IF(Table43[[#This Row],[SATUAN Fix Win]]&lt;&gt;"","KRT")</f>
        <v>KRT</v>
      </c>
      <c r="BO132" s="4" t="str">
        <f>IF(Table43[[#This Row],[SATUAN Fix Win]]&lt;&gt;"","GD01")</f>
        <v>GD01</v>
      </c>
      <c r="BP132" s="4">
        <f>IF(Table43[[#This Row],[SATUAN Fix Win]]&lt;&gt;"",11611)</f>
        <v>11611</v>
      </c>
      <c r="BQ132" s="4">
        <f>IF(Table43[[#This Row],[SATUAN Fix Win]]&lt;&gt;"",11612)</f>
        <v>11612</v>
      </c>
      <c r="BS132" s="4">
        <f>IF(Table43[[#This Row],[SATUAN Fix Win]]&lt;&gt;"",1)</f>
        <v>1</v>
      </c>
      <c r="BU132" s="4">
        <f>Table43[[#This Row],[ISI/CTN]]</f>
        <v>144</v>
      </c>
    </row>
    <row r="133" spans="1:75">
      <c r="A133" s="4" t="str">
        <f>CONCATENATE(Table43[[#This Row],[Kode BARANG Win2]],Table43[[#This Row],[No. Urut
Item Sama]])</f>
        <v>G1074001025010</v>
      </c>
      <c r="B133" s="7"/>
      <c r="C133" s="31">
        <v>30090030225003</v>
      </c>
      <c r="D133" s="51">
        <v>40036707</v>
      </c>
      <c r="E133" s="27" t="s">
        <v>1953</v>
      </c>
      <c r="F133" s="59">
        <v>30131010000001</v>
      </c>
      <c r="G133" s="51">
        <v>0</v>
      </c>
      <c r="H133" s="27" t="s">
        <v>1230</v>
      </c>
      <c r="I133" s="27">
        <v>24</v>
      </c>
      <c r="J133" s="51" t="s">
        <v>1644</v>
      </c>
      <c r="K133" s="27" t="str">
        <f>Table43[[#This Row],[NamaJenisKemasan]]</f>
        <v>SET</v>
      </c>
      <c r="L133" s="4" t="str">
        <f>TRIM(CONCATENATE(Table43[[#This Row],[Nama            KLP]]," ",Table43[[#This Row],[Nama            Sub KLP]]))</f>
        <v>HIT GOODKNIGHT NON-STOP</v>
      </c>
      <c r="M133" s="4" t="str">
        <f>CONCATENATE(Table43[[#This Row],[kode  2 Digit                (hrf+No)]],Table43[[#This Row],[kode  2 Digit                (Nomor)]],Table43[[#This Row],[kode  1 Digit                (Nomor)]])</f>
        <v>G1074</v>
      </c>
      <c r="N133" s="4" t="str">
        <f>IF(AI133="",CONCATENATE(S133,U133,W133,Y133,AA133,AC133,AE133,AG133,Table43[[#This Row],[Tanda Kode Revisi]]),CONCATENATE(S133,U133,W133,Y133,AA133,AC133,AE133,AI133))</f>
        <v>G1074001025010</v>
      </c>
      <c r="O133" s="11">
        <f t="shared" si="2"/>
        <v>14</v>
      </c>
      <c r="P133" s="14" t="str">
        <f>IF(AH133&lt;&gt;"",TRIM(UPPER(CONCATENATE(R133," ",T133," ",V133," ",X133," ",Z133," ",AB133," ","X"," ",Table43[[#This Row],[ISI/CTN]]," ",AH133," ",AD133," ",AF133," ",AJ133))),TRIM(UPPER(CONCATENATE(R133," ",T133," ",V133," ",X133," ",Z133," ",AB133," ","X"," ",Table43[[#This Row],[ISI/CTN]]," ",AD133," ",AF133," ",AJ133))))</f>
        <v>HIT GOODKNIGHT NON-STOP EKONOMIS 250GR X 24 SET</v>
      </c>
      <c r="Q133" s="11">
        <f t="shared" si="3"/>
        <v>47</v>
      </c>
      <c r="S133" s="7" t="s">
        <v>34</v>
      </c>
      <c r="T133" s="4" t="s">
        <v>2242</v>
      </c>
      <c r="U133" s="47" t="s">
        <v>2544</v>
      </c>
      <c r="V133" s="48" t="s">
        <v>2273</v>
      </c>
      <c r="W133" s="7">
        <v>4</v>
      </c>
      <c r="X133" s="48"/>
      <c r="Y133" s="47" t="s">
        <v>1116</v>
      </c>
      <c r="Z133" s="4" t="s">
        <v>2274</v>
      </c>
      <c r="AA133" s="49" t="s">
        <v>1115</v>
      </c>
      <c r="AB133" s="4" t="s">
        <v>2275</v>
      </c>
      <c r="AC133" s="49" t="s">
        <v>2613</v>
      </c>
      <c r="AD133" s="4" t="s">
        <v>2222</v>
      </c>
      <c r="AE133" s="7">
        <v>1</v>
      </c>
      <c r="AG133" s="7">
        <v>0</v>
      </c>
      <c r="AK133" s="70">
        <f>Table43[[#This Row],[Column4]]</f>
        <v>30131010000001</v>
      </c>
      <c r="AN133" s="7">
        <f>Table43[[#This Row],[ISI/CTN]]</f>
        <v>24</v>
      </c>
      <c r="AO133" s="38">
        <f>Table43[[#This Row],[Harga Jual Pcs GT
(-PPN)]]-(Table43[[#This Row],[Harga Jual Pcs GT
(-PPN)]]*6.5%)</f>
        <v>14866.5</v>
      </c>
      <c r="AP133" s="38">
        <f>Table43[[#This Row],[Harga Beli Pcs
(-PPN)]]*Table43[[#This Row],[ISI/CTN]]</f>
        <v>356796</v>
      </c>
      <c r="AQ133" s="38">
        <f>Table43[[#This Row],[Harga Beli Pcs
(-PPN)]]*1.11</f>
        <v>16501.815000000002</v>
      </c>
      <c r="AR133" s="38">
        <f>Table43[[#This Row],[Harga Beli Krt
(- PPN)]]*1.11</f>
        <v>396043.56000000006</v>
      </c>
      <c r="AS133" s="38">
        <v>15900</v>
      </c>
      <c r="AT133" s="38">
        <f>Table43[[#This Row],[Harga Jual Pcs GT
(-PPN)]]*Table43[[#This Row],[ISI/CTN]]</f>
        <v>381600</v>
      </c>
      <c r="AU133" s="38">
        <f>Table43[[#This Row],[Harga Jual Pcs GT
(-PPN)]]*1.11</f>
        <v>17649</v>
      </c>
      <c r="AV133" s="38">
        <f>Table43[[#This Row],[Harga Jual Krt GT
(- PPN)]]*1.11</f>
        <v>423576.00000000006</v>
      </c>
      <c r="AW133" s="38">
        <f>IFERROR(VLOOKUP(Table43[[#This Row],[Kode Pcpl]],'[1]FEB 2026'!$A$3:$X$312,24,0),0)</f>
        <v>0</v>
      </c>
      <c r="AX133" s="38">
        <f>Table43[[#This Row],[Harga Jual Pcs MT
(-PPN)]]*Table43[[#This Row],[ISI/CTN]]</f>
        <v>0</v>
      </c>
      <c r="AY133" s="38">
        <f>Table43[[#This Row],[Harga Jual Pcs MT
(-PPN)]]*1.11</f>
        <v>0</v>
      </c>
      <c r="AZ133" s="38">
        <f>Table43[[#This Row],[Harga Jual Pcs MT
(+PPN)]]*Table43[[#This Row],[ISI/CTN]]</f>
        <v>0</v>
      </c>
      <c r="BA133" s="46">
        <f>(Table43[[#This Row],[Harga Jual Pcs GT
(-PPN)]]-Table43[[#This Row],[Harga Beli Pcs
(-PPN)]])/Table43[[#This Row],[Harga Jual Pcs GT
(-PPN)]]</f>
        <v>6.5000000000000002E-2</v>
      </c>
      <c r="BB133" s="53">
        <f>Table43[[#This Row],[Harga Jual Pcs MT
(-PPN)]]-Table43[[#This Row],[Harga Beli Pcs
(-PPN)]]</f>
        <v>-14866.5</v>
      </c>
      <c r="BC133" s="54" t="e">
        <f>Table43[[#This Row],[Column1]]/Table43[[#This Row],[Harga Jual Pcs MT
(-PPN)]]</f>
        <v>#DIV/0!</v>
      </c>
      <c r="BD133" s="52"/>
      <c r="BE133" s="7"/>
      <c r="BF133" s="7" t="str">
        <f ca="1">IF(TODAY()-Table43[[#This Row],[Efektif
Pembuatan]]&gt;60,"Lama","Baru")</f>
        <v>Lama</v>
      </c>
      <c r="BG133" s="7" t="str">
        <f ca="1">IF(TODAY()-Table43[[#This Row],[Efektif Naik Harga]]&lt;30,"Naik","Sama")</f>
        <v>Sama</v>
      </c>
      <c r="BH133" s="7"/>
      <c r="BI133" s="7" t="str">
        <f>IF(Table43[[#This Row],[Kode BARANG Win2]]&lt;&gt;"","IDR","")</f>
        <v>IDR</v>
      </c>
      <c r="BJ133" s="7" t="str">
        <f>CONCATENATE(Table43[[#This Row],[kode  1 Digit
(Nomor)]],Table43[[#This Row],[kode  4 Digit                (Nomor)]])</f>
        <v>0250</v>
      </c>
      <c r="BK133" s="7" t="str">
        <f>Table43[[#This Row],[Nama            Gramasi atau Jumlah Pack per CTN]]</f>
        <v>250GR</v>
      </c>
      <c r="BL133" s="7"/>
      <c r="BM133" s="7"/>
      <c r="BN133" s="4" t="str">
        <f>IF(Table43[[#This Row],[SATUAN Fix Win]]&lt;&gt;"","KRT")</f>
        <v>KRT</v>
      </c>
      <c r="BO133" s="4" t="str">
        <f>IF(Table43[[#This Row],[SATUAN Fix Win]]&lt;&gt;"","GD01")</f>
        <v>GD01</v>
      </c>
      <c r="BP133" s="4">
        <f>IF(Table43[[#This Row],[SATUAN Fix Win]]&lt;&gt;"",11611)</f>
        <v>11611</v>
      </c>
      <c r="BQ133" s="4">
        <f>IF(Table43[[#This Row],[SATUAN Fix Win]]&lt;&gt;"",11612)</f>
        <v>11612</v>
      </c>
      <c r="BS133" s="4">
        <f>IF(Table43[[#This Row],[SATUAN Fix Win]]&lt;&gt;"",1)</f>
        <v>1</v>
      </c>
      <c r="BU133" s="4">
        <f>Table43[[#This Row],[ISI/CTN]]</f>
        <v>24</v>
      </c>
    </row>
    <row r="134" spans="1:75">
      <c r="A134" s="4" t="str">
        <f>CONCATENATE(Table43[[#This Row],[Kode BARANG Win2]],Table43[[#This Row],[No. Urut
Item Sama]])</f>
        <v>G1074001025010</v>
      </c>
      <c r="B134" s="7"/>
      <c r="C134" s="31">
        <v>30111050010000</v>
      </c>
      <c r="D134" s="59">
        <v>40057316</v>
      </c>
      <c r="E134" s="60" t="s">
        <v>1953</v>
      </c>
      <c r="F134" s="59">
        <v>30131010000001</v>
      </c>
      <c r="G134" s="59">
        <v>0</v>
      </c>
      <c r="H134" s="60" t="s">
        <v>1231</v>
      </c>
      <c r="I134" s="60">
        <v>24</v>
      </c>
      <c r="J134" s="59" t="s">
        <v>1644</v>
      </c>
      <c r="K134" s="60" t="str">
        <f>Table43[[#This Row],[NamaJenisKemasan]]</f>
        <v>SET</v>
      </c>
      <c r="L134" s="4" t="str">
        <f>TRIM(CONCATENATE(Table43[[#This Row],[Nama            KLP]]," ",Table43[[#This Row],[Nama            Sub KLP]]))</f>
        <v>HIT GOODKNIGHT NON-STOP</v>
      </c>
      <c r="M134" s="4" t="str">
        <f>CONCATENATE(Table43[[#This Row],[kode  2 Digit                (hrf+No)]],Table43[[#This Row],[kode  2 Digit                (Nomor)]],Table43[[#This Row],[kode  1 Digit                (Nomor)]])</f>
        <v>G1074</v>
      </c>
      <c r="N134" s="4" t="str">
        <f>IF(AI134="",CONCATENATE(S134,U134,W134,Y134,AA134,AC134,AE134,AG134,Table43[[#This Row],[Tanda Kode Revisi]]),CONCATENATE(S134,U134,W134,Y134,AA134,AC134,AE134,AI134))</f>
        <v>G1074001025010</v>
      </c>
      <c r="O134" s="11">
        <f t="shared" si="2"/>
        <v>14</v>
      </c>
      <c r="P134" s="14" t="str">
        <f>IF(AH134&lt;&gt;"",TRIM(UPPER(CONCATENATE(R134," ",T134," ",V134," ",X134," ",Z134," ",AB134," ","X"," ",Table43[[#This Row],[ISI/CTN]]," ",AH134," ",AD134," ",AF134," ",AJ134))),TRIM(UPPER(CONCATENATE(R134," ",T134," ",V134," ",X134," ",Z134," ",AB134," ","X"," ",Table43[[#This Row],[ISI/CTN]]," ",AD134," ",AF134," ",AJ134))))</f>
        <v>HIT GOODKNIGHT NON-STOP EKONOMIS 250GR X 24 SET</v>
      </c>
      <c r="Q134" s="11">
        <f t="shared" si="3"/>
        <v>47</v>
      </c>
      <c r="S134" s="7" t="s">
        <v>34</v>
      </c>
      <c r="T134" s="4" t="s">
        <v>2242</v>
      </c>
      <c r="U134" s="47" t="s">
        <v>2544</v>
      </c>
      <c r="V134" s="48" t="s">
        <v>2273</v>
      </c>
      <c r="W134" s="7">
        <v>4</v>
      </c>
      <c r="X134" s="48"/>
      <c r="Y134" s="47" t="s">
        <v>1116</v>
      </c>
      <c r="Z134" s="4" t="s">
        <v>2274</v>
      </c>
      <c r="AA134" s="49" t="s">
        <v>1115</v>
      </c>
      <c r="AB134" s="4" t="s">
        <v>2275</v>
      </c>
      <c r="AC134" s="49" t="s">
        <v>2613</v>
      </c>
      <c r="AD134" s="4" t="s">
        <v>2222</v>
      </c>
      <c r="AE134" s="7">
        <v>1</v>
      </c>
      <c r="AG134" s="7">
        <v>0</v>
      </c>
      <c r="AK134" s="70">
        <f>Table43[[#This Row],[Column4]]</f>
        <v>30131010000001</v>
      </c>
      <c r="AN134" s="7">
        <f>Table43[[#This Row],[ISI/CTN]]</f>
        <v>24</v>
      </c>
      <c r="AO134" s="38">
        <f>Table43[[#This Row],[Harga Jual Pcs GT
(-PPN)]]-(Table43[[#This Row],[Harga Jual Pcs GT
(-PPN)]]*6.5%)</f>
        <v>14866.5</v>
      </c>
      <c r="AP134" s="38">
        <f>Table43[[#This Row],[Harga Beli Pcs
(-PPN)]]*Table43[[#This Row],[ISI/CTN]]</f>
        <v>356796</v>
      </c>
      <c r="AQ134" s="38">
        <f>Table43[[#This Row],[Harga Beli Pcs
(-PPN)]]*1.11</f>
        <v>16501.815000000002</v>
      </c>
      <c r="AR134" s="38">
        <f>Table43[[#This Row],[Harga Beli Krt
(- PPN)]]*1.11</f>
        <v>396043.56000000006</v>
      </c>
      <c r="AS134" s="38">
        <v>15900</v>
      </c>
      <c r="AT134" s="38">
        <f>Table43[[#This Row],[Harga Jual Pcs GT
(-PPN)]]*Table43[[#This Row],[ISI/CTN]]</f>
        <v>381600</v>
      </c>
      <c r="AU134" s="38">
        <f>Table43[[#This Row],[Harga Jual Pcs GT
(-PPN)]]*1.11</f>
        <v>17649</v>
      </c>
      <c r="AV134" s="38">
        <f>Table43[[#This Row],[Harga Jual Krt GT
(- PPN)]]*1.11</f>
        <v>423576.00000000006</v>
      </c>
      <c r="AW134" s="38">
        <f>IFERROR(VLOOKUP(Table43[[#This Row],[Kode Pcpl]],'[1]FEB 2026'!$A$3:$X$312,24,0),0)</f>
        <v>0</v>
      </c>
      <c r="AX134" s="38">
        <f>Table43[[#This Row],[Harga Jual Pcs MT
(-PPN)]]*Table43[[#This Row],[ISI/CTN]]</f>
        <v>0</v>
      </c>
      <c r="AY134" s="38">
        <f>Table43[[#This Row],[Harga Jual Pcs MT
(-PPN)]]*1.11</f>
        <v>0</v>
      </c>
      <c r="AZ134" s="38">
        <f>Table43[[#This Row],[Harga Jual Pcs MT
(+PPN)]]*Table43[[#This Row],[ISI/CTN]]</f>
        <v>0</v>
      </c>
      <c r="BA134" s="46">
        <f>(Table43[[#This Row],[Harga Jual Pcs GT
(-PPN)]]-Table43[[#This Row],[Harga Beli Pcs
(-PPN)]])/Table43[[#This Row],[Harga Jual Pcs GT
(-PPN)]]</f>
        <v>6.5000000000000002E-2</v>
      </c>
      <c r="BB134" s="53">
        <f>Table43[[#This Row],[Harga Jual Pcs MT
(-PPN)]]-Table43[[#This Row],[Harga Beli Pcs
(-PPN)]]</f>
        <v>-14866.5</v>
      </c>
      <c r="BC134" s="54" t="e">
        <f>Table43[[#This Row],[Column1]]/Table43[[#This Row],[Harga Jual Pcs MT
(-PPN)]]</f>
        <v>#DIV/0!</v>
      </c>
      <c r="BD134" s="52"/>
      <c r="BE134" s="7"/>
      <c r="BF134" s="7" t="str">
        <f ca="1">IF(TODAY()-Table43[[#This Row],[Efektif
Pembuatan]]&gt;60,"Lama","Baru")</f>
        <v>Lama</v>
      </c>
      <c r="BG134" s="7" t="str">
        <f ca="1">IF(TODAY()-Table43[[#This Row],[Efektif Naik Harga]]&lt;30,"Naik","Sama")</f>
        <v>Sama</v>
      </c>
      <c r="BH134" s="7"/>
      <c r="BI134" s="7" t="str">
        <f>IF(Table43[[#This Row],[Kode BARANG Win2]]&lt;&gt;"","IDR","")</f>
        <v>IDR</v>
      </c>
      <c r="BJ134" s="7" t="str">
        <f>CONCATENATE(Table43[[#This Row],[kode  1 Digit
(Nomor)]],Table43[[#This Row],[kode  4 Digit                (Nomor)]])</f>
        <v>0250</v>
      </c>
      <c r="BK134" s="7" t="str">
        <f>Table43[[#This Row],[Nama            Gramasi atau Jumlah Pack per CTN]]</f>
        <v>250GR</v>
      </c>
      <c r="BL134" s="7"/>
      <c r="BM134" s="7"/>
      <c r="BN134" s="4" t="str">
        <f>IF(Table43[[#This Row],[SATUAN Fix Win]]&lt;&gt;"","KRT")</f>
        <v>KRT</v>
      </c>
      <c r="BO134" s="4" t="str">
        <f>IF(Table43[[#This Row],[SATUAN Fix Win]]&lt;&gt;"","GD01")</f>
        <v>GD01</v>
      </c>
      <c r="BP134" s="4">
        <f>IF(Table43[[#This Row],[SATUAN Fix Win]]&lt;&gt;"",11611)</f>
        <v>11611</v>
      </c>
      <c r="BQ134" s="4">
        <f>IF(Table43[[#This Row],[SATUAN Fix Win]]&lt;&gt;"",11612)</f>
        <v>11612</v>
      </c>
      <c r="BS134" s="4">
        <f>IF(Table43[[#This Row],[SATUAN Fix Win]]&lt;&gt;"",1)</f>
        <v>1</v>
      </c>
      <c r="BU134" s="4">
        <f>Table43[[#This Row],[ISI/CTN]]</f>
        <v>24</v>
      </c>
    </row>
    <row r="135" spans="1:75">
      <c r="A135" s="4" t="str">
        <f>CONCATENATE(Table43[[#This Row],[Kode BARANG Win2]],Table43[[#This Row],[No. Urut
Item Sama]])</f>
        <v>G1074001025010</v>
      </c>
      <c r="B135" s="7"/>
      <c r="C135" s="31"/>
      <c r="D135" s="51">
        <v>40028228</v>
      </c>
      <c r="E135" s="27"/>
      <c r="F135" s="51"/>
      <c r="G135" s="51"/>
      <c r="H135" s="27"/>
      <c r="I135" s="27">
        <v>24</v>
      </c>
      <c r="J135" s="59" t="s">
        <v>1644</v>
      </c>
      <c r="K135" s="27" t="str">
        <f>Table43[[#This Row],[NamaJenisKemasan]]</f>
        <v>SET</v>
      </c>
      <c r="L135" s="4" t="str">
        <f>TRIM(CONCATENATE(Table43[[#This Row],[Nama            KLP]]," ",Table43[[#This Row],[Nama            Sub KLP]]))</f>
        <v>HIT GOODKNIGHT NON-STOP</v>
      </c>
      <c r="M135" s="4" t="str">
        <f>CONCATENATE(Table43[[#This Row],[kode  2 Digit                (hrf+No)]],Table43[[#This Row],[kode  2 Digit                (Nomor)]],Table43[[#This Row],[kode  1 Digit                (Nomor)]])</f>
        <v>G1074</v>
      </c>
      <c r="N135" s="4" t="str">
        <f>IF(AI135="",CONCATENATE(S135,U135,W135,Y135,AA135,AC135,AE135,AG135,Table43[[#This Row],[Tanda Kode Revisi]]),CONCATENATE(S135,U135,W135,Y135,AA135,AC135,AE135,AI135))</f>
        <v>G1074001025010</v>
      </c>
      <c r="O135" s="11">
        <f>LEN(N135)</f>
        <v>14</v>
      </c>
      <c r="P135" s="14" t="str">
        <f>IF(AH135&lt;&gt;"",TRIM(UPPER(CONCATENATE(R135," ",T135," ",V135," ",X135," ",Z135," ",AB135," ","X"," ",Table43[[#This Row],[ISI/CTN]]," ",AH135," ",AD135," ",AF135," ",AJ135))),TRIM(UPPER(CONCATENATE(R135," ",T135," ",V135," ",X135," ",Z135," ",AB135," ","X"," ",Table43[[#This Row],[ISI/CTN]]," ",AD135," ",AF135," ",AJ135))))</f>
        <v>HIT GOODKNIGHT NON-STOP EKONOMIS 250GR X 24 SET</v>
      </c>
      <c r="Q135" s="11">
        <f>LEN(P135)</f>
        <v>47</v>
      </c>
      <c r="S135" s="7" t="s">
        <v>34</v>
      </c>
      <c r="T135" s="4" t="s">
        <v>2242</v>
      </c>
      <c r="U135" s="47" t="s">
        <v>2544</v>
      </c>
      <c r="V135" s="48" t="s">
        <v>2273</v>
      </c>
      <c r="W135" s="7">
        <v>4</v>
      </c>
      <c r="X135" s="48"/>
      <c r="Y135" s="47" t="s">
        <v>1116</v>
      </c>
      <c r="Z135" s="4" t="s">
        <v>2274</v>
      </c>
      <c r="AA135" s="49" t="s">
        <v>1115</v>
      </c>
      <c r="AB135" s="4" t="s">
        <v>2275</v>
      </c>
      <c r="AC135" s="49" t="s">
        <v>2613</v>
      </c>
      <c r="AD135" s="4" t="s">
        <v>2222</v>
      </c>
      <c r="AE135" s="7">
        <v>1</v>
      </c>
      <c r="AG135" s="7">
        <v>0</v>
      </c>
      <c r="AK135" s="70">
        <f>Table43[[#This Row],[Column4]]</f>
        <v>0</v>
      </c>
      <c r="AN135" s="7">
        <f>Table43[[#This Row],[ISI/CTN]]</f>
        <v>24</v>
      </c>
      <c r="AO135" s="38">
        <f>Table43[[#This Row],[Harga Jual Pcs GT
(-PPN)]]-(Table43[[#This Row],[Harga Jual Pcs GT
(-PPN)]]*6.5%)</f>
        <v>0</v>
      </c>
      <c r="AP135" s="38">
        <f>Table43[[#This Row],[Harga Beli Pcs
(-PPN)]]*Table43[[#This Row],[ISI/CTN]]</f>
        <v>0</v>
      </c>
      <c r="AQ135" s="38">
        <f>Table43[[#This Row],[Harga Beli Pcs
(-PPN)]]*1.11</f>
        <v>0</v>
      </c>
      <c r="AR135" s="38">
        <f>Table43[[#This Row],[Harga Beli Krt
(- PPN)]]*1.11</f>
        <v>0</v>
      </c>
      <c r="AS135" s="38"/>
      <c r="AT135" s="38">
        <f>Table43[[#This Row],[Harga Jual Pcs GT
(-PPN)]]*Table43[[#This Row],[ISI/CTN]]</f>
        <v>0</v>
      </c>
      <c r="AU135" s="38">
        <f>Table43[[#This Row],[Harga Jual Pcs GT
(-PPN)]]*1.11</f>
        <v>0</v>
      </c>
      <c r="AV135" s="38">
        <f>Table43[[#This Row],[Harga Jual Krt GT
(- PPN)]]*1.11</f>
        <v>0</v>
      </c>
      <c r="AW135" s="38">
        <f>IFERROR(VLOOKUP(Table43[[#This Row],[Kode Pcpl]],'[1]FEB 2026'!$A$3:$X$312,24,0),0)</f>
        <v>0</v>
      </c>
      <c r="AX135" s="38">
        <f>Table43[[#This Row],[Harga Jual Pcs MT
(-PPN)]]*Table43[[#This Row],[ISI/CTN]]</f>
        <v>0</v>
      </c>
      <c r="AY135" s="38">
        <f>Table43[[#This Row],[Harga Jual Pcs MT
(-PPN)]]*1.11</f>
        <v>0</v>
      </c>
      <c r="AZ135" s="38">
        <f>Table43[[#This Row],[Harga Jual Pcs MT
(+PPN)]]*Table43[[#This Row],[ISI/CTN]]</f>
        <v>0</v>
      </c>
      <c r="BA135" s="46" t="e">
        <f>(Table43[[#This Row],[Harga Jual Pcs GT
(-PPN)]]-Table43[[#This Row],[Harga Beli Pcs
(-PPN)]])/Table43[[#This Row],[Harga Jual Pcs GT
(-PPN)]]</f>
        <v>#DIV/0!</v>
      </c>
      <c r="BB135" s="53">
        <f>Table43[[#This Row],[Harga Jual Pcs MT
(-PPN)]]-Table43[[#This Row],[Harga Beli Pcs
(-PPN)]]</f>
        <v>0</v>
      </c>
      <c r="BC135" s="54" t="e">
        <f>Table43[[#This Row],[Column1]]/Table43[[#This Row],[Harga Jual Pcs MT
(-PPN)]]</f>
        <v>#DIV/0!</v>
      </c>
      <c r="BD135" s="52"/>
      <c r="BE135" s="7"/>
      <c r="BF135" s="7" t="str">
        <f ca="1">IF(TODAY()-Table43[[#This Row],[Efektif
Pembuatan]]&gt;60,"Lama","Baru")</f>
        <v>Lama</v>
      </c>
      <c r="BG135" s="7" t="str">
        <f ca="1">IF(TODAY()-Table43[[#This Row],[Efektif Naik Harga]]&lt;30,"Naik","Sama")</f>
        <v>Sama</v>
      </c>
      <c r="BH135" s="7"/>
      <c r="BI135" s="7" t="str">
        <f>IF(Table43[[#This Row],[Kode BARANG Win2]]&lt;&gt;"","IDR","")</f>
        <v>IDR</v>
      </c>
      <c r="BJ135" s="7" t="str">
        <f>CONCATENATE(Table43[[#This Row],[kode  1 Digit
(Nomor)]],Table43[[#This Row],[kode  4 Digit                (Nomor)]])</f>
        <v>0250</v>
      </c>
      <c r="BK135" s="7" t="str">
        <f>Table43[[#This Row],[Nama            Gramasi atau Jumlah Pack per CTN]]</f>
        <v>250GR</v>
      </c>
      <c r="BL135" s="7"/>
      <c r="BM135" s="7"/>
      <c r="BN135" s="4" t="str">
        <f>IF(Table43[[#This Row],[SATUAN Fix Win]]&lt;&gt;"","KRT")</f>
        <v>KRT</v>
      </c>
      <c r="BO135" s="4" t="str">
        <f>IF(Table43[[#This Row],[SATUAN Fix Win]]&lt;&gt;"","GD01")</f>
        <v>GD01</v>
      </c>
      <c r="BP135" s="4">
        <f>IF(Table43[[#This Row],[SATUAN Fix Win]]&lt;&gt;"",11611)</f>
        <v>11611</v>
      </c>
      <c r="BQ135" s="4">
        <f>IF(Table43[[#This Row],[SATUAN Fix Win]]&lt;&gt;"",11612)</f>
        <v>11612</v>
      </c>
      <c r="BS135" s="4">
        <f>IF(Table43[[#This Row],[SATUAN Fix Win]]&lt;&gt;"",1)</f>
        <v>1</v>
      </c>
      <c r="BU135" s="4">
        <f>Table43[[#This Row],[ISI/CTN]]</f>
        <v>24</v>
      </c>
    </row>
    <row r="136" spans="1:75">
      <c r="A136" s="4" t="str">
        <f>CONCATENATE(Table43[[#This Row],[Kode BARANG Win2]],Table43[[#This Row],[No. Urut
Item Sama]])</f>
        <v>G1074002003520</v>
      </c>
      <c r="B136" s="7"/>
      <c r="C136" s="31">
        <v>30080020150010</v>
      </c>
      <c r="D136" s="51">
        <v>40059202</v>
      </c>
      <c r="E136" s="27" t="s">
        <v>2205</v>
      </c>
      <c r="F136" s="51">
        <v>301330500350101</v>
      </c>
      <c r="G136" s="51">
        <v>0</v>
      </c>
      <c r="H136" s="27" t="s">
        <v>1563</v>
      </c>
      <c r="I136" s="27">
        <v>144</v>
      </c>
      <c r="J136" s="51" t="s">
        <v>1870</v>
      </c>
      <c r="K136" s="27" t="str">
        <f>Table43[[#This Row],[NamaJenisKemasan]]</f>
        <v>BOX</v>
      </c>
      <c r="L136" s="4" t="str">
        <f>TRIM(CONCATENATE(Table43[[#This Row],[Nama            KLP]]," ",Table43[[#This Row],[Nama            Sub KLP]]))</f>
        <v>HIT GOODKNIGHT NON-STOP</v>
      </c>
      <c r="M136" s="4" t="str">
        <f>CONCATENATE(Table43[[#This Row],[kode  2 Digit                (hrf+No)]],Table43[[#This Row],[kode  2 Digit                (Nomor)]],Table43[[#This Row],[kode  1 Digit                (Nomor)]])</f>
        <v>G1074</v>
      </c>
      <c r="N136" s="4" t="str">
        <f>IF(AI136="",CONCATENATE(S136,U136,W136,Y136,AA136,AC136,AE136,AG136,Table43[[#This Row],[Tanda Kode Revisi]]),CONCATENATE(S136,U136,W136,Y136,AA136,AC136,AE136,AI136))</f>
        <v>G1074002003520</v>
      </c>
      <c r="O136" s="11">
        <f t="shared" si="2"/>
        <v>14</v>
      </c>
      <c r="P136" s="14" t="str">
        <f>IF(AH136&lt;&gt;"",TRIM(UPPER(CONCATENATE(R136," ",T136," ",V136," ",X136," ",Z136," ",AB136," ","X"," ",Table43[[#This Row],[ISI/CTN]]," ",AH136," ",AD136," ",AF136," ",AJ136))),TRIM(UPPER(CONCATENATE(R136," ",T136," ",V136," ",X136," ",Z136," ",AB136," ","X"," ",Table43[[#This Row],[ISI/CTN]]," ",AD136," ",AF136," ",AJ136))))</f>
        <v>HIT GOODKNIGHT NON-STOP FRESH MULTI PACK 35ML X 144 BOX</v>
      </c>
      <c r="Q136" s="11">
        <f t="shared" si="3"/>
        <v>55</v>
      </c>
      <c r="S136" s="7" t="s">
        <v>34</v>
      </c>
      <c r="T136" s="4" t="s">
        <v>2242</v>
      </c>
      <c r="U136" s="47" t="s">
        <v>2544</v>
      </c>
      <c r="V136" s="48" t="s">
        <v>2273</v>
      </c>
      <c r="W136" s="7">
        <v>4</v>
      </c>
      <c r="X136" s="48"/>
      <c r="Y136" s="47" t="s">
        <v>1116</v>
      </c>
      <c r="Z136" s="4" t="s">
        <v>2643</v>
      </c>
      <c r="AA136" s="49" t="s">
        <v>2459</v>
      </c>
      <c r="AB136" s="4" t="s">
        <v>2276</v>
      </c>
      <c r="AC136" s="49" t="s">
        <v>2620</v>
      </c>
      <c r="AD136" s="4" t="s">
        <v>662</v>
      </c>
      <c r="AE136" s="7">
        <v>2</v>
      </c>
      <c r="AG136" s="7">
        <v>0</v>
      </c>
      <c r="AK136" s="70">
        <f>Table43[[#This Row],[Column4]]</f>
        <v>301330500350101</v>
      </c>
      <c r="AN136" s="7">
        <f>Table43[[#This Row],[ISI/CTN]]</f>
        <v>144</v>
      </c>
      <c r="AO136" s="38">
        <f>Table43[[#This Row],[Harga Jual Pcs GT
(-PPN)]]-(Table43[[#This Row],[Harga Jual Pcs GT
(-PPN)]]*6.5%)</f>
        <v>20637.32</v>
      </c>
      <c r="AP136" s="38">
        <f>Table43[[#This Row],[Harga Beli Pcs
(-PPN)]]*Table43[[#This Row],[ISI/CTN]]</f>
        <v>2971774.08</v>
      </c>
      <c r="AQ136" s="38">
        <f>Table43[[#This Row],[Harga Beli Pcs
(-PPN)]]*1.11</f>
        <v>22907.425200000001</v>
      </c>
      <c r="AR136" s="38">
        <f>Table43[[#This Row],[Harga Beli Krt
(- PPN)]]*1.11</f>
        <v>3298669.2288000002</v>
      </c>
      <c r="AS136" s="38">
        <v>22072</v>
      </c>
      <c r="AT136" s="38">
        <f>Table43[[#This Row],[Harga Jual Pcs GT
(-PPN)]]*Table43[[#This Row],[ISI/CTN]]</f>
        <v>3178368</v>
      </c>
      <c r="AU136" s="38">
        <f>Table43[[#This Row],[Harga Jual Pcs GT
(-PPN)]]*1.11</f>
        <v>24499.920000000002</v>
      </c>
      <c r="AV136" s="38">
        <f>Table43[[#This Row],[Harga Jual Krt GT
(- PPN)]]*1.11</f>
        <v>3527988.4800000004</v>
      </c>
      <c r="AW136" s="38">
        <f>IFERROR(VLOOKUP(Table43[[#This Row],[Kode Pcpl]],'[1]FEB 2026'!$A$3:$X$312,24,0),0)</f>
        <v>0</v>
      </c>
      <c r="AX136" s="38">
        <f>Table43[[#This Row],[Harga Jual Pcs MT
(-PPN)]]*Table43[[#This Row],[ISI/CTN]]</f>
        <v>0</v>
      </c>
      <c r="AY136" s="38">
        <f>Table43[[#This Row],[Harga Jual Pcs MT
(-PPN)]]*1.11</f>
        <v>0</v>
      </c>
      <c r="AZ136" s="38">
        <f>Table43[[#This Row],[Harga Jual Pcs MT
(+PPN)]]*Table43[[#This Row],[ISI/CTN]]</f>
        <v>0</v>
      </c>
      <c r="BA136" s="46">
        <f>(Table43[[#This Row],[Harga Jual Pcs GT
(-PPN)]]-Table43[[#This Row],[Harga Beli Pcs
(-PPN)]])/Table43[[#This Row],[Harga Jual Pcs GT
(-PPN)]]</f>
        <v>6.5000000000000016E-2</v>
      </c>
      <c r="BB136" s="53">
        <f>Table43[[#This Row],[Harga Jual Pcs MT
(-PPN)]]-Table43[[#This Row],[Harga Beli Pcs
(-PPN)]]</f>
        <v>-20637.32</v>
      </c>
      <c r="BC136" s="54" t="e">
        <f>Table43[[#This Row],[Column1]]/Table43[[#This Row],[Harga Jual Pcs MT
(-PPN)]]</f>
        <v>#DIV/0!</v>
      </c>
      <c r="BD136" s="52"/>
      <c r="BE136" s="7"/>
      <c r="BF136" s="7" t="str">
        <f ca="1">IF(TODAY()-Table43[[#This Row],[Efektif
Pembuatan]]&gt;60,"Lama","Baru")</f>
        <v>Lama</v>
      </c>
      <c r="BG136" s="7" t="str">
        <f ca="1">IF(TODAY()-Table43[[#This Row],[Efektif Naik Harga]]&lt;30,"Naik","Sama")</f>
        <v>Sama</v>
      </c>
      <c r="BH136" s="7"/>
      <c r="BI136" s="7" t="str">
        <f>IF(Table43[[#This Row],[Kode BARANG Win2]]&lt;&gt;"","IDR","")</f>
        <v>IDR</v>
      </c>
      <c r="BJ136" s="7" t="str">
        <f>CONCATENATE(Table43[[#This Row],[kode  1 Digit
(Nomor)]],Table43[[#This Row],[kode  4 Digit                (Nomor)]])</f>
        <v>0035</v>
      </c>
      <c r="BK136" s="7" t="str">
        <f>Table43[[#This Row],[Nama            Gramasi atau Jumlah Pack per CTN]]</f>
        <v>35ML</v>
      </c>
      <c r="BL136" s="7"/>
      <c r="BM136" s="7"/>
      <c r="BN136" s="4" t="str">
        <f>IF(Table43[[#This Row],[SATUAN Fix Win]]&lt;&gt;"","KRT")</f>
        <v>KRT</v>
      </c>
      <c r="BO136" s="4" t="str">
        <f>IF(Table43[[#This Row],[SATUAN Fix Win]]&lt;&gt;"","GD01")</f>
        <v>GD01</v>
      </c>
      <c r="BP136" s="4">
        <f>IF(Table43[[#This Row],[SATUAN Fix Win]]&lt;&gt;"",11611)</f>
        <v>11611</v>
      </c>
      <c r="BQ136" s="4">
        <f>IF(Table43[[#This Row],[SATUAN Fix Win]]&lt;&gt;"",11612)</f>
        <v>11612</v>
      </c>
      <c r="BS136" s="4">
        <f>IF(Table43[[#This Row],[SATUAN Fix Win]]&lt;&gt;"",1)</f>
        <v>1</v>
      </c>
      <c r="BU136" s="4">
        <f>Table43[[#This Row],[ISI/CTN]]</f>
        <v>144</v>
      </c>
    </row>
    <row r="137" spans="1:75">
      <c r="A137" s="4" t="str">
        <f>CONCATENATE(Table43[[#This Row],[Kode BARANG Win2]],Table43[[#This Row],[No. Urut
Item Sama]])</f>
        <v>G1074101003510</v>
      </c>
      <c r="B137" s="7"/>
      <c r="C137" s="31">
        <v>30090030225003</v>
      </c>
      <c r="D137" s="51">
        <v>40036708</v>
      </c>
      <c r="E137" s="27" t="s">
        <v>1954</v>
      </c>
      <c r="F137" s="51">
        <v>30131030035010</v>
      </c>
      <c r="G137" s="51">
        <v>0</v>
      </c>
      <c r="H137" s="27" t="s">
        <v>1232</v>
      </c>
      <c r="I137" s="27">
        <v>144</v>
      </c>
      <c r="J137" s="51" t="s">
        <v>1645</v>
      </c>
      <c r="K137" s="27" t="str">
        <f>Table43[[#This Row],[NamaJenisKemasan]]</f>
        <v>BOX</v>
      </c>
      <c r="L137" s="4" t="str">
        <f>TRIM(CONCATENATE(Table43[[#This Row],[Nama            KLP]]," ",Table43[[#This Row],[Nama            Sub KLP]]))</f>
        <v>HIT GOODKNIGHT NON-STOP</v>
      </c>
      <c r="M137" s="4" t="str">
        <f>CONCATENATE(Table43[[#This Row],[kode  2 Digit                (hrf+No)]],Table43[[#This Row],[kode  2 Digit                (Nomor)]],Table43[[#This Row],[kode  1 Digit                (Nomor)]])</f>
        <v>G1074</v>
      </c>
      <c r="N137" s="4" t="str">
        <f>IF(AI137="",CONCATENATE(S137,U137,W137,Y137,AA137,AC137,AE137,AG137,Table43[[#This Row],[Tanda Kode Revisi]]),CONCATENATE(S137,U137,W137,Y137,AA137,AC137,AE137,AI137))</f>
        <v>G1074101003510</v>
      </c>
      <c r="O137" s="11">
        <f t="shared" si="2"/>
        <v>14</v>
      </c>
      <c r="P137" s="14" t="str">
        <f>IF(AH137&lt;&gt;"",TRIM(UPPER(CONCATENATE(R137," ",T137," ",V137," ",X137," ",Z137," ",AB137," ","X"," ",Table43[[#This Row],[ISI/CTN]]," ",AH137," ",AD137," ",AF137," ",AJ137))),TRIM(UPPER(CONCATENATE(R137," ",T137," ",V137," ",X137," ",Z137," ",AB137," ","X"," ",Table43[[#This Row],[ISI/CTN]]," ",AD137," ",AF137," ",AJ137))))</f>
        <v>HIT GOODKNIGHT NON-STOP REFILL CLASSIC 35ML X 144 BOX</v>
      </c>
      <c r="Q137" s="11">
        <f t="shared" si="3"/>
        <v>53</v>
      </c>
      <c r="S137" s="7" t="s">
        <v>34</v>
      </c>
      <c r="T137" s="4" t="s">
        <v>2242</v>
      </c>
      <c r="U137" s="47" t="s">
        <v>2544</v>
      </c>
      <c r="V137" s="48" t="s">
        <v>2273</v>
      </c>
      <c r="W137" s="7">
        <v>4</v>
      </c>
      <c r="X137" s="48" t="s">
        <v>2231</v>
      </c>
      <c r="Y137" s="47" t="s">
        <v>2539</v>
      </c>
      <c r="Z137" s="4" t="s">
        <v>2265</v>
      </c>
      <c r="AA137" s="49" t="s">
        <v>1115</v>
      </c>
      <c r="AB137" s="4" t="s">
        <v>2276</v>
      </c>
      <c r="AC137" s="49" t="s">
        <v>2620</v>
      </c>
      <c r="AD137" s="4" t="s">
        <v>662</v>
      </c>
      <c r="AE137" s="7">
        <v>1</v>
      </c>
      <c r="AG137" s="7">
        <v>0</v>
      </c>
      <c r="AK137" s="70">
        <f>Table43[[#This Row],[Column4]]</f>
        <v>30131030035010</v>
      </c>
      <c r="AN137" s="7">
        <f>Table43[[#This Row],[ISI/CTN]]</f>
        <v>144</v>
      </c>
      <c r="AO137" s="38">
        <f>Table43[[#This Row],[Harga Jual Pcs GT
(-PPN)]]-(Table43[[#This Row],[Harga Jual Pcs GT
(-PPN)]]*6.5%)</f>
        <v>12248.5</v>
      </c>
      <c r="AP137" s="38">
        <f>Table43[[#This Row],[Harga Beli Pcs
(-PPN)]]*Table43[[#This Row],[ISI/CTN]]</f>
        <v>1763784</v>
      </c>
      <c r="AQ137" s="38">
        <f>Table43[[#This Row],[Harga Beli Pcs
(-PPN)]]*1.11</f>
        <v>13595.835000000001</v>
      </c>
      <c r="AR137" s="38">
        <f>Table43[[#This Row],[Harga Beli Krt
(- PPN)]]*1.11</f>
        <v>1957800.2400000002</v>
      </c>
      <c r="AS137" s="38">
        <v>13100</v>
      </c>
      <c r="AT137" s="38">
        <f>Table43[[#This Row],[Harga Jual Pcs GT
(-PPN)]]*Table43[[#This Row],[ISI/CTN]]</f>
        <v>1886400</v>
      </c>
      <c r="AU137" s="38">
        <f>Table43[[#This Row],[Harga Jual Pcs GT
(-PPN)]]*1.11</f>
        <v>14541.000000000002</v>
      </c>
      <c r="AV137" s="38">
        <f>Table43[[#This Row],[Harga Jual Krt GT
(- PPN)]]*1.11</f>
        <v>2093904.0000000002</v>
      </c>
      <c r="AW137" s="38">
        <f>IFERROR(VLOOKUP(Table43[[#This Row],[Kode Pcpl]],'[1]FEB 2026'!$A$3:$X$312,24,0),0)</f>
        <v>0</v>
      </c>
      <c r="AX137" s="38">
        <f>Table43[[#This Row],[Harga Jual Pcs MT
(-PPN)]]*Table43[[#This Row],[ISI/CTN]]</f>
        <v>0</v>
      </c>
      <c r="AY137" s="38">
        <f>Table43[[#This Row],[Harga Jual Pcs MT
(-PPN)]]*1.11</f>
        <v>0</v>
      </c>
      <c r="AZ137" s="38">
        <f>Table43[[#This Row],[Harga Jual Pcs MT
(+PPN)]]*Table43[[#This Row],[ISI/CTN]]</f>
        <v>0</v>
      </c>
      <c r="BA137" s="46">
        <f>(Table43[[#This Row],[Harga Jual Pcs GT
(-PPN)]]-Table43[[#This Row],[Harga Beli Pcs
(-PPN)]])/Table43[[#This Row],[Harga Jual Pcs GT
(-PPN)]]</f>
        <v>6.5000000000000002E-2</v>
      </c>
      <c r="BB137" s="53">
        <f>Table43[[#This Row],[Harga Jual Pcs MT
(-PPN)]]-Table43[[#This Row],[Harga Beli Pcs
(-PPN)]]</f>
        <v>-12248.5</v>
      </c>
      <c r="BC137" s="54" t="e">
        <f>Table43[[#This Row],[Column1]]/Table43[[#This Row],[Harga Jual Pcs MT
(-PPN)]]</f>
        <v>#DIV/0!</v>
      </c>
      <c r="BD137" s="52"/>
      <c r="BE137" s="7"/>
      <c r="BF137" s="7" t="str">
        <f ca="1">IF(TODAY()-Table43[[#This Row],[Efektif
Pembuatan]]&gt;60,"Lama","Baru")</f>
        <v>Lama</v>
      </c>
      <c r="BG137" s="7" t="str">
        <f ca="1">IF(TODAY()-Table43[[#This Row],[Efektif Naik Harga]]&lt;30,"Naik","Sama")</f>
        <v>Sama</v>
      </c>
      <c r="BH137" s="7"/>
      <c r="BI137" s="7" t="str">
        <f>IF(Table43[[#This Row],[Kode BARANG Win2]]&lt;&gt;"","IDR","")</f>
        <v>IDR</v>
      </c>
      <c r="BJ137" s="7" t="str">
        <f>CONCATENATE(Table43[[#This Row],[kode  1 Digit
(Nomor)]],Table43[[#This Row],[kode  4 Digit                (Nomor)]])</f>
        <v>0035</v>
      </c>
      <c r="BK137" s="7" t="str">
        <f>Table43[[#This Row],[Nama            Gramasi atau Jumlah Pack per CTN]]</f>
        <v>35ML</v>
      </c>
      <c r="BL137" s="7"/>
      <c r="BM137" s="7"/>
      <c r="BN137" s="4" t="str">
        <f>IF(Table43[[#This Row],[SATUAN Fix Win]]&lt;&gt;"","KRT")</f>
        <v>KRT</v>
      </c>
      <c r="BO137" s="4" t="str">
        <f>IF(Table43[[#This Row],[SATUAN Fix Win]]&lt;&gt;"","GD01")</f>
        <v>GD01</v>
      </c>
      <c r="BP137" s="4">
        <f>IF(Table43[[#This Row],[SATUAN Fix Win]]&lt;&gt;"",11611)</f>
        <v>11611</v>
      </c>
      <c r="BQ137" s="4">
        <f>IF(Table43[[#This Row],[SATUAN Fix Win]]&lt;&gt;"",11612)</f>
        <v>11612</v>
      </c>
      <c r="BS137" s="4">
        <f>IF(Table43[[#This Row],[SATUAN Fix Win]]&lt;&gt;"",1)</f>
        <v>1</v>
      </c>
      <c r="BU137" s="4">
        <f>Table43[[#This Row],[ISI/CTN]]</f>
        <v>144</v>
      </c>
    </row>
    <row r="138" spans="1:75">
      <c r="A138" s="4" t="str">
        <f>CONCATENATE(Table43[[#This Row],[Kode BARANG Win2]],Table43[[#This Row],[No. Urut
Item Sama]])</f>
        <v>G1074101003510</v>
      </c>
      <c r="B138" s="7"/>
      <c r="C138" s="31">
        <v>30110080010000</v>
      </c>
      <c r="D138" s="59">
        <v>40057318</v>
      </c>
      <c r="E138" s="60" t="s">
        <v>1954</v>
      </c>
      <c r="F138" s="59">
        <v>30131030035010</v>
      </c>
      <c r="G138" s="59">
        <v>0</v>
      </c>
      <c r="H138" s="60" t="s">
        <v>1233</v>
      </c>
      <c r="I138" s="60">
        <v>144</v>
      </c>
      <c r="J138" s="59" t="s">
        <v>1645</v>
      </c>
      <c r="K138" s="60" t="str">
        <f>Table43[[#This Row],[NamaJenisKemasan]]</f>
        <v>BOX</v>
      </c>
      <c r="L138" s="4" t="str">
        <f>TRIM(CONCATENATE(Table43[[#This Row],[Nama            KLP]]," ",Table43[[#This Row],[Nama            Sub KLP]]))</f>
        <v>HIT GOODKNIGHT NON-STOP</v>
      </c>
      <c r="M138" s="4" t="str">
        <f>CONCATENATE(Table43[[#This Row],[kode  2 Digit                (hrf+No)]],Table43[[#This Row],[kode  2 Digit                (Nomor)]],Table43[[#This Row],[kode  1 Digit                (Nomor)]])</f>
        <v>G1074</v>
      </c>
      <c r="N138" s="4" t="str">
        <f>IF(AI138="",CONCATENATE(S138,U138,W138,Y138,AA138,AC138,AE138,AG138,Table43[[#This Row],[Tanda Kode Revisi]]),CONCATENATE(S138,U138,W138,Y138,AA138,AC138,AE138,AI138))</f>
        <v>G1074101003510</v>
      </c>
      <c r="O138" s="11">
        <f t="shared" si="2"/>
        <v>14</v>
      </c>
      <c r="P138" s="14" t="str">
        <f>IF(AH138&lt;&gt;"",TRIM(UPPER(CONCATENATE(R138," ",T138," ",V138," ",X138," ",Z138," ",AB138," ","X"," ",Table43[[#This Row],[ISI/CTN]]," ",AH138," ",AD138," ",AF138," ",AJ138))),TRIM(UPPER(CONCATENATE(R138," ",T138," ",V138," ",X138," ",Z138," ",AB138," ","X"," ",Table43[[#This Row],[ISI/CTN]]," ",AD138," ",AF138," ",AJ138))))</f>
        <v>HIT GOODKNIGHT NON-STOP REFILL CLASSIC 35ML X 144 BOX</v>
      </c>
      <c r="Q138" s="11">
        <f t="shared" si="3"/>
        <v>53</v>
      </c>
      <c r="S138" s="7" t="s">
        <v>34</v>
      </c>
      <c r="T138" s="4" t="s">
        <v>2242</v>
      </c>
      <c r="U138" s="47" t="s">
        <v>2544</v>
      </c>
      <c r="V138" s="48" t="s">
        <v>2273</v>
      </c>
      <c r="W138" s="7">
        <v>4</v>
      </c>
      <c r="X138" s="48" t="s">
        <v>2231</v>
      </c>
      <c r="Y138" s="47" t="s">
        <v>2539</v>
      </c>
      <c r="Z138" s="4" t="s">
        <v>2265</v>
      </c>
      <c r="AA138" s="49" t="s">
        <v>1115</v>
      </c>
      <c r="AB138" s="4" t="s">
        <v>2276</v>
      </c>
      <c r="AC138" s="49" t="s">
        <v>2620</v>
      </c>
      <c r="AD138" s="4" t="s">
        <v>662</v>
      </c>
      <c r="AE138" s="7">
        <v>1</v>
      </c>
      <c r="AG138" s="7">
        <v>0</v>
      </c>
      <c r="AK138" s="70">
        <f>Table43[[#This Row],[Column4]]</f>
        <v>30131030035010</v>
      </c>
      <c r="AN138" s="7">
        <f>Table43[[#This Row],[ISI/CTN]]</f>
        <v>144</v>
      </c>
      <c r="AO138" s="61">
        <f>Table43[[#This Row],[Harga Jual Pcs GT
(-PPN)]]-(Table43[[#This Row],[Harga Jual Pcs GT
(-PPN)]]*6.5%)</f>
        <v>12248.5</v>
      </c>
      <c r="AP138" s="61">
        <f>Table43[[#This Row],[Harga Beli Pcs
(-PPN)]]*Table43[[#This Row],[ISI/CTN]]</f>
        <v>1763784</v>
      </c>
      <c r="AQ138" s="61">
        <f>Table43[[#This Row],[Harga Beli Pcs
(-PPN)]]*1.11</f>
        <v>13595.835000000001</v>
      </c>
      <c r="AR138" s="61">
        <f>Table43[[#This Row],[Harga Beli Krt
(- PPN)]]*1.11</f>
        <v>1957800.2400000002</v>
      </c>
      <c r="AS138" s="61">
        <v>13100</v>
      </c>
      <c r="AT138" s="61">
        <f>Table43[[#This Row],[Harga Jual Pcs GT
(-PPN)]]*Table43[[#This Row],[ISI/CTN]]</f>
        <v>1886400</v>
      </c>
      <c r="AU138" s="61">
        <f>Table43[[#This Row],[Harga Jual Pcs GT
(-PPN)]]*1.11</f>
        <v>14541.000000000002</v>
      </c>
      <c r="AV138" s="61">
        <f>Table43[[#This Row],[Harga Jual Krt GT
(- PPN)]]*1.11</f>
        <v>2093904.0000000002</v>
      </c>
      <c r="AW138" s="61">
        <f>IFERROR(VLOOKUP(Table43[[#This Row],[Kode Pcpl]],'[1]FEB 2026'!$A$3:$X$312,24,0),0)</f>
        <v>0</v>
      </c>
      <c r="AX138" s="61">
        <f>Table43[[#This Row],[Harga Jual Pcs MT
(-PPN)]]*Table43[[#This Row],[ISI/CTN]]</f>
        <v>0</v>
      </c>
      <c r="AY138" s="61">
        <f>Table43[[#This Row],[Harga Jual Pcs MT
(-PPN)]]*1.11</f>
        <v>0</v>
      </c>
      <c r="AZ138" s="61">
        <f>Table43[[#This Row],[Harga Jual Pcs MT
(+PPN)]]*Table43[[#This Row],[ISI/CTN]]</f>
        <v>0</v>
      </c>
      <c r="BA138" s="62">
        <f>(Table43[[#This Row],[Harga Jual Pcs GT
(-PPN)]]-Table43[[#This Row],[Harga Beli Pcs
(-PPN)]])/Table43[[#This Row],[Harga Jual Pcs GT
(-PPN)]]</f>
        <v>6.5000000000000002E-2</v>
      </c>
      <c r="BB138" s="63">
        <f>Table43[[#This Row],[Harga Jual Pcs MT
(-PPN)]]-Table43[[#This Row],[Harga Beli Pcs
(-PPN)]]</f>
        <v>-12248.5</v>
      </c>
      <c r="BC138" s="64" t="e">
        <f>Table43[[#This Row],[Column1]]/Table43[[#This Row],[Harga Jual Pcs MT
(-PPN)]]</f>
        <v>#DIV/0!</v>
      </c>
      <c r="BD138" s="52"/>
      <c r="BE138" s="7"/>
      <c r="BF138" s="7" t="str">
        <f ca="1">IF(TODAY()-Table43[[#This Row],[Efektif
Pembuatan]]&gt;60,"Lama","Baru")</f>
        <v>Lama</v>
      </c>
      <c r="BG138" s="7" t="str">
        <f ca="1">IF(TODAY()-Table43[[#This Row],[Efektif Naik Harga]]&lt;30,"Naik","Sama")</f>
        <v>Sama</v>
      </c>
      <c r="BH138" s="7"/>
      <c r="BI138" s="7" t="str">
        <f>IF(Table43[[#This Row],[Kode BARANG Win2]]&lt;&gt;"","IDR","")</f>
        <v>IDR</v>
      </c>
      <c r="BJ138" s="7" t="str">
        <f>CONCATENATE(Table43[[#This Row],[kode  1 Digit
(Nomor)]],Table43[[#This Row],[kode  4 Digit                (Nomor)]])</f>
        <v>0035</v>
      </c>
      <c r="BK138" s="7" t="str">
        <f>Table43[[#This Row],[Nama            Gramasi atau Jumlah Pack per CTN]]</f>
        <v>35ML</v>
      </c>
      <c r="BL138" s="7"/>
      <c r="BM138" s="7"/>
      <c r="BN138" s="4" t="str">
        <f>IF(Table43[[#This Row],[SATUAN Fix Win]]&lt;&gt;"","KRT")</f>
        <v>KRT</v>
      </c>
      <c r="BO138" s="4" t="str">
        <f>IF(Table43[[#This Row],[SATUAN Fix Win]]&lt;&gt;"","GD01")</f>
        <v>GD01</v>
      </c>
      <c r="BP138" s="4">
        <f>IF(Table43[[#This Row],[SATUAN Fix Win]]&lt;&gt;"",11611)</f>
        <v>11611</v>
      </c>
      <c r="BQ138" s="4">
        <f>IF(Table43[[#This Row],[SATUAN Fix Win]]&lt;&gt;"",11612)</f>
        <v>11612</v>
      </c>
      <c r="BS138" s="4">
        <f>IF(Table43[[#This Row],[SATUAN Fix Win]]&lt;&gt;"",1)</f>
        <v>1</v>
      </c>
      <c r="BU138" s="4">
        <f>Table43[[#This Row],[ISI/CTN]]</f>
        <v>144</v>
      </c>
    </row>
    <row r="139" spans="1:75">
      <c r="A139" s="4" t="str">
        <f>CONCATENATE(Table43[[#This Row],[Kode BARANG Win2]],Table43[[#This Row],[No. Urut
Item Sama]])</f>
        <v>G1074102003510</v>
      </c>
      <c r="B139" s="7"/>
      <c r="C139" s="31">
        <v>30090030225003</v>
      </c>
      <c r="D139" s="59">
        <v>40036709</v>
      </c>
      <c r="E139" s="60" t="s">
        <v>1956</v>
      </c>
      <c r="F139" s="59">
        <v>30132050035010</v>
      </c>
      <c r="G139" s="59">
        <v>0</v>
      </c>
      <c r="H139" s="60" t="s">
        <v>1236</v>
      </c>
      <c r="I139" s="60">
        <v>144</v>
      </c>
      <c r="J139" s="59" t="s">
        <v>1647</v>
      </c>
      <c r="K139" s="60" t="str">
        <f>Table43[[#This Row],[NamaJenisKemasan]]</f>
        <v>BOX</v>
      </c>
      <c r="L139" s="4" t="str">
        <f>TRIM(CONCATENATE(Table43[[#This Row],[Nama            KLP]]," ",Table43[[#This Row],[Nama            Sub KLP]]))</f>
        <v>HIT GOODKNIGHT NON-STOP</v>
      </c>
      <c r="M139" s="4" t="str">
        <f>CONCATENATE(Table43[[#This Row],[kode  2 Digit                (hrf+No)]],Table43[[#This Row],[kode  2 Digit                (Nomor)]],Table43[[#This Row],[kode  1 Digit                (Nomor)]])</f>
        <v>G1074</v>
      </c>
      <c r="N139" s="4" t="str">
        <f>IF(AI139="",CONCATENATE(S139,U139,W139,Y139,AA139,AC139,AE139,AG139,Table43[[#This Row],[Tanda Kode Revisi]]),CONCATENATE(S139,U139,W139,Y139,AA139,AC139,AE139,AI139))</f>
        <v>G1074102003510</v>
      </c>
      <c r="O139" s="11">
        <f t="shared" si="2"/>
        <v>14</v>
      </c>
      <c r="P139" s="14" t="str">
        <f>IF(AH139&lt;&gt;"",TRIM(UPPER(CONCATENATE(R139," ",T139," ",V139," ",X139," ",Z139," ",AB139," ","X"," ",Table43[[#This Row],[ISI/CTN]]," ",AH139," ",AD139," ",AF139," ",AJ139))),TRIM(UPPER(CONCATENATE(R139," ",T139," ",V139," ",X139," ",Z139," ",AB139," ","X"," ",Table43[[#This Row],[ISI/CTN]]," ",AD139," ",AF139," ",AJ139))))</f>
        <v>HIT GOODKNIGHT NON-STOP REFILL FRESH 35ML X 144 BOX</v>
      </c>
      <c r="Q139" s="11">
        <f t="shared" si="3"/>
        <v>51</v>
      </c>
      <c r="S139" s="7" t="s">
        <v>34</v>
      </c>
      <c r="T139" s="4" t="s">
        <v>2242</v>
      </c>
      <c r="U139" s="47" t="s">
        <v>2544</v>
      </c>
      <c r="V139" s="48" t="s">
        <v>2273</v>
      </c>
      <c r="W139" s="7">
        <v>4</v>
      </c>
      <c r="X139" s="48" t="s">
        <v>2231</v>
      </c>
      <c r="Y139" s="47" t="s">
        <v>2539</v>
      </c>
      <c r="Z139" s="4" t="s">
        <v>2233</v>
      </c>
      <c r="AA139" s="49" t="s">
        <v>2459</v>
      </c>
      <c r="AB139" s="4" t="s">
        <v>2276</v>
      </c>
      <c r="AC139" s="49" t="s">
        <v>2620</v>
      </c>
      <c r="AD139" s="4" t="s">
        <v>662</v>
      </c>
      <c r="AE139" s="7">
        <v>1</v>
      </c>
      <c r="AG139" s="7">
        <v>0</v>
      </c>
      <c r="AK139" s="70">
        <f>Table43[[#This Row],[Column4]]</f>
        <v>30132050035010</v>
      </c>
      <c r="AN139" s="7">
        <f>Table43[[#This Row],[ISI/CTN]]</f>
        <v>144</v>
      </c>
      <c r="AO139" s="38">
        <f>Table43[[#This Row],[Harga Jual Pcs GT
(-PPN)]]-(Table43[[#This Row],[Harga Jual Pcs GT
(-PPN)]]*6.5%)</f>
        <v>12248.5</v>
      </c>
      <c r="AP139" s="38">
        <f>Table43[[#This Row],[Harga Beli Pcs
(-PPN)]]*Table43[[#This Row],[ISI/CTN]]</f>
        <v>1763784</v>
      </c>
      <c r="AQ139" s="38">
        <f>Table43[[#This Row],[Harga Beli Pcs
(-PPN)]]*1.11</f>
        <v>13595.835000000001</v>
      </c>
      <c r="AR139" s="38">
        <f>Table43[[#This Row],[Harga Beli Krt
(- PPN)]]*1.11</f>
        <v>1957800.2400000002</v>
      </c>
      <c r="AS139" s="38">
        <v>13100</v>
      </c>
      <c r="AT139" s="38">
        <f>Table43[[#This Row],[Harga Jual Pcs GT
(-PPN)]]*Table43[[#This Row],[ISI/CTN]]</f>
        <v>1886400</v>
      </c>
      <c r="AU139" s="38">
        <f>Table43[[#This Row],[Harga Jual Pcs GT
(-PPN)]]*1.11</f>
        <v>14541.000000000002</v>
      </c>
      <c r="AV139" s="38">
        <f>Table43[[#This Row],[Harga Jual Krt GT
(- PPN)]]*1.11</f>
        <v>2093904.0000000002</v>
      </c>
      <c r="AW139" s="38">
        <f>IFERROR(VLOOKUP(Table43[[#This Row],[Kode Pcpl]],'[1]FEB 2026'!$A$3:$X$312,24,0),0)</f>
        <v>0</v>
      </c>
      <c r="AX139" s="38">
        <f>Table43[[#This Row],[Harga Jual Pcs MT
(-PPN)]]*Table43[[#This Row],[ISI/CTN]]</f>
        <v>0</v>
      </c>
      <c r="AY139" s="38">
        <f>Table43[[#This Row],[Harga Jual Pcs MT
(-PPN)]]*1.11</f>
        <v>0</v>
      </c>
      <c r="AZ139" s="38">
        <f>Table43[[#This Row],[Harga Jual Pcs MT
(+PPN)]]*Table43[[#This Row],[ISI/CTN]]</f>
        <v>0</v>
      </c>
      <c r="BA139" s="46">
        <f>(Table43[[#This Row],[Harga Jual Pcs GT
(-PPN)]]-Table43[[#This Row],[Harga Beli Pcs
(-PPN)]])/Table43[[#This Row],[Harga Jual Pcs GT
(-PPN)]]</f>
        <v>6.5000000000000002E-2</v>
      </c>
      <c r="BB139" s="53">
        <f>Table43[[#This Row],[Harga Jual Pcs MT
(-PPN)]]-Table43[[#This Row],[Harga Beli Pcs
(-PPN)]]</f>
        <v>-12248.5</v>
      </c>
      <c r="BC139" s="54" t="e">
        <f>Table43[[#This Row],[Column1]]/Table43[[#This Row],[Harga Jual Pcs MT
(-PPN)]]</f>
        <v>#DIV/0!</v>
      </c>
      <c r="BD139" s="52"/>
      <c r="BE139" s="7"/>
      <c r="BF139" s="7" t="str">
        <f ca="1">IF(TODAY()-Table43[[#This Row],[Efektif
Pembuatan]]&gt;60,"Lama","Baru")</f>
        <v>Lama</v>
      </c>
      <c r="BG139" s="7" t="str">
        <f ca="1">IF(TODAY()-Table43[[#This Row],[Efektif Naik Harga]]&lt;30,"Naik","Sama")</f>
        <v>Sama</v>
      </c>
      <c r="BH139" s="7"/>
      <c r="BI139" s="7" t="str">
        <f>IF(Table43[[#This Row],[Kode BARANG Win2]]&lt;&gt;"","IDR","")</f>
        <v>IDR</v>
      </c>
      <c r="BJ139" s="7" t="str">
        <f>CONCATENATE(Table43[[#This Row],[kode  1 Digit
(Nomor)]],Table43[[#This Row],[kode  4 Digit                (Nomor)]])</f>
        <v>0035</v>
      </c>
      <c r="BK139" s="7" t="str">
        <f>Table43[[#This Row],[Nama            Gramasi atau Jumlah Pack per CTN]]</f>
        <v>35ML</v>
      </c>
      <c r="BL139" s="7"/>
      <c r="BM139" s="7"/>
      <c r="BN139" s="4" t="str">
        <f>IF(Table43[[#This Row],[SATUAN Fix Win]]&lt;&gt;"","KRT")</f>
        <v>KRT</v>
      </c>
      <c r="BO139" s="4" t="str">
        <f>IF(Table43[[#This Row],[SATUAN Fix Win]]&lt;&gt;"","GD01")</f>
        <v>GD01</v>
      </c>
      <c r="BP139" s="4">
        <f>IF(Table43[[#This Row],[SATUAN Fix Win]]&lt;&gt;"",11611)</f>
        <v>11611</v>
      </c>
      <c r="BQ139" s="4">
        <f>IF(Table43[[#This Row],[SATUAN Fix Win]]&lt;&gt;"",11612)</f>
        <v>11612</v>
      </c>
      <c r="BS139" s="4">
        <f>IF(Table43[[#This Row],[SATUAN Fix Win]]&lt;&gt;"",1)</f>
        <v>1</v>
      </c>
      <c r="BU139" s="4">
        <f>Table43[[#This Row],[ISI/CTN]]</f>
        <v>144</v>
      </c>
    </row>
    <row r="140" spans="1:75">
      <c r="A140" s="4" t="str">
        <f>CONCATENATE(Table43[[#This Row],[Kode BARANG Win2]],Table43[[#This Row],[No. Urut
Item Sama]])</f>
        <v>G1074102003510</v>
      </c>
      <c r="B140" s="7"/>
      <c r="C140" s="31">
        <v>30111040010000</v>
      </c>
      <c r="D140" s="59">
        <v>40057317</v>
      </c>
      <c r="E140" s="60" t="s">
        <v>1956</v>
      </c>
      <c r="F140" s="59">
        <v>30132050035010</v>
      </c>
      <c r="G140" s="59">
        <v>0</v>
      </c>
      <c r="H140" s="60" t="s">
        <v>1237</v>
      </c>
      <c r="I140" s="60">
        <v>144</v>
      </c>
      <c r="J140" s="59" t="s">
        <v>1647</v>
      </c>
      <c r="K140" s="60" t="str">
        <f>Table43[[#This Row],[NamaJenisKemasan]]</f>
        <v>BOX</v>
      </c>
      <c r="L140" s="4" t="str">
        <f>TRIM(CONCATENATE(Table43[[#This Row],[Nama            KLP]]," ",Table43[[#This Row],[Nama            Sub KLP]]))</f>
        <v>HIT GOODKNIGHT NON-STOP</v>
      </c>
      <c r="M140" s="4" t="str">
        <f>CONCATENATE(Table43[[#This Row],[kode  2 Digit                (hrf+No)]],Table43[[#This Row],[kode  2 Digit                (Nomor)]],Table43[[#This Row],[kode  1 Digit                (Nomor)]])</f>
        <v>G1074</v>
      </c>
      <c r="N140" s="4" t="str">
        <f>IF(AI140="",CONCATENATE(S140,U140,W140,Y140,AA140,AC140,AE140,AG140,Table43[[#This Row],[Tanda Kode Revisi]]),CONCATENATE(S140,U140,W140,Y140,AA140,AC140,AE140,AI140))</f>
        <v>G1074102003510</v>
      </c>
      <c r="O140" s="11">
        <f t="shared" si="2"/>
        <v>14</v>
      </c>
      <c r="P140" s="14" t="str">
        <f>IF(AH140&lt;&gt;"",TRIM(UPPER(CONCATENATE(R140," ",T140," ",V140," ",X140," ",Z140," ",AB140," ","X"," ",Table43[[#This Row],[ISI/CTN]]," ",AH140," ",AD140," ",AF140," ",AJ140))),TRIM(UPPER(CONCATENATE(R140," ",T140," ",V140," ",X140," ",Z140," ",AB140," ","X"," ",Table43[[#This Row],[ISI/CTN]]," ",AD140," ",AF140," ",AJ140))))</f>
        <v>HIT GOODKNIGHT NON-STOP REFILL FRESH 35ML X 144 BOX</v>
      </c>
      <c r="Q140" s="11">
        <f t="shared" si="3"/>
        <v>51</v>
      </c>
      <c r="S140" s="7" t="s">
        <v>34</v>
      </c>
      <c r="T140" s="4" t="s">
        <v>2242</v>
      </c>
      <c r="U140" s="47" t="s">
        <v>2544</v>
      </c>
      <c r="V140" s="48" t="s">
        <v>2273</v>
      </c>
      <c r="W140" s="7">
        <v>4</v>
      </c>
      <c r="X140" s="48" t="s">
        <v>2231</v>
      </c>
      <c r="Y140" s="47" t="s">
        <v>2539</v>
      </c>
      <c r="Z140" s="4" t="s">
        <v>2233</v>
      </c>
      <c r="AA140" s="49" t="s">
        <v>2459</v>
      </c>
      <c r="AB140" s="4" t="s">
        <v>2276</v>
      </c>
      <c r="AC140" s="49" t="s">
        <v>2620</v>
      </c>
      <c r="AD140" s="4" t="s">
        <v>662</v>
      </c>
      <c r="AE140" s="7">
        <v>1</v>
      </c>
      <c r="AG140" s="7">
        <v>0</v>
      </c>
      <c r="AK140" s="70">
        <f>Table43[[#This Row],[Column4]]</f>
        <v>30132050035010</v>
      </c>
      <c r="AN140" s="7">
        <f>Table43[[#This Row],[ISI/CTN]]</f>
        <v>144</v>
      </c>
      <c r="AO140" s="38">
        <f>Table43[[#This Row],[Harga Jual Pcs GT
(-PPN)]]-(Table43[[#This Row],[Harga Jual Pcs GT
(-PPN)]]*6.5%)</f>
        <v>12248.5</v>
      </c>
      <c r="AP140" s="38">
        <f>Table43[[#This Row],[Harga Beli Pcs
(-PPN)]]*Table43[[#This Row],[ISI/CTN]]</f>
        <v>1763784</v>
      </c>
      <c r="AQ140" s="38">
        <f>Table43[[#This Row],[Harga Beli Pcs
(-PPN)]]*1.11</f>
        <v>13595.835000000001</v>
      </c>
      <c r="AR140" s="38">
        <f>Table43[[#This Row],[Harga Beli Krt
(- PPN)]]*1.11</f>
        <v>1957800.2400000002</v>
      </c>
      <c r="AS140" s="38">
        <v>13100</v>
      </c>
      <c r="AT140" s="38">
        <f>Table43[[#This Row],[Harga Jual Pcs GT
(-PPN)]]*Table43[[#This Row],[ISI/CTN]]</f>
        <v>1886400</v>
      </c>
      <c r="AU140" s="38">
        <f>Table43[[#This Row],[Harga Jual Pcs GT
(-PPN)]]*1.11</f>
        <v>14541.000000000002</v>
      </c>
      <c r="AV140" s="38">
        <f>Table43[[#This Row],[Harga Jual Krt GT
(- PPN)]]*1.11</f>
        <v>2093904.0000000002</v>
      </c>
      <c r="AW140" s="38">
        <f>IFERROR(VLOOKUP(Table43[[#This Row],[Kode Pcpl]],'[1]FEB 2026'!$A$3:$X$312,24,0),0)</f>
        <v>0</v>
      </c>
      <c r="AX140" s="38">
        <f>Table43[[#This Row],[Harga Jual Pcs MT
(-PPN)]]*Table43[[#This Row],[ISI/CTN]]</f>
        <v>0</v>
      </c>
      <c r="AY140" s="38">
        <f>Table43[[#This Row],[Harga Jual Pcs MT
(-PPN)]]*1.11</f>
        <v>0</v>
      </c>
      <c r="AZ140" s="38">
        <f>Table43[[#This Row],[Harga Jual Pcs MT
(+PPN)]]*Table43[[#This Row],[ISI/CTN]]</f>
        <v>0</v>
      </c>
      <c r="BA140" s="46">
        <f>(Table43[[#This Row],[Harga Jual Pcs GT
(-PPN)]]-Table43[[#This Row],[Harga Beli Pcs
(-PPN)]])/Table43[[#This Row],[Harga Jual Pcs GT
(-PPN)]]</f>
        <v>6.5000000000000002E-2</v>
      </c>
      <c r="BB140" s="53">
        <f>Table43[[#This Row],[Harga Jual Pcs MT
(-PPN)]]-Table43[[#This Row],[Harga Beli Pcs
(-PPN)]]</f>
        <v>-12248.5</v>
      </c>
      <c r="BC140" s="54" t="e">
        <f>Table43[[#This Row],[Column1]]/Table43[[#This Row],[Harga Jual Pcs MT
(-PPN)]]</f>
        <v>#DIV/0!</v>
      </c>
      <c r="BD140" s="52"/>
      <c r="BE140" s="7"/>
      <c r="BF140" s="7" t="str">
        <f ca="1">IF(TODAY()-Table43[[#This Row],[Efektif
Pembuatan]]&gt;60,"Lama","Baru")</f>
        <v>Lama</v>
      </c>
      <c r="BG140" s="7" t="str">
        <f ca="1">IF(TODAY()-Table43[[#This Row],[Efektif Naik Harga]]&lt;30,"Naik","Sama")</f>
        <v>Sama</v>
      </c>
      <c r="BH140" s="7"/>
      <c r="BI140" s="7" t="str">
        <f>IF(Table43[[#This Row],[Kode BARANG Win2]]&lt;&gt;"","IDR","")</f>
        <v>IDR</v>
      </c>
      <c r="BJ140" s="7" t="str">
        <f>CONCATENATE(Table43[[#This Row],[kode  1 Digit
(Nomor)]],Table43[[#This Row],[kode  4 Digit                (Nomor)]])</f>
        <v>0035</v>
      </c>
      <c r="BK140" s="7" t="str">
        <f>Table43[[#This Row],[Nama            Gramasi atau Jumlah Pack per CTN]]</f>
        <v>35ML</v>
      </c>
      <c r="BL140" s="7"/>
      <c r="BM140" s="7"/>
      <c r="BN140" s="4" t="str">
        <f>IF(Table43[[#This Row],[SATUAN Fix Win]]&lt;&gt;"","KRT")</f>
        <v>KRT</v>
      </c>
      <c r="BO140" s="4" t="str">
        <f>IF(Table43[[#This Row],[SATUAN Fix Win]]&lt;&gt;"","GD01")</f>
        <v>GD01</v>
      </c>
      <c r="BP140" s="4">
        <f>IF(Table43[[#This Row],[SATUAN Fix Win]]&lt;&gt;"",11611)</f>
        <v>11611</v>
      </c>
      <c r="BQ140" s="4">
        <f>IF(Table43[[#This Row],[SATUAN Fix Win]]&lt;&gt;"",11612)</f>
        <v>11612</v>
      </c>
      <c r="BS140" s="4">
        <f>IF(Table43[[#This Row],[SATUAN Fix Win]]&lt;&gt;"",1)</f>
        <v>1</v>
      </c>
      <c r="BU140" s="4">
        <f>Table43[[#This Row],[ISI/CTN]]</f>
        <v>144</v>
      </c>
    </row>
    <row r="141" spans="1:75">
      <c r="A141" s="4" t="str">
        <f>CONCATENATE(Table43[[#This Row],[Kode BARANG Win2]],Table43[[#This Row],[No. Urut
Item Sama]])</f>
        <v>G1075001017510</v>
      </c>
      <c r="B141" s="7"/>
      <c r="C141" s="31">
        <v>30110010004001</v>
      </c>
      <c r="D141" s="59">
        <v>40049640</v>
      </c>
      <c r="E141" s="60" t="s">
        <v>1928</v>
      </c>
      <c r="F141" s="59">
        <v>30100010175000</v>
      </c>
      <c r="G141" s="59">
        <v>0</v>
      </c>
      <c r="H141" s="60" t="s">
        <v>1203</v>
      </c>
      <c r="I141" s="60">
        <v>24</v>
      </c>
      <c r="J141" s="59" t="s">
        <v>1619</v>
      </c>
      <c r="K141" s="60" t="str">
        <f>Table43[[#This Row],[NamaJenisKemasan]]</f>
        <v>PCH</v>
      </c>
      <c r="L141" s="4" t="str">
        <f>TRIM(CONCATENATE(Table43[[#This Row],[Nama            KLP]]," ",Table43[[#This Row],[Nama            Sub KLP]]))</f>
        <v>HIT LIQUID</v>
      </c>
      <c r="M141" s="4" t="str">
        <f>CONCATENATE(Table43[[#This Row],[kode  2 Digit                (hrf+No)]],Table43[[#This Row],[kode  2 Digit                (Nomor)]],Table43[[#This Row],[kode  1 Digit                (Nomor)]])</f>
        <v>G1075</v>
      </c>
      <c r="N141" s="4" t="str">
        <f>IF(AI141="",CONCATENATE(S141,U141,W141,Y141,AA141,AC141,AE141,AG141,Table43[[#This Row],[Tanda Kode Revisi]]),CONCATENATE(S141,U141,W141,Y141,AA141,AC141,AE141,AI141))</f>
        <v>G1075001017510</v>
      </c>
      <c r="O141" s="11">
        <f t="shared" si="2"/>
        <v>14</v>
      </c>
      <c r="P141" s="14" t="str">
        <f>IF(AH141&lt;&gt;"",TRIM(UPPER(CONCATENATE(R141," ",T141," ",V141," ",X141," ",Z141," ",AB141," ","X"," ",Table43[[#This Row],[ISI/CTN]]," ",AH141," ",AD141," ",AF141," ",AJ141))),TRIM(UPPER(CONCATENATE(R141," ",T141," ",V141," ",X141," ",Z141," ",AB141," ","X"," ",Table43[[#This Row],[ISI/CTN]]," ",AD141," ",AF141," ",AJ141))))</f>
        <v>HIT LIQUID CLASSIC LILY BLOSSOM 175ML X 24 PCH</v>
      </c>
      <c r="Q141" s="11">
        <f t="shared" si="3"/>
        <v>46</v>
      </c>
      <c r="S141" s="7" t="s">
        <v>34</v>
      </c>
      <c r="T141" s="4" t="s">
        <v>2242</v>
      </c>
      <c r="U141" s="47" t="s">
        <v>2544</v>
      </c>
      <c r="V141" s="48" t="s">
        <v>2277</v>
      </c>
      <c r="W141" s="7">
        <v>5</v>
      </c>
      <c r="X141" s="48"/>
      <c r="Y141" s="47" t="s">
        <v>1116</v>
      </c>
      <c r="Z141" s="4" t="s">
        <v>2280</v>
      </c>
      <c r="AA141" s="49" t="s">
        <v>1115</v>
      </c>
      <c r="AB141" s="4" t="s">
        <v>2214</v>
      </c>
      <c r="AC141" s="49" t="s">
        <v>2600</v>
      </c>
      <c r="AD141" s="4" t="s">
        <v>636</v>
      </c>
      <c r="AE141" s="7">
        <v>1</v>
      </c>
      <c r="AG141" s="7">
        <v>0</v>
      </c>
      <c r="AK141" s="70">
        <f>Table43[[#This Row],[Column4]]</f>
        <v>30100010175000</v>
      </c>
      <c r="AN141" s="7">
        <f>Table43[[#This Row],[ISI/CTN]]</f>
        <v>24</v>
      </c>
      <c r="AO141" s="38">
        <f>Table43[[#This Row],[Harga Jual Pcs GT
(-PPN)]]-(Table43[[#This Row],[Harga Jual Pcs GT
(-PPN)]]*6.5%)</f>
        <v>8686.15</v>
      </c>
      <c r="AP141" s="38">
        <f>Table43[[#This Row],[Harga Beli Pcs
(-PPN)]]*Table43[[#This Row],[ISI/CTN]]</f>
        <v>208467.59999999998</v>
      </c>
      <c r="AQ141" s="38">
        <f>Table43[[#This Row],[Harga Beli Pcs
(-PPN)]]*1.11</f>
        <v>9641.6265000000003</v>
      </c>
      <c r="AR141" s="38">
        <f>Table43[[#This Row],[Harga Beli Krt
(- PPN)]]*1.11</f>
        <v>231399.03599999999</v>
      </c>
      <c r="AS141" s="38">
        <v>9290</v>
      </c>
      <c r="AT141" s="38">
        <f>Table43[[#This Row],[Harga Jual Pcs GT
(-PPN)]]*Table43[[#This Row],[ISI/CTN]]</f>
        <v>222960</v>
      </c>
      <c r="AU141" s="38">
        <f>Table43[[#This Row],[Harga Jual Pcs GT
(-PPN)]]*1.11</f>
        <v>10311.900000000001</v>
      </c>
      <c r="AV141" s="38">
        <f>Table43[[#This Row],[Harga Jual Krt GT
(- PPN)]]*1.11</f>
        <v>247485.60000000003</v>
      </c>
      <c r="AW141" s="38">
        <f>IFERROR(VLOOKUP(Table43[[#This Row],[Kode Pcpl]],'[1]FEB 2026'!$A$3:$X$312,24,0),0)</f>
        <v>0</v>
      </c>
      <c r="AX141" s="38">
        <f>Table43[[#This Row],[Harga Jual Pcs MT
(-PPN)]]*Table43[[#This Row],[ISI/CTN]]</f>
        <v>0</v>
      </c>
      <c r="AY141" s="38">
        <f>Table43[[#This Row],[Harga Jual Pcs MT
(-PPN)]]*1.11</f>
        <v>0</v>
      </c>
      <c r="AZ141" s="38">
        <f>Table43[[#This Row],[Harga Jual Pcs MT
(+PPN)]]*Table43[[#This Row],[ISI/CTN]]</f>
        <v>0</v>
      </c>
      <c r="BA141" s="46">
        <f>(Table43[[#This Row],[Harga Jual Pcs GT
(-PPN)]]-Table43[[#This Row],[Harga Beli Pcs
(-PPN)]])/Table43[[#This Row],[Harga Jual Pcs GT
(-PPN)]]</f>
        <v>6.5000000000000044E-2</v>
      </c>
      <c r="BB141" s="53">
        <f>Table43[[#This Row],[Harga Jual Pcs MT
(-PPN)]]-Table43[[#This Row],[Harga Beli Pcs
(-PPN)]]</f>
        <v>-8686.15</v>
      </c>
      <c r="BC141" s="54" t="e">
        <f>Table43[[#This Row],[Column1]]/Table43[[#This Row],[Harga Jual Pcs MT
(-PPN)]]</f>
        <v>#DIV/0!</v>
      </c>
      <c r="BD141" s="52"/>
      <c r="BE141" s="7"/>
      <c r="BF141" s="7" t="str">
        <f ca="1">IF(TODAY()-Table43[[#This Row],[Efektif
Pembuatan]]&gt;60,"Lama","Baru")</f>
        <v>Lama</v>
      </c>
      <c r="BG141" s="7" t="str">
        <f ca="1">IF(TODAY()-Table43[[#This Row],[Efektif Naik Harga]]&lt;30,"Naik","Sama")</f>
        <v>Sama</v>
      </c>
      <c r="BH141" s="7"/>
      <c r="BI141" s="7" t="str">
        <f>IF(Table43[[#This Row],[Kode BARANG Win2]]&lt;&gt;"","IDR","")</f>
        <v>IDR</v>
      </c>
      <c r="BJ141" s="7" t="str">
        <f>CONCATENATE(Table43[[#This Row],[kode  1 Digit
(Nomor)]],Table43[[#This Row],[kode  4 Digit                (Nomor)]])</f>
        <v>0175</v>
      </c>
      <c r="BK141" s="7" t="str">
        <f>Table43[[#This Row],[Nama            Gramasi atau Jumlah Pack per CTN]]</f>
        <v>175ML</v>
      </c>
      <c r="BL141" s="7"/>
      <c r="BM141" s="7"/>
      <c r="BN141" s="4" t="str">
        <f>IF(Table43[[#This Row],[SATUAN Fix Win]]&lt;&gt;"","KRT")</f>
        <v>KRT</v>
      </c>
      <c r="BO141" s="4" t="str">
        <f>IF(Table43[[#This Row],[SATUAN Fix Win]]&lt;&gt;"","GD01")</f>
        <v>GD01</v>
      </c>
      <c r="BP141" s="4">
        <f>IF(Table43[[#This Row],[SATUAN Fix Win]]&lt;&gt;"",11611)</f>
        <v>11611</v>
      </c>
      <c r="BQ141" s="4">
        <f>IF(Table43[[#This Row],[SATUAN Fix Win]]&lt;&gt;"",11612)</f>
        <v>11612</v>
      </c>
      <c r="BS141" s="4">
        <f>IF(Table43[[#This Row],[SATUAN Fix Win]]&lt;&gt;"",1)</f>
        <v>1</v>
      </c>
      <c r="BU141" s="4">
        <f>Table43[[#This Row],[ISI/CTN]]</f>
        <v>24</v>
      </c>
    </row>
    <row r="142" spans="1:75">
      <c r="A142" s="4" t="str">
        <f>CONCATENATE(Table43[[#This Row],[Kode BARANG Win2]],Table43[[#This Row],[No. Urut
Item Sama]])</f>
        <v>G1075001036010</v>
      </c>
      <c r="B142" s="7"/>
      <c r="C142" s="31">
        <v>30100020700000</v>
      </c>
      <c r="D142" s="59">
        <v>40016505</v>
      </c>
      <c r="E142" s="60" t="s">
        <v>1929</v>
      </c>
      <c r="F142" s="59">
        <v>30100010360000</v>
      </c>
      <c r="G142" s="59">
        <v>0</v>
      </c>
      <c r="H142" s="60" t="s">
        <v>1204</v>
      </c>
      <c r="I142" s="60">
        <v>12</v>
      </c>
      <c r="J142" s="59" t="s">
        <v>1620</v>
      </c>
      <c r="K142" s="60" t="str">
        <f>Table43[[#This Row],[NamaJenisKemasan]]</f>
        <v>PCH</v>
      </c>
      <c r="L142" s="4" t="str">
        <f>TRIM(CONCATENATE(Table43[[#This Row],[Nama            KLP]]," ",Table43[[#This Row],[Nama            Sub KLP]]))</f>
        <v>HIT LIQUID</v>
      </c>
      <c r="M142" s="4" t="str">
        <f>CONCATENATE(Table43[[#This Row],[kode  2 Digit                (hrf+No)]],Table43[[#This Row],[kode  2 Digit                (Nomor)]],Table43[[#This Row],[kode  1 Digit                (Nomor)]])</f>
        <v>G1075</v>
      </c>
      <c r="N142" s="4" t="str">
        <f>IF(AI142="",CONCATENATE(S142,U142,W142,Y142,AA142,AC142,AE142,AG142,Table43[[#This Row],[Tanda Kode Revisi]]),CONCATENATE(S142,U142,W142,Y142,AA142,AC142,AE142,AI142))</f>
        <v>G1075001036010</v>
      </c>
      <c r="O142" s="11">
        <f t="shared" si="2"/>
        <v>14</v>
      </c>
      <c r="P142" s="14" t="str">
        <f>IF(AH142&lt;&gt;"",TRIM(UPPER(CONCATENATE(R142," ",T142," ",V142," ",X142," ",Z142," ",AB142," ","X"," ",Table43[[#This Row],[ISI/CTN]]," ",AH142," ",AD142," ",AF142," ",AJ142))),TRIM(UPPER(CONCATENATE(R142," ",T142," ",V142," ",X142," ",Z142," ",AB142," ","X"," ",Table43[[#This Row],[ISI/CTN]]," ",AD142," ",AF142," ",AJ142))))</f>
        <v>HIT LIQUID CLASSIC LILY BLOSSOM 360ML X 12 PCH</v>
      </c>
      <c r="Q142" s="11">
        <f t="shared" si="3"/>
        <v>46</v>
      </c>
      <c r="S142" s="7" t="s">
        <v>34</v>
      </c>
      <c r="T142" s="4" t="s">
        <v>2242</v>
      </c>
      <c r="U142" s="47" t="s">
        <v>2544</v>
      </c>
      <c r="V142" s="48" t="s">
        <v>2277</v>
      </c>
      <c r="W142" s="7">
        <v>5</v>
      </c>
      <c r="X142" s="48"/>
      <c r="Y142" s="47" t="s">
        <v>1116</v>
      </c>
      <c r="Z142" s="4" t="s">
        <v>2280</v>
      </c>
      <c r="AA142" s="49" t="s">
        <v>1115</v>
      </c>
      <c r="AB142" s="4" t="s">
        <v>643</v>
      </c>
      <c r="AC142" s="49" t="s">
        <v>2621</v>
      </c>
      <c r="AD142" s="4" t="s">
        <v>636</v>
      </c>
      <c r="AE142" s="7">
        <v>1</v>
      </c>
      <c r="AG142" s="7">
        <v>0</v>
      </c>
      <c r="AK142" s="70">
        <f>Table43[[#This Row],[Column4]]</f>
        <v>30100010360000</v>
      </c>
      <c r="AN142" s="7">
        <f>Table43[[#This Row],[ISI/CTN]]</f>
        <v>12</v>
      </c>
      <c r="AO142" s="61">
        <f>Table43[[#This Row],[Harga Jual Pcs GT
(-PPN)]]-(Table43[[#This Row],[Harga Jual Pcs GT
(-PPN)]]*6.5%)</f>
        <v>17970.7</v>
      </c>
      <c r="AP142" s="61">
        <f>Table43[[#This Row],[Harga Beli Pcs
(-PPN)]]*Table43[[#This Row],[ISI/CTN]]</f>
        <v>215648.40000000002</v>
      </c>
      <c r="AQ142" s="61">
        <f>Table43[[#This Row],[Harga Beli Pcs
(-PPN)]]*1.11</f>
        <v>19947.477000000003</v>
      </c>
      <c r="AR142" s="61">
        <f>Table43[[#This Row],[Harga Beli Krt
(- PPN)]]*1.11</f>
        <v>239369.72400000005</v>
      </c>
      <c r="AS142" s="61">
        <v>19220</v>
      </c>
      <c r="AT142" s="61">
        <f>Table43[[#This Row],[Harga Jual Pcs GT
(-PPN)]]*Table43[[#This Row],[ISI/CTN]]</f>
        <v>230640</v>
      </c>
      <c r="AU142" s="61">
        <f>Table43[[#This Row],[Harga Jual Pcs GT
(-PPN)]]*1.11</f>
        <v>21334.2</v>
      </c>
      <c r="AV142" s="61">
        <f>Table43[[#This Row],[Harga Jual Krt GT
(- PPN)]]*1.11</f>
        <v>256010.40000000002</v>
      </c>
      <c r="AW142" s="61">
        <f>IFERROR(VLOOKUP(Table43[[#This Row],[Kode Pcpl]],'[1]FEB 2026'!$A$3:$X$312,24,0),0)</f>
        <v>0</v>
      </c>
      <c r="AX142" s="61">
        <f>Table43[[#This Row],[Harga Jual Pcs MT
(-PPN)]]*Table43[[#This Row],[ISI/CTN]]</f>
        <v>0</v>
      </c>
      <c r="AY142" s="61">
        <f>Table43[[#This Row],[Harga Jual Pcs MT
(-PPN)]]*1.11</f>
        <v>0</v>
      </c>
      <c r="AZ142" s="61">
        <f>Table43[[#This Row],[Harga Jual Pcs MT
(+PPN)]]*Table43[[#This Row],[ISI/CTN]]</f>
        <v>0</v>
      </c>
      <c r="BA142" s="62">
        <f>(Table43[[#This Row],[Harga Jual Pcs GT
(-PPN)]]-Table43[[#This Row],[Harga Beli Pcs
(-PPN)]])/Table43[[#This Row],[Harga Jual Pcs GT
(-PPN)]]</f>
        <v>6.4999999999999961E-2</v>
      </c>
      <c r="BB142" s="63">
        <f>Table43[[#This Row],[Harga Jual Pcs MT
(-PPN)]]-Table43[[#This Row],[Harga Beli Pcs
(-PPN)]]</f>
        <v>-17970.7</v>
      </c>
      <c r="BC142" s="64" t="e">
        <f>Table43[[#This Row],[Column1]]/Table43[[#This Row],[Harga Jual Pcs MT
(-PPN)]]</f>
        <v>#DIV/0!</v>
      </c>
      <c r="BD142" s="52"/>
      <c r="BE142" s="7"/>
      <c r="BF142" s="7" t="str">
        <f ca="1">IF(TODAY()-Table43[[#This Row],[Efektif
Pembuatan]]&gt;60,"Lama","Baru")</f>
        <v>Lama</v>
      </c>
      <c r="BG142" s="7" t="str">
        <f ca="1">IF(TODAY()-Table43[[#This Row],[Efektif Naik Harga]]&lt;30,"Naik","Sama")</f>
        <v>Sama</v>
      </c>
      <c r="BH142" s="7"/>
      <c r="BI142" s="7" t="str">
        <f>IF(Table43[[#This Row],[Kode BARANG Win2]]&lt;&gt;"","IDR","")</f>
        <v>IDR</v>
      </c>
      <c r="BJ142" s="7" t="str">
        <f>CONCATENATE(Table43[[#This Row],[kode  1 Digit
(Nomor)]],Table43[[#This Row],[kode  4 Digit                (Nomor)]])</f>
        <v>0360</v>
      </c>
      <c r="BK142" s="7" t="str">
        <f>Table43[[#This Row],[Nama            Gramasi atau Jumlah Pack per CTN]]</f>
        <v>360ML</v>
      </c>
      <c r="BL142" s="7"/>
      <c r="BM142" s="7"/>
      <c r="BN142" s="4" t="str">
        <f>IF(Table43[[#This Row],[SATUAN Fix Win]]&lt;&gt;"","KRT")</f>
        <v>KRT</v>
      </c>
      <c r="BO142" s="4" t="str">
        <f>IF(Table43[[#This Row],[SATUAN Fix Win]]&lt;&gt;"","GD01")</f>
        <v>GD01</v>
      </c>
      <c r="BP142" s="4">
        <f>IF(Table43[[#This Row],[SATUAN Fix Win]]&lt;&gt;"",11611)</f>
        <v>11611</v>
      </c>
      <c r="BQ142" s="4">
        <f>IF(Table43[[#This Row],[SATUAN Fix Win]]&lt;&gt;"",11612)</f>
        <v>11612</v>
      </c>
      <c r="BS142" s="4">
        <f>IF(Table43[[#This Row],[SATUAN Fix Win]]&lt;&gt;"",1)</f>
        <v>1</v>
      </c>
      <c r="BU142" s="4">
        <f>Table43[[#This Row],[ISI/CTN]]</f>
        <v>12</v>
      </c>
    </row>
    <row r="143" spans="1:75">
      <c r="A143" s="4" t="str">
        <f>CONCATENATE(Table43[[#This Row],[Kode BARANG Win2]],Table43[[#This Row],[No. Urut
Item Sama]])</f>
        <v>G1075001070010</v>
      </c>
      <c r="B143" s="7"/>
      <c r="C143" s="31">
        <v>30100010700000</v>
      </c>
      <c r="D143" s="59">
        <v>40016506</v>
      </c>
      <c r="E143" s="67" t="s">
        <v>2463</v>
      </c>
      <c r="F143" s="69">
        <v>30100010700000</v>
      </c>
      <c r="G143" s="69">
        <v>0</v>
      </c>
      <c r="H143" s="60">
        <v>0</v>
      </c>
      <c r="I143" s="60">
        <v>12</v>
      </c>
      <c r="J143" s="59">
        <v>0</v>
      </c>
      <c r="K143" s="60" t="str">
        <f>Table43[[#This Row],[NamaJenisKemasan]]</f>
        <v>PCH</v>
      </c>
      <c r="L143" s="4" t="str">
        <f>TRIM(CONCATENATE(Table43[[#This Row],[Nama            KLP]]," ",Table43[[#This Row],[Nama            Sub KLP]]))</f>
        <v>HIT LIQUID</v>
      </c>
      <c r="M143" s="4" t="str">
        <f>CONCATENATE(Table43[[#This Row],[kode  2 Digit                (hrf+No)]],Table43[[#This Row],[kode  2 Digit                (Nomor)]],Table43[[#This Row],[kode  1 Digit                (Nomor)]])</f>
        <v>G1075</v>
      </c>
      <c r="N143" s="4" t="str">
        <f>IF(AI143="",CONCATENATE(S143,U143,W143,Y143,AA143,AC143,AE143,AG143,Table43[[#This Row],[Tanda Kode Revisi]]),CONCATENATE(S143,U143,W143,Y143,AA143,AC143,AE143,AI143))</f>
        <v>G1075001070010</v>
      </c>
      <c r="O143" s="11">
        <f t="shared" si="2"/>
        <v>14</v>
      </c>
      <c r="P143" s="14" t="str">
        <f>IF(AH143&lt;&gt;"",TRIM(UPPER(CONCATENATE(R143," ",T143," ",V143," ",X143," ",Z143," ",AB143," ","X"," ",Table43[[#This Row],[ISI/CTN]]," ",AH143," ",AD143," ",AF143," ",AJ143))),TRIM(UPPER(CONCATENATE(R143," ",T143," ",V143," ",X143," ",Z143," ",AB143," ","X"," ",Table43[[#This Row],[ISI/CTN]]," ",AD143," ",AF143," ",AJ143))))</f>
        <v>HIT LIQUID CLASSIC LILY BLOSSOM 700ML X 12 PCH</v>
      </c>
      <c r="Q143" s="11">
        <f t="shared" si="3"/>
        <v>46</v>
      </c>
      <c r="S143" s="7" t="s">
        <v>34</v>
      </c>
      <c r="T143" s="4" t="s">
        <v>2242</v>
      </c>
      <c r="U143" s="47" t="s">
        <v>2544</v>
      </c>
      <c r="V143" s="48" t="s">
        <v>2277</v>
      </c>
      <c r="W143" s="7">
        <v>5</v>
      </c>
      <c r="X143" s="48"/>
      <c r="Y143" s="47" t="s">
        <v>1116</v>
      </c>
      <c r="Z143" s="4" t="s">
        <v>2280</v>
      </c>
      <c r="AA143" s="49" t="s">
        <v>1115</v>
      </c>
      <c r="AB143" s="4" t="s">
        <v>1114</v>
      </c>
      <c r="AC143" s="49" t="s">
        <v>2635</v>
      </c>
      <c r="AD143" s="4" t="s">
        <v>636</v>
      </c>
      <c r="AE143" s="7">
        <v>1</v>
      </c>
      <c r="AG143" s="7">
        <v>0</v>
      </c>
      <c r="AK143" s="70">
        <f>Table43[[#This Row],[Column4]]</f>
        <v>30100010700000</v>
      </c>
      <c r="AN143" s="7">
        <f>Table43[[#This Row],[ISI/CTN]]</f>
        <v>12</v>
      </c>
      <c r="AO143" s="38">
        <f>Table43[[#This Row],[Harga Jual Pcs GT
(-PPN)]]-(Table43[[#This Row],[Harga Jual Pcs GT
(-PPN)]]*6.5%)</f>
        <v>29452.5</v>
      </c>
      <c r="AP143" s="38">
        <f>Table43[[#This Row],[Harga Beli Pcs
(-PPN)]]*Table43[[#This Row],[ISI/CTN]]</f>
        <v>353430</v>
      </c>
      <c r="AQ143" s="38">
        <f>Table43[[#This Row],[Harga Beli Pcs
(-PPN)]]*1.11</f>
        <v>32692.275000000001</v>
      </c>
      <c r="AR143" s="38">
        <f>Table43[[#This Row],[Harga Beli Krt
(- PPN)]]*1.11</f>
        <v>392307.30000000005</v>
      </c>
      <c r="AS143" s="38">
        <v>31500</v>
      </c>
      <c r="AT143" s="38">
        <f>Table43[[#This Row],[Harga Jual Pcs GT
(-PPN)]]*Table43[[#This Row],[ISI/CTN]]</f>
        <v>378000</v>
      </c>
      <c r="AU143" s="38">
        <f>Table43[[#This Row],[Harga Jual Pcs GT
(-PPN)]]*1.11</f>
        <v>34965</v>
      </c>
      <c r="AV143" s="38">
        <f>Table43[[#This Row],[Harga Jual Krt GT
(- PPN)]]*1.11</f>
        <v>419580.00000000006</v>
      </c>
      <c r="AW143" s="38">
        <f>IFERROR(VLOOKUP(Table43[[#This Row],[Kode Pcpl]],'[1]FEB 2026'!$A$3:$X$312,24,0),0)</f>
        <v>0</v>
      </c>
      <c r="AX143" s="38">
        <f>Table43[[#This Row],[Harga Jual Pcs MT
(-PPN)]]*Table43[[#This Row],[ISI/CTN]]</f>
        <v>0</v>
      </c>
      <c r="AY143" s="38">
        <f>Table43[[#This Row],[Harga Jual Pcs MT
(-PPN)]]*1.11</f>
        <v>0</v>
      </c>
      <c r="AZ143" s="38">
        <f>Table43[[#This Row],[Harga Jual Pcs MT
(+PPN)]]*Table43[[#This Row],[ISI/CTN]]</f>
        <v>0</v>
      </c>
      <c r="BA143" s="46">
        <f>(Table43[[#This Row],[Harga Jual Pcs GT
(-PPN)]]-Table43[[#This Row],[Harga Beli Pcs
(-PPN)]])/Table43[[#This Row],[Harga Jual Pcs GT
(-PPN)]]</f>
        <v>6.5000000000000002E-2</v>
      </c>
      <c r="BB143" s="53">
        <f>Table43[[#This Row],[Harga Jual Pcs MT
(-PPN)]]-Table43[[#This Row],[Harga Beli Pcs
(-PPN)]]</f>
        <v>-29452.5</v>
      </c>
      <c r="BC143" s="54" t="e">
        <f>Table43[[#This Row],[Column1]]/Table43[[#This Row],[Harga Jual Pcs MT
(-PPN)]]</f>
        <v>#DIV/0!</v>
      </c>
      <c r="BD143" s="52"/>
      <c r="BE143" s="7"/>
      <c r="BF143" s="7" t="str">
        <f ca="1">IF(TODAY()-Table43[[#This Row],[Efektif
Pembuatan]]&gt;60,"Lama","Baru")</f>
        <v>Lama</v>
      </c>
      <c r="BG143" s="7" t="str">
        <f ca="1">IF(TODAY()-Table43[[#This Row],[Efektif Naik Harga]]&lt;30,"Naik","Sama")</f>
        <v>Sama</v>
      </c>
      <c r="BH143" s="7"/>
      <c r="BI143" s="7" t="str">
        <f>IF(Table43[[#This Row],[Kode BARANG Win2]]&lt;&gt;"","IDR","")</f>
        <v>IDR</v>
      </c>
      <c r="BJ143" s="7" t="str">
        <f>CONCATENATE(Table43[[#This Row],[kode  1 Digit
(Nomor)]],Table43[[#This Row],[kode  4 Digit                (Nomor)]])</f>
        <v>0700</v>
      </c>
      <c r="BK143" s="7" t="str">
        <f>Table43[[#This Row],[Nama            Gramasi atau Jumlah Pack per CTN]]</f>
        <v>700ML</v>
      </c>
      <c r="BL143" s="7"/>
      <c r="BM143" s="7"/>
      <c r="BN143" s="4" t="str">
        <f>IF(Table43[[#This Row],[SATUAN Fix Win]]&lt;&gt;"","KRT")</f>
        <v>KRT</v>
      </c>
      <c r="BO143" s="4" t="str">
        <f>IF(Table43[[#This Row],[SATUAN Fix Win]]&lt;&gt;"","GD01")</f>
        <v>GD01</v>
      </c>
      <c r="BP143" s="4">
        <f>IF(Table43[[#This Row],[SATUAN Fix Win]]&lt;&gt;"",11611)</f>
        <v>11611</v>
      </c>
      <c r="BQ143" s="4">
        <f>IF(Table43[[#This Row],[SATUAN Fix Win]]&lt;&gt;"",11612)</f>
        <v>11612</v>
      </c>
      <c r="BS143" s="4">
        <f>IF(Table43[[#This Row],[SATUAN Fix Win]]&lt;&gt;"",1)</f>
        <v>1</v>
      </c>
      <c r="BU143" s="4">
        <f>Table43[[#This Row],[ISI/CTN]]</f>
        <v>12</v>
      </c>
    </row>
    <row r="144" spans="1:75">
      <c r="A144" s="4" t="str">
        <f>CONCATENATE(Table43[[#This Row],[Kode BARANG Win2]],Table43[[#This Row],[No. Urut
Item Sama]])</f>
        <v>G1075001070010</v>
      </c>
      <c r="B144" s="7"/>
      <c r="C144" s="31"/>
      <c r="D144" s="51">
        <v>40049643</v>
      </c>
      <c r="E144" s="27"/>
      <c r="F144" s="68"/>
      <c r="G144" s="68"/>
      <c r="H144" s="27"/>
      <c r="I144" s="27"/>
      <c r="J144" s="51"/>
      <c r="K144" s="27" t="str">
        <f>Table43[[#This Row],[NamaJenisKemasan]]</f>
        <v>PCH</v>
      </c>
      <c r="L144" s="4" t="str">
        <f>TRIM(CONCATENATE(Table43[[#This Row],[Nama            KLP]]," ",Table43[[#This Row],[Nama            Sub KLP]]))</f>
        <v>HIT LIQUID</v>
      </c>
      <c r="M144" s="4" t="str">
        <f>CONCATENATE(Table43[[#This Row],[kode  2 Digit                (hrf+No)]],Table43[[#This Row],[kode  2 Digit                (Nomor)]],Table43[[#This Row],[kode  1 Digit                (Nomor)]])</f>
        <v>G1075</v>
      </c>
      <c r="N144" s="4" t="str">
        <f>IF(AI144="",CONCATENATE(S144,U144,W144,Y144,AA144,AC144,AE144,AG144,Table43[[#This Row],[Tanda Kode Revisi]]),CONCATENATE(S144,U144,W144,Y144,AA144,AC144,AE144,AI144))</f>
        <v>G1075001070010</v>
      </c>
      <c r="O144" s="11">
        <f>LEN(N144)</f>
        <v>14</v>
      </c>
      <c r="P144" s="14" t="str">
        <f>IF(AH144&lt;&gt;"",TRIM(UPPER(CONCATENATE(R144," ",T144," ",V144," ",X144," ",Z144," ",AB144," ","X"," ",Table43[[#This Row],[ISI/CTN]]," ",AH144," ",AD144," ",AF144," ",AJ144))),TRIM(UPPER(CONCATENATE(R144," ",T144," ",V144," ",X144," ",Z144," ",AB144," ","X"," ",Table43[[#This Row],[ISI/CTN]]," ",AD144," ",AF144," ",AJ144))))</f>
        <v>HIT LIQUID CLASSIC LILY BLOSSOM 700ML X PCH</v>
      </c>
      <c r="Q144" s="11">
        <f>LEN(P144)</f>
        <v>43</v>
      </c>
      <c r="S144" s="7" t="s">
        <v>34</v>
      </c>
      <c r="T144" s="4" t="s">
        <v>2242</v>
      </c>
      <c r="U144" s="47" t="s">
        <v>2544</v>
      </c>
      <c r="V144" s="48" t="s">
        <v>2277</v>
      </c>
      <c r="W144" s="7">
        <v>5</v>
      </c>
      <c r="X144" s="48"/>
      <c r="Y144" s="47" t="s">
        <v>1116</v>
      </c>
      <c r="Z144" s="4" t="s">
        <v>2280</v>
      </c>
      <c r="AA144" s="49" t="s">
        <v>1115</v>
      </c>
      <c r="AB144" s="4" t="s">
        <v>1114</v>
      </c>
      <c r="AC144" s="49" t="s">
        <v>2635</v>
      </c>
      <c r="AD144" s="4" t="s">
        <v>636</v>
      </c>
      <c r="AE144" s="7">
        <v>1</v>
      </c>
      <c r="AG144" s="7">
        <v>0</v>
      </c>
      <c r="AK144" s="70">
        <f>Table43[[#This Row],[Column4]]</f>
        <v>0</v>
      </c>
      <c r="AN144" s="7">
        <f>Table43[[#This Row],[ISI/CTN]]</f>
        <v>0</v>
      </c>
      <c r="AO144" s="38">
        <f>Table43[[#This Row],[Harga Jual Pcs GT
(-PPN)]]-(Table43[[#This Row],[Harga Jual Pcs GT
(-PPN)]]*6.5%)</f>
        <v>0</v>
      </c>
      <c r="AP144" s="38">
        <f>Table43[[#This Row],[Harga Beli Pcs
(-PPN)]]*Table43[[#This Row],[ISI/CTN]]</f>
        <v>0</v>
      </c>
      <c r="AQ144" s="38">
        <f>Table43[[#This Row],[Harga Beli Pcs
(-PPN)]]*1.11</f>
        <v>0</v>
      </c>
      <c r="AR144" s="38">
        <f>Table43[[#This Row],[Harga Beli Krt
(- PPN)]]*1.11</f>
        <v>0</v>
      </c>
      <c r="AS144" s="38"/>
      <c r="AT144" s="38">
        <f>Table43[[#This Row],[Harga Jual Pcs GT
(-PPN)]]*Table43[[#This Row],[ISI/CTN]]</f>
        <v>0</v>
      </c>
      <c r="AU144" s="38">
        <f>Table43[[#This Row],[Harga Jual Pcs GT
(-PPN)]]*1.11</f>
        <v>0</v>
      </c>
      <c r="AV144" s="38">
        <f>Table43[[#This Row],[Harga Jual Krt GT
(- PPN)]]*1.11</f>
        <v>0</v>
      </c>
      <c r="AW144" s="38">
        <f>IFERROR(VLOOKUP(Table43[[#This Row],[Kode Pcpl]],'[1]FEB 2026'!$A$3:$X$312,24,0),0)</f>
        <v>0</v>
      </c>
      <c r="AX144" s="38">
        <f>Table43[[#This Row],[Harga Jual Pcs MT
(-PPN)]]*Table43[[#This Row],[ISI/CTN]]</f>
        <v>0</v>
      </c>
      <c r="AY144" s="38">
        <f>Table43[[#This Row],[Harga Jual Pcs MT
(-PPN)]]*1.11</f>
        <v>0</v>
      </c>
      <c r="AZ144" s="38">
        <f>Table43[[#This Row],[Harga Jual Pcs MT
(+PPN)]]*Table43[[#This Row],[ISI/CTN]]</f>
        <v>0</v>
      </c>
      <c r="BA144" s="46" t="e">
        <f>(Table43[[#This Row],[Harga Jual Pcs GT
(-PPN)]]-Table43[[#This Row],[Harga Beli Pcs
(-PPN)]])/Table43[[#This Row],[Harga Jual Pcs GT
(-PPN)]]</f>
        <v>#DIV/0!</v>
      </c>
      <c r="BB144" s="53">
        <f>Table43[[#This Row],[Harga Jual Pcs MT
(-PPN)]]-Table43[[#This Row],[Harga Beli Pcs
(-PPN)]]</f>
        <v>0</v>
      </c>
      <c r="BC144" s="54" t="e">
        <f>Table43[[#This Row],[Column1]]/Table43[[#This Row],[Harga Jual Pcs MT
(-PPN)]]</f>
        <v>#DIV/0!</v>
      </c>
      <c r="BD144" s="52"/>
      <c r="BE144" s="7"/>
      <c r="BF144" s="7" t="str">
        <f ca="1">IF(TODAY()-Table43[[#This Row],[Efektif
Pembuatan]]&gt;60,"Lama","Baru")</f>
        <v>Lama</v>
      </c>
      <c r="BG144" s="7" t="str">
        <f ca="1">IF(TODAY()-Table43[[#This Row],[Efektif Naik Harga]]&lt;30,"Naik","Sama")</f>
        <v>Sama</v>
      </c>
      <c r="BH144" s="7"/>
      <c r="BI144" s="7" t="str">
        <f>IF(Table43[[#This Row],[Kode BARANG Win2]]&lt;&gt;"","IDR","")</f>
        <v>IDR</v>
      </c>
      <c r="BJ144" s="7" t="str">
        <f>CONCATENATE(Table43[[#This Row],[kode  1 Digit
(Nomor)]],Table43[[#This Row],[kode  4 Digit                (Nomor)]])</f>
        <v>0700</v>
      </c>
      <c r="BK144" s="7" t="str">
        <f>Table43[[#This Row],[Nama            Gramasi atau Jumlah Pack per CTN]]</f>
        <v>700ML</v>
      </c>
      <c r="BL144" s="7"/>
      <c r="BM144" s="7"/>
      <c r="BN144" s="4" t="str">
        <f>IF(Table43[[#This Row],[SATUAN Fix Win]]&lt;&gt;"","KRT")</f>
        <v>KRT</v>
      </c>
      <c r="BO144" s="4" t="str">
        <f>IF(Table43[[#This Row],[SATUAN Fix Win]]&lt;&gt;"","GD01")</f>
        <v>GD01</v>
      </c>
      <c r="BP144" s="4">
        <f>IF(Table43[[#This Row],[SATUAN Fix Win]]&lt;&gt;"",11611)</f>
        <v>11611</v>
      </c>
      <c r="BQ144" s="4">
        <f>IF(Table43[[#This Row],[SATUAN Fix Win]]&lt;&gt;"",11612)</f>
        <v>11612</v>
      </c>
      <c r="BS144" s="4">
        <f>IF(Table43[[#This Row],[SATUAN Fix Win]]&lt;&gt;"",1)</f>
        <v>1</v>
      </c>
      <c r="BU144" s="4">
        <f>Table43[[#This Row],[ISI/CTN]]</f>
        <v>0</v>
      </c>
    </row>
    <row r="145" spans="1:73">
      <c r="A145" s="4" t="str">
        <f>CONCATENATE(Table43[[#This Row],[Kode BARANG Win2]],Table43[[#This Row],[No. Urut
Item Sama]])</f>
        <v>G1075002036010</v>
      </c>
      <c r="B145" s="7"/>
      <c r="C145" s="31">
        <v>30100040360000</v>
      </c>
      <c r="D145" s="51">
        <v>40012018</v>
      </c>
      <c r="E145" s="27" t="s">
        <v>1930</v>
      </c>
      <c r="F145" s="51">
        <v>30100020360000</v>
      </c>
      <c r="G145" s="51">
        <v>0</v>
      </c>
      <c r="H145" s="27" t="s">
        <v>1205</v>
      </c>
      <c r="I145" s="27">
        <v>12</v>
      </c>
      <c r="J145" s="51" t="s">
        <v>1621</v>
      </c>
      <c r="K145" s="27" t="str">
        <f>Table43[[#This Row],[NamaJenisKemasan]]</f>
        <v>PCH</v>
      </c>
      <c r="L145" s="4" t="str">
        <f>TRIM(CONCATENATE(Table43[[#This Row],[Nama            KLP]]," ",Table43[[#This Row],[Nama            Sub KLP]]))</f>
        <v>HIT LIQUID</v>
      </c>
      <c r="M145" s="4" t="str">
        <f>CONCATENATE(Table43[[#This Row],[kode  2 Digit                (hrf+No)]],Table43[[#This Row],[kode  2 Digit                (Nomor)]],Table43[[#This Row],[kode  1 Digit                (Nomor)]])</f>
        <v>G1075</v>
      </c>
      <c r="N145" s="4" t="str">
        <f>IF(AI145="",CONCATENATE(S145,U145,W145,Y145,AA145,AC145,AE145,AG145,Table43[[#This Row],[Tanda Kode Revisi]]),CONCATENATE(S145,U145,W145,Y145,AA145,AC145,AE145,AI145))</f>
        <v>G1075002036010</v>
      </c>
      <c r="O145" s="11">
        <f t="shared" si="2"/>
        <v>14</v>
      </c>
      <c r="P145" s="14" t="str">
        <f>IF(AH145&lt;&gt;"",TRIM(UPPER(CONCATENATE(R145," ",T145," ",V145," ",X145," ",Z145," ",AB145," ","X"," ",Table43[[#This Row],[ISI/CTN]]," ",AH145," ",AD145," ",AF145," ",AJ145))),TRIM(UPPER(CONCATENATE(R145," ",T145," ",V145," ",X145," ",Z145," ",AB145," ","X"," ",Table43[[#This Row],[ISI/CTN]]," ",AD145," ",AF145," ",AJ145))))</f>
        <v>HIT LIQUID GREEN TEA 360ML X 12 PCH</v>
      </c>
      <c r="Q145" s="11">
        <f t="shared" si="3"/>
        <v>35</v>
      </c>
      <c r="S145" s="7" t="s">
        <v>34</v>
      </c>
      <c r="T145" s="4" t="s">
        <v>2242</v>
      </c>
      <c r="U145" s="47" t="s">
        <v>2544</v>
      </c>
      <c r="V145" s="48" t="s">
        <v>2277</v>
      </c>
      <c r="W145" s="7">
        <v>5</v>
      </c>
      <c r="X145" s="48"/>
      <c r="Y145" s="47" t="s">
        <v>1116</v>
      </c>
      <c r="Z145" s="4" t="s">
        <v>2281</v>
      </c>
      <c r="AA145" s="49" t="s">
        <v>2459</v>
      </c>
      <c r="AB145" s="4" t="s">
        <v>643</v>
      </c>
      <c r="AC145" s="49" t="s">
        <v>2621</v>
      </c>
      <c r="AD145" s="4" t="s">
        <v>636</v>
      </c>
      <c r="AE145" s="7">
        <v>1</v>
      </c>
      <c r="AG145" s="7">
        <v>0</v>
      </c>
      <c r="AK145" s="70">
        <f>Table43[[#This Row],[Column4]]</f>
        <v>30100020360000</v>
      </c>
      <c r="AN145" s="7">
        <f>Table43[[#This Row],[ISI/CTN]]</f>
        <v>12</v>
      </c>
      <c r="AO145" s="38">
        <f>Table43[[#This Row],[Harga Jual Pcs GT
(-PPN)]]-(Table43[[#This Row],[Harga Jual Pcs GT
(-PPN)]]*6.5%)</f>
        <v>17970.7</v>
      </c>
      <c r="AP145" s="38">
        <f>Table43[[#This Row],[Harga Beli Pcs
(-PPN)]]*Table43[[#This Row],[ISI/CTN]]</f>
        <v>215648.40000000002</v>
      </c>
      <c r="AQ145" s="38">
        <f>Table43[[#This Row],[Harga Beli Pcs
(-PPN)]]*1.11</f>
        <v>19947.477000000003</v>
      </c>
      <c r="AR145" s="38">
        <f>Table43[[#This Row],[Harga Beli Krt
(- PPN)]]*1.11</f>
        <v>239369.72400000005</v>
      </c>
      <c r="AS145" s="38">
        <v>19220</v>
      </c>
      <c r="AT145" s="38">
        <f>Table43[[#This Row],[Harga Jual Pcs GT
(-PPN)]]*Table43[[#This Row],[ISI/CTN]]</f>
        <v>230640</v>
      </c>
      <c r="AU145" s="38">
        <f>Table43[[#This Row],[Harga Jual Pcs GT
(-PPN)]]*1.11</f>
        <v>21334.2</v>
      </c>
      <c r="AV145" s="38">
        <f>Table43[[#This Row],[Harga Jual Krt GT
(- PPN)]]*1.11</f>
        <v>256010.40000000002</v>
      </c>
      <c r="AW145" s="38">
        <f>IFERROR(VLOOKUP(Table43[[#This Row],[Kode Pcpl]],'[1]FEB 2026'!$A$3:$X$312,24,0),0)</f>
        <v>0</v>
      </c>
      <c r="AX145" s="38">
        <f>Table43[[#This Row],[Harga Jual Pcs MT
(-PPN)]]*Table43[[#This Row],[ISI/CTN]]</f>
        <v>0</v>
      </c>
      <c r="AY145" s="38">
        <f>Table43[[#This Row],[Harga Jual Pcs MT
(-PPN)]]*1.11</f>
        <v>0</v>
      </c>
      <c r="AZ145" s="38">
        <f>Table43[[#This Row],[Harga Jual Pcs MT
(+PPN)]]*Table43[[#This Row],[ISI/CTN]]</f>
        <v>0</v>
      </c>
      <c r="BA145" s="46">
        <f>(Table43[[#This Row],[Harga Jual Pcs GT
(-PPN)]]-Table43[[#This Row],[Harga Beli Pcs
(-PPN)]])/Table43[[#This Row],[Harga Jual Pcs GT
(-PPN)]]</f>
        <v>6.4999999999999961E-2</v>
      </c>
      <c r="BB145" s="53">
        <f>Table43[[#This Row],[Harga Jual Pcs MT
(-PPN)]]-Table43[[#This Row],[Harga Beli Pcs
(-PPN)]]</f>
        <v>-17970.7</v>
      </c>
      <c r="BC145" s="54" t="e">
        <f>Table43[[#This Row],[Column1]]/Table43[[#This Row],[Harga Jual Pcs MT
(-PPN)]]</f>
        <v>#DIV/0!</v>
      </c>
      <c r="BD145" s="52"/>
      <c r="BE145" s="7"/>
      <c r="BF145" s="7" t="str">
        <f ca="1">IF(TODAY()-Table43[[#This Row],[Efektif
Pembuatan]]&gt;60,"Lama","Baru")</f>
        <v>Lama</v>
      </c>
      <c r="BG145" s="7" t="str">
        <f ca="1">IF(TODAY()-Table43[[#This Row],[Efektif Naik Harga]]&lt;30,"Naik","Sama")</f>
        <v>Sama</v>
      </c>
      <c r="BH145" s="7"/>
      <c r="BI145" s="7" t="str">
        <f>IF(Table43[[#This Row],[Kode BARANG Win2]]&lt;&gt;"","IDR","")</f>
        <v>IDR</v>
      </c>
      <c r="BJ145" s="7" t="str">
        <f>CONCATENATE(Table43[[#This Row],[kode  1 Digit
(Nomor)]],Table43[[#This Row],[kode  4 Digit                (Nomor)]])</f>
        <v>0360</v>
      </c>
      <c r="BK145" s="7" t="str">
        <f>Table43[[#This Row],[Nama            Gramasi atau Jumlah Pack per CTN]]</f>
        <v>360ML</v>
      </c>
      <c r="BL145" s="7"/>
      <c r="BM145" s="7"/>
      <c r="BN145" s="4" t="str">
        <f>IF(Table43[[#This Row],[SATUAN Fix Win]]&lt;&gt;"","KRT")</f>
        <v>KRT</v>
      </c>
      <c r="BO145" s="4" t="str">
        <f>IF(Table43[[#This Row],[SATUAN Fix Win]]&lt;&gt;"","GD01")</f>
        <v>GD01</v>
      </c>
      <c r="BP145" s="4">
        <f>IF(Table43[[#This Row],[SATUAN Fix Win]]&lt;&gt;"",11611)</f>
        <v>11611</v>
      </c>
      <c r="BQ145" s="4">
        <f>IF(Table43[[#This Row],[SATUAN Fix Win]]&lt;&gt;"",11612)</f>
        <v>11612</v>
      </c>
      <c r="BS145" s="4">
        <f>IF(Table43[[#This Row],[SATUAN Fix Win]]&lt;&gt;"",1)</f>
        <v>1</v>
      </c>
      <c r="BU145" s="4">
        <f>Table43[[#This Row],[ISI/CTN]]</f>
        <v>12</v>
      </c>
    </row>
    <row r="146" spans="1:73">
      <c r="A146" s="4" t="str">
        <f>CONCATENATE(Table43[[#This Row],[Kode BARANG Win2]],Table43[[#This Row],[No. Urut
Item Sama]])</f>
        <v>G1075002070010</v>
      </c>
      <c r="B146" s="7"/>
      <c r="C146" s="31">
        <v>30100030700002</v>
      </c>
      <c r="D146" s="51">
        <v>40008190</v>
      </c>
      <c r="E146" s="27" t="s">
        <v>1931</v>
      </c>
      <c r="F146" s="51">
        <v>30100020700000</v>
      </c>
      <c r="G146" s="51">
        <v>0</v>
      </c>
      <c r="H146" s="27" t="s">
        <v>1206</v>
      </c>
      <c r="I146" s="27">
        <v>12</v>
      </c>
      <c r="J146" s="51" t="s">
        <v>1622</v>
      </c>
      <c r="K146" s="27" t="str">
        <f>Table43[[#This Row],[NamaJenisKemasan]]</f>
        <v>PCH</v>
      </c>
      <c r="L146" s="4" t="str">
        <f>TRIM(CONCATENATE(Table43[[#This Row],[Nama            KLP]]," ",Table43[[#This Row],[Nama            Sub KLP]]))</f>
        <v>HIT LIQUID</v>
      </c>
      <c r="M146" s="4" t="str">
        <f>CONCATENATE(Table43[[#This Row],[kode  2 Digit                (hrf+No)]],Table43[[#This Row],[kode  2 Digit                (Nomor)]],Table43[[#This Row],[kode  1 Digit                (Nomor)]])</f>
        <v>G1075</v>
      </c>
      <c r="N146" s="4" t="str">
        <f>IF(AI146="",CONCATENATE(S146,U146,W146,Y146,AA146,AC146,AE146,AG146,Table43[[#This Row],[Tanda Kode Revisi]]),CONCATENATE(S146,U146,W146,Y146,AA146,AC146,AE146,AI146))</f>
        <v>G1075002070010</v>
      </c>
      <c r="O146" s="11">
        <f t="shared" si="2"/>
        <v>14</v>
      </c>
      <c r="P146" s="14" t="str">
        <f>IF(AH146&lt;&gt;"",TRIM(UPPER(CONCATENATE(R146," ",T146," ",V146," ",X146," ",Z146," ",AB146," ","X"," ",Table43[[#This Row],[ISI/CTN]]," ",AH146," ",AD146," ",AF146," ",AJ146))),TRIM(UPPER(CONCATENATE(R146," ",T146," ",V146," ",X146," ",Z146," ",AB146," ","X"," ",Table43[[#This Row],[ISI/CTN]]," ",AD146," ",AF146," ",AJ146))))</f>
        <v>HIT LIQUID GREEN TEA 700ML X 12 PCH</v>
      </c>
      <c r="Q146" s="11">
        <f t="shared" si="3"/>
        <v>35</v>
      </c>
      <c r="S146" s="7" t="s">
        <v>34</v>
      </c>
      <c r="T146" s="4" t="s">
        <v>2242</v>
      </c>
      <c r="U146" s="47" t="s">
        <v>2544</v>
      </c>
      <c r="V146" s="48" t="s">
        <v>2277</v>
      </c>
      <c r="W146" s="7">
        <v>5</v>
      </c>
      <c r="X146" s="48"/>
      <c r="Y146" s="47" t="s">
        <v>1116</v>
      </c>
      <c r="Z146" s="4" t="s">
        <v>2281</v>
      </c>
      <c r="AA146" s="49" t="s">
        <v>2459</v>
      </c>
      <c r="AB146" s="4" t="s">
        <v>1114</v>
      </c>
      <c r="AC146" s="49" t="s">
        <v>2635</v>
      </c>
      <c r="AD146" s="4" t="s">
        <v>636</v>
      </c>
      <c r="AE146" s="7">
        <v>1</v>
      </c>
      <c r="AG146" s="7">
        <v>0</v>
      </c>
      <c r="AK146" s="70">
        <f>Table43[[#This Row],[Column4]]</f>
        <v>30100020700000</v>
      </c>
      <c r="AN146" s="7">
        <f>Table43[[#This Row],[ISI/CTN]]</f>
        <v>12</v>
      </c>
      <c r="AO146" s="61">
        <f>Table43[[#This Row],[Harga Jual Pcs GT
(-PPN)]]-(Table43[[#This Row],[Harga Jual Pcs GT
(-PPN)]]*6.5%)</f>
        <v>30929.8</v>
      </c>
      <c r="AP146" s="61">
        <f>Table43[[#This Row],[Harga Beli Pcs
(-PPN)]]*Table43[[#This Row],[ISI/CTN]]</f>
        <v>371157.6</v>
      </c>
      <c r="AQ146" s="61">
        <f>Table43[[#This Row],[Harga Beli Pcs
(-PPN)]]*1.11</f>
        <v>34332.078000000001</v>
      </c>
      <c r="AR146" s="61">
        <f>Table43[[#This Row],[Harga Beli Krt
(- PPN)]]*1.11</f>
        <v>411984.93599999999</v>
      </c>
      <c r="AS146" s="61">
        <v>33080</v>
      </c>
      <c r="AT146" s="61">
        <f>Table43[[#This Row],[Harga Jual Pcs GT
(-PPN)]]*Table43[[#This Row],[ISI/CTN]]</f>
        <v>396960</v>
      </c>
      <c r="AU146" s="61">
        <f>Table43[[#This Row],[Harga Jual Pcs GT
(-PPN)]]*1.11</f>
        <v>36718.800000000003</v>
      </c>
      <c r="AV146" s="61">
        <f>Table43[[#This Row],[Harga Jual Krt GT
(- PPN)]]*1.11</f>
        <v>440625.60000000003</v>
      </c>
      <c r="AW146" s="61">
        <f>IFERROR(VLOOKUP(Table43[[#This Row],[Kode Pcpl]],'[1]FEB 2026'!$A$3:$X$312,24,0),0)</f>
        <v>0</v>
      </c>
      <c r="AX146" s="61">
        <f>Table43[[#This Row],[Harga Jual Pcs MT
(-PPN)]]*Table43[[#This Row],[ISI/CTN]]</f>
        <v>0</v>
      </c>
      <c r="AY146" s="61">
        <f>Table43[[#This Row],[Harga Jual Pcs MT
(-PPN)]]*1.11</f>
        <v>0</v>
      </c>
      <c r="AZ146" s="61">
        <f>Table43[[#This Row],[Harga Jual Pcs MT
(+PPN)]]*Table43[[#This Row],[ISI/CTN]]</f>
        <v>0</v>
      </c>
      <c r="BA146" s="62">
        <f>(Table43[[#This Row],[Harga Jual Pcs GT
(-PPN)]]-Table43[[#This Row],[Harga Beli Pcs
(-PPN)]])/Table43[[#This Row],[Harga Jual Pcs GT
(-PPN)]]</f>
        <v>6.5000000000000016E-2</v>
      </c>
      <c r="BB146" s="63">
        <f>Table43[[#This Row],[Harga Jual Pcs MT
(-PPN)]]-Table43[[#This Row],[Harga Beli Pcs
(-PPN)]]</f>
        <v>-30929.8</v>
      </c>
      <c r="BC146" s="64" t="e">
        <f>Table43[[#This Row],[Column1]]/Table43[[#This Row],[Harga Jual Pcs MT
(-PPN)]]</f>
        <v>#DIV/0!</v>
      </c>
      <c r="BD146" s="52"/>
      <c r="BE146" s="7"/>
      <c r="BF146" s="7" t="str">
        <f ca="1">IF(TODAY()-Table43[[#This Row],[Efektif
Pembuatan]]&gt;60,"Lama","Baru")</f>
        <v>Lama</v>
      </c>
      <c r="BG146" s="7" t="str">
        <f ca="1">IF(TODAY()-Table43[[#This Row],[Efektif Naik Harga]]&lt;30,"Naik","Sama")</f>
        <v>Sama</v>
      </c>
      <c r="BH146" s="7"/>
      <c r="BI146" s="7" t="str">
        <f>IF(Table43[[#This Row],[Kode BARANG Win2]]&lt;&gt;"","IDR","")</f>
        <v>IDR</v>
      </c>
      <c r="BJ146" s="7" t="str">
        <f>CONCATENATE(Table43[[#This Row],[kode  1 Digit
(Nomor)]],Table43[[#This Row],[kode  4 Digit                (Nomor)]])</f>
        <v>0700</v>
      </c>
      <c r="BK146" s="7" t="str">
        <f>Table43[[#This Row],[Nama            Gramasi atau Jumlah Pack per CTN]]</f>
        <v>700ML</v>
      </c>
      <c r="BL146" s="7"/>
      <c r="BM146" s="7"/>
      <c r="BN146" s="4" t="str">
        <f>IF(Table43[[#This Row],[SATUAN Fix Win]]&lt;&gt;"","KRT")</f>
        <v>KRT</v>
      </c>
      <c r="BO146" s="4" t="str">
        <f>IF(Table43[[#This Row],[SATUAN Fix Win]]&lt;&gt;"","GD01")</f>
        <v>GD01</v>
      </c>
      <c r="BP146" s="4">
        <f>IF(Table43[[#This Row],[SATUAN Fix Win]]&lt;&gt;"",11611)</f>
        <v>11611</v>
      </c>
      <c r="BQ146" s="4">
        <f>IF(Table43[[#This Row],[SATUAN Fix Win]]&lt;&gt;"",11612)</f>
        <v>11612</v>
      </c>
      <c r="BS146" s="4">
        <f>IF(Table43[[#This Row],[SATUAN Fix Win]]&lt;&gt;"",1)</f>
        <v>1</v>
      </c>
      <c r="BU146" s="4">
        <f>Table43[[#This Row],[ISI/CTN]]</f>
        <v>12</v>
      </c>
    </row>
    <row r="147" spans="1:73">
      <c r="A147" s="4" t="str">
        <f>CONCATENATE(Table43[[#This Row],[Kode BARANG Win2]],Table43[[#This Row],[No. Urut
Item Sama]])</f>
        <v>G1075003070011</v>
      </c>
      <c r="B147" s="7"/>
      <c r="C147" s="31">
        <v>30100040700000</v>
      </c>
      <c r="D147" s="51">
        <v>40049642</v>
      </c>
      <c r="E147" s="27" t="s">
        <v>1932</v>
      </c>
      <c r="F147" s="51">
        <v>30100030700002</v>
      </c>
      <c r="G147" s="51">
        <v>0</v>
      </c>
      <c r="H147" s="27" t="s">
        <v>1207</v>
      </c>
      <c r="I147" s="27">
        <v>12</v>
      </c>
      <c r="J147" s="51" t="s">
        <v>1623</v>
      </c>
      <c r="K147" s="27" t="str">
        <f>Table43[[#This Row],[NamaJenisKemasan]]</f>
        <v>PCH</v>
      </c>
      <c r="L147" s="4" t="str">
        <f>TRIM(CONCATENATE(Table43[[#This Row],[Nama            KLP]]," ",Table43[[#This Row],[Nama            Sub KLP]]))</f>
        <v>HIT LIQUID</v>
      </c>
      <c r="M147" s="4" t="str">
        <f>CONCATENATE(Table43[[#This Row],[kode  2 Digit                (hrf+No)]],Table43[[#This Row],[kode  2 Digit                (Nomor)]],Table43[[#This Row],[kode  1 Digit                (Nomor)]])</f>
        <v>G1075</v>
      </c>
      <c r="N147" s="4" t="str">
        <f>IF(AI147="",CONCATENATE(S147,U147,W147,Y147,AA147,AC147,AE147,AG147,Table43[[#This Row],[Tanda Kode Revisi]]),CONCATENATE(S147,U147,W147,Y147,AA147,AC147,AE147,AI147))</f>
        <v>G1075003070011</v>
      </c>
      <c r="O147" s="11">
        <f t="shared" si="2"/>
        <v>14</v>
      </c>
      <c r="P147" s="14" t="str">
        <f>IF(AH147&lt;&gt;"",TRIM(UPPER(CONCATENATE(R147," ",T147," ",V147," ",X147," ",Z147," ",AB147," ","X"," ",Table43[[#This Row],[ISI/CTN]]," ",AH147," ",AD147," ",AF147," ",AJ147))),TRIM(UPPER(CONCATENATE(R147," ",T147," ",V147," ",X147," ",Z147," ",AB147," ","X"," ",Table43[[#This Row],[ISI/CTN]]," ",AD147," ",AF147," ",AJ147))))</f>
        <v>HIT LIQUID LILY BLOSSOM 700ML X 12 PCH BANDED</v>
      </c>
      <c r="Q147" s="11">
        <f t="shared" si="3"/>
        <v>45</v>
      </c>
      <c r="S147" s="7" t="s">
        <v>34</v>
      </c>
      <c r="T147" s="4" t="s">
        <v>2242</v>
      </c>
      <c r="U147" s="47" t="s">
        <v>2544</v>
      </c>
      <c r="V147" s="48" t="s">
        <v>2277</v>
      </c>
      <c r="W147" s="7">
        <v>5</v>
      </c>
      <c r="X147" s="48"/>
      <c r="Y147" s="47" t="s">
        <v>1116</v>
      </c>
      <c r="Z147" s="4" t="s">
        <v>2249</v>
      </c>
      <c r="AA147" s="49" t="s">
        <v>2538</v>
      </c>
      <c r="AB147" s="4" t="s">
        <v>1114</v>
      </c>
      <c r="AC147" s="49" t="s">
        <v>2635</v>
      </c>
      <c r="AD147" s="4" t="s">
        <v>636</v>
      </c>
      <c r="AE147" s="7">
        <v>1</v>
      </c>
      <c r="AF147" s="4" t="s">
        <v>2269</v>
      </c>
      <c r="AG147" s="7">
        <v>1</v>
      </c>
      <c r="AK147" s="70">
        <f>Table43[[#This Row],[Column4]]</f>
        <v>30100030700002</v>
      </c>
      <c r="AN147" s="7">
        <f>Table43[[#This Row],[ISI/CTN]]</f>
        <v>12</v>
      </c>
      <c r="AO147" s="38">
        <f>Table43[[#This Row],[Harga Jual Pcs GT
(-PPN)]]-(Table43[[#This Row],[Harga Jual Pcs GT
(-PPN)]]*6.5%)</f>
        <v>30929.8</v>
      </c>
      <c r="AP147" s="38">
        <f>Table43[[#This Row],[Harga Beli Pcs
(-PPN)]]*Table43[[#This Row],[ISI/CTN]]</f>
        <v>371157.6</v>
      </c>
      <c r="AQ147" s="38">
        <f>Table43[[#This Row],[Harga Beli Pcs
(-PPN)]]*1.11</f>
        <v>34332.078000000001</v>
      </c>
      <c r="AR147" s="38">
        <f>Table43[[#This Row],[Harga Beli Krt
(- PPN)]]*1.11</f>
        <v>411984.93599999999</v>
      </c>
      <c r="AS147" s="38">
        <v>33080</v>
      </c>
      <c r="AT147" s="38">
        <f>Table43[[#This Row],[Harga Jual Pcs GT
(-PPN)]]*Table43[[#This Row],[ISI/CTN]]</f>
        <v>396960</v>
      </c>
      <c r="AU147" s="38">
        <f>Table43[[#This Row],[Harga Jual Pcs GT
(-PPN)]]*1.11</f>
        <v>36718.800000000003</v>
      </c>
      <c r="AV147" s="38">
        <f>Table43[[#This Row],[Harga Jual Krt GT
(- PPN)]]*1.11</f>
        <v>440625.60000000003</v>
      </c>
      <c r="AW147" s="38">
        <f>IFERROR(VLOOKUP(Table43[[#This Row],[Kode Pcpl]],'[1]FEB 2026'!$A$3:$X$312,24,0),0)</f>
        <v>0</v>
      </c>
      <c r="AX147" s="38">
        <f>Table43[[#This Row],[Harga Jual Pcs MT
(-PPN)]]*Table43[[#This Row],[ISI/CTN]]</f>
        <v>0</v>
      </c>
      <c r="AY147" s="38">
        <f>Table43[[#This Row],[Harga Jual Pcs MT
(-PPN)]]*1.11</f>
        <v>0</v>
      </c>
      <c r="AZ147" s="38">
        <f>Table43[[#This Row],[Harga Jual Pcs MT
(+PPN)]]*Table43[[#This Row],[ISI/CTN]]</f>
        <v>0</v>
      </c>
      <c r="BA147" s="46">
        <f>(Table43[[#This Row],[Harga Jual Pcs GT
(-PPN)]]-Table43[[#This Row],[Harga Beli Pcs
(-PPN)]])/Table43[[#This Row],[Harga Jual Pcs GT
(-PPN)]]</f>
        <v>6.5000000000000016E-2</v>
      </c>
      <c r="BB147" s="53">
        <f>Table43[[#This Row],[Harga Jual Pcs MT
(-PPN)]]-Table43[[#This Row],[Harga Beli Pcs
(-PPN)]]</f>
        <v>-30929.8</v>
      </c>
      <c r="BC147" s="54" t="e">
        <f>Table43[[#This Row],[Column1]]/Table43[[#This Row],[Harga Jual Pcs MT
(-PPN)]]</f>
        <v>#DIV/0!</v>
      </c>
      <c r="BD147" s="52"/>
      <c r="BE147" s="7"/>
      <c r="BF147" s="7" t="str">
        <f ca="1">IF(TODAY()-Table43[[#This Row],[Efektif
Pembuatan]]&gt;60,"Lama","Baru")</f>
        <v>Lama</v>
      </c>
      <c r="BG147" s="7" t="str">
        <f ca="1">IF(TODAY()-Table43[[#This Row],[Efektif Naik Harga]]&lt;30,"Naik","Sama")</f>
        <v>Sama</v>
      </c>
      <c r="BH147" s="7"/>
      <c r="BI147" s="7" t="str">
        <f>IF(Table43[[#This Row],[Kode BARANG Win2]]&lt;&gt;"","IDR","")</f>
        <v>IDR</v>
      </c>
      <c r="BJ147" s="7" t="str">
        <f>CONCATENATE(Table43[[#This Row],[kode  1 Digit
(Nomor)]],Table43[[#This Row],[kode  4 Digit                (Nomor)]])</f>
        <v>0700</v>
      </c>
      <c r="BK147" s="7" t="str">
        <f>Table43[[#This Row],[Nama            Gramasi atau Jumlah Pack per CTN]]</f>
        <v>700ML</v>
      </c>
      <c r="BL147" s="7"/>
      <c r="BM147" s="7"/>
      <c r="BN147" s="4" t="str">
        <f>IF(Table43[[#This Row],[SATUAN Fix Win]]&lt;&gt;"","KRT")</f>
        <v>KRT</v>
      </c>
      <c r="BO147" s="4" t="str">
        <f>IF(Table43[[#This Row],[SATUAN Fix Win]]&lt;&gt;"","GD01")</f>
        <v>GD01</v>
      </c>
      <c r="BP147" s="4">
        <f>IF(Table43[[#This Row],[SATUAN Fix Win]]&lt;&gt;"",11611)</f>
        <v>11611</v>
      </c>
      <c r="BQ147" s="4">
        <f>IF(Table43[[#This Row],[SATUAN Fix Win]]&lt;&gt;"",11612)</f>
        <v>11612</v>
      </c>
      <c r="BS147" s="4">
        <f>IF(Table43[[#This Row],[SATUAN Fix Win]]&lt;&gt;"",1)</f>
        <v>1</v>
      </c>
      <c r="BU147" s="4">
        <f>Table43[[#This Row],[ISI/CTN]]</f>
        <v>12</v>
      </c>
    </row>
    <row r="148" spans="1:73">
      <c r="A148" s="4" t="str">
        <f>CONCATENATE(Table43[[#This Row],[Kode BARANG Win2]],Table43[[#This Row],[No. Urut
Item Sama]])</f>
        <v>G1075003070011</v>
      </c>
      <c r="B148" s="7"/>
      <c r="C148" s="31"/>
      <c r="D148" s="51">
        <v>40049643</v>
      </c>
      <c r="E148" s="27"/>
      <c r="F148" s="51"/>
      <c r="G148" s="51"/>
      <c r="H148" s="27"/>
      <c r="I148" s="27">
        <v>12</v>
      </c>
      <c r="J148" s="51" t="s">
        <v>1623</v>
      </c>
      <c r="K148" s="27" t="str">
        <f>Table43[[#This Row],[NamaJenisKemasan]]</f>
        <v>PCH</v>
      </c>
      <c r="L148" s="4" t="str">
        <f>TRIM(CONCATENATE(Table43[[#This Row],[Nama            KLP]]," ",Table43[[#This Row],[Nama            Sub KLP]]))</f>
        <v>HIT LIQUID</v>
      </c>
      <c r="M148" s="4" t="str">
        <f>CONCATENATE(Table43[[#This Row],[kode  2 Digit                (hrf+No)]],Table43[[#This Row],[kode  2 Digit                (Nomor)]],Table43[[#This Row],[kode  1 Digit                (Nomor)]])</f>
        <v>G1075</v>
      </c>
      <c r="N148" s="4" t="str">
        <f>IF(AI148="",CONCATENATE(S148,U148,W148,Y148,AA148,AC148,AE148,AG148,Table43[[#This Row],[Tanda Kode Revisi]]),CONCATENATE(S148,U148,W148,Y148,AA148,AC148,AE148,AI148))</f>
        <v>G1075003070011</v>
      </c>
      <c r="O148" s="11">
        <f>LEN(N148)</f>
        <v>14</v>
      </c>
      <c r="P148" s="14" t="str">
        <f>IF(AH148&lt;&gt;"",TRIM(UPPER(CONCATENATE(R148," ",T148," ",V148," ",X148," ",Z148," ",AB148," ","X"," ",Table43[[#This Row],[ISI/CTN]]," ",AH148," ",AD148," ",AF148," ",AJ148))),TRIM(UPPER(CONCATENATE(R148," ",T148," ",V148," ",X148," ",Z148," ",AB148," ","X"," ",Table43[[#This Row],[ISI/CTN]]," ",AD148," ",AF148," ",AJ148))))</f>
        <v>HIT LIQUID LILY BLOSSOM 700ML X 12 PCH BANDED</v>
      </c>
      <c r="Q148" s="11">
        <f>LEN(P148)</f>
        <v>45</v>
      </c>
      <c r="S148" s="7" t="s">
        <v>34</v>
      </c>
      <c r="T148" s="4" t="s">
        <v>2242</v>
      </c>
      <c r="U148" s="47" t="s">
        <v>2544</v>
      </c>
      <c r="V148" s="48" t="s">
        <v>2277</v>
      </c>
      <c r="W148" s="7">
        <v>5</v>
      </c>
      <c r="X148" s="48"/>
      <c r="Y148" s="47" t="s">
        <v>1116</v>
      </c>
      <c r="Z148" s="4" t="s">
        <v>2249</v>
      </c>
      <c r="AA148" s="49" t="s">
        <v>2538</v>
      </c>
      <c r="AB148" s="4" t="s">
        <v>1114</v>
      </c>
      <c r="AC148" s="49" t="s">
        <v>2635</v>
      </c>
      <c r="AD148" s="4" t="s">
        <v>636</v>
      </c>
      <c r="AE148" s="7">
        <v>1</v>
      </c>
      <c r="AF148" s="4" t="s">
        <v>2269</v>
      </c>
      <c r="AG148" s="7">
        <v>1</v>
      </c>
      <c r="AK148" s="70">
        <f>Table43[[#This Row],[Column4]]</f>
        <v>0</v>
      </c>
      <c r="AN148" s="7">
        <f>Table43[[#This Row],[ISI/CTN]]</f>
        <v>12</v>
      </c>
      <c r="AO148" s="38">
        <f>Table43[[#This Row],[Harga Jual Pcs GT
(-PPN)]]-(Table43[[#This Row],[Harga Jual Pcs GT
(-PPN)]]*6.5%)</f>
        <v>0</v>
      </c>
      <c r="AP148" s="38">
        <f>Table43[[#This Row],[Harga Beli Pcs
(-PPN)]]*Table43[[#This Row],[ISI/CTN]]</f>
        <v>0</v>
      </c>
      <c r="AQ148" s="38">
        <f>Table43[[#This Row],[Harga Beli Pcs
(-PPN)]]*1.11</f>
        <v>0</v>
      </c>
      <c r="AR148" s="38">
        <f>Table43[[#This Row],[Harga Beli Krt
(- PPN)]]*1.11</f>
        <v>0</v>
      </c>
      <c r="AS148" s="38"/>
      <c r="AT148" s="38">
        <f>Table43[[#This Row],[Harga Jual Pcs GT
(-PPN)]]*Table43[[#This Row],[ISI/CTN]]</f>
        <v>0</v>
      </c>
      <c r="AU148" s="38">
        <f>Table43[[#This Row],[Harga Jual Pcs GT
(-PPN)]]*1.11</f>
        <v>0</v>
      </c>
      <c r="AV148" s="38">
        <f>Table43[[#This Row],[Harga Jual Krt GT
(- PPN)]]*1.11</f>
        <v>0</v>
      </c>
      <c r="AW148" s="38">
        <f>IFERROR(VLOOKUP(Table43[[#This Row],[Kode Pcpl]],'[1]FEB 2026'!$A$3:$X$312,24,0),0)</f>
        <v>0</v>
      </c>
      <c r="AX148" s="38">
        <f>Table43[[#This Row],[Harga Jual Pcs MT
(-PPN)]]*Table43[[#This Row],[ISI/CTN]]</f>
        <v>0</v>
      </c>
      <c r="AY148" s="38">
        <f>Table43[[#This Row],[Harga Jual Pcs MT
(-PPN)]]*1.11</f>
        <v>0</v>
      </c>
      <c r="AZ148" s="38">
        <f>Table43[[#This Row],[Harga Jual Pcs MT
(+PPN)]]*Table43[[#This Row],[ISI/CTN]]</f>
        <v>0</v>
      </c>
      <c r="BA148" s="46" t="e">
        <f>(Table43[[#This Row],[Harga Jual Pcs GT
(-PPN)]]-Table43[[#This Row],[Harga Beli Pcs
(-PPN)]])/Table43[[#This Row],[Harga Jual Pcs GT
(-PPN)]]</f>
        <v>#DIV/0!</v>
      </c>
      <c r="BB148" s="53">
        <f>Table43[[#This Row],[Harga Jual Pcs MT
(-PPN)]]-Table43[[#This Row],[Harga Beli Pcs
(-PPN)]]</f>
        <v>0</v>
      </c>
      <c r="BC148" s="54" t="e">
        <f>Table43[[#This Row],[Column1]]/Table43[[#This Row],[Harga Jual Pcs MT
(-PPN)]]</f>
        <v>#DIV/0!</v>
      </c>
      <c r="BD148" s="52"/>
      <c r="BE148" s="7"/>
      <c r="BF148" s="7" t="str">
        <f ca="1">IF(TODAY()-Table43[[#This Row],[Efektif
Pembuatan]]&gt;60,"Lama","Baru")</f>
        <v>Lama</v>
      </c>
      <c r="BG148" s="7" t="str">
        <f ca="1">IF(TODAY()-Table43[[#This Row],[Efektif Naik Harga]]&lt;30,"Naik","Sama")</f>
        <v>Sama</v>
      </c>
      <c r="BH148" s="7"/>
      <c r="BI148" s="7" t="str">
        <f>IF(Table43[[#This Row],[Kode BARANG Win2]]&lt;&gt;"","IDR","")</f>
        <v>IDR</v>
      </c>
      <c r="BJ148" s="7" t="str">
        <f>CONCATENATE(Table43[[#This Row],[kode  1 Digit
(Nomor)]],Table43[[#This Row],[kode  4 Digit                (Nomor)]])</f>
        <v>0700</v>
      </c>
      <c r="BK148" s="7" t="str">
        <f>Table43[[#This Row],[Nama            Gramasi atau Jumlah Pack per CTN]]</f>
        <v>700ML</v>
      </c>
      <c r="BL148" s="7"/>
      <c r="BM148" s="7"/>
      <c r="BN148" s="4" t="str">
        <f>IF(Table43[[#This Row],[SATUAN Fix Win]]&lt;&gt;"","KRT")</f>
        <v>KRT</v>
      </c>
      <c r="BO148" s="4" t="str">
        <f>IF(Table43[[#This Row],[SATUAN Fix Win]]&lt;&gt;"","GD01")</f>
        <v>GD01</v>
      </c>
      <c r="BP148" s="4">
        <f>IF(Table43[[#This Row],[SATUAN Fix Win]]&lt;&gt;"",11611)</f>
        <v>11611</v>
      </c>
      <c r="BQ148" s="4">
        <f>IF(Table43[[#This Row],[SATUAN Fix Win]]&lt;&gt;"",11612)</f>
        <v>11612</v>
      </c>
      <c r="BS148" s="4">
        <f>IF(Table43[[#This Row],[SATUAN Fix Win]]&lt;&gt;"",1)</f>
        <v>1</v>
      </c>
      <c r="BU148" s="4">
        <f>Table43[[#This Row],[ISI/CTN]]</f>
        <v>12</v>
      </c>
    </row>
    <row r="149" spans="1:73">
      <c r="A149" s="4" t="str">
        <f>CONCATENATE(Table43[[#This Row],[Kode BARANG Win2]],Table43[[#This Row],[No. Urut
Item Sama]])</f>
        <v>G1075004036010</v>
      </c>
      <c r="B149" s="7"/>
      <c r="C149" s="31">
        <v>30132070045010</v>
      </c>
      <c r="D149" s="59">
        <v>40008191</v>
      </c>
      <c r="E149" s="60" t="s">
        <v>1933</v>
      </c>
      <c r="F149" s="59">
        <v>30100040360000</v>
      </c>
      <c r="G149" s="59">
        <v>0</v>
      </c>
      <c r="H149" s="60" t="s">
        <v>1208</v>
      </c>
      <c r="I149" s="60">
        <v>12</v>
      </c>
      <c r="J149" s="59" t="s">
        <v>1624</v>
      </c>
      <c r="K149" s="60" t="str">
        <f>Table43[[#This Row],[NamaJenisKemasan]]</f>
        <v>PCH</v>
      </c>
      <c r="L149" s="4" t="str">
        <f>TRIM(CONCATENATE(Table43[[#This Row],[Nama            KLP]]," ",Table43[[#This Row],[Nama            Sub KLP]]))</f>
        <v>HIT LIQUID</v>
      </c>
      <c r="M149" s="4" t="str">
        <f>CONCATENATE(Table43[[#This Row],[kode  2 Digit                (hrf+No)]],Table43[[#This Row],[kode  2 Digit                (Nomor)]],Table43[[#This Row],[kode  1 Digit                (Nomor)]])</f>
        <v>G1075</v>
      </c>
      <c r="N149" s="4" t="str">
        <f>IF(AI149="",CONCATENATE(S149,U149,W149,Y149,AA149,AC149,AE149,AG149,Table43[[#This Row],[Tanda Kode Revisi]]),CONCATENATE(S149,U149,W149,Y149,AA149,AC149,AE149,AI149))</f>
        <v>G1075004036010</v>
      </c>
      <c r="O149" s="11">
        <f t="shared" si="2"/>
        <v>14</v>
      </c>
      <c r="P149" s="14" t="str">
        <f>IF(AH149&lt;&gt;"",TRIM(UPPER(CONCATENATE(R149," ",T149," ",V149," ",X149," ",Z149," ",AB149," ","X"," ",Table43[[#This Row],[ISI/CTN]]," ",AH149," ",AD149," ",AF149," ",AJ149))),TRIM(UPPER(CONCATENATE(R149," ",T149," ",V149," ",X149," ",Z149," ",AB149," ","X"," ",Table43[[#This Row],[ISI/CTN]]," ",AD149," ",AF149," ",AJ149))))</f>
        <v>HIT LIQUID ORANGE 360ML X 12 PCH</v>
      </c>
      <c r="Q149" s="11">
        <f t="shared" si="3"/>
        <v>32</v>
      </c>
      <c r="S149" s="7" t="s">
        <v>34</v>
      </c>
      <c r="T149" s="4" t="s">
        <v>2242</v>
      </c>
      <c r="U149" s="47" t="s">
        <v>2544</v>
      </c>
      <c r="V149" s="48" t="s">
        <v>2277</v>
      </c>
      <c r="W149" s="7">
        <v>5</v>
      </c>
      <c r="X149" s="48"/>
      <c r="Y149" s="47" t="s">
        <v>1116</v>
      </c>
      <c r="Z149" s="4" t="s">
        <v>2251</v>
      </c>
      <c r="AA149" s="49" t="s">
        <v>2540</v>
      </c>
      <c r="AB149" s="4" t="s">
        <v>643</v>
      </c>
      <c r="AC149" s="49" t="s">
        <v>2621</v>
      </c>
      <c r="AD149" s="4" t="s">
        <v>636</v>
      </c>
      <c r="AE149" s="7">
        <v>1</v>
      </c>
      <c r="AG149" s="7">
        <v>0</v>
      </c>
      <c r="AK149" s="70">
        <f>Table43[[#This Row],[Column4]]</f>
        <v>30100040360000</v>
      </c>
      <c r="AN149" s="7">
        <f>Table43[[#This Row],[ISI/CTN]]</f>
        <v>12</v>
      </c>
      <c r="AO149" s="61">
        <f>Table43[[#This Row],[Harga Jual Pcs GT
(-PPN)]]-(Table43[[#This Row],[Harga Jual Pcs GT
(-PPN)]]*6.5%)</f>
        <v>17970.7</v>
      </c>
      <c r="AP149" s="61">
        <f>Table43[[#This Row],[Harga Beli Pcs
(-PPN)]]*Table43[[#This Row],[ISI/CTN]]</f>
        <v>215648.40000000002</v>
      </c>
      <c r="AQ149" s="61">
        <f>Table43[[#This Row],[Harga Beli Pcs
(-PPN)]]*1.11</f>
        <v>19947.477000000003</v>
      </c>
      <c r="AR149" s="61">
        <f>Table43[[#This Row],[Harga Beli Krt
(- PPN)]]*1.11</f>
        <v>239369.72400000005</v>
      </c>
      <c r="AS149" s="61">
        <v>19220</v>
      </c>
      <c r="AT149" s="61">
        <f>Table43[[#This Row],[Harga Jual Pcs GT
(-PPN)]]*Table43[[#This Row],[ISI/CTN]]</f>
        <v>230640</v>
      </c>
      <c r="AU149" s="61">
        <f>Table43[[#This Row],[Harga Jual Pcs GT
(-PPN)]]*1.11</f>
        <v>21334.2</v>
      </c>
      <c r="AV149" s="61">
        <f>Table43[[#This Row],[Harga Jual Krt GT
(- PPN)]]*1.11</f>
        <v>256010.40000000002</v>
      </c>
      <c r="AW149" s="61">
        <f>IFERROR(VLOOKUP(Table43[[#This Row],[Kode Pcpl]],'[1]FEB 2026'!$A$3:$X$312,24,0),0)</f>
        <v>0</v>
      </c>
      <c r="AX149" s="61">
        <f>Table43[[#This Row],[Harga Jual Pcs MT
(-PPN)]]*Table43[[#This Row],[ISI/CTN]]</f>
        <v>0</v>
      </c>
      <c r="AY149" s="61">
        <f>Table43[[#This Row],[Harga Jual Pcs MT
(-PPN)]]*1.11</f>
        <v>0</v>
      </c>
      <c r="AZ149" s="61">
        <f>Table43[[#This Row],[Harga Jual Pcs MT
(+PPN)]]*Table43[[#This Row],[ISI/CTN]]</f>
        <v>0</v>
      </c>
      <c r="BA149" s="62">
        <f>(Table43[[#This Row],[Harga Jual Pcs GT
(-PPN)]]-Table43[[#This Row],[Harga Beli Pcs
(-PPN)]])/Table43[[#This Row],[Harga Jual Pcs GT
(-PPN)]]</f>
        <v>6.4999999999999961E-2</v>
      </c>
      <c r="BB149" s="63">
        <f>Table43[[#This Row],[Harga Jual Pcs MT
(-PPN)]]-Table43[[#This Row],[Harga Beli Pcs
(-PPN)]]</f>
        <v>-17970.7</v>
      </c>
      <c r="BC149" s="64" t="e">
        <f>Table43[[#This Row],[Column1]]/Table43[[#This Row],[Harga Jual Pcs MT
(-PPN)]]</f>
        <v>#DIV/0!</v>
      </c>
      <c r="BD149" s="52"/>
      <c r="BE149" s="7"/>
      <c r="BF149" s="7" t="str">
        <f ca="1">IF(TODAY()-Table43[[#This Row],[Efektif
Pembuatan]]&gt;60,"Lama","Baru")</f>
        <v>Lama</v>
      </c>
      <c r="BG149" s="7" t="str">
        <f ca="1">IF(TODAY()-Table43[[#This Row],[Efektif Naik Harga]]&lt;30,"Naik","Sama")</f>
        <v>Sama</v>
      </c>
      <c r="BH149" s="7"/>
      <c r="BI149" s="7" t="str">
        <f>IF(Table43[[#This Row],[Kode BARANG Win2]]&lt;&gt;"","IDR","")</f>
        <v>IDR</v>
      </c>
      <c r="BJ149" s="7" t="str">
        <f>CONCATENATE(Table43[[#This Row],[kode  1 Digit
(Nomor)]],Table43[[#This Row],[kode  4 Digit                (Nomor)]])</f>
        <v>0360</v>
      </c>
      <c r="BK149" s="7" t="str">
        <f>Table43[[#This Row],[Nama            Gramasi atau Jumlah Pack per CTN]]</f>
        <v>360ML</v>
      </c>
      <c r="BL149" s="7"/>
      <c r="BM149" s="7"/>
      <c r="BN149" s="4" t="str">
        <f>IF(Table43[[#This Row],[SATUAN Fix Win]]&lt;&gt;"","KRT")</f>
        <v>KRT</v>
      </c>
      <c r="BO149" s="4" t="str">
        <f>IF(Table43[[#This Row],[SATUAN Fix Win]]&lt;&gt;"","GD01")</f>
        <v>GD01</v>
      </c>
      <c r="BP149" s="4">
        <f>IF(Table43[[#This Row],[SATUAN Fix Win]]&lt;&gt;"",11611)</f>
        <v>11611</v>
      </c>
      <c r="BQ149" s="4">
        <f>IF(Table43[[#This Row],[SATUAN Fix Win]]&lt;&gt;"",11612)</f>
        <v>11612</v>
      </c>
      <c r="BS149" s="4">
        <f>IF(Table43[[#This Row],[SATUAN Fix Win]]&lt;&gt;"",1)</f>
        <v>1</v>
      </c>
      <c r="BU149" s="4">
        <f>Table43[[#This Row],[ISI/CTN]]</f>
        <v>12</v>
      </c>
    </row>
    <row r="150" spans="1:73">
      <c r="A150" s="4" t="str">
        <f>CONCATENATE(Table43[[#This Row],[Kode BARANG Win2]],Table43[[#This Row],[No. Urut
Item Sama]])</f>
        <v>G1075004070010</v>
      </c>
      <c r="B150" s="7"/>
      <c r="C150" s="31">
        <v>30110020004001</v>
      </c>
      <c r="D150" s="51">
        <v>40049641</v>
      </c>
      <c r="E150" s="27" t="s">
        <v>1934</v>
      </c>
      <c r="F150" s="51">
        <v>30100040700000</v>
      </c>
      <c r="G150" s="51">
        <v>0</v>
      </c>
      <c r="H150" s="27" t="s">
        <v>1209</v>
      </c>
      <c r="I150" s="27">
        <v>12</v>
      </c>
      <c r="J150" s="51" t="s">
        <v>1625</v>
      </c>
      <c r="K150" s="27" t="str">
        <f>Table43[[#This Row],[NamaJenisKemasan]]</f>
        <v>PCH</v>
      </c>
      <c r="L150" s="4" t="str">
        <f>TRIM(CONCATENATE(Table43[[#This Row],[Nama            KLP]]," ",Table43[[#This Row],[Nama            Sub KLP]]))</f>
        <v>HIT LIQUID</v>
      </c>
      <c r="M150" s="4" t="str">
        <f>CONCATENATE(Table43[[#This Row],[kode  2 Digit                (hrf+No)]],Table43[[#This Row],[kode  2 Digit                (Nomor)]],Table43[[#This Row],[kode  1 Digit                (Nomor)]])</f>
        <v>G1075</v>
      </c>
      <c r="N150" s="4" t="str">
        <f>IF(AI150="",CONCATENATE(S150,U150,W150,Y150,AA150,AC150,AE150,AG150,Table43[[#This Row],[Tanda Kode Revisi]]),CONCATENATE(S150,U150,W150,Y150,AA150,AC150,AE150,AI150))</f>
        <v>G1075004070010</v>
      </c>
      <c r="O150" s="11">
        <f t="shared" si="2"/>
        <v>14</v>
      </c>
      <c r="P150" s="14" t="str">
        <f>IF(AH150&lt;&gt;"",TRIM(UPPER(CONCATENATE(R150," ",T150," ",V150," ",X150," ",Z150," ",AB150," ","X"," ",Table43[[#This Row],[ISI/CTN]]," ",AH150," ",AD150," ",AF150," ",AJ150))),TRIM(UPPER(CONCATENATE(R150," ",T150," ",V150," ",X150," ",Z150," ",AB150," ","X"," ",Table43[[#This Row],[ISI/CTN]]," ",AD150," ",AF150," ",AJ150))))</f>
        <v>HIT LIQUID ORANGE 700ML X 12 PCH</v>
      </c>
      <c r="Q150" s="11">
        <f t="shared" si="3"/>
        <v>32</v>
      </c>
      <c r="S150" s="7" t="s">
        <v>34</v>
      </c>
      <c r="T150" s="4" t="s">
        <v>2242</v>
      </c>
      <c r="U150" s="47" t="s">
        <v>2544</v>
      </c>
      <c r="V150" s="48" t="s">
        <v>2277</v>
      </c>
      <c r="W150" s="7">
        <v>5</v>
      </c>
      <c r="X150" s="48"/>
      <c r="Y150" s="47" t="s">
        <v>1116</v>
      </c>
      <c r="Z150" s="4" t="s">
        <v>2251</v>
      </c>
      <c r="AA150" s="49" t="s">
        <v>2540</v>
      </c>
      <c r="AB150" s="4" t="s">
        <v>1114</v>
      </c>
      <c r="AC150" s="49" t="s">
        <v>2635</v>
      </c>
      <c r="AD150" s="4" t="s">
        <v>636</v>
      </c>
      <c r="AE150" s="7">
        <v>1</v>
      </c>
      <c r="AG150" s="7">
        <v>0</v>
      </c>
      <c r="AK150" s="70">
        <f>Table43[[#This Row],[Column4]]</f>
        <v>30100040700000</v>
      </c>
      <c r="AN150" s="7">
        <f>Table43[[#This Row],[ISI/CTN]]</f>
        <v>12</v>
      </c>
      <c r="AO150" s="61">
        <f>Table43[[#This Row],[Harga Jual Pcs GT
(-PPN)]]-(Table43[[#This Row],[Harga Jual Pcs GT
(-PPN)]]*6.5%)</f>
        <v>30929.8</v>
      </c>
      <c r="AP150" s="61">
        <f>Table43[[#This Row],[Harga Beli Pcs
(-PPN)]]*Table43[[#This Row],[ISI/CTN]]</f>
        <v>371157.6</v>
      </c>
      <c r="AQ150" s="61">
        <f>Table43[[#This Row],[Harga Beli Pcs
(-PPN)]]*1.11</f>
        <v>34332.078000000001</v>
      </c>
      <c r="AR150" s="61">
        <f>Table43[[#This Row],[Harga Beli Krt
(- PPN)]]*1.11</f>
        <v>411984.93599999999</v>
      </c>
      <c r="AS150" s="61">
        <v>33080</v>
      </c>
      <c r="AT150" s="61">
        <f>Table43[[#This Row],[Harga Jual Pcs GT
(-PPN)]]*Table43[[#This Row],[ISI/CTN]]</f>
        <v>396960</v>
      </c>
      <c r="AU150" s="61">
        <f>Table43[[#This Row],[Harga Jual Pcs GT
(-PPN)]]*1.11</f>
        <v>36718.800000000003</v>
      </c>
      <c r="AV150" s="61">
        <f>Table43[[#This Row],[Harga Jual Krt GT
(- PPN)]]*1.11</f>
        <v>440625.60000000003</v>
      </c>
      <c r="AW150" s="61">
        <f>IFERROR(VLOOKUP(Table43[[#This Row],[Kode Pcpl]],'[1]FEB 2026'!$A$3:$X$312,24,0),0)</f>
        <v>0</v>
      </c>
      <c r="AX150" s="61">
        <f>Table43[[#This Row],[Harga Jual Pcs MT
(-PPN)]]*Table43[[#This Row],[ISI/CTN]]</f>
        <v>0</v>
      </c>
      <c r="AY150" s="61">
        <f>Table43[[#This Row],[Harga Jual Pcs MT
(-PPN)]]*1.11</f>
        <v>0</v>
      </c>
      <c r="AZ150" s="61">
        <f>Table43[[#This Row],[Harga Jual Pcs MT
(+PPN)]]*Table43[[#This Row],[ISI/CTN]]</f>
        <v>0</v>
      </c>
      <c r="BA150" s="62">
        <f>(Table43[[#This Row],[Harga Jual Pcs GT
(-PPN)]]-Table43[[#This Row],[Harga Beli Pcs
(-PPN)]])/Table43[[#This Row],[Harga Jual Pcs GT
(-PPN)]]</f>
        <v>6.5000000000000016E-2</v>
      </c>
      <c r="BB150" s="63">
        <f>Table43[[#This Row],[Harga Jual Pcs MT
(-PPN)]]-Table43[[#This Row],[Harga Beli Pcs
(-PPN)]]</f>
        <v>-30929.8</v>
      </c>
      <c r="BC150" s="64" t="e">
        <f>Table43[[#This Row],[Column1]]/Table43[[#This Row],[Harga Jual Pcs MT
(-PPN)]]</f>
        <v>#DIV/0!</v>
      </c>
      <c r="BD150" s="52"/>
      <c r="BE150" s="7"/>
      <c r="BF150" s="7" t="str">
        <f ca="1">IF(TODAY()-Table43[[#This Row],[Efektif
Pembuatan]]&gt;60,"Lama","Baru")</f>
        <v>Lama</v>
      </c>
      <c r="BG150" s="7" t="str">
        <f ca="1">IF(TODAY()-Table43[[#This Row],[Efektif Naik Harga]]&lt;30,"Naik","Sama")</f>
        <v>Sama</v>
      </c>
      <c r="BH150" s="7"/>
      <c r="BI150" s="7" t="str">
        <f>IF(Table43[[#This Row],[Kode BARANG Win2]]&lt;&gt;"","IDR","")</f>
        <v>IDR</v>
      </c>
      <c r="BJ150" s="7" t="str">
        <f>CONCATENATE(Table43[[#This Row],[kode  1 Digit
(Nomor)]],Table43[[#This Row],[kode  4 Digit                (Nomor)]])</f>
        <v>0700</v>
      </c>
      <c r="BK150" s="7" t="str">
        <f>Table43[[#This Row],[Nama            Gramasi atau Jumlah Pack per CTN]]</f>
        <v>700ML</v>
      </c>
      <c r="BL150" s="7"/>
      <c r="BM150" s="7"/>
      <c r="BN150" s="4" t="str">
        <f>IF(Table43[[#This Row],[SATUAN Fix Win]]&lt;&gt;"","KRT")</f>
        <v>KRT</v>
      </c>
      <c r="BO150" s="4" t="str">
        <f>IF(Table43[[#This Row],[SATUAN Fix Win]]&lt;&gt;"","GD01")</f>
        <v>GD01</v>
      </c>
      <c r="BP150" s="4">
        <f>IF(Table43[[#This Row],[SATUAN Fix Win]]&lt;&gt;"",11611)</f>
        <v>11611</v>
      </c>
      <c r="BQ150" s="4">
        <f>IF(Table43[[#This Row],[SATUAN Fix Win]]&lt;&gt;"",11612)</f>
        <v>11612</v>
      </c>
      <c r="BS150" s="4">
        <f>IF(Table43[[#This Row],[SATUAN Fix Win]]&lt;&gt;"",1)</f>
        <v>1</v>
      </c>
      <c r="BU150" s="4">
        <f>Table43[[#This Row],[ISI/CTN]]</f>
        <v>12</v>
      </c>
    </row>
    <row r="151" spans="1:73">
      <c r="A151" s="4" t="str">
        <f>CONCATENATE(Table43[[#This Row],[Kode BARANG Win2]],Table43[[#This Row],[No. Urut
Item Sama]])</f>
        <v>G1075004070010</v>
      </c>
      <c r="B151" s="7"/>
      <c r="C151" s="31"/>
      <c r="D151" s="51">
        <v>40008192</v>
      </c>
      <c r="E151" s="27"/>
      <c r="F151" s="51"/>
      <c r="G151" s="51"/>
      <c r="H151" s="27"/>
      <c r="I151" s="27">
        <v>12</v>
      </c>
      <c r="J151" s="51" t="s">
        <v>1625</v>
      </c>
      <c r="K151" s="27" t="str">
        <f>Table43[[#This Row],[NamaJenisKemasan]]</f>
        <v>PCH</v>
      </c>
      <c r="L151" s="4" t="str">
        <f>TRIM(CONCATENATE(Table43[[#This Row],[Nama            KLP]]," ",Table43[[#This Row],[Nama            Sub KLP]]))</f>
        <v>HIT LIQUID</v>
      </c>
      <c r="M151" s="4" t="str">
        <f>CONCATENATE(Table43[[#This Row],[kode  2 Digit                (hrf+No)]],Table43[[#This Row],[kode  2 Digit                (Nomor)]],Table43[[#This Row],[kode  1 Digit                (Nomor)]])</f>
        <v>G1075</v>
      </c>
      <c r="N151" s="4" t="str">
        <f>IF(AI151="",CONCATENATE(S151,U151,W151,Y151,AA151,AC151,AE151,AG151,Table43[[#This Row],[Tanda Kode Revisi]]),CONCATENATE(S151,U151,W151,Y151,AA151,AC151,AE151,AI151))</f>
        <v>G1075004070010</v>
      </c>
      <c r="O151" s="11">
        <f>LEN(N151)</f>
        <v>14</v>
      </c>
      <c r="P151" s="14" t="str">
        <f>IF(AH151&lt;&gt;"",TRIM(UPPER(CONCATENATE(R151," ",T151," ",V151," ",X151," ",Z151," ",AB151," ","X"," ",Table43[[#This Row],[ISI/CTN]]," ",AH151," ",AD151," ",AF151," ",AJ151))),TRIM(UPPER(CONCATENATE(R151," ",T151," ",V151," ",X151," ",Z151," ",AB151," ","X"," ",Table43[[#This Row],[ISI/CTN]]," ",AD151," ",AF151," ",AJ151))))</f>
        <v>HIT LIQUID ORANGE 700ML X 12 PCH</v>
      </c>
      <c r="Q151" s="11">
        <f>LEN(P151)</f>
        <v>32</v>
      </c>
      <c r="S151" s="7" t="s">
        <v>34</v>
      </c>
      <c r="T151" s="4" t="s">
        <v>2242</v>
      </c>
      <c r="U151" s="47" t="s">
        <v>2544</v>
      </c>
      <c r="V151" s="48" t="s">
        <v>2277</v>
      </c>
      <c r="W151" s="7">
        <v>5</v>
      </c>
      <c r="X151" s="48"/>
      <c r="Y151" s="47" t="s">
        <v>1116</v>
      </c>
      <c r="Z151" s="4" t="s">
        <v>2251</v>
      </c>
      <c r="AA151" s="49" t="s">
        <v>2540</v>
      </c>
      <c r="AB151" s="4" t="s">
        <v>1114</v>
      </c>
      <c r="AC151" s="49" t="s">
        <v>2635</v>
      </c>
      <c r="AD151" s="4" t="s">
        <v>636</v>
      </c>
      <c r="AE151" s="7">
        <v>1</v>
      </c>
      <c r="AG151" s="7">
        <v>0</v>
      </c>
      <c r="AK151" s="70">
        <f>Table43[[#This Row],[Column4]]</f>
        <v>0</v>
      </c>
      <c r="AN151" s="7">
        <f>Table43[[#This Row],[ISI/CTN]]</f>
        <v>12</v>
      </c>
      <c r="AO151" s="61">
        <f>Table43[[#This Row],[Harga Jual Pcs GT
(-PPN)]]-(Table43[[#This Row],[Harga Jual Pcs GT
(-PPN)]]*6.5%)</f>
        <v>0</v>
      </c>
      <c r="AP151" s="61">
        <f>Table43[[#This Row],[Harga Beli Pcs
(-PPN)]]*Table43[[#This Row],[ISI/CTN]]</f>
        <v>0</v>
      </c>
      <c r="AQ151" s="61">
        <f>Table43[[#This Row],[Harga Beli Pcs
(-PPN)]]*1.11</f>
        <v>0</v>
      </c>
      <c r="AR151" s="61">
        <f>Table43[[#This Row],[Harga Beli Krt
(- PPN)]]*1.11</f>
        <v>0</v>
      </c>
      <c r="AS151" s="61"/>
      <c r="AT151" s="61">
        <f>Table43[[#This Row],[Harga Jual Pcs GT
(-PPN)]]*Table43[[#This Row],[ISI/CTN]]</f>
        <v>0</v>
      </c>
      <c r="AU151" s="61">
        <f>Table43[[#This Row],[Harga Jual Pcs GT
(-PPN)]]*1.11</f>
        <v>0</v>
      </c>
      <c r="AV151" s="61">
        <f>Table43[[#This Row],[Harga Jual Krt GT
(- PPN)]]*1.11</f>
        <v>0</v>
      </c>
      <c r="AW151" s="61">
        <f>IFERROR(VLOOKUP(Table43[[#This Row],[Kode Pcpl]],'[1]FEB 2026'!$A$3:$X$312,24,0),0)</f>
        <v>0</v>
      </c>
      <c r="AX151" s="61">
        <f>Table43[[#This Row],[Harga Jual Pcs MT
(-PPN)]]*Table43[[#This Row],[ISI/CTN]]</f>
        <v>0</v>
      </c>
      <c r="AY151" s="61">
        <f>Table43[[#This Row],[Harga Jual Pcs MT
(-PPN)]]*1.11</f>
        <v>0</v>
      </c>
      <c r="AZ151" s="61">
        <f>Table43[[#This Row],[Harga Jual Pcs MT
(+PPN)]]*Table43[[#This Row],[ISI/CTN]]</f>
        <v>0</v>
      </c>
      <c r="BA151" s="62" t="e">
        <f>(Table43[[#This Row],[Harga Jual Pcs GT
(-PPN)]]-Table43[[#This Row],[Harga Beli Pcs
(-PPN)]])/Table43[[#This Row],[Harga Jual Pcs GT
(-PPN)]]</f>
        <v>#DIV/0!</v>
      </c>
      <c r="BB151" s="63">
        <f>Table43[[#This Row],[Harga Jual Pcs MT
(-PPN)]]-Table43[[#This Row],[Harga Beli Pcs
(-PPN)]]</f>
        <v>0</v>
      </c>
      <c r="BC151" s="64" t="e">
        <f>Table43[[#This Row],[Column1]]/Table43[[#This Row],[Harga Jual Pcs MT
(-PPN)]]</f>
        <v>#DIV/0!</v>
      </c>
      <c r="BD151" s="52"/>
      <c r="BE151" s="7"/>
      <c r="BF151" s="7" t="str">
        <f ca="1">IF(TODAY()-Table43[[#This Row],[Efektif
Pembuatan]]&gt;60,"Lama","Baru")</f>
        <v>Lama</v>
      </c>
      <c r="BG151" s="7" t="str">
        <f ca="1">IF(TODAY()-Table43[[#This Row],[Efektif Naik Harga]]&lt;30,"Naik","Sama")</f>
        <v>Sama</v>
      </c>
      <c r="BH151" s="7"/>
      <c r="BI151" s="7" t="str">
        <f>IF(Table43[[#This Row],[Kode BARANG Win2]]&lt;&gt;"","IDR","")</f>
        <v>IDR</v>
      </c>
      <c r="BJ151" s="7" t="str">
        <f>CONCATENATE(Table43[[#This Row],[kode  1 Digit
(Nomor)]],Table43[[#This Row],[kode  4 Digit                (Nomor)]])</f>
        <v>0700</v>
      </c>
      <c r="BK151" s="7" t="str">
        <f>Table43[[#This Row],[Nama            Gramasi atau Jumlah Pack per CTN]]</f>
        <v>700ML</v>
      </c>
      <c r="BL151" s="7"/>
      <c r="BM151" s="7"/>
      <c r="BN151" s="4" t="str">
        <f>IF(Table43[[#This Row],[SATUAN Fix Win]]&lt;&gt;"","KRT")</f>
        <v>KRT</v>
      </c>
      <c r="BO151" s="4" t="str">
        <f>IF(Table43[[#This Row],[SATUAN Fix Win]]&lt;&gt;"","GD01")</f>
        <v>GD01</v>
      </c>
      <c r="BP151" s="4">
        <f>IF(Table43[[#This Row],[SATUAN Fix Win]]&lt;&gt;"",11611)</f>
        <v>11611</v>
      </c>
      <c r="BQ151" s="4">
        <f>IF(Table43[[#This Row],[SATUAN Fix Win]]&lt;&gt;"",11612)</f>
        <v>11612</v>
      </c>
      <c r="BS151" s="4">
        <f>IF(Table43[[#This Row],[SATUAN Fix Win]]&lt;&gt;"",1)</f>
        <v>1</v>
      </c>
      <c r="BU151" s="4">
        <f>Table43[[#This Row],[ISI/CTN]]</f>
        <v>12</v>
      </c>
    </row>
    <row r="152" spans="1:73">
      <c r="A152" s="4" t="str">
        <f>CONCATENATE(Table43[[#This Row],[Kode BARANG Win2]],Table43[[#This Row],[No. Urut
Item Sama]])</f>
        <v>G1076001000410</v>
      </c>
      <c r="B152" s="7"/>
      <c r="C152" s="31">
        <v>30110030004001</v>
      </c>
      <c r="D152" s="51">
        <v>40029541</v>
      </c>
      <c r="E152" s="66" t="s">
        <v>2477</v>
      </c>
      <c r="F152" s="68">
        <v>30110030004001</v>
      </c>
      <c r="G152" s="68">
        <v>0</v>
      </c>
      <c r="H152" s="27">
        <v>0</v>
      </c>
      <c r="I152" s="27">
        <v>576</v>
      </c>
      <c r="J152" s="51">
        <v>0</v>
      </c>
      <c r="K152" s="27" t="str">
        <f>Table43[[#This Row],[NamaJenisKemasan]]</f>
        <v>PCS</v>
      </c>
      <c r="L152" s="4" t="str">
        <f>TRIM(CONCATENATE(Table43[[#This Row],[Nama            KLP]]," ",Table43[[#This Row],[Nama            Sub KLP]]))</f>
        <v>HIT MAGIC</v>
      </c>
      <c r="M152" s="4" t="str">
        <f>CONCATENATE(Table43[[#This Row],[kode  2 Digit                (hrf+No)]],Table43[[#This Row],[kode  2 Digit                (Nomor)]],Table43[[#This Row],[kode  1 Digit                (Nomor)]])</f>
        <v>G1076</v>
      </c>
      <c r="N152" s="4" t="str">
        <f>IF(AI152="",CONCATENATE(S152,U152,W152,Y152,AA152,AC152,AE152,AG152,Table43[[#This Row],[Tanda Kode Revisi]]),CONCATENATE(S152,U152,W152,Y152,AA152,AC152,AE152,AI152))</f>
        <v>G1076001000410</v>
      </c>
      <c r="O152" s="11">
        <f t="shared" si="2"/>
        <v>14</v>
      </c>
      <c r="P152" s="14" t="str">
        <f>IF(AH152&lt;&gt;"",TRIM(UPPER(CONCATENATE(R152," ",T152," ",V152," ",X152," ",Z152," ",AB152," ","X"," ",Table43[[#This Row],[ISI/CTN]]," ",AH152," ",AD152," ",AF152," ",AJ152))),TRIM(UPPER(CONCATENATE(R152," ",T152," ",V152," ",X152," ",Z152," ",AB152," ","X"," ",Table43[[#This Row],[ISI/CTN]]," ",AD152," ",AF152," ",AJ152))))</f>
        <v>HIT MAGIC CLASSIC LILY BLOSSOM 4S X 576 PCS</v>
      </c>
      <c r="Q152" s="11">
        <f t="shared" si="3"/>
        <v>43</v>
      </c>
      <c r="S152" s="7" t="s">
        <v>34</v>
      </c>
      <c r="T152" s="4" t="s">
        <v>2242</v>
      </c>
      <c r="U152" s="47" t="s">
        <v>2544</v>
      </c>
      <c r="V152" s="48" t="s">
        <v>2278</v>
      </c>
      <c r="W152" s="7">
        <v>6</v>
      </c>
      <c r="X152" s="48"/>
      <c r="Y152" s="47" t="s">
        <v>1116</v>
      </c>
      <c r="Z152" s="4" t="s">
        <v>2280</v>
      </c>
      <c r="AA152" s="49" t="s">
        <v>1115</v>
      </c>
      <c r="AB152" s="4" t="s">
        <v>2286</v>
      </c>
      <c r="AC152" s="49" t="s">
        <v>2628</v>
      </c>
      <c r="AD152" s="4" t="s">
        <v>185</v>
      </c>
      <c r="AE152" s="7">
        <v>1</v>
      </c>
      <c r="AG152" s="7">
        <v>0</v>
      </c>
      <c r="AK152" s="70">
        <f>Table43[[#This Row],[Column4]]</f>
        <v>30110030004001</v>
      </c>
      <c r="AN152" s="7">
        <f>Table43[[#This Row],[ISI/CTN]]</f>
        <v>576</v>
      </c>
      <c r="AO152" s="38">
        <f>Table43[[#This Row],[Harga Jual Pcs GT
(-PPN)]]-(Table43[[#This Row],[Harga Jual Pcs GT
(-PPN)]]*6.5%)</f>
        <v>673.2</v>
      </c>
      <c r="AP152" s="38">
        <f>Table43[[#This Row],[Harga Beli Pcs
(-PPN)]]*Table43[[#This Row],[ISI/CTN]]</f>
        <v>387763.20000000001</v>
      </c>
      <c r="AQ152" s="38">
        <f>Table43[[#This Row],[Harga Beli Pcs
(-PPN)]]*1.11</f>
        <v>747.25200000000007</v>
      </c>
      <c r="AR152" s="38">
        <f>Table43[[#This Row],[Harga Beli Krt
(- PPN)]]*1.11</f>
        <v>430417.15200000006</v>
      </c>
      <c r="AS152" s="38">
        <v>720</v>
      </c>
      <c r="AT152" s="38">
        <f>Table43[[#This Row],[Harga Jual Pcs GT
(-PPN)]]*Table43[[#This Row],[ISI/CTN]]</f>
        <v>414720</v>
      </c>
      <c r="AU152" s="38">
        <f>Table43[[#This Row],[Harga Jual Pcs GT
(-PPN)]]*1.11</f>
        <v>799.2</v>
      </c>
      <c r="AV152" s="38">
        <f>Table43[[#This Row],[Harga Jual Krt GT
(- PPN)]]*1.11</f>
        <v>460339.20000000001</v>
      </c>
      <c r="AW152" s="38">
        <f>IFERROR(VLOOKUP(Table43[[#This Row],[Kode Pcpl]],'[1]FEB 2026'!$A$3:$X$312,24,0),0)</f>
        <v>0</v>
      </c>
      <c r="AX152" s="38">
        <f>Table43[[#This Row],[Harga Jual Pcs MT
(-PPN)]]*Table43[[#This Row],[ISI/CTN]]</f>
        <v>0</v>
      </c>
      <c r="AY152" s="38">
        <f>Table43[[#This Row],[Harga Jual Pcs MT
(-PPN)]]*1.11</f>
        <v>0</v>
      </c>
      <c r="AZ152" s="38">
        <f>Table43[[#This Row],[Harga Jual Pcs MT
(+PPN)]]*Table43[[#This Row],[ISI/CTN]]</f>
        <v>0</v>
      </c>
      <c r="BA152" s="46">
        <f>(Table43[[#This Row],[Harga Jual Pcs GT
(-PPN)]]-Table43[[#This Row],[Harga Beli Pcs
(-PPN)]])/Table43[[#This Row],[Harga Jual Pcs GT
(-PPN)]]</f>
        <v>6.4999999999999933E-2</v>
      </c>
      <c r="BB152" s="53">
        <f>Table43[[#This Row],[Harga Jual Pcs MT
(-PPN)]]-Table43[[#This Row],[Harga Beli Pcs
(-PPN)]]</f>
        <v>-673.2</v>
      </c>
      <c r="BC152" s="54" t="e">
        <f>Table43[[#This Row],[Column1]]/Table43[[#This Row],[Harga Jual Pcs MT
(-PPN)]]</f>
        <v>#DIV/0!</v>
      </c>
      <c r="BD152" s="52"/>
      <c r="BE152" s="7"/>
      <c r="BF152" s="7" t="str">
        <f ca="1">IF(TODAY()-Table43[[#This Row],[Efektif
Pembuatan]]&gt;60,"Lama","Baru")</f>
        <v>Lama</v>
      </c>
      <c r="BG152" s="7" t="str">
        <f ca="1">IF(TODAY()-Table43[[#This Row],[Efektif Naik Harga]]&lt;30,"Naik","Sama")</f>
        <v>Sama</v>
      </c>
      <c r="BH152" s="7"/>
      <c r="BI152" s="7" t="str">
        <f>IF(Table43[[#This Row],[Kode BARANG Win2]]&lt;&gt;"","IDR","")</f>
        <v>IDR</v>
      </c>
      <c r="BJ152" s="7" t="str">
        <f>CONCATENATE(Table43[[#This Row],[kode  1 Digit
(Nomor)]],Table43[[#This Row],[kode  4 Digit                (Nomor)]])</f>
        <v>0004</v>
      </c>
      <c r="BK152" s="7" t="str">
        <f>Table43[[#This Row],[Nama            Gramasi atau Jumlah Pack per CTN]]</f>
        <v>4S</v>
      </c>
      <c r="BL152" s="7"/>
      <c r="BM152" s="7"/>
      <c r="BN152" s="4" t="str">
        <f>IF(Table43[[#This Row],[SATUAN Fix Win]]&lt;&gt;"","KRT")</f>
        <v>KRT</v>
      </c>
      <c r="BO152" s="4" t="str">
        <f>IF(Table43[[#This Row],[SATUAN Fix Win]]&lt;&gt;"","GD01")</f>
        <v>GD01</v>
      </c>
      <c r="BP152" s="4">
        <f>IF(Table43[[#This Row],[SATUAN Fix Win]]&lt;&gt;"",11611)</f>
        <v>11611</v>
      </c>
      <c r="BQ152" s="4">
        <f>IF(Table43[[#This Row],[SATUAN Fix Win]]&lt;&gt;"",11612)</f>
        <v>11612</v>
      </c>
      <c r="BS152" s="4">
        <f>IF(Table43[[#This Row],[SATUAN Fix Win]]&lt;&gt;"",1)</f>
        <v>1</v>
      </c>
      <c r="BU152" s="4">
        <f>Table43[[#This Row],[ISI/CTN]]</f>
        <v>576</v>
      </c>
    </row>
    <row r="153" spans="1:73">
      <c r="A153" s="4" t="str">
        <f>CONCATENATE(Table43[[#This Row],[Kode BARANG Win2]],Table43[[#This Row],[No. Urut
Item Sama]])</f>
        <v>G1076002000410</v>
      </c>
      <c r="B153" s="7"/>
      <c r="C153" s="31">
        <v>30120010004002</v>
      </c>
      <c r="D153" s="51">
        <v>40043780</v>
      </c>
      <c r="E153" s="27" t="s">
        <v>1935</v>
      </c>
      <c r="F153" s="51">
        <v>30110010004001</v>
      </c>
      <c r="G153" s="51">
        <v>30110010004001</v>
      </c>
      <c r="H153" s="27" t="s">
        <v>1210</v>
      </c>
      <c r="I153" s="27">
        <v>576</v>
      </c>
      <c r="J153" s="51" t="s">
        <v>1626</v>
      </c>
      <c r="K153" s="27" t="str">
        <f>Table43[[#This Row],[NamaJenisKemasan]]</f>
        <v>PCS</v>
      </c>
      <c r="L153" s="4" t="str">
        <f>TRIM(CONCATENATE(Table43[[#This Row],[Nama            KLP]]," ",Table43[[#This Row],[Nama            Sub KLP]]))</f>
        <v>HIT MAGIC</v>
      </c>
      <c r="M153" s="4" t="str">
        <f>CONCATENATE(Table43[[#This Row],[kode  2 Digit                (hrf+No)]],Table43[[#This Row],[kode  2 Digit                (Nomor)]],Table43[[#This Row],[kode  1 Digit                (Nomor)]])</f>
        <v>G1076</v>
      </c>
      <c r="N153" s="4" t="str">
        <f>IF(AI153="",CONCATENATE(S153,U153,W153,Y153,AA153,AC153,AE153,AG153,Table43[[#This Row],[Tanda Kode Revisi]]),CONCATENATE(S153,U153,W153,Y153,AA153,AC153,AE153,AI153))</f>
        <v>G1076002000410</v>
      </c>
      <c r="O153" s="11">
        <f t="shared" ref="O153:O231" si="4">LEN(N153)</f>
        <v>14</v>
      </c>
      <c r="P153" s="14" t="str">
        <f>IF(AH153&lt;&gt;"",TRIM(UPPER(CONCATENATE(R153," ",T153," ",V153," ",X153," ",Z153," ",AB153," ","X"," ",Table43[[#This Row],[ISI/CTN]]," ",AH153," ",AD153," ",AF153," ",AJ153))),TRIM(UPPER(CONCATENATE(R153," ",T153," ",V153," ",X153," ",Z153," ",AB153," ","X"," ",Table43[[#This Row],[ISI/CTN]]," ",AD153," ",AF153," ",AJ153))))</f>
        <v>HIT MAGIC FLORAL 4S X 576 PCS</v>
      </c>
      <c r="Q153" s="11">
        <f t="shared" ref="Q153:Q231" si="5">LEN(P153)</f>
        <v>29</v>
      </c>
      <c r="S153" s="7" t="s">
        <v>34</v>
      </c>
      <c r="T153" s="4" t="s">
        <v>2242</v>
      </c>
      <c r="U153" s="47" t="s">
        <v>2544</v>
      </c>
      <c r="V153" s="48" t="s">
        <v>2278</v>
      </c>
      <c r="W153" s="7">
        <v>6</v>
      </c>
      <c r="X153" s="48"/>
      <c r="Y153" s="47" t="s">
        <v>1116</v>
      </c>
      <c r="Z153" s="4" t="s">
        <v>2232</v>
      </c>
      <c r="AA153" s="49" t="s">
        <v>2459</v>
      </c>
      <c r="AB153" s="4" t="s">
        <v>2286</v>
      </c>
      <c r="AC153" s="49" t="s">
        <v>2628</v>
      </c>
      <c r="AD153" s="4" t="s">
        <v>185</v>
      </c>
      <c r="AE153" s="7">
        <v>1</v>
      </c>
      <c r="AG153" s="7">
        <v>0</v>
      </c>
      <c r="AK153" s="70">
        <f>Table43[[#This Row],[Column4]]</f>
        <v>30110010004001</v>
      </c>
      <c r="AN153" s="7">
        <f>Table43[[#This Row],[ISI/CTN]]</f>
        <v>576</v>
      </c>
      <c r="AO153" s="61">
        <f>Table43[[#This Row],[Harga Jual Pcs GT
(-PPN)]]-(Table43[[#This Row],[Harga Jual Pcs GT
(-PPN)]]*6.5%)</f>
        <v>673.2</v>
      </c>
      <c r="AP153" s="61">
        <f>Table43[[#This Row],[Harga Beli Pcs
(-PPN)]]*Table43[[#This Row],[ISI/CTN]]</f>
        <v>387763.20000000001</v>
      </c>
      <c r="AQ153" s="61">
        <f>Table43[[#This Row],[Harga Beli Pcs
(-PPN)]]*1.11</f>
        <v>747.25200000000007</v>
      </c>
      <c r="AR153" s="61">
        <f>Table43[[#This Row],[Harga Beli Krt
(- PPN)]]*1.11</f>
        <v>430417.15200000006</v>
      </c>
      <c r="AS153" s="61">
        <v>720</v>
      </c>
      <c r="AT153" s="61">
        <f>Table43[[#This Row],[Harga Jual Pcs GT
(-PPN)]]*Table43[[#This Row],[ISI/CTN]]</f>
        <v>414720</v>
      </c>
      <c r="AU153" s="61">
        <f>Table43[[#This Row],[Harga Jual Pcs GT
(-PPN)]]*1.11</f>
        <v>799.2</v>
      </c>
      <c r="AV153" s="61">
        <f>Table43[[#This Row],[Harga Jual Krt GT
(- PPN)]]*1.11</f>
        <v>460339.20000000001</v>
      </c>
      <c r="AW153" s="61">
        <f>IFERROR(VLOOKUP(Table43[[#This Row],[Kode Pcpl]],'[1]FEB 2026'!$A$3:$X$312,24,0),0)</f>
        <v>0</v>
      </c>
      <c r="AX153" s="61">
        <f>Table43[[#This Row],[Harga Jual Pcs MT
(-PPN)]]*Table43[[#This Row],[ISI/CTN]]</f>
        <v>0</v>
      </c>
      <c r="AY153" s="61">
        <f>Table43[[#This Row],[Harga Jual Pcs MT
(-PPN)]]*1.11</f>
        <v>0</v>
      </c>
      <c r="AZ153" s="61">
        <f>Table43[[#This Row],[Harga Jual Pcs MT
(+PPN)]]*Table43[[#This Row],[ISI/CTN]]</f>
        <v>0</v>
      </c>
      <c r="BA153" s="62">
        <f>(Table43[[#This Row],[Harga Jual Pcs GT
(-PPN)]]-Table43[[#This Row],[Harga Beli Pcs
(-PPN)]])/Table43[[#This Row],[Harga Jual Pcs GT
(-PPN)]]</f>
        <v>6.4999999999999933E-2</v>
      </c>
      <c r="BB153" s="63">
        <f>Table43[[#This Row],[Harga Jual Pcs MT
(-PPN)]]-Table43[[#This Row],[Harga Beli Pcs
(-PPN)]]</f>
        <v>-673.2</v>
      </c>
      <c r="BC153" s="64" t="e">
        <f>Table43[[#This Row],[Column1]]/Table43[[#This Row],[Harga Jual Pcs MT
(-PPN)]]</f>
        <v>#DIV/0!</v>
      </c>
      <c r="BD153" s="52"/>
      <c r="BE153" s="7"/>
      <c r="BF153" s="7" t="str">
        <f ca="1">IF(TODAY()-Table43[[#This Row],[Efektif
Pembuatan]]&gt;60,"Lama","Baru")</f>
        <v>Lama</v>
      </c>
      <c r="BG153" s="7" t="str">
        <f ca="1">IF(TODAY()-Table43[[#This Row],[Efektif Naik Harga]]&lt;30,"Naik","Sama")</f>
        <v>Sama</v>
      </c>
      <c r="BH153" s="7"/>
      <c r="BI153" s="7" t="str">
        <f>IF(Table43[[#This Row],[Kode BARANG Win2]]&lt;&gt;"","IDR","")</f>
        <v>IDR</v>
      </c>
      <c r="BJ153" s="7" t="str">
        <f>CONCATENATE(Table43[[#This Row],[kode  1 Digit
(Nomor)]],Table43[[#This Row],[kode  4 Digit                (Nomor)]])</f>
        <v>0004</v>
      </c>
      <c r="BK153" s="7" t="str">
        <f>Table43[[#This Row],[Nama            Gramasi atau Jumlah Pack per CTN]]</f>
        <v>4S</v>
      </c>
      <c r="BL153" s="7"/>
      <c r="BM153" s="7"/>
      <c r="BN153" s="4" t="str">
        <f>IF(Table43[[#This Row],[SATUAN Fix Win]]&lt;&gt;"","KRT")</f>
        <v>KRT</v>
      </c>
      <c r="BO153" s="4" t="str">
        <f>IF(Table43[[#This Row],[SATUAN Fix Win]]&lt;&gt;"","GD01")</f>
        <v>GD01</v>
      </c>
      <c r="BP153" s="4">
        <f>IF(Table43[[#This Row],[SATUAN Fix Win]]&lt;&gt;"",11611)</f>
        <v>11611</v>
      </c>
      <c r="BQ153" s="4">
        <f>IF(Table43[[#This Row],[SATUAN Fix Win]]&lt;&gt;"",11612)</f>
        <v>11612</v>
      </c>
      <c r="BS153" s="4">
        <f>IF(Table43[[#This Row],[SATUAN Fix Win]]&lt;&gt;"",1)</f>
        <v>1</v>
      </c>
      <c r="BU153" s="4">
        <f>Table43[[#This Row],[ISI/CTN]]</f>
        <v>576</v>
      </c>
    </row>
    <row r="154" spans="1:73">
      <c r="A154" s="4" t="str">
        <f>CONCATENATE(Table43[[#This Row],[Kode BARANG Win2]],Table43[[#This Row],[No. Urut
Item Sama]])</f>
        <v>G1076002000410</v>
      </c>
      <c r="B154" s="7"/>
      <c r="C154" s="31"/>
      <c r="D154" s="51">
        <v>40031134</v>
      </c>
      <c r="E154" s="27"/>
      <c r="F154" s="51"/>
      <c r="G154" s="51"/>
      <c r="H154" s="27"/>
      <c r="I154" s="27">
        <v>576</v>
      </c>
      <c r="J154" s="51" t="s">
        <v>1626</v>
      </c>
      <c r="K154" s="27" t="str">
        <f>Table43[[#This Row],[NamaJenisKemasan]]</f>
        <v>PCS</v>
      </c>
      <c r="L154" s="4" t="str">
        <f>TRIM(CONCATENATE(Table43[[#This Row],[Nama            KLP]]," ",Table43[[#This Row],[Nama            Sub KLP]]))</f>
        <v>HIT MAGIC</v>
      </c>
      <c r="M154" s="4" t="str">
        <f>CONCATENATE(Table43[[#This Row],[kode  2 Digit                (hrf+No)]],Table43[[#This Row],[kode  2 Digit                (Nomor)]],Table43[[#This Row],[kode  1 Digit                (Nomor)]])</f>
        <v>G1076</v>
      </c>
      <c r="N154" s="4" t="str">
        <f>IF(AI154="",CONCATENATE(S154,U154,W154,Y154,AA154,AC154,AE154,AG154,Table43[[#This Row],[Tanda Kode Revisi]]),CONCATENATE(S154,U154,W154,Y154,AA154,AC154,AE154,AI154))</f>
        <v>G1076002000410</v>
      </c>
      <c r="O154" s="11">
        <f>LEN(N154)</f>
        <v>14</v>
      </c>
      <c r="P154" s="14" t="str">
        <f>IF(AH154&lt;&gt;"",TRIM(UPPER(CONCATENATE(R154," ",T154," ",V154," ",X154," ",Z154," ",AB154," ","X"," ",Table43[[#This Row],[ISI/CTN]]," ",AH154," ",AD154," ",AF154," ",AJ154))),TRIM(UPPER(CONCATENATE(R154," ",T154," ",V154," ",X154," ",Z154," ",AB154," ","X"," ",Table43[[#This Row],[ISI/CTN]]," ",AD154," ",AF154," ",AJ154))))</f>
        <v>HIT MAGIC FLORAL 4S X 576 PCS</v>
      </c>
      <c r="Q154" s="11">
        <f>LEN(P154)</f>
        <v>29</v>
      </c>
      <c r="S154" s="7" t="s">
        <v>34</v>
      </c>
      <c r="T154" s="4" t="s">
        <v>2242</v>
      </c>
      <c r="U154" s="47" t="s">
        <v>2544</v>
      </c>
      <c r="V154" s="48" t="s">
        <v>2278</v>
      </c>
      <c r="W154" s="7">
        <v>6</v>
      </c>
      <c r="X154" s="48"/>
      <c r="Y154" s="47" t="s">
        <v>1116</v>
      </c>
      <c r="Z154" s="4" t="s">
        <v>2232</v>
      </c>
      <c r="AA154" s="49" t="s">
        <v>2459</v>
      </c>
      <c r="AB154" s="4" t="s">
        <v>2286</v>
      </c>
      <c r="AC154" s="49" t="s">
        <v>2628</v>
      </c>
      <c r="AD154" s="4" t="s">
        <v>185</v>
      </c>
      <c r="AE154" s="7">
        <v>1</v>
      </c>
      <c r="AG154" s="7">
        <v>0</v>
      </c>
      <c r="AK154" s="70">
        <f>Table43[[#This Row],[Column4]]</f>
        <v>0</v>
      </c>
      <c r="AN154" s="7">
        <f>Table43[[#This Row],[ISI/CTN]]</f>
        <v>576</v>
      </c>
      <c r="AO154" s="61">
        <f>Table43[[#This Row],[Harga Jual Pcs GT
(-PPN)]]-(Table43[[#This Row],[Harga Jual Pcs GT
(-PPN)]]*6.5%)</f>
        <v>0</v>
      </c>
      <c r="AP154" s="61">
        <f>Table43[[#This Row],[Harga Beli Pcs
(-PPN)]]*Table43[[#This Row],[ISI/CTN]]</f>
        <v>0</v>
      </c>
      <c r="AQ154" s="61">
        <f>Table43[[#This Row],[Harga Beli Pcs
(-PPN)]]*1.11</f>
        <v>0</v>
      </c>
      <c r="AR154" s="61">
        <f>Table43[[#This Row],[Harga Beli Krt
(- PPN)]]*1.11</f>
        <v>0</v>
      </c>
      <c r="AS154" s="61"/>
      <c r="AT154" s="61">
        <f>Table43[[#This Row],[Harga Jual Pcs GT
(-PPN)]]*Table43[[#This Row],[ISI/CTN]]</f>
        <v>0</v>
      </c>
      <c r="AU154" s="61">
        <f>Table43[[#This Row],[Harga Jual Pcs GT
(-PPN)]]*1.11</f>
        <v>0</v>
      </c>
      <c r="AV154" s="61">
        <f>Table43[[#This Row],[Harga Jual Krt GT
(- PPN)]]*1.11</f>
        <v>0</v>
      </c>
      <c r="AW154" s="61">
        <f>IFERROR(VLOOKUP(Table43[[#This Row],[Kode Pcpl]],'[1]FEB 2026'!$A$3:$X$312,24,0),0)</f>
        <v>0</v>
      </c>
      <c r="AX154" s="61">
        <f>Table43[[#This Row],[Harga Jual Pcs MT
(-PPN)]]*Table43[[#This Row],[ISI/CTN]]</f>
        <v>0</v>
      </c>
      <c r="AY154" s="61">
        <f>Table43[[#This Row],[Harga Jual Pcs MT
(-PPN)]]*1.11</f>
        <v>0</v>
      </c>
      <c r="AZ154" s="61">
        <f>Table43[[#This Row],[Harga Jual Pcs MT
(+PPN)]]*Table43[[#This Row],[ISI/CTN]]</f>
        <v>0</v>
      </c>
      <c r="BA154" s="62" t="e">
        <f>(Table43[[#This Row],[Harga Jual Pcs GT
(-PPN)]]-Table43[[#This Row],[Harga Beli Pcs
(-PPN)]])/Table43[[#This Row],[Harga Jual Pcs GT
(-PPN)]]</f>
        <v>#DIV/0!</v>
      </c>
      <c r="BB154" s="63">
        <f>Table43[[#This Row],[Harga Jual Pcs MT
(-PPN)]]-Table43[[#This Row],[Harga Beli Pcs
(-PPN)]]</f>
        <v>0</v>
      </c>
      <c r="BC154" s="64" t="e">
        <f>Table43[[#This Row],[Column1]]/Table43[[#This Row],[Harga Jual Pcs MT
(-PPN)]]</f>
        <v>#DIV/0!</v>
      </c>
      <c r="BD154" s="52"/>
      <c r="BE154" s="7"/>
      <c r="BF154" s="7" t="str">
        <f ca="1">IF(TODAY()-Table43[[#This Row],[Efektif
Pembuatan]]&gt;60,"Lama","Baru")</f>
        <v>Lama</v>
      </c>
      <c r="BG154" s="7" t="str">
        <f ca="1">IF(TODAY()-Table43[[#This Row],[Efektif Naik Harga]]&lt;30,"Naik","Sama")</f>
        <v>Sama</v>
      </c>
      <c r="BH154" s="7"/>
      <c r="BI154" s="7" t="str">
        <f>IF(Table43[[#This Row],[Kode BARANG Win2]]&lt;&gt;"","IDR","")</f>
        <v>IDR</v>
      </c>
      <c r="BJ154" s="7" t="str">
        <f>CONCATENATE(Table43[[#This Row],[kode  1 Digit
(Nomor)]],Table43[[#This Row],[kode  4 Digit                (Nomor)]])</f>
        <v>0004</v>
      </c>
      <c r="BK154" s="7" t="str">
        <f>Table43[[#This Row],[Nama            Gramasi atau Jumlah Pack per CTN]]</f>
        <v>4S</v>
      </c>
      <c r="BL154" s="7"/>
      <c r="BM154" s="7"/>
      <c r="BN154" s="4" t="str">
        <f>IF(Table43[[#This Row],[SATUAN Fix Win]]&lt;&gt;"","KRT")</f>
        <v>KRT</v>
      </c>
      <c r="BO154" s="4" t="str">
        <f>IF(Table43[[#This Row],[SATUAN Fix Win]]&lt;&gt;"","GD01")</f>
        <v>GD01</v>
      </c>
      <c r="BP154" s="4">
        <f>IF(Table43[[#This Row],[SATUAN Fix Win]]&lt;&gt;"",11611)</f>
        <v>11611</v>
      </c>
      <c r="BQ154" s="4">
        <f>IF(Table43[[#This Row],[SATUAN Fix Win]]&lt;&gt;"",11612)</f>
        <v>11612</v>
      </c>
      <c r="BS154" s="4">
        <f>IF(Table43[[#This Row],[SATUAN Fix Win]]&lt;&gt;"",1)</f>
        <v>1</v>
      </c>
      <c r="BU154" s="4">
        <f>Table43[[#This Row],[ISI/CTN]]</f>
        <v>576</v>
      </c>
    </row>
    <row r="155" spans="1:73">
      <c r="A155" s="4" t="str">
        <f>CONCATENATE(Table43[[#This Row],[Kode BARANG Win2]],Table43[[#This Row],[No. Urut
Item Sama]])</f>
        <v>G1076002000410</v>
      </c>
      <c r="B155" s="7"/>
      <c r="C155" s="31">
        <v>30120010004002</v>
      </c>
      <c r="D155" s="59">
        <v>40023911</v>
      </c>
      <c r="E155" s="60"/>
      <c r="F155" s="59">
        <v>30110010004001</v>
      </c>
      <c r="G155" s="59"/>
      <c r="H155" s="60"/>
      <c r="I155" s="60">
        <v>576</v>
      </c>
      <c r="J155" s="59"/>
      <c r="K155" s="60" t="str">
        <f>Table43[[#This Row],[NamaJenisKemasan]]</f>
        <v>PCS</v>
      </c>
      <c r="L155" s="4" t="str">
        <f>TRIM(CONCATENATE(Table43[[#This Row],[Nama            KLP]]," ",Table43[[#This Row],[Nama            Sub KLP]]))</f>
        <v>HIT MAGIC</v>
      </c>
      <c r="M155" s="4" t="str">
        <f>CONCATENATE(Table43[[#This Row],[kode  2 Digit                (hrf+No)]],Table43[[#This Row],[kode  2 Digit                (Nomor)]],Table43[[#This Row],[kode  1 Digit                (Nomor)]])</f>
        <v>G1076</v>
      </c>
      <c r="N155" s="4" t="str">
        <f>IF(AI155="",CONCATENATE(S155,U155,W155,Y155,AA155,AC155,AE155,AG155,Table43[[#This Row],[Tanda Kode Revisi]]),CONCATENATE(S155,U155,W155,Y155,AA155,AC155,AE155,AI155))</f>
        <v>G1076002000410</v>
      </c>
      <c r="O155" s="11">
        <f t="shared" si="4"/>
        <v>14</v>
      </c>
      <c r="P155" s="14" t="str">
        <f>IF(AH155&lt;&gt;"",TRIM(UPPER(CONCATENATE(R155," ",T155," ",V155," ",X155," ",Z155," ",AB155," ","X"," ",Table43[[#This Row],[ISI/CTN]]," ",AH155," ",AD155," ",AF155," ",AJ155))),TRIM(UPPER(CONCATENATE(R155," ",T155," ",V155," ",X155," ",Z155," ",AB155," ","X"," ",Table43[[#This Row],[ISI/CTN]]," ",AD155," ",AF155," ",AJ155))))</f>
        <v>HIT MAGIC FLORAL 4S X 576 PCS</v>
      </c>
      <c r="Q155" s="11">
        <f t="shared" si="5"/>
        <v>29</v>
      </c>
      <c r="S155" s="7" t="s">
        <v>34</v>
      </c>
      <c r="T155" s="4" t="s">
        <v>2242</v>
      </c>
      <c r="U155" s="47" t="s">
        <v>2544</v>
      </c>
      <c r="V155" s="48" t="s">
        <v>2278</v>
      </c>
      <c r="W155" s="7">
        <v>6</v>
      </c>
      <c r="X155" s="48"/>
      <c r="Y155" s="47" t="s">
        <v>1116</v>
      </c>
      <c r="Z155" s="4" t="s">
        <v>2232</v>
      </c>
      <c r="AA155" s="49" t="s">
        <v>2459</v>
      </c>
      <c r="AB155" s="4" t="s">
        <v>2286</v>
      </c>
      <c r="AC155" s="49" t="s">
        <v>2628</v>
      </c>
      <c r="AD155" s="4" t="s">
        <v>185</v>
      </c>
      <c r="AE155" s="7">
        <v>1</v>
      </c>
      <c r="AG155" s="7">
        <v>0</v>
      </c>
      <c r="AK155" s="70">
        <f>Table43[[#This Row],[Column4]]</f>
        <v>30110010004001</v>
      </c>
      <c r="AN155" s="7">
        <f>Table43[[#This Row],[ISI/CTN]]</f>
        <v>576</v>
      </c>
      <c r="AO155" s="61">
        <f>Table43[[#This Row],[Harga Jual Pcs GT
(-PPN)]]-(Table43[[#This Row],[Harga Jual Pcs GT
(-PPN)]]*6.5%)</f>
        <v>673.2</v>
      </c>
      <c r="AP155" s="61">
        <f>Table43[[#This Row],[Harga Beli Pcs
(-PPN)]]*Table43[[#This Row],[ISI/CTN]]</f>
        <v>387763.20000000001</v>
      </c>
      <c r="AQ155" s="61">
        <f>Table43[[#This Row],[Harga Beli Pcs
(-PPN)]]*1.11</f>
        <v>747.25200000000007</v>
      </c>
      <c r="AR155" s="61">
        <f>Table43[[#This Row],[Harga Beli Krt
(- PPN)]]*1.11</f>
        <v>430417.15200000006</v>
      </c>
      <c r="AS155" s="61">
        <v>720</v>
      </c>
      <c r="AT155" s="61">
        <f>Table43[[#This Row],[Harga Jual Pcs GT
(-PPN)]]*Table43[[#This Row],[ISI/CTN]]</f>
        <v>414720</v>
      </c>
      <c r="AU155" s="61">
        <f>Table43[[#This Row],[Harga Jual Pcs GT
(-PPN)]]*1.11</f>
        <v>799.2</v>
      </c>
      <c r="AV155" s="61">
        <f>Table43[[#This Row],[Harga Jual Krt GT
(- PPN)]]*1.11</f>
        <v>460339.20000000001</v>
      </c>
      <c r="AW155" s="61">
        <f>IFERROR(VLOOKUP(Table43[[#This Row],[Kode Pcpl]],'[1]FEB 2026'!$A$3:$X$312,24,0),0)</f>
        <v>0</v>
      </c>
      <c r="AX155" s="61">
        <f>Table43[[#This Row],[Harga Jual Pcs MT
(-PPN)]]*Table43[[#This Row],[ISI/CTN]]</f>
        <v>0</v>
      </c>
      <c r="AY155" s="61">
        <f>Table43[[#This Row],[Harga Jual Pcs MT
(-PPN)]]*1.11</f>
        <v>0</v>
      </c>
      <c r="AZ155" s="61">
        <f>Table43[[#This Row],[Harga Jual Pcs MT
(+PPN)]]*Table43[[#This Row],[ISI/CTN]]</f>
        <v>0</v>
      </c>
      <c r="BA155" s="62">
        <f>(Table43[[#This Row],[Harga Jual Pcs GT
(-PPN)]]-Table43[[#This Row],[Harga Beli Pcs
(-PPN)]])/Table43[[#This Row],[Harga Jual Pcs GT
(-PPN)]]</f>
        <v>6.4999999999999933E-2</v>
      </c>
      <c r="BB155" s="63">
        <f>Table43[[#This Row],[Harga Jual Pcs MT
(-PPN)]]-Table43[[#This Row],[Harga Beli Pcs
(-PPN)]]</f>
        <v>-673.2</v>
      </c>
      <c r="BC155" s="64" t="e">
        <f>Table43[[#This Row],[Column1]]/Table43[[#This Row],[Harga Jual Pcs MT
(-PPN)]]</f>
        <v>#DIV/0!</v>
      </c>
      <c r="BD155" s="52"/>
      <c r="BE155" s="7"/>
      <c r="BF155" s="7" t="str">
        <f ca="1">IF(TODAY()-Table43[[#This Row],[Efektif
Pembuatan]]&gt;60,"Lama","Baru")</f>
        <v>Lama</v>
      </c>
      <c r="BG155" s="7" t="str">
        <f ca="1">IF(TODAY()-Table43[[#This Row],[Efektif Naik Harga]]&lt;30,"Naik","Sama")</f>
        <v>Sama</v>
      </c>
      <c r="BH155" s="7"/>
      <c r="BI155" s="7" t="str">
        <f>IF(Table43[[#This Row],[Kode BARANG Win2]]&lt;&gt;"","IDR","")</f>
        <v>IDR</v>
      </c>
      <c r="BJ155" s="7" t="str">
        <f>CONCATENATE(Table43[[#This Row],[kode  1 Digit
(Nomor)]],Table43[[#This Row],[kode  4 Digit                (Nomor)]])</f>
        <v>0004</v>
      </c>
      <c r="BK155" s="7" t="str">
        <f>Table43[[#This Row],[Nama            Gramasi atau Jumlah Pack per CTN]]</f>
        <v>4S</v>
      </c>
      <c r="BL155" s="7"/>
      <c r="BM155" s="7"/>
      <c r="BN155" s="4" t="str">
        <f>IF(Table43[[#This Row],[SATUAN Fix Win]]&lt;&gt;"","KRT")</f>
        <v>KRT</v>
      </c>
      <c r="BO155" s="4" t="str">
        <f>IF(Table43[[#This Row],[SATUAN Fix Win]]&lt;&gt;"","GD01")</f>
        <v>GD01</v>
      </c>
      <c r="BP155" s="4">
        <f>IF(Table43[[#This Row],[SATUAN Fix Win]]&lt;&gt;"",11611)</f>
        <v>11611</v>
      </c>
      <c r="BQ155" s="4">
        <f>IF(Table43[[#This Row],[SATUAN Fix Win]]&lt;&gt;"",11612)</f>
        <v>11612</v>
      </c>
      <c r="BS155" s="4">
        <f>IF(Table43[[#This Row],[SATUAN Fix Win]]&lt;&gt;"",1)</f>
        <v>1</v>
      </c>
      <c r="BU155" s="4">
        <f>Table43[[#This Row],[ISI/CTN]]</f>
        <v>576</v>
      </c>
    </row>
    <row r="156" spans="1:73">
      <c r="A156" s="4" t="str">
        <f>CONCATENATE(Table43[[#This Row],[Kode BARANG Win2]],Table43[[#This Row],[No. Urut
Item Sama]])</f>
        <v>G1076002001010</v>
      </c>
      <c r="B156" s="7"/>
      <c r="C156" s="31">
        <v>30110060010000</v>
      </c>
      <c r="D156" s="51">
        <v>40015298</v>
      </c>
      <c r="E156" s="66" t="s">
        <v>2478</v>
      </c>
      <c r="F156" s="69">
        <v>30110060010000</v>
      </c>
      <c r="G156" s="68">
        <v>0</v>
      </c>
      <c r="H156" s="27">
        <v>0</v>
      </c>
      <c r="I156" s="27">
        <v>144</v>
      </c>
      <c r="J156" s="51">
        <v>0</v>
      </c>
      <c r="K156" s="27" t="str">
        <f>Table43[[#This Row],[NamaJenisKemasan]]</f>
        <v>PCS</v>
      </c>
      <c r="L156" s="4" t="str">
        <f>TRIM(CONCATENATE(Table43[[#This Row],[Nama            KLP]]," ",Table43[[#This Row],[Nama            Sub KLP]]))</f>
        <v>HIT MAGIC</v>
      </c>
      <c r="M156" s="4" t="str">
        <f>CONCATENATE(Table43[[#This Row],[kode  2 Digit                (hrf+No)]],Table43[[#This Row],[kode  2 Digit                (Nomor)]],Table43[[#This Row],[kode  1 Digit                (Nomor)]])</f>
        <v>G1076</v>
      </c>
      <c r="N156" s="4" t="str">
        <f>IF(AI156="",CONCATENATE(S156,U156,W156,Y156,AA156,AC156,AE156,AG156,Table43[[#This Row],[Tanda Kode Revisi]]),CONCATENATE(S156,U156,W156,Y156,AA156,AC156,AE156,AI156))</f>
        <v>G1076002001010</v>
      </c>
      <c r="O156" s="11">
        <f t="shared" si="4"/>
        <v>14</v>
      </c>
      <c r="P156" s="14" t="str">
        <f>IF(AH156&lt;&gt;"",TRIM(UPPER(CONCATENATE(R156," ",T156," ",V156," ",X156," ",Z156," ",AB156," ","X"," ",Table43[[#This Row],[ISI/CTN]]," ",AH156," ",AD156," ",AF156," ",AJ156))),TRIM(UPPER(CONCATENATE(R156," ",T156," ",V156," ",X156," ",Z156," ",AB156," ","X"," ",Table43[[#This Row],[ISI/CTN]]," ",AD156," ",AF156," ",AJ156))))</f>
        <v>HIT MAGIC FLORAL 10S X 144 PCS</v>
      </c>
      <c r="Q156" s="11">
        <f t="shared" si="5"/>
        <v>30</v>
      </c>
      <c r="S156" s="7" t="s">
        <v>34</v>
      </c>
      <c r="T156" s="4" t="s">
        <v>2242</v>
      </c>
      <c r="U156" s="47" t="s">
        <v>2544</v>
      </c>
      <c r="V156" s="48" t="s">
        <v>2278</v>
      </c>
      <c r="W156" s="7">
        <v>6</v>
      </c>
      <c r="X156" s="48"/>
      <c r="Y156" s="47" t="s">
        <v>1116</v>
      </c>
      <c r="Z156" s="4" t="s">
        <v>2232</v>
      </c>
      <c r="AA156" s="49" t="s">
        <v>2459</v>
      </c>
      <c r="AB156" s="4" t="s">
        <v>2284</v>
      </c>
      <c r="AC156" s="49" t="s">
        <v>2592</v>
      </c>
      <c r="AD156" s="4" t="s">
        <v>185</v>
      </c>
      <c r="AE156" s="7">
        <v>1</v>
      </c>
      <c r="AG156" s="7">
        <v>0</v>
      </c>
      <c r="AK156" s="70">
        <f>Table43[[#This Row],[Column4]]</f>
        <v>30110060010000</v>
      </c>
      <c r="AN156" s="7">
        <f>Table43[[#This Row],[ISI/CTN]]</f>
        <v>144</v>
      </c>
      <c r="AO156" s="38">
        <f>Table43[[#This Row],[Harga Jual Pcs GT
(-PPN)]]-(Table43[[#This Row],[Harga Jual Pcs GT
(-PPN)]]*6.5%)</f>
        <v>1776.5</v>
      </c>
      <c r="AP156" s="38">
        <f>Table43[[#This Row],[Harga Beli Pcs
(-PPN)]]*Table43[[#This Row],[ISI/CTN]]</f>
        <v>255816</v>
      </c>
      <c r="AQ156" s="38">
        <f>Table43[[#This Row],[Harga Beli Pcs
(-PPN)]]*1.11</f>
        <v>1971.9150000000002</v>
      </c>
      <c r="AR156" s="38">
        <f>Table43[[#This Row],[Harga Beli Krt
(- PPN)]]*1.11</f>
        <v>283955.76</v>
      </c>
      <c r="AS156" s="38">
        <v>1900</v>
      </c>
      <c r="AT156" s="38">
        <f>Table43[[#This Row],[Harga Jual Pcs GT
(-PPN)]]*Table43[[#This Row],[ISI/CTN]]</f>
        <v>273600</v>
      </c>
      <c r="AU156" s="38">
        <f>Table43[[#This Row],[Harga Jual Pcs GT
(-PPN)]]*1.11</f>
        <v>2109</v>
      </c>
      <c r="AV156" s="38">
        <f>Table43[[#This Row],[Harga Jual Krt GT
(- PPN)]]*1.11</f>
        <v>303696</v>
      </c>
      <c r="AW156" s="38">
        <f>IFERROR(VLOOKUP(Table43[[#This Row],[Kode Pcpl]],'[1]FEB 2026'!$A$3:$X$312,24,0),0)</f>
        <v>0</v>
      </c>
      <c r="AX156" s="38">
        <f>Table43[[#This Row],[Harga Jual Pcs MT
(-PPN)]]*Table43[[#This Row],[ISI/CTN]]</f>
        <v>0</v>
      </c>
      <c r="AY156" s="38">
        <f>Table43[[#This Row],[Harga Jual Pcs MT
(-PPN)]]*1.11</f>
        <v>0</v>
      </c>
      <c r="AZ156" s="38">
        <f>Table43[[#This Row],[Harga Jual Pcs MT
(+PPN)]]*Table43[[#This Row],[ISI/CTN]]</f>
        <v>0</v>
      </c>
      <c r="BA156" s="46">
        <f>(Table43[[#This Row],[Harga Jual Pcs GT
(-PPN)]]-Table43[[#This Row],[Harga Beli Pcs
(-PPN)]])/Table43[[#This Row],[Harga Jual Pcs GT
(-PPN)]]</f>
        <v>6.5000000000000002E-2</v>
      </c>
      <c r="BB156" s="53">
        <f>Table43[[#This Row],[Harga Jual Pcs MT
(-PPN)]]-Table43[[#This Row],[Harga Beli Pcs
(-PPN)]]</f>
        <v>-1776.5</v>
      </c>
      <c r="BC156" s="54" t="e">
        <f>Table43[[#This Row],[Column1]]/Table43[[#This Row],[Harga Jual Pcs MT
(-PPN)]]</f>
        <v>#DIV/0!</v>
      </c>
      <c r="BD156" s="52"/>
      <c r="BE156" s="7"/>
      <c r="BF156" s="7" t="str">
        <f ca="1">IF(TODAY()-Table43[[#This Row],[Efektif
Pembuatan]]&gt;60,"Lama","Baru")</f>
        <v>Lama</v>
      </c>
      <c r="BG156" s="7" t="str">
        <f ca="1">IF(TODAY()-Table43[[#This Row],[Efektif Naik Harga]]&lt;30,"Naik","Sama")</f>
        <v>Sama</v>
      </c>
      <c r="BH156" s="7"/>
      <c r="BI156" s="7" t="str">
        <f>IF(Table43[[#This Row],[Kode BARANG Win2]]&lt;&gt;"","IDR","")</f>
        <v>IDR</v>
      </c>
      <c r="BJ156" s="7" t="str">
        <f>CONCATENATE(Table43[[#This Row],[kode  1 Digit
(Nomor)]],Table43[[#This Row],[kode  4 Digit                (Nomor)]])</f>
        <v>0010</v>
      </c>
      <c r="BK156" s="7" t="str">
        <f>Table43[[#This Row],[Nama            Gramasi atau Jumlah Pack per CTN]]</f>
        <v>10S</v>
      </c>
      <c r="BL156" s="7"/>
      <c r="BM156" s="7"/>
      <c r="BN156" s="4" t="str">
        <f>IF(Table43[[#This Row],[SATUAN Fix Win]]&lt;&gt;"","KRT")</f>
        <v>KRT</v>
      </c>
      <c r="BO156" s="4" t="str">
        <f>IF(Table43[[#This Row],[SATUAN Fix Win]]&lt;&gt;"","GD01")</f>
        <v>GD01</v>
      </c>
      <c r="BP156" s="4">
        <f>IF(Table43[[#This Row],[SATUAN Fix Win]]&lt;&gt;"",11611)</f>
        <v>11611</v>
      </c>
      <c r="BQ156" s="4">
        <f>IF(Table43[[#This Row],[SATUAN Fix Win]]&lt;&gt;"",11612)</f>
        <v>11612</v>
      </c>
      <c r="BS156" s="4">
        <f>IF(Table43[[#This Row],[SATUAN Fix Win]]&lt;&gt;"",1)</f>
        <v>1</v>
      </c>
      <c r="BU156" s="4">
        <f>Table43[[#This Row],[ISI/CTN]]</f>
        <v>144</v>
      </c>
    </row>
    <row r="157" spans="1:73">
      <c r="A157" s="4" t="str">
        <f>CONCATENATE(Table43[[#This Row],[Kode BARANG Win2]],Table43[[#This Row],[No. Urut
Item Sama]])</f>
        <v>G1076003000310</v>
      </c>
      <c r="B157" s="7"/>
      <c r="C157" s="31">
        <v>30110020003000</v>
      </c>
      <c r="D157" s="51">
        <v>40007576</v>
      </c>
      <c r="E157" s="66" t="s">
        <v>2476</v>
      </c>
      <c r="F157" s="68">
        <v>30110020003000</v>
      </c>
      <c r="G157" s="68">
        <v>0</v>
      </c>
      <c r="H157" s="27">
        <v>0</v>
      </c>
      <c r="I157" s="27">
        <v>576</v>
      </c>
      <c r="J157" s="51">
        <v>0</v>
      </c>
      <c r="K157" s="27" t="str">
        <f>Table43[[#This Row],[NamaJenisKemasan]]</f>
        <v>PCS</v>
      </c>
      <c r="L157" s="4" t="str">
        <f>TRIM(CONCATENATE(Table43[[#This Row],[Nama            KLP]]," ",Table43[[#This Row],[Nama            Sub KLP]]))</f>
        <v>HIT MAGIC</v>
      </c>
      <c r="M157" s="4" t="str">
        <f>CONCATENATE(Table43[[#This Row],[kode  2 Digit                (hrf+No)]],Table43[[#This Row],[kode  2 Digit                (Nomor)]],Table43[[#This Row],[kode  1 Digit                (Nomor)]])</f>
        <v>G1076</v>
      </c>
      <c r="N157" s="4" t="str">
        <f>IF(AI157="",CONCATENATE(S157,U157,W157,Y157,AA157,AC157,AE157,AG157,Table43[[#This Row],[Tanda Kode Revisi]]),CONCATENATE(S157,U157,W157,Y157,AA157,AC157,AE157,AI157))</f>
        <v>G1076003000310</v>
      </c>
      <c r="O157" s="11">
        <f t="shared" si="4"/>
        <v>14</v>
      </c>
      <c r="P157" s="14" t="str">
        <f>IF(AH157&lt;&gt;"",TRIM(UPPER(CONCATENATE(R157," ",T157," ",V157," ",X157," ",Z157," ",AB157," ","X"," ",Table43[[#This Row],[ISI/CTN]]," ",AH157," ",AD157," ",AF157," ",AJ157))),TRIM(UPPER(CONCATENATE(R157," ",T157," ",V157," ",X157," ",Z157," ",AB157," ","X"," ",Table43[[#This Row],[ISI/CTN]]," ",AD157," ",AF157," ",AJ157))))</f>
        <v>HIT MAGIC FRESH 3S X 576 PCS</v>
      </c>
      <c r="Q157" s="11">
        <f t="shared" si="5"/>
        <v>28</v>
      </c>
      <c r="S157" s="7" t="s">
        <v>34</v>
      </c>
      <c r="T157" s="4" t="s">
        <v>2242</v>
      </c>
      <c r="U157" s="47" t="s">
        <v>2544</v>
      </c>
      <c r="V157" s="48" t="s">
        <v>2278</v>
      </c>
      <c r="W157" s="7">
        <v>6</v>
      </c>
      <c r="X157" s="48"/>
      <c r="Y157" s="47" t="s">
        <v>1116</v>
      </c>
      <c r="Z157" s="4" t="s">
        <v>2233</v>
      </c>
      <c r="AA157" s="49" t="s">
        <v>2538</v>
      </c>
      <c r="AB157" s="4" t="s">
        <v>2257</v>
      </c>
      <c r="AC157" s="49" t="s">
        <v>2623</v>
      </c>
      <c r="AD157" s="4" t="s">
        <v>185</v>
      </c>
      <c r="AE157" s="7">
        <v>1</v>
      </c>
      <c r="AG157" s="7">
        <v>0</v>
      </c>
      <c r="AK157" s="70">
        <f>Table43[[#This Row],[Column4]]</f>
        <v>30110020003000</v>
      </c>
      <c r="AN157" s="7">
        <f>Table43[[#This Row],[ISI/CTN]]</f>
        <v>576</v>
      </c>
      <c r="AO157" s="38">
        <f>Table43[[#This Row],[Harga Jual Pcs GT
(-PPN)]]-(Table43[[#This Row],[Harga Jual Pcs GT
(-PPN)]]*6.5%)</f>
        <v>317.89999999999998</v>
      </c>
      <c r="AP157" s="38">
        <f>Table43[[#This Row],[Harga Beli Pcs
(-PPN)]]*Table43[[#This Row],[ISI/CTN]]</f>
        <v>183110.39999999999</v>
      </c>
      <c r="AQ157" s="38">
        <f>Table43[[#This Row],[Harga Beli Pcs
(-PPN)]]*1.11</f>
        <v>352.86900000000003</v>
      </c>
      <c r="AR157" s="38">
        <f>Table43[[#This Row],[Harga Beli Krt
(- PPN)]]*1.11</f>
        <v>203252.54400000002</v>
      </c>
      <c r="AS157" s="38">
        <v>340</v>
      </c>
      <c r="AT157" s="38">
        <f>Table43[[#This Row],[Harga Jual Pcs GT
(-PPN)]]*Table43[[#This Row],[ISI/CTN]]</f>
        <v>195840</v>
      </c>
      <c r="AU157" s="38">
        <f>Table43[[#This Row],[Harga Jual Pcs GT
(-PPN)]]*1.11</f>
        <v>377.40000000000003</v>
      </c>
      <c r="AV157" s="38">
        <f>Table43[[#This Row],[Harga Jual Krt GT
(- PPN)]]*1.11</f>
        <v>217382.40000000002</v>
      </c>
      <c r="AW157" s="38">
        <f>IFERROR(VLOOKUP(Table43[[#This Row],[Kode Pcpl]],'[1]FEB 2026'!$A$3:$X$312,24,0),0)</f>
        <v>0</v>
      </c>
      <c r="AX157" s="38">
        <f>Table43[[#This Row],[Harga Jual Pcs MT
(-PPN)]]*Table43[[#This Row],[ISI/CTN]]</f>
        <v>0</v>
      </c>
      <c r="AY157" s="38">
        <f>Table43[[#This Row],[Harga Jual Pcs MT
(-PPN)]]*1.11</f>
        <v>0</v>
      </c>
      <c r="AZ157" s="38">
        <f>Table43[[#This Row],[Harga Jual Pcs MT
(+PPN)]]*Table43[[#This Row],[ISI/CTN]]</f>
        <v>0</v>
      </c>
      <c r="BA157" s="46">
        <f>(Table43[[#This Row],[Harga Jual Pcs GT
(-PPN)]]-Table43[[#This Row],[Harga Beli Pcs
(-PPN)]])/Table43[[#This Row],[Harga Jual Pcs GT
(-PPN)]]</f>
        <v>6.5000000000000072E-2</v>
      </c>
      <c r="BB157" s="53">
        <f>Table43[[#This Row],[Harga Jual Pcs MT
(-PPN)]]-Table43[[#This Row],[Harga Beli Pcs
(-PPN)]]</f>
        <v>-317.89999999999998</v>
      </c>
      <c r="BC157" s="54" t="e">
        <f>Table43[[#This Row],[Column1]]/Table43[[#This Row],[Harga Jual Pcs MT
(-PPN)]]</f>
        <v>#DIV/0!</v>
      </c>
      <c r="BD157" s="52"/>
      <c r="BE157" s="7"/>
      <c r="BF157" s="7" t="str">
        <f ca="1">IF(TODAY()-Table43[[#This Row],[Efektif
Pembuatan]]&gt;60,"Lama","Baru")</f>
        <v>Lama</v>
      </c>
      <c r="BG157" s="7" t="str">
        <f ca="1">IF(TODAY()-Table43[[#This Row],[Efektif Naik Harga]]&lt;30,"Naik","Sama")</f>
        <v>Sama</v>
      </c>
      <c r="BH157" s="7"/>
      <c r="BI157" s="7" t="str">
        <f>IF(Table43[[#This Row],[Kode BARANG Win2]]&lt;&gt;"","IDR","")</f>
        <v>IDR</v>
      </c>
      <c r="BJ157" s="7" t="str">
        <f>CONCATENATE(Table43[[#This Row],[kode  1 Digit
(Nomor)]],Table43[[#This Row],[kode  4 Digit                (Nomor)]])</f>
        <v>0003</v>
      </c>
      <c r="BK157" s="7" t="str">
        <f>Table43[[#This Row],[Nama            Gramasi atau Jumlah Pack per CTN]]</f>
        <v>3S</v>
      </c>
      <c r="BL157" s="7"/>
      <c r="BM157" s="7"/>
      <c r="BN157" s="4" t="str">
        <f>IF(Table43[[#This Row],[SATUAN Fix Win]]&lt;&gt;"","KRT")</f>
        <v>KRT</v>
      </c>
      <c r="BO157" s="4" t="str">
        <f>IF(Table43[[#This Row],[SATUAN Fix Win]]&lt;&gt;"","GD01")</f>
        <v>GD01</v>
      </c>
      <c r="BP157" s="4">
        <f>IF(Table43[[#This Row],[SATUAN Fix Win]]&lt;&gt;"",11611)</f>
        <v>11611</v>
      </c>
      <c r="BQ157" s="4">
        <f>IF(Table43[[#This Row],[SATUAN Fix Win]]&lt;&gt;"",11612)</f>
        <v>11612</v>
      </c>
      <c r="BS157" s="4">
        <f>IF(Table43[[#This Row],[SATUAN Fix Win]]&lt;&gt;"",1)</f>
        <v>1</v>
      </c>
      <c r="BU157" s="4">
        <f>Table43[[#This Row],[ISI/CTN]]</f>
        <v>576</v>
      </c>
    </row>
    <row r="158" spans="1:73">
      <c r="A158" s="4" t="str">
        <f>CONCATENATE(Table43[[#This Row],[Kode BARANG Win2]],Table43[[#This Row],[No. Urut
Item Sama]])</f>
        <v>G1076003000411</v>
      </c>
      <c r="B158" s="7"/>
      <c r="C158" s="31">
        <v>30120010018003</v>
      </c>
      <c r="D158" s="51">
        <v>40043781</v>
      </c>
      <c r="E158" s="27" t="s">
        <v>1936</v>
      </c>
      <c r="F158" s="51">
        <v>30110020004001</v>
      </c>
      <c r="G158" s="51">
        <v>30110020004001</v>
      </c>
      <c r="H158" s="27" t="s">
        <v>1211</v>
      </c>
      <c r="I158" s="27">
        <v>576</v>
      </c>
      <c r="J158" s="51" t="s">
        <v>1627</v>
      </c>
      <c r="K158" s="27" t="str">
        <f>Table43[[#This Row],[NamaJenisKemasan]]</f>
        <v>PCS</v>
      </c>
      <c r="L158" s="4" t="str">
        <f>TRIM(CONCATENATE(Table43[[#This Row],[Nama            KLP]]," ",Table43[[#This Row],[Nama            Sub KLP]]))</f>
        <v>HIT MAGIC</v>
      </c>
      <c r="M158" s="4" t="str">
        <f>CONCATENATE(Table43[[#This Row],[kode  2 Digit                (hrf+No)]],Table43[[#This Row],[kode  2 Digit                (Nomor)]],Table43[[#This Row],[kode  1 Digit                (Nomor)]])</f>
        <v>G1076</v>
      </c>
      <c r="N158" s="4" t="str">
        <f>IF(AI158="",CONCATENATE(S158,U158,W158,Y158,AA158,AC158,AE158,AG158,Table43[[#This Row],[Tanda Kode Revisi]]),CONCATENATE(S158,U158,W158,Y158,AA158,AC158,AE158,AI158))</f>
        <v>G1076003000411</v>
      </c>
      <c r="O158" s="11">
        <f t="shared" si="4"/>
        <v>14</v>
      </c>
      <c r="P158" s="14" t="str">
        <f>IF(AH158&lt;&gt;"",TRIM(UPPER(CONCATENATE(R158," ",T158," ",V158," ",X158," ",Z158," ",AB158," ","X"," ",Table43[[#This Row],[ISI/CTN]]," ",AH158," ",AD158," ",AF158," ",AJ158))),TRIM(UPPER(CONCATENATE(R158," ",T158," ",V158," ",X158," ",Z158," ",AB158," ","X"," ",Table43[[#This Row],[ISI/CTN]]," ",AD158," ",AF158," ",AJ158))))</f>
        <v>HIT MAGIC FRESH 4S X 576 PCS 12+1</v>
      </c>
      <c r="Q158" s="11">
        <f t="shared" si="5"/>
        <v>33</v>
      </c>
      <c r="S158" s="7" t="s">
        <v>34</v>
      </c>
      <c r="T158" s="4" t="s">
        <v>2242</v>
      </c>
      <c r="U158" s="47" t="s">
        <v>2544</v>
      </c>
      <c r="V158" s="48" t="s">
        <v>2278</v>
      </c>
      <c r="W158" s="7">
        <v>6</v>
      </c>
      <c r="X158" s="48"/>
      <c r="Y158" s="47" t="s">
        <v>1116</v>
      </c>
      <c r="Z158" s="4" t="s">
        <v>2233</v>
      </c>
      <c r="AA158" s="49" t="s">
        <v>2538</v>
      </c>
      <c r="AB158" s="4" t="s">
        <v>2286</v>
      </c>
      <c r="AC158" s="49" t="s">
        <v>2628</v>
      </c>
      <c r="AD158" s="4" t="s">
        <v>185</v>
      </c>
      <c r="AE158" s="7">
        <v>1</v>
      </c>
      <c r="AF158" s="4" t="s">
        <v>2285</v>
      </c>
      <c r="AG158" s="7">
        <v>1</v>
      </c>
      <c r="AK158" s="70">
        <f>Table43[[#This Row],[Column4]]</f>
        <v>30110020004001</v>
      </c>
      <c r="AN158" s="7">
        <f>Table43[[#This Row],[ISI/CTN]]</f>
        <v>576</v>
      </c>
      <c r="AO158" s="61">
        <f>Table43[[#This Row],[Harga Jual Pcs GT
(-PPN)]]-(Table43[[#This Row],[Harga Jual Pcs GT
(-PPN)]]*6.5%)</f>
        <v>673.2</v>
      </c>
      <c r="AP158" s="61">
        <f>Table43[[#This Row],[Harga Beli Pcs
(-PPN)]]*Table43[[#This Row],[ISI/CTN]]</f>
        <v>387763.20000000001</v>
      </c>
      <c r="AQ158" s="61">
        <f>Table43[[#This Row],[Harga Beli Pcs
(-PPN)]]*1.11</f>
        <v>747.25200000000007</v>
      </c>
      <c r="AR158" s="61">
        <f>Table43[[#This Row],[Harga Beli Krt
(- PPN)]]*1.11</f>
        <v>430417.15200000006</v>
      </c>
      <c r="AS158" s="61">
        <v>720</v>
      </c>
      <c r="AT158" s="61">
        <f>Table43[[#This Row],[Harga Jual Pcs GT
(-PPN)]]*Table43[[#This Row],[ISI/CTN]]</f>
        <v>414720</v>
      </c>
      <c r="AU158" s="61">
        <f>Table43[[#This Row],[Harga Jual Pcs GT
(-PPN)]]*1.11</f>
        <v>799.2</v>
      </c>
      <c r="AV158" s="61">
        <f>Table43[[#This Row],[Harga Jual Krt GT
(- PPN)]]*1.11</f>
        <v>460339.20000000001</v>
      </c>
      <c r="AW158" s="61">
        <f>IFERROR(VLOOKUP(Table43[[#This Row],[Kode Pcpl]],'[1]FEB 2026'!$A$3:$X$312,24,0),0)</f>
        <v>0</v>
      </c>
      <c r="AX158" s="61">
        <f>Table43[[#This Row],[Harga Jual Pcs MT
(-PPN)]]*Table43[[#This Row],[ISI/CTN]]</f>
        <v>0</v>
      </c>
      <c r="AY158" s="61">
        <f>Table43[[#This Row],[Harga Jual Pcs MT
(-PPN)]]*1.11</f>
        <v>0</v>
      </c>
      <c r="AZ158" s="61">
        <f>Table43[[#This Row],[Harga Jual Pcs MT
(+PPN)]]*Table43[[#This Row],[ISI/CTN]]</f>
        <v>0</v>
      </c>
      <c r="BA158" s="62">
        <f>(Table43[[#This Row],[Harga Jual Pcs GT
(-PPN)]]-Table43[[#This Row],[Harga Beli Pcs
(-PPN)]])/Table43[[#This Row],[Harga Jual Pcs GT
(-PPN)]]</f>
        <v>6.4999999999999933E-2</v>
      </c>
      <c r="BB158" s="63">
        <f>Table43[[#This Row],[Harga Jual Pcs MT
(-PPN)]]-Table43[[#This Row],[Harga Beli Pcs
(-PPN)]]</f>
        <v>-673.2</v>
      </c>
      <c r="BC158" s="64" t="e">
        <f>Table43[[#This Row],[Column1]]/Table43[[#This Row],[Harga Jual Pcs MT
(-PPN)]]</f>
        <v>#DIV/0!</v>
      </c>
      <c r="BD158" s="52"/>
      <c r="BE158" s="7"/>
      <c r="BF158" s="7" t="str">
        <f ca="1">IF(TODAY()-Table43[[#This Row],[Efektif
Pembuatan]]&gt;60,"Lama","Baru")</f>
        <v>Lama</v>
      </c>
      <c r="BG158" s="7" t="str">
        <f ca="1">IF(TODAY()-Table43[[#This Row],[Efektif Naik Harga]]&lt;30,"Naik","Sama")</f>
        <v>Sama</v>
      </c>
      <c r="BH158" s="7"/>
      <c r="BI158" s="7" t="str">
        <f>IF(Table43[[#This Row],[Kode BARANG Win2]]&lt;&gt;"","IDR","")</f>
        <v>IDR</v>
      </c>
      <c r="BJ158" s="7" t="str">
        <f>CONCATENATE(Table43[[#This Row],[kode  1 Digit
(Nomor)]],Table43[[#This Row],[kode  4 Digit                (Nomor)]])</f>
        <v>0004</v>
      </c>
      <c r="BK158" s="7" t="str">
        <f>Table43[[#This Row],[Nama            Gramasi atau Jumlah Pack per CTN]]</f>
        <v>4S</v>
      </c>
      <c r="BL158" s="7"/>
      <c r="BM158" s="7"/>
      <c r="BN158" s="4" t="str">
        <f>IF(Table43[[#This Row],[SATUAN Fix Win]]&lt;&gt;"","KRT")</f>
        <v>KRT</v>
      </c>
      <c r="BO158" s="4" t="str">
        <f>IF(Table43[[#This Row],[SATUAN Fix Win]]&lt;&gt;"","GD01")</f>
        <v>GD01</v>
      </c>
      <c r="BP158" s="4">
        <f>IF(Table43[[#This Row],[SATUAN Fix Win]]&lt;&gt;"",11611)</f>
        <v>11611</v>
      </c>
      <c r="BQ158" s="4">
        <f>IF(Table43[[#This Row],[SATUAN Fix Win]]&lt;&gt;"",11612)</f>
        <v>11612</v>
      </c>
      <c r="BS158" s="4">
        <f>IF(Table43[[#This Row],[SATUAN Fix Win]]&lt;&gt;"",1)</f>
        <v>1</v>
      </c>
      <c r="BU158" s="4">
        <f>Table43[[#This Row],[ISI/CTN]]</f>
        <v>576</v>
      </c>
    </row>
    <row r="159" spans="1:73">
      <c r="A159" s="4" t="str">
        <f>CONCATENATE(Table43[[#This Row],[Kode BARANG Win2]],Table43[[#This Row],[No. Urut
Item Sama]])</f>
        <v>G1076003000411</v>
      </c>
      <c r="B159" s="7"/>
      <c r="C159" s="31"/>
      <c r="D159" s="51">
        <v>40031155</v>
      </c>
      <c r="E159" s="27"/>
      <c r="F159" s="51"/>
      <c r="G159" s="51"/>
      <c r="H159" s="27"/>
      <c r="I159" s="27">
        <v>576</v>
      </c>
      <c r="J159" s="51" t="s">
        <v>1627</v>
      </c>
      <c r="K159" s="27" t="str">
        <f>Table43[[#This Row],[NamaJenisKemasan]]</f>
        <v>PCS</v>
      </c>
      <c r="L159" s="4" t="str">
        <f>TRIM(CONCATENATE(Table43[[#This Row],[Nama            KLP]]," ",Table43[[#This Row],[Nama            Sub KLP]]))</f>
        <v>HIT MAGIC</v>
      </c>
      <c r="M159" s="4" t="str">
        <f>CONCATENATE(Table43[[#This Row],[kode  2 Digit                (hrf+No)]],Table43[[#This Row],[kode  2 Digit                (Nomor)]],Table43[[#This Row],[kode  1 Digit                (Nomor)]])</f>
        <v>G1076</v>
      </c>
      <c r="N159" s="4" t="str">
        <f>IF(AI159="",CONCATENATE(S159,U159,W159,Y159,AA159,AC159,AE159,AG159,Table43[[#This Row],[Tanda Kode Revisi]]),CONCATENATE(S159,U159,W159,Y159,AA159,AC159,AE159,AI159))</f>
        <v>G1076003000411</v>
      </c>
      <c r="O159" s="11">
        <f>LEN(N159)</f>
        <v>14</v>
      </c>
      <c r="P159" s="14" t="str">
        <f>IF(AH159&lt;&gt;"",TRIM(UPPER(CONCATENATE(R159," ",T159," ",V159," ",X159," ",Z159," ",AB159," ","X"," ",Table43[[#This Row],[ISI/CTN]]," ",AH159," ",AD159," ",AF159," ",AJ159))),TRIM(UPPER(CONCATENATE(R159," ",T159," ",V159," ",X159," ",Z159," ",AB159," ","X"," ",Table43[[#This Row],[ISI/CTN]]," ",AD159," ",AF159," ",AJ159))))</f>
        <v>HIT MAGIC FRESH 4S X 576 PCS 12+1</v>
      </c>
      <c r="Q159" s="11">
        <f>LEN(P159)</f>
        <v>33</v>
      </c>
      <c r="S159" s="7" t="s">
        <v>34</v>
      </c>
      <c r="T159" s="4" t="s">
        <v>2242</v>
      </c>
      <c r="U159" s="47" t="s">
        <v>2544</v>
      </c>
      <c r="V159" s="48" t="s">
        <v>2278</v>
      </c>
      <c r="W159" s="7">
        <v>6</v>
      </c>
      <c r="X159" s="48"/>
      <c r="Y159" s="47" t="s">
        <v>1116</v>
      </c>
      <c r="Z159" s="4" t="s">
        <v>2233</v>
      </c>
      <c r="AA159" s="49" t="s">
        <v>2538</v>
      </c>
      <c r="AB159" s="4" t="s">
        <v>2286</v>
      </c>
      <c r="AC159" s="49" t="s">
        <v>2628</v>
      </c>
      <c r="AD159" s="4" t="s">
        <v>185</v>
      </c>
      <c r="AE159" s="7">
        <v>1</v>
      </c>
      <c r="AF159" s="4" t="s">
        <v>2285</v>
      </c>
      <c r="AG159" s="7">
        <v>1</v>
      </c>
      <c r="AK159" s="70">
        <f>Table43[[#This Row],[Column4]]</f>
        <v>0</v>
      </c>
      <c r="AN159" s="7">
        <f>Table43[[#This Row],[ISI/CTN]]</f>
        <v>576</v>
      </c>
      <c r="AO159" s="61">
        <f>Table43[[#This Row],[Harga Jual Pcs GT
(-PPN)]]-(Table43[[#This Row],[Harga Jual Pcs GT
(-PPN)]]*6.5%)</f>
        <v>0</v>
      </c>
      <c r="AP159" s="61">
        <f>Table43[[#This Row],[Harga Beli Pcs
(-PPN)]]*Table43[[#This Row],[ISI/CTN]]</f>
        <v>0</v>
      </c>
      <c r="AQ159" s="61">
        <f>Table43[[#This Row],[Harga Beli Pcs
(-PPN)]]*1.11</f>
        <v>0</v>
      </c>
      <c r="AR159" s="61">
        <f>Table43[[#This Row],[Harga Beli Krt
(- PPN)]]*1.11</f>
        <v>0</v>
      </c>
      <c r="AS159" s="61"/>
      <c r="AT159" s="61">
        <f>Table43[[#This Row],[Harga Jual Pcs GT
(-PPN)]]*Table43[[#This Row],[ISI/CTN]]</f>
        <v>0</v>
      </c>
      <c r="AU159" s="61">
        <f>Table43[[#This Row],[Harga Jual Pcs GT
(-PPN)]]*1.11</f>
        <v>0</v>
      </c>
      <c r="AV159" s="61">
        <f>Table43[[#This Row],[Harga Jual Krt GT
(- PPN)]]*1.11</f>
        <v>0</v>
      </c>
      <c r="AW159" s="61">
        <f>IFERROR(VLOOKUP(Table43[[#This Row],[Kode Pcpl]],'[1]FEB 2026'!$A$3:$X$312,24,0),0)</f>
        <v>0</v>
      </c>
      <c r="AX159" s="61">
        <f>Table43[[#This Row],[Harga Jual Pcs MT
(-PPN)]]*Table43[[#This Row],[ISI/CTN]]</f>
        <v>0</v>
      </c>
      <c r="AY159" s="61">
        <f>Table43[[#This Row],[Harga Jual Pcs MT
(-PPN)]]*1.11</f>
        <v>0</v>
      </c>
      <c r="AZ159" s="61">
        <f>Table43[[#This Row],[Harga Jual Pcs MT
(+PPN)]]*Table43[[#This Row],[ISI/CTN]]</f>
        <v>0</v>
      </c>
      <c r="BA159" s="62" t="e">
        <f>(Table43[[#This Row],[Harga Jual Pcs GT
(-PPN)]]-Table43[[#This Row],[Harga Beli Pcs
(-PPN)]])/Table43[[#This Row],[Harga Jual Pcs GT
(-PPN)]]</f>
        <v>#DIV/0!</v>
      </c>
      <c r="BB159" s="63">
        <f>Table43[[#This Row],[Harga Jual Pcs MT
(-PPN)]]-Table43[[#This Row],[Harga Beli Pcs
(-PPN)]]</f>
        <v>0</v>
      </c>
      <c r="BC159" s="64" t="e">
        <f>Table43[[#This Row],[Column1]]/Table43[[#This Row],[Harga Jual Pcs MT
(-PPN)]]</f>
        <v>#DIV/0!</v>
      </c>
      <c r="BD159" s="52"/>
      <c r="BE159" s="7"/>
      <c r="BF159" s="7" t="str">
        <f ca="1">IF(TODAY()-Table43[[#This Row],[Efektif
Pembuatan]]&gt;60,"Lama","Baru")</f>
        <v>Lama</v>
      </c>
      <c r="BG159" s="7" t="str">
        <f ca="1">IF(TODAY()-Table43[[#This Row],[Efektif Naik Harga]]&lt;30,"Naik","Sama")</f>
        <v>Sama</v>
      </c>
      <c r="BH159" s="7"/>
      <c r="BI159" s="7" t="str">
        <f>IF(Table43[[#This Row],[Kode BARANG Win2]]&lt;&gt;"","IDR","")</f>
        <v>IDR</v>
      </c>
      <c r="BJ159" s="7" t="str">
        <f>CONCATENATE(Table43[[#This Row],[kode  1 Digit
(Nomor)]],Table43[[#This Row],[kode  4 Digit                (Nomor)]])</f>
        <v>0004</v>
      </c>
      <c r="BK159" s="7" t="str">
        <f>Table43[[#This Row],[Nama            Gramasi atau Jumlah Pack per CTN]]</f>
        <v>4S</v>
      </c>
      <c r="BL159" s="7"/>
      <c r="BM159" s="7"/>
      <c r="BN159" s="4" t="str">
        <f>IF(Table43[[#This Row],[SATUAN Fix Win]]&lt;&gt;"","KRT")</f>
        <v>KRT</v>
      </c>
      <c r="BO159" s="4" t="str">
        <f>IF(Table43[[#This Row],[SATUAN Fix Win]]&lt;&gt;"","GD01")</f>
        <v>GD01</v>
      </c>
      <c r="BP159" s="4">
        <f>IF(Table43[[#This Row],[SATUAN Fix Win]]&lt;&gt;"",11611)</f>
        <v>11611</v>
      </c>
      <c r="BQ159" s="4">
        <f>IF(Table43[[#This Row],[SATUAN Fix Win]]&lt;&gt;"",11612)</f>
        <v>11612</v>
      </c>
      <c r="BS159" s="4">
        <f>IF(Table43[[#This Row],[SATUAN Fix Win]]&lt;&gt;"",1)</f>
        <v>1</v>
      </c>
      <c r="BU159" s="4">
        <f>Table43[[#This Row],[ISI/CTN]]</f>
        <v>576</v>
      </c>
    </row>
    <row r="160" spans="1:73">
      <c r="A160" s="4" t="str">
        <f>CONCATENATE(Table43[[#This Row],[Kode BARANG Win2]],Table43[[#This Row],[No. Urut
Item Sama]])</f>
        <v>G1076003000411</v>
      </c>
      <c r="B160" s="7"/>
      <c r="C160" s="31">
        <v>30120010018003</v>
      </c>
      <c r="D160" s="51">
        <v>40023912</v>
      </c>
      <c r="E160" s="27"/>
      <c r="F160" s="51">
        <v>30110020004001</v>
      </c>
      <c r="G160" s="51"/>
      <c r="H160" s="27"/>
      <c r="I160" s="27">
        <v>576</v>
      </c>
      <c r="J160" s="51" t="s">
        <v>1627</v>
      </c>
      <c r="K160" s="27" t="str">
        <f>Table43[[#This Row],[NamaJenisKemasan]]</f>
        <v>PCS</v>
      </c>
      <c r="L160" s="4" t="str">
        <f>TRIM(CONCATENATE(Table43[[#This Row],[Nama            KLP]]," ",Table43[[#This Row],[Nama            Sub KLP]]))</f>
        <v>HIT MAGIC</v>
      </c>
      <c r="M160" s="4" t="str">
        <f>CONCATENATE(Table43[[#This Row],[kode  2 Digit                (hrf+No)]],Table43[[#This Row],[kode  2 Digit                (Nomor)]],Table43[[#This Row],[kode  1 Digit                (Nomor)]])</f>
        <v>G1076</v>
      </c>
      <c r="N160" s="4" t="str">
        <f>IF(AI160="",CONCATENATE(S160,U160,W160,Y160,AA160,AC160,AE160,AG160,Table43[[#This Row],[Tanda Kode Revisi]]),CONCATENATE(S160,U160,W160,Y160,AA160,AC160,AE160,AI160))</f>
        <v>G1076003000411</v>
      </c>
      <c r="O160" s="11">
        <f t="shared" si="4"/>
        <v>14</v>
      </c>
      <c r="P160" s="14" t="str">
        <f>IF(AH160&lt;&gt;"",TRIM(UPPER(CONCATENATE(R160," ",T160," ",V160," ",X160," ",Z160," ",AB160," ","X"," ",Table43[[#This Row],[ISI/CTN]]," ",AH160," ",AD160," ",AF160," ",AJ160))),TRIM(UPPER(CONCATENATE(R160," ",T160," ",V160," ",X160," ",Z160," ",AB160," ","X"," ",Table43[[#This Row],[ISI/CTN]]," ",AD160," ",AF160," ",AJ160))))</f>
        <v>HIT MAGIC FRESH 4S X 576 PCS 12+1</v>
      </c>
      <c r="Q160" s="11">
        <f t="shared" si="5"/>
        <v>33</v>
      </c>
      <c r="S160" s="7" t="s">
        <v>34</v>
      </c>
      <c r="T160" s="4" t="s">
        <v>2242</v>
      </c>
      <c r="U160" s="47" t="s">
        <v>2544</v>
      </c>
      <c r="V160" s="48" t="s">
        <v>2278</v>
      </c>
      <c r="W160" s="7">
        <v>6</v>
      </c>
      <c r="X160" s="48"/>
      <c r="Y160" s="47" t="s">
        <v>1116</v>
      </c>
      <c r="Z160" s="4" t="s">
        <v>2233</v>
      </c>
      <c r="AA160" s="49" t="s">
        <v>2538</v>
      </c>
      <c r="AB160" s="4" t="s">
        <v>2286</v>
      </c>
      <c r="AC160" s="49" t="s">
        <v>2628</v>
      </c>
      <c r="AD160" s="4" t="s">
        <v>185</v>
      </c>
      <c r="AE160" s="7">
        <v>1</v>
      </c>
      <c r="AF160" s="4" t="s">
        <v>2285</v>
      </c>
      <c r="AG160" s="7">
        <v>1</v>
      </c>
      <c r="AK160" s="70">
        <f>Table43[[#This Row],[Column4]]</f>
        <v>30110020004001</v>
      </c>
      <c r="AN160" s="7">
        <f>Table43[[#This Row],[ISI/CTN]]</f>
        <v>576</v>
      </c>
      <c r="AO160" s="61">
        <f>Table43[[#This Row],[Harga Jual Pcs GT
(-PPN)]]-(Table43[[#This Row],[Harga Jual Pcs GT
(-PPN)]]*6.5%)</f>
        <v>673.2</v>
      </c>
      <c r="AP160" s="61">
        <f>Table43[[#This Row],[Harga Beli Pcs
(-PPN)]]*Table43[[#This Row],[ISI/CTN]]</f>
        <v>387763.20000000001</v>
      </c>
      <c r="AQ160" s="61">
        <f>Table43[[#This Row],[Harga Beli Pcs
(-PPN)]]*1.11</f>
        <v>747.25200000000007</v>
      </c>
      <c r="AR160" s="61">
        <f>Table43[[#This Row],[Harga Beli Krt
(- PPN)]]*1.11</f>
        <v>430417.15200000006</v>
      </c>
      <c r="AS160" s="61">
        <v>720</v>
      </c>
      <c r="AT160" s="61">
        <f>Table43[[#This Row],[Harga Jual Pcs GT
(-PPN)]]*Table43[[#This Row],[ISI/CTN]]</f>
        <v>414720</v>
      </c>
      <c r="AU160" s="61">
        <f>Table43[[#This Row],[Harga Jual Pcs GT
(-PPN)]]*1.11</f>
        <v>799.2</v>
      </c>
      <c r="AV160" s="61">
        <f>Table43[[#This Row],[Harga Jual Krt GT
(- PPN)]]*1.11</f>
        <v>460339.20000000001</v>
      </c>
      <c r="AW160" s="61">
        <f>IFERROR(VLOOKUP(Table43[[#This Row],[Kode Pcpl]],'[1]FEB 2026'!$A$3:$X$312,24,0),0)</f>
        <v>0</v>
      </c>
      <c r="AX160" s="61">
        <f>Table43[[#This Row],[Harga Jual Pcs MT
(-PPN)]]*Table43[[#This Row],[ISI/CTN]]</f>
        <v>0</v>
      </c>
      <c r="AY160" s="61">
        <f>Table43[[#This Row],[Harga Jual Pcs MT
(-PPN)]]*1.11</f>
        <v>0</v>
      </c>
      <c r="AZ160" s="61">
        <f>Table43[[#This Row],[Harga Jual Pcs MT
(+PPN)]]*Table43[[#This Row],[ISI/CTN]]</f>
        <v>0</v>
      </c>
      <c r="BA160" s="62">
        <f>(Table43[[#This Row],[Harga Jual Pcs GT
(-PPN)]]-Table43[[#This Row],[Harga Beli Pcs
(-PPN)]])/Table43[[#This Row],[Harga Jual Pcs GT
(-PPN)]]</f>
        <v>6.4999999999999933E-2</v>
      </c>
      <c r="BB160" s="63">
        <f>Table43[[#This Row],[Harga Jual Pcs MT
(-PPN)]]-Table43[[#This Row],[Harga Beli Pcs
(-PPN)]]</f>
        <v>-673.2</v>
      </c>
      <c r="BC160" s="64" t="e">
        <f>Table43[[#This Row],[Column1]]/Table43[[#This Row],[Harga Jual Pcs MT
(-PPN)]]</f>
        <v>#DIV/0!</v>
      </c>
      <c r="BD160" s="52"/>
      <c r="BE160" s="7"/>
      <c r="BF160" s="7" t="str">
        <f ca="1">IF(TODAY()-Table43[[#This Row],[Efektif
Pembuatan]]&gt;60,"Lama","Baru")</f>
        <v>Lama</v>
      </c>
      <c r="BG160" s="7" t="str">
        <f ca="1">IF(TODAY()-Table43[[#This Row],[Efektif Naik Harga]]&lt;30,"Naik","Sama")</f>
        <v>Sama</v>
      </c>
      <c r="BH160" s="7"/>
      <c r="BI160" s="7" t="str">
        <f>IF(Table43[[#This Row],[Kode BARANG Win2]]&lt;&gt;"","IDR","")</f>
        <v>IDR</v>
      </c>
      <c r="BJ160" s="7" t="str">
        <f>CONCATENATE(Table43[[#This Row],[kode  1 Digit
(Nomor)]],Table43[[#This Row],[kode  4 Digit                (Nomor)]])</f>
        <v>0004</v>
      </c>
      <c r="BK160" s="7" t="str">
        <f>Table43[[#This Row],[Nama            Gramasi atau Jumlah Pack per CTN]]</f>
        <v>4S</v>
      </c>
      <c r="BL160" s="7"/>
      <c r="BM160" s="7"/>
      <c r="BN160" s="4" t="str">
        <f>IF(Table43[[#This Row],[SATUAN Fix Win]]&lt;&gt;"","KRT")</f>
        <v>KRT</v>
      </c>
      <c r="BO160" s="4" t="str">
        <f>IF(Table43[[#This Row],[SATUAN Fix Win]]&lt;&gt;"","GD01")</f>
        <v>GD01</v>
      </c>
      <c r="BP160" s="4">
        <f>IF(Table43[[#This Row],[SATUAN Fix Win]]&lt;&gt;"",11611)</f>
        <v>11611</v>
      </c>
      <c r="BQ160" s="4">
        <f>IF(Table43[[#This Row],[SATUAN Fix Win]]&lt;&gt;"",11612)</f>
        <v>11612</v>
      </c>
      <c r="BS160" s="4">
        <f>IF(Table43[[#This Row],[SATUAN Fix Win]]&lt;&gt;"",1)</f>
        <v>1</v>
      </c>
      <c r="BU160" s="4">
        <f>Table43[[#This Row],[ISI/CTN]]</f>
        <v>576</v>
      </c>
    </row>
    <row r="161" spans="1:75">
      <c r="A161" s="4" t="str">
        <f>CONCATENATE(Table43[[#This Row],[Kode BARANG Win2]],Table43[[#This Row],[No. Urut
Item Sama]])</f>
        <v>G1076003001010</v>
      </c>
      <c r="B161" s="7"/>
      <c r="C161" s="31">
        <v>30120010004002</v>
      </c>
      <c r="D161" s="59">
        <v>40043783</v>
      </c>
      <c r="E161" s="60" t="s">
        <v>1937</v>
      </c>
      <c r="F161" s="59">
        <v>30110070010000</v>
      </c>
      <c r="G161" s="59">
        <v>0</v>
      </c>
      <c r="H161" s="60" t="s">
        <v>1212</v>
      </c>
      <c r="I161" s="60">
        <v>144</v>
      </c>
      <c r="J161" s="59" t="s">
        <v>1628</v>
      </c>
      <c r="K161" s="60" t="str">
        <f>Table43[[#This Row],[NamaJenisKemasan]]</f>
        <v>PCS</v>
      </c>
      <c r="L161" s="4" t="str">
        <f>TRIM(CONCATENATE(Table43[[#This Row],[Nama            KLP]]," ",Table43[[#This Row],[Nama            Sub KLP]]))</f>
        <v>HIT MAGIC</v>
      </c>
      <c r="M161" s="4" t="str">
        <f>CONCATENATE(Table43[[#This Row],[kode  2 Digit                (hrf+No)]],Table43[[#This Row],[kode  2 Digit                (Nomor)]],Table43[[#This Row],[kode  1 Digit                (Nomor)]])</f>
        <v>G1076</v>
      </c>
      <c r="N161" s="4" t="str">
        <f>IF(AI161="",CONCATENATE(S161,U161,W161,Y161,AA161,AC161,AE161,AG161,Table43[[#This Row],[Tanda Kode Revisi]]),CONCATENATE(S161,U161,W161,Y161,AA161,AC161,AE161,AI161))</f>
        <v>G1076003001010</v>
      </c>
      <c r="O161" s="11">
        <f t="shared" si="4"/>
        <v>14</v>
      </c>
      <c r="P161" s="14" t="str">
        <f>IF(AH161&lt;&gt;"",TRIM(UPPER(CONCATENATE(R161," ",T161," ",V161," ",X161," ",Z161," ",AB161," ","X"," ",Table43[[#This Row],[ISI/CTN]]," ",AH161," ",AD161," ",AF161," ",AJ161))),TRIM(UPPER(CONCATENATE(R161," ",T161," ",V161," ",X161," ",Z161," ",AB161," ","X"," ",Table43[[#This Row],[ISI/CTN]]," ",AD161," ",AF161," ",AJ161))))</f>
        <v>HIT MAGIC FRESH 10S X 144 PCS</v>
      </c>
      <c r="Q161" s="11">
        <f t="shared" si="5"/>
        <v>29</v>
      </c>
      <c r="S161" s="7" t="s">
        <v>34</v>
      </c>
      <c r="T161" s="4" t="s">
        <v>2242</v>
      </c>
      <c r="U161" s="47" t="s">
        <v>2544</v>
      </c>
      <c r="V161" s="48" t="s">
        <v>2278</v>
      </c>
      <c r="W161" s="7">
        <v>6</v>
      </c>
      <c r="X161" s="48"/>
      <c r="Y161" s="47" t="s">
        <v>1116</v>
      </c>
      <c r="Z161" s="4" t="s">
        <v>2233</v>
      </c>
      <c r="AA161" s="49" t="s">
        <v>2538</v>
      </c>
      <c r="AB161" s="4" t="s">
        <v>2284</v>
      </c>
      <c r="AC161" s="49" t="s">
        <v>2592</v>
      </c>
      <c r="AD161" s="4" t="s">
        <v>185</v>
      </c>
      <c r="AE161" s="7">
        <v>1</v>
      </c>
      <c r="AG161" s="7">
        <v>0</v>
      </c>
      <c r="AK161" s="70">
        <f>Table43[[#This Row],[Column4]]</f>
        <v>30110070010000</v>
      </c>
      <c r="AN161" s="7">
        <f>Table43[[#This Row],[ISI/CTN]]</f>
        <v>144</v>
      </c>
      <c r="AO161" s="61">
        <f>Table43[[#This Row],[Harga Jual Pcs GT
(-PPN)]]-(Table43[[#This Row],[Harga Jual Pcs GT
(-PPN)]]*6.5%)</f>
        <v>1851.3</v>
      </c>
      <c r="AP161" s="61">
        <f>Table43[[#This Row],[Harga Beli Pcs
(-PPN)]]*Table43[[#This Row],[ISI/CTN]]</f>
        <v>266587.2</v>
      </c>
      <c r="AQ161" s="61">
        <f>Table43[[#This Row],[Harga Beli Pcs
(-PPN)]]*1.11</f>
        <v>2054.9430000000002</v>
      </c>
      <c r="AR161" s="61">
        <f>Table43[[#This Row],[Harga Beli Krt
(- PPN)]]*1.11</f>
        <v>295911.79200000002</v>
      </c>
      <c r="AS161" s="61">
        <v>1980</v>
      </c>
      <c r="AT161" s="61">
        <f>Table43[[#This Row],[Harga Jual Pcs GT
(-PPN)]]*Table43[[#This Row],[ISI/CTN]]</f>
        <v>285120</v>
      </c>
      <c r="AU161" s="61">
        <f>Table43[[#This Row],[Harga Jual Pcs GT
(-PPN)]]*1.11</f>
        <v>2197.8000000000002</v>
      </c>
      <c r="AV161" s="61">
        <f>Table43[[#This Row],[Harga Jual Krt GT
(- PPN)]]*1.11</f>
        <v>316483.20000000001</v>
      </c>
      <c r="AW161" s="61">
        <f>IFERROR(VLOOKUP(Table43[[#This Row],[Kode Pcpl]],'[1]FEB 2026'!$A$3:$X$312,24,0),0)</f>
        <v>0</v>
      </c>
      <c r="AX161" s="61">
        <f>Table43[[#This Row],[Harga Jual Pcs MT
(-PPN)]]*Table43[[#This Row],[ISI/CTN]]</f>
        <v>0</v>
      </c>
      <c r="AY161" s="61">
        <f>Table43[[#This Row],[Harga Jual Pcs MT
(-PPN)]]*1.11</f>
        <v>0</v>
      </c>
      <c r="AZ161" s="61">
        <f>Table43[[#This Row],[Harga Jual Pcs MT
(+PPN)]]*Table43[[#This Row],[ISI/CTN]]</f>
        <v>0</v>
      </c>
      <c r="BA161" s="62">
        <f>(Table43[[#This Row],[Harga Jual Pcs GT
(-PPN)]]-Table43[[#This Row],[Harga Beli Pcs
(-PPN)]])/Table43[[#This Row],[Harga Jual Pcs GT
(-PPN)]]</f>
        <v>6.5000000000000016E-2</v>
      </c>
      <c r="BB161" s="63">
        <f>Table43[[#This Row],[Harga Jual Pcs MT
(-PPN)]]-Table43[[#This Row],[Harga Beli Pcs
(-PPN)]]</f>
        <v>-1851.3</v>
      </c>
      <c r="BC161" s="64" t="e">
        <f>Table43[[#This Row],[Column1]]/Table43[[#This Row],[Harga Jual Pcs MT
(-PPN)]]</f>
        <v>#DIV/0!</v>
      </c>
      <c r="BD161" s="52"/>
      <c r="BE161" s="7"/>
      <c r="BF161" s="7" t="str">
        <f ca="1">IF(TODAY()-Table43[[#This Row],[Efektif
Pembuatan]]&gt;60,"Lama","Baru")</f>
        <v>Lama</v>
      </c>
      <c r="BG161" s="7" t="str">
        <f ca="1">IF(TODAY()-Table43[[#This Row],[Efektif Naik Harga]]&lt;30,"Naik","Sama")</f>
        <v>Sama</v>
      </c>
      <c r="BH161" s="7"/>
      <c r="BI161" s="7" t="str">
        <f>IF(Table43[[#This Row],[Kode BARANG Win2]]&lt;&gt;"","IDR","")</f>
        <v>IDR</v>
      </c>
      <c r="BJ161" s="7" t="str">
        <f>CONCATENATE(Table43[[#This Row],[kode  1 Digit
(Nomor)]],Table43[[#This Row],[kode  4 Digit                (Nomor)]])</f>
        <v>0010</v>
      </c>
      <c r="BK161" s="7" t="str">
        <f>Table43[[#This Row],[Nama            Gramasi atau Jumlah Pack per CTN]]</f>
        <v>10S</v>
      </c>
      <c r="BL161" s="7"/>
      <c r="BM161" s="7"/>
      <c r="BN161" s="4" t="str">
        <f>IF(Table43[[#This Row],[SATUAN Fix Win]]&lt;&gt;"","KRT")</f>
        <v>KRT</v>
      </c>
      <c r="BO161" s="4" t="str">
        <f>IF(Table43[[#This Row],[SATUAN Fix Win]]&lt;&gt;"","GD01")</f>
        <v>GD01</v>
      </c>
      <c r="BP161" s="4">
        <f>IF(Table43[[#This Row],[SATUAN Fix Win]]&lt;&gt;"",11611)</f>
        <v>11611</v>
      </c>
      <c r="BQ161" s="4">
        <f>IF(Table43[[#This Row],[SATUAN Fix Win]]&lt;&gt;"",11612)</f>
        <v>11612</v>
      </c>
      <c r="BS161" s="4">
        <f>IF(Table43[[#This Row],[SATUAN Fix Win]]&lt;&gt;"",1)</f>
        <v>1</v>
      </c>
      <c r="BU161" s="4">
        <f>Table43[[#This Row],[ISI/CTN]]</f>
        <v>144</v>
      </c>
    </row>
    <row r="162" spans="1:75">
      <c r="A162" s="4" t="str">
        <f>CONCATENATE(Table43[[#This Row],[Kode BARANG Win2]],Table43[[#This Row],[No. Urut
Item Sama]])</f>
        <v>G1076004001010</v>
      </c>
      <c r="B162" s="7"/>
      <c r="C162" s="31">
        <v>30120010048001</v>
      </c>
      <c r="D162" s="51">
        <v>40031159</v>
      </c>
      <c r="E162" s="27" t="s">
        <v>1938</v>
      </c>
      <c r="F162" s="51">
        <v>30110080010000</v>
      </c>
      <c r="G162" s="51">
        <v>0</v>
      </c>
      <c r="H162" s="27" t="s">
        <v>1213</v>
      </c>
      <c r="I162" s="27">
        <v>144</v>
      </c>
      <c r="J162" s="51" t="s">
        <v>1629</v>
      </c>
      <c r="K162" s="27" t="str">
        <f>Table43[[#This Row],[NamaJenisKemasan]]</f>
        <v>PCS</v>
      </c>
      <c r="L162" s="4" t="str">
        <f>TRIM(CONCATENATE(Table43[[#This Row],[Nama            KLP]]," ",Table43[[#This Row],[Nama            Sub KLP]]))</f>
        <v>HIT MAGIC</v>
      </c>
      <c r="M162" s="4" t="str">
        <f>CONCATENATE(Table43[[#This Row],[kode  2 Digit                (hrf+No)]],Table43[[#This Row],[kode  2 Digit                (Nomor)]],Table43[[#This Row],[kode  1 Digit                (Nomor)]])</f>
        <v>G1076</v>
      </c>
      <c r="N162" s="4" t="str">
        <f>IF(AI162="",CONCATENATE(S162,U162,W162,Y162,AA162,AC162,AE162,AG162,Table43[[#This Row],[Tanda Kode Revisi]]),CONCATENATE(S162,U162,W162,Y162,AA162,AC162,AE162,AI162))</f>
        <v>G1076004001010</v>
      </c>
      <c r="O162" s="11">
        <f t="shared" si="4"/>
        <v>14</v>
      </c>
      <c r="P162" s="14" t="str">
        <f>IF(AH162&lt;&gt;"",TRIM(UPPER(CONCATENATE(R162," ",T162," ",V162," ",X162," ",Z162," ",AB162," ","X"," ",Table43[[#This Row],[ISI/CTN]]," ",AH162," ",AD162," ",AF162," ",AJ162))),TRIM(UPPER(CONCATENATE(R162," ",T162," ",V162," ",X162," ",Z162," ",AB162," ","X"," ",Table43[[#This Row],[ISI/CTN]]," ",AD162," ",AF162," ",AJ162))))</f>
        <v>HIT MAGIC LILY BLOSSOM 10S X 144 PCS</v>
      </c>
      <c r="Q162" s="11">
        <f t="shared" si="5"/>
        <v>36</v>
      </c>
      <c r="S162" s="7" t="s">
        <v>34</v>
      </c>
      <c r="T162" s="4" t="s">
        <v>2242</v>
      </c>
      <c r="U162" s="47" t="s">
        <v>2544</v>
      </c>
      <c r="V162" s="48" t="s">
        <v>2278</v>
      </c>
      <c r="W162" s="7">
        <v>6</v>
      </c>
      <c r="X162" s="48"/>
      <c r="Y162" s="47" t="s">
        <v>1116</v>
      </c>
      <c r="Z162" s="4" t="s">
        <v>2249</v>
      </c>
      <c r="AA162" s="49" t="s">
        <v>2540</v>
      </c>
      <c r="AB162" s="4" t="s">
        <v>2284</v>
      </c>
      <c r="AC162" s="49" t="s">
        <v>2592</v>
      </c>
      <c r="AD162" s="4" t="s">
        <v>185</v>
      </c>
      <c r="AE162" s="7">
        <v>1</v>
      </c>
      <c r="AG162" s="7">
        <v>0</v>
      </c>
      <c r="AK162" s="70">
        <f>Table43[[#This Row],[Column4]]</f>
        <v>30110080010000</v>
      </c>
      <c r="AN162" s="7">
        <f>Table43[[#This Row],[ISI/CTN]]</f>
        <v>144</v>
      </c>
      <c r="AO162" s="61">
        <f>Table43[[#This Row],[Harga Jual Pcs GT
(-PPN)]]-(Table43[[#This Row],[Harga Jual Pcs GT
(-PPN)]]*6.5%)</f>
        <v>1851.3</v>
      </c>
      <c r="AP162" s="61">
        <f>Table43[[#This Row],[Harga Beli Pcs
(-PPN)]]*Table43[[#This Row],[ISI/CTN]]</f>
        <v>266587.2</v>
      </c>
      <c r="AQ162" s="61">
        <f>Table43[[#This Row],[Harga Beli Pcs
(-PPN)]]*1.11</f>
        <v>2054.9430000000002</v>
      </c>
      <c r="AR162" s="61">
        <f>Table43[[#This Row],[Harga Beli Krt
(- PPN)]]*1.11</f>
        <v>295911.79200000002</v>
      </c>
      <c r="AS162" s="61">
        <v>1980</v>
      </c>
      <c r="AT162" s="61">
        <f>Table43[[#This Row],[Harga Jual Pcs GT
(-PPN)]]*Table43[[#This Row],[ISI/CTN]]</f>
        <v>285120</v>
      </c>
      <c r="AU162" s="61">
        <f>Table43[[#This Row],[Harga Jual Pcs GT
(-PPN)]]*1.11</f>
        <v>2197.8000000000002</v>
      </c>
      <c r="AV162" s="61">
        <f>Table43[[#This Row],[Harga Jual Krt GT
(- PPN)]]*1.11</f>
        <v>316483.20000000001</v>
      </c>
      <c r="AW162" s="61">
        <f>IFERROR(VLOOKUP(Table43[[#This Row],[Kode Pcpl]],'[1]FEB 2026'!$A$3:$X$312,24,0),0)</f>
        <v>0</v>
      </c>
      <c r="AX162" s="61">
        <f>Table43[[#This Row],[Harga Jual Pcs MT
(-PPN)]]*Table43[[#This Row],[ISI/CTN]]</f>
        <v>0</v>
      </c>
      <c r="AY162" s="61">
        <f>Table43[[#This Row],[Harga Jual Pcs MT
(-PPN)]]*1.11</f>
        <v>0</v>
      </c>
      <c r="AZ162" s="61">
        <f>Table43[[#This Row],[Harga Jual Pcs MT
(+PPN)]]*Table43[[#This Row],[ISI/CTN]]</f>
        <v>0</v>
      </c>
      <c r="BA162" s="62">
        <f>(Table43[[#This Row],[Harga Jual Pcs GT
(-PPN)]]-Table43[[#This Row],[Harga Beli Pcs
(-PPN)]])/Table43[[#This Row],[Harga Jual Pcs GT
(-PPN)]]</f>
        <v>6.5000000000000016E-2</v>
      </c>
      <c r="BB162" s="63">
        <f>Table43[[#This Row],[Harga Jual Pcs MT
(-PPN)]]-Table43[[#This Row],[Harga Beli Pcs
(-PPN)]]</f>
        <v>-1851.3</v>
      </c>
      <c r="BC162" s="64" t="e">
        <f>Table43[[#This Row],[Column1]]/Table43[[#This Row],[Harga Jual Pcs MT
(-PPN)]]</f>
        <v>#DIV/0!</v>
      </c>
      <c r="BD162" s="52"/>
      <c r="BE162" s="7"/>
      <c r="BF162" s="7" t="str">
        <f ca="1">IF(TODAY()-Table43[[#This Row],[Efektif
Pembuatan]]&gt;60,"Lama","Baru")</f>
        <v>Lama</v>
      </c>
      <c r="BG162" s="7" t="str">
        <f ca="1">IF(TODAY()-Table43[[#This Row],[Efektif Naik Harga]]&lt;30,"Naik","Sama")</f>
        <v>Sama</v>
      </c>
      <c r="BH162" s="7"/>
      <c r="BI162" s="7" t="str">
        <f>IF(Table43[[#This Row],[Kode BARANG Win2]]&lt;&gt;"","IDR","")</f>
        <v>IDR</v>
      </c>
      <c r="BJ162" s="7" t="str">
        <f>CONCATENATE(Table43[[#This Row],[kode  1 Digit
(Nomor)]],Table43[[#This Row],[kode  4 Digit                (Nomor)]])</f>
        <v>0010</v>
      </c>
      <c r="BK162" s="7" t="str">
        <f>Table43[[#This Row],[Nama            Gramasi atau Jumlah Pack per CTN]]</f>
        <v>10S</v>
      </c>
      <c r="BL162" s="7"/>
      <c r="BM162" s="7"/>
      <c r="BN162" s="4" t="str">
        <f>IF(Table43[[#This Row],[SATUAN Fix Win]]&lt;&gt;"","KRT")</f>
        <v>KRT</v>
      </c>
      <c r="BO162" s="4" t="str">
        <f>IF(Table43[[#This Row],[SATUAN Fix Win]]&lt;&gt;"","GD01")</f>
        <v>GD01</v>
      </c>
      <c r="BP162" s="4">
        <f>IF(Table43[[#This Row],[SATUAN Fix Win]]&lt;&gt;"",11611)</f>
        <v>11611</v>
      </c>
      <c r="BQ162" s="4">
        <f>IF(Table43[[#This Row],[SATUAN Fix Win]]&lt;&gt;"",11612)</f>
        <v>11612</v>
      </c>
      <c r="BS162" s="4">
        <f>IF(Table43[[#This Row],[SATUAN Fix Win]]&lt;&gt;"",1)</f>
        <v>1</v>
      </c>
      <c r="BU162" s="4">
        <f>Table43[[#This Row],[ISI/CTN]]</f>
        <v>144</v>
      </c>
    </row>
    <row r="163" spans="1:75">
      <c r="A163" s="4" t="str">
        <f>CONCATENATE(Table43[[#This Row],[Kode BARANG Win2]],Table43[[#This Row],[No. Urut
Item Sama]])</f>
        <v>G1076101000410</v>
      </c>
      <c r="B163" s="7"/>
      <c r="C163" s="31">
        <v>30111040004000</v>
      </c>
      <c r="D163" s="51">
        <v>40028914</v>
      </c>
      <c r="E163" s="66" t="s">
        <v>2479</v>
      </c>
      <c r="F163" s="68">
        <v>30111040004000</v>
      </c>
      <c r="G163" s="68">
        <v>0</v>
      </c>
      <c r="H163" s="27">
        <v>0</v>
      </c>
      <c r="I163" s="27">
        <v>576</v>
      </c>
      <c r="J163" s="51">
        <v>0</v>
      </c>
      <c r="K163" s="27" t="str">
        <f>Table43[[#This Row],[NamaJenisKemasan]]</f>
        <v>PCS</v>
      </c>
      <c r="L163" s="4" t="str">
        <f>TRIM(CONCATENATE(Table43[[#This Row],[Nama            KLP]]," ",Table43[[#This Row],[Nama            Sub KLP]]))</f>
        <v>HIT MAGIC</v>
      </c>
      <c r="M163" s="4" t="str">
        <f>CONCATENATE(Table43[[#This Row],[kode  2 Digit                (hrf+No)]],Table43[[#This Row],[kode  2 Digit                (Nomor)]],Table43[[#This Row],[kode  1 Digit                (Nomor)]])</f>
        <v>G1076</v>
      </c>
      <c r="N163" s="4" t="str">
        <f>IF(AI163="",CONCATENATE(S163,U163,W163,Y163,AA163,AC163,AE163,AG163,Table43[[#This Row],[Tanda Kode Revisi]]),CONCATENATE(S163,U163,W163,Y163,AA163,AC163,AE163,AI163))</f>
        <v>G1076101000410</v>
      </c>
      <c r="O163" s="11">
        <f t="shared" si="4"/>
        <v>14</v>
      </c>
      <c r="P163" s="14" t="str">
        <f>IF(AH163&lt;&gt;"",TRIM(UPPER(CONCATENATE(R163," ",T163," ",V163," ",X163," ",Z163," ",AB163," ","X"," ",Table43[[#This Row],[ISI/CTN]]," ",AH163," ",AD163," ",AF163," ",AJ163))),TRIM(UPPER(CONCATENATE(R163," ",T163," ",V163," ",X163," ",Z163," ",AB163," ","X"," ",Table43[[#This Row],[ISI/CTN]]," ",AD163," ",AF163," ",AJ163))))</f>
        <v>HIT MAGIC EXPERT CLASSIC LILY BLOSSOM 4S X 576 PCS</v>
      </c>
      <c r="Q163" s="11">
        <f t="shared" si="5"/>
        <v>50</v>
      </c>
      <c r="S163" s="7" t="s">
        <v>34</v>
      </c>
      <c r="T163" s="4" t="s">
        <v>2242</v>
      </c>
      <c r="U163" s="47" t="s">
        <v>2544</v>
      </c>
      <c r="V163" s="48" t="s">
        <v>2278</v>
      </c>
      <c r="W163" s="7">
        <v>6</v>
      </c>
      <c r="X163" s="48" t="s">
        <v>2282</v>
      </c>
      <c r="Y163" s="47" t="s">
        <v>2539</v>
      </c>
      <c r="Z163" s="4" t="s">
        <v>2280</v>
      </c>
      <c r="AA163" s="49" t="s">
        <v>1115</v>
      </c>
      <c r="AB163" s="4" t="s">
        <v>2286</v>
      </c>
      <c r="AC163" s="49" t="s">
        <v>2628</v>
      </c>
      <c r="AD163" s="4" t="s">
        <v>185</v>
      </c>
      <c r="AE163" s="7">
        <v>1</v>
      </c>
      <c r="AG163" s="7">
        <v>0</v>
      </c>
      <c r="AK163" s="70">
        <f>Table43[[#This Row],[Column4]]</f>
        <v>30111040004000</v>
      </c>
      <c r="AN163" s="7">
        <f>Table43[[#This Row],[ISI/CTN]]</f>
        <v>576</v>
      </c>
      <c r="AO163" s="38">
        <f>Table43[[#This Row],[Harga Jual Pcs GT
(-PPN)]]-(Table43[[#This Row],[Harga Jual Pcs GT
(-PPN)]]*6.5%)</f>
        <v>1393.15</v>
      </c>
      <c r="AP163" s="38">
        <f>Table43[[#This Row],[Harga Beli Pcs
(-PPN)]]*Table43[[#This Row],[ISI/CTN]]</f>
        <v>802454.4</v>
      </c>
      <c r="AQ163" s="38">
        <f>Table43[[#This Row],[Harga Beli Pcs
(-PPN)]]*1.11</f>
        <v>1546.3965000000003</v>
      </c>
      <c r="AR163" s="38">
        <f>Table43[[#This Row],[Harga Beli Krt
(- PPN)]]*1.11</f>
        <v>890724.38400000008</v>
      </c>
      <c r="AS163" s="38">
        <v>1490</v>
      </c>
      <c r="AT163" s="38">
        <f>Table43[[#This Row],[Harga Jual Pcs GT
(-PPN)]]*Table43[[#This Row],[ISI/CTN]]</f>
        <v>858240</v>
      </c>
      <c r="AU163" s="38">
        <f>Table43[[#This Row],[Harga Jual Pcs GT
(-PPN)]]*1.11</f>
        <v>1653.9</v>
      </c>
      <c r="AV163" s="38">
        <f>Table43[[#This Row],[Harga Jual Krt GT
(- PPN)]]*1.11</f>
        <v>952646.40000000014</v>
      </c>
      <c r="AW163" s="38">
        <f>IFERROR(VLOOKUP(Table43[[#This Row],[Kode Pcpl]],'[1]FEB 2026'!$A$3:$X$312,24,0),0)</f>
        <v>0</v>
      </c>
      <c r="AX163" s="38">
        <f>Table43[[#This Row],[Harga Jual Pcs MT
(-PPN)]]*Table43[[#This Row],[ISI/CTN]]</f>
        <v>0</v>
      </c>
      <c r="AY163" s="38">
        <f>Table43[[#This Row],[Harga Jual Pcs MT
(-PPN)]]*1.11</f>
        <v>0</v>
      </c>
      <c r="AZ163" s="38">
        <f>Table43[[#This Row],[Harga Jual Pcs MT
(+PPN)]]*Table43[[#This Row],[ISI/CTN]]</f>
        <v>0</v>
      </c>
      <c r="BA163" s="46">
        <f>(Table43[[#This Row],[Harga Jual Pcs GT
(-PPN)]]-Table43[[#This Row],[Harga Beli Pcs
(-PPN)]])/Table43[[#This Row],[Harga Jual Pcs GT
(-PPN)]]</f>
        <v>6.4999999999999933E-2</v>
      </c>
      <c r="BB163" s="53">
        <f>Table43[[#This Row],[Harga Jual Pcs MT
(-PPN)]]-Table43[[#This Row],[Harga Beli Pcs
(-PPN)]]</f>
        <v>-1393.15</v>
      </c>
      <c r="BC163" s="54" t="e">
        <f>Table43[[#This Row],[Column1]]/Table43[[#This Row],[Harga Jual Pcs MT
(-PPN)]]</f>
        <v>#DIV/0!</v>
      </c>
      <c r="BD163" s="52"/>
      <c r="BE163" s="7"/>
      <c r="BF163" s="7" t="str">
        <f ca="1">IF(TODAY()-Table43[[#This Row],[Efektif
Pembuatan]]&gt;60,"Lama","Baru")</f>
        <v>Lama</v>
      </c>
      <c r="BG163" s="7" t="str">
        <f ca="1">IF(TODAY()-Table43[[#This Row],[Efektif Naik Harga]]&lt;30,"Naik","Sama")</f>
        <v>Sama</v>
      </c>
      <c r="BH163" s="7"/>
      <c r="BI163" s="7" t="str">
        <f>IF(Table43[[#This Row],[Kode BARANG Win2]]&lt;&gt;"","IDR","")</f>
        <v>IDR</v>
      </c>
      <c r="BJ163" s="7" t="str">
        <f>CONCATENATE(Table43[[#This Row],[kode  1 Digit
(Nomor)]],Table43[[#This Row],[kode  4 Digit                (Nomor)]])</f>
        <v>0004</v>
      </c>
      <c r="BK163" s="7" t="str">
        <f>Table43[[#This Row],[Nama            Gramasi atau Jumlah Pack per CTN]]</f>
        <v>4S</v>
      </c>
      <c r="BL163" s="7"/>
      <c r="BM163" s="7"/>
      <c r="BN163" s="4" t="str">
        <f>IF(Table43[[#This Row],[SATUAN Fix Win]]&lt;&gt;"","KRT")</f>
        <v>KRT</v>
      </c>
      <c r="BO163" s="4" t="str">
        <f>IF(Table43[[#This Row],[SATUAN Fix Win]]&lt;&gt;"","GD01")</f>
        <v>GD01</v>
      </c>
      <c r="BP163" s="4">
        <f>IF(Table43[[#This Row],[SATUAN Fix Win]]&lt;&gt;"",11611)</f>
        <v>11611</v>
      </c>
      <c r="BQ163" s="4">
        <f>IF(Table43[[#This Row],[SATUAN Fix Win]]&lt;&gt;"",11612)</f>
        <v>11612</v>
      </c>
      <c r="BS163" s="4">
        <f>IF(Table43[[#This Row],[SATUAN Fix Win]]&lt;&gt;"",1)</f>
        <v>1</v>
      </c>
      <c r="BU163" s="4">
        <f>Table43[[#This Row],[ISI/CTN]]</f>
        <v>576</v>
      </c>
    </row>
    <row r="164" spans="1:75">
      <c r="A164" s="4" t="str">
        <f>CONCATENATE(Table43[[#This Row],[Kode BARANG Win2]],Table43[[#This Row],[No. Urut
Item Sama]])</f>
        <v>G1076201000410</v>
      </c>
      <c r="B164" s="7"/>
      <c r="C164" s="31">
        <v>30132050035010</v>
      </c>
      <c r="D164" s="59">
        <v>40043776</v>
      </c>
      <c r="E164" s="60" t="s">
        <v>1941</v>
      </c>
      <c r="F164" s="59">
        <v>30112040004000</v>
      </c>
      <c r="G164" s="59">
        <v>0</v>
      </c>
      <c r="H164" s="60" t="s">
        <v>1217</v>
      </c>
      <c r="I164" s="60">
        <v>120</v>
      </c>
      <c r="J164" s="59" t="s">
        <v>1632</v>
      </c>
      <c r="K164" s="60" t="str">
        <f>Table43[[#This Row],[NamaJenisKemasan]]</f>
        <v>PCS</v>
      </c>
      <c r="L164" s="4" t="str">
        <f>TRIM(CONCATENATE(Table43[[#This Row],[Nama            KLP]]," ",Table43[[#This Row],[Nama            Sub KLP]]))</f>
        <v>HIT MAGIC</v>
      </c>
      <c r="M164" s="4" t="str">
        <f>CONCATENATE(Table43[[#This Row],[kode  2 Digit                (hrf+No)]],Table43[[#This Row],[kode  2 Digit                (Nomor)]],Table43[[#This Row],[kode  1 Digit                (Nomor)]])</f>
        <v>G1076</v>
      </c>
      <c r="N164" s="4" t="str">
        <f>IF(AI164="",CONCATENATE(S164,U164,W164,Y164,AA164,AC164,AE164,AG164,Table43[[#This Row],[Tanda Kode Revisi]]),CONCATENATE(S164,U164,W164,Y164,AA164,AC164,AE164,AI164))</f>
        <v>G1076201000410</v>
      </c>
      <c r="O164" s="11">
        <f t="shared" si="4"/>
        <v>14</v>
      </c>
      <c r="P164" s="14" t="str">
        <f>IF(AH164&lt;&gt;"",TRIM(UPPER(CONCATENATE(R164," ",T164," ",V164," ",X164," ",Z164," ",AB164," ","X"," ",Table43[[#This Row],[ISI/CTN]]," ",AH164," ",AD164," ",AF164," ",AJ164))),TRIM(UPPER(CONCATENATE(R164," ",T164," ",V164," ",X164," ",Z164," ",AB164," ","X"," ",Table43[[#This Row],[ISI/CTN]]," ",AD164," ",AF164," ",AJ164))))</f>
        <v>HIT MAGIC EXPERT PIRAMIDA CLASSIC LILY BLOSSOM 4S X 120 PCS</v>
      </c>
      <c r="Q164" s="11">
        <f t="shared" si="5"/>
        <v>59</v>
      </c>
      <c r="S164" s="7" t="s">
        <v>34</v>
      </c>
      <c r="T164" s="4" t="s">
        <v>2242</v>
      </c>
      <c r="U164" s="47" t="s">
        <v>2544</v>
      </c>
      <c r="V164" s="48" t="s">
        <v>2278</v>
      </c>
      <c r="W164" s="7">
        <v>6</v>
      </c>
      <c r="X164" s="48" t="s">
        <v>2543</v>
      </c>
      <c r="Y164" s="47" t="s">
        <v>2572</v>
      </c>
      <c r="Z164" s="4" t="s">
        <v>2280</v>
      </c>
      <c r="AA164" s="49" t="s">
        <v>1115</v>
      </c>
      <c r="AB164" s="4" t="s">
        <v>2286</v>
      </c>
      <c r="AC164" s="49" t="s">
        <v>2628</v>
      </c>
      <c r="AD164" s="4" t="s">
        <v>185</v>
      </c>
      <c r="AE164" s="7">
        <v>1</v>
      </c>
      <c r="AG164" s="7">
        <v>0</v>
      </c>
      <c r="AK164" s="70">
        <f>Table43[[#This Row],[Column4]]</f>
        <v>30112040004000</v>
      </c>
      <c r="AN164" s="7">
        <f>Table43[[#This Row],[ISI/CTN]]</f>
        <v>120</v>
      </c>
      <c r="AO164" s="38">
        <f>Table43[[#This Row],[Harga Jual Pcs GT
(-PPN)]]-(Table43[[#This Row],[Harga Jual Pcs GT
(-PPN)]]*6.5%)</f>
        <v>1589.5</v>
      </c>
      <c r="AP164" s="38">
        <f>Table43[[#This Row],[Harga Beli Pcs
(-PPN)]]*Table43[[#This Row],[ISI/CTN]]</f>
        <v>190740</v>
      </c>
      <c r="AQ164" s="38">
        <f>Table43[[#This Row],[Harga Beli Pcs
(-PPN)]]*1.11</f>
        <v>1764.3450000000003</v>
      </c>
      <c r="AR164" s="38">
        <f>Table43[[#This Row],[Harga Beli Krt
(- PPN)]]*1.11</f>
        <v>211721.40000000002</v>
      </c>
      <c r="AS164" s="38">
        <v>1700</v>
      </c>
      <c r="AT164" s="38">
        <f>Table43[[#This Row],[Harga Jual Pcs GT
(-PPN)]]*Table43[[#This Row],[ISI/CTN]]</f>
        <v>204000</v>
      </c>
      <c r="AU164" s="38">
        <f>Table43[[#This Row],[Harga Jual Pcs GT
(-PPN)]]*1.11</f>
        <v>1887.0000000000002</v>
      </c>
      <c r="AV164" s="38">
        <f>Table43[[#This Row],[Harga Jual Krt GT
(- PPN)]]*1.11</f>
        <v>226440.00000000003</v>
      </c>
      <c r="AW164" s="38">
        <f>IFERROR(VLOOKUP(Table43[[#This Row],[Kode Pcpl]],'[1]FEB 2026'!$A$3:$X$312,24,0),0)</f>
        <v>0</v>
      </c>
      <c r="AX164" s="38">
        <f>Table43[[#This Row],[Harga Jual Pcs MT
(-PPN)]]*Table43[[#This Row],[ISI/CTN]]</f>
        <v>0</v>
      </c>
      <c r="AY164" s="38">
        <f>Table43[[#This Row],[Harga Jual Pcs MT
(-PPN)]]*1.11</f>
        <v>0</v>
      </c>
      <c r="AZ164" s="38">
        <f>Table43[[#This Row],[Harga Jual Pcs MT
(+PPN)]]*Table43[[#This Row],[ISI/CTN]]</f>
        <v>0</v>
      </c>
      <c r="BA164" s="46">
        <f>(Table43[[#This Row],[Harga Jual Pcs GT
(-PPN)]]-Table43[[#This Row],[Harga Beli Pcs
(-PPN)]])/Table43[[#This Row],[Harga Jual Pcs GT
(-PPN)]]</f>
        <v>6.5000000000000002E-2</v>
      </c>
      <c r="BB164" s="53">
        <f>Table43[[#This Row],[Harga Jual Pcs MT
(-PPN)]]-Table43[[#This Row],[Harga Beli Pcs
(-PPN)]]</f>
        <v>-1589.5</v>
      </c>
      <c r="BC164" s="54" t="e">
        <f>Table43[[#This Row],[Column1]]/Table43[[#This Row],[Harga Jual Pcs MT
(-PPN)]]</f>
        <v>#DIV/0!</v>
      </c>
      <c r="BD164" s="52"/>
      <c r="BE164" s="7"/>
      <c r="BF164" s="7" t="str">
        <f ca="1">IF(TODAY()-Table43[[#This Row],[Efektif
Pembuatan]]&gt;60,"Lama","Baru")</f>
        <v>Lama</v>
      </c>
      <c r="BG164" s="7" t="str">
        <f ca="1">IF(TODAY()-Table43[[#This Row],[Efektif Naik Harga]]&lt;30,"Naik","Sama")</f>
        <v>Sama</v>
      </c>
      <c r="BH164" s="7"/>
      <c r="BI164" s="7" t="str">
        <f>IF(Table43[[#This Row],[Kode BARANG Win2]]&lt;&gt;"","IDR","")</f>
        <v>IDR</v>
      </c>
      <c r="BJ164" s="7" t="str">
        <f>CONCATENATE(Table43[[#This Row],[kode  1 Digit
(Nomor)]],Table43[[#This Row],[kode  4 Digit                (Nomor)]])</f>
        <v>0004</v>
      </c>
      <c r="BK164" s="7" t="str">
        <f>Table43[[#This Row],[Nama            Gramasi atau Jumlah Pack per CTN]]</f>
        <v>4S</v>
      </c>
      <c r="BL164" s="7"/>
      <c r="BM164" s="7"/>
      <c r="BN164" s="4" t="str">
        <f>IF(Table43[[#This Row],[SATUAN Fix Win]]&lt;&gt;"","KRT")</f>
        <v>KRT</v>
      </c>
      <c r="BO164" s="4" t="str">
        <f>IF(Table43[[#This Row],[SATUAN Fix Win]]&lt;&gt;"","GD01")</f>
        <v>GD01</v>
      </c>
      <c r="BP164" s="4">
        <f>IF(Table43[[#This Row],[SATUAN Fix Win]]&lt;&gt;"",11611)</f>
        <v>11611</v>
      </c>
      <c r="BQ164" s="4">
        <f>IF(Table43[[#This Row],[SATUAN Fix Win]]&lt;&gt;"",11612)</f>
        <v>11612</v>
      </c>
      <c r="BS164" s="4">
        <f>IF(Table43[[#This Row],[SATUAN Fix Win]]&lt;&gt;"",1)</f>
        <v>1</v>
      </c>
      <c r="BU164" s="4">
        <f>Table43[[#This Row],[ISI/CTN]]</f>
        <v>120</v>
      </c>
    </row>
    <row r="165" spans="1:75">
      <c r="A165" s="4" t="str">
        <f>CONCATENATE(Table43[[#This Row],[Kode BARANG Win2]],Table43[[#This Row],[No. Urut
Item Sama]])</f>
        <v>G1076201000410</v>
      </c>
      <c r="B165" s="7"/>
      <c r="C165" s="31">
        <v>30112050004000</v>
      </c>
      <c r="D165" s="59">
        <v>40029462</v>
      </c>
      <c r="E165" s="60" t="s">
        <v>1941</v>
      </c>
      <c r="F165" s="59">
        <v>30112040004000</v>
      </c>
      <c r="G165" s="59">
        <v>0</v>
      </c>
      <c r="H165" s="60" t="s">
        <v>1216</v>
      </c>
      <c r="I165" s="60">
        <v>120</v>
      </c>
      <c r="J165" s="59" t="s">
        <v>1632</v>
      </c>
      <c r="K165" s="60" t="str">
        <f>Table43[[#This Row],[NamaJenisKemasan]]</f>
        <v>PCS</v>
      </c>
      <c r="L165" s="4" t="str">
        <f>TRIM(CONCATENATE(Table43[[#This Row],[Nama            KLP]]," ",Table43[[#This Row],[Nama            Sub KLP]]))</f>
        <v>HIT MAGIC</v>
      </c>
      <c r="M165" s="4" t="str">
        <f>CONCATENATE(Table43[[#This Row],[kode  2 Digit                (hrf+No)]],Table43[[#This Row],[kode  2 Digit                (Nomor)]],Table43[[#This Row],[kode  1 Digit                (Nomor)]])</f>
        <v>G1076</v>
      </c>
      <c r="N165" s="4" t="str">
        <f>IF(AI165="",CONCATENATE(S165,U165,W165,Y165,AA165,AC165,AE165,AG165,Table43[[#This Row],[Tanda Kode Revisi]]),CONCATENATE(S165,U165,W165,Y165,AA165,AC165,AE165,AI165))</f>
        <v>G1076201000410</v>
      </c>
      <c r="O165" s="11">
        <f t="shared" si="4"/>
        <v>14</v>
      </c>
      <c r="P165" s="14" t="str">
        <f>IF(AH165&lt;&gt;"",TRIM(UPPER(CONCATENATE(R165," ",T165," ",V165," ",X165," ",Z165," ",AB165," ","X"," ",Table43[[#This Row],[ISI/CTN]]," ",AH165," ",AD165," ",AF165," ",AJ165))),TRIM(UPPER(CONCATENATE(R165," ",T165," ",V165," ",X165," ",Z165," ",AB165," ","X"," ",Table43[[#This Row],[ISI/CTN]]," ",AD165," ",AF165," ",AJ165))))</f>
        <v>HIT MAGIC EXPERT PIRAMIDA CLASSIC LILY BLOSSOM 4S X 120 PCS</v>
      </c>
      <c r="Q165" s="11">
        <f t="shared" si="5"/>
        <v>59</v>
      </c>
      <c r="S165" s="7" t="s">
        <v>34</v>
      </c>
      <c r="T165" s="4" t="s">
        <v>2242</v>
      </c>
      <c r="U165" s="47" t="s">
        <v>2544</v>
      </c>
      <c r="V165" s="48" t="s">
        <v>2278</v>
      </c>
      <c r="W165" s="7">
        <v>6</v>
      </c>
      <c r="X165" s="48" t="s">
        <v>2543</v>
      </c>
      <c r="Y165" s="47" t="s">
        <v>2572</v>
      </c>
      <c r="Z165" s="4" t="s">
        <v>2280</v>
      </c>
      <c r="AA165" s="49" t="s">
        <v>1115</v>
      </c>
      <c r="AB165" s="4" t="s">
        <v>2286</v>
      </c>
      <c r="AC165" s="49" t="s">
        <v>2628</v>
      </c>
      <c r="AD165" s="4" t="s">
        <v>185</v>
      </c>
      <c r="AE165" s="7">
        <v>1</v>
      </c>
      <c r="AG165" s="7">
        <v>0</v>
      </c>
      <c r="AK165" s="70">
        <f>Table43[[#This Row],[Column4]]</f>
        <v>30112040004000</v>
      </c>
      <c r="AN165" s="7">
        <f>Table43[[#This Row],[ISI/CTN]]</f>
        <v>120</v>
      </c>
      <c r="AO165" s="61">
        <f>Table43[[#This Row],[Harga Jual Pcs GT
(-PPN)]]-(Table43[[#This Row],[Harga Jual Pcs GT
(-PPN)]]*6.5%)</f>
        <v>1589.5</v>
      </c>
      <c r="AP165" s="61">
        <f>Table43[[#This Row],[Harga Beli Pcs
(-PPN)]]*Table43[[#This Row],[ISI/CTN]]</f>
        <v>190740</v>
      </c>
      <c r="AQ165" s="61">
        <f>Table43[[#This Row],[Harga Beli Pcs
(-PPN)]]*1.11</f>
        <v>1764.3450000000003</v>
      </c>
      <c r="AR165" s="61">
        <f>Table43[[#This Row],[Harga Beli Krt
(- PPN)]]*1.11</f>
        <v>211721.40000000002</v>
      </c>
      <c r="AS165" s="61">
        <v>1700</v>
      </c>
      <c r="AT165" s="61">
        <f>Table43[[#This Row],[Harga Jual Pcs GT
(-PPN)]]*Table43[[#This Row],[ISI/CTN]]</f>
        <v>204000</v>
      </c>
      <c r="AU165" s="61">
        <f>Table43[[#This Row],[Harga Jual Pcs GT
(-PPN)]]*1.11</f>
        <v>1887.0000000000002</v>
      </c>
      <c r="AV165" s="61">
        <f>Table43[[#This Row],[Harga Jual Krt GT
(- PPN)]]*1.11</f>
        <v>226440.00000000003</v>
      </c>
      <c r="AW165" s="61">
        <f>IFERROR(VLOOKUP(Table43[[#This Row],[Kode Pcpl]],'[1]FEB 2026'!$A$3:$X$312,24,0),0)</f>
        <v>0</v>
      </c>
      <c r="AX165" s="61">
        <f>Table43[[#This Row],[Harga Jual Pcs MT
(-PPN)]]*Table43[[#This Row],[ISI/CTN]]</f>
        <v>0</v>
      </c>
      <c r="AY165" s="61">
        <f>Table43[[#This Row],[Harga Jual Pcs MT
(-PPN)]]*1.11</f>
        <v>0</v>
      </c>
      <c r="AZ165" s="61">
        <f>Table43[[#This Row],[Harga Jual Pcs MT
(+PPN)]]*Table43[[#This Row],[ISI/CTN]]</f>
        <v>0</v>
      </c>
      <c r="BA165" s="62">
        <f>(Table43[[#This Row],[Harga Jual Pcs GT
(-PPN)]]-Table43[[#This Row],[Harga Beli Pcs
(-PPN)]])/Table43[[#This Row],[Harga Jual Pcs GT
(-PPN)]]</f>
        <v>6.5000000000000002E-2</v>
      </c>
      <c r="BB165" s="63">
        <f>Table43[[#This Row],[Harga Jual Pcs MT
(-PPN)]]-Table43[[#This Row],[Harga Beli Pcs
(-PPN)]]</f>
        <v>-1589.5</v>
      </c>
      <c r="BC165" s="64" t="e">
        <f>Table43[[#This Row],[Column1]]/Table43[[#This Row],[Harga Jual Pcs MT
(-PPN)]]</f>
        <v>#DIV/0!</v>
      </c>
      <c r="BD165" s="52"/>
      <c r="BE165" s="7"/>
      <c r="BF165" s="7" t="str">
        <f ca="1">IF(TODAY()-Table43[[#This Row],[Efektif
Pembuatan]]&gt;60,"Lama","Baru")</f>
        <v>Lama</v>
      </c>
      <c r="BG165" s="7" t="str">
        <f ca="1">IF(TODAY()-Table43[[#This Row],[Efektif Naik Harga]]&lt;30,"Naik","Sama")</f>
        <v>Sama</v>
      </c>
      <c r="BH165" s="7"/>
      <c r="BI165" s="7" t="str">
        <f>IF(Table43[[#This Row],[Kode BARANG Win2]]&lt;&gt;"","IDR","")</f>
        <v>IDR</v>
      </c>
      <c r="BJ165" s="7" t="str">
        <f>CONCATENATE(Table43[[#This Row],[kode  1 Digit
(Nomor)]],Table43[[#This Row],[kode  4 Digit                (Nomor)]])</f>
        <v>0004</v>
      </c>
      <c r="BK165" s="7" t="str">
        <f>Table43[[#This Row],[Nama            Gramasi atau Jumlah Pack per CTN]]</f>
        <v>4S</v>
      </c>
      <c r="BL165" s="7"/>
      <c r="BM165" s="7"/>
      <c r="BN165" s="4" t="str">
        <f>IF(Table43[[#This Row],[SATUAN Fix Win]]&lt;&gt;"","KRT")</f>
        <v>KRT</v>
      </c>
      <c r="BO165" s="4" t="str">
        <f>IF(Table43[[#This Row],[SATUAN Fix Win]]&lt;&gt;"","GD01")</f>
        <v>GD01</v>
      </c>
      <c r="BP165" s="4">
        <f>IF(Table43[[#This Row],[SATUAN Fix Win]]&lt;&gt;"",11611)</f>
        <v>11611</v>
      </c>
      <c r="BQ165" s="4">
        <f>IF(Table43[[#This Row],[SATUAN Fix Win]]&lt;&gt;"",11612)</f>
        <v>11612</v>
      </c>
      <c r="BS165" s="4">
        <f>IF(Table43[[#This Row],[SATUAN Fix Win]]&lt;&gt;"",1)</f>
        <v>1</v>
      </c>
      <c r="BU165" s="4">
        <f>Table43[[#This Row],[ISI/CTN]]</f>
        <v>120</v>
      </c>
    </row>
    <row r="166" spans="1:75">
      <c r="A166" s="4" t="str">
        <f>CONCATENATE(Table43[[#This Row],[Kode BARANG Win2]],Table43[[#This Row],[No. Urut
Item Sama]])</f>
        <v>G1076201001010</v>
      </c>
      <c r="B166" s="7"/>
      <c r="C166" s="31">
        <v>30132050035010</v>
      </c>
      <c r="D166" s="51">
        <v>40043778</v>
      </c>
      <c r="E166" s="27" t="s">
        <v>1939</v>
      </c>
      <c r="F166" s="59">
        <v>30111040010000</v>
      </c>
      <c r="G166" s="51">
        <v>0</v>
      </c>
      <c r="H166" s="27" t="s">
        <v>1214</v>
      </c>
      <c r="I166" s="27">
        <v>36</v>
      </c>
      <c r="J166" s="51" t="s">
        <v>1630</v>
      </c>
      <c r="K166" s="27" t="str">
        <f>Table43[[#This Row],[NamaJenisKemasan]]</f>
        <v>PCS</v>
      </c>
      <c r="L166" s="4" t="str">
        <f>TRIM(CONCATENATE(Table43[[#This Row],[Nama            KLP]]," ",Table43[[#This Row],[Nama            Sub KLP]]))</f>
        <v>HIT MAGIC</v>
      </c>
      <c r="M166" s="4" t="str">
        <f>CONCATENATE(Table43[[#This Row],[kode  2 Digit                (hrf+No)]],Table43[[#This Row],[kode  2 Digit                (Nomor)]],Table43[[#This Row],[kode  1 Digit                (Nomor)]])</f>
        <v>G1076</v>
      </c>
      <c r="N166" s="4" t="str">
        <f>IF(AI166="",CONCATENATE(S166,U166,W166,Y166,AA166,AC166,AE166,AG166,Table43[[#This Row],[Tanda Kode Revisi]]),CONCATENATE(S166,U166,W166,Y166,AA166,AC166,AE166,AI166))</f>
        <v>G1076201001010</v>
      </c>
      <c r="O166" s="11">
        <f t="shared" si="4"/>
        <v>14</v>
      </c>
      <c r="P166" s="14" t="str">
        <f>IF(AH166&lt;&gt;"",TRIM(UPPER(CONCATENATE(R166," ",T166," ",V166," ",X166," ",Z166," ",AB166," ","X"," ",Table43[[#This Row],[ISI/CTN]]," ",AH166," ",AD166," ",AF166," ",AJ166))),TRIM(UPPER(CONCATENATE(R166," ",T166," ",V166," ",X166," ",Z166," ",AB166," ","X"," ",Table43[[#This Row],[ISI/CTN]]," ",AD166," ",AF166," ",AJ166))))</f>
        <v>HIT MAGIC EXPERT PIRAMIDA CLASSIC LILY BLOSSOM 10S X 36 PCS</v>
      </c>
      <c r="Q166" s="11">
        <f t="shared" si="5"/>
        <v>59</v>
      </c>
      <c r="S166" s="7" t="s">
        <v>34</v>
      </c>
      <c r="T166" s="4" t="s">
        <v>2242</v>
      </c>
      <c r="U166" s="47" t="s">
        <v>2544</v>
      </c>
      <c r="V166" s="48" t="s">
        <v>2278</v>
      </c>
      <c r="W166" s="7">
        <v>6</v>
      </c>
      <c r="X166" s="48" t="s">
        <v>2543</v>
      </c>
      <c r="Y166" s="47" t="s">
        <v>2572</v>
      </c>
      <c r="Z166" s="4" t="s">
        <v>2280</v>
      </c>
      <c r="AA166" s="49" t="s">
        <v>1115</v>
      </c>
      <c r="AB166" s="4" t="s">
        <v>2284</v>
      </c>
      <c r="AC166" s="49" t="s">
        <v>2592</v>
      </c>
      <c r="AD166" s="4" t="s">
        <v>185</v>
      </c>
      <c r="AE166" s="7">
        <v>1</v>
      </c>
      <c r="AG166" s="7">
        <v>0</v>
      </c>
      <c r="AK166" s="70">
        <f>Table43[[#This Row],[Column4]]</f>
        <v>30111040010000</v>
      </c>
      <c r="AN166" s="7">
        <f>Table43[[#This Row],[ISI/CTN]]</f>
        <v>36</v>
      </c>
      <c r="AO166" s="61">
        <f>Table43[[#This Row],[Harga Jual Pcs GT
(-PPN)]]-(Table43[[#This Row],[Harga Jual Pcs GT
(-PPN)]]*6.5%)</f>
        <v>4001.8</v>
      </c>
      <c r="AP166" s="61">
        <f>Table43[[#This Row],[Harga Beli Pcs
(-PPN)]]*Table43[[#This Row],[ISI/CTN]]</f>
        <v>144064.80000000002</v>
      </c>
      <c r="AQ166" s="61">
        <f>Table43[[#This Row],[Harga Beli Pcs
(-PPN)]]*1.11</f>
        <v>4441.9980000000005</v>
      </c>
      <c r="AR166" s="61">
        <f>Table43[[#This Row],[Harga Beli Krt
(- PPN)]]*1.11</f>
        <v>159911.92800000004</v>
      </c>
      <c r="AS166" s="61">
        <v>4280</v>
      </c>
      <c r="AT166" s="61">
        <f>Table43[[#This Row],[Harga Jual Pcs GT
(-PPN)]]*Table43[[#This Row],[ISI/CTN]]</f>
        <v>154080</v>
      </c>
      <c r="AU166" s="61">
        <f>Table43[[#This Row],[Harga Jual Pcs GT
(-PPN)]]*1.11</f>
        <v>4750.8</v>
      </c>
      <c r="AV166" s="61">
        <f>Table43[[#This Row],[Harga Jual Krt GT
(- PPN)]]*1.11</f>
        <v>171028.80000000002</v>
      </c>
      <c r="AW166" s="61">
        <f>IFERROR(VLOOKUP(Table43[[#This Row],[Kode Pcpl]],'[1]FEB 2026'!$A$3:$X$312,24,0),0)</f>
        <v>0</v>
      </c>
      <c r="AX166" s="61">
        <f>Table43[[#This Row],[Harga Jual Pcs MT
(-PPN)]]*Table43[[#This Row],[ISI/CTN]]</f>
        <v>0</v>
      </c>
      <c r="AY166" s="61">
        <f>Table43[[#This Row],[Harga Jual Pcs MT
(-PPN)]]*1.11</f>
        <v>0</v>
      </c>
      <c r="AZ166" s="61">
        <f>Table43[[#This Row],[Harga Jual Pcs MT
(+PPN)]]*Table43[[#This Row],[ISI/CTN]]</f>
        <v>0</v>
      </c>
      <c r="BA166" s="62">
        <f>(Table43[[#This Row],[Harga Jual Pcs GT
(-PPN)]]-Table43[[#This Row],[Harga Beli Pcs
(-PPN)]])/Table43[[#This Row],[Harga Jual Pcs GT
(-PPN)]]</f>
        <v>6.4999999999999961E-2</v>
      </c>
      <c r="BB166" s="63">
        <f>Table43[[#This Row],[Harga Jual Pcs MT
(-PPN)]]-Table43[[#This Row],[Harga Beli Pcs
(-PPN)]]</f>
        <v>-4001.8</v>
      </c>
      <c r="BC166" s="64" t="e">
        <f>Table43[[#This Row],[Column1]]/Table43[[#This Row],[Harga Jual Pcs MT
(-PPN)]]</f>
        <v>#DIV/0!</v>
      </c>
      <c r="BD166" s="52"/>
      <c r="BE166" s="7"/>
      <c r="BF166" s="7" t="str">
        <f ca="1">IF(TODAY()-Table43[[#This Row],[Efektif
Pembuatan]]&gt;60,"Lama","Baru")</f>
        <v>Lama</v>
      </c>
      <c r="BG166" s="7" t="str">
        <f ca="1">IF(TODAY()-Table43[[#This Row],[Efektif Naik Harga]]&lt;30,"Naik","Sama")</f>
        <v>Sama</v>
      </c>
      <c r="BH166" s="7"/>
      <c r="BI166" s="7" t="str">
        <f>IF(Table43[[#This Row],[Kode BARANG Win2]]&lt;&gt;"","IDR","")</f>
        <v>IDR</v>
      </c>
      <c r="BJ166" s="7" t="str">
        <f>CONCATENATE(Table43[[#This Row],[kode  1 Digit
(Nomor)]],Table43[[#This Row],[kode  4 Digit                (Nomor)]])</f>
        <v>0010</v>
      </c>
      <c r="BK166" s="7" t="str">
        <f>Table43[[#This Row],[Nama            Gramasi atau Jumlah Pack per CTN]]</f>
        <v>10S</v>
      </c>
      <c r="BL166" s="7"/>
      <c r="BM166" s="7"/>
      <c r="BN166" s="4" t="str">
        <f>IF(Table43[[#This Row],[SATUAN Fix Win]]&lt;&gt;"","KRT")</f>
        <v>KRT</v>
      </c>
      <c r="BO166" s="4" t="str">
        <f>IF(Table43[[#This Row],[SATUAN Fix Win]]&lt;&gt;"","GD01")</f>
        <v>GD01</v>
      </c>
      <c r="BP166" s="4">
        <f>IF(Table43[[#This Row],[SATUAN Fix Win]]&lt;&gt;"",11611)</f>
        <v>11611</v>
      </c>
      <c r="BQ166" s="4">
        <f>IF(Table43[[#This Row],[SATUAN Fix Win]]&lt;&gt;"",11612)</f>
        <v>11612</v>
      </c>
      <c r="BS166" s="4">
        <f>IF(Table43[[#This Row],[SATUAN Fix Win]]&lt;&gt;"",1)</f>
        <v>1</v>
      </c>
      <c r="BU166" s="4">
        <f>Table43[[#This Row],[ISI/CTN]]</f>
        <v>36</v>
      </c>
    </row>
    <row r="167" spans="1:75">
      <c r="A167" s="4" t="str">
        <f>CONCATENATE(Table43[[#This Row],[Kode BARANG Win2]],Table43[[#This Row],[No. Urut
Item Sama]])</f>
        <v>G1076202000410</v>
      </c>
      <c r="B167" s="7"/>
      <c r="C167" s="31">
        <v>30132060045010</v>
      </c>
      <c r="D167" s="51">
        <v>40043777</v>
      </c>
      <c r="E167" s="27" t="s">
        <v>1942</v>
      </c>
      <c r="F167" s="51">
        <v>30112050004000</v>
      </c>
      <c r="G167" s="51">
        <v>0</v>
      </c>
      <c r="H167" s="27" t="s">
        <v>1219</v>
      </c>
      <c r="I167" s="27">
        <v>120</v>
      </c>
      <c r="J167" s="51" t="s">
        <v>1633</v>
      </c>
      <c r="K167" s="27" t="str">
        <f>Table43[[#This Row],[NamaJenisKemasan]]</f>
        <v>PCS</v>
      </c>
      <c r="L167" s="4" t="str">
        <f>TRIM(CONCATENATE(Table43[[#This Row],[Nama            KLP]]," ",Table43[[#This Row],[Nama            Sub KLP]]))</f>
        <v>HIT MAGIC</v>
      </c>
      <c r="M167" s="4" t="str">
        <f>CONCATENATE(Table43[[#This Row],[kode  2 Digit                (hrf+No)]],Table43[[#This Row],[kode  2 Digit                (Nomor)]],Table43[[#This Row],[kode  1 Digit                (Nomor)]])</f>
        <v>G1076</v>
      </c>
      <c r="N167" s="4" t="str">
        <f>IF(AI167="",CONCATENATE(S167,U167,W167,Y167,AA167,AC167,AE167,AG167,Table43[[#This Row],[Tanda Kode Revisi]]),CONCATENATE(S167,U167,W167,Y167,AA167,AC167,AE167,AI167))</f>
        <v>G1076202000410</v>
      </c>
      <c r="O167" s="11">
        <f t="shared" si="4"/>
        <v>14</v>
      </c>
      <c r="P167" s="14" t="str">
        <f>IF(AH167&lt;&gt;"",TRIM(UPPER(CONCATENATE(R167," ",T167," ",V167," ",X167," ",Z167," ",AB167," ","X"," ",Table43[[#This Row],[ISI/CTN]]," ",AH167," ",AD167," ",AF167," ",AJ167))),TRIM(UPPER(CONCATENATE(R167," ",T167," ",V167," ",X167," ",Z167," ",AB167," ","X"," ",Table43[[#This Row],[ISI/CTN]]," ",AD167," ",AF167," ",AJ167))))</f>
        <v>HIT MAGIC EXPERT PIRAMIDA FLORAL BLOSSOM 4S X 120 PCS</v>
      </c>
      <c r="Q167" s="11">
        <f t="shared" si="5"/>
        <v>53</v>
      </c>
      <c r="S167" s="7" t="s">
        <v>34</v>
      </c>
      <c r="T167" s="4" t="s">
        <v>2242</v>
      </c>
      <c r="U167" s="47" t="s">
        <v>2544</v>
      </c>
      <c r="V167" s="48" t="s">
        <v>2278</v>
      </c>
      <c r="W167" s="7">
        <v>6</v>
      </c>
      <c r="X167" s="48" t="s">
        <v>2543</v>
      </c>
      <c r="Y167" s="47" t="s">
        <v>2572</v>
      </c>
      <c r="Z167" s="4" t="s">
        <v>2283</v>
      </c>
      <c r="AA167" s="49" t="s">
        <v>2459</v>
      </c>
      <c r="AB167" s="4" t="s">
        <v>2286</v>
      </c>
      <c r="AC167" s="49" t="s">
        <v>2628</v>
      </c>
      <c r="AD167" s="4" t="s">
        <v>185</v>
      </c>
      <c r="AE167" s="7">
        <v>1</v>
      </c>
      <c r="AG167" s="7">
        <v>0</v>
      </c>
      <c r="AK167" s="70">
        <f>Table43[[#This Row],[Column4]]</f>
        <v>30112050004000</v>
      </c>
      <c r="AN167" s="7">
        <f>Table43[[#This Row],[ISI/CTN]]</f>
        <v>120</v>
      </c>
      <c r="AO167" s="38">
        <f>Table43[[#This Row],[Harga Jual Pcs GT
(-PPN)]]-(Table43[[#This Row],[Harga Jual Pcs GT
(-PPN)]]*6.5%)</f>
        <v>1589.5</v>
      </c>
      <c r="AP167" s="38">
        <f>Table43[[#This Row],[Harga Beli Pcs
(-PPN)]]*Table43[[#This Row],[ISI/CTN]]</f>
        <v>190740</v>
      </c>
      <c r="AQ167" s="38">
        <f>Table43[[#This Row],[Harga Beli Pcs
(-PPN)]]*1.11</f>
        <v>1764.3450000000003</v>
      </c>
      <c r="AR167" s="38">
        <f>Table43[[#This Row],[Harga Beli Krt
(- PPN)]]*1.11</f>
        <v>211721.40000000002</v>
      </c>
      <c r="AS167" s="38">
        <v>1700</v>
      </c>
      <c r="AT167" s="38">
        <f>Table43[[#This Row],[Harga Jual Pcs GT
(-PPN)]]*Table43[[#This Row],[ISI/CTN]]</f>
        <v>204000</v>
      </c>
      <c r="AU167" s="38">
        <f>Table43[[#This Row],[Harga Jual Pcs GT
(-PPN)]]*1.11</f>
        <v>1887.0000000000002</v>
      </c>
      <c r="AV167" s="38">
        <f>Table43[[#This Row],[Harga Jual Krt GT
(- PPN)]]*1.11</f>
        <v>226440.00000000003</v>
      </c>
      <c r="AW167" s="38">
        <f>IFERROR(VLOOKUP(Table43[[#This Row],[Kode Pcpl]],'[1]FEB 2026'!$A$3:$X$312,24,0),0)</f>
        <v>0</v>
      </c>
      <c r="AX167" s="38">
        <f>Table43[[#This Row],[Harga Jual Pcs MT
(-PPN)]]*Table43[[#This Row],[ISI/CTN]]</f>
        <v>0</v>
      </c>
      <c r="AY167" s="38">
        <f>Table43[[#This Row],[Harga Jual Pcs MT
(-PPN)]]*1.11</f>
        <v>0</v>
      </c>
      <c r="AZ167" s="38">
        <f>Table43[[#This Row],[Harga Jual Pcs MT
(+PPN)]]*Table43[[#This Row],[ISI/CTN]]</f>
        <v>0</v>
      </c>
      <c r="BA167" s="46">
        <f>(Table43[[#This Row],[Harga Jual Pcs GT
(-PPN)]]-Table43[[#This Row],[Harga Beli Pcs
(-PPN)]])/Table43[[#This Row],[Harga Jual Pcs GT
(-PPN)]]</f>
        <v>6.5000000000000002E-2</v>
      </c>
      <c r="BB167" s="53">
        <f>Table43[[#This Row],[Harga Jual Pcs MT
(-PPN)]]-Table43[[#This Row],[Harga Beli Pcs
(-PPN)]]</f>
        <v>-1589.5</v>
      </c>
      <c r="BC167" s="54" t="e">
        <f>Table43[[#This Row],[Column1]]/Table43[[#This Row],[Harga Jual Pcs MT
(-PPN)]]</f>
        <v>#DIV/0!</v>
      </c>
      <c r="BD167" s="52"/>
      <c r="BE167" s="7"/>
      <c r="BF167" s="7" t="str">
        <f ca="1">IF(TODAY()-Table43[[#This Row],[Efektif
Pembuatan]]&gt;60,"Lama","Baru")</f>
        <v>Lama</v>
      </c>
      <c r="BG167" s="7" t="str">
        <f ca="1">IF(TODAY()-Table43[[#This Row],[Efektif Naik Harga]]&lt;30,"Naik","Sama")</f>
        <v>Sama</v>
      </c>
      <c r="BH167" s="7"/>
      <c r="BI167" s="7" t="str">
        <f>IF(Table43[[#This Row],[Kode BARANG Win2]]&lt;&gt;"","IDR","")</f>
        <v>IDR</v>
      </c>
      <c r="BJ167" s="7" t="str">
        <f>CONCATENATE(Table43[[#This Row],[kode  1 Digit
(Nomor)]],Table43[[#This Row],[kode  4 Digit                (Nomor)]])</f>
        <v>0004</v>
      </c>
      <c r="BK167" s="7" t="str">
        <f>Table43[[#This Row],[Nama            Gramasi atau Jumlah Pack per CTN]]</f>
        <v>4S</v>
      </c>
      <c r="BL167" s="7"/>
      <c r="BM167" s="7"/>
      <c r="BN167" s="4" t="str">
        <f>IF(Table43[[#This Row],[SATUAN Fix Win]]&lt;&gt;"","KRT")</f>
        <v>KRT</v>
      </c>
      <c r="BO167" s="4" t="str">
        <f>IF(Table43[[#This Row],[SATUAN Fix Win]]&lt;&gt;"","GD01")</f>
        <v>GD01</v>
      </c>
      <c r="BP167" s="4">
        <f>IF(Table43[[#This Row],[SATUAN Fix Win]]&lt;&gt;"",11611)</f>
        <v>11611</v>
      </c>
      <c r="BQ167" s="4">
        <f>IF(Table43[[#This Row],[SATUAN Fix Win]]&lt;&gt;"",11612)</f>
        <v>11612</v>
      </c>
      <c r="BS167" s="4">
        <f>IF(Table43[[#This Row],[SATUAN Fix Win]]&lt;&gt;"",1)</f>
        <v>1</v>
      </c>
      <c r="BU167" s="4">
        <f>Table43[[#This Row],[ISI/CTN]]</f>
        <v>120</v>
      </c>
    </row>
    <row r="168" spans="1:75">
      <c r="A168" s="4" t="str">
        <f>CONCATENATE(Table43[[#This Row],[Kode BARANG Win2]],Table43[[#This Row],[No. Urut
Item Sama]])</f>
        <v>G1076202000410</v>
      </c>
      <c r="B168" s="7"/>
      <c r="C168" s="31">
        <v>30112050004000</v>
      </c>
      <c r="D168" s="51">
        <v>40029461</v>
      </c>
      <c r="E168" s="27" t="s">
        <v>1942</v>
      </c>
      <c r="F168" s="51">
        <v>30112050004000</v>
      </c>
      <c r="G168" s="51">
        <v>0</v>
      </c>
      <c r="H168" s="27" t="s">
        <v>1218</v>
      </c>
      <c r="I168" s="27">
        <v>120</v>
      </c>
      <c r="J168" s="51" t="s">
        <v>1633</v>
      </c>
      <c r="K168" s="27" t="str">
        <f>Table43[[#This Row],[NamaJenisKemasan]]</f>
        <v>PCS</v>
      </c>
      <c r="L168" s="4" t="str">
        <f>TRIM(CONCATENATE(Table43[[#This Row],[Nama            KLP]]," ",Table43[[#This Row],[Nama            Sub KLP]]))</f>
        <v>HIT MAGIC</v>
      </c>
      <c r="M168" s="4" t="str">
        <f>CONCATENATE(Table43[[#This Row],[kode  2 Digit                (hrf+No)]],Table43[[#This Row],[kode  2 Digit                (Nomor)]],Table43[[#This Row],[kode  1 Digit                (Nomor)]])</f>
        <v>G1076</v>
      </c>
      <c r="N168" s="4" t="str">
        <f>IF(AI168="",CONCATENATE(S168,U168,W168,Y168,AA168,AC168,AE168,AG168,Table43[[#This Row],[Tanda Kode Revisi]]),CONCATENATE(S168,U168,W168,Y168,AA168,AC168,AE168,AI168))</f>
        <v>G1076202000410</v>
      </c>
      <c r="O168" s="11">
        <f t="shared" si="4"/>
        <v>14</v>
      </c>
      <c r="P168" s="14" t="str">
        <f>IF(AH168&lt;&gt;"",TRIM(UPPER(CONCATENATE(R168," ",T168," ",V168," ",X168," ",Z168," ",AB168," ","X"," ",Table43[[#This Row],[ISI/CTN]]," ",AH168," ",AD168," ",AF168," ",AJ168))),TRIM(UPPER(CONCATENATE(R168," ",T168," ",V168," ",X168," ",Z168," ",AB168," ","X"," ",Table43[[#This Row],[ISI/CTN]]," ",AD168," ",AF168," ",AJ168))))</f>
        <v>HIT MAGIC EXPERT PIRAMIDA FLORAL BLOSSOM 4S X 120 PCS</v>
      </c>
      <c r="Q168" s="11">
        <f t="shared" si="5"/>
        <v>53</v>
      </c>
      <c r="S168" s="7" t="s">
        <v>34</v>
      </c>
      <c r="T168" s="4" t="s">
        <v>2242</v>
      </c>
      <c r="U168" s="47" t="s">
        <v>2544</v>
      </c>
      <c r="V168" s="48" t="s">
        <v>2278</v>
      </c>
      <c r="W168" s="7">
        <v>6</v>
      </c>
      <c r="X168" s="48" t="s">
        <v>2543</v>
      </c>
      <c r="Y168" s="47" t="s">
        <v>2572</v>
      </c>
      <c r="Z168" s="4" t="s">
        <v>2283</v>
      </c>
      <c r="AA168" s="49" t="s">
        <v>2459</v>
      </c>
      <c r="AB168" s="4" t="s">
        <v>2286</v>
      </c>
      <c r="AC168" s="49" t="s">
        <v>2628</v>
      </c>
      <c r="AD168" s="4" t="s">
        <v>185</v>
      </c>
      <c r="AE168" s="7">
        <v>1</v>
      </c>
      <c r="AG168" s="7">
        <v>0</v>
      </c>
      <c r="AK168" s="70">
        <f>Table43[[#This Row],[Column4]]</f>
        <v>30112050004000</v>
      </c>
      <c r="AN168" s="7">
        <f>Table43[[#This Row],[ISI/CTN]]</f>
        <v>120</v>
      </c>
      <c r="AO168" s="61">
        <f>Table43[[#This Row],[Harga Jual Pcs GT
(-PPN)]]-(Table43[[#This Row],[Harga Jual Pcs GT
(-PPN)]]*6.5%)</f>
        <v>1589.5</v>
      </c>
      <c r="AP168" s="61">
        <f>Table43[[#This Row],[Harga Beli Pcs
(-PPN)]]*Table43[[#This Row],[ISI/CTN]]</f>
        <v>190740</v>
      </c>
      <c r="AQ168" s="61">
        <f>Table43[[#This Row],[Harga Beli Pcs
(-PPN)]]*1.11</f>
        <v>1764.3450000000003</v>
      </c>
      <c r="AR168" s="61">
        <f>Table43[[#This Row],[Harga Beli Krt
(- PPN)]]*1.11</f>
        <v>211721.40000000002</v>
      </c>
      <c r="AS168" s="61">
        <v>1700</v>
      </c>
      <c r="AT168" s="61">
        <f>Table43[[#This Row],[Harga Jual Pcs GT
(-PPN)]]*Table43[[#This Row],[ISI/CTN]]</f>
        <v>204000</v>
      </c>
      <c r="AU168" s="61">
        <f>Table43[[#This Row],[Harga Jual Pcs GT
(-PPN)]]*1.11</f>
        <v>1887.0000000000002</v>
      </c>
      <c r="AV168" s="61">
        <f>Table43[[#This Row],[Harga Jual Krt GT
(- PPN)]]*1.11</f>
        <v>226440.00000000003</v>
      </c>
      <c r="AW168" s="61">
        <f>IFERROR(VLOOKUP(Table43[[#This Row],[Kode Pcpl]],'[1]FEB 2026'!$A$3:$X$312,24,0),0)</f>
        <v>0</v>
      </c>
      <c r="AX168" s="61">
        <f>Table43[[#This Row],[Harga Jual Pcs MT
(-PPN)]]*Table43[[#This Row],[ISI/CTN]]</f>
        <v>0</v>
      </c>
      <c r="AY168" s="61">
        <f>Table43[[#This Row],[Harga Jual Pcs MT
(-PPN)]]*1.11</f>
        <v>0</v>
      </c>
      <c r="AZ168" s="61">
        <f>Table43[[#This Row],[Harga Jual Pcs MT
(+PPN)]]*Table43[[#This Row],[ISI/CTN]]</f>
        <v>0</v>
      </c>
      <c r="BA168" s="62">
        <f>(Table43[[#This Row],[Harga Jual Pcs GT
(-PPN)]]-Table43[[#This Row],[Harga Beli Pcs
(-PPN)]])/Table43[[#This Row],[Harga Jual Pcs GT
(-PPN)]]</f>
        <v>6.5000000000000002E-2</v>
      </c>
      <c r="BB168" s="63">
        <f>Table43[[#This Row],[Harga Jual Pcs MT
(-PPN)]]-Table43[[#This Row],[Harga Beli Pcs
(-PPN)]]</f>
        <v>-1589.5</v>
      </c>
      <c r="BC168" s="64" t="e">
        <f>Table43[[#This Row],[Column1]]/Table43[[#This Row],[Harga Jual Pcs MT
(-PPN)]]</f>
        <v>#DIV/0!</v>
      </c>
      <c r="BD168" s="52"/>
      <c r="BE168" s="7"/>
      <c r="BF168" s="7" t="str">
        <f ca="1">IF(TODAY()-Table43[[#This Row],[Efektif
Pembuatan]]&gt;60,"Lama","Baru")</f>
        <v>Lama</v>
      </c>
      <c r="BG168" s="7" t="str">
        <f ca="1">IF(TODAY()-Table43[[#This Row],[Efektif Naik Harga]]&lt;30,"Naik","Sama")</f>
        <v>Sama</v>
      </c>
      <c r="BH168" s="7"/>
      <c r="BI168" s="7" t="str">
        <f>IF(Table43[[#This Row],[Kode BARANG Win2]]&lt;&gt;"","IDR","")</f>
        <v>IDR</v>
      </c>
      <c r="BJ168" s="7" t="str">
        <f>CONCATENATE(Table43[[#This Row],[kode  1 Digit
(Nomor)]],Table43[[#This Row],[kode  4 Digit                (Nomor)]])</f>
        <v>0004</v>
      </c>
      <c r="BK168" s="7" t="str">
        <f>Table43[[#This Row],[Nama            Gramasi atau Jumlah Pack per CTN]]</f>
        <v>4S</v>
      </c>
      <c r="BL168" s="7"/>
      <c r="BM168" s="7"/>
      <c r="BN168" s="4" t="str">
        <f>IF(Table43[[#This Row],[SATUAN Fix Win]]&lt;&gt;"","KRT")</f>
        <v>KRT</v>
      </c>
      <c r="BO168" s="4" t="str">
        <f>IF(Table43[[#This Row],[SATUAN Fix Win]]&lt;&gt;"","GD01")</f>
        <v>GD01</v>
      </c>
      <c r="BP168" s="4">
        <f>IF(Table43[[#This Row],[SATUAN Fix Win]]&lt;&gt;"",11611)</f>
        <v>11611</v>
      </c>
      <c r="BQ168" s="4">
        <f>IF(Table43[[#This Row],[SATUAN Fix Win]]&lt;&gt;"",11612)</f>
        <v>11612</v>
      </c>
      <c r="BS168" s="4">
        <f>IF(Table43[[#This Row],[SATUAN Fix Win]]&lt;&gt;"",1)</f>
        <v>1</v>
      </c>
      <c r="BU168" s="4">
        <f>Table43[[#This Row],[ISI/CTN]]</f>
        <v>120</v>
      </c>
    </row>
    <row r="169" spans="1:75">
      <c r="A169" s="4" t="str">
        <f>CONCATENATE(Table43[[#This Row],[Kode BARANG Win2]],Table43[[#This Row],[No. Urut
Item Sama]])</f>
        <v>G1076202000410</v>
      </c>
      <c r="B169" s="7"/>
      <c r="C169" s="31"/>
      <c r="D169" s="51">
        <v>40024946</v>
      </c>
      <c r="E169" s="27"/>
      <c r="F169" s="51"/>
      <c r="G169" s="51"/>
      <c r="H169" s="27"/>
      <c r="I169" s="27">
        <v>120</v>
      </c>
      <c r="J169" s="51" t="s">
        <v>1633</v>
      </c>
      <c r="K169" s="27" t="str">
        <f>Table43[[#This Row],[NamaJenisKemasan]]</f>
        <v>PCS</v>
      </c>
      <c r="L169" s="4" t="str">
        <f>TRIM(CONCATENATE(Table43[[#This Row],[Nama            KLP]]," ",Table43[[#This Row],[Nama            Sub KLP]]))</f>
        <v>HIT MAGIC</v>
      </c>
      <c r="M169" s="4" t="str">
        <f>CONCATENATE(Table43[[#This Row],[kode  2 Digit                (hrf+No)]],Table43[[#This Row],[kode  2 Digit                (Nomor)]],Table43[[#This Row],[kode  1 Digit                (Nomor)]])</f>
        <v>G1076</v>
      </c>
      <c r="N169" s="4" t="str">
        <f>IF(AI169="",CONCATENATE(S169,U169,W169,Y169,AA169,AC169,AE169,AG169,Table43[[#This Row],[Tanda Kode Revisi]]),CONCATENATE(S169,U169,W169,Y169,AA169,AC169,AE169,AI169))</f>
        <v>G1076202000410</v>
      </c>
      <c r="O169" s="11">
        <f>LEN(N169)</f>
        <v>14</v>
      </c>
      <c r="P169" s="14" t="str">
        <f>IF(AH169&lt;&gt;"",TRIM(UPPER(CONCATENATE(R169," ",T169," ",V169," ",X169," ",Z169," ",AB169," ","X"," ",Table43[[#This Row],[ISI/CTN]]," ",AH169," ",AD169," ",AF169," ",AJ169))),TRIM(UPPER(CONCATENATE(R169," ",T169," ",V169," ",X169," ",Z169," ",AB169," ","X"," ",Table43[[#This Row],[ISI/CTN]]," ",AD169," ",AF169," ",AJ169))))</f>
        <v>HIT MAGIC EXPERT PIRAMIDA FLORAL BLOSSOM 4S X 120 PCS</v>
      </c>
      <c r="Q169" s="11">
        <f>LEN(P169)</f>
        <v>53</v>
      </c>
      <c r="S169" s="7" t="s">
        <v>34</v>
      </c>
      <c r="T169" s="4" t="s">
        <v>2242</v>
      </c>
      <c r="U169" s="47" t="s">
        <v>2544</v>
      </c>
      <c r="V169" s="48" t="s">
        <v>2278</v>
      </c>
      <c r="W169" s="7">
        <v>6</v>
      </c>
      <c r="X169" s="48" t="s">
        <v>2543</v>
      </c>
      <c r="Y169" s="47" t="s">
        <v>2572</v>
      </c>
      <c r="Z169" s="4" t="s">
        <v>2283</v>
      </c>
      <c r="AA169" s="49" t="s">
        <v>2459</v>
      </c>
      <c r="AB169" s="4" t="s">
        <v>2286</v>
      </c>
      <c r="AC169" s="49" t="s">
        <v>2628</v>
      </c>
      <c r="AD169" s="4" t="s">
        <v>185</v>
      </c>
      <c r="AE169" s="7">
        <v>1</v>
      </c>
      <c r="AG169" s="7">
        <v>0</v>
      </c>
      <c r="AK169" s="70">
        <f>Table43[[#This Row],[Column4]]</f>
        <v>0</v>
      </c>
      <c r="AN169" s="7">
        <f>Table43[[#This Row],[ISI/CTN]]</f>
        <v>120</v>
      </c>
      <c r="AO169" s="61">
        <f>Table43[[#This Row],[Harga Jual Pcs GT
(-PPN)]]-(Table43[[#This Row],[Harga Jual Pcs GT
(-PPN)]]*6.5%)</f>
        <v>0</v>
      </c>
      <c r="AP169" s="61">
        <f>Table43[[#This Row],[Harga Beli Pcs
(-PPN)]]*Table43[[#This Row],[ISI/CTN]]</f>
        <v>0</v>
      </c>
      <c r="AQ169" s="61">
        <f>Table43[[#This Row],[Harga Beli Pcs
(-PPN)]]*1.11</f>
        <v>0</v>
      </c>
      <c r="AR169" s="61">
        <f>Table43[[#This Row],[Harga Beli Krt
(- PPN)]]*1.11</f>
        <v>0</v>
      </c>
      <c r="AS169" s="61"/>
      <c r="AT169" s="61">
        <f>Table43[[#This Row],[Harga Jual Pcs GT
(-PPN)]]*Table43[[#This Row],[ISI/CTN]]</f>
        <v>0</v>
      </c>
      <c r="AU169" s="61">
        <f>Table43[[#This Row],[Harga Jual Pcs GT
(-PPN)]]*1.11</f>
        <v>0</v>
      </c>
      <c r="AV169" s="61">
        <f>Table43[[#This Row],[Harga Jual Krt GT
(- PPN)]]*1.11</f>
        <v>0</v>
      </c>
      <c r="AW169" s="61">
        <f>IFERROR(VLOOKUP(Table43[[#This Row],[Kode Pcpl]],'[1]FEB 2026'!$A$3:$X$312,24,0),0)</f>
        <v>0</v>
      </c>
      <c r="AX169" s="61">
        <f>Table43[[#This Row],[Harga Jual Pcs MT
(-PPN)]]*Table43[[#This Row],[ISI/CTN]]</f>
        <v>0</v>
      </c>
      <c r="AY169" s="61">
        <f>Table43[[#This Row],[Harga Jual Pcs MT
(-PPN)]]*1.11</f>
        <v>0</v>
      </c>
      <c r="AZ169" s="61">
        <f>Table43[[#This Row],[Harga Jual Pcs MT
(+PPN)]]*Table43[[#This Row],[ISI/CTN]]</f>
        <v>0</v>
      </c>
      <c r="BA169" s="62" t="e">
        <f>(Table43[[#This Row],[Harga Jual Pcs GT
(-PPN)]]-Table43[[#This Row],[Harga Beli Pcs
(-PPN)]])/Table43[[#This Row],[Harga Jual Pcs GT
(-PPN)]]</f>
        <v>#DIV/0!</v>
      </c>
      <c r="BB169" s="63">
        <f>Table43[[#This Row],[Harga Jual Pcs MT
(-PPN)]]-Table43[[#This Row],[Harga Beli Pcs
(-PPN)]]</f>
        <v>0</v>
      </c>
      <c r="BC169" s="64" t="e">
        <f>Table43[[#This Row],[Column1]]/Table43[[#This Row],[Harga Jual Pcs MT
(-PPN)]]</f>
        <v>#DIV/0!</v>
      </c>
      <c r="BD169" s="52"/>
      <c r="BE169" s="7"/>
      <c r="BF169" s="7" t="str">
        <f ca="1">IF(TODAY()-Table43[[#This Row],[Efektif
Pembuatan]]&gt;60,"Lama","Baru")</f>
        <v>Lama</v>
      </c>
      <c r="BG169" s="7" t="str">
        <f ca="1">IF(TODAY()-Table43[[#This Row],[Efektif Naik Harga]]&lt;30,"Naik","Sama")</f>
        <v>Sama</v>
      </c>
      <c r="BH169" s="7"/>
      <c r="BI169" s="7" t="str">
        <f>IF(Table43[[#This Row],[Kode BARANG Win2]]&lt;&gt;"","IDR","")</f>
        <v>IDR</v>
      </c>
      <c r="BJ169" s="7" t="str">
        <f>CONCATENATE(Table43[[#This Row],[kode  1 Digit
(Nomor)]],Table43[[#This Row],[kode  4 Digit                (Nomor)]])</f>
        <v>0004</v>
      </c>
      <c r="BK169" s="7" t="str">
        <f>Table43[[#This Row],[Nama            Gramasi atau Jumlah Pack per CTN]]</f>
        <v>4S</v>
      </c>
      <c r="BL169" s="7"/>
      <c r="BM169" s="7"/>
      <c r="BN169" s="4" t="str">
        <f>IF(Table43[[#This Row],[SATUAN Fix Win]]&lt;&gt;"","KRT")</f>
        <v>KRT</v>
      </c>
      <c r="BO169" s="4" t="str">
        <f>IF(Table43[[#This Row],[SATUAN Fix Win]]&lt;&gt;"","GD01")</f>
        <v>GD01</v>
      </c>
      <c r="BP169" s="4">
        <f>IF(Table43[[#This Row],[SATUAN Fix Win]]&lt;&gt;"",11611)</f>
        <v>11611</v>
      </c>
      <c r="BQ169" s="4">
        <f>IF(Table43[[#This Row],[SATUAN Fix Win]]&lt;&gt;"",11612)</f>
        <v>11612</v>
      </c>
      <c r="BS169" s="4">
        <f>IF(Table43[[#This Row],[SATUAN Fix Win]]&lt;&gt;"",1)</f>
        <v>1</v>
      </c>
      <c r="BU169" s="4">
        <f>Table43[[#This Row],[ISI/CTN]]</f>
        <v>120</v>
      </c>
    </row>
    <row r="170" spans="1:75">
      <c r="A170" s="4" t="str">
        <f>CONCATENATE(Table43[[#This Row],[Kode BARANG Win2]],Table43[[#This Row],[No. Urut
Item Sama]])</f>
        <v>G1076202001010</v>
      </c>
      <c r="B170" s="7"/>
      <c r="C170" s="31">
        <v>30132050045010</v>
      </c>
      <c r="D170" s="51">
        <v>40043779</v>
      </c>
      <c r="E170" s="27" t="s">
        <v>1940</v>
      </c>
      <c r="F170" s="51">
        <v>30111050010000</v>
      </c>
      <c r="G170" s="51">
        <v>0</v>
      </c>
      <c r="H170" s="27" t="s">
        <v>1215</v>
      </c>
      <c r="I170" s="27">
        <v>36</v>
      </c>
      <c r="J170" s="51" t="s">
        <v>1631</v>
      </c>
      <c r="K170" s="27" t="str">
        <f>Table43[[#This Row],[NamaJenisKemasan]]</f>
        <v>PCS</v>
      </c>
      <c r="L170" s="4" t="str">
        <f>TRIM(CONCATENATE(Table43[[#This Row],[Nama            KLP]]," ",Table43[[#This Row],[Nama            Sub KLP]]))</f>
        <v>HIT MAGIC</v>
      </c>
      <c r="M170" s="4" t="str">
        <f>CONCATENATE(Table43[[#This Row],[kode  2 Digit                (hrf+No)]],Table43[[#This Row],[kode  2 Digit                (Nomor)]],Table43[[#This Row],[kode  1 Digit                (Nomor)]])</f>
        <v>G1076</v>
      </c>
      <c r="N170" s="4" t="str">
        <f>IF(AI170="",CONCATENATE(S170,U170,W170,Y170,AA170,AC170,AE170,AG170,Table43[[#This Row],[Tanda Kode Revisi]]),CONCATENATE(S170,U170,W170,Y170,AA170,AC170,AE170,AI170))</f>
        <v>G1076202001010</v>
      </c>
      <c r="O170" s="11">
        <f t="shared" si="4"/>
        <v>14</v>
      </c>
      <c r="P170" s="14" t="str">
        <f>IF(AH170&lt;&gt;"",TRIM(UPPER(CONCATENATE(R170," ",T170," ",V170," ",X170," ",Z170," ",AB170," ","X"," ",Table43[[#This Row],[ISI/CTN]]," ",AH170," ",AD170," ",AF170," ",AJ170))),TRIM(UPPER(CONCATENATE(R170," ",T170," ",V170," ",X170," ",Z170," ",AB170," ","X"," ",Table43[[#This Row],[ISI/CTN]]," ",AD170," ",AF170," ",AJ170))))</f>
        <v>HIT MAGIC EXPERT PIRAMIDA FLORAL BLOSSOM 10S X 36 PCS</v>
      </c>
      <c r="Q170" s="11">
        <f t="shared" si="5"/>
        <v>53</v>
      </c>
      <c r="S170" s="7" t="s">
        <v>34</v>
      </c>
      <c r="T170" s="4" t="s">
        <v>2242</v>
      </c>
      <c r="U170" s="47" t="s">
        <v>2544</v>
      </c>
      <c r="V170" s="48" t="s">
        <v>2278</v>
      </c>
      <c r="W170" s="7">
        <v>6</v>
      </c>
      <c r="X170" s="48" t="s">
        <v>2543</v>
      </c>
      <c r="Y170" s="47" t="s">
        <v>2572</v>
      </c>
      <c r="Z170" s="4" t="s">
        <v>2283</v>
      </c>
      <c r="AA170" s="49" t="s">
        <v>2459</v>
      </c>
      <c r="AB170" s="4" t="s">
        <v>2284</v>
      </c>
      <c r="AC170" s="49" t="s">
        <v>2592</v>
      </c>
      <c r="AD170" s="4" t="s">
        <v>185</v>
      </c>
      <c r="AE170" s="7">
        <v>1</v>
      </c>
      <c r="AG170" s="7">
        <v>0</v>
      </c>
      <c r="AK170" s="70">
        <f>Table43[[#This Row],[Column4]]</f>
        <v>30111050010000</v>
      </c>
      <c r="AN170" s="7">
        <f>Table43[[#This Row],[ISI/CTN]]</f>
        <v>36</v>
      </c>
      <c r="AO170" s="38">
        <f>Table43[[#This Row],[Harga Jual Pcs GT
(-PPN)]]-(Table43[[#This Row],[Harga Jual Pcs GT
(-PPN)]]*6.5%)</f>
        <v>4001.8</v>
      </c>
      <c r="AP170" s="38">
        <f>Table43[[#This Row],[Harga Beli Pcs
(-PPN)]]*Table43[[#This Row],[ISI/CTN]]</f>
        <v>144064.80000000002</v>
      </c>
      <c r="AQ170" s="38">
        <f>Table43[[#This Row],[Harga Beli Pcs
(-PPN)]]*1.11</f>
        <v>4441.9980000000005</v>
      </c>
      <c r="AR170" s="38">
        <f>Table43[[#This Row],[Harga Beli Krt
(- PPN)]]*1.11</f>
        <v>159911.92800000004</v>
      </c>
      <c r="AS170" s="38">
        <v>4280</v>
      </c>
      <c r="AT170" s="38">
        <f>Table43[[#This Row],[Harga Jual Pcs GT
(-PPN)]]*Table43[[#This Row],[ISI/CTN]]</f>
        <v>154080</v>
      </c>
      <c r="AU170" s="38">
        <f>Table43[[#This Row],[Harga Jual Pcs GT
(-PPN)]]*1.11</f>
        <v>4750.8</v>
      </c>
      <c r="AV170" s="38">
        <f>Table43[[#This Row],[Harga Jual Krt GT
(- PPN)]]*1.11</f>
        <v>171028.80000000002</v>
      </c>
      <c r="AW170" s="38">
        <f>IFERROR(VLOOKUP(Table43[[#This Row],[Kode Pcpl]],'[1]FEB 2026'!$A$3:$X$312,24,0),0)</f>
        <v>0</v>
      </c>
      <c r="AX170" s="38">
        <f>Table43[[#This Row],[Harga Jual Pcs MT
(-PPN)]]*Table43[[#This Row],[ISI/CTN]]</f>
        <v>0</v>
      </c>
      <c r="AY170" s="38">
        <f>Table43[[#This Row],[Harga Jual Pcs MT
(-PPN)]]*1.11</f>
        <v>0</v>
      </c>
      <c r="AZ170" s="38">
        <f>Table43[[#This Row],[Harga Jual Pcs MT
(+PPN)]]*Table43[[#This Row],[ISI/CTN]]</f>
        <v>0</v>
      </c>
      <c r="BA170" s="46">
        <f>(Table43[[#This Row],[Harga Jual Pcs GT
(-PPN)]]-Table43[[#This Row],[Harga Beli Pcs
(-PPN)]])/Table43[[#This Row],[Harga Jual Pcs GT
(-PPN)]]</f>
        <v>6.4999999999999961E-2</v>
      </c>
      <c r="BB170" s="53">
        <f>Table43[[#This Row],[Harga Jual Pcs MT
(-PPN)]]-Table43[[#This Row],[Harga Beli Pcs
(-PPN)]]</f>
        <v>-4001.8</v>
      </c>
      <c r="BC170" s="54" t="e">
        <f>Table43[[#This Row],[Column1]]/Table43[[#This Row],[Harga Jual Pcs MT
(-PPN)]]</f>
        <v>#DIV/0!</v>
      </c>
      <c r="BD170" s="52"/>
      <c r="BE170" s="7"/>
      <c r="BF170" s="7" t="str">
        <f ca="1">IF(TODAY()-Table43[[#This Row],[Efektif
Pembuatan]]&gt;60,"Lama","Baru")</f>
        <v>Lama</v>
      </c>
      <c r="BG170" s="7" t="str">
        <f ca="1">IF(TODAY()-Table43[[#This Row],[Efektif Naik Harga]]&lt;30,"Naik","Sama")</f>
        <v>Sama</v>
      </c>
      <c r="BH170" s="7"/>
      <c r="BI170" s="7" t="str">
        <f>IF(Table43[[#This Row],[Kode BARANG Win2]]&lt;&gt;"","IDR","")</f>
        <v>IDR</v>
      </c>
      <c r="BJ170" s="7" t="str">
        <f>CONCATENATE(Table43[[#This Row],[kode  1 Digit
(Nomor)]],Table43[[#This Row],[kode  4 Digit                (Nomor)]])</f>
        <v>0010</v>
      </c>
      <c r="BK170" s="7" t="str">
        <f>Table43[[#This Row],[Nama            Gramasi atau Jumlah Pack per CTN]]</f>
        <v>10S</v>
      </c>
      <c r="BL170" s="7"/>
      <c r="BM170" s="7"/>
      <c r="BN170" s="4" t="str">
        <f>IF(Table43[[#This Row],[SATUAN Fix Win]]&lt;&gt;"","KRT")</f>
        <v>KRT</v>
      </c>
      <c r="BO170" s="4" t="str">
        <f>IF(Table43[[#This Row],[SATUAN Fix Win]]&lt;&gt;"","GD01")</f>
        <v>GD01</v>
      </c>
      <c r="BP170" s="4">
        <f>IF(Table43[[#This Row],[SATUAN Fix Win]]&lt;&gt;"",11611)</f>
        <v>11611</v>
      </c>
      <c r="BQ170" s="4">
        <f>IF(Table43[[#This Row],[SATUAN Fix Win]]&lt;&gt;"",11612)</f>
        <v>11612</v>
      </c>
      <c r="BS170" s="4">
        <f>IF(Table43[[#This Row],[SATUAN Fix Win]]&lt;&gt;"",1)</f>
        <v>1</v>
      </c>
      <c r="BU170" s="4">
        <f>Table43[[#This Row],[ISI/CTN]]</f>
        <v>36</v>
      </c>
    </row>
    <row r="171" spans="1:75">
      <c r="A171" s="4" t="str">
        <f>CONCATENATE(Table43[[#This Row],[Kode BARANG Win2]],Table43[[#This Row],[No. Urut
Item Sama]])</f>
        <v>G1077001000413</v>
      </c>
      <c r="B171" s="7"/>
      <c r="C171" s="31">
        <v>30120030004002</v>
      </c>
      <c r="D171" s="51">
        <v>40007556</v>
      </c>
      <c r="E171" s="27" t="s">
        <v>1943</v>
      </c>
      <c r="F171" s="51">
        <v>30120010004002</v>
      </c>
      <c r="G171" s="51">
        <v>0</v>
      </c>
      <c r="H171" s="27" t="s">
        <v>1220</v>
      </c>
      <c r="I171" s="27">
        <v>864</v>
      </c>
      <c r="J171" s="51" t="s">
        <v>1634</v>
      </c>
      <c r="K171" s="27" t="str">
        <f>Table43[[#This Row],[NamaJenisKemasan]]</f>
        <v>PCS</v>
      </c>
      <c r="L171" s="4" t="str">
        <f>TRIM(CONCATENATE(Table43[[#This Row],[Nama            KLP]]," ",Table43[[#This Row],[Nama            Sub KLP]]))</f>
        <v>HIT MAT</v>
      </c>
      <c r="M171" s="4" t="str">
        <f>CONCATENATE(Table43[[#This Row],[kode  2 Digit                (hrf+No)]],Table43[[#This Row],[kode  2 Digit                (Nomor)]],Table43[[#This Row],[kode  1 Digit                (Nomor)]])</f>
        <v>G1077</v>
      </c>
      <c r="N171" s="4" t="str">
        <f>IF(AI171="",CONCATENATE(S171,U171,W171,Y171,AA171,AC171,AE171,AG171,Table43[[#This Row],[Tanda Kode Revisi]]),CONCATENATE(S171,U171,W171,Y171,AA171,AC171,AE171,AI171))</f>
        <v>G1077001000413</v>
      </c>
      <c r="O171" s="11">
        <f t="shared" si="4"/>
        <v>14</v>
      </c>
      <c r="P171" s="14" t="str">
        <f>IF(AH171&lt;&gt;"",TRIM(UPPER(CONCATENATE(R171," ",T171," ",V171," ",X171," ",Z171," ",AB171," ","X"," ",Table43[[#This Row],[ISI/CTN]]," ",AH171," ",AD171," ",AF171," ",AJ171))),TRIM(UPPER(CONCATENATE(R171," ",T171," ",V171," ",X171," ",Z171," ",AB171," ","X"," ",Table43[[#This Row],[ISI/CTN]]," ",AD171," ",AF171," ",AJ171))))</f>
        <v>HIT MAT CLASSIC 4S X 864 PCS 12+1</v>
      </c>
      <c r="Q171" s="11">
        <f t="shared" si="5"/>
        <v>33</v>
      </c>
      <c r="S171" s="7" t="s">
        <v>34</v>
      </c>
      <c r="T171" s="4" t="s">
        <v>2242</v>
      </c>
      <c r="U171" s="47" t="s">
        <v>2544</v>
      </c>
      <c r="V171" s="48" t="s">
        <v>2279</v>
      </c>
      <c r="W171" s="7">
        <v>7</v>
      </c>
      <c r="X171" s="48"/>
      <c r="Y171" s="47" t="s">
        <v>1116</v>
      </c>
      <c r="Z171" s="4" t="s">
        <v>2265</v>
      </c>
      <c r="AA171" s="49" t="s">
        <v>1115</v>
      </c>
      <c r="AB171" s="4" t="s">
        <v>2286</v>
      </c>
      <c r="AC171" s="49" t="s">
        <v>2628</v>
      </c>
      <c r="AD171" s="4" t="s">
        <v>185</v>
      </c>
      <c r="AE171" s="7">
        <v>1</v>
      </c>
      <c r="AF171" s="4" t="s">
        <v>2285</v>
      </c>
      <c r="AG171" s="7">
        <v>3</v>
      </c>
      <c r="AK171" s="70">
        <f>Table43[[#This Row],[Column4]]</f>
        <v>30120010004002</v>
      </c>
      <c r="AN171" s="7">
        <f>Table43[[#This Row],[ISI/CTN]]</f>
        <v>864</v>
      </c>
      <c r="AO171" s="38">
        <f>Table43[[#This Row],[Harga Jual Pcs GT
(-PPN)]]-(Table43[[#This Row],[Harga Jual Pcs GT
(-PPN)]]*6.5%)</f>
        <v>673.2</v>
      </c>
      <c r="AP171" s="38">
        <f>Table43[[#This Row],[Harga Beli Pcs
(-PPN)]]*Table43[[#This Row],[ISI/CTN]]</f>
        <v>581644.80000000005</v>
      </c>
      <c r="AQ171" s="38">
        <f>Table43[[#This Row],[Harga Beli Pcs
(-PPN)]]*1.11</f>
        <v>747.25200000000007</v>
      </c>
      <c r="AR171" s="38">
        <f>Table43[[#This Row],[Harga Beli Krt
(- PPN)]]*1.11</f>
        <v>645625.72800000012</v>
      </c>
      <c r="AS171" s="38">
        <v>720</v>
      </c>
      <c r="AT171" s="38">
        <f>Table43[[#This Row],[Harga Jual Pcs GT
(-PPN)]]*Table43[[#This Row],[ISI/CTN]]</f>
        <v>622080</v>
      </c>
      <c r="AU171" s="38">
        <f>Table43[[#This Row],[Harga Jual Pcs GT
(-PPN)]]*1.11</f>
        <v>799.2</v>
      </c>
      <c r="AV171" s="38">
        <f>Table43[[#This Row],[Harga Jual Krt GT
(- PPN)]]*1.11</f>
        <v>690508.80000000005</v>
      </c>
      <c r="AW171" s="38">
        <f>IFERROR(VLOOKUP(Table43[[#This Row],[Kode Pcpl]],'[1]FEB 2026'!$A$3:$X$312,24,0),0)</f>
        <v>0</v>
      </c>
      <c r="AX171" s="38">
        <f>Table43[[#This Row],[Harga Jual Pcs MT
(-PPN)]]*Table43[[#This Row],[ISI/CTN]]</f>
        <v>0</v>
      </c>
      <c r="AY171" s="38">
        <f>Table43[[#This Row],[Harga Jual Pcs MT
(-PPN)]]*1.11</f>
        <v>0</v>
      </c>
      <c r="AZ171" s="38">
        <f>Table43[[#This Row],[Harga Jual Pcs MT
(+PPN)]]*Table43[[#This Row],[ISI/CTN]]</f>
        <v>0</v>
      </c>
      <c r="BA171" s="46">
        <f>(Table43[[#This Row],[Harga Jual Pcs GT
(-PPN)]]-Table43[[#This Row],[Harga Beli Pcs
(-PPN)]])/Table43[[#This Row],[Harga Jual Pcs GT
(-PPN)]]</f>
        <v>6.4999999999999933E-2</v>
      </c>
      <c r="BB171" s="53">
        <f>Table43[[#This Row],[Harga Jual Pcs MT
(-PPN)]]-Table43[[#This Row],[Harga Beli Pcs
(-PPN)]]</f>
        <v>-673.2</v>
      </c>
      <c r="BC171" s="54" t="e">
        <f>Table43[[#This Row],[Column1]]/Table43[[#This Row],[Harga Jual Pcs MT
(-PPN)]]</f>
        <v>#DIV/0!</v>
      </c>
      <c r="BD171" s="52"/>
      <c r="BE171" s="7"/>
      <c r="BF171" s="7" t="str">
        <f ca="1">IF(TODAY()-Table43[[#This Row],[Efektif
Pembuatan]]&gt;60,"Lama","Baru")</f>
        <v>Lama</v>
      </c>
      <c r="BG171" s="7" t="str">
        <f ca="1">IF(TODAY()-Table43[[#This Row],[Efektif Naik Harga]]&lt;30,"Naik","Sama")</f>
        <v>Sama</v>
      </c>
      <c r="BH171" s="7"/>
      <c r="BI171" s="7" t="str">
        <f>IF(Table43[[#This Row],[Kode BARANG Win2]]&lt;&gt;"","IDR","")</f>
        <v>IDR</v>
      </c>
      <c r="BJ171" s="7" t="str">
        <f>CONCATENATE(Table43[[#This Row],[kode  1 Digit
(Nomor)]],Table43[[#This Row],[kode  4 Digit                (Nomor)]])</f>
        <v>0004</v>
      </c>
      <c r="BK171" s="7" t="str">
        <f>Table43[[#This Row],[Nama            Gramasi atau Jumlah Pack per CTN]]</f>
        <v>4S</v>
      </c>
      <c r="BL171" s="7"/>
      <c r="BM171" s="7"/>
      <c r="BN171" s="4" t="str">
        <f>IF(Table43[[#This Row],[SATUAN Fix Win]]&lt;&gt;"","KRT")</f>
        <v>KRT</v>
      </c>
      <c r="BO171" s="4" t="str">
        <f>IF(Table43[[#This Row],[SATUAN Fix Win]]&lt;&gt;"","GD01")</f>
        <v>GD01</v>
      </c>
      <c r="BP171" s="4">
        <f>IF(Table43[[#This Row],[SATUAN Fix Win]]&lt;&gt;"",11611)</f>
        <v>11611</v>
      </c>
      <c r="BQ171" s="4">
        <f>IF(Table43[[#This Row],[SATUAN Fix Win]]&lt;&gt;"",11612)</f>
        <v>11612</v>
      </c>
      <c r="BS171" s="4">
        <f>IF(Table43[[#This Row],[SATUAN Fix Win]]&lt;&gt;"",1)</f>
        <v>1</v>
      </c>
      <c r="BU171" s="4">
        <f>Table43[[#This Row],[ISI/CTN]]</f>
        <v>864</v>
      </c>
    </row>
    <row r="172" spans="1:75">
      <c r="A172" s="4" t="str">
        <f>CONCATENATE(Table43[[#This Row],[Kode BARANG Win2]],Table43[[#This Row],[No. Urut
Item Sama]])</f>
        <v>G1077001000413</v>
      </c>
      <c r="B172" s="7"/>
      <c r="C172" s="31">
        <v>30120030015000</v>
      </c>
      <c r="D172" s="51">
        <v>40035625</v>
      </c>
      <c r="E172" s="27" t="s">
        <v>1943</v>
      </c>
      <c r="F172" s="51">
        <v>30120010004002</v>
      </c>
      <c r="G172" s="51">
        <v>0</v>
      </c>
      <c r="H172" s="27" t="s">
        <v>1221</v>
      </c>
      <c r="I172" s="27">
        <v>864</v>
      </c>
      <c r="J172" s="51" t="s">
        <v>1634</v>
      </c>
      <c r="K172" s="27" t="str">
        <f>Table43[[#This Row],[NamaJenisKemasan]]</f>
        <v>PCS</v>
      </c>
      <c r="L172" s="4" t="str">
        <f>TRIM(CONCATENATE(Table43[[#This Row],[Nama            KLP]]," ",Table43[[#This Row],[Nama            Sub KLP]]))</f>
        <v>HIT MAT</v>
      </c>
      <c r="M172" s="4" t="str">
        <f>CONCATENATE(Table43[[#This Row],[kode  2 Digit                (hrf+No)]],Table43[[#This Row],[kode  2 Digit                (Nomor)]],Table43[[#This Row],[kode  1 Digit                (Nomor)]])</f>
        <v>G1077</v>
      </c>
      <c r="N172" s="4" t="str">
        <f>IF(AI172="",CONCATENATE(S172,U172,W172,Y172,AA172,AC172,AE172,AG172,Table43[[#This Row],[Tanda Kode Revisi]]),CONCATENATE(S172,U172,W172,Y172,AA172,AC172,AE172,AI172))</f>
        <v>G1077001000413</v>
      </c>
      <c r="O172" s="11">
        <f t="shared" si="4"/>
        <v>14</v>
      </c>
      <c r="P172" s="14" t="str">
        <f>IF(AH172&lt;&gt;"",TRIM(UPPER(CONCATENATE(R172," ",T172," ",V172," ",X172," ",Z172," ",AB172," ","X"," ",Table43[[#This Row],[ISI/CTN]]," ",AH172," ",AD172," ",AF172," ",AJ172))),TRIM(UPPER(CONCATENATE(R172," ",T172," ",V172," ",X172," ",Z172," ",AB172," ","X"," ",Table43[[#This Row],[ISI/CTN]]," ",AD172," ",AF172," ",AJ172))))</f>
        <v>HIT MAT CLASSIC 4S X 864 PCS 12+1</v>
      </c>
      <c r="Q172" s="11">
        <f t="shared" si="5"/>
        <v>33</v>
      </c>
      <c r="S172" s="7" t="s">
        <v>34</v>
      </c>
      <c r="T172" s="4" t="s">
        <v>2242</v>
      </c>
      <c r="U172" s="47" t="s">
        <v>2544</v>
      </c>
      <c r="V172" s="48" t="s">
        <v>2279</v>
      </c>
      <c r="W172" s="7">
        <v>7</v>
      </c>
      <c r="X172" s="48"/>
      <c r="Y172" s="47" t="s">
        <v>1116</v>
      </c>
      <c r="Z172" s="4" t="s">
        <v>2265</v>
      </c>
      <c r="AA172" s="49" t="s">
        <v>1115</v>
      </c>
      <c r="AB172" s="4" t="s">
        <v>2286</v>
      </c>
      <c r="AC172" s="49" t="s">
        <v>2628</v>
      </c>
      <c r="AD172" s="4" t="s">
        <v>185</v>
      </c>
      <c r="AE172" s="7">
        <v>1</v>
      </c>
      <c r="AF172" s="4" t="s">
        <v>2285</v>
      </c>
      <c r="AG172" s="7">
        <v>3</v>
      </c>
      <c r="AK172" s="70">
        <f>Table43[[#This Row],[Column4]]</f>
        <v>30120010004002</v>
      </c>
      <c r="AN172" s="7">
        <f>Table43[[#This Row],[ISI/CTN]]</f>
        <v>864</v>
      </c>
      <c r="AO172" s="61">
        <f>Table43[[#This Row],[Harga Jual Pcs GT
(-PPN)]]-(Table43[[#This Row],[Harga Jual Pcs GT
(-PPN)]]*6.5%)</f>
        <v>673.2</v>
      </c>
      <c r="AP172" s="61">
        <f>Table43[[#This Row],[Harga Beli Pcs
(-PPN)]]*Table43[[#This Row],[ISI/CTN]]</f>
        <v>581644.80000000005</v>
      </c>
      <c r="AQ172" s="61">
        <f>Table43[[#This Row],[Harga Beli Pcs
(-PPN)]]*1.11</f>
        <v>747.25200000000007</v>
      </c>
      <c r="AR172" s="61">
        <f>Table43[[#This Row],[Harga Beli Krt
(- PPN)]]*1.11</f>
        <v>645625.72800000012</v>
      </c>
      <c r="AS172" s="61">
        <v>720</v>
      </c>
      <c r="AT172" s="61">
        <f>Table43[[#This Row],[Harga Jual Pcs GT
(-PPN)]]*Table43[[#This Row],[ISI/CTN]]</f>
        <v>622080</v>
      </c>
      <c r="AU172" s="61">
        <f>Table43[[#This Row],[Harga Jual Pcs GT
(-PPN)]]*1.11</f>
        <v>799.2</v>
      </c>
      <c r="AV172" s="61">
        <f>Table43[[#This Row],[Harga Jual Krt GT
(- PPN)]]*1.11</f>
        <v>690508.80000000005</v>
      </c>
      <c r="AW172" s="61">
        <f>IFERROR(VLOOKUP(Table43[[#This Row],[Kode Pcpl]],'[1]FEB 2026'!$A$3:$X$312,24,0),0)</f>
        <v>0</v>
      </c>
      <c r="AX172" s="61">
        <f>Table43[[#This Row],[Harga Jual Pcs MT
(-PPN)]]*Table43[[#This Row],[ISI/CTN]]</f>
        <v>0</v>
      </c>
      <c r="AY172" s="61">
        <f>Table43[[#This Row],[Harga Jual Pcs MT
(-PPN)]]*1.11</f>
        <v>0</v>
      </c>
      <c r="AZ172" s="61">
        <f>Table43[[#This Row],[Harga Jual Pcs MT
(+PPN)]]*Table43[[#This Row],[ISI/CTN]]</f>
        <v>0</v>
      </c>
      <c r="BA172" s="62">
        <f>(Table43[[#This Row],[Harga Jual Pcs GT
(-PPN)]]-Table43[[#This Row],[Harga Beli Pcs
(-PPN)]])/Table43[[#This Row],[Harga Jual Pcs GT
(-PPN)]]</f>
        <v>6.4999999999999933E-2</v>
      </c>
      <c r="BB172" s="63">
        <f>Table43[[#This Row],[Harga Jual Pcs MT
(-PPN)]]-Table43[[#This Row],[Harga Beli Pcs
(-PPN)]]</f>
        <v>-673.2</v>
      </c>
      <c r="BC172" s="64" t="e">
        <f>Table43[[#This Row],[Column1]]/Table43[[#This Row],[Harga Jual Pcs MT
(-PPN)]]</f>
        <v>#DIV/0!</v>
      </c>
      <c r="BD172" s="52"/>
      <c r="BE172" s="7"/>
      <c r="BF172" s="7" t="str">
        <f ca="1">IF(TODAY()-Table43[[#This Row],[Efektif
Pembuatan]]&gt;60,"Lama","Baru")</f>
        <v>Lama</v>
      </c>
      <c r="BG172" s="7" t="str">
        <f ca="1">IF(TODAY()-Table43[[#This Row],[Efektif Naik Harga]]&lt;30,"Naik","Sama")</f>
        <v>Sama</v>
      </c>
      <c r="BH172" s="7"/>
      <c r="BI172" s="7" t="str">
        <f>IF(Table43[[#This Row],[Kode BARANG Win2]]&lt;&gt;"","IDR","")</f>
        <v>IDR</v>
      </c>
      <c r="BJ172" s="7" t="str">
        <f>CONCATENATE(Table43[[#This Row],[kode  1 Digit
(Nomor)]],Table43[[#This Row],[kode  4 Digit                (Nomor)]])</f>
        <v>0004</v>
      </c>
      <c r="BK172" s="7" t="str">
        <f>Table43[[#This Row],[Nama            Gramasi atau Jumlah Pack per CTN]]</f>
        <v>4S</v>
      </c>
      <c r="BL172" s="7"/>
      <c r="BM172" s="7"/>
      <c r="BN172" s="4" t="str">
        <f>IF(Table43[[#This Row],[SATUAN Fix Win]]&lt;&gt;"","KRT")</f>
        <v>KRT</v>
      </c>
      <c r="BO172" s="4" t="str">
        <f>IF(Table43[[#This Row],[SATUAN Fix Win]]&lt;&gt;"","GD01")</f>
        <v>GD01</v>
      </c>
      <c r="BP172" s="4">
        <f>IF(Table43[[#This Row],[SATUAN Fix Win]]&lt;&gt;"",11611)</f>
        <v>11611</v>
      </c>
      <c r="BQ172" s="4">
        <f>IF(Table43[[#This Row],[SATUAN Fix Win]]&lt;&gt;"",11612)</f>
        <v>11612</v>
      </c>
      <c r="BS172" s="4">
        <f>IF(Table43[[#This Row],[SATUAN Fix Win]]&lt;&gt;"",1)</f>
        <v>1</v>
      </c>
      <c r="BU172" s="4">
        <f>Table43[[#This Row],[ISI/CTN]]</f>
        <v>864</v>
      </c>
    </row>
    <row r="173" spans="1:75">
      <c r="A173" s="4" t="str">
        <f>CONCATENATE(Table43[[#This Row],[Kode BARANG Win2]],Table43[[#This Row],[No. Urut
Item Sama]])</f>
        <v>G1077001001812</v>
      </c>
      <c r="B173" s="7"/>
      <c r="C173" s="31">
        <v>30120010018001</v>
      </c>
      <c r="D173" s="51">
        <v>40007562</v>
      </c>
      <c r="E173" s="66" t="s">
        <v>2480</v>
      </c>
      <c r="F173" s="68">
        <v>30120010018001</v>
      </c>
      <c r="G173" s="68">
        <v>0</v>
      </c>
      <c r="H173" s="27">
        <v>0</v>
      </c>
      <c r="I173" s="27">
        <v>144</v>
      </c>
      <c r="J173" s="51">
        <v>0</v>
      </c>
      <c r="K173" s="27" t="str">
        <f>Table43[[#This Row],[NamaJenisKemasan]]</f>
        <v>PCS</v>
      </c>
      <c r="L173" s="4" t="str">
        <f>TRIM(CONCATENATE(Table43[[#This Row],[Nama            KLP]]," ",Table43[[#This Row],[Nama            Sub KLP]]))</f>
        <v>HIT MAT</v>
      </c>
      <c r="M173" s="4" t="str">
        <f>CONCATENATE(Table43[[#This Row],[kode  2 Digit                (hrf+No)]],Table43[[#This Row],[kode  2 Digit                (Nomor)]],Table43[[#This Row],[kode  1 Digit                (Nomor)]])</f>
        <v>G1077</v>
      </c>
      <c r="N173" s="4" t="str">
        <f>IF(AI173="",CONCATENATE(S173,U173,W173,Y173,AA173,AC173,AE173,AG173,Table43[[#This Row],[Tanda Kode Revisi]]),CONCATENATE(S173,U173,W173,Y173,AA173,AC173,AE173,AI173))</f>
        <v>G1077001001812</v>
      </c>
      <c r="O173" s="11">
        <f t="shared" si="4"/>
        <v>14</v>
      </c>
      <c r="P173" s="14" t="str">
        <f>IF(AH173&lt;&gt;"",TRIM(UPPER(CONCATENATE(R173," ",T173," ",V173," ",X173," ",Z173," ",AB173," ","X"," ",Table43[[#This Row],[ISI/CTN]]," ",AH173," ",AD173," ",AF173," ",AJ173))),TRIM(UPPER(CONCATENATE(R173," ",T173," ",V173," ",X173," ",Z173," ",AB173," ","X"," ",Table43[[#This Row],[ISI/CTN]]," ",AD173," ",AF173," ",AJ173))))</f>
        <v>HIT MAT CLASSIC 18S X 144 PCS +6S</v>
      </c>
      <c r="Q173" s="11">
        <f t="shared" si="5"/>
        <v>33</v>
      </c>
      <c r="S173" s="7" t="s">
        <v>34</v>
      </c>
      <c r="T173" s="4" t="s">
        <v>2242</v>
      </c>
      <c r="U173" s="47" t="s">
        <v>2544</v>
      </c>
      <c r="V173" s="48" t="s">
        <v>2279</v>
      </c>
      <c r="W173" s="7">
        <v>7</v>
      </c>
      <c r="X173" s="48"/>
      <c r="Y173" s="47" t="s">
        <v>1116</v>
      </c>
      <c r="Z173" s="4" t="s">
        <v>2265</v>
      </c>
      <c r="AA173" s="49" t="s">
        <v>1115</v>
      </c>
      <c r="AB173" s="4" t="s">
        <v>2287</v>
      </c>
      <c r="AC173" s="49" t="s">
        <v>2603</v>
      </c>
      <c r="AD173" s="4" t="s">
        <v>185</v>
      </c>
      <c r="AE173" s="7">
        <v>1</v>
      </c>
      <c r="AF173" s="65" t="s">
        <v>2605</v>
      </c>
      <c r="AG173" s="7">
        <v>2</v>
      </c>
      <c r="AK173" s="70">
        <f>Table43[[#This Row],[Column4]]</f>
        <v>30120010018001</v>
      </c>
      <c r="AN173" s="7">
        <f>Table43[[#This Row],[ISI/CTN]]</f>
        <v>144</v>
      </c>
      <c r="AO173" s="38">
        <f>Table43[[#This Row],[Harga Jual Pcs GT
(-PPN)]]-(Table43[[#This Row],[Harga Jual Pcs GT
(-PPN)]]*6.5%)</f>
        <v>4955.5</v>
      </c>
      <c r="AP173" s="38">
        <f>Table43[[#This Row],[Harga Beli Pcs
(-PPN)]]*Table43[[#This Row],[ISI/CTN]]</f>
        <v>713592</v>
      </c>
      <c r="AQ173" s="38">
        <f>Table43[[#This Row],[Harga Beli Pcs
(-PPN)]]*1.11</f>
        <v>5500.6050000000005</v>
      </c>
      <c r="AR173" s="38">
        <f>Table43[[#This Row],[Harga Beli Krt
(- PPN)]]*1.11</f>
        <v>792087.12000000011</v>
      </c>
      <c r="AS173" s="38">
        <v>5300</v>
      </c>
      <c r="AT173" s="38">
        <f>Table43[[#This Row],[Harga Jual Pcs GT
(-PPN)]]*Table43[[#This Row],[ISI/CTN]]</f>
        <v>763200</v>
      </c>
      <c r="AU173" s="38">
        <f>Table43[[#This Row],[Harga Jual Pcs GT
(-PPN)]]*1.11</f>
        <v>5883.0000000000009</v>
      </c>
      <c r="AV173" s="38">
        <f>Table43[[#This Row],[Harga Jual Krt GT
(- PPN)]]*1.11</f>
        <v>847152.00000000012</v>
      </c>
      <c r="AW173" s="38">
        <f>IFERROR(VLOOKUP(Table43[[#This Row],[Kode Pcpl]],'[1]FEB 2026'!$A$3:$X$312,24,0),0)</f>
        <v>0</v>
      </c>
      <c r="AX173" s="38">
        <f>Table43[[#This Row],[Harga Jual Pcs MT
(-PPN)]]*Table43[[#This Row],[ISI/CTN]]</f>
        <v>0</v>
      </c>
      <c r="AY173" s="38">
        <f>Table43[[#This Row],[Harga Jual Pcs MT
(-PPN)]]*1.11</f>
        <v>0</v>
      </c>
      <c r="AZ173" s="38">
        <f>Table43[[#This Row],[Harga Jual Pcs MT
(+PPN)]]*Table43[[#This Row],[ISI/CTN]]</f>
        <v>0</v>
      </c>
      <c r="BA173" s="46">
        <f>(Table43[[#This Row],[Harga Jual Pcs GT
(-PPN)]]-Table43[[#This Row],[Harga Beli Pcs
(-PPN)]])/Table43[[#This Row],[Harga Jual Pcs GT
(-PPN)]]</f>
        <v>6.5000000000000002E-2</v>
      </c>
      <c r="BB173" s="53">
        <f>Table43[[#This Row],[Harga Jual Pcs MT
(-PPN)]]-Table43[[#This Row],[Harga Beli Pcs
(-PPN)]]</f>
        <v>-4955.5</v>
      </c>
      <c r="BC173" s="54" t="e">
        <f>Table43[[#This Row],[Column1]]/Table43[[#This Row],[Harga Jual Pcs MT
(-PPN)]]</f>
        <v>#DIV/0!</v>
      </c>
      <c r="BD173" s="52"/>
      <c r="BE173" s="7"/>
      <c r="BF173" s="7" t="str">
        <f ca="1">IF(TODAY()-Table43[[#This Row],[Efektif
Pembuatan]]&gt;60,"Lama","Baru")</f>
        <v>Lama</v>
      </c>
      <c r="BG173" s="7" t="str">
        <f ca="1">IF(TODAY()-Table43[[#This Row],[Efektif Naik Harga]]&lt;30,"Naik","Sama")</f>
        <v>Sama</v>
      </c>
      <c r="BH173" s="7"/>
      <c r="BI173" s="7" t="str">
        <f>IF(Table43[[#This Row],[Kode BARANG Win2]]&lt;&gt;"","IDR","")</f>
        <v>IDR</v>
      </c>
      <c r="BJ173" s="7" t="str">
        <f>CONCATENATE(Table43[[#This Row],[kode  1 Digit
(Nomor)]],Table43[[#This Row],[kode  4 Digit                (Nomor)]])</f>
        <v>0018</v>
      </c>
      <c r="BK173" s="7" t="str">
        <f>Table43[[#This Row],[Nama            Gramasi atau Jumlah Pack per CTN]]</f>
        <v>18S</v>
      </c>
      <c r="BL173" s="7"/>
      <c r="BM173" s="7"/>
      <c r="BN173" s="4" t="str">
        <f>IF(Table43[[#This Row],[SATUAN Fix Win]]&lt;&gt;"","KRT")</f>
        <v>KRT</v>
      </c>
      <c r="BO173" s="4" t="str">
        <f>IF(Table43[[#This Row],[SATUAN Fix Win]]&lt;&gt;"","GD01")</f>
        <v>GD01</v>
      </c>
      <c r="BP173" s="4">
        <f>IF(Table43[[#This Row],[SATUAN Fix Win]]&lt;&gt;"",11611)</f>
        <v>11611</v>
      </c>
      <c r="BQ173" s="4">
        <f>IF(Table43[[#This Row],[SATUAN Fix Win]]&lt;&gt;"",11612)</f>
        <v>11612</v>
      </c>
      <c r="BS173" s="4">
        <f>IF(Table43[[#This Row],[SATUAN Fix Win]]&lt;&gt;"",1)</f>
        <v>1</v>
      </c>
      <c r="BU173" s="4">
        <f>Table43[[#This Row],[ISI/CTN]]</f>
        <v>144</v>
      </c>
    </row>
    <row r="174" spans="1:75">
      <c r="A174" s="4" t="str">
        <f>CONCATENATE(Table43[[#This Row],[Kode BARANG Win2]],Table43[[#This Row],[No. Urut
Item Sama]])</f>
        <v>G1077002001812</v>
      </c>
      <c r="B174" s="7"/>
      <c r="C174" s="31">
        <v>30120020018001</v>
      </c>
      <c r="D174" s="51">
        <v>40007572</v>
      </c>
      <c r="E174" s="66" t="s">
        <v>2481</v>
      </c>
      <c r="F174" s="68">
        <v>30120020018001</v>
      </c>
      <c r="G174" s="68">
        <v>0</v>
      </c>
      <c r="H174" s="27">
        <v>0</v>
      </c>
      <c r="I174" s="27">
        <v>144</v>
      </c>
      <c r="J174" s="51">
        <v>0</v>
      </c>
      <c r="K174" s="27" t="str">
        <f>Table43[[#This Row],[NamaJenisKemasan]]</f>
        <v>PCS</v>
      </c>
      <c r="L174" s="4" t="str">
        <f>TRIM(CONCATENATE(Table43[[#This Row],[Nama            KLP]]," ",Table43[[#This Row],[Nama            Sub KLP]]))</f>
        <v>HIT MAT</v>
      </c>
      <c r="M174" s="4" t="str">
        <f>CONCATENATE(Table43[[#This Row],[kode  2 Digit                (hrf+No)]],Table43[[#This Row],[kode  2 Digit                (Nomor)]],Table43[[#This Row],[kode  1 Digit                (Nomor)]])</f>
        <v>G1077</v>
      </c>
      <c r="N174" s="4" t="str">
        <f>IF(AI174="",CONCATENATE(S174,U174,W174,Y174,AA174,AC174,AE174,AG174,Table43[[#This Row],[Tanda Kode Revisi]]),CONCATENATE(S174,U174,W174,Y174,AA174,AC174,AE174,AI174))</f>
        <v>G1077002001812</v>
      </c>
      <c r="O174" s="11">
        <f t="shared" si="4"/>
        <v>14</v>
      </c>
      <c r="P174" s="14" t="str">
        <f>IF(AH174&lt;&gt;"",TRIM(UPPER(CONCATENATE(R174," ",T174," ",V174," ",X174," ",Z174," ",AB174," ","X"," ",Table43[[#This Row],[ISI/CTN]]," ",AH174," ",AD174," ",AF174," ",AJ174))),TRIM(UPPER(CONCATENATE(R174," ",T174," ",V174," ",X174," ",Z174," ",AB174," ","X"," ",Table43[[#This Row],[ISI/CTN]]," ",AD174," ",AF174," ",AJ174))))</f>
        <v>HIT MAT FLORAL 18S X 144 PCS +6S</v>
      </c>
      <c r="Q174" s="11">
        <f t="shared" si="5"/>
        <v>32</v>
      </c>
      <c r="S174" s="7" t="s">
        <v>34</v>
      </c>
      <c r="T174" s="4" t="s">
        <v>2242</v>
      </c>
      <c r="U174" s="47" t="s">
        <v>2544</v>
      </c>
      <c r="V174" s="48" t="s">
        <v>2279</v>
      </c>
      <c r="W174" s="7">
        <v>7</v>
      </c>
      <c r="X174" s="48"/>
      <c r="Y174" s="47" t="s">
        <v>1116</v>
      </c>
      <c r="Z174" s="4" t="s">
        <v>2232</v>
      </c>
      <c r="AA174" s="49" t="s">
        <v>2459</v>
      </c>
      <c r="AB174" s="4" t="s">
        <v>2287</v>
      </c>
      <c r="AC174" s="49" t="s">
        <v>2603</v>
      </c>
      <c r="AD174" s="4" t="s">
        <v>185</v>
      </c>
      <c r="AE174" s="7">
        <v>1</v>
      </c>
      <c r="AF174" s="65" t="s">
        <v>2605</v>
      </c>
      <c r="AG174" s="7">
        <v>2</v>
      </c>
      <c r="AK174" s="70">
        <f>Table43[[#This Row],[Column4]]</f>
        <v>30120020018001</v>
      </c>
      <c r="AN174" s="7">
        <f>Table43[[#This Row],[ISI/CTN]]</f>
        <v>144</v>
      </c>
      <c r="AO174" s="38">
        <f>Table43[[#This Row],[Harga Jual Pcs GT
(-PPN)]]-(Table43[[#This Row],[Harga Jual Pcs GT
(-PPN)]]*6.5%)</f>
        <v>4955.5</v>
      </c>
      <c r="AP174" s="38">
        <f>Table43[[#This Row],[Harga Beli Pcs
(-PPN)]]*Table43[[#This Row],[ISI/CTN]]</f>
        <v>713592</v>
      </c>
      <c r="AQ174" s="38">
        <f>Table43[[#This Row],[Harga Beli Pcs
(-PPN)]]*1.11</f>
        <v>5500.6050000000005</v>
      </c>
      <c r="AR174" s="38">
        <f>Table43[[#This Row],[Harga Beli Krt
(- PPN)]]*1.11</f>
        <v>792087.12000000011</v>
      </c>
      <c r="AS174" s="38">
        <v>5300</v>
      </c>
      <c r="AT174" s="38">
        <f>Table43[[#This Row],[Harga Jual Pcs GT
(-PPN)]]*Table43[[#This Row],[ISI/CTN]]</f>
        <v>763200</v>
      </c>
      <c r="AU174" s="38">
        <f>Table43[[#This Row],[Harga Jual Pcs GT
(-PPN)]]*1.11</f>
        <v>5883.0000000000009</v>
      </c>
      <c r="AV174" s="38">
        <f>Table43[[#This Row],[Harga Jual Krt GT
(- PPN)]]*1.11</f>
        <v>847152.00000000012</v>
      </c>
      <c r="AW174" s="38">
        <f>IFERROR(VLOOKUP(Table43[[#This Row],[Kode Pcpl]],'[1]FEB 2026'!$A$3:$X$312,24,0),0)</f>
        <v>0</v>
      </c>
      <c r="AX174" s="38">
        <f>Table43[[#This Row],[Harga Jual Pcs MT
(-PPN)]]*Table43[[#This Row],[ISI/CTN]]</f>
        <v>0</v>
      </c>
      <c r="AY174" s="38">
        <f>Table43[[#This Row],[Harga Jual Pcs MT
(-PPN)]]*1.11</f>
        <v>0</v>
      </c>
      <c r="AZ174" s="38">
        <f>Table43[[#This Row],[Harga Jual Pcs MT
(+PPN)]]*Table43[[#This Row],[ISI/CTN]]</f>
        <v>0</v>
      </c>
      <c r="BA174" s="46">
        <f>(Table43[[#This Row],[Harga Jual Pcs GT
(-PPN)]]-Table43[[#This Row],[Harga Beli Pcs
(-PPN)]])/Table43[[#This Row],[Harga Jual Pcs GT
(-PPN)]]</f>
        <v>6.5000000000000002E-2</v>
      </c>
      <c r="BB174" s="53">
        <f>Table43[[#This Row],[Harga Jual Pcs MT
(-PPN)]]-Table43[[#This Row],[Harga Beli Pcs
(-PPN)]]</f>
        <v>-4955.5</v>
      </c>
      <c r="BC174" s="54" t="e">
        <f>Table43[[#This Row],[Column1]]/Table43[[#This Row],[Harga Jual Pcs MT
(-PPN)]]</f>
        <v>#DIV/0!</v>
      </c>
      <c r="BD174" s="52"/>
      <c r="BE174" s="7"/>
      <c r="BF174" s="7" t="str">
        <f ca="1">IF(TODAY()-Table43[[#This Row],[Efektif
Pembuatan]]&gt;60,"Lama","Baru")</f>
        <v>Lama</v>
      </c>
      <c r="BG174" s="7" t="str">
        <f ca="1">IF(TODAY()-Table43[[#This Row],[Efektif Naik Harga]]&lt;30,"Naik","Sama")</f>
        <v>Sama</v>
      </c>
      <c r="BH174" s="7"/>
      <c r="BI174" s="7" t="str">
        <f>IF(Table43[[#This Row],[Kode BARANG Win2]]&lt;&gt;"","IDR","")</f>
        <v>IDR</v>
      </c>
      <c r="BJ174" s="7" t="str">
        <f>CONCATENATE(Table43[[#This Row],[kode  1 Digit
(Nomor)]],Table43[[#This Row],[kode  4 Digit                (Nomor)]])</f>
        <v>0018</v>
      </c>
      <c r="BK174" s="7" t="str">
        <f>Table43[[#This Row],[Nama            Gramasi atau Jumlah Pack per CTN]]</f>
        <v>18S</v>
      </c>
      <c r="BL174" s="7"/>
      <c r="BM174" s="7"/>
      <c r="BN174" s="4" t="str">
        <f>IF(Table43[[#This Row],[SATUAN Fix Win]]&lt;&gt;"","KRT")</f>
        <v>KRT</v>
      </c>
      <c r="BO174" s="4" t="str">
        <f>IF(Table43[[#This Row],[SATUAN Fix Win]]&lt;&gt;"","GD01")</f>
        <v>GD01</v>
      </c>
      <c r="BP174" s="4">
        <f>IF(Table43[[#This Row],[SATUAN Fix Win]]&lt;&gt;"",11611)</f>
        <v>11611</v>
      </c>
      <c r="BQ174" s="4">
        <f>IF(Table43[[#This Row],[SATUAN Fix Win]]&lt;&gt;"",11612)</f>
        <v>11612</v>
      </c>
      <c r="BS174" s="4">
        <f>IF(Table43[[#This Row],[SATUAN Fix Win]]&lt;&gt;"",1)</f>
        <v>1</v>
      </c>
      <c r="BU174" s="4">
        <f>Table43[[#This Row],[ISI/CTN]]</f>
        <v>144</v>
      </c>
    </row>
    <row r="175" spans="1:75">
      <c r="A175" s="4" t="str">
        <f>CONCATENATE(Table43[[#This Row],[Kode BARANG Win2]],Table43[[#This Row],[No. Urut
Item Sama]])</f>
        <v>G1077003000410</v>
      </c>
      <c r="B175" s="7"/>
      <c r="C175" s="31">
        <v>30131030035010</v>
      </c>
      <c r="D175" s="51">
        <v>40017204</v>
      </c>
      <c r="E175" s="27" t="s">
        <v>1946</v>
      </c>
      <c r="F175" s="51">
        <v>30120030004002</v>
      </c>
      <c r="G175" s="51">
        <v>0</v>
      </c>
      <c r="H175" s="27" t="s">
        <v>1224</v>
      </c>
      <c r="I175" s="27">
        <v>864</v>
      </c>
      <c r="J175" s="51" t="s">
        <v>1637</v>
      </c>
      <c r="K175" s="27" t="str">
        <f>Table43[[#This Row],[NamaJenisKemasan]]</f>
        <v>PCS</v>
      </c>
      <c r="L175" s="4" t="str">
        <f>TRIM(CONCATENATE(Table43[[#This Row],[Nama            KLP]]," ",Table43[[#This Row],[Nama            Sub KLP]]))</f>
        <v>HIT MAT</v>
      </c>
      <c r="M175" s="4" t="str">
        <f>CONCATENATE(Table43[[#This Row],[kode  2 Digit                (hrf+No)]],Table43[[#This Row],[kode  2 Digit                (Nomor)]],Table43[[#This Row],[kode  1 Digit                (Nomor)]])</f>
        <v>G1077</v>
      </c>
      <c r="N175" s="4" t="str">
        <f>IF(AI175="",CONCATENATE(S175,U175,W175,Y175,AA175,AC175,AE175,AG175,Table43[[#This Row],[Tanda Kode Revisi]]),CONCATENATE(S175,U175,W175,Y175,AA175,AC175,AE175,AI175))</f>
        <v>G1077003000410</v>
      </c>
      <c r="O175" s="11">
        <f t="shared" si="4"/>
        <v>14</v>
      </c>
      <c r="P175" s="14" t="str">
        <f>IF(AH175&lt;&gt;"",TRIM(UPPER(CONCATENATE(R175," ",T175," ",V175," ",X175," ",Z175," ",AB175," ","X"," ",Table43[[#This Row],[ISI/CTN]]," ",AH175," ",AD175," ",AF175," ",AJ175))),TRIM(UPPER(CONCATENATE(R175," ",T175," ",V175," ",X175," ",Z175," ",AB175," ","X"," ",Table43[[#This Row],[ISI/CTN]]," ",AD175," ",AF175," ",AJ175))))</f>
        <v>HIT MAT GREEN TEA 4S X 864 PCS</v>
      </c>
      <c r="Q175" s="11">
        <f t="shared" si="5"/>
        <v>30</v>
      </c>
      <c r="S175" s="7" t="s">
        <v>34</v>
      </c>
      <c r="T175" s="4" t="s">
        <v>2242</v>
      </c>
      <c r="U175" s="47" t="s">
        <v>2544</v>
      </c>
      <c r="V175" s="48" t="s">
        <v>2279</v>
      </c>
      <c r="W175" s="7">
        <v>7</v>
      </c>
      <c r="X175" s="48"/>
      <c r="Y175" s="47" t="s">
        <v>1116</v>
      </c>
      <c r="Z175" s="4" t="s">
        <v>2281</v>
      </c>
      <c r="AA175" s="49" t="s">
        <v>2538</v>
      </c>
      <c r="AB175" s="4" t="s">
        <v>2286</v>
      </c>
      <c r="AC175" s="49" t="s">
        <v>2628</v>
      </c>
      <c r="AD175" s="4" t="s">
        <v>185</v>
      </c>
      <c r="AE175" s="7">
        <v>1</v>
      </c>
      <c r="AG175" s="7">
        <v>0</v>
      </c>
      <c r="AK175" s="70">
        <f>Table43[[#This Row],[Column4]]</f>
        <v>30120030004002</v>
      </c>
      <c r="AN175" s="7">
        <f>Table43[[#This Row],[ISI/CTN]]</f>
        <v>864</v>
      </c>
      <c r="AO175" s="61">
        <f>Table43[[#This Row],[Harga Jual Pcs GT
(-PPN)]]-(Table43[[#This Row],[Harga Jual Pcs GT
(-PPN)]]*6.5%)</f>
        <v>673.2</v>
      </c>
      <c r="AP175" s="61">
        <f>Table43[[#This Row],[Harga Beli Pcs
(-PPN)]]*Table43[[#This Row],[ISI/CTN]]</f>
        <v>581644.80000000005</v>
      </c>
      <c r="AQ175" s="61">
        <f>Table43[[#This Row],[Harga Beli Pcs
(-PPN)]]*1.11</f>
        <v>747.25200000000007</v>
      </c>
      <c r="AR175" s="61">
        <f>Table43[[#This Row],[Harga Beli Krt
(- PPN)]]*1.11</f>
        <v>645625.72800000012</v>
      </c>
      <c r="AS175" s="61">
        <v>720</v>
      </c>
      <c r="AT175" s="61">
        <f>Table43[[#This Row],[Harga Jual Pcs GT
(-PPN)]]*Table43[[#This Row],[ISI/CTN]]</f>
        <v>622080</v>
      </c>
      <c r="AU175" s="61">
        <f>Table43[[#This Row],[Harga Jual Pcs GT
(-PPN)]]*1.11</f>
        <v>799.2</v>
      </c>
      <c r="AV175" s="61">
        <f>Table43[[#This Row],[Harga Jual Krt GT
(- PPN)]]*1.11</f>
        <v>690508.80000000005</v>
      </c>
      <c r="AW175" s="61">
        <f>IFERROR(VLOOKUP(Table43[[#This Row],[Kode Pcpl]],'[1]FEB 2026'!$A$3:$X$312,24,0),0)</f>
        <v>0</v>
      </c>
      <c r="AX175" s="61">
        <f>Table43[[#This Row],[Harga Jual Pcs MT
(-PPN)]]*Table43[[#This Row],[ISI/CTN]]</f>
        <v>0</v>
      </c>
      <c r="AY175" s="61">
        <f>Table43[[#This Row],[Harga Jual Pcs MT
(-PPN)]]*1.11</f>
        <v>0</v>
      </c>
      <c r="AZ175" s="61">
        <f>Table43[[#This Row],[Harga Jual Pcs MT
(+PPN)]]*Table43[[#This Row],[ISI/CTN]]</f>
        <v>0</v>
      </c>
      <c r="BA175" s="62">
        <f>(Table43[[#This Row],[Harga Jual Pcs GT
(-PPN)]]-Table43[[#This Row],[Harga Beli Pcs
(-PPN)]])/Table43[[#This Row],[Harga Jual Pcs GT
(-PPN)]]</f>
        <v>6.4999999999999933E-2</v>
      </c>
      <c r="BB175" s="63">
        <f>Table43[[#This Row],[Harga Jual Pcs MT
(-PPN)]]-Table43[[#This Row],[Harga Beli Pcs
(-PPN)]]</f>
        <v>-673.2</v>
      </c>
      <c r="BC175" s="64" t="e">
        <f>Table43[[#This Row],[Column1]]/Table43[[#This Row],[Harga Jual Pcs MT
(-PPN)]]</f>
        <v>#DIV/0!</v>
      </c>
      <c r="BD175" s="52"/>
      <c r="BE175" s="7"/>
      <c r="BF175" s="7" t="str">
        <f ca="1">IF(TODAY()-Table43[[#This Row],[Efektif
Pembuatan]]&gt;60,"Lama","Baru")</f>
        <v>Lama</v>
      </c>
      <c r="BG175" s="7" t="str">
        <f ca="1">IF(TODAY()-Table43[[#This Row],[Efektif Naik Harga]]&lt;30,"Naik","Sama")</f>
        <v>Sama</v>
      </c>
      <c r="BH175" s="7"/>
      <c r="BI175" s="7" t="str">
        <f>IF(Table43[[#This Row],[Kode BARANG Win2]]&lt;&gt;"","IDR","")</f>
        <v>IDR</v>
      </c>
      <c r="BJ175" s="7" t="str">
        <f>CONCATENATE(Table43[[#This Row],[kode  1 Digit
(Nomor)]],Table43[[#This Row],[kode  4 Digit                (Nomor)]])</f>
        <v>0004</v>
      </c>
      <c r="BK175" s="7" t="str">
        <f>Table43[[#This Row],[Nama            Gramasi atau Jumlah Pack per CTN]]</f>
        <v>4S</v>
      </c>
      <c r="BL175" s="7"/>
      <c r="BM175" s="7"/>
      <c r="BN175" s="4" t="str">
        <f>IF(Table43[[#This Row],[SATUAN Fix Win]]&lt;&gt;"","KRT")</f>
        <v>KRT</v>
      </c>
      <c r="BO175" s="4" t="str">
        <f>IF(Table43[[#This Row],[SATUAN Fix Win]]&lt;&gt;"","GD01")</f>
        <v>GD01</v>
      </c>
      <c r="BP175" s="4">
        <f>IF(Table43[[#This Row],[SATUAN Fix Win]]&lt;&gt;"",11611)</f>
        <v>11611</v>
      </c>
      <c r="BQ175" s="4">
        <f>IF(Table43[[#This Row],[SATUAN Fix Win]]&lt;&gt;"",11612)</f>
        <v>11612</v>
      </c>
      <c r="BS175" s="4">
        <f>IF(Table43[[#This Row],[SATUAN Fix Win]]&lt;&gt;"",1)</f>
        <v>1</v>
      </c>
      <c r="BU175" s="4">
        <f>Table43[[#This Row],[ISI/CTN]]</f>
        <v>864</v>
      </c>
    </row>
    <row r="176" spans="1:75" s="87" customFormat="1">
      <c r="A176" s="71" t="str">
        <f>CONCATENATE(Table43[[#This Row],[Kode BARANG Win2]],Table43[[#This Row],[No. Urut
Item Sama]])</f>
        <v>G1077003000410</v>
      </c>
      <c r="B176" s="72"/>
      <c r="C176" s="73"/>
      <c r="D176" s="74">
        <v>40062941</v>
      </c>
      <c r="E176" s="75" t="s">
        <v>3402</v>
      </c>
      <c r="F176" s="74"/>
      <c r="G176" s="74">
        <v>0</v>
      </c>
      <c r="H176" s="75" t="s">
        <v>3402</v>
      </c>
      <c r="I176" s="75">
        <v>864</v>
      </c>
      <c r="J176" s="74"/>
      <c r="K176" s="75" t="str">
        <f>Table43[[#This Row],[NamaJenisKemasan]]</f>
        <v>PCS</v>
      </c>
      <c r="L176" s="71" t="str">
        <f>TRIM(CONCATENATE(Table43[[#This Row],[Nama            KLP]]," ",Table43[[#This Row],[Nama            Sub KLP]]))</f>
        <v>HIT MAT</v>
      </c>
      <c r="M176" s="71" t="str">
        <f>CONCATENATE(Table43[[#This Row],[kode  2 Digit                (hrf+No)]],Table43[[#This Row],[kode  2 Digit                (Nomor)]],Table43[[#This Row],[kode  1 Digit                (Nomor)]])</f>
        <v>G1077</v>
      </c>
      <c r="N176" s="71" t="str">
        <f>IF(AI176="",CONCATENATE(S176,U176,W176,Y176,AA176,AC176,AE176,AG176,Table43[[#This Row],[Tanda Kode Revisi]]),CONCATENATE(S176,U176,W176,Y176,AA176,AC176,AE176,AI176))</f>
        <v>G1077003000410</v>
      </c>
      <c r="O176" s="76">
        <f t="shared" si="4"/>
        <v>14</v>
      </c>
      <c r="P176" s="77" t="str">
        <f>IF(AH176&lt;&gt;"",TRIM(UPPER(CONCATENATE(R176," ",T176," ",V176," ",X176," ",Z176," ",AB176," ","X"," ",Table43[[#This Row],[ISI/CTN]]," ",AH176," ",AD176," ",AF176," ",AJ176))),TRIM(UPPER(CONCATENATE(R176," ",T176," ",V176," ",X176," ",Z176," ",AB176," ","X"," ",Table43[[#This Row],[ISI/CTN]]," ",AD176," ",AF176," ",AJ176))))</f>
        <v>HIT MAT GREEN TEA 4S X 864 PCS</v>
      </c>
      <c r="Q176" s="76">
        <f t="shared" si="5"/>
        <v>30</v>
      </c>
      <c r="R176" s="71"/>
      <c r="S176" s="72" t="s">
        <v>34</v>
      </c>
      <c r="T176" s="71" t="s">
        <v>2242</v>
      </c>
      <c r="U176" s="78" t="s">
        <v>2544</v>
      </c>
      <c r="V176" s="79" t="s">
        <v>2279</v>
      </c>
      <c r="W176" s="72">
        <v>7</v>
      </c>
      <c r="X176" s="79"/>
      <c r="Y176" s="78" t="s">
        <v>1116</v>
      </c>
      <c r="Z176" s="71" t="s">
        <v>2281</v>
      </c>
      <c r="AA176" s="80" t="s">
        <v>2538</v>
      </c>
      <c r="AB176" s="71" t="s">
        <v>2286</v>
      </c>
      <c r="AC176" s="80" t="s">
        <v>2628</v>
      </c>
      <c r="AD176" s="71" t="s">
        <v>185</v>
      </c>
      <c r="AE176" s="72">
        <v>1</v>
      </c>
      <c r="AF176" s="71"/>
      <c r="AG176" s="72">
        <v>0</v>
      </c>
      <c r="AH176" s="72"/>
      <c r="AI176" s="72"/>
      <c r="AJ176" s="72"/>
      <c r="AK176" s="81">
        <f>Table43[[#This Row],[Column4]]</f>
        <v>0</v>
      </c>
      <c r="AL176" s="72"/>
      <c r="AM176" s="72"/>
      <c r="AN176" s="72">
        <f>Table43[[#This Row],[ISI/CTN]]</f>
        <v>864</v>
      </c>
      <c r="AO176" s="88">
        <f>Table43[[#This Row],[Harga Jual Pcs GT
(-PPN)]]-(Table43[[#This Row],[Harga Jual Pcs GT
(-PPN)]]*6.5%)</f>
        <v>673.2</v>
      </c>
      <c r="AP176" s="88">
        <f>Table43[[#This Row],[Harga Beli Pcs
(-PPN)]]*Table43[[#This Row],[ISI/CTN]]</f>
        <v>581644.80000000005</v>
      </c>
      <c r="AQ176" s="88">
        <f>Table43[[#This Row],[Harga Beli Pcs
(-PPN)]]*1.11</f>
        <v>747.25200000000007</v>
      </c>
      <c r="AR176" s="88">
        <f>Table43[[#This Row],[Harga Beli Krt
(- PPN)]]*1.11</f>
        <v>645625.72800000012</v>
      </c>
      <c r="AS176" s="88">
        <v>720</v>
      </c>
      <c r="AT176" s="88">
        <f>Table43[[#This Row],[Harga Jual Pcs GT
(-PPN)]]*Table43[[#This Row],[ISI/CTN]]</f>
        <v>622080</v>
      </c>
      <c r="AU176" s="88">
        <f>Table43[[#This Row],[Harga Jual Pcs GT
(-PPN)]]*1.11</f>
        <v>799.2</v>
      </c>
      <c r="AV176" s="88">
        <f>Table43[[#This Row],[Harga Jual Krt GT
(- PPN)]]*1.11</f>
        <v>690508.80000000005</v>
      </c>
      <c r="AW176" s="88">
        <f>IFERROR(VLOOKUP(Table43[[#This Row],[Kode Pcpl]],'[1]FEB 2026'!$A$3:$X$312,24,0),0)</f>
        <v>0</v>
      </c>
      <c r="AX176" s="88">
        <f>Table43[[#This Row],[Harga Jual Pcs MT
(-PPN)]]*Table43[[#This Row],[ISI/CTN]]</f>
        <v>0</v>
      </c>
      <c r="AY176" s="88">
        <f>Table43[[#This Row],[Harga Jual Pcs MT
(-PPN)]]*1.11</f>
        <v>0</v>
      </c>
      <c r="AZ176" s="88">
        <f>Table43[[#This Row],[Harga Jual Pcs MT
(+PPN)]]*Table43[[#This Row],[ISI/CTN]]</f>
        <v>0</v>
      </c>
      <c r="BA176" s="89">
        <f>(Table43[[#This Row],[Harga Jual Pcs GT
(-PPN)]]-Table43[[#This Row],[Harga Beli Pcs
(-PPN)]])/Table43[[#This Row],[Harga Jual Pcs GT
(-PPN)]]</f>
        <v>6.4999999999999933E-2</v>
      </c>
      <c r="BB176" s="90">
        <f>Table43[[#This Row],[Harga Jual Pcs MT
(-PPN)]]-Table43[[#This Row],[Harga Beli Pcs
(-PPN)]]</f>
        <v>-673.2</v>
      </c>
      <c r="BC176" s="91" t="e">
        <f>Table43[[#This Row],[Column1]]/Table43[[#This Row],[Harga Jual Pcs MT
(-PPN)]]</f>
        <v>#DIV/0!</v>
      </c>
      <c r="BD176" s="86"/>
      <c r="BE176" s="72"/>
      <c r="BF176" s="72" t="str">
        <f ca="1">IF(TODAY()-Table43[[#This Row],[Efektif
Pembuatan]]&gt;60,"Lama","Baru")</f>
        <v>Lama</v>
      </c>
      <c r="BG176" s="72" t="str">
        <f ca="1">IF(TODAY()-Table43[[#This Row],[Efektif Naik Harga]]&lt;30,"Naik","Sama")</f>
        <v>Sama</v>
      </c>
      <c r="BH176" s="72"/>
      <c r="BI176" s="72" t="str">
        <f>IF(Table43[[#This Row],[Kode BARANG Win2]]&lt;&gt;"","IDR","")</f>
        <v>IDR</v>
      </c>
      <c r="BJ176" s="72" t="str">
        <f>CONCATENATE(Table43[[#This Row],[kode  1 Digit
(Nomor)]],Table43[[#This Row],[kode  4 Digit                (Nomor)]])</f>
        <v>0004</v>
      </c>
      <c r="BK176" s="72" t="str">
        <f>Table43[[#This Row],[Nama            Gramasi atau Jumlah Pack per CTN]]</f>
        <v>4S</v>
      </c>
      <c r="BL176" s="72"/>
      <c r="BM176" s="72"/>
      <c r="BN176" s="71" t="str">
        <f>IF(Table43[[#This Row],[SATUAN Fix Win]]&lt;&gt;"","KRT")</f>
        <v>KRT</v>
      </c>
      <c r="BO176" s="71" t="str">
        <f>IF(Table43[[#This Row],[SATUAN Fix Win]]&lt;&gt;"","GD01")</f>
        <v>GD01</v>
      </c>
      <c r="BP176" s="71">
        <f>IF(Table43[[#This Row],[SATUAN Fix Win]]&lt;&gt;"",11611)</f>
        <v>11611</v>
      </c>
      <c r="BQ176" s="71">
        <f>IF(Table43[[#This Row],[SATUAN Fix Win]]&lt;&gt;"",11612)</f>
        <v>11612</v>
      </c>
      <c r="BR176" s="71"/>
      <c r="BS176" s="71">
        <f>IF(Table43[[#This Row],[SATUAN Fix Win]]&lt;&gt;"",1)</f>
        <v>1</v>
      </c>
      <c r="BT176" s="71"/>
      <c r="BU176" s="71">
        <f>Table43[[#This Row],[ISI/CTN]]</f>
        <v>864</v>
      </c>
      <c r="BV176" s="71"/>
      <c r="BW176" s="71"/>
    </row>
    <row r="177" spans="1:75" s="87" customFormat="1">
      <c r="A177" s="4" t="str">
        <f>CONCATENATE(Table43[[#This Row],[Kode BARANG Win2]],Table43[[#This Row],[No. Urut
Item Sama]])</f>
        <v>G1077003000610</v>
      </c>
      <c r="B177" s="7"/>
      <c r="C177" s="31">
        <v>30131030035010</v>
      </c>
      <c r="D177" s="51">
        <v>40050005</v>
      </c>
      <c r="E177" s="27" t="s">
        <v>1952</v>
      </c>
      <c r="F177" s="51">
        <v>30123030048001</v>
      </c>
      <c r="G177" s="51">
        <v>0</v>
      </c>
      <c r="H177" s="27" t="s">
        <v>1229</v>
      </c>
      <c r="I177" s="27">
        <v>48</v>
      </c>
      <c r="J177" s="51" t="s">
        <v>1643</v>
      </c>
      <c r="K177" s="27" t="str">
        <f>Table43[[#This Row],[NamaJenisKemasan]]</f>
        <v>PCS</v>
      </c>
      <c r="L177" s="4" t="str">
        <f>TRIM(CONCATENATE(Table43[[#This Row],[Nama            KLP]]," ",Table43[[#This Row],[Nama            Sub KLP]]))</f>
        <v>HIT MAT</v>
      </c>
      <c r="M177" s="4" t="str">
        <f>CONCATENATE(Table43[[#This Row],[kode  2 Digit                (hrf+No)]],Table43[[#This Row],[kode  2 Digit                (Nomor)]],Table43[[#This Row],[kode  1 Digit                (Nomor)]])</f>
        <v>G1077</v>
      </c>
      <c r="N177" s="4" t="str">
        <f>IF(AI177="",CONCATENATE(S177,U177,W177,Y177,AA177,AC177,AE177,AG177,Table43[[#This Row],[Tanda Kode Revisi]]),CONCATENATE(S177,U177,W177,Y177,AA177,AC177,AE177,AI177))</f>
        <v>G1077003000610</v>
      </c>
      <c r="O177" s="11">
        <f t="shared" si="4"/>
        <v>14</v>
      </c>
      <c r="P177" s="14" t="str">
        <f>IF(AH177&lt;&gt;"",TRIM(UPPER(CONCATENATE(R177," ",T177," ",V177," ",X177," ",Z177," ",AB177," ","X"," ",Table43[[#This Row],[ISI/CTN]]," ",AH177," ",AD177," ",AF177," ",AJ177))),TRIM(UPPER(CONCATENATE(R177," ",T177," ",V177," ",X177," ",Z177," ",AB177," ","X"," ",Table43[[#This Row],[ISI/CTN]]," ",AD177," ",AF177," ",AJ177))))</f>
        <v>HIT MAT GREEN TEA 6S X 48 PCS</v>
      </c>
      <c r="Q177" s="11">
        <f t="shared" si="5"/>
        <v>29</v>
      </c>
      <c r="R177" s="4"/>
      <c r="S177" s="7" t="s">
        <v>34</v>
      </c>
      <c r="T177" s="4" t="s">
        <v>2242</v>
      </c>
      <c r="U177" s="47" t="s">
        <v>2544</v>
      </c>
      <c r="V177" s="48" t="s">
        <v>2279</v>
      </c>
      <c r="W177" s="7">
        <v>7</v>
      </c>
      <c r="X177" s="48"/>
      <c r="Y177" s="47" t="s">
        <v>1116</v>
      </c>
      <c r="Z177" s="4" t="s">
        <v>2281</v>
      </c>
      <c r="AA177" s="49" t="s">
        <v>2538</v>
      </c>
      <c r="AB177" s="4" t="s">
        <v>2292</v>
      </c>
      <c r="AC177" s="49" t="s">
        <v>2634</v>
      </c>
      <c r="AD177" s="4" t="s">
        <v>185</v>
      </c>
      <c r="AE177" s="7">
        <v>1</v>
      </c>
      <c r="AF177" s="4"/>
      <c r="AG177" s="7">
        <v>0</v>
      </c>
      <c r="AH177" s="7"/>
      <c r="AI177" s="7"/>
      <c r="AJ177" s="7"/>
      <c r="AK177" s="70">
        <f>Table43[[#This Row],[Column4]]</f>
        <v>30123030048001</v>
      </c>
      <c r="AL177" s="7"/>
      <c r="AM177" s="7"/>
      <c r="AN177" s="7">
        <f>Table43[[#This Row],[ISI/CTN]]</f>
        <v>48</v>
      </c>
      <c r="AO177" s="61">
        <f>Table43[[#This Row],[Harga Jual Pcs GT
(-PPN)]]-(Table43[[#This Row],[Harga Jual Pcs GT
(-PPN)]]*6.5%)</f>
        <v>4768.5</v>
      </c>
      <c r="AP177" s="61">
        <f>Table43[[#This Row],[Harga Beli Pcs
(-PPN)]]*Table43[[#This Row],[ISI/CTN]]</f>
        <v>228888</v>
      </c>
      <c r="AQ177" s="61">
        <f>Table43[[#This Row],[Harga Beli Pcs
(-PPN)]]*1.11</f>
        <v>5293.0350000000008</v>
      </c>
      <c r="AR177" s="61">
        <f>Table43[[#This Row],[Harga Beli Krt
(- PPN)]]*1.11</f>
        <v>254065.68000000002</v>
      </c>
      <c r="AS177" s="61">
        <v>5100</v>
      </c>
      <c r="AT177" s="61">
        <f>Table43[[#This Row],[Harga Jual Pcs GT
(-PPN)]]*Table43[[#This Row],[ISI/CTN]]</f>
        <v>244800</v>
      </c>
      <c r="AU177" s="61">
        <f>Table43[[#This Row],[Harga Jual Pcs GT
(-PPN)]]*1.11</f>
        <v>5661.0000000000009</v>
      </c>
      <c r="AV177" s="61">
        <f>Table43[[#This Row],[Harga Jual Krt GT
(- PPN)]]*1.11</f>
        <v>271728</v>
      </c>
      <c r="AW177" s="61">
        <f>IFERROR(VLOOKUP(Table43[[#This Row],[Kode Pcpl]],'[1]FEB 2026'!$A$3:$X$312,24,0),0)</f>
        <v>0</v>
      </c>
      <c r="AX177" s="61">
        <f>Table43[[#This Row],[Harga Jual Pcs MT
(-PPN)]]*Table43[[#This Row],[ISI/CTN]]</f>
        <v>0</v>
      </c>
      <c r="AY177" s="61">
        <f>Table43[[#This Row],[Harga Jual Pcs MT
(-PPN)]]*1.11</f>
        <v>0</v>
      </c>
      <c r="AZ177" s="61">
        <f>Table43[[#This Row],[Harga Jual Pcs MT
(+PPN)]]*Table43[[#This Row],[ISI/CTN]]</f>
        <v>0</v>
      </c>
      <c r="BA177" s="62">
        <f>(Table43[[#This Row],[Harga Jual Pcs GT
(-PPN)]]-Table43[[#This Row],[Harga Beli Pcs
(-PPN)]])/Table43[[#This Row],[Harga Jual Pcs GT
(-PPN)]]</f>
        <v>6.5000000000000002E-2</v>
      </c>
      <c r="BB177" s="63">
        <f>Table43[[#This Row],[Harga Jual Pcs MT
(-PPN)]]-Table43[[#This Row],[Harga Beli Pcs
(-PPN)]]</f>
        <v>-4768.5</v>
      </c>
      <c r="BC177" s="64" t="e">
        <f>Table43[[#This Row],[Column1]]/Table43[[#This Row],[Harga Jual Pcs MT
(-PPN)]]</f>
        <v>#DIV/0!</v>
      </c>
      <c r="BD177" s="52"/>
      <c r="BE177" s="7"/>
      <c r="BF177" s="7" t="str">
        <f ca="1">IF(TODAY()-Table43[[#This Row],[Efektif
Pembuatan]]&gt;60,"Lama","Baru")</f>
        <v>Lama</v>
      </c>
      <c r="BG177" s="7" t="str">
        <f ca="1">IF(TODAY()-Table43[[#This Row],[Efektif Naik Harga]]&lt;30,"Naik","Sama")</f>
        <v>Sama</v>
      </c>
      <c r="BH177" s="7"/>
      <c r="BI177" s="7" t="str">
        <f>IF(Table43[[#This Row],[Kode BARANG Win2]]&lt;&gt;"","IDR","")</f>
        <v>IDR</v>
      </c>
      <c r="BJ177" s="7" t="str">
        <f>CONCATENATE(Table43[[#This Row],[kode  1 Digit
(Nomor)]],Table43[[#This Row],[kode  4 Digit                (Nomor)]])</f>
        <v>0006</v>
      </c>
      <c r="BK177" s="7" t="str">
        <f>Table43[[#This Row],[Nama            Gramasi atau Jumlah Pack per CTN]]</f>
        <v>6S</v>
      </c>
      <c r="BL177" s="7"/>
      <c r="BM177" s="7"/>
      <c r="BN177" s="4" t="str">
        <f>IF(Table43[[#This Row],[SATUAN Fix Win]]&lt;&gt;"","KRT")</f>
        <v>KRT</v>
      </c>
      <c r="BO177" s="4" t="str">
        <f>IF(Table43[[#This Row],[SATUAN Fix Win]]&lt;&gt;"","GD01")</f>
        <v>GD01</v>
      </c>
      <c r="BP177" s="4">
        <f>IF(Table43[[#This Row],[SATUAN Fix Win]]&lt;&gt;"",11611)</f>
        <v>11611</v>
      </c>
      <c r="BQ177" s="4">
        <f>IF(Table43[[#This Row],[SATUAN Fix Win]]&lt;&gt;"",11612)</f>
        <v>11612</v>
      </c>
      <c r="BR177" s="4"/>
      <c r="BS177" s="4">
        <f>IF(Table43[[#This Row],[SATUAN Fix Win]]&lt;&gt;"",1)</f>
        <v>1</v>
      </c>
      <c r="BT177" s="4"/>
      <c r="BU177" s="4">
        <f>Table43[[#This Row],[ISI/CTN]]</f>
        <v>48</v>
      </c>
      <c r="BV177" s="71"/>
      <c r="BW177" s="71"/>
    </row>
    <row r="178" spans="1:75">
      <c r="A178" s="4" t="str">
        <f>CONCATENATE(Table43[[#This Row],[Kode BARANG Win2]],Table43[[#This Row],[No. Urut
Item Sama]])</f>
        <v>G1078001001811</v>
      </c>
      <c r="B178" s="7"/>
      <c r="C178" s="31">
        <v>30121040060000</v>
      </c>
      <c r="D178" s="51">
        <v>40056227</v>
      </c>
      <c r="E178" s="27" t="s">
        <v>1944</v>
      </c>
      <c r="F178" s="51">
        <v>30120010018003</v>
      </c>
      <c r="G178" s="51">
        <v>0</v>
      </c>
      <c r="H178" s="27" t="s">
        <v>1222</v>
      </c>
      <c r="I178" s="27">
        <v>144</v>
      </c>
      <c r="J178" s="51" t="s">
        <v>1635</v>
      </c>
      <c r="K178" s="27" t="str">
        <f>Table43[[#This Row],[NamaJenisKemasan]]</f>
        <v>PCS</v>
      </c>
      <c r="L178" s="4" t="str">
        <f>TRIM(CONCATENATE(Table43[[#This Row],[Nama            KLP]]," ",Table43[[#This Row],[Nama            Sub KLP]]))</f>
        <v>HIT MAT GOODKNIGHT</v>
      </c>
      <c r="M178" s="4" t="str">
        <f>CONCATENATE(Table43[[#This Row],[kode  2 Digit                (hrf+No)]],Table43[[#This Row],[kode  2 Digit                (Nomor)]],Table43[[#This Row],[kode  1 Digit                (Nomor)]])</f>
        <v>G1078</v>
      </c>
      <c r="N178" s="4" t="str">
        <f>IF(AI178="",CONCATENATE(S178,U178,W178,Y178,AA178,AC178,AE178,AG178,Table43[[#This Row],[Tanda Kode Revisi]]),CONCATENATE(S178,U178,W178,Y178,AA178,AC178,AE178,AI178))</f>
        <v>G1078001001811</v>
      </c>
      <c r="O178" s="11">
        <f t="shared" si="4"/>
        <v>14</v>
      </c>
      <c r="P178" s="14" t="str">
        <f>IF(AH178&lt;&gt;"",TRIM(UPPER(CONCATENATE(R178," ",T178," ",V178," ",X178," ",Z178," ",AB178," ","X"," ",Table43[[#This Row],[ISI/CTN]]," ",AH178," ",AD178," ",AF178," ",AJ178))),TRIM(UPPER(CONCATENATE(R178," ",T178," ",V178," ",X178," ",Z178," ",AB178," ","X"," ",Table43[[#This Row],[ISI/CTN]]," ",AD178," ",AF178," ",AJ178))))</f>
        <v>HIT MAT GOODKNIGHT CLASSIC 18S X 144 PCS +12S</v>
      </c>
      <c r="Q178" s="11">
        <f t="shared" si="5"/>
        <v>45</v>
      </c>
      <c r="S178" s="7" t="s">
        <v>34</v>
      </c>
      <c r="T178" s="4" t="s">
        <v>2242</v>
      </c>
      <c r="U178" s="47" t="s">
        <v>2544</v>
      </c>
      <c r="V178" s="48" t="s">
        <v>2644</v>
      </c>
      <c r="W178" s="7">
        <v>8</v>
      </c>
      <c r="X178" s="48"/>
      <c r="Y178" s="47" t="s">
        <v>1116</v>
      </c>
      <c r="Z178" s="4" t="s">
        <v>2265</v>
      </c>
      <c r="AA178" s="49" t="s">
        <v>1115</v>
      </c>
      <c r="AB178" s="4" t="s">
        <v>2287</v>
      </c>
      <c r="AC178" s="49" t="s">
        <v>2603</v>
      </c>
      <c r="AD178" s="4" t="s">
        <v>185</v>
      </c>
      <c r="AE178" s="7">
        <v>1</v>
      </c>
      <c r="AF178" s="65" t="s">
        <v>2604</v>
      </c>
      <c r="AG178" s="7">
        <v>1</v>
      </c>
      <c r="AK178" s="70">
        <f>Table43[[#This Row],[Column4]]</f>
        <v>30120010018003</v>
      </c>
      <c r="AN178" s="7">
        <f>Table43[[#This Row],[ISI/CTN]]</f>
        <v>144</v>
      </c>
      <c r="AO178" s="61">
        <f>Table43[[#This Row],[Harga Jual Pcs GT
(-PPN)]]-(Table43[[#This Row],[Harga Jual Pcs GT
(-PPN)]]*6.5%)</f>
        <v>5544.55</v>
      </c>
      <c r="AP178" s="61">
        <f>Table43[[#This Row],[Harga Beli Pcs
(-PPN)]]*Table43[[#This Row],[ISI/CTN]]</f>
        <v>798415.20000000007</v>
      </c>
      <c r="AQ178" s="61">
        <f>Table43[[#This Row],[Harga Beli Pcs
(-PPN)]]*1.11</f>
        <v>6154.4505000000008</v>
      </c>
      <c r="AR178" s="61">
        <f>Table43[[#This Row],[Harga Beli Krt
(- PPN)]]*1.11</f>
        <v>886240.87200000021</v>
      </c>
      <c r="AS178" s="61">
        <v>5930</v>
      </c>
      <c r="AT178" s="61">
        <f>Table43[[#This Row],[Harga Jual Pcs GT
(-PPN)]]*Table43[[#This Row],[ISI/CTN]]</f>
        <v>853920</v>
      </c>
      <c r="AU178" s="61">
        <f>Table43[[#This Row],[Harga Jual Pcs GT
(-PPN)]]*1.11</f>
        <v>6582.3</v>
      </c>
      <c r="AV178" s="61">
        <f>Table43[[#This Row],[Harga Jual Krt GT
(- PPN)]]*1.11</f>
        <v>947851.20000000007</v>
      </c>
      <c r="AW178" s="61">
        <f>IFERROR(VLOOKUP(Table43[[#This Row],[Kode Pcpl]],'[1]FEB 2026'!$A$3:$X$312,24,0),0)</f>
        <v>0</v>
      </c>
      <c r="AX178" s="61">
        <f>Table43[[#This Row],[Harga Jual Pcs MT
(-PPN)]]*Table43[[#This Row],[ISI/CTN]]</f>
        <v>0</v>
      </c>
      <c r="AY178" s="61">
        <f>Table43[[#This Row],[Harga Jual Pcs MT
(-PPN)]]*1.11</f>
        <v>0</v>
      </c>
      <c r="AZ178" s="61">
        <f>Table43[[#This Row],[Harga Jual Pcs MT
(+PPN)]]*Table43[[#This Row],[ISI/CTN]]</f>
        <v>0</v>
      </c>
      <c r="BA178" s="62">
        <f>(Table43[[#This Row],[Harga Jual Pcs GT
(-PPN)]]-Table43[[#This Row],[Harga Beli Pcs
(-PPN)]])/Table43[[#This Row],[Harga Jual Pcs GT
(-PPN)]]</f>
        <v>6.4999999999999974E-2</v>
      </c>
      <c r="BB178" s="63">
        <f>Table43[[#This Row],[Harga Jual Pcs MT
(-PPN)]]-Table43[[#This Row],[Harga Beli Pcs
(-PPN)]]</f>
        <v>-5544.55</v>
      </c>
      <c r="BC178" s="64" t="e">
        <f>Table43[[#This Row],[Column1]]/Table43[[#This Row],[Harga Jual Pcs MT
(-PPN)]]</f>
        <v>#DIV/0!</v>
      </c>
      <c r="BD178" s="52"/>
      <c r="BE178" s="7"/>
      <c r="BF178" s="7" t="str">
        <f ca="1">IF(TODAY()-Table43[[#This Row],[Efektif
Pembuatan]]&gt;60,"Lama","Baru")</f>
        <v>Lama</v>
      </c>
      <c r="BG178" s="7" t="str">
        <f ca="1">IF(TODAY()-Table43[[#This Row],[Efektif Naik Harga]]&lt;30,"Naik","Sama")</f>
        <v>Sama</v>
      </c>
      <c r="BH178" s="7"/>
      <c r="BI178" s="7" t="str">
        <f>IF(Table43[[#This Row],[Kode BARANG Win2]]&lt;&gt;"","IDR","")</f>
        <v>IDR</v>
      </c>
      <c r="BJ178" s="7" t="str">
        <f>CONCATENATE(Table43[[#This Row],[kode  1 Digit
(Nomor)]],Table43[[#This Row],[kode  4 Digit                (Nomor)]])</f>
        <v>0018</v>
      </c>
      <c r="BK178" s="7" t="str">
        <f>Table43[[#This Row],[Nama            Gramasi atau Jumlah Pack per CTN]]</f>
        <v>18S</v>
      </c>
      <c r="BL178" s="7"/>
      <c r="BM178" s="7"/>
      <c r="BN178" s="4" t="str">
        <f>IF(Table43[[#This Row],[SATUAN Fix Win]]&lt;&gt;"","KRT")</f>
        <v>KRT</v>
      </c>
      <c r="BO178" s="4" t="str">
        <f>IF(Table43[[#This Row],[SATUAN Fix Win]]&lt;&gt;"","GD01")</f>
        <v>GD01</v>
      </c>
      <c r="BP178" s="4">
        <f>IF(Table43[[#This Row],[SATUAN Fix Win]]&lt;&gt;"",11611)</f>
        <v>11611</v>
      </c>
      <c r="BQ178" s="4">
        <f>IF(Table43[[#This Row],[SATUAN Fix Win]]&lt;&gt;"",11612)</f>
        <v>11612</v>
      </c>
      <c r="BS178" s="4">
        <f>IF(Table43[[#This Row],[SATUAN Fix Win]]&lt;&gt;"",1)</f>
        <v>1</v>
      </c>
      <c r="BU178" s="4">
        <f>Table43[[#This Row],[ISI/CTN]]</f>
        <v>144</v>
      </c>
    </row>
    <row r="179" spans="1:75" s="87" customFormat="1">
      <c r="A179" s="71" t="str">
        <f>CONCATENATE(Table43[[#This Row],[Kode BARANG Win2]],Table43[[#This Row],[No. Urut
Item Sama]])</f>
        <v>G1078001001811</v>
      </c>
      <c r="B179" s="72"/>
      <c r="C179" s="73"/>
      <c r="D179" s="74">
        <v>40060797</v>
      </c>
      <c r="E179" s="75" t="s">
        <v>3468</v>
      </c>
      <c r="F179" s="74"/>
      <c r="G179" s="74"/>
      <c r="H179" s="75" t="s">
        <v>3468</v>
      </c>
      <c r="I179" s="75">
        <v>144</v>
      </c>
      <c r="J179" s="74"/>
      <c r="K179" s="75" t="str">
        <f>Table43[[#This Row],[NamaJenisKemasan]]</f>
        <v>PCS</v>
      </c>
      <c r="L179" s="71" t="str">
        <f>TRIM(CONCATENATE(Table43[[#This Row],[Nama            KLP]]," ",Table43[[#This Row],[Nama            Sub KLP]]))</f>
        <v>HIT MAT GOODKNIGHT</v>
      </c>
      <c r="M179" s="71" t="str">
        <f>CONCATENATE(Table43[[#This Row],[kode  2 Digit                (hrf+No)]],Table43[[#This Row],[kode  2 Digit                (Nomor)]],Table43[[#This Row],[kode  1 Digit                (Nomor)]])</f>
        <v>G1078</v>
      </c>
      <c r="N179" s="71" t="str">
        <f>IF(AI179="",CONCATENATE(S179,U179,W179,Y179,AA179,AC179,AE179,AG179,Table43[[#This Row],[Tanda Kode Revisi]]),CONCATENATE(S179,U179,W179,Y179,AA179,AC179,AE179,AI179))</f>
        <v>G1078001001811</v>
      </c>
      <c r="O179" s="76">
        <f>LEN(N179)</f>
        <v>14</v>
      </c>
      <c r="P179" s="77" t="str">
        <f>IF(AH179&lt;&gt;"",TRIM(UPPER(CONCATENATE(R179," ",T179," ",V179," ",X179," ",Z179," ",AB179," ","X"," ",Table43[[#This Row],[ISI/CTN]]," ",AH179," ",AD179," ",AF179," ",AJ179))),TRIM(UPPER(CONCATENATE(R179," ",T179," ",V179," ",X179," ",Z179," ",AB179," ","X"," ",Table43[[#This Row],[ISI/CTN]]," ",AD179," ",AF179," ",AJ179))))</f>
        <v>HIT MAT GOODKNIGHT CLASSIC 30S X 144 PCS +3S</v>
      </c>
      <c r="Q179" s="76">
        <f>LEN(P179)</f>
        <v>44</v>
      </c>
      <c r="R179" s="71"/>
      <c r="S179" s="72" t="s">
        <v>34</v>
      </c>
      <c r="T179" s="71" t="s">
        <v>2242</v>
      </c>
      <c r="U179" s="78" t="s">
        <v>2544</v>
      </c>
      <c r="V179" s="79" t="s">
        <v>2644</v>
      </c>
      <c r="W179" s="72">
        <v>8</v>
      </c>
      <c r="X179" s="79"/>
      <c r="Y179" s="78" t="s">
        <v>1116</v>
      </c>
      <c r="Z179" s="71" t="s">
        <v>2265</v>
      </c>
      <c r="AA179" s="80" t="s">
        <v>1115</v>
      </c>
      <c r="AB179" s="71" t="s">
        <v>2290</v>
      </c>
      <c r="AC179" s="80" t="s">
        <v>2603</v>
      </c>
      <c r="AD179" s="71" t="s">
        <v>185</v>
      </c>
      <c r="AE179" s="72">
        <v>1</v>
      </c>
      <c r="AF179" s="92" t="s">
        <v>3454</v>
      </c>
      <c r="AG179" s="72">
        <v>1</v>
      </c>
      <c r="AH179" s="72"/>
      <c r="AI179" s="72"/>
      <c r="AJ179" s="72"/>
      <c r="AK179" s="81">
        <f>Table43[[#This Row],[Column4]]</f>
        <v>0</v>
      </c>
      <c r="AL179" s="72"/>
      <c r="AM179" s="72"/>
      <c r="AN179" s="72">
        <f>Table43[[#This Row],[ISI/CTN]]</f>
        <v>144</v>
      </c>
      <c r="AO179" s="82">
        <f>Table43[[#This Row],[Harga Jual Pcs GT
(-PPN)]]-(Table43[[#This Row],[Harga Jual Pcs GT
(-PPN)]]*6.5%)</f>
        <v>0</v>
      </c>
      <c r="AP179" s="82">
        <f>Table43[[#This Row],[Harga Beli Pcs
(-PPN)]]*Table43[[#This Row],[ISI/CTN]]</f>
        <v>0</v>
      </c>
      <c r="AQ179" s="82">
        <f>Table43[[#This Row],[Harga Beli Pcs
(-PPN)]]*1.11</f>
        <v>0</v>
      </c>
      <c r="AR179" s="82">
        <f>Table43[[#This Row],[Harga Beli Krt
(- PPN)]]*1.11</f>
        <v>0</v>
      </c>
      <c r="AS179" s="82"/>
      <c r="AT179" s="82">
        <f>Table43[[#This Row],[Harga Jual Pcs GT
(-PPN)]]*Table43[[#This Row],[ISI/CTN]]</f>
        <v>0</v>
      </c>
      <c r="AU179" s="82">
        <f>Table43[[#This Row],[Harga Jual Pcs GT
(-PPN)]]*1.11</f>
        <v>0</v>
      </c>
      <c r="AV179" s="82">
        <f>Table43[[#This Row],[Harga Jual Krt GT
(- PPN)]]*1.11</f>
        <v>0</v>
      </c>
      <c r="AW179" s="82">
        <f>IFERROR(VLOOKUP(Table43[[#This Row],[Kode Pcpl]],'[1]FEB 2026'!$A$3:$X$312,24,0),0)</f>
        <v>0</v>
      </c>
      <c r="AX179" s="82">
        <f>Table43[[#This Row],[Harga Jual Pcs MT
(-PPN)]]*Table43[[#This Row],[ISI/CTN]]</f>
        <v>0</v>
      </c>
      <c r="AY179" s="82">
        <f>Table43[[#This Row],[Harga Jual Pcs MT
(-PPN)]]*1.11</f>
        <v>0</v>
      </c>
      <c r="AZ179" s="82">
        <f>Table43[[#This Row],[Harga Jual Pcs MT
(+PPN)]]*Table43[[#This Row],[ISI/CTN]]</f>
        <v>0</v>
      </c>
      <c r="BA179" s="83" t="e">
        <f>(Table43[[#This Row],[Harga Jual Pcs GT
(-PPN)]]-Table43[[#This Row],[Harga Beli Pcs
(-PPN)]])/Table43[[#This Row],[Harga Jual Pcs GT
(-PPN)]]</f>
        <v>#DIV/0!</v>
      </c>
      <c r="BB179" s="84">
        <f>Table43[[#This Row],[Harga Jual Pcs MT
(-PPN)]]-Table43[[#This Row],[Harga Beli Pcs
(-PPN)]]</f>
        <v>0</v>
      </c>
      <c r="BC179" s="85" t="e">
        <f>Table43[[#This Row],[Column1]]/Table43[[#This Row],[Harga Jual Pcs MT
(-PPN)]]</f>
        <v>#DIV/0!</v>
      </c>
      <c r="BD179" s="86"/>
      <c r="BE179" s="72"/>
      <c r="BF179" s="72" t="str">
        <f ca="1">IF(TODAY()-Table43[[#This Row],[Efektif
Pembuatan]]&gt;60,"Lama","Baru")</f>
        <v>Lama</v>
      </c>
      <c r="BG179" s="72" t="str">
        <f ca="1">IF(TODAY()-Table43[[#This Row],[Efektif Naik Harga]]&lt;30,"Naik","Sama")</f>
        <v>Sama</v>
      </c>
      <c r="BH179" s="72"/>
      <c r="BI179" s="72" t="str">
        <f>IF(Table43[[#This Row],[Kode BARANG Win2]]&lt;&gt;"","IDR","")</f>
        <v>IDR</v>
      </c>
      <c r="BJ179" s="72" t="str">
        <f>CONCATENATE(Table43[[#This Row],[kode  1 Digit
(Nomor)]],Table43[[#This Row],[kode  4 Digit                (Nomor)]])</f>
        <v>0018</v>
      </c>
      <c r="BK179" s="72" t="str">
        <f>Table43[[#This Row],[Nama            Gramasi atau Jumlah Pack per CTN]]</f>
        <v>30S</v>
      </c>
      <c r="BL179" s="72"/>
      <c r="BM179" s="72"/>
      <c r="BN179" s="71" t="str">
        <f>IF(Table43[[#This Row],[SATUAN Fix Win]]&lt;&gt;"","KRT")</f>
        <v>KRT</v>
      </c>
      <c r="BO179" s="71" t="str">
        <f>IF(Table43[[#This Row],[SATUAN Fix Win]]&lt;&gt;"","GD01")</f>
        <v>GD01</v>
      </c>
      <c r="BP179" s="71">
        <f>IF(Table43[[#This Row],[SATUAN Fix Win]]&lt;&gt;"",11611)</f>
        <v>11611</v>
      </c>
      <c r="BQ179" s="71">
        <f>IF(Table43[[#This Row],[SATUAN Fix Win]]&lt;&gt;"",11612)</f>
        <v>11612</v>
      </c>
      <c r="BR179" s="71"/>
      <c r="BS179" s="71">
        <f>IF(Table43[[#This Row],[SATUAN Fix Win]]&lt;&gt;"",1)</f>
        <v>1</v>
      </c>
      <c r="BT179" s="71"/>
      <c r="BU179" s="71">
        <f>Table43[[#This Row],[ISI/CTN]]</f>
        <v>144</v>
      </c>
      <c r="BV179" s="71"/>
      <c r="BW179" s="71"/>
    </row>
    <row r="180" spans="1:75">
      <c r="A180" s="4" t="str">
        <f>CONCATENATE(Table43[[#This Row],[Kode BARANG Win2]],Table43[[#This Row],[No. Urut
Item Sama]])</f>
        <v>G1078001001811</v>
      </c>
      <c r="B180" s="7"/>
      <c r="C180" s="31"/>
      <c r="D180" s="51">
        <v>40023534</v>
      </c>
      <c r="E180" s="27"/>
      <c r="F180" s="51"/>
      <c r="G180" s="51"/>
      <c r="H180" s="27"/>
      <c r="I180" s="27">
        <v>144</v>
      </c>
      <c r="J180" s="51" t="s">
        <v>1635</v>
      </c>
      <c r="K180" s="27" t="str">
        <f>Table43[[#This Row],[NamaJenisKemasan]]</f>
        <v>PCS</v>
      </c>
      <c r="L180" s="4" t="str">
        <f>TRIM(CONCATENATE(Table43[[#This Row],[Nama            KLP]]," ",Table43[[#This Row],[Nama            Sub KLP]]))</f>
        <v>HIT MAT GOODKNIGHT</v>
      </c>
      <c r="M180" s="4" t="str">
        <f>CONCATENATE(Table43[[#This Row],[kode  2 Digit                (hrf+No)]],Table43[[#This Row],[kode  2 Digit                (Nomor)]],Table43[[#This Row],[kode  1 Digit                (Nomor)]])</f>
        <v>G1078</v>
      </c>
      <c r="N180" s="4" t="str">
        <f>IF(AI180="",CONCATENATE(S180,U180,W180,Y180,AA180,AC180,AE180,AG180,Table43[[#This Row],[Tanda Kode Revisi]]),CONCATENATE(S180,U180,W180,Y180,AA180,AC180,AE180,AI180))</f>
        <v>G1078001001811</v>
      </c>
      <c r="O180" s="11">
        <f>LEN(N180)</f>
        <v>14</v>
      </c>
      <c r="P180" s="14" t="str">
        <f>IF(AH180&lt;&gt;"",TRIM(UPPER(CONCATENATE(R180," ",T180," ",V180," ",X180," ",Z180," ",AB180," ","X"," ",Table43[[#This Row],[ISI/CTN]]," ",AH180," ",AD180," ",AF180," ",AJ180))),TRIM(UPPER(CONCATENATE(R180," ",T180," ",V180," ",X180," ",Z180," ",AB180," ","X"," ",Table43[[#This Row],[ISI/CTN]]," ",AD180," ",AF180," ",AJ180))))</f>
        <v>HIT MAT GOODKNIGHT CLASSIC 18S X 144 PCS +12S</v>
      </c>
      <c r="Q180" s="11">
        <f>LEN(P180)</f>
        <v>45</v>
      </c>
      <c r="S180" s="7" t="s">
        <v>34</v>
      </c>
      <c r="T180" s="4" t="s">
        <v>2242</v>
      </c>
      <c r="U180" s="47" t="s">
        <v>2544</v>
      </c>
      <c r="V180" s="48" t="s">
        <v>2644</v>
      </c>
      <c r="W180" s="7">
        <v>8</v>
      </c>
      <c r="X180" s="48"/>
      <c r="Y180" s="47" t="s">
        <v>1116</v>
      </c>
      <c r="Z180" s="4" t="s">
        <v>2265</v>
      </c>
      <c r="AA180" s="49" t="s">
        <v>1115</v>
      </c>
      <c r="AB180" s="4" t="s">
        <v>2287</v>
      </c>
      <c r="AC180" s="49" t="s">
        <v>2603</v>
      </c>
      <c r="AD180" s="4" t="s">
        <v>185</v>
      </c>
      <c r="AE180" s="7">
        <v>1</v>
      </c>
      <c r="AF180" s="65" t="s">
        <v>2604</v>
      </c>
      <c r="AG180" s="7">
        <v>1</v>
      </c>
      <c r="AK180" s="70">
        <f>Table43[[#This Row],[Column4]]</f>
        <v>0</v>
      </c>
      <c r="AN180" s="7">
        <f>Table43[[#This Row],[ISI/CTN]]</f>
        <v>144</v>
      </c>
      <c r="AO180" s="61">
        <f>Table43[[#This Row],[Harga Jual Pcs GT
(-PPN)]]-(Table43[[#This Row],[Harga Jual Pcs GT
(-PPN)]]*6.5%)</f>
        <v>0</v>
      </c>
      <c r="AP180" s="61">
        <f>Table43[[#This Row],[Harga Beli Pcs
(-PPN)]]*Table43[[#This Row],[ISI/CTN]]</f>
        <v>0</v>
      </c>
      <c r="AQ180" s="61">
        <f>Table43[[#This Row],[Harga Beli Pcs
(-PPN)]]*1.11</f>
        <v>0</v>
      </c>
      <c r="AR180" s="61">
        <f>Table43[[#This Row],[Harga Beli Krt
(- PPN)]]*1.11</f>
        <v>0</v>
      </c>
      <c r="AS180" s="61"/>
      <c r="AT180" s="61">
        <f>Table43[[#This Row],[Harga Jual Pcs GT
(-PPN)]]*Table43[[#This Row],[ISI/CTN]]</f>
        <v>0</v>
      </c>
      <c r="AU180" s="61">
        <f>Table43[[#This Row],[Harga Jual Pcs GT
(-PPN)]]*1.11</f>
        <v>0</v>
      </c>
      <c r="AV180" s="61">
        <f>Table43[[#This Row],[Harga Jual Krt GT
(- PPN)]]*1.11</f>
        <v>0</v>
      </c>
      <c r="AW180" s="61">
        <f>IFERROR(VLOOKUP(Table43[[#This Row],[Kode Pcpl]],'[1]FEB 2026'!$A$3:$X$312,24,0),0)</f>
        <v>0</v>
      </c>
      <c r="AX180" s="61">
        <f>Table43[[#This Row],[Harga Jual Pcs MT
(-PPN)]]*Table43[[#This Row],[ISI/CTN]]</f>
        <v>0</v>
      </c>
      <c r="AY180" s="61">
        <f>Table43[[#This Row],[Harga Jual Pcs MT
(-PPN)]]*1.11</f>
        <v>0</v>
      </c>
      <c r="AZ180" s="61">
        <f>Table43[[#This Row],[Harga Jual Pcs MT
(+PPN)]]*Table43[[#This Row],[ISI/CTN]]</f>
        <v>0</v>
      </c>
      <c r="BA180" s="62" t="e">
        <f>(Table43[[#This Row],[Harga Jual Pcs GT
(-PPN)]]-Table43[[#This Row],[Harga Beli Pcs
(-PPN)]])/Table43[[#This Row],[Harga Jual Pcs GT
(-PPN)]]</f>
        <v>#DIV/0!</v>
      </c>
      <c r="BB180" s="63">
        <f>Table43[[#This Row],[Harga Jual Pcs MT
(-PPN)]]-Table43[[#This Row],[Harga Beli Pcs
(-PPN)]]</f>
        <v>0</v>
      </c>
      <c r="BC180" s="64" t="e">
        <f>Table43[[#This Row],[Column1]]/Table43[[#This Row],[Harga Jual Pcs MT
(-PPN)]]</f>
        <v>#DIV/0!</v>
      </c>
      <c r="BD180" s="52"/>
      <c r="BE180" s="7"/>
      <c r="BF180" s="7" t="str">
        <f ca="1">IF(TODAY()-Table43[[#This Row],[Efektif
Pembuatan]]&gt;60,"Lama","Baru")</f>
        <v>Lama</v>
      </c>
      <c r="BG180" s="7" t="str">
        <f ca="1">IF(TODAY()-Table43[[#This Row],[Efektif Naik Harga]]&lt;30,"Naik","Sama")</f>
        <v>Sama</v>
      </c>
      <c r="BH180" s="7"/>
      <c r="BI180" s="7" t="str">
        <f>IF(Table43[[#This Row],[Kode BARANG Win2]]&lt;&gt;"","IDR","")</f>
        <v>IDR</v>
      </c>
      <c r="BJ180" s="7" t="str">
        <f>CONCATENATE(Table43[[#This Row],[kode  1 Digit
(Nomor)]],Table43[[#This Row],[kode  4 Digit                (Nomor)]])</f>
        <v>0018</v>
      </c>
      <c r="BK180" s="7" t="str">
        <f>Table43[[#This Row],[Nama            Gramasi atau Jumlah Pack per CTN]]</f>
        <v>18S</v>
      </c>
      <c r="BL180" s="7"/>
      <c r="BM180" s="7"/>
      <c r="BN180" s="4" t="str">
        <f>IF(Table43[[#This Row],[SATUAN Fix Win]]&lt;&gt;"","KRT")</f>
        <v>KRT</v>
      </c>
      <c r="BO180" s="4" t="str">
        <f>IF(Table43[[#This Row],[SATUAN Fix Win]]&lt;&gt;"","GD01")</f>
        <v>GD01</v>
      </c>
      <c r="BP180" s="4">
        <f>IF(Table43[[#This Row],[SATUAN Fix Win]]&lt;&gt;"",11611)</f>
        <v>11611</v>
      </c>
      <c r="BQ180" s="4">
        <f>IF(Table43[[#This Row],[SATUAN Fix Win]]&lt;&gt;"",11612)</f>
        <v>11612</v>
      </c>
      <c r="BS180" s="4">
        <f>IF(Table43[[#This Row],[SATUAN Fix Win]]&lt;&gt;"",1)</f>
        <v>1</v>
      </c>
      <c r="BU180" s="4">
        <f>Table43[[#This Row],[ISI/CTN]]</f>
        <v>144</v>
      </c>
    </row>
    <row r="181" spans="1:75">
      <c r="A181" s="4" t="str">
        <f>CONCATENATE(Table43[[#This Row],[Kode BARANG Win2]],Table43[[#This Row],[No. Urut
Item Sama]])</f>
        <v>G1078001004810</v>
      </c>
      <c r="B181" s="7"/>
      <c r="C181" s="31">
        <v>30131010000001</v>
      </c>
      <c r="D181" s="51">
        <v>40056229</v>
      </c>
      <c r="E181" s="27" t="s">
        <v>1945</v>
      </c>
      <c r="F181" s="51">
        <v>30120010048001</v>
      </c>
      <c r="G181" s="51">
        <v>0</v>
      </c>
      <c r="H181" s="27" t="s">
        <v>1223</v>
      </c>
      <c r="I181" s="27">
        <v>72</v>
      </c>
      <c r="J181" s="51" t="s">
        <v>1636</v>
      </c>
      <c r="K181" s="27" t="str">
        <f>Table43[[#This Row],[NamaJenisKemasan]]</f>
        <v>PCS</v>
      </c>
      <c r="L181" s="4" t="str">
        <f>TRIM(CONCATENATE(Table43[[#This Row],[Nama            KLP]]," ",Table43[[#This Row],[Nama            Sub KLP]]))</f>
        <v>HIT MAT GOODKNIGHT</v>
      </c>
      <c r="M181" s="4" t="str">
        <f>CONCATENATE(Table43[[#This Row],[kode  2 Digit                (hrf+No)]],Table43[[#This Row],[kode  2 Digit                (Nomor)]],Table43[[#This Row],[kode  1 Digit                (Nomor)]])</f>
        <v>G1078</v>
      </c>
      <c r="N181" s="4" t="str">
        <f>IF(AI181="",CONCATENATE(S181,U181,W181,Y181,AA181,AC181,AE181,AG181,Table43[[#This Row],[Tanda Kode Revisi]]),CONCATENATE(S181,U181,W181,Y181,AA181,AC181,AE181,AI181))</f>
        <v>G1078001004810</v>
      </c>
      <c r="O181" s="11">
        <f t="shared" si="4"/>
        <v>14</v>
      </c>
      <c r="P181" s="14" t="str">
        <f>IF(AH181&lt;&gt;"",TRIM(UPPER(CONCATENATE(R181," ",T181," ",V181," ",X181," ",Z181," ",AB181," ","X"," ",Table43[[#This Row],[ISI/CTN]]," ",AH181," ",AD181," ",AF181," ",AJ181))),TRIM(UPPER(CONCATENATE(R181," ",T181," ",V181," ",X181," ",Z181," ",AB181," ","X"," ",Table43[[#This Row],[ISI/CTN]]," ",AD181," ",AF181," ",AJ181))))</f>
        <v>HIT MAT GOODKNIGHT CLASSIC 48S/60S X 72 PCS</v>
      </c>
      <c r="Q181" s="11">
        <f t="shared" si="5"/>
        <v>43</v>
      </c>
      <c r="S181" s="7" t="s">
        <v>34</v>
      </c>
      <c r="T181" s="4" t="s">
        <v>2242</v>
      </c>
      <c r="U181" s="47" t="s">
        <v>2544</v>
      </c>
      <c r="V181" s="48" t="s">
        <v>2644</v>
      </c>
      <c r="W181" s="7">
        <v>8</v>
      </c>
      <c r="X181" s="48"/>
      <c r="Y181" s="47" t="s">
        <v>1116</v>
      </c>
      <c r="Z181" s="4" t="s">
        <v>2265</v>
      </c>
      <c r="AA181" s="49" t="s">
        <v>1115</v>
      </c>
      <c r="AB181" s="4" t="s">
        <v>3436</v>
      </c>
      <c r="AC181" s="49" t="s">
        <v>2627</v>
      </c>
      <c r="AD181" s="4" t="s">
        <v>185</v>
      </c>
      <c r="AE181" s="7">
        <v>1</v>
      </c>
      <c r="AG181" s="7">
        <v>0</v>
      </c>
      <c r="AK181" s="70">
        <f>Table43[[#This Row],[Column4]]</f>
        <v>30120010048001</v>
      </c>
      <c r="AN181" s="7">
        <f>Table43[[#This Row],[ISI/CTN]]</f>
        <v>72</v>
      </c>
      <c r="AO181" s="61">
        <f>Table43[[#This Row],[Harga Jual Pcs GT
(-PPN)]]-(Table43[[#This Row],[Harga Jual Pcs GT
(-PPN)]]*6.5%)</f>
        <v>10874.05</v>
      </c>
      <c r="AP181" s="61">
        <f>Table43[[#This Row],[Harga Beli Pcs
(-PPN)]]*Table43[[#This Row],[ISI/CTN]]</f>
        <v>782931.6</v>
      </c>
      <c r="AQ181" s="61">
        <f>Table43[[#This Row],[Harga Beli Pcs
(-PPN)]]*1.11</f>
        <v>12070.1955</v>
      </c>
      <c r="AR181" s="61">
        <f>Table43[[#This Row],[Harga Beli Krt
(- PPN)]]*1.11</f>
        <v>869054.076</v>
      </c>
      <c r="AS181" s="61">
        <v>11630</v>
      </c>
      <c r="AT181" s="61">
        <f>Table43[[#This Row],[Harga Jual Pcs GT
(-PPN)]]*Table43[[#This Row],[ISI/CTN]]</f>
        <v>837360</v>
      </c>
      <c r="AU181" s="61">
        <f>Table43[[#This Row],[Harga Jual Pcs GT
(-PPN)]]*1.11</f>
        <v>12909.300000000001</v>
      </c>
      <c r="AV181" s="61">
        <f>Table43[[#This Row],[Harga Jual Krt GT
(- PPN)]]*1.11</f>
        <v>929469.60000000009</v>
      </c>
      <c r="AW181" s="61">
        <f>IFERROR(VLOOKUP(Table43[[#This Row],[Kode Pcpl]],'[1]FEB 2026'!$A$3:$X$312,24,0),0)</f>
        <v>0</v>
      </c>
      <c r="AX181" s="61">
        <f>Table43[[#This Row],[Harga Jual Pcs MT
(-PPN)]]*Table43[[#This Row],[ISI/CTN]]</f>
        <v>0</v>
      </c>
      <c r="AY181" s="61">
        <f>Table43[[#This Row],[Harga Jual Pcs MT
(-PPN)]]*1.11</f>
        <v>0</v>
      </c>
      <c r="AZ181" s="61">
        <f>Table43[[#This Row],[Harga Jual Pcs MT
(+PPN)]]*Table43[[#This Row],[ISI/CTN]]</f>
        <v>0</v>
      </c>
      <c r="BA181" s="62">
        <f>(Table43[[#This Row],[Harga Jual Pcs GT
(-PPN)]]-Table43[[#This Row],[Harga Beli Pcs
(-PPN)]])/Table43[[#This Row],[Harga Jual Pcs GT
(-PPN)]]</f>
        <v>6.5000000000000058E-2</v>
      </c>
      <c r="BB181" s="63">
        <f>Table43[[#This Row],[Harga Jual Pcs MT
(-PPN)]]-Table43[[#This Row],[Harga Beli Pcs
(-PPN)]]</f>
        <v>-10874.05</v>
      </c>
      <c r="BC181" s="64" t="e">
        <f>Table43[[#This Row],[Column1]]/Table43[[#This Row],[Harga Jual Pcs MT
(-PPN)]]</f>
        <v>#DIV/0!</v>
      </c>
      <c r="BD181" s="52"/>
      <c r="BE181" s="7"/>
      <c r="BF181" s="7" t="str">
        <f ca="1">IF(TODAY()-Table43[[#This Row],[Efektif
Pembuatan]]&gt;60,"Lama","Baru")</f>
        <v>Lama</v>
      </c>
      <c r="BG181" s="7" t="str">
        <f ca="1">IF(TODAY()-Table43[[#This Row],[Efektif Naik Harga]]&lt;30,"Naik","Sama")</f>
        <v>Sama</v>
      </c>
      <c r="BH181" s="7"/>
      <c r="BI181" s="7" t="str">
        <f>IF(Table43[[#This Row],[Kode BARANG Win2]]&lt;&gt;"","IDR","")</f>
        <v>IDR</v>
      </c>
      <c r="BJ181" s="7" t="str">
        <f>CONCATENATE(Table43[[#This Row],[kode  1 Digit
(Nomor)]],Table43[[#This Row],[kode  4 Digit                (Nomor)]])</f>
        <v>0048</v>
      </c>
      <c r="BK181" s="7" t="str">
        <f>Table43[[#This Row],[Nama            Gramasi atau Jumlah Pack per CTN]]</f>
        <v>48S/60S</v>
      </c>
      <c r="BL181" s="7"/>
      <c r="BM181" s="7"/>
      <c r="BN181" s="4" t="str">
        <f>IF(Table43[[#This Row],[SATUAN Fix Win]]&lt;&gt;"","KRT")</f>
        <v>KRT</v>
      </c>
      <c r="BO181" s="4" t="str">
        <f>IF(Table43[[#This Row],[SATUAN Fix Win]]&lt;&gt;"","GD01")</f>
        <v>GD01</v>
      </c>
      <c r="BP181" s="4">
        <f>IF(Table43[[#This Row],[SATUAN Fix Win]]&lt;&gt;"",11611)</f>
        <v>11611</v>
      </c>
      <c r="BQ181" s="4">
        <f>IF(Table43[[#This Row],[SATUAN Fix Win]]&lt;&gt;"",11612)</f>
        <v>11612</v>
      </c>
      <c r="BS181" s="4">
        <f>IF(Table43[[#This Row],[SATUAN Fix Win]]&lt;&gt;"",1)</f>
        <v>1</v>
      </c>
      <c r="BU181" s="4">
        <f>Table43[[#This Row],[ISI/CTN]]</f>
        <v>72</v>
      </c>
    </row>
    <row r="182" spans="1:75">
      <c r="A182" s="71" t="str">
        <f>CONCATENATE(Table43[[#This Row],[Kode BARANG Win2]],Table43[[#This Row],[No. Urut
Item Sama]])</f>
        <v>G1078001004810</v>
      </c>
      <c r="B182" s="72"/>
      <c r="C182" s="73">
        <v>30120010048001</v>
      </c>
      <c r="D182" s="74">
        <v>40060796</v>
      </c>
      <c r="E182" s="75" t="s">
        <v>3387</v>
      </c>
      <c r="F182" s="74"/>
      <c r="G182" s="74"/>
      <c r="H182" s="75"/>
      <c r="I182" s="75">
        <v>72</v>
      </c>
      <c r="J182" s="51" t="s">
        <v>1636</v>
      </c>
      <c r="K182" s="75" t="str">
        <f>Table43[[#This Row],[NamaJenisKemasan]]</f>
        <v>PCS</v>
      </c>
      <c r="L182" s="71" t="str">
        <f>TRIM(CONCATENATE(Table43[[#This Row],[Nama            KLP]]," ",Table43[[#This Row],[Nama            Sub KLP]]))</f>
        <v>HIT MAT GOODKNIGHT</v>
      </c>
      <c r="M182" s="71" t="str">
        <f>CONCATENATE(Table43[[#This Row],[kode  2 Digit                (hrf+No)]],Table43[[#This Row],[kode  2 Digit                (Nomor)]],Table43[[#This Row],[kode  1 Digit                (Nomor)]])</f>
        <v>G1078</v>
      </c>
      <c r="N182" s="71" t="str">
        <f>IF(AI182="",CONCATENATE(S182,U182,W182,Y182,AA182,AC182,AE182,AG182,Table43[[#This Row],[Tanda Kode Revisi]]),CONCATENATE(S182,U182,W182,Y182,AA182,AC182,AE182,AI182))</f>
        <v>G1078001004810</v>
      </c>
      <c r="O182" s="76">
        <f t="shared" si="4"/>
        <v>14</v>
      </c>
      <c r="P182" s="77" t="str">
        <f>IF(AH182&lt;&gt;"",TRIM(UPPER(CONCATENATE(R182," ",T182," ",V182," ",X182," ",Z182," ",AB182," ","X"," ",Table43[[#This Row],[ISI/CTN]]," ",AH182," ",AD182," ",AF182," ",AJ182))),TRIM(UPPER(CONCATENATE(R182," ",T182," ",V182," ",X182," ",Z182," ",AB182," ","X"," ",Table43[[#This Row],[ISI/CTN]]," ",AD182," ",AF182," ",AJ182))))</f>
        <v>HIT MAT GOODKNIGHT CLASSIC 48S/60S X 72 PCS</v>
      </c>
      <c r="Q182" s="76">
        <f t="shared" si="5"/>
        <v>43</v>
      </c>
      <c r="R182" s="71"/>
      <c r="S182" s="72" t="s">
        <v>34</v>
      </c>
      <c r="T182" s="71" t="s">
        <v>2242</v>
      </c>
      <c r="U182" s="78" t="s">
        <v>2544</v>
      </c>
      <c r="V182" s="79" t="s">
        <v>2644</v>
      </c>
      <c r="W182" s="72">
        <v>8</v>
      </c>
      <c r="X182" s="79"/>
      <c r="Y182" s="78" t="s">
        <v>1116</v>
      </c>
      <c r="Z182" s="71" t="s">
        <v>2265</v>
      </c>
      <c r="AA182" s="80" t="s">
        <v>1115</v>
      </c>
      <c r="AB182" s="71" t="s">
        <v>3436</v>
      </c>
      <c r="AC182" s="80" t="s">
        <v>2627</v>
      </c>
      <c r="AD182" s="71" t="s">
        <v>185</v>
      </c>
      <c r="AE182" s="72">
        <v>1</v>
      </c>
      <c r="AF182" s="71"/>
      <c r="AG182" s="72">
        <v>0</v>
      </c>
      <c r="AH182" s="72"/>
      <c r="AI182" s="72"/>
      <c r="AJ182" s="72"/>
      <c r="AK182" s="81">
        <f>Table43[[#This Row],[Column4]]</f>
        <v>0</v>
      </c>
      <c r="AL182" s="72"/>
      <c r="AM182" s="72"/>
      <c r="AN182" s="72">
        <f>Table43[[#This Row],[ISI/CTN]]</f>
        <v>72</v>
      </c>
      <c r="AO182" s="82">
        <f>Table43[[#This Row],[Harga Jual Pcs GT
(-PPN)]]-(Table43[[#This Row],[Harga Jual Pcs GT
(-PPN)]]*6.5%)</f>
        <v>10874.05</v>
      </c>
      <c r="AP182" s="82">
        <f>Table43[[#This Row],[Harga Beli Pcs
(-PPN)]]*Table43[[#This Row],[ISI/CTN]]</f>
        <v>782931.6</v>
      </c>
      <c r="AQ182" s="82">
        <f>Table43[[#This Row],[Harga Beli Pcs
(-PPN)]]*1.11</f>
        <v>12070.1955</v>
      </c>
      <c r="AR182" s="82">
        <f>Table43[[#This Row],[Harga Beli Krt
(- PPN)]]*1.11</f>
        <v>869054.076</v>
      </c>
      <c r="AS182" s="82">
        <v>11630</v>
      </c>
      <c r="AT182" s="82">
        <f>Table43[[#This Row],[Harga Jual Pcs GT
(-PPN)]]*Table43[[#This Row],[ISI/CTN]]</f>
        <v>837360</v>
      </c>
      <c r="AU182" s="82">
        <f>Table43[[#This Row],[Harga Jual Pcs GT
(-PPN)]]*1.11</f>
        <v>12909.300000000001</v>
      </c>
      <c r="AV182" s="82">
        <f>Table43[[#This Row],[Harga Jual Krt GT
(- PPN)]]*1.11</f>
        <v>929469.60000000009</v>
      </c>
      <c r="AW182" s="82">
        <f>IFERROR(VLOOKUP(Table43[[#This Row],[Kode Pcpl]],'[1]FEB 2026'!$A$3:$X$312,24,0),0)</f>
        <v>0</v>
      </c>
      <c r="AX182" s="82">
        <f>Table43[[#This Row],[Harga Jual Pcs MT
(-PPN)]]*Table43[[#This Row],[ISI/CTN]]</f>
        <v>0</v>
      </c>
      <c r="AY182" s="82">
        <f>Table43[[#This Row],[Harga Jual Pcs MT
(-PPN)]]*1.11</f>
        <v>0</v>
      </c>
      <c r="AZ182" s="82">
        <f>Table43[[#This Row],[Harga Jual Pcs MT
(+PPN)]]*Table43[[#This Row],[ISI/CTN]]</f>
        <v>0</v>
      </c>
      <c r="BA182" s="83">
        <f>(Table43[[#This Row],[Harga Jual Pcs GT
(-PPN)]]-Table43[[#This Row],[Harga Beli Pcs
(-PPN)]])/Table43[[#This Row],[Harga Jual Pcs GT
(-PPN)]]</f>
        <v>6.5000000000000058E-2</v>
      </c>
      <c r="BB182" s="84">
        <f>Table43[[#This Row],[Harga Jual Pcs MT
(-PPN)]]-Table43[[#This Row],[Harga Beli Pcs
(-PPN)]]</f>
        <v>-10874.05</v>
      </c>
      <c r="BC182" s="85" t="e">
        <f>Table43[[#This Row],[Column1]]/Table43[[#This Row],[Harga Jual Pcs MT
(-PPN)]]</f>
        <v>#DIV/0!</v>
      </c>
      <c r="BD182" s="86"/>
      <c r="BE182" s="72"/>
      <c r="BF182" s="72" t="str">
        <f ca="1">IF(TODAY()-Table43[[#This Row],[Efektif
Pembuatan]]&gt;60,"Lama","Baru")</f>
        <v>Lama</v>
      </c>
      <c r="BG182" s="72" t="str">
        <f ca="1">IF(TODAY()-Table43[[#This Row],[Efektif Naik Harga]]&lt;30,"Naik","Sama")</f>
        <v>Sama</v>
      </c>
      <c r="BH182" s="72"/>
      <c r="BI182" s="72" t="str">
        <f>IF(Table43[[#This Row],[Kode BARANG Win2]]&lt;&gt;"","IDR","")</f>
        <v>IDR</v>
      </c>
      <c r="BJ182" s="72" t="str">
        <f>CONCATENATE(Table43[[#This Row],[kode  1 Digit
(Nomor)]],Table43[[#This Row],[kode  4 Digit                (Nomor)]])</f>
        <v>0048</v>
      </c>
      <c r="BK182" s="72" t="str">
        <f>Table43[[#This Row],[Nama            Gramasi atau Jumlah Pack per CTN]]</f>
        <v>48S/60S</v>
      </c>
      <c r="BL182" s="72"/>
      <c r="BM182" s="72"/>
      <c r="BN182" s="71" t="str">
        <f>IF(Table43[[#This Row],[SATUAN Fix Win]]&lt;&gt;"","KRT")</f>
        <v>KRT</v>
      </c>
      <c r="BO182" s="71" t="str">
        <f>IF(Table43[[#This Row],[SATUAN Fix Win]]&lt;&gt;"","GD01")</f>
        <v>GD01</v>
      </c>
      <c r="BP182" s="71">
        <f>IF(Table43[[#This Row],[SATUAN Fix Win]]&lt;&gt;"",11611)</f>
        <v>11611</v>
      </c>
      <c r="BQ182" s="71">
        <f>IF(Table43[[#This Row],[SATUAN Fix Win]]&lt;&gt;"",11612)</f>
        <v>11612</v>
      </c>
      <c r="BR182" s="71"/>
      <c r="BS182" s="71">
        <f>IF(Table43[[#This Row],[SATUAN Fix Win]]&lt;&gt;"",1)</f>
        <v>1</v>
      </c>
      <c r="BT182" s="71"/>
      <c r="BU182" s="71">
        <f>Table43[[#This Row],[ISI/CTN]]</f>
        <v>72</v>
      </c>
    </row>
    <row r="183" spans="1:75">
      <c r="A183" s="4" t="str">
        <f>CONCATENATE(Table43[[#This Row],[Kode BARANG Win2]],Table43[[#This Row],[No. Urut
Item Sama]])</f>
        <v>G1078001004810</v>
      </c>
      <c r="B183" s="7"/>
      <c r="C183" s="31"/>
      <c r="D183" s="51">
        <v>40023557</v>
      </c>
      <c r="E183" s="27"/>
      <c r="F183" s="74"/>
      <c r="G183" s="74"/>
      <c r="H183" s="27"/>
      <c r="I183" s="27">
        <v>72</v>
      </c>
      <c r="J183" s="51" t="s">
        <v>1636</v>
      </c>
      <c r="K183" s="27" t="str">
        <f>Table43[[#This Row],[NamaJenisKemasan]]</f>
        <v>PCS</v>
      </c>
      <c r="L183" s="4" t="str">
        <f>TRIM(CONCATENATE(Table43[[#This Row],[Nama            KLP]]," ",Table43[[#This Row],[Nama            Sub KLP]]))</f>
        <v>HIT MAT GOODKNIGHT</v>
      </c>
      <c r="M183" s="4" t="str">
        <f>CONCATENATE(Table43[[#This Row],[kode  2 Digit                (hrf+No)]],Table43[[#This Row],[kode  2 Digit                (Nomor)]],Table43[[#This Row],[kode  1 Digit                (Nomor)]])</f>
        <v>G1078</v>
      </c>
      <c r="N183" s="4" t="str">
        <f>IF(AI183="",CONCATENATE(S183,U183,W183,Y183,AA183,AC183,AE183,AG183,Table43[[#This Row],[Tanda Kode Revisi]]),CONCATENATE(S183,U183,W183,Y183,AA183,AC183,AE183,AI183))</f>
        <v>G1078001004810</v>
      </c>
      <c r="O183" s="11">
        <f>LEN(N183)</f>
        <v>14</v>
      </c>
      <c r="P183" s="14" t="str">
        <f>IF(AH183&lt;&gt;"",TRIM(UPPER(CONCATENATE(R183," ",T183," ",V183," ",X183," ",Z183," ",AB183," ","X"," ",Table43[[#This Row],[ISI/CTN]]," ",AH183," ",AD183," ",AF183," ",AJ183))),TRIM(UPPER(CONCATENATE(R183," ",T183," ",V183," ",X183," ",Z183," ",AB183," ","X"," ",Table43[[#This Row],[ISI/CTN]]," ",AD183," ",AF183," ",AJ183))))</f>
        <v>HIT MAT GOODKNIGHT CLASSIC 48S/60S X 72 PCS</v>
      </c>
      <c r="Q183" s="11">
        <f>LEN(P183)</f>
        <v>43</v>
      </c>
      <c r="S183" s="7" t="s">
        <v>34</v>
      </c>
      <c r="T183" s="4" t="s">
        <v>2242</v>
      </c>
      <c r="U183" s="47" t="s">
        <v>2544</v>
      </c>
      <c r="V183" s="48" t="s">
        <v>2644</v>
      </c>
      <c r="W183" s="7">
        <v>8</v>
      </c>
      <c r="X183" s="48"/>
      <c r="Y183" s="47" t="s">
        <v>1116</v>
      </c>
      <c r="Z183" s="4" t="s">
        <v>2265</v>
      </c>
      <c r="AA183" s="49" t="s">
        <v>1115</v>
      </c>
      <c r="AB183" s="4" t="s">
        <v>3436</v>
      </c>
      <c r="AC183" s="49" t="s">
        <v>2627</v>
      </c>
      <c r="AD183" s="4" t="s">
        <v>185</v>
      </c>
      <c r="AE183" s="7">
        <v>1</v>
      </c>
      <c r="AG183" s="7">
        <v>0</v>
      </c>
      <c r="AK183" s="70">
        <f>Table43[[#This Row],[Column4]]</f>
        <v>0</v>
      </c>
      <c r="AN183" s="72">
        <f>Table43[[#This Row],[ISI/CTN]]</f>
        <v>72</v>
      </c>
      <c r="AO183" s="61">
        <f>Table43[[#This Row],[Harga Jual Pcs GT
(-PPN)]]-(Table43[[#This Row],[Harga Jual Pcs GT
(-PPN)]]*6.5%)</f>
        <v>0</v>
      </c>
      <c r="AP183" s="61">
        <f>Table43[[#This Row],[Harga Beli Pcs
(-PPN)]]*Table43[[#This Row],[ISI/CTN]]</f>
        <v>0</v>
      </c>
      <c r="AQ183" s="61">
        <f>Table43[[#This Row],[Harga Beli Pcs
(-PPN)]]*1.11</f>
        <v>0</v>
      </c>
      <c r="AR183" s="61">
        <f>Table43[[#This Row],[Harga Beli Krt
(- PPN)]]*1.11</f>
        <v>0</v>
      </c>
      <c r="AS183" s="61"/>
      <c r="AT183" s="61">
        <f>Table43[[#This Row],[Harga Jual Pcs GT
(-PPN)]]*Table43[[#This Row],[ISI/CTN]]</f>
        <v>0</v>
      </c>
      <c r="AU183" s="61">
        <f>Table43[[#This Row],[Harga Jual Pcs GT
(-PPN)]]*1.11</f>
        <v>0</v>
      </c>
      <c r="AV183" s="61">
        <f>Table43[[#This Row],[Harga Jual Krt GT
(- PPN)]]*1.11</f>
        <v>0</v>
      </c>
      <c r="AW183" s="61">
        <f>IFERROR(VLOOKUP(Table43[[#This Row],[Kode Pcpl]],'[1]FEB 2026'!$A$3:$X$312,24,0),0)</f>
        <v>0</v>
      </c>
      <c r="AX183" s="61">
        <f>Table43[[#This Row],[Harga Jual Pcs MT
(-PPN)]]*Table43[[#This Row],[ISI/CTN]]</f>
        <v>0</v>
      </c>
      <c r="AY183" s="61">
        <f>Table43[[#This Row],[Harga Jual Pcs MT
(-PPN)]]*1.11</f>
        <v>0</v>
      </c>
      <c r="AZ183" s="61">
        <f>Table43[[#This Row],[Harga Jual Pcs MT
(+PPN)]]*Table43[[#This Row],[ISI/CTN]]</f>
        <v>0</v>
      </c>
      <c r="BA183" s="62" t="e">
        <f>(Table43[[#This Row],[Harga Jual Pcs GT
(-PPN)]]-Table43[[#This Row],[Harga Beli Pcs
(-PPN)]])/Table43[[#This Row],[Harga Jual Pcs GT
(-PPN)]]</f>
        <v>#DIV/0!</v>
      </c>
      <c r="BB183" s="63">
        <f>Table43[[#This Row],[Harga Jual Pcs MT
(-PPN)]]-Table43[[#This Row],[Harga Beli Pcs
(-PPN)]]</f>
        <v>0</v>
      </c>
      <c r="BC183" s="64" t="e">
        <f>Table43[[#This Row],[Column1]]/Table43[[#This Row],[Harga Jual Pcs MT
(-PPN)]]</f>
        <v>#DIV/0!</v>
      </c>
      <c r="BD183" s="52"/>
      <c r="BE183" s="7"/>
      <c r="BF183" s="7" t="str">
        <f ca="1">IF(TODAY()-Table43[[#This Row],[Efektif
Pembuatan]]&gt;60,"Lama","Baru")</f>
        <v>Lama</v>
      </c>
      <c r="BG183" s="7" t="str">
        <f ca="1">IF(TODAY()-Table43[[#This Row],[Efektif Naik Harga]]&lt;30,"Naik","Sama")</f>
        <v>Sama</v>
      </c>
      <c r="BH183" s="7"/>
      <c r="BI183" s="7" t="str">
        <f>IF(Table43[[#This Row],[Kode BARANG Win2]]&lt;&gt;"","IDR","")</f>
        <v>IDR</v>
      </c>
      <c r="BJ183" s="7" t="str">
        <f>CONCATENATE(Table43[[#This Row],[kode  1 Digit
(Nomor)]],Table43[[#This Row],[kode  4 Digit                (Nomor)]])</f>
        <v>0048</v>
      </c>
      <c r="BK183" s="7" t="str">
        <f>Table43[[#This Row],[Nama            Gramasi atau Jumlah Pack per CTN]]</f>
        <v>48S/60S</v>
      </c>
      <c r="BL183" s="7"/>
      <c r="BM183" s="7"/>
      <c r="BN183" s="4" t="str">
        <f>IF(Table43[[#This Row],[SATUAN Fix Win]]&lt;&gt;"","KRT")</f>
        <v>KRT</v>
      </c>
      <c r="BO183" s="4" t="str">
        <f>IF(Table43[[#This Row],[SATUAN Fix Win]]&lt;&gt;"","GD01")</f>
        <v>GD01</v>
      </c>
      <c r="BP183" s="4">
        <f>IF(Table43[[#This Row],[SATUAN Fix Win]]&lt;&gt;"",11611)</f>
        <v>11611</v>
      </c>
      <c r="BQ183" s="4">
        <f>IF(Table43[[#This Row],[SATUAN Fix Win]]&lt;&gt;"",11612)</f>
        <v>11612</v>
      </c>
      <c r="BS183" s="4">
        <f>IF(Table43[[#This Row],[SATUAN Fix Win]]&lt;&gt;"",1)</f>
        <v>1</v>
      </c>
      <c r="BU183" s="4">
        <f>Table43[[#This Row],[ISI/CTN]]</f>
        <v>72</v>
      </c>
    </row>
    <row r="184" spans="1:75">
      <c r="A184" s="4" t="str">
        <f>CONCATENATE(Table43[[#This Row],[Kode BARANG Win2]],Table43[[#This Row],[No. Urut
Item Sama]])</f>
        <v>G1078001004810</v>
      </c>
      <c r="B184" s="7"/>
      <c r="C184" s="31"/>
      <c r="D184" s="51">
        <v>40007561</v>
      </c>
      <c r="E184" s="27"/>
      <c r="F184" s="74"/>
      <c r="G184" s="74"/>
      <c r="H184" s="27"/>
      <c r="I184" s="27">
        <v>72</v>
      </c>
      <c r="J184" s="51" t="s">
        <v>1636</v>
      </c>
      <c r="K184" s="27" t="str">
        <f>Table43[[#This Row],[NamaJenisKemasan]]</f>
        <v>PCS</v>
      </c>
      <c r="L184" s="4" t="str">
        <f>TRIM(CONCATENATE(Table43[[#This Row],[Nama            KLP]]," ",Table43[[#This Row],[Nama            Sub KLP]]))</f>
        <v>HIT MAT GOODKNIGHT</v>
      </c>
      <c r="M184" s="4" t="str">
        <f>CONCATENATE(Table43[[#This Row],[kode  2 Digit                (hrf+No)]],Table43[[#This Row],[kode  2 Digit                (Nomor)]],Table43[[#This Row],[kode  1 Digit                (Nomor)]])</f>
        <v>G1078</v>
      </c>
      <c r="N184" s="4" t="str">
        <f>IF(AI184="",CONCATENATE(S184,U184,W184,Y184,AA184,AC184,AE184,AG184,Table43[[#This Row],[Tanda Kode Revisi]]),CONCATENATE(S184,U184,W184,Y184,AA184,AC184,AE184,AI184))</f>
        <v>G1078001004810</v>
      </c>
      <c r="O184" s="11">
        <f>LEN(N184)</f>
        <v>14</v>
      </c>
      <c r="P184" s="14" t="str">
        <f>IF(AH184&lt;&gt;"",TRIM(UPPER(CONCATENATE(R184," ",T184," ",V184," ",X184," ",Z184," ",AB184," ","X"," ",Table43[[#This Row],[ISI/CTN]]," ",AH184," ",AD184," ",AF184," ",AJ184))),TRIM(UPPER(CONCATENATE(R184," ",T184," ",V184," ",X184," ",Z184," ",AB184," ","X"," ",Table43[[#This Row],[ISI/CTN]]," ",AD184," ",AF184," ",AJ184))))</f>
        <v>HIT MAT GOODKNIGHT CLASSIC 48S/60S X 72 PCS</v>
      </c>
      <c r="Q184" s="11">
        <f>LEN(P184)</f>
        <v>43</v>
      </c>
      <c r="S184" s="7" t="s">
        <v>34</v>
      </c>
      <c r="T184" s="4" t="s">
        <v>2242</v>
      </c>
      <c r="U184" s="47" t="s">
        <v>2544</v>
      </c>
      <c r="V184" s="48" t="s">
        <v>2644</v>
      </c>
      <c r="W184" s="7">
        <v>8</v>
      </c>
      <c r="X184" s="48"/>
      <c r="Y184" s="47" t="s">
        <v>1116</v>
      </c>
      <c r="Z184" s="4" t="s">
        <v>2265</v>
      </c>
      <c r="AA184" s="49" t="s">
        <v>1115</v>
      </c>
      <c r="AB184" s="4" t="s">
        <v>3436</v>
      </c>
      <c r="AC184" s="49" t="s">
        <v>2627</v>
      </c>
      <c r="AD184" s="4" t="s">
        <v>185</v>
      </c>
      <c r="AE184" s="7">
        <v>1</v>
      </c>
      <c r="AG184" s="7">
        <v>0</v>
      </c>
      <c r="AK184" s="70">
        <f>Table43[[#This Row],[Column4]]</f>
        <v>0</v>
      </c>
      <c r="AN184" s="72">
        <f>Table43[[#This Row],[ISI/CTN]]</f>
        <v>72</v>
      </c>
      <c r="AO184" s="61">
        <f>Table43[[#This Row],[Harga Jual Pcs GT
(-PPN)]]-(Table43[[#This Row],[Harga Jual Pcs GT
(-PPN)]]*6.5%)</f>
        <v>0</v>
      </c>
      <c r="AP184" s="61">
        <f>Table43[[#This Row],[Harga Beli Pcs
(-PPN)]]*Table43[[#This Row],[ISI/CTN]]</f>
        <v>0</v>
      </c>
      <c r="AQ184" s="61">
        <f>Table43[[#This Row],[Harga Beli Pcs
(-PPN)]]*1.11</f>
        <v>0</v>
      </c>
      <c r="AR184" s="61">
        <f>Table43[[#This Row],[Harga Beli Krt
(- PPN)]]*1.11</f>
        <v>0</v>
      </c>
      <c r="AS184" s="61"/>
      <c r="AT184" s="61">
        <f>Table43[[#This Row],[Harga Jual Pcs GT
(-PPN)]]*Table43[[#This Row],[ISI/CTN]]</f>
        <v>0</v>
      </c>
      <c r="AU184" s="61">
        <f>Table43[[#This Row],[Harga Jual Pcs GT
(-PPN)]]*1.11</f>
        <v>0</v>
      </c>
      <c r="AV184" s="61">
        <f>Table43[[#This Row],[Harga Jual Krt GT
(- PPN)]]*1.11</f>
        <v>0</v>
      </c>
      <c r="AW184" s="61">
        <f>IFERROR(VLOOKUP(Table43[[#This Row],[Kode Pcpl]],'[1]FEB 2026'!$A$3:$X$312,24,0),0)</f>
        <v>0</v>
      </c>
      <c r="AX184" s="61">
        <f>Table43[[#This Row],[Harga Jual Pcs MT
(-PPN)]]*Table43[[#This Row],[ISI/CTN]]</f>
        <v>0</v>
      </c>
      <c r="AY184" s="61">
        <f>Table43[[#This Row],[Harga Jual Pcs MT
(-PPN)]]*1.11</f>
        <v>0</v>
      </c>
      <c r="AZ184" s="61">
        <f>Table43[[#This Row],[Harga Jual Pcs MT
(+PPN)]]*Table43[[#This Row],[ISI/CTN]]</f>
        <v>0</v>
      </c>
      <c r="BA184" s="62" t="e">
        <f>(Table43[[#This Row],[Harga Jual Pcs GT
(-PPN)]]-Table43[[#This Row],[Harga Beli Pcs
(-PPN)]])/Table43[[#This Row],[Harga Jual Pcs GT
(-PPN)]]</f>
        <v>#DIV/0!</v>
      </c>
      <c r="BB184" s="63">
        <f>Table43[[#This Row],[Harga Jual Pcs MT
(-PPN)]]-Table43[[#This Row],[Harga Beli Pcs
(-PPN)]]</f>
        <v>0</v>
      </c>
      <c r="BC184" s="64" t="e">
        <f>Table43[[#This Row],[Column1]]/Table43[[#This Row],[Harga Jual Pcs MT
(-PPN)]]</f>
        <v>#DIV/0!</v>
      </c>
      <c r="BD184" s="52"/>
      <c r="BE184" s="7"/>
      <c r="BF184" s="7" t="str">
        <f ca="1">IF(TODAY()-Table43[[#This Row],[Efektif
Pembuatan]]&gt;60,"Lama","Baru")</f>
        <v>Lama</v>
      </c>
      <c r="BG184" s="7" t="str">
        <f ca="1">IF(TODAY()-Table43[[#This Row],[Efektif Naik Harga]]&lt;30,"Naik","Sama")</f>
        <v>Sama</v>
      </c>
      <c r="BH184" s="7"/>
      <c r="BI184" s="7" t="str">
        <f>IF(Table43[[#This Row],[Kode BARANG Win2]]&lt;&gt;"","IDR","")</f>
        <v>IDR</v>
      </c>
      <c r="BJ184" s="7" t="str">
        <f>CONCATENATE(Table43[[#This Row],[kode  1 Digit
(Nomor)]],Table43[[#This Row],[kode  4 Digit                (Nomor)]])</f>
        <v>0048</v>
      </c>
      <c r="BK184" s="7" t="str">
        <f>Table43[[#This Row],[Nama            Gramasi atau Jumlah Pack per CTN]]</f>
        <v>48S/60S</v>
      </c>
      <c r="BL184" s="7"/>
      <c r="BM184" s="7"/>
      <c r="BN184" s="4" t="str">
        <f>IF(Table43[[#This Row],[SATUAN Fix Win]]&lt;&gt;"","KRT")</f>
        <v>KRT</v>
      </c>
      <c r="BO184" s="4" t="str">
        <f>IF(Table43[[#This Row],[SATUAN Fix Win]]&lt;&gt;"","GD01")</f>
        <v>GD01</v>
      </c>
      <c r="BP184" s="4">
        <f>IF(Table43[[#This Row],[SATUAN Fix Win]]&lt;&gt;"",11611)</f>
        <v>11611</v>
      </c>
      <c r="BQ184" s="4">
        <f>IF(Table43[[#This Row],[SATUAN Fix Win]]&lt;&gt;"",11612)</f>
        <v>11612</v>
      </c>
      <c r="BS184" s="4">
        <f>IF(Table43[[#This Row],[SATUAN Fix Win]]&lt;&gt;"",1)</f>
        <v>1</v>
      </c>
      <c r="BU184" s="4">
        <f>Table43[[#This Row],[ISI/CTN]]</f>
        <v>72</v>
      </c>
    </row>
    <row r="185" spans="1:75">
      <c r="A185" s="4" t="str">
        <f>CONCATENATE(Table43[[#This Row],[Kode BARANG Win2]],Table43[[#This Row],[No. Urut
Item Sama]])</f>
        <v>G1078001022511</v>
      </c>
      <c r="B185" s="7"/>
      <c r="C185" s="31">
        <v>30080010020000</v>
      </c>
      <c r="D185" s="51">
        <v>40007531</v>
      </c>
      <c r="E185" s="27" t="s">
        <v>1927</v>
      </c>
      <c r="F185" s="51">
        <v>30090030225003</v>
      </c>
      <c r="G185" s="51">
        <v>0</v>
      </c>
      <c r="H185" s="27" t="s">
        <v>1200</v>
      </c>
      <c r="I185" s="27">
        <v>48</v>
      </c>
      <c r="J185" s="51" t="s">
        <v>1618</v>
      </c>
      <c r="K185" s="27" t="str">
        <f>Table43[[#This Row],[NamaJenisKemasan]]</f>
        <v>PCS</v>
      </c>
      <c r="L185" s="4" t="str">
        <f>TRIM(CONCATENATE(Table43[[#This Row],[Nama            KLP]]," ",Table43[[#This Row],[Nama            Sub KLP]]))</f>
        <v>HIT MAT GOODKNIGHT</v>
      </c>
      <c r="M185" s="4" t="str">
        <f>CONCATENATE(Table43[[#This Row],[kode  2 Digit                (hrf+No)]],Table43[[#This Row],[kode  2 Digit                (Nomor)]],Table43[[#This Row],[kode  1 Digit                (Nomor)]])</f>
        <v>G1078</v>
      </c>
      <c r="N185" s="4" t="str">
        <f>IF(AI185="",CONCATENATE(S185,U185,W185,Y185,AA185,AC185,AE185,AG185,Table43[[#This Row],[Tanda Kode Revisi]]),CONCATENATE(S185,U185,W185,Y185,AA185,AC185,AE185,AI185))</f>
        <v>G1078001022511</v>
      </c>
      <c r="O185" s="11">
        <f t="shared" si="4"/>
        <v>14</v>
      </c>
      <c r="P185" s="14" t="str">
        <f>IF(AH185&lt;&gt;"",TRIM(UPPER(CONCATENATE(R185," ",T185," ",V185," ",X185," ",Z185," ",AB185," ","X"," ",Table43[[#This Row],[ISI/CTN]]," ",AH185," ",AD185," ",AF185," ",AJ185))),TRIM(UPPER(CONCATENATE(R185," ",T185," ",V185," ",X185," ",Z185," ",AB185," ","X"," ",Table43[[#This Row],[ISI/CTN]]," ",AD185," ",AF185," ",AJ185))))</f>
        <v>HIT MAT GOODKNIGHT EKO 225GR X 48 PCS BANDED</v>
      </c>
      <c r="Q185" s="11">
        <f t="shared" si="5"/>
        <v>44</v>
      </c>
      <c r="S185" s="7" t="s">
        <v>34</v>
      </c>
      <c r="T185" s="4" t="s">
        <v>2242</v>
      </c>
      <c r="U185" s="47" t="s">
        <v>2544</v>
      </c>
      <c r="V185" s="48" t="s">
        <v>2644</v>
      </c>
      <c r="W185" s="7">
        <v>8</v>
      </c>
      <c r="X185" s="48"/>
      <c r="Y185" s="47" t="s">
        <v>1116</v>
      </c>
      <c r="Z185" s="4" t="s">
        <v>2266</v>
      </c>
      <c r="AA185" s="49" t="s">
        <v>1115</v>
      </c>
      <c r="AB185" s="4" t="s">
        <v>2270</v>
      </c>
      <c r="AC185" s="49" t="s">
        <v>2609</v>
      </c>
      <c r="AD185" s="4" t="s">
        <v>185</v>
      </c>
      <c r="AE185" s="7">
        <v>1</v>
      </c>
      <c r="AF185" s="4" t="s">
        <v>2269</v>
      </c>
      <c r="AG185" s="7">
        <v>1</v>
      </c>
      <c r="AK185" s="70">
        <f>Table43[[#This Row],[Column4]]</f>
        <v>30090030225003</v>
      </c>
      <c r="AN185" s="7">
        <f>Table43[[#This Row],[ISI/CTN]]</f>
        <v>48</v>
      </c>
      <c r="AO185" s="38">
        <f>Table43[[#This Row],[Harga Jual Pcs GT
(-PPN)]]-(Table43[[#This Row],[Harga Jual Pcs GT
(-PPN)]]*6.5%)</f>
        <v>8415</v>
      </c>
      <c r="AP185" s="38">
        <f>Table43[[#This Row],[Harga Beli Pcs
(-PPN)]]*Table43[[#This Row],[ISI/CTN]]</f>
        <v>403920</v>
      </c>
      <c r="AQ185" s="38">
        <f>Table43[[#This Row],[Harga Beli Pcs
(-PPN)]]*1.11</f>
        <v>9340.6500000000015</v>
      </c>
      <c r="AR185" s="38">
        <f>Table43[[#This Row],[Harga Beli Krt
(- PPN)]]*1.11</f>
        <v>448351.2</v>
      </c>
      <c r="AS185" s="38">
        <v>9000</v>
      </c>
      <c r="AT185" s="38">
        <f>Table43[[#This Row],[Harga Jual Pcs GT
(-PPN)]]*Table43[[#This Row],[ISI/CTN]]</f>
        <v>432000</v>
      </c>
      <c r="AU185" s="38">
        <f>Table43[[#This Row],[Harga Jual Pcs GT
(-PPN)]]*1.11</f>
        <v>9990</v>
      </c>
      <c r="AV185" s="38">
        <f>Table43[[#This Row],[Harga Jual Krt GT
(- PPN)]]*1.11</f>
        <v>479520.00000000006</v>
      </c>
      <c r="AW185" s="38">
        <f>IFERROR(VLOOKUP(Table43[[#This Row],[Kode Pcpl]],'[1]FEB 2026'!$A$3:$X$312,24,0),0)</f>
        <v>0</v>
      </c>
      <c r="AX185" s="38">
        <f>Table43[[#This Row],[Harga Jual Pcs MT
(-PPN)]]*Table43[[#This Row],[ISI/CTN]]</f>
        <v>0</v>
      </c>
      <c r="AY185" s="38">
        <f>Table43[[#This Row],[Harga Jual Pcs MT
(-PPN)]]*1.11</f>
        <v>0</v>
      </c>
      <c r="AZ185" s="38">
        <f>Table43[[#This Row],[Harga Jual Pcs MT
(+PPN)]]*Table43[[#This Row],[ISI/CTN]]</f>
        <v>0</v>
      </c>
      <c r="BA185" s="46">
        <f>(Table43[[#This Row],[Harga Jual Pcs GT
(-PPN)]]-Table43[[#This Row],[Harga Beli Pcs
(-PPN)]])/Table43[[#This Row],[Harga Jual Pcs GT
(-PPN)]]</f>
        <v>6.5000000000000002E-2</v>
      </c>
      <c r="BB185" s="53">
        <f>Table43[[#This Row],[Harga Jual Pcs MT
(-PPN)]]-Table43[[#This Row],[Harga Beli Pcs
(-PPN)]]</f>
        <v>-8415</v>
      </c>
      <c r="BC185" s="54" t="e">
        <f>Table43[[#This Row],[Column1]]/Table43[[#This Row],[Harga Jual Pcs MT
(-PPN)]]</f>
        <v>#DIV/0!</v>
      </c>
      <c r="BD185" s="52"/>
      <c r="BE185" s="7"/>
      <c r="BF185" s="7" t="str">
        <f ca="1">IF(TODAY()-Table43[[#This Row],[Efektif
Pembuatan]]&gt;60,"Lama","Baru")</f>
        <v>Lama</v>
      </c>
      <c r="BG185" s="7" t="str">
        <f ca="1">IF(TODAY()-Table43[[#This Row],[Efektif Naik Harga]]&lt;30,"Naik","Sama")</f>
        <v>Sama</v>
      </c>
      <c r="BH185" s="7"/>
      <c r="BI185" s="7" t="str">
        <f>IF(Table43[[#This Row],[Kode BARANG Win2]]&lt;&gt;"","IDR","")</f>
        <v>IDR</v>
      </c>
      <c r="BJ185" s="7" t="str">
        <f>CONCATENATE(Table43[[#This Row],[kode  1 Digit
(Nomor)]],Table43[[#This Row],[kode  4 Digit                (Nomor)]])</f>
        <v>0225</v>
      </c>
      <c r="BK185" s="7" t="str">
        <f>Table43[[#This Row],[Nama            Gramasi atau Jumlah Pack per CTN]]</f>
        <v>225GR</v>
      </c>
      <c r="BL185" s="7"/>
      <c r="BM185" s="7"/>
      <c r="BN185" s="4" t="str">
        <f>IF(Table43[[#This Row],[SATUAN Fix Win]]&lt;&gt;"","KRT")</f>
        <v>KRT</v>
      </c>
      <c r="BO185" s="4" t="str">
        <f>IF(Table43[[#This Row],[SATUAN Fix Win]]&lt;&gt;"","GD01")</f>
        <v>GD01</v>
      </c>
      <c r="BP185" s="4">
        <f>IF(Table43[[#This Row],[SATUAN Fix Win]]&lt;&gt;"",11611)</f>
        <v>11611</v>
      </c>
      <c r="BQ185" s="4">
        <f>IF(Table43[[#This Row],[SATUAN Fix Win]]&lt;&gt;"",11612)</f>
        <v>11612</v>
      </c>
      <c r="BS185" s="4">
        <f>IF(Table43[[#This Row],[SATUAN Fix Win]]&lt;&gt;"",1)</f>
        <v>1</v>
      </c>
      <c r="BU185" s="4">
        <f>Table43[[#This Row],[ISI/CTN]]</f>
        <v>48</v>
      </c>
    </row>
    <row r="186" spans="1:75">
      <c r="A186" s="4" t="str">
        <f>CONCATENATE(Table43[[#This Row],[Kode BARANG Win2]],Table43[[#This Row],[No. Urut
Item Sama]])</f>
        <v>G1078001022511</v>
      </c>
      <c r="B186" s="7"/>
      <c r="C186" s="31">
        <v>30120030018003</v>
      </c>
      <c r="D186" s="51">
        <v>40050006</v>
      </c>
      <c r="E186" s="27" t="s">
        <v>1927</v>
      </c>
      <c r="F186" s="51">
        <v>30090030225003</v>
      </c>
      <c r="G186" s="51">
        <v>0</v>
      </c>
      <c r="H186" s="27" t="s">
        <v>1201</v>
      </c>
      <c r="I186" s="27">
        <v>48</v>
      </c>
      <c r="J186" s="51" t="s">
        <v>1618</v>
      </c>
      <c r="K186" s="27" t="str">
        <f>Table43[[#This Row],[NamaJenisKemasan]]</f>
        <v>PCS</v>
      </c>
      <c r="L186" s="4" t="str">
        <f>TRIM(CONCATENATE(Table43[[#This Row],[Nama            KLP]]," ",Table43[[#This Row],[Nama            Sub KLP]]))</f>
        <v>HIT MAT GOODKNIGHT</v>
      </c>
      <c r="M186" s="4" t="str">
        <f>CONCATENATE(Table43[[#This Row],[kode  2 Digit                (hrf+No)]],Table43[[#This Row],[kode  2 Digit                (Nomor)]],Table43[[#This Row],[kode  1 Digit                (Nomor)]])</f>
        <v>G1078</v>
      </c>
      <c r="N186" s="4" t="str">
        <f>IF(AI186="",CONCATENATE(S186,U186,W186,Y186,AA186,AC186,AE186,AG186,Table43[[#This Row],[Tanda Kode Revisi]]),CONCATENATE(S186,U186,W186,Y186,AA186,AC186,AE186,AI186))</f>
        <v>G1078001022511</v>
      </c>
      <c r="O186" s="11">
        <f t="shared" si="4"/>
        <v>14</v>
      </c>
      <c r="P186" s="14" t="str">
        <f>IF(AH186&lt;&gt;"",TRIM(UPPER(CONCATENATE(R186," ",T186," ",V186," ",X186," ",Z186," ",AB186," ","X"," ",Table43[[#This Row],[ISI/CTN]]," ",AH186," ",AD186," ",AF186," ",AJ186))),TRIM(UPPER(CONCATENATE(R186," ",T186," ",V186," ",X186," ",Z186," ",AB186," ","X"," ",Table43[[#This Row],[ISI/CTN]]," ",AD186," ",AF186," ",AJ186))))</f>
        <v>HIT MAT GOODKNIGHT EKO 225GR X 48 PCS BANDED</v>
      </c>
      <c r="Q186" s="11">
        <f t="shared" si="5"/>
        <v>44</v>
      </c>
      <c r="S186" s="7" t="s">
        <v>34</v>
      </c>
      <c r="T186" s="4" t="s">
        <v>2242</v>
      </c>
      <c r="U186" s="47" t="s">
        <v>2544</v>
      </c>
      <c r="V186" s="48" t="s">
        <v>2644</v>
      </c>
      <c r="W186" s="7">
        <v>8</v>
      </c>
      <c r="X186" s="48"/>
      <c r="Y186" s="47" t="s">
        <v>1116</v>
      </c>
      <c r="Z186" s="4" t="s">
        <v>2266</v>
      </c>
      <c r="AA186" s="49" t="s">
        <v>1115</v>
      </c>
      <c r="AB186" s="4" t="s">
        <v>2270</v>
      </c>
      <c r="AC186" s="49" t="s">
        <v>2609</v>
      </c>
      <c r="AD186" s="4" t="s">
        <v>185</v>
      </c>
      <c r="AE186" s="7">
        <v>1</v>
      </c>
      <c r="AF186" s="4" t="s">
        <v>2269</v>
      </c>
      <c r="AG186" s="7">
        <v>1</v>
      </c>
      <c r="AK186" s="70">
        <f>Table43[[#This Row],[Column4]]</f>
        <v>30090030225003</v>
      </c>
      <c r="AN186" s="7">
        <f>Table43[[#This Row],[ISI/CTN]]</f>
        <v>48</v>
      </c>
      <c r="AO186" s="38">
        <f>Table43[[#This Row],[Harga Jual Pcs GT
(-PPN)]]-(Table43[[#This Row],[Harga Jual Pcs GT
(-PPN)]]*6.5%)</f>
        <v>8415</v>
      </c>
      <c r="AP186" s="38">
        <f>Table43[[#This Row],[Harga Beli Pcs
(-PPN)]]*Table43[[#This Row],[ISI/CTN]]</f>
        <v>403920</v>
      </c>
      <c r="AQ186" s="38">
        <f>Table43[[#This Row],[Harga Beli Pcs
(-PPN)]]*1.11</f>
        <v>9340.6500000000015</v>
      </c>
      <c r="AR186" s="38">
        <f>Table43[[#This Row],[Harga Beli Krt
(- PPN)]]*1.11</f>
        <v>448351.2</v>
      </c>
      <c r="AS186" s="38">
        <v>9000</v>
      </c>
      <c r="AT186" s="38">
        <f>Table43[[#This Row],[Harga Jual Pcs GT
(-PPN)]]*Table43[[#This Row],[ISI/CTN]]</f>
        <v>432000</v>
      </c>
      <c r="AU186" s="38">
        <f>Table43[[#This Row],[Harga Jual Pcs GT
(-PPN)]]*1.11</f>
        <v>9990</v>
      </c>
      <c r="AV186" s="38">
        <f>Table43[[#This Row],[Harga Jual Krt GT
(- PPN)]]*1.11</f>
        <v>479520.00000000006</v>
      </c>
      <c r="AW186" s="38">
        <f>IFERROR(VLOOKUP(Table43[[#This Row],[Kode Pcpl]],'[1]FEB 2026'!$A$3:$X$312,24,0),0)</f>
        <v>0</v>
      </c>
      <c r="AX186" s="38">
        <f>Table43[[#This Row],[Harga Jual Pcs MT
(-PPN)]]*Table43[[#This Row],[ISI/CTN]]</f>
        <v>0</v>
      </c>
      <c r="AY186" s="38">
        <f>Table43[[#This Row],[Harga Jual Pcs MT
(-PPN)]]*1.11</f>
        <v>0</v>
      </c>
      <c r="AZ186" s="38">
        <f>Table43[[#This Row],[Harga Jual Pcs MT
(+PPN)]]*Table43[[#This Row],[ISI/CTN]]</f>
        <v>0</v>
      </c>
      <c r="BA186" s="46">
        <f>(Table43[[#This Row],[Harga Jual Pcs GT
(-PPN)]]-Table43[[#This Row],[Harga Beli Pcs
(-PPN)]])/Table43[[#This Row],[Harga Jual Pcs GT
(-PPN)]]</f>
        <v>6.5000000000000002E-2</v>
      </c>
      <c r="BB186" s="53">
        <f>Table43[[#This Row],[Harga Jual Pcs MT
(-PPN)]]-Table43[[#This Row],[Harga Beli Pcs
(-PPN)]]</f>
        <v>-8415</v>
      </c>
      <c r="BC186" s="54" t="e">
        <f>Table43[[#This Row],[Column1]]/Table43[[#This Row],[Harga Jual Pcs MT
(-PPN)]]</f>
        <v>#DIV/0!</v>
      </c>
      <c r="BD186" s="52"/>
      <c r="BE186" s="7"/>
      <c r="BF186" s="7" t="str">
        <f ca="1">IF(TODAY()-Table43[[#This Row],[Efektif
Pembuatan]]&gt;60,"Lama","Baru")</f>
        <v>Lama</v>
      </c>
      <c r="BG186" s="7" t="str">
        <f ca="1">IF(TODAY()-Table43[[#This Row],[Efektif Naik Harga]]&lt;30,"Naik","Sama")</f>
        <v>Sama</v>
      </c>
      <c r="BH186" s="7"/>
      <c r="BI186" s="7" t="str">
        <f>IF(Table43[[#This Row],[Kode BARANG Win2]]&lt;&gt;"","IDR","")</f>
        <v>IDR</v>
      </c>
      <c r="BJ186" s="7" t="str">
        <f>CONCATENATE(Table43[[#This Row],[kode  1 Digit
(Nomor)]],Table43[[#This Row],[kode  4 Digit                (Nomor)]])</f>
        <v>0225</v>
      </c>
      <c r="BK186" s="7" t="str">
        <f>Table43[[#This Row],[Nama            Gramasi atau Jumlah Pack per CTN]]</f>
        <v>225GR</v>
      </c>
      <c r="BL186" s="7"/>
      <c r="BM186" s="7"/>
      <c r="BN186" s="4" t="str">
        <f>IF(Table43[[#This Row],[SATUAN Fix Win]]&lt;&gt;"","KRT")</f>
        <v>KRT</v>
      </c>
      <c r="BO186" s="4" t="str">
        <f>IF(Table43[[#This Row],[SATUAN Fix Win]]&lt;&gt;"","GD01")</f>
        <v>GD01</v>
      </c>
      <c r="BP186" s="4">
        <f>IF(Table43[[#This Row],[SATUAN Fix Win]]&lt;&gt;"",11611)</f>
        <v>11611</v>
      </c>
      <c r="BQ186" s="4">
        <f>IF(Table43[[#This Row],[SATUAN Fix Win]]&lt;&gt;"",11612)</f>
        <v>11612</v>
      </c>
      <c r="BS186" s="4">
        <f>IF(Table43[[#This Row],[SATUAN Fix Win]]&lt;&gt;"",1)</f>
        <v>1</v>
      </c>
      <c r="BU186" s="4">
        <f>Table43[[#This Row],[ISI/CTN]]</f>
        <v>48</v>
      </c>
    </row>
    <row r="187" spans="1:75">
      <c r="A187" s="4" t="str">
        <f>CONCATENATE(Table43[[#This Row],[Kode BARANG Win2]],Table43[[#This Row],[No. Urut
Item Sama]])</f>
        <v>G1078001022511</v>
      </c>
      <c r="B187" s="7"/>
      <c r="C187" s="31">
        <v>30120030048001</v>
      </c>
      <c r="D187" s="51">
        <v>40058771</v>
      </c>
      <c r="E187" s="27" t="s">
        <v>1927</v>
      </c>
      <c r="F187" s="51">
        <v>30090030225003</v>
      </c>
      <c r="G187" s="51">
        <v>0</v>
      </c>
      <c r="H187" s="27" t="s">
        <v>1202</v>
      </c>
      <c r="I187" s="27">
        <v>48</v>
      </c>
      <c r="J187" s="51" t="s">
        <v>1618</v>
      </c>
      <c r="K187" s="27" t="str">
        <f>Table43[[#This Row],[NamaJenisKemasan]]</f>
        <v>PCS</v>
      </c>
      <c r="L187" s="4" t="str">
        <f>TRIM(CONCATENATE(Table43[[#This Row],[Nama            KLP]]," ",Table43[[#This Row],[Nama            Sub KLP]]))</f>
        <v>HIT MAT GOODKNIGHT</v>
      </c>
      <c r="M187" s="4" t="str">
        <f>CONCATENATE(Table43[[#This Row],[kode  2 Digit                (hrf+No)]],Table43[[#This Row],[kode  2 Digit                (Nomor)]],Table43[[#This Row],[kode  1 Digit                (Nomor)]])</f>
        <v>G1078</v>
      </c>
      <c r="N187" s="4" t="str">
        <f>IF(AI187="",CONCATENATE(S187,U187,W187,Y187,AA187,AC187,AE187,AG187,Table43[[#This Row],[Tanda Kode Revisi]]),CONCATENATE(S187,U187,W187,Y187,AA187,AC187,AE187,AI187))</f>
        <v>G1078001022511</v>
      </c>
      <c r="O187" s="11">
        <f t="shared" si="4"/>
        <v>14</v>
      </c>
      <c r="P187" s="14" t="str">
        <f>IF(AH187&lt;&gt;"",TRIM(UPPER(CONCATENATE(R187," ",T187," ",V187," ",X187," ",Z187," ",AB187," ","X"," ",Table43[[#This Row],[ISI/CTN]]," ",AH187," ",AD187," ",AF187," ",AJ187))),TRIM(UPPER(CONCATENATE(R187," ",T187," ",V187," ",X187," ",Z187," ",AB187," ","X"," ",Table43[[#This Row],[ISI/CTN]]," ",AD187," ",AF187," ",AJ187))))</f>
        <v>HIT MAT GOODKNIGHT EKO 225GR X 48 PCS BANDED</v>
      </c>
      <c r="Q187" s="11">
        <f t="shared" si="5"/>
        <v>44</v>
      </c>
      <c r="S187" s="7" t="s">
        <v>34</v>
      </c>
      <c r="T187" s="4" t="s">
        <v>2242</v>
      </c>
      <c r="U187" s="47" t="s">
        <v>2544</v>
      </c>
      <c r="V187" s="48" t="s">
        <v>2644</v>
      </c>
      <c r="W187" s="7">
        <v>8</v>
      </c>
      <c r="X187" s="48"/>
      <c r="Y187" s="47" t="s">
        <v>1116</v>
      </c>
      <c r="Z187" s="4" t="s">
        <v>2266</v>
      </c>
      <c r="AA187" s="49" t="s">
        <v>1115</v>
      </c>
      <c r="AB187" s="4" t="s">
        <v>2270</v>
      </c>
      <c r="AC187" s="49" t="s">
        <v>2609</v>
      </c>
      <c r="AD187" s="4" t="s">
        <v>185</v>
      </c>
      <c r="AE187" s="7">
        <v>1</v>
      </c>
      <c r="AF187" s="4" t="s">
        <v>2269</v>
      </c>
      <c r="AG187" s="7">
        <v>1</v>
      </c>
      <c r="AK187" s="70">
        <f>Table43[[#This Row],[Column4]]</f>
        <v>30090030225003</v>
      </c>
      <c r="AN187" s="7">
        <f>Table43[[#This Row],[ISI/CTN]]</f>
        <v>48</v>
      </c>
      <c r="AO187" s="61">
        <f>Table43[[#This Row],[Harga Jual Pcs GT
(-PPN)]]-(Table43[[#This Row],[Harga Jual Pcs GT
(-PPN)]]*6.5%)</f>
        <v>8415</v>
      </c>
      <c r="AP187" s="61">
        <f>Table43[[#This Row],[Harga Beli Pcs
(-PPN)]]*Table43[[#This Row],[ISI/CTN]]</f>
        <v>403920</v>
      </c>
      <c r="AQ187" s="61">
        <f>Table43[[#This Row],[Harga Beli Pcs
(-PPN)]]*1.11</f>
        <v>9340.6500000000015</v>
      </c>
      <c r="AR187" s="61">
        <f>Table43[[#This Row],[Harga Beli Krt
(- PPN)]]*1.11</f>
        <v>448351.2</v>
      </c>
      <c r="AS187" s="61">
        <v>9000</v>
      </c>
      <c r="AT187" s="61">
        <f>Table43[[#This Row],[Harga Jual Pcs GT
(-PPN)]]*Table43[[#This Row],[ISI/CTN]]</f>
        <v>432000</v>
      </c>
      <c r="AU187" s="61">
        <f>Table43[[#This Row],[Harga Jual Pcs GT
(-PPN)]]*1.11</f>
        <v>9990</v>
      </c>
      <c r="AV187" s="61">
        <f>Table43[[#This Row],[Harga Jual Krt GT
(- PPN)]]*1.11</f>
        <v>479520.00000000006</v>
      </c>
      <c r="AW187" s="61">
        <f>IFERROR(VLOOKUP(Table43[[#This Row],[Kode Pcpl]],'[1]FEB 2026'!$A$3:$X$312,24,0),0)</f>
        <v>0</v>
      </c>
      <c r="AX187" s="61">
        <f>Table43[[#This Row],[Harga Jual Pcs MT
(-PPN)]]*Table43[[#This Row],[ISI/CTN]]</f>
        <v>0</v>
      </c>
      <c r="AY187" s="61">
        <f>Table43[[#This Row],[Harga Jual Pcs MT
(-PPN)]]*1.11</f>
        <v>0</v>
      </c>
      <c r="AZ187" s="61">
        <f>Table43[[#This Row],[Harga Jual Pcs MT
(+PPN)]]*Table43[[#This Row],[ISI/CTN]]</f>
        <v>0</v>
      </c>
      <c r="BA187" s="62">
        <f>(Table43[[#This Row],[Harga Jual Pcs GT
(-PPN)]]-Table43[[#This Row],[Harga Beli Pcs
(-PPN)]])/Table43[[#This Row],[Harga Jual Pcs GT
(-PPN)]]</f>
        <v>6.5000000000000002E-2</v>
      </c>
      <c r="BB187" s="63">
        <f>Table43[[#This Row],[Harga Jual Pcs MT
(-PPN)]]-Table43[[#This Row],[Harga Beli Pcs
(-PPN)]]</f>
        <v>-8415</v>
      </c>
      <c r="BC187" s="64" t="e">
        <f>Table43[[#This Row],[Column1]]/Table43[[#This Row],[Harga Jual Pcs MT
(-PPN)]]</f>
        <v>#DIV/0!</v>
      </c>
      <c r="BD187" s="52"/>
      <c r="BE187" s="7"/>
      <c r="BF187" s="7" t="str">
        <f ca="1">IF(TODAY()-Table43[[#This Row],[Efektif
Pembuatan]]&gt;60,"Lama","Baru")</f>
        <v>Lama</v>
      </c>
      <c r="BG187" s="7" t="str">
        <f ca="1">IF(TODAY()-Table43[[#This Row],[Efektif Naik Harga]]&lt;30,"Naik","Sama")</f>
        <v>Sama</v>
      </c>
      <c r="BH187" s="7"/>
      <c r="BI187" s="7" t="str">
        <f>IF(Table43[[#This Row],[Kode BARANG Win2]]&lt;&gt;"","IDR","")</f>
        <v>IDR</v>
      </c>
      <c r="BJ187" s="7" t="str">
        <f>CONCATENATE(Table43[[#This Row],[kode  1 Digit
(Nomor)]],Table43[[#This Row],[kode  4 Digit                (Nomor)]])</f>
        <v>0225</v>
      </c>
      <c r="BK187" s="7" t="str">
        <f>Table43[[#This Row],[Nama            Gramasi atau Jumlah Pack per CTN]]</f>
        <v>225GR</v>
      </c>
      <c r="BL187" s="7"/>
      <c r="BM187" s="7"/>
      <c r="BN187" s="4" t="str">
        <f>IF(Table43[[#This Row],[SATUAN Fix Win]]&lt;&gt;"","KRT")</f>
        <v>KRT</v>
      </c>
      <c r="BO187" s="4" t="str">
        <f>IF(Table43[[#This Row],[SATUAN Fix Win]]&lt;&gt;"","GD01")</f>
        <v>GD01</v>
      </c>
      <c r="BP187" s="4">
        <f>IF(Table43[[#This Row],[SATUAN Fix Win]]&lt;&gt;"",11611)</f>
        <v>11611</v>
      </c>
      <c r="BQ187" s="4">
        <f>IF(Table43[[#This Row],[SATUAN Fix Win]]&lt;&gt;"",11612)</f>
        <v>11612</v>
      </c>
      <c r="BS187" s="4">
        <f>IF(Table43[[#This Row],[SATUAN Fix Win]]&lt;&gt;"",1)</f>
        <v>1</v>
      </c>
      <c r="BU187" s="4">
        <f>Table43[[#This Row],[ISI/CTN]]</f>
        <v>48</v>
      </c>
    </row>
    <row r="188" spans="1:75" s="87" customFormat="1">
      <c r="A188" s="71" t="str">
        <f>CONCATENATE(Table43[[#This Row],[Kode BARANG Win2]],Table43[[#This Row],[No. Urut
Item Sama]])</f>
        <v>G1078001022511</v>
      </c>
      <c r="B188" s="72"/>
      <c r="C188" s="73"/>
      <c r="D188" s="74">
        <v>40060793</v>
      </c>
      <c r="E188" s="75" t="s">
        <v>3437</v>
      </c>
      <c r="F188" s="74"/>
      <c r="G188" s="74"/>
      <c r="H188" s="75" t="s">
        <v>3437</v>
      </c>
      <c r="I188" s="27">
        <v>48</v>
      </c>
      <c r="J188" s="51"/>
      <c r="K188" s="75" t="str">
        <f>Table43[[#This Row],[NamaJenisKemasan]]</f>
        <v>PCS</v>
      </c>
      <c r="L188" s="71" t="str">
        <f>TRIM(CONCATENATE(Table43[[#This Row],[Nama            KLP]]," ",Table43[[#This Row],[Nama            Sub KLP]]))</f>
        <v>HIT MAT GOODKNIGHT</v>
      </c>
      <c r="M188" s="71" t="str">
        <f>CONCATENATE(Table43[[#This Row],[kode  2 Digit                (hrf+No)]],Table43[[#This Row],[kode  2 Digit                (Nomor)]],Table43[[#This Row],[kode  1 Digit                (Nomor)]])</f>
        <v>G1078</v>
      </c>
      <c r="N188" s="71" t="str">
        <f>IF(AI188="",CONCATENATE(S188,U188,W188,Y188,AA188,AC188,AE188,AG188,Table43[[#This Row],[Tanda Kode Revisi]]),CONCATENATE(S188,U188,W188,Y188,AA188,AC188,AE188,AI188))</f>
        <v>G1078001022511</v>
      </c>
      <c r="O188" s="76">
        <f t="shared" si="4"/>
        <v>14</v>
      </c>
      <c r="P188" s="77" t="str">
        <f>IF(AH188&lt;&gt;"",TRIM(UPPER(CONCATENATE(R188," ",T188," ",V188," ",X188," ",Z188," ",AB188," ","X"," ",Table43[[#This Row],[ISI/CTN]]," ",AH188," ",AD188," ",AF188," ",AJ188))),TRIM(UPPER(CONCATENATE(R188," ",T188," ",V188," ",X188," ",Z188," ",AB188," ","X"," ",Table43[[#This Row],[ISI/CTN]]," ",AD188," ",AF188," ",AJ188))))</f>
        <v>HIT MAT GOODKNIGHT EKO CLASSIC 225GR X 48 PCS</v>
      </c>
      <c r="Q188" s="76">
        <f t="shared" si="5"/>
        <v>45</v>
      </c>
      <c r="R188" s="71"/>
      <c r="S188" s="72" t="s">
        <v>34</v>
      </c>
      <c r="T188" s="71" t="s">
        <v>2242</v>
      </c>
      <c r="U188" s="78" t="s">
        <v>2544</v>
      </c>
      <c r="V188" s="79" t="s">
        <v>2644</v>
      </c>
      <c r="W188" s="72">
        <v>8</v>
      </c>
      <c r="X188" s="79"/>
      <c r="Y188" s="78" t="s">
        <v>1116</v>
      </c>
      <c r="Z188" s="71" t="s">
        <v>3438</v>
      </c>
      <c r="AA188" s="80" t="s">
        <v>1115</v>
      </c>
      <c r="AB188" s="71" t="s">
        <v>2270</v>
      </c>
      <c r="AC188" s="80" t="s">
        <v>2609</v>
      </c>
      <c r="AD188" s="71" t="s">
        <v>185</v>
      </c>
      <c r="AE188" s="72">
        <v>1</v>
      </c>
      <c r="AF188" s="71"/>
      <c r="AG188" s="72">
        <v>1</v>
      </c>
      <c r="AH188" s="72"/>
      <c r="AI188" s="72"/>
      <c r="AJ188" s="72"/>
      <c r="AK188" s="81">
        <f>Table43[[#This Row],[Column4]]</f>
        <v>0</v>
      </c>
      <c r="AL188" s="72"/>
      <c r="AM188" s="72"/>
      <c r="AN188" s="72">
        <f>Table43[[#This Row],[ISI/CTN]]</f>
        <v>48</v>
      </c>
      <c r="AO188" s="82">
        <f>Table43[[#This Row],[Harga Jual Pcs GT
(-PPN)]]-(Table43[[#This Row],[Harga Jual Pcs GT
(-PPN)]]*6.5%)</f>
        <v>8415</v>
      </c>
      <c r="AP188" s="82">
        <f>Table43[[#This Row],[Harga Beli Pcs
(-PPN)]]*Table43[[#This Row],[ISI/CTN]]</f>
        <v>403920</v>
      </c>
      <c r="AQ188" s="82">
        <f>Table43[[#This Row],[Harga Beli Pcs
(-PPN)]]*1.11</f>
        <v>9340.6500000000015</v>
      </c>
      <c r="AR188" s="82">
        <f>Table43[[#This Row],[Harga Beli Krt
(- PPN)]]*1.11</f>
        <v>448351.2</v>
      </c>
      <c r="AS188" s="82">
        <v>9000</v>
      </c>
      <c r="AT188" s="82">
        <f>Table43[[#This Row],[Harga Jual Pcs GT
(-PPN)]]*Table43[[#This Row],[ISI/CTN]]</f>
        <v>432000</v>
      </c>
      <c r="AU188" s="82">
        <f>Table43[[#This Row],[Harga Jual Pcs GT
(-PPN)]]*1.11</f>
        <v>9990</v>
      </c>
      <c r="AV188" s="82">
        <f>Table43[[#This Row],[Harga Jual Krt GT
(- PPN)]]*1.11</f>
        <v>479520.00000000006</v>
      </c>
      <c r="AW188" s="82">
        <f>IFERROR(VLOOKUP(Table43[[#This Row],[Kode Pcpl]],'[1]FEB 2026'!$A$3:$X$312,24,0),0)</f>
        <v>0</v>
      </c>
      <c r="AX188" s="82">
        <f>Table43[[#This Row],[Harga Jual Pcs MT
(-PPN)]]*Table43[[#This Row],[ISI/CTN]]</f>
        <v>0</v>
      </c>
      <c r="AY188" s="82">
        <f>Table43[[#This Row],[Harga Jual Pcs MT
(-PPN)]]*1.11</f>
        <v>0</v>
      </c>
      <c r="AZ188" s="82">
        <f>Table43[[#This Row],[Harga Jual Pcs MT
(+PPN)]]*Table43[[#This Row],[ISI/CTN]]</f>
        <v>0</v>
      </c>
      <c r="BA188" s="83">
        <f>(Table43[[#This Row],[Harga Jual Pcs GT
(-PPN)]]-Table43[[#This Row],[Harga Beli Pcs
(-PPN)]])/Table43[[#This Row],[Harga Jual Pcs GT
(-PPN)]]</f>
        <v>6.5000000000000002E-2</v>
      </c>
      <c r="BB188" s="84">
        <f>Table43[[#This Row],[Harga Jual Pcs MT
(-PPN)]]-Table43[[#This Row],[Harga Beli Pcs
(-PPN)]]</f>
        <v>-8415</v>
      </c>
      <c r="BC188" s="85" t="e">
        <f>Table43[[#This Row],[Column1]]/Table43[[#This Row],[Harga Jual Pcs MT
(-PPN)]]</f>
        <v>#DIV/0!</v>
      </c>
      <c r="BD188" s="86"/>
      <c r="BE188" s="72"/>
      <c r="BF188" s="72" t="str">
        <f ca="1">IF(TODAY()-Table43[[#This Row],[Efektif
Pembuatan]]&gt;60,"Lama","Baru")</f>
        <v>Lama</v>
      </c>
      <c r="BG188" s="72" t="str">
        <f ca="1">IF(TODAY()-Table43[[#This Row],[Efektif Naik Harga]]&lt;30,"Naik","Sama")</f>
        <v>Sama</v>
      </c>
      <c r="BH188" s="72"/>
      <c r="BI188" s="72" t="str">
        <f>IF(Table43[[#This Row],[Kode BARANG Win2]]&lt;&gt;"","IDR","")</f>
        <v>IDR</v>
      </c>
      <c r="BJ188" s="72" t="str">
        <f>CONCATENATE(Table43[[#This Row],[kode  1 Digit
(Nomor)]],Table43[[#This Row],[kode  4 Digit                (Nomor)]])</f>
        <v>0225</v>
      </c>
      <c r="BK188" s="72" t="str">
        <f>Table43[[#This Row],[Nama            Gramasi atau Jumlah Pack per CTN]]</f>
        <v>225GR</v>
      </c>
      <c r="BL188" s="72"/>
      <c r="BM188" s="72"/>
      <c r="BN188" s="71" t="str">
        <f>IF(Table43[[#This Row],[SATUAN Fix Win]]&lt;&gt;"","KRT")</f>
        <v>KRT</v>
      </c>
      <c r="BO188" s="71" t="str">
        <f>IF(Table43[[#This Row],[SATUAN Fix Win]]&lt;&gt;"","GD01")</f>
        <v>GD01</v>
      </c>
      <c r="BP188" s="71">
        <f>IF(Table43[[#This Row],[SATUAN Fix Win]]&lt;&gt;"",11611)</f>
        <v>11611</v>
      </c>
      <c r="BQ188" s="71">
        <f>IF(Table43[[#This Row],[SATUAN Fix Win]]&lt;&gt;"",11612)</f>
        <v>11612</v>
      </c>
      <c r="BR188" s="71"/>
      <c r="BS188" s="71">
        <f>IF(Table43[[#This Row],[SATUAN Fix Win]]&lt;&gt;"",1)</f>
        <v>1</v>
      </c>
      <c r="BT188" s="71"/>
      <c r="BU188" s="71">
        <f>Table43[[#This Row],[ISI/CTN]]</f>
        <v>48</v>
      </c>
      <c r="BV188" s="71"/>
      <c r="BW188" s="71"/>
    </row>
    <row r="189" spans="1:75" s="87" customFormat="1">
      <c r="A189" s="4" t="str">
        <f>CONCATENATE(Table43[[#This Row],[Kode BARANG Win2]],Table43[[#This Row],[No. Urut
Item Sama]])</f>
        <v>G1078001022511</v>
      </c>
      <c r="B189" s="7"/>
      <c r="C189" s="31"/>
      <c r="D189" s="51">
        <v>40017605</v>
      </c>
      <c r="E189" s="27"/>
      <c r="F189" s="74"/>
      <c r="G189" s="74"/>
      <c r="H189" s="27"/>
      <c r="I189" s="27">
        <v>48</v>
      </c>
      <c r="J189" s="51"/>
      <c r="K189" s="27" t="str">
        <f>Table43[[#This Row],[NamaJenisKemasan]]</f>
        <v>PCS</v>
      </c>
      <c r="L189" s="4" t="str">
        <f>TRIM(CONCATENATE(Table43[[#This Row],[Nama            KLP]]," ",Table43[[#This Row],[Nama            Sub KLP]]))</f>
        <v>HIT MAT GOODKNIGHT</v>
      </c>
      <c r="M189" s="4" t="str">
        <f>CONCATENATE(Table43[[#This Row],[kode  2 Digit                (hrf+No)]],Table43[[#This Row],[kode  2 Digit                (Nomor)]],Table43[[#This Row],[kode  1 Digit                (Nomor)]])</f>
        <v>G1078</v>
      </c>
      <c r="N189" s="4" t="str">
        <f>IF(AI189="",CONCATENATE(S189,U189,W189,Y189,AA189,AC189,AE189,AG189,Table43[[#This Row],[Tanda Kode Revisi]]),CONCATENATE(S189,U189,W189,Y189,AA189,AC189,AE189,AI189))</f>
        <v>G1078001022511</v>
      </c>
      <c r="O189" s="11">
        <f>LEN(N189)</f>
        <v>14</v>
      </c>
      <c r="P189" s="14" t="str">
        <f>IF(AH189&lt;&gt;"",TRIM(UPPER(CONCATENATE(R189," ",T189," ",V189," ",X189," ",Z189," ",AB189," ","X"," ",Table43[[#This Row],[ISI/CTN]]," ",AH189," ",AD189," ",AF189," ",AJ189))),TRIM(UPPER(CONCATENATE(R189," ",T189," ",V189," ",X189," ",Z189," ",AB189," ","X"," ",Table43[[#This Row],[ISI/CTN]]," ",AD189," ",AF189," ",AJ189))))</f>
        <v>HIT MAT GOODKNIGHT EKO CLASSIC 225GR X 48 PCS</v>
      </c>
      <c r="Q189" s="11">
        <f>LEN(P189)</f>
        <v>45</v>
      </c>
      <c r="R189" s="4"/>
      <c r="S189" s="7" t="s">
        <v>34</v>
      </c>
      <c r="T189" s="4" t="s">
        <v>2242</v>
      </c>
      <c r="U189" s="47" t="s">
        <v>2544</v>
      </c>
      <c r="V189" s="48" t="s">
        <v>2644</v>
      </c>
      <c r="W189" s="7">
        <v>8</v>
      </c>
      <c r="X189" s="48"/>
      <c r="Y189" s="47" t="s">
        <v>1116</v>
      </c>
      <c r="Z189" s="4" t="s">
        <v>3438</v>
      </c>
      <c r="AA189" s="49" t="s">
        <v>1115</v>
      </c>
      <c r="AB189" s="4" t="s">
        <v>2270</v>
      </c>
      <c r="AC189" s="49" t="s">
        <v>2609</v>
      </c>
      <c r="AD189" s="4" t="s">
        <v>185</v>
      </c>
      <c r="AE189" s="7">
        <v>1</v>
      </c>
      <c r="AF189" s="4"/>
      <c r="AG189" s="7">
        <v>1</v>
      </c>
      <c r="AH189" s="7"/>
      <c r="AI189" s="7"/>
      <c r="AJ189" s="7"/>
      <c r="AK189" s="70">
        <f>Table43[[#This Row],[Column4]]</f>
        <v>0</v>
      </c>
      <c r="AL189" s="7"/>
      <c r="AM189" s="7"/>
      <c r="AN189" s="72">
        <f>Table43[[#This Row],[ISI/CTN]]</f>
        <v>48</v>
      </c>
      <c r="AO189" s="61">
        <f>Table43[[#This Row],[Harga Jual Pcs GT
(-PPN)]]-(Table43[[#This Row],[Harga Jual Pcs GT
(-PPN)]]*6.5%)</f>
        <v>0</v>
      </c>
      <c r="AP189" s="61">
        <f>Table43[[#This Row],[Harga Beli Pcs
(-PPN)]]*Table43[[#This Row],[ISI/CTN]]</f>
        <v>0</v>
      </c>
      <c r="AQ189" s="61">
        <f>Table43[[#This Row],[Harga Beli Pcs
(-PPN)]]*1.11</f>
        <v>0</v>
      </c>
      <c r="AR189" s="61">
        <f>Table43[[#This Row],[Harga Beli Krt
(- PPN)]]*1.11</f>
        <v>0</v>
      </c>
      <c r="AS189" s="61"/>
      <c r="AT189" s="61">
        <f>Table43[[#This Row],[Harga Jual Pcs GT
(-PPN)]]*Table43[[#This Row],[ISI/CTN]]</f>
        <v>0</v>
      </c>
      <c r="AU189" s="61">
        <f>Table43[[#This Row],[Harga Jual Pcs GT
(-PPN)]]*1.11</f>
        <v>0</v>
      </c>
      <c r="AV189" s="61">
        <f>Table43[[#This Row],[Harga Jual Krt GT
(- PPN)]]*1.11</f>
        <v>0</v>
      </c>
      <c r="AW189" s="61">
        <f>IFERROR(VLOOKUP(Table43[[#This Row],[Kode Pcpl]],'[1]FEB 2026'!$A$3:$X$312,24,0),0)</f>
        <v>0</v>
      </c>
      <c r="AX189" s="61">
        <f>Table43[[#This Row],[Harga Jual Pcs MT
(-PPN)]]*Table43[[#This Row],[ISI/CTN]]</f>
        <v>0</v>
      </c>
      <c r="AY189" s="61">
        <f>Table43[[#This Row],[Harga Jual Pcs MT
(-PPN)]]*1.11</f>
        <v>0</v>
      </c>
      <c r="AZ189" s="61">
        <f>Table43[[#This Row],[Harga Jual Pcs MT
(+PPN)]]*Table43[[#This Row],[ISI/CTN]]</f>
        <v>0</v>
      </c>
      <c r="BA189" s="62" t="e">
        <f>(Table43[[#This Row],[Harga Jual Pcs GT
(-PPN)]]-Table43[[#This Row],[Harga Beli Pcs
(-PPN)]])/Table43[[#This Row],[Harga Jual Pcs GT
(-PPN)]]</f>
        <v>#DIV/0!</v>
      </c>
      <c r="BB189" s="63">
        <f>Table43[[#This Row],[Harga Jual Pcs MT
(-PPN)]]-Table43[[#This Row],[Harga Beli Pcs
(-PPN)]]</f>
        <v>0</v>
      </c>
      <c r="BC189" s="64" t="e">
        <f>Table43[[#This Row],[Column1]]/Table43[[#This Row],[Harga Jual Pcs MT
(-PPN)]]</f>
        <v>#DIV/0!</v>
      </c>
      <c r="BD189" s="52"/>
      <c r="BE189" s="7"/>
      <c r="BF189" s="7" t="str">
        <f ca="1">IF(TODAY()-Table43[[#This Row],[Efektif
Pembuatan]]&gt;60,"Lama","Baru")</f>
        <v>Lama</v>
      </c>
      <c r="BG189" s="7" t="str">
        <f ca="1">IF(TODAY()-Table43[[#This Row],[Efektif Naik Harga]]&lt;30,"Naik","Sama")</f>
        <v>Sama</v>
      </c>
      <c r="BH189" s="7"/>
      <c r="BI189" s="7" t="str">
        <f>IF(Table43[[#This Row],[Kode BARANG Win2]]&lt;&gt;"","IDR","")</f>
        <v>IDR</v>
      </c>
      <c r="BJ189" s="7" t="str">
        <f>CONCATENATE(Table43[[#This Row],[kode  1 Digit
(Nomor)]],Table43[[#This Row],[kode  4 Digit                (Nomor)]])</f>
        <v>0225</v>
      </c>
      <c r="BK189" s="7" t="str">
        <f>Table43[[#This Row],[Nama            Gramasi atau Jumlah Pack per CTN]]</f>
        <v>225GR</v>
      </c>
      <c r="BL189" s="7"/>
      <c r="BM189" s="7"/>
      <c r="BN189" s="4" t="str">
        <f>IF(Table43[[#This Row],[SATUAN Fix Win]]&lt;&gt;"","KRT")</f>
        <v>KRT</v>
      </c>
      <c r="BO189" s="4" t="str">
        <f>IF(Table43[[#This Row],[SATUAN Fix Win]]&lt;&gt;"","GD01")</f>
        <v>GD01</v>
      </c>
      <c r="BP189" s="4">
        <f>IF(Table43[[#This Row],[SATUAN Fix Win]]&lt;&gt;"",11611)</f>
        <v>11611</v>
      </c>
      <c r="BQ189" s="4">
        <f>IF(Table43[[#This Row],[SATUAN Fix Win]]&lt;&gt;"",11612)</f>
        <v>11612</v>
      </c>
      <c r="BR189" s="4"/>
      <c r="BS189" s="4">
        <f>IF(Table43[[#This Row],[SATUAN Fix Win]]&lt;&gt;"",1)</f>
        <v>1</v>
      </c>
      <c r="BT189" s="4"/>
      <c r="BU189" s="4">
        <f>Table43[[#This Row],[ISI/CTN]]</f>
        <v>48</v>
      </c>
      <c r="BV189" s="71"/>
      <c r="BW189" s="71"/>
    </row>
    <row r="190" spans="1:75">
      <c r="A190" s="4" t="str">
        <f>CONCATENATE(Table43[[#This Row],[Kode BARANG Win2]],Table43[[#This Row],[No. Urut
Item Sama]])</f>
        <v>G1078004003010</v>
      </c>
      <c r="B190" s="7"/>
      <c r="C190" s="31">
        <v>30132020204000</v>
      </c>
      <c r="D190" s="51">
        <v>40057199</v>
      </c>
      <c r="E190" s="27" t="s">
        <v>1950</v>
      </c>
      <c r="F190" s="51">
        <v>30121040030000</v>
      </c>
      <c r="G190" s="51">
        <v>0</v>
      </c>
      <c r="H190" s="27" t="s">
        <v>3421</v>
      </c>
      <c r="I190" s="27">
        <v>144</v>
      </c>
      <c r="J190" s="51" t="s">
        <v>1641</v>
      </c>
      <c r="K190" s="27" t="str">
        <f>Table43[[#This Row],[NamaJenisKemasan]]</f>
        <v>PCS</v>
      </c>
      <c r="L190" s="4" t="str">
        <f>TRIM(CONCATENATE(Table43[[#This Row],[Nama            KLP]]," ",Table43[[#This Row],[Nama            Sub KLP]]))</f>
        <v>HIT MAT GOODKNIGHT</v>
      </c>
      <c r="M190" s="4" t="str">
        <f>CONCATENATE(Table43[[#This Row],[kode  2 Digit                (hrf+No)]],Table43[[#This Row],[kode  2 Digit                (Nomor)]],Table43[[#This Row],[kode  1 Digit                (Nomor)]])</f>
        <v>G1078</v>
      </c>
      <c r="N190" s="4" t="str">
        <f>IF(AI190="",CONCATENATE(S190,U190,W190,Y190,AA190,AC190,AE190,AG190,Table43[[#This Row],[Tanda Kode Revisi]]),CONCATENATE(S190,U190,W190,Y190,AA190,AC190,AE190,AI190))</f>
        <v>G1078004003010</v>
      </c>
      <c r="O190" s="11">
        <f t="shared" si="4"/>
        <v>14</v>
      </c>
      <c r="P190" s="14" t="str">
        <f>IF(AH190&lt;&gt;"",TRIM(UPPER(CONCATENATE(R190," ",T190," ",V190," ",X190," ",Z190," ",AB190," ","X"," ",Table43[[#This Row],[ISI/CTN]]," ",AH190," ",AD190," ",AF190," ",AJ190))),TRIM(UPPER(CONCATENATE(R190," ",T190," ",V190," ",X190," ",Z190," ",AB190," ","X"," ",Table43[[#This Row],[ISI/CTN]]," ",AD190," ",AF190," ",AJ190))))</f>
        <v>HIT MAT GOODKNIGHT PINK BLOSSOM 30S X 144 PCS</v>
      </c>
      <c r="Q190" s="11">
        <f t="shared" si="5"/>
        <v>45</v>
      </c>
      <c r="S190" s="7" t="s">
        <v>34</v>
      </c>
      <c r="T190" s="4" t="s">
        <v>2242</v>
      </c>
      <c r="U190" s="47" t="s">
        <v>2544</v>
      </c>
      <c r="V190" s="48" t="s">
        <v>2644</v>
      </c>
      <c r="W190" s="7">
        <v>8</v>
      </c>
      <c r="X190" s="48"/>
      <c r="Y190" s="47" t="s">
        <v>1116</v>
      </c>
      <c r="Z190" s="4" t="s">
        <v>2252</v>
      </c>
      <c r="AA190" s="49" t="s">
        <v>2540</v>
      </c>
      <c r="AB190" s="4" t="s">
        <v>2290</v>
      </c>
      <c r="AC190" s="49" t="s">
        <v>2617</v>
      </c>
      <c r="AD190" s="4" t="s">
        <v>185</v>
      </c>
      <c r="AE190" s="7">
        <v>1</v>
      </c>
      <c r="AG190" s="7">
        <v>0</v>
      </c>
      <c r="AK190" s="70">
        <f>Table43[[#This Row],[Column4]]</f>
        <v>30121040030000</v>
      </c>
      <c r="AN190" s="7">
        <f>Table43[[#This Row],[ISI/CTN]]</f>
        <v>144</v>
      </c>
      <c r="AO190" s="38">
        <f>Table43[[#This Row],[Harga Jual Pcs GT
(-PPN)]]-(Table43[[#This Row],[Harga Jual Pcs GT
(-PPN)]]*6.5%)</f>
        <v>5544.55</v>
      </c>
      <c r="AP190" s="38">
        <f>Table43[[#This Row],[Harga Beli Pcs
(-PPN)]]*Table43[[#This Row],[ISI/CTN]]</f>
        <v>798415.20000000007</v>
      </c>
      <c r="AQ190" s="38">
        <f>Table43[[#This Row],[Harga Beli Pcs
(-PPN)]]*1.11</f>
        <v>6154.4505000000008</v>
      </c>
      <c r="AR190" s="38">
        <f>Table43[[#This Row],[Harga Beli Krt
(- PPN)]]*1.11</f>
        <v>886240.87200000021</v>
      </c>
      <c r="AS190" s="38">
        <v>5930</v>
      </c>
      <c r="AT190" s="38">
        <f>Table43[[#This Row],[Harga Jual Pcs GT
(-PPN)]]*Table43[[#This Row],[ISI/CTN]]</f>
        <v>853920</v>
      </c>
      <c r="AU190" s="38">
        <f>Table43[[#This Row],[Harga Jual Pcs GT
(-PPN)]]*1.11</f>
        <v>6582.3</v>
      </c>
      <c r="AV190" s="38">
        <f>Table43[[#This Row],[Harga Jual Krt GT
(- PPN)]]*1.11</f>
        <v>947851.20000000007</v>
      </c>
      <c r="AW190" s="38">
        <f>IFERROR(VLOOKUP(Table43[[#This Row],[Kode Pcpl]],'[1]FEB 2026'!$A$3:$X$312,24,0),0)</f>
        <v>0</v>
      </c>
      <c r="AX190" s="38">
        <f>Table43[[#This Row],[Harga Jual Pcs MT
(-PPN)]]*Table43[[#This Row],[ISI/CTN]]</f>
        <v>0</v>
      </c>
      <c r="AY190" s="38">
        <f>Table43[[#This Row],[Harga Jual Pcs MT
(-PPN)]]*1.11</f>
        <v>0</v>
      </c>
      <c r="AZ190" s="38">
        <f>Table43[[#This Row],[Harga Jual Pcs MT
(+PPN)]]*Table43[[#This Row],[ISI/CTN]]</f>
        <v>0</v>
      </c>
      <c r="BA190" s="46">
        <f>(Table43[[#This Row],[Harga Jual Pcs GT
(-PPN)]]-Table43[[#This Row],[Harga Beli Pcs
(-PPN)]])/Table43[[#This Row],[Harga Jual Pcs GT
(-PPN)]]</f>
        <v>6.4999999999999974E-2</v>
      </c>
      <c r="BB190" s="53">
        <f>Table43[[#This Row],[Harga Jual Pcs MT
(-PPN)]]-Table43[[#This Row],[Harga Beli Pcs
(-PPN)]]</f>
        <v>-5544.55</v>
      </c>
      <c r="BC190" s="54" t="e">
        <f>Table43[[#This Row],[Column1]]/Table43[[#This Row],[Harga Jual Pcs MT
(-PPN)]]</f>
        <v>#DIV/0!</v>
      </c>
      <c r="BD190" s="52"/>
      <c r="BE190" s="7"/>
      <c r="BF190" s="7" t="str">
        <f ca="1">IF(TODAY()-Table43[[#This Row],[Efektif
Pembuatan]]&gt;60,"Lama","Baru")</f>
        <v>Lama</v>
      </c>
      <c r="BG190" s="7" t="str">
        <f ca="1">IF(TODAY()-Table43[[#This Row],[Efektif Naik Harga]]&lt;30,"Naik","Sama")</f>
        <v>Sama</v>
      </c>
      <c r="BH190" s="7"/>
      <c r="BI190" s="7" t="str">
        <f>IF(Table43[[#This Row],[Kode BARANG Win2]]&lt;&gt;"","IDR","")</f>
        <v>IDR</v>
      </c>
      <c r="BJ190" s="7" t="str">
        <f>CONCATENATE(Table43[[#This Row],[kode  1 Digit
(Nomor)]],Table43[[#This Row],[kode  4 Digit                (Nomor)]])</f>
        <v>0030</v>
      </c>
      <c r="BK190" s="7" t="str">
        <f>Table43[[#This Row],[Nama            Gramasi atau Jumlah Pack per CTN]]</f>
        <v>30S</v>
      </c>
      <c r="BL190" s="7"/>
      <c r="BM190" s="7"/>
      <c r="BN190" s="4" t="str">
        <f>IF(Table43[[#This Row],[SATUAN Fix Win]]&lt;&gt;"","KRT")</f>
        <v>KRT</v>
      </c>
      <c r="BO190" s="4" t="str">
        <f>IF(Table43[[#This Row],[SATUAN Fix Win]]&lt;&gt;"","GD01")</f>
        <v>GD01</v>
      </c>
      <c r="BP190" s="4">
        <f>IF(Table43[[#This Row],[SATUAN Fix Win]]&lt;&gt;"",11611)</f>
        <v>11611</v>
      </c>
      <c r="BQ190" s="4">
        <f>IF(Table43[[#This Row],[SATUAN Fix Win]]&lt;&gt;"",11612)</f>
        <v>11612</v>
      </c>
      <c r="BS190" s="4">
        <f>IF(Table43[[#This Row],[SATUAN Fix Win]]&lt;&gt;"",1)</f>
        <v>1</v>
      </c>
      <c r="BU190" s="4">
        <f>Table43[[#This Row],[ISI/CTN]]</f>
        <v>144</v>
      </c>
    </row>
    <row r="191" spans="1:75">
      <c r="A191" s="71" t="str">
        <f>CONCATENATE(Table43[[#This Row],[Kode BARANG Win2]],Table43[[#This Row],[No. Urut
Item Sama]])</f>
        <v>G1078004003010</v>
      </c>
      <c r="B191" s="72"/>
      <c r="C191" s="73"/>
      <c r="D191" s="74">
        <v>40062317</v>
      </c>
      <c r="E191" s="75"/>
      <c r="F191" s="74"/>
      <c r="G191" s="74"/>
      <c r="H191" s="75" t="s">
        <v>3422</v>
      </c>
      <c r="I191" s="75">
        <v>144</v>
      </c>
      <c r="J191" s="74" t="s">
        <v>1641</v>
      </c>
      <c r="K191" s="75" t="str">
        <f>Table43[[#This Row],[NamaJenisKemasan]]</f>
        <v>PCS</v>
      </c>
      <c r="L191" s="71" t="str">
        <f>TRIM(CONCATENATE(Table43[[#This Row],[Nama            KLP]]," ",Table43[[#This Row],[Nama            Sub KLP]]))</f>
        <v>HIT MAT GOODKNIGHT</v>
      </c>
      <c r="M191" s="71" t="str">
        <f>CONCATENATE(Table43[[#This Row],[kode  2 Digit                (hrf+No)]],Table43[[#This Row],[kode  2 Digit                (Nomor)]],Table43[[#This Row],[kode  1 Digit                (Nomor)]])</f>
        <v>G1078</v>
      </c>
      <c r="N191" s="71" t="str">
        <f>IF(AI191="",CONCATENATE(S191,U191,W191,Y191,AA191,AC191,AE191,AG191,Table43[[#This Row],[Tanda Kode Revisi]]),CONCATENATE(S191,U191,W191,Y191,AA191,AC191,AE191,AI191))</f>
        <v>G1078004003010</v>
      </c>
      <c r="O191" s="76">
        <f t="shared" si="4"/>
        <v>14</v>
      </c>
      <c r="P191" s="77" t="str">
        <f>IF(AH191&lt;&gt;"",TRIM(UPPER(CONCATENATE(R191," ",T191," ",V191," ",X191," ",Z191," ",AB191," ","X"," ",Table43[[#This Row],[ISI/CTN]]," ",AH191," ",AD191," ",AF191," ",AJ191))),TRIM(UPPER(CONCATENATE(R191," ",T191," ",V191," ",X191," ",Z191," ",AB191," ","X"," ",Table43[[#This Row],[ISI/CTN]]," ",AD191," ",AF191," ",AJ191))))</f>
        <v>HIT MAT GOODKNIGHT PINK BLOSSOM 30S X 144 PCS</v>
      </c>
      <c r="Q191" s="76">
        <f t="shared" si="5"/>
        <v>45</v>
      </c>
      <c r="R191" s="71"/>
      <c r="S191" s="72" t="s">
        <v>34</v>
      </c>
      <c r="T191" s="71" t="s">
        <v>2242</v>
      </c>
      <c r="U191" s="78" t="s">
        <v>2544</v>
      </c>
      <c r="V191" s="79" t="s">
        <v>2644</v>
      </c>
      <c r="W191" s="72">
        <v>8</v>
      </c>
      <c r="X191" s="79"/>
      <c r="Y191" s="78" t="s">
        <v>1116</v>
      </c>
      <c r="Z191" s="71" t="s">
        <v>2252</v>
      </c>
      <c r="AA191" s="80" t="s">
        <v>2540</v>
      </c>
      <c r="AB191" s="71" t="s">
        <v>2290</v>
      </c>
      <c r="AC191" s="80" t="s">
        <v>2617</v>
      </c>
      <c r="AD191" s="71" t="s">
        <v>185</v>
      </c>
      <c r="AE191" s="72">
        <v>1</v>
      </c>
      <c r="AF191" s="71"/>
      <c r="AG191" s="72">
        <v>0</v>
      </c>
      <c r="AH191" s="72"/>
      <c r="AI191" s="72"/>
      <c r="AJ191" s="72"/>
      <c r="AK191" s="81">
        <f>Table43[[#This Row],[Column4]]</f>
        <v>0</v>
      </c>
      <c r="AL191" s="72"/>
      <c r="AM191" s="72"/>
      <c r="AN191" s="72">
        <f>Table43[[#This Row],[ISI/CTN]]</f>
        <v>144</v>
      </c>
      <c r="AO191" s="88">
        <f>Table43[[#This Row],[Harga Jual Pcs GT
(-PPN)]]-(Table43[[#This Row],[Harga Jual Pcs GT
(-PPN)]]*6.5%)</f>
        <v>5544.55</v>
      </c>
      <c r="AP191" s="88">
        <f>Table43[[#This Row],[Harga Beli Pcs
(-PPN)]]*Table43[[#This Row],[ISI/CTN]]</f>
        <v>798415.20000000007</v>
      </c>
      <c r="AQ191" s="88">
        <f>Table43[[#This Row],[Harga Beli Pcs
(-PPN)]]*1.11</f>
        <v>6154.4505000000008</v>
      </c>
      <c r="AR191" s="88">
        <f>Table43[[#This Row],[Harga Beli Krt
(- PPN)]]*1.11</f>
        <v>886240.87200000021</v>
      </c>
      <c r="AS191" s="88">
        <v>5930</v>
      </c>
      <c r="AT191" s="88">
        <f>Table43[[#This Row],[Harga Jual Pcs GT
(-PPN)]]*Table43[[#This Row],[ISI/CTN]]</f>
        <v>853920</v>
      </c>
      <c r="AU191" s="88">
        <f>Table43[[#This Row],[Harga Jual Pcs GT
(-PPN)]]*1.11</f>
        <v>6582.3</v>
      </c>
      <c r="AV191" s="88">
        <f>Table43[[#This Row],[Harga Jual Krt GT
(- PPN)]]*1.11</f>
        <v>947851.20000000007</v>
      </c>
      <c r="AW191" s="88">
        <f>IFERROR(VLOOKUP(Table43[[#This Row],[Kode Pcpl]],'[1]FEB 2026'!$A$3:$X$312,24,0),0)</f>
        <v>0</v>
      </c>
      <c r="AX191" s="88">
        <f>Table43[[#This Row],[Harga Jual Pcs MT
(-PPN)]]*Table43[[#This Row],[ISI/CTN]]</f>
        <v>0</v>
      </c>
      <c r="AY191" s="88">
        <f>Table43[[#This Row],[Harga Jual Pcs MT
(-PPN)]]*1.11</f>
        <v>0</v>
      </c>
      <c r="AZ191" s="88">
        <f>Table43[[#This Row],[Harga Jual Pcs MT
(+PPN)]]*Table43[[#This Row],[ISI/CTN]]</f>
        <v>0</v>
      </c>
      <c r="BA191" s="89">
        <f>(Table43[[#This Row],[Harga Jual Pcs GT
(-PPN)]]-Table43[[#This Row],[Harga Beli Pcs
(-PPN)]])/Table43[[#This Row],[Harga Jual Pcs GT
(-PPN)]]</f>
        <v>6.4999999999999974E-2</v>
      </c>
      <c r="BB191" s="90">
        <f>Table43[[#This Row],[Harga Jual Pcs MT
(-PPN)]]-Table43[[#This Row],[Harga Beli Pcs
(-PPN)]]</f>
        <v>-5544.55</v>
      </c>
      <c r="BC191" s="91" t="e">
        <f>Table43[[#This Row],[Column1]]/Table43[[#This Row],[Harga Jual Pcs MT
(-PPN)]]</f>
        <v>#DIV/0!</v>
      </c>
      <c r="BD191" s="86"/>
      <c r="BE191" s="72"/>
      <c r="BF191" s="72" t="str">
        <f ca="1">IF(TODAY()-Table43[[#This Row],[Efektif
Pembuatan]]&gt;60,"Lama","Baru")</f>
        <v>Lama</v>
      </c>
      <c r="BG191" s="72" t="str">
        <f ca="1">IF(TODAY()-Table43[[#This Row],[Efektif Naik Harga]]&lt;30,"Naik","Sama")</f>
        <v>Sama</v>
      </c>
      <c r="BH191" s="72"/>
      <c r="BI191" s="72" t="str">
        <f>IF(Table43[[#This Row],[Kode BARANG Win2]]&lt;&gt;"","IDR","")</f>
        <v>IDR</v>
      </c>
      <c r="BJ191" s="72" t="str">
        <f>CONCATENATE(Table43[[#This Row],[kode  1 Digit
(Nomor)]],Table43[[#This Row],[kode  4 Digit                (Nomor)]])</f>
        <v>0030</v>
      </c>
      <c r="BK191" s="72" t="str">
        <f>Table43[[#This Row],[Nama            Gramasi atau Jumlah Pack per CTN]]</f>
        <v>30S</v>
      </c>
      <c r="BL191" s="72"/>
      <c r="BM191" s="72"/>
      <c r="BN191" s="71" t="str">
        <f>IF(Table43[[#This Row],[SATUAN Fix Win]]&lt;&gt;"","KRT")</f>
        <v>KRT</v>
      </c>
      <c r="BO191" s="71" t="str">
        <f>IF(Table43[[#This Row],[SATUAN Fix Win]]&lt;&gt;"","GD01")</f>
        <v>GD01</v>
      </c>
      <c r="BP191" s="71">
        <f>IF(Table43[[#This Row],[SATUAN Fix Win]]&lt;&gt;"",11611)</f>
        <v>11611</v>
      </c>
      <c r="BQ191" s="71">
        <f>IF(Table43[[#This Row],[SATUAN Fix Win]]&lt;&gt;"",11612)</f>
        <v>11612</v>
      </c>
      <c r="BR191" s="71"/>
      <c r="BS191" s="71">
        <f>IF(Table43[[#This Row],[SATUAN Fix Win]]&lt;&gt;"",1)</f>
        <v>1</v>
      </c>
      <c r="BT191" s="71"/>
      <c r="BU191" s="71">
        <f>Table43[[#This Row],[ISI/CTN]]</f>
        <v>144</v>
      </c>
    </row>
    <row r="192" spans="1:75">
      <c r="A192" s="4" t="str">
        <f>CONCATENATE(Table43[[#This Row],[Kode BARANG Win2]],Table43[[#This Row],[No. Urut
Item Sama]])</f>
        <v>G1078004006010</v>
      </c>
      <c r="B192" s="7"/>
      <c r="C192" s="31">
        <v>30132020204000</v>
      </c>
      <c r="D192" s="59">
        <v>40057198</v>
      </c>
      <c r="E192" s="60" t="s">
        <v>1951</v>
      </c>
      <c r="F192" s="59">
        <v>30121040060000</v>
      </c>
      <c r="G192" s="59">
        <v>0</v>
      </c>
      <c r="H192" s="60" t="s">
        <v>1228</v>
      </c>
      <c r="I192" s="60">
        <v>72</v>
      </c>
      <c r="J192" s="59" t="s">
        <v>1642</v>
      </c>
      <c r="K192" s="60" t="str">
        <f>Table43[[#This Row],[NamaJenisKemasan]]</f>
        <v>PCS</v>
      </c>
      <c r="L192" s="4" t="str">
        <f>TRIM(CONCATENATE(Table43[[#This Row],[Nama            KLP]]," ",Table43[[#This Row],[Nama            Sub KLP]]))</f>
        <v>HIT MAT GOODKNIGHT</v>
      </c>
      <c r="M192" s="4" t="str">
        <f>CONCATENATE(Table43[[#This Row],[kode  2 Digit                (hrf+No)]],Table43[[#This Row],[kode  2 Digit                (Nomor)]],Table43[[#This Row],[kode  1 Digit                (Nomor)]])</f>
        <v>G1078</v>
      </c>
      <c r="N192" s="4" t="str">
        <f>IF(AI192="",CONCATENATE(S192,U192,W192,Y192,AA192,AC192,AE192,AG192,Table43[[#This Row],[Tanda Kode Revisi]]),CONCATENATE(S192,U192,W192,Y192,AA192,AC192,AE192,AI192))</f>
        <v>G1078004006010</v>
      </c>
      <c r="O192" s="11">
        <f t="shared" si="4"/>
        <v>14</v>
      </c>
      <c r="P192" s="14" t="str">
        <f>IF(AH192&lt;&gt;"",TRIM(UPPER(CONCATENATE(R192," ",T192," ",V192," ",X192," ",Z192," ",AB192," ","X"," ",Table43[[#This Row],[ISI/CTN]]," ",AH192," ",AD192," ",AF192," ",AJ192))),TRIM(UPPER(CONCATENATE(R192," ",T192," ",V192," ",X192," ",Z192," ",AB192," ","X"," ",Table43[[#This Row],[ISI/CTN]]," ",AD192," ",AF192," ",AJ192))))</f>
        <v>HIT MAT GOODKNIGHT PINK BLOSSOM 60S X 72 PCS</v>
      </c>
      <c r="Q192" s="11">
        <f t="shared" si="5"/>
        <v>44</v>
      </c>
      <c r="S192" s="7" t="s">
        <v>34</v>
      </c>
      <c r="T192" s="4" t="s">
        <v>2242</v>
      </c>
      <c r="U192" s="47" t="s">
        <v>2544</v>
      </c>
      <c r="V192" s="48" t="s">
        <v>2644</v>
      </c>
      <c r="W192" s="7">
        <v>8</v>
      </c>
      <c r="X192" s="48"/>
      <c r="Y192" s="47" t="s">
        <v>1116</v>
      </c>
      <c r="Z192" s="4" t="s">
        <v>2252</v>
      </c>
      <c r="AA192" s="49" t="s">
        <v>2540</v>
      </c>
      <c r="AB192" s="4" t="s">
        <v>2291</v>
      </c>
      <c r="AC192" s="49" t="s">
        <v>2633</v>
      </c>
      <c r="AD192" s="4" t="s">
        <v>185</v>
      </c>
      <c r="AE192" s="7">
        <v>1</v>
      </c>
      <c r="AG192" s="7">
        <v>0</v>
      </c>
      <c r="AK192" s="70">
        <f>Table43[[#This Row],[Column4]]</f>
        <v>30121040060000</v>
      </c>
      <c r="AN192" s="7">
        <f>Table43[[#This Row],[ISI/CTN]]</f>
        <v>72</v>
      </c>
      <c r="AO192" s="38">
        <f>Table43[[#This Row],[Harga Jual Pcs GT
(-PPN)]]-(Table43[[#This Row],[Harga Jual Pcs GT
(-PPN)]]*6.5%)</f>
        <v>10874.05</v>
      </c>
      <c r="AP192" s="38">
        <f>Table43[[#This Row],[Harga Beli Pcs
(-PPN)]]*Table43[[#This Row],[ISI/CTN]]</f>
        <v>782931.6</v>
      </c>
      <c r="AQ192" s="38">
        <f>Table43[[#This Row],[Harga Beli Pcs
(-PPN)]]*1.11</f>
        <v>12070.1955</v>
      </c>
      <c r="AR192" s="38">
        <f>Table43[[#This Row],[Harga Beli Krt
(- PPN)]]*1.11</f>
        <v>869054.076</v>
      </c>
      <c r="AS192" s="38">
        <v>11630</v>
      </c>
      <c r="AT192" s="38">
        <f>Table43[[#This Row],[Harga Jual Pcs GT
(-PPN)]]*Table43[[#This Row],[ISI/CTN]]</f>
        <v>837360</v>
      </c>
      <c r="AU192" s="38">
        <f>Table43[[#This Row],[Harga Jual Pcs GT
(-PPN)]]*1.11</f>
        <v>12909.300000000001</v>
      </c>
      <c r="AV192" s="38">
        <f>Table43[[#This Row],[Harga Jual Krt GT
(- PPN)]]*1.11</f>
        <v>929469.60000000009</v>
      </c>
      <c r="AW192" s="38">
        <f>IFERROR(VLOOKUP(Table43[[#This Row],[Kode Pcpl]],'[1]FEB 2026'!$A$3:$X$312,24,0),0)</f>
        <v>0</v>
      </c>
      <c r="AX192" s="38">
        <f>Table43[[#This Row],[Harga Jual Pcs MT
(-PPN)]]*Table43[[#This Row],[ISI/CTN]]</f>
        <v>0</v>
      </c>
      <c r="AY192" s="38">
        <f>Table43[[#This Row],[Harga Jual Pcs MT
(-PPN)]]*1.11</f>
        <v>0</v>
      </c>
      <c r="AZ192" s="38">
        <f>Table43[[#This Row],[Harga Jual Pcs MT
(+PPN)]]*Table43[[#This Row],[ISI/CTN]]</f>
        <v>0</v>
      </c>
      <c r="BA192" s="46">
        <f>(Table43[[#This Row],[Harga Jual Pcs GT
(-PPN)]]-Table43[[#This Row],[Harga Beli Pcs
(-PPN)]])/Table43[[#This Row],[Harga Jual Pcs GT
(-PPN)]]</f>
        <v>6.5000000000000058E-2</v>
      </c>
      <c r="BB192" s="53">
        <f>Table43[[#This Row],[Harga Jual Pcs MT
(-PPN)]]-Table43[[#This Row],[Harga Beli Pcs
(-PPN)]]</f>
        <v>-10874.05</v>
      </c>
      <c r="BC192" s="54" t="e">
        <f>Table43[[#This Row],[Column1]]/Table43[[#This Row],[Harga Jual Pcs MT
(-PPN)]]</f>
        <v>#DIV/0!</v>
      </c>
      <c r="BD192" s="52"/>
      <c r="BE192" s="7"/>
      <c r="BF192" s="7" t="str">
        <f ca="1">IF(TODAY()-Table43[[#This Row],[Efektif
Pembuatan]]&gt;60,"Lama","Baru")</f>
        <v>Lama</v>
      </c>
      <c r="BG192" s="7" t="str">
        <f ca="1">IF(TODAY()-Table43[[#This Row],[Efektif Naik Harga]]&lt;30,"Naik","Sama")</f>
        <v>Sama</v>
      </c>
      <c r="BH192" s="7"/>
      <c r="BI192" s="7" t="str">
        <f>IF(Table43[[#This Row],[Kode BARANG Win2]]&lt;&gt;"","IDR","")</f>
        <v>IDR</v>
      </c>
      <c r="BJ192" s="7" t="str">
        <f>CONCATENATE(Table43[[#This Row],[kode  1 Digit
(Nomor)]],Table43[[#This Row],[kode  4 Digit                (Nomor)]])</f>
        <v>0060</v>
      </c>
      <c r="BK192" s="7" t="str">
        <f>Table43[[#This Row],[Nama            Gramasi atau Jumlah Pack per CTN]]</f>
        <v>60S</v>
      </c>
      <c r="BL192" s="7"/>
      <c r="BM192" s="7"/>
      <c r="BN192" s="4" t="str">
        <f>IF(Table43[[#This Row],[SATUAN Fix Win]]&lt;&gt;"","KRT")</f>
        <v>KRT</v>
      </c>
      <c r="BO192" s="4" t="str">
        <f>IF(Table43[[#This Row],[SATUAN Fix Win]]&lt;&gt;"","GD01")</f>
        <v>GD01</v>
      </c>
      <c r="BP192" s="4">
        <f>IF(Table43[[#This Row],[SATUAN Fix Win]]&lt;&gt;"",11611)</f>
        <v>11611</v>
      </c>
      <c r="BQ192" s="4">
        <f>IF(Table43[[#This Row],[SATUAN Fix Win]]&lt;&gt;"",11612)</f>
        <v>11612</v>
      </c>
      <c r="BS192" s="4">
        <f>IF(Table43[[#This Row],[SATUAN Fix Win]]&lt;&gt;"",1)</f>
        <v>1</v>
      </c>
      <c r="BU192" s="4">
        <f>Table43[[#This Row],[ISI/CTN]]</f>
        <v>72</v>
      </c>
    </row>
    <row r="193" spans="1:75">
      <c r="A193" s="4" t="str">
        <f>CONCATENATE(Table43[[#This Row],[Kode BARANG Win2]],Table43[[#This Row],[No. Urut
Item Sama]])</f>
        <v>G1078004006010</v>
      </c>
      <c r="B193" s="7"/>
      <c r="C193" s="31"/>
      <c r="D193" s="51">
        <v>40062316</v>
      </c>
      <c r="E193" s="27"/>
      <c r="F193" s="51"/>
      <c r="G193" s="51"/>
      <c r="H193" s="27"/>
      <c r="I193" s="27">
        <v>72</v>
      </c>
      <c r="J193" s="51" t="s">
        <v>1642</v>
      </c>
      <c r="K193" s="27" t="str">
        <f>Table43[[#This Row],[NamaJenisKemasan]]</f>
        <v>PCS</v>
      </c>
      <c r="L193" s="4" t="str">
        <f>TRIM(CONCATENATE(Table43[[#This Row],[Nama            KLP]]," ",Table43[[#This Row],[Nama            Sub KLP]]))</f>
        <v>HIT MAT GOODKNIGHT</v>
      </c>
      <c r="M193" s="4" t="str">
        <f>CONCATENATE(Table43[[#This Row],[kode  2 Digit                (hrf+No)]],Table43[[#This Row],[kode  2 Digit                (Nomor)]],Table43[[#This Row],[kode  1 Digit                (Nomor)]])</f>
        <v>G1078</v>
      </c>
      <c r="N193" s="4" t="str">
        <f>IF(AI193="",CONCATENATE(S193,U193,W193,Y193,AA193,AC193,AE193,AG193,Table43[[#This Row],[Tanda Kode Revisi]]),CONCATENATE(S193,U193,W193,Y193,AA193,AC193,AE193,AI193))</f>
        <v>G1078004006010</v>
      </c>
      <c r="O193" s="11">
        <f t="shared" si="4"/>
        <v>14</v>
      </c>
      <c r="P193" s="14" t="str">
        <f>IF(AH193&lt;&gt;"",TRIM(UPPER(CONCATENATE(R193," ",T193," ",V193," ",X193," ",Z193," ",AB193," ","X"," ",Table43[[#This Row],[ISI/CTN]]," ",AH193," ",AD193," ",AF193," ",AJ193))),TRIM(UPPER(CONCATENATE(R193," ",T193," ",V193," ",X193," ",Z193," ",AB193," ","X"," ",Table43[[#This Row],[ISI/CTN]]," ",AD193," ",AF193," ",AJ193))))</f>
        <v>HIT MAT GOODKNIGHT PINK BLOSSOM 60S X 72 PCS</v>
      </c>
      <c r="Q193" s="11">
        <f t="shared" si="5"/>
        <v>44</v>
      </c>
      <c r="S193" s="7" t="s">
        <v>34</v>
      </c>
      <c r="T193" s="4" t="s">
        <v>2242</v>
      </c>
      <c r="U193" s="47" t="s">
        <v>2544</v>
      </c>
      <c r="V193" s="48" t="s">
        <v>2644</v>
      </c>
      <c r="W193" s="7">
        <v>8</v>
      </c>
      <c r="X193" s="48"/>
      <c r="Y193" s="47" t="s">
        <v>1116</v>
      </c>
      <c r="Z193" s="4" t="s">
        <v>2252</v>
      </c>
      <c r="AA193" s="49" t="s">
        <v>2540</v>
      </c>
      <c r="AB193" s="4" t="s">
        <v>2291</v>
      </c>
      <c r="AC193" s="49" t="s">
        <v>2633</v>
      </c>
      <c r="AD193" s="4" t="s">
        <v>185</v>
      </c>
      <c r="AE193" s="7">
        <v>1</v>
      </c>
      <c r="AG193" s="7">
        <v>0</v>
      </c>
      <c r="AK193" s="70">
        <f>Table43[[#This Row],[Column4]]</f>
        <v>0</v>
      </c>
      <c r="AN193" s="7">
        <f>Table43[[#This Row],[ISI/CTN]]</f>
        <v>72</v>
      </c>
      <c r="AO193" s="38">
        <f>Table43[[#This Row],[Harga Jual Pcs GT
(-PPN)]]-(Table43[[#This Row],[Harga Jual Pcs GT
(-PPN)]]*6.5%)</f>
        <v>10874.05</v>
      </c>
      <c r="AP193" s="38">
        <f>Table43[[#This Row],[Harga Beli Pcs
(-PPN)]]*Table43[[#This Row],[ISI/CTN]]</f>
        <v>782931.6</v>
      </c>
      <c r="AQ193" s="38">
        <f>Table43[[#This Row],[Harga Beli Pcs
(-PPN)]]*1.11</f>
        <v>12070.1955</v>
      </c>
      <c r="AR193" s="38">
        <f>Table43[[#This Row],[Harga Beli Krt
(- PPN)]]*1.11</f>
        <v>869054.076</v>
      </c>
      <c r="AS193" s="38">
        <v>11630</v>
      </c>
      <c r="AT193" s="38">
        <f>Table43[[#This Row],[Harga Jual Pcs GT
(-PPN)]]*Table43[[#This Row],[ISI/CTN]]</f>
        <v>837360</v>
      </c>
      <c r="AU193" s="38">
        <f>Table43[[#This Row],[Harga Jual Pcs GT
(-PPN)]]*1.11</f>
        <v>12909.300000000001</v>
      </c>
      <c r="AV193" s="38">
        <f>Table43[[#This Row],[Harga Jual Krt GT
(- PPN)]]*1.11</f>
        <v>929469.60000000009</v>
      </c>
      <c r="AW193" s="38">
        <f>IFERROR(VLOOKUP(Table43[[#This Row],[Kode Pcpl]],'[1]FEB 2026'!$A$3:$X$312,24,0),0)</f>
        <v>0</v>
      </c>
      <c r="AX193" s="38">
        <f>Table43[[#This Row],[Harga Jual Pcs MT
(-PPN)]]*Table43[[#This Row],[ISI/CTN]]</f>
        <v>0</v>
      </c>
      <c r="AY193" s="38">
        <f>Table43[[#This Row],[Harga Jual Pcs MT
(-PPN)]]*1.11</f>
        <v>0</v>
      </c>
      <c r="AZ193" s="38">
        <f>Table43[[#This Row],[Harga Jual Pcs MT
(+PPN)]]*Table43[[#This Row],[ISI/CTN]]</f>
        <v>0</v>
      </c>
      <c r="BA193" s="46">
        <f>(Table43[[#This Row],[Harga Jual Pcs GT
(-PPN)]]-Table43[[#This Row],[Harga Beli Pcs
(-PPN)]])/Table43[[#This Row],[Harga Jual Pcs GT
(-PPN)]]</f>
        <v>6.5000000000000058E-2</v>
      </c>
      <c r="BB193" s="53">
        <f>Table43[[#This Row],[Harga Jual Pcs MT
(-PPN)]]-Table43[[#This Row],[Harga Beli Pcs
(-PPN)]]</f>
        <v>-10874.05</v>
      </c>
      <c r="BC193" s="54" t="e">
        <f>Table43[[#This Row],[Column1]]/Table43[[#This Row],[Harga Jual Pcs MT
(-PPN)]]</f>
        <v>#DIV/0!</v>
      </c>
      <c r="BD193" s="52"/>
      <c r="BE193" s="7"/>
      <c r="BF193" s="7" t="str">
        <f ca="1">IF(TODAY()-Table43[[#This Row],[Efektif
Pembuatan]]&gt;60,"Lama","Baru")</f>
        <v>Lama</v>
      </c>
      <c r="BG193" s="7" t="str">
        <f ca="1">IF(TODAY()-Table43[[#This Row],[Efektif Naik Harga]]&lt;30,"Naik","Sama")</f>
        <v>Sama</v>
      </c>
      <c r="BH193" s="7"/>
      <c r="BI193" s="7" t="str">
        <f>IF(Table43[[#This Row],[Kode BARANG Win2]]&lt;&gt;"","IDR","")</f>
        <v>IDR</v>
      </c>
      <c r="BJ193" s="7" t="str">
        <f>CONCATENATE(Table43[[#This Row],[kode  1 Digit
(Nomor)]],Table43[[#This Row],[kode  4 Digit                (Nomor)]])</f>
        <v>0060</v>
      </c>
      <c r="BK193" s="7" t="str">
        <f>Table43[[#This Row],[Nama            Gramasi atau Jumlah Pack per CTN]]</f>
        <v>60S</v>
      </c>
      <c r="BL193" s="7"/>
      <c r="BM193" s="7"/>
      <c r="BN193" s="4" t="str">
        <f>IF(Table43[[#This Row],[SATUAN Fix Win]]&lt;&gt;"","KRT")</f>
        <v>KRT</v>
      </c>
      <c r="BO193" s="4" t="str">
        <f>IF(Table43[[#This Row],[SATUAN Fix Win]]&lt;&gt;"","GD01")</f>
        <v>GD01</v>
      </c>
      <c r="BP193" s="4">
        <f>IF(Table43[[#This Row],[SATUAN Fix Win]]&lt;&gt;"",11611)</f>
        <v>11611</v>
      </c>
      <c r="BQ193" s="4">
        <f>IF(Table43[[#This Row],[SATUAN Fix Win]]&lt;&gt;"",11612)</f>
        <v>11612</v>
      </c>
      <c r="BS193" s="4">
        <f>IF(Table43[[#This Row],[SATUAN Fix Win]]&lt;&gt;"",1)</f>
        <v>1</v>
      </c>
      <c r="BU193" s="4">
        <f>Table43[[#This Row],[ISI/CTN]]</f>
        <v>72</v>
      </c>
    </row>
    <row r="194" spans="1:75" s="87" customFormat="1">
      <c r="A194" s="4" t="str">
        <f>CONCATENATE(Table43[[#This Row],[Kode BARANG Win2]],Table43[[#This Row],[No. Urut
Item Sama]])</f>
        <v>G1078101001510</v>
      </c>
      <c r="B194" s="7"/>
      <c r="C194" s="31">
        <v>30121040030000</v>
      </c>
      <c r="D194" s="51">
        <v>40049994</v>
      </c>
      <c r="E194" s="27" t="s">
        <v>1947</v>
      </c>
      <c r="F194" s="51">
        <v>30120030015000</v>
      </c>
      <c r="G194" s="51">
        <v>0</v>
      </c>
      <c r="H194" s="27" t="s">
        <v>1225</v>
      </c>
      <c r="I194" s="27">
        <v>144</v>
      </c>
      <c r="J194" s="51" t="s">
        <v>1638</v>
      </c>
      <c r="K194" s="27" t="str">
        <f>Table43[[#This Row],[NamaJenisKemasan]]</f>
        <v>PCS</v>
      </c>
      <c r="L194" s="4" t="str">
        <f>TRIM(CONCATENATE(Table43[[#This Row],[Nama            KLP]]," ",Table43[[#This Row],[Nama            Sub KLP]]))</f>
        <v>HIT MAT GOODKNIGHT</v>
      </c>
      <c r="M194" s="4" t="str">
        <f>CONCATENATE(Table43[[#This Row],[kode  2 Digit                (hrf+No)]],Table43[[#This Row],[kode  2 Digit                (Nomor)]],Table43[[#This Row],[kode  1 Digit                (Nomor)]])</f>
        <v>G1078</v>
      </c>
      <c r="N194" s="4" t="str">
        <f>IF(AI194="",CONCATENATE(S194,U194,W194,Y194,AA194,AC194,AE194,AG194,Table43[[#This Row],[Tanda Kode Revisi]]),CONCATENATE(S194,U194,W194,Y194,AA194,AC194,AE194,AI194))</f>
        <v>G1078101001510</v>
      </c>
      <c r="O194" s="11">
        <f t="shared" si="4"/>
        <v>14</v>
      </c>
      <c r="P194" s="14" t="str">
        <f>IF(AH194&lt;&gt;"",TRIM(UPPER(CONCATENATE(R194," ",T194," ",V194," ",X194," ",Z194," ",AB194," ","X"," ",Table43[[#This Row],[ISI/CTN]]," ",AH194," ",AD194," ",AF194," ",AJ194))),TRIM(UPPER(CONCATENATE(R194," ",T194," ",V194," ",X194," ",Z194," ",AB194," ","X"," ",Table43[[#This Row],[ISI/CTN]]," ",AD194," ",AF194," ",AJ194))))</f>
        <v>HIT MAT GOODKNIGHT REFILL GREEN TEA 15S X 144 PCS</v>
      </c>
      <c r="Q194" s="11">
        <f t="shared" si="5"/>
        <v>49</v>
      </c>
      <c r="R194" s="4"/>
      <c r="S194" s="7" t="s">
        <v>34</v>
      </c>
      <c r="T194" s="4" t="s">
        <v>2242</v>
      </c>
      <c r="U194" s="47" t="s">
        <v>2544</v>
      </c>
      <c r="V194" s="48" t="s">
        <v>2644</v>
      </c>
      <c r="W194" s="7">
        <v>8</v>
      </c>
      <c r="X194" s="48" t="s">
        <v>2231</v>
      </c>
      <c r="Y194" s="47" t="s">
        <v>2539</v>
      </c>
      <c r="Z194" s="4" t="s">
        <v>2281</v>
      </c>
      <c r="AA194" s="49" t="s">
        <v>1115</v>
      </c>
      <c r="AB194" s="4" t="s">
        <v>2289</v>
      </c>
      <c r="AC194" s="49" t="s">
        <v>2599</v>
      </c>
      <c r="AD194" s="4" t="s">
        <v>185</v>
      </c>
      <c r="AE194" s="7">
        <v>1</v>
      </c>
      <c r="AF194" s="4"/>
      <c r="AG194" s="7">
        <v>0</v>
      </c>
      <c r="AH194" s="7"/>
      <c r="AI194" s="7"/>
      <c r="AJ194" s="7"/>
      <c r="AK194" s="70">
        <f>Table43[[#This Row],[Column4]]</f>
        <v>30120030015000</v>
      </c>
      <c r="AL194" s="7"/>
      <c r="AM194" s="7"/>
      <c r="AN194" s="7">
        <f>Table43[[#This Row],[ISI/CTN]]</f>
        <v>144</v>
      </c>
      <c r="AO194" s="61">
        <f>Table43[[#This Row],[Harga Jual Pcs GT
(-PPN)]]-(Table43[[#This Row],[Harga Jual Pcs GT
(-PPN)]]*6.5%)</f>
        <v>2692.8</v>
      </c>
      <c r="AP194" s="61">
        <f>Table43[[#This Row],[Harga Beli Pcs
(-PPN)]]*Table43[[#This Row],[ISI/CTN]]</f>
        <v>387763.20000000001</v>
      </c>
      <c r="AQ194" s="61">
        <f>Table43[[#This Row],[Harga Beli Pcs
(-PPN)]]*1.11</f>
        <v>2989.0080000000003</v>
      </c>
      <c r="AR194" s="61">
        <f>Table43[[#This Row],[Harga Beli Krt
(- PPN)]]*1.11</f>
        <v>430417.15200000006</v>
      </c>
      <c r="AS194" s="61">
        <v>2880</v>
      </c>
      <c r="AT194" s="61">
        <f>Table43[[#This Row],[Harga Jual Pcs GT
(-PPN)]]*Table43[[#This Row],[ISI/CTN]]</f>
        <v>414720</v>
      </c>
      <c r="AU194" s="61">
        <f>Table43[[#This Row],[Harga Jual Pcs GT
(-PPN)]]*1.11</f>
        <v>3196.8</v>
      </c>
      <c r="AV194" s="61">
        <f>Table43[[#This Row],[Harga Jual Krt GT
(- PPN)]]*1.11</f>
        <v>460339.20000000001</v>
      </c>
      <c r="AW194" s="61">
        <f>IFERROR(VLOOKUP(Table43[[#This Row],[Kode Pcpl]],'[1]FEB 2026'!$A$3:$X$312,24,0),0)</f>
        <v>0</v>
      </c>
      <c r="AX194" s="61">
        <f>Table43[[#This Row],[Harga Jual Pcs MT
(-PPN)]]*Table43[[#This Row],[ISI/CTN]]</f>
        <v>0</v>
      </c>
      <c r="AY194" s="61">
        <f>Table43[[#This Row],[Harga Jual Pcs MT
(-PPN)]]*1.11</f>
        <v>0</v>
      </c>
      <c r="AZ194" s="61">
        <f>Table43[[#This Row],[Harga Jual Pcs MT
(+PPN)]]*Table43[[#This Row],[ISI/CTN]]</f>
        <v>0</v>
      </c>
      <c r="BA194" s="62">
        <f>(Table43[[#This Row],[Harga Jual Pcs GT
(-PPN)]]-Table43[[#This Row],[Harga Beli Pcs
(-PPN)]])/Table43[[#This Row],[Harga Jual Pcs GT
(-PPN)]]</f>
        <v>6.4999999999999933E-2</v>
      </c>
      <c r="BB194" s="63">
        <f>Table43[[#This Row],[Harga Jual Pcs MT
(-PPN)]]-Table43[[#This Row],[Harga Beli Pcs
(-PPN)]]</f>
        <v>-2692.8</v>
      </c>
      <c r="BC194" s="64" t="e">
        <f>Table43[[#This Row],[Column1]]/Table43[[#This Row],[Harga Jual Pcs MT
(-PPN)]]</f>
        <v>#DIV/0!</v>
      </c>
      <c r="BD194" s="52"/>
      <c r="BE194" s="7"/>
      <c r="BF194" s="7" t="str">
        <f ca="1">IF(TODAY()-Table43[[#This Row],[Efektif
Pembuatan]]&gt;60,"Lama","Baru")</f>
        <v>Lama</v>
      </c>
      <c r="BG194" s="7" t="str">
        <f ca="1">IF(TODAY()-Table43[[#This Row],[Efektif Naik Harga]]&lt;30,"Naik","Sama")</f>
        <v>Sama</v>
      </c>
      <c r="BH194" s="7"/>
      <c r="BI194" s="7" t="str">
        <f>IF(Table43[[#This Row],[Kode BARANG Win2]]&lt;&gt;"","IDR","")</f>
        <v>IDR</v>
      </c>
      <c r="BJ194" s="7" t="str">
        <f>CONCATENATE(Table43[[#This Row],[kode  1 Digit
(Nomor)]],Table43[[#This Row],[kode  4 Digit                (Nomor)]])</f>
        <v>0015</v>
      </c>
      <c r="BK194" s="7" t="str">
        <f>Table43[[#This Row],[Nama            Gramasi atau Jumlah Pack per CTN]]</f>
        <v>15S</v>
      </c>
      <c r="BL194" s="7"/>
      <c r="BM194" s="7"/>
      <c r="BN194" s="4" t="str">
        <f>IF(Table43[[#This Row],[SATUAN Fix Win]]&lt;&gt;"","KRT")</f>
        <v>KRT</v>
      </c>
      <c r="BO194" s="4" t="str">
        <f>IF(Table43[[#This Row],[SATUAN Fix Win]]&lt;&gt;"","GD01")</f>
        <v>GD01</v>
      </c>
      <c r="BP194" s="4">
        <f>IF(Table43[[#This Row],[SATUAN Fix Win]]&lt;&gt;"",11611)</f>
        <v>11611</v>
      </c>
      <c r="BQ194" s="4">
        <f>IF(Table43[[#This Row],[SATUAN Fix Win]]&lt;&gt;"",11612)</f>
        <v>11612</v>
      </c>
      <c r="BR194" s="4"/>
      <c r="BS194" s="4">
        <f>IF(Table43[[#This Row],[SATUAN Fix Win]]&lt;&gt;"",1)</f>
        <v>1</v>
      </c>
      <c r="BT194" s="4"/>
      <c r="BU194" s="4">
        <f>Table43[[#This Row],[ISI/CTN]]</f>
        <v>144</v>
      </c>
      <c r="BV194" s="71"/>
      <c r="BW194" s="71"/>
    </row>
    <row r="195" spans="1:75">
      <c r="A195" s="4" t="str">
        <f>CONCATENATE(Table43[[#This Row],[Kode BARANG Win2]],Table43[[#This Row],[No. Urut
Item Sama]])</f>
        <v>G10781010018111</v>
      </c>
      <c r="B195" s="7">
        <v>1</v>
      </c>
      <c r="C195" s="31">
        <v>30123030048001</v>
      </c>
      <c r="D195" s="51">
        <v>40056226</v>
      </c>
      <c r="E195" s="27" t="s">
        <v>1948</v>
      </c>
      <c r="F195" s="51">
        <v>30120030018003</v>
      </c>
      <c r="G195" s="51">
        <v>0</v>
      </c>
      <c r="H195" s="27" t="s">
        <v>1226</v>
      </c>
      <c r="I195" s="27">
        <v>144</v>
      </c>
      <c r="J195" s="51" t="s">
        <v>1639</v>
      </c>
      <c r="K195" s="27" t="str">
        <f>Table43[[#This Row],[NamaJenisKemasan]]</f>
        <v>PCS</v>
      </c>
      <c r="L195" s="4" t="str">
        <f>TRIM(CONCATENATE(Table43[[#This Row],[Nama            KLP]]," ",Table43[[#This Row],[Nama            Sub KLP]]))</f>
        <v>HIT MAT GOODKNIGHT</v>
      </c>
      <c r="M195" s="4" t="str">
        <f>CONCATENATE(Table43[[#This Row],[kode  2 Digit                (hrf+No)]],Table43[[#This Row],[kode  2 Digit                (Nomor)]],Table43[[#This Row],[kode  1 Digit                (Nomor)]])</f>
        <v>G1078</v>
      </c>
      <c r="N195" s="4" t="str">
        <f>IF(AI195="",CONCATENATE(S195,U195,W195,Y195,AA195,AC195,AE195,AG195,Table43[[#This Row],[Tanda Kode Revisi]]),CONCATENATE(S195,U195,W195,Y195,AA195,AC195,AE195,AI195))</f>
        <v>G1078101001811</v>
      </c>
      <c r="O195" s="11">
        <f t="shared" si="4"/>
        <v>14</v>
      </c>
      <c r="P195" s="14" t="str">
        <f>IF(AH195&lt;&gt;"",TRIM(UPPER(CONCATENATE(R195," ",T195," ",V195," ",X195," ",Z195," ",AB195," ","X"," ",Table43[[#This Row],[ISI/CTN]]," ",AH195," ",AD195," ",AF195," ",AJ195))),TRIM(UPPER(CONCATENATE(R195," ",T195," ",V195," ",X195," ",Z195," ",AB195," ","X"," ",Table43[[#This Row],[ISI/CTN]]," ",AD195," ",AF195," ",AJ195))))</f>
        <v>HIT MAT GOODKNIGHT REFILL GREEN TEA 18S X 144 PCS +12S</v>
      </c>
      <c r="Q195" s="11">
        <f t="shared" si="5"/>
        <v>54</v>
      </c>
      <c r="S195" s="7" t="s">
        <v>34</v>
      </c>
      <c r="T195" s="4" t="s">
        <v>2242</v>
      </c>
      <c r="U195" s="47" t="s">
        <v>2544</v>
      </c>
      <c r="V195" s="48" t="s">
        <v>2644</v>
      </c>
      <c r="W195" s="7">
        <v>8</v>
      </c>
      <c r="X195" s="48" t="s">
        <v>2231</v>
      </c>
      <c r="Y195" s="47" t="s">
        <v>2539</v>
      </c>
      <c r="Z195" s="4" t="s">
        <v>2281</v>
      </c>
      <c r="AA195" s="49" t="s">
        <v>1115</v>
      </c>
      <c r="AB195" s="4" t="s">
        <v>2287</v>
      </c>
      <c r="AC195" s="49" t="s">
        <v>2603</v>
      </c>
      <c r="AD195" s="4" t="s">
        <v>185</v>
      </c>
      <c r="AE195" s="7">
        <v>1</v>
      </c>
      <c r="AF195" s="65" t="s">
        <v>2604</v>
      </c>
      <c r="AG195" s="7">
        <v>1</v>
      </c>
      <c r="AK195" s="70">
        <f>Table43[[#This Row],[Column4]]</f>
        <v>30120030018003</v>
      </c>
      <c r="AN195" s="7">
        <f>Table43[[#This Row],[ISI/CTN]]</f>
        <v>144</v>
      </c>
      <c r="AO195" s="61">
        <f>Table43[[#This Row],[Harga Jual Pcs GT
(-PPN)]]-(Table43[[#This Row],[Harga Jual Pcs GT
(-PPN)]]*6.5%)</f>
        <v>5544.55</v>
      </c>
      <c r="AP195" s="61">
        <f>Table43[[#This Row],[Harga Beli Pcs
(-PPN)]]*Table43[[#This Row],[ISI/CTN]]</f>
        <v>798415.20000000007</v>
      </c>
      <c r="AQ195" s="61">
        <f>Table43[[#This Row],[Harga Beli Pcs
(-PPN)]]*1.11</f>
        <v>6154.4505000000008</v>
      </c>
      <c r="AR195" s="61">
        <f>Table43[[#This Row],[Harga Beli Krt
(- PPN)]]*1.11</f>
        <v>886240.87200000021</v>
      </c>
      <c r="AS195" s="61">
        <v>5930</v>
      </c>
      <c r="AT195" s="61">
        <f>Table43[[#This Row],[Harga Jual Pcs GT
(-PPN)]]*Table43[[#This Row],[ISI/CTN]]</f>
        <v>853920</v>
      </c>
      <c r="AU195" s="61">
        <f>Table43[[#This Row],[Harga Jual Pcs GT
(-PPN)]]*1.11</f>
        <v>6582.3</v>
      </c>
      <c r="AV195" s="61">
        <f>Table43[[#This Row],[Harga Jual Krt GT
(- PPN)]]*1.11</f>
        <v>947851.20000000007</v>
      </c>
      <c r="AW195" s="61">
        <f>IFERROR(VLOOKUP(Table43[[#This Row],[Kode Pcpl]],'[1]FEB 2026'!$A$3:$X$312,24,0),0)</f>
        <v>0</v>
      </c>
      <c r="AX195" s="61">
        <f>Table43[[#This Row],[Harga Jual Pcs MT
(-PPN)]]*Table43[[#This Row],[ISI/CTN]]</f>
        <v>0</v>
      </c>
      <c r="AY195" s="61">
        <f>Table43[[#This Row],[Harga Jual Pcs MT
(-PPN)]]*1.11</f>
        <v>0</v>
      </c>
      <c r="AZ195" s="61">
        <f>Table43[[#This Row],[Harga Jual Pcs MT
(+PPN)]]*Table43[[#This Row],[ISI/CTN]]</f>
        <v>0</v>
      </c>
      <c r="BA195" s="62">
        <f>(Table43[[#This Row],[Harga Jual Pcs GT
(-PPN)]]-Table43[[#This Row],[Harga Beli Pcs
(-PPN)]])/Table43[[#This Row],[Harga Jual Pcs GT
(-PPN)]]</f>
        <v>6.4999999999999974E-2</v>
      </c>
      <c r="BB195" s="63">
        <f>Table43[[#This Row],[Harga Jual Pcs MT
(-PPN)]]-Table43[[#This Row],[Harga Beli Pcs
(-PPN)]]</f>
        <v>-5544.55</v>
      </c>
      <c r="BC195" s="64" t="e">
        <f>Table43[[#This Row],[Column1]]/Table43[[#This Row],[Harga Jual Pcs MT
(-PPN)]]</f>
        <v>#DIV/0!</v>
      </c>
      <c r="BD195" s="52"/>
      <c r="BE195" s="7"/>
      <c r="BF195" s="7" t="str">
        <f ca="1">IF(TODAY()-Table43[[#This Row],[Efektif
Pembuatan]]&gt;60,"Lama","Baru")</f>
        <v>Lama</v>
      </c>
      <c r="BG195" s="7" t="str">
        <f ca="1">IF(TODAY()-Table43[[#This Row],[Efektif Naik Harga]]&lt;30,"Naik","Sama")</f>
        <v>Sama</v>
      </c>
      <c r="BH195" s="7"/>
      <c r="BI195" s="7" t="str">
        <f>IF(Table43[[#This Row],[Kode BARANG Win2]]&lt;&gt;"","IDR","")</f>
        <v>IDR</v>
      </c>
      <c r="BJ195" s="7" t="str">
        <f>CONCATENATE(Table43[[#This Row],[kode  1 Digit
(Nomor)]],Table43[[#This Row],[kode  4 Digit                (Nomor)]])</f>
        <v>0018</v>
      </c>
      <c r="BK195" s="7" t="str">
        <f>Table43[[#This Row],[Nama            Gramasi atau Jumlah Pack per CTN]]</f>
        <v>18S</v>
      </c>
      <c r="BL195" s="7"/>
      <c r="BM195" s="7"/>
      <c r="BN195" s="4" t="str">
        <f>IF(Table43[[#This Row],[SATUAN Fix Win]]&lt;&gt;"","KRT")</f>
        <v>KRT</v>
      </c>
      <c r="BO195" s="4" t="str">
        <f>IF(Table43[[#This Row],[SATUAN Fix Win]]&lt;&gt;"","GD01")</f>
        <v>GD01</v>
      </c>
      <c r="BP195" s="4">
        <f>IF(Table43[[#This Row],[SATUAN Fix Win]]&lt;&gt;"",11611)</f>
        <v>11611</v>
      </c>
      <c r="BQ195" s="4">
        <f>IF(Table43[[#This Row],[SATUAN Fix Win]]&lt;&gt;"",11612)</f>
        <v>11612</v>
      </c>
      <c r="BS195" s="4">
        <f>IF(Table43[[#This Row],[SATUAN Fix Win]]&lt;&gt;"",1)</f>
        <v>1</v>
      </c>
      <c r="BU195" s="4">
        <f>Table43[[#This Row],[ISI/CTN]]</f>
        <v>144</v>
      </c>
    </row>
    <row r="196" spans="1:75">
      <c r="A196" s="4" t="str">
        <f>CONCATENATE(Table43[[#This Row],[Kode BARANG Win2]],Table43[[#This Row],[No. Urut
Item Sama]])</f>
        <v>G10781010018112</v>
      </c>
      <c r="B196" s="7">
        <v>2</v>
      </c>
      <c r="C196" s="31"/>
      <c r="D196" s="51">
        <v>40023556</v>
      </c>
      <c r="E196" s="27"/>
      <c r="F196" s="51"/>
      <c r="G196" s="51"/>
      <c r="H196" s="27"/>
      <c r="I196" s="27">
        <v>144</v>
      </c>
      <c r="J196" s="51" t="s">
        <v>1639</v>
      </c>
      <c r="K196" s="27" t="str">
        <f>Table43[[#This Row],[NamaJenisKemasan]]</f>
        <v>PCS</v>
      </c>
      <c r="L196" s="4" t="str">
        <f>TRIM(CONCATENATE(Table43[[#This Row],[Nama            KLP]]," ",Table43[[#This Row],[Nama            Sub KLP]]))</f>
        <v>HIT MAT GOODKNIGHT</v>
      </c>
      <c r="M196" s="4" t="str">
        <f>CONCATENATE(Table43[[#This Row],[kode  2 Digit                (hrf+No)]],Table43[[#This Row],[kode  2 Digit                (Nomor)]],Table43[[#This Row],[kode  1 Digit                (Nomor)]])</f>
        <v>G1078</v>
      </c>
      <c r="N196" s="4" t="str">
        <f>IF(AI196="",CONCATENATE(S196,U196,W196,Y196,AA196,AC196,AE196,AG196,Table43[[#This Row],[Tanda Kode Revisi]]),CONCATENATE(S196,U196,W196,Y196,AA196,AC196,AE196,AI196))</f>
        <v>G1078101001811</v>
      </c>
      <c r="O196" s="11">
        <f>LEN(N196)</f>
        <v>14</v>
      </c>
      <c r="P196" s="14" t="str">
        <f>IF(AH196&lt;&gt;"",TRIM(UPPER(CONCATENATE(R196," ",T196," ",V196," ",X196," ",Z196," ",AB196," ","X"," ",Table43[[#This Row],[ISI/CTN]]," ",AH196," ",AD196," ",AF196," ",AJ196))),TRIM(UPPER(CONCATENATE(R196," ",T196," ",V196," ",X196," ",Z196," ",AB196," ","X"," ",Table43[[#This Row],[ISI/CTN]]," ",AD196," ",AF196," ",AJ196))))</f>
        <v>HIT MAT GOODKNIGHT REFILL GREEN TEA 18S X 144 PCS +12S</v>
      </c>
      <c r="Q196" s="11">
        <f>LEN(P196)</f>
        <v>54</v>
      </c>
      <c r="S196" s="7" t="s">
        <v>34</v>
      </c>
      <c r="T196" s="4" t="s">
        <v>2242</v>
      </c>
      <c r="U196" s="47" t="s">
        <v>2544</v>
      </c>
      <c r="V196" s="48" t="s">
        <v>2644</v>
      </c>
      <c r="W196" s="7">
        <v>8</v>
      </c>
      <c r="X196" s="48" t="s">
        <v>2231</v>
      </c>
      <c r="Y196" s="47" t="s">
        <v>2539</v>
      </c>
      <c r="Z196" s="4" t="s">
        <v>2281</v>
      </c>
      <c r="AA196" s="49" t="s">
        <v>1115</v>
      </c>
      <c r="AB196" s="4" t="s">
        <v>2287</v>
      </c>
      <c r="AC196" s="49" t="s">
        <v>2603</v>
      </c>
      <c r="AD196" s="4" t="s">
        <v>185</v>
      </c>
      <c r="AE196" s="7">
        <v>1</v>
      </c>
      <c r="AF196" s="65" t="s">
        <v>2604</v>
      </c>
      <c r="AG196" s="7">
        <v>1</v>
      </c>
      <c r="AK196" s="70">
        <f>Table43[[#This Row],[Column4]]</f>
        <v>0</v>
      </c>
      <c r="AN196" s="7">
        <f>Table43[[#This Row],[ISI/CTN]]</f>
        <v>144</v>
      </c>
      <c r="AO196" s="61">
        <f>Table43[[#This Row],[Harga Jual Pcs GT
(-PPN)]]-(Table43[[#This Row],[Harga Jual Pcs GT
(-PPN)]]*6.5%)</f>
        <v>0</v>
      </c>
      <c r="AP196" s="61">
        <f>Table43[[#This Row],[Harga Beli Pcs
(-PPN)]]*Table43[[#This Row],[ISI/CTN]]</f>
        <v>0</v>
      </c>
      <c r="AQ196" s="61">
        <f>Table43[[#This Row],[Harga Beli Pcs
(-PPN)]]*1.11</f>
        <v>0</v>
      </c>
      <c r="AR196" s="61">
        <f>Table43[[#This Row],[Harga Beli Krt
(- PPN)]]*1.11</f>
        <v>0</v>
      </c>
      <c r="AS196" s="61"/>
      <c r="AT196" s="61">
        <f>Table43[[#This Row],[Harga Jual Pcs GT
(-PPN)]]*Table43[[#This Row],[ISI/CTN]]</f>
        <v>0</v>
      </c>
      <c r="AU196" s="61">
        <f>Table43[[#This Row],[Harga Jual Pcs GT
(-PPN)]]*1.11</f>
        <v>0</v>
      </c>
      <c r="AV196" s="61">
        <f>Table43[[#This Row],[Harga Jual Krt GT
(- PPN)]]*1.11</f>
        <v>0</v>
      </c>
      <c r="AW196" s="61">
        <f>IFERROR(VLOOKUP(Table43[[#This Row],[Kode Pcpl]],'[1]FEB 2026'!$A$3:$X$312,24,0),0)</f>
        <v>0</v>
      </c>
      <c r="AX196" s="61">
        <f>Table43[[#This Row],[Harga Jual Pcs MT
(-PPN)]]*Table43[[#This Row],[ISI/CTN]]</f>
        <v>0</v>
      </c>
      <c r="AY196" s="61">
        <f>Table43[[#This Row],[Harga Jual Pcs MT
(-PPN)]]*1.11</f>
        <v>0</v>
      </c>
      <c r="AZ196" s="61">
        <f>Table43[[#This Row],[Harga Jual Pcs MT
(+PPN)]]*Table43[[#This Row],[ISI/CTN]]</f>
        <v>0</v>
      </c>
      <c r="BA196" s="62" t="e">
        <f>(Table43[[#This Row],[Harga Jual Pcs GT
(-PPN)]]-Table43[[#This Row],[Harga Beli Pcs
(-PPN)]])/Table43[[#This Row],[Harga Jual Pcs GT
(-PPN)]]</f>
        <v>#DIV/0!</v>
      </c>
      <c r="BB196" s="63">
        <f>Table43[[#This Row],[Harga Jual Pcs MT
(-PPN)]]-Table43[[#This Row],[Harga Beli Pcs
(-PPN)]]</f>
        <v>0</v>
      </c>
      <c r="BC196" s="64" t="e">
        <f>Table43[[#This Row],[Column1]]/Table43[[#This Row],[Harga Jual Pcs MT
(-PPN)]]</f>
        <v>#DIV/0!</v>
      </c>
      <c r="BD196" s="52"/>
      <c r="BE196" s="7"/>
      <c r="BF196" s="7" t="str">
        <f ca="1">IF(TODAY()-Table43[[#This Row],[Efektif
Pembuatan]]&gt;60,"Lama","Baru")</f>
        <v>Lama</v>
      </c>
      <c r="BG196" s="7" t="str">
        <f ca="1">IF(TODAY()-Table43[[#This Row],[Efektif Naik Harga]]&lt;30,"Naik","Sama")</f>
        <v>Sama</v>
      </c>
      <c r="BH196" s="7"/>
      <c r="BI196" s="7" t="str">
        <f>IF(Table43[[#This Row],[Kode BARANG Win2]]&lt;&gt;"","IDR","")</f>
        <v>IDR</v>
      </c>
      <c r="BJ196" s="7" t="str">
        <f>CONCATENATE(Table43[[#This Row],[kode  1 Digit
(Nomor)]],Table43[[#This Row],[kode  4 Digit                (Nomor)]])</f>
        <v>0018</v>
      </c>
      <c r="BK196" s="7" t="str">
        <f>Table43[[#This Row],[Nama            Gramasi atau Jumlah Pack per CTN]]</f>
        <v>18S</v>
      </c>
      <c r="BL196" s="7"/>
      <c r="BM196" s="7"/>
      <c r="BN196" s="4" t="str">
        <f>IF(Table43[[#This Row],[SATUAN Fix Win]]&lt;&gt;"","KRT")</f>
        <v>KRT</v>
      </c>
      <c r="BO196" s="4" t="str">
        <f>IF(Table43[[#This Row],[SATUAN Fix Win]]&lt;&gt;"","GD01")</f>
        <v>GD01</v>
      </c>
      <c r="BP196" s="4">
        <f>IF(Table43[[#This Row],[SATUAN Fix Win]]&lt;&gt;"",11611)</f>
        <v>11611</v>
      </c>
      <c r="BQ196" s="4">
        <f>IF(Table43[[#This Row],[SATUAN Fix Win]]&lt;&gt;"",11612)</f>
        <v>11612</v>
      </c>
      <c r="BS196" s="4">
        <f>IF(Table43[[#This Row],[SATUAN Fix Win]]&lt;&gt;"",1)</f>
        <v>1</v>
      </c>
      <c r="BU196" s="4">
        <f>Table43[[#This Row],[ISI/CTN]]</f>
        <v>144</v>
      </c>
    </row>
    <row r="197" spans="1:75" s="87" customFormat="1">
      <c r="A197" s="71" t="str">
        <f>CONCATENATE(Table43[[#This Row],[Kode BARANG Win2]],Table43[[#This Row],[No. Urut
Item Sama]])</f>
        <v>G10781010018113</v>
      </c>
      <c r="B197" s="72">
        <v>3</v>
      </c>
      <c r="C197" s="73"/>
      <c r="D197" s="74">
        <v>40060800</v>
      </c>
      <c r="E197" s="75" t="s">
        <v>3453</v>
      </c>
      <c r="F197" s="74"/>
      <c r="G197" s="74"/>
      <c r="H197" s="75" t="s">
        <v>3453</v>
      </c>
      <c r="I197" s="75">
        <v>144</v>
      </c>
      <c r="J197" s="74"/>
      <c r="K197" s="75" t="str">
        <f>Table43[[#This Row],[NamaJenisKemasan]]</f>
        <v>PCS</v>
      </c>
      <c r="L197" s="71" t="str">
        <f>TRIM(CONCATENATE(Table43[[#This Row],[Nama            KLP]]," ",Table43[[#This Row],[Nama            Sub KLP]]))</f>
        <v>HIT MAT GOODKNIGHT</v>
      </c>
      <c r="M197" s="71" t="str">
        <f>CONCATENATE(Table43[[#This Row],[kode  2 Digit                (hrf+No)]],Table43[[#This Row],[kode  2 Digit                (Nomor)]],Table43[[#This Row],[kode  1 Digit                (Nomor)]])</f>
        <v>G1078</v>
      </c>
      <c r="N197" s="71" t="str">
        <f>IF(AI197="",CONCATENATE(S197,U197,W197,Y197,AA197,AC197,AE197,AG197,Table43[[#This Row],[Tanda Kode Revisi]]),CONCATENATE(S197,U197,W197,Y197,AA197,AC197,AE197,AI197))</f>
        <v>G1078101001811</v>
      </c>
      <c r="O197" s="76">
        <f>LEN(N197)</f>
        <v>14</v>
      </c>
      <c r="P197" s="77" t="str">
        <f>IF(AH197&lt;&gt;"",TRIM(UPPER(CONCATENATE(R197," ",T197," ",V197," ",X197," ",Z197," ",AB197," ","X"," ",Table43[[#This Row],[ISI/CTN]]," ",AH197," ",AD197," ",AF197," ",AJ197))),TRIM(UPPER(CONCATENATE(R197," ",T197," ",V197," ",X197," ",Z197," ",AB197," ","X"," ",Table43[[#This Row],[ISI/CTN]]," ",AD197," ",AF197," ",AJ197))))</f>
        <v>HIT MAT GOODKNIGHT REFILL GREEN TEA 30S X 144 PCS +3S</v>
      </c>
      <c r="Q197" s="76">
        <f>LEN(P197)</f>
        <v>53</v>
      </c>
      <c r="R197" s="71"/>
      <c r="S197" s="72" t="s">
        <v>34</v>
      </c>
      <c r="T197" s="71" t="s">
        <v>2242</v>
      </c>
      <c r="U197" s="78" t="s">
        <v>2544</v>
      </c>
      <c r="V197" s="79" t="s">
        <v>2644</v>
      </c>
      <c r="W197" s="72">
        <v>8</v>
      </c>
      <c r="X197" s="79" t="s">
        <v>2231</v>
      </c>
      <c r="Y197" s="78" t="s">
        <v>2539</v>
      </c>
      <c r="Z197" s="71" t="s">
        <v>2281</v>
      </c>
      <c r="AA197" s="80" t="s">
        <v>1115</v>
      </c>
      <c r="AB197" s="71" t="s">
        <v>2290</v>
      </c>
      <c r="AC197" s="80" t="s">
        <v>2603</v>
      </c>
      <c r="AD197" s="71" t="s">
        <v>185</v>
      </c>
      <c r="AE197" s="72">
        <v>1</v>
      </c>
      <c r="AF197" s="92" t="s">
        <v>3454</v>
      </c>
      <c r="AG197" s="72">
        <v>1</v>
      </c>
      <c r="AH197" s="72"/>
      <c r="AI197" s="72"/>
      <c r="AJ197" s="72"/>
      <c r="AK197" s="81">
        <f>Table43[[#This Row],[Column4]]</f>
        <v>0</v>
      </c>
      <c r="AL197" s="72"/>
      <c r="AM197" s="72"/>
      <c r="AN197" s="72">
        <f>Table43[[#This Row],[ISI/CTN]]</f>
        <v>144</v>
      </c>
      <c r="AO197" s="82">
        <f>Table43[[#This Row],[Harga Jual Pcs GT
(-PPN)]]-(Table43[[#This Row],[Harga Jual Pcs GT
(-PPN)]]*6.5%)</f>
        <v>0</v>
      </c>
      <c r="AP197" s="82">
        <f>Table43[[#This Row],[Harga Beli Pcs
(-PPN)]]*Table43[[#This Row],[ISI/CTN]]</f>
        <v>0</v>
      </c>
      <c r="AQ197" s="82">
        <f>Table43[[#This Row],[Harga Beli Pcs
(-PPN)]]*1.11</f>
        <v>0</v>
      </c>
      <c r="AR197" s="82">
        <f>Table43[[#This Row],[Harga Beli Krt
(- PPN)]]*1.11</f>
        <v>0</v>
      </c>
      <c r="AS197" s="82"/>
      <c r="AT197" s="82">
        <f>Table43[[#This Row],[Harga Jual Pcs GT
(-PPN)]]*Table43[[#This Row],[ISI/CTN]]</f>
        <v>0</v>
      </c>
      <c r="AU197" s="82">
        <f>Table43[[#This Row],[Harga Jual Pcs GT
(-PPN)]]*1.11</f>
        <v>0</v>
      </c>
      <c r="AV197" s="82">
        <f>Table43[[#This Row],[Harga Jual Krt GT
(- PPN)]]*1.11</f>
        <v>0</v>
      </c>
      <c r="AW197" s="82">
        <f>IFERROR(VLOOKUP(Table43[[#This Row],[Kode Pcpl]],'[1]FEB 2026'!$A$3:$X$312,24,0),0)</f>
        <v>0</v>
      </c>
      <c r="AX197" s="82">
        <f>Table43[[#This Row],[Harga Jual Pcs MT
(-PPN)]]*Table43[[#This Row],[ISI/CTN]]</f>
        <v>0</v>
      </c>
      <c r="AY197" s="82">
        <f>Table43[[#This Row],[Harga Jual Pcs MT
(-PPN)]]*1.11</f>
        <v>0</v>
      </c>
      <c r="AZ197" s="82">
        <f>Table43[[#This Row],[Harga Jual Pcs MT
(+PPN)]]*Table43[[#This Row],[ISI/CTN]]</f>
        <v>0</v>
      </c>
      <c r="BA197" s="83" t="e">
        <f>(Table43[[#This Row],[Harga Jual Pcs GT
(-PPN)]]-Table43[[#This Row],[Harga Beli Pcs
(-PPN)]])/Table43[[#This Row],[Harga Jual Pcs GT
(-PPN)]]</f>
        <v>#DIV/0!</v>
      </c>
      <c r="BB197" s="84">
        <f>Table43[[#This Row],[Harga Jual Pcs MT
(-PPN)]]-Table43[[#This Row],[Harga Beli Pcs
(-PPN)]]</f>
        <v>0</v>
      </c>
      <c r="BC197" s="85" t="e">
        <f>Table43[[#This Row],[Column1]]/Table43[[#This Row],[Harga Jual Pcs MT
(-PPN)]]</f>
        <v>#DIV/0!</v>
      </c>
      <c r="BD197" s="86"/>
      <c r="BE197" s="72"/>
      <c r="BF197" s="72" t="str">
        <f ca="1">IF(TODAY()-Table43[[#This Row],[Efektif
Pembuatan]]&gt;60,"Lama","Baru")</f>
        <v>Lama</v>
      </c>
      <c r="BG197" s="72" t="str">
        <f ca="1">IF(TODAY()-Table43[[#This Row],[Efektif Naik Harga]]&lt;30,"Naik","Sama")</f>
        <v>Sama</v>
      </c>
      <c r="BH197" s="72"/>
      <c r="BI197" s="72" t="str">
        <f>IF(Table43[[#This Row],[Kode BARANG Win2]]&lt;&gt;"","IDR","")</f>
        <v>IDR</v>
      </c>
      <c r="BJ197" s="72" t="str">
        <f>CONCATENATE(Table43[[#This Row],[kode  1 Digit
(Nomor)]],Table43[[#This Row],[kode  4 Digit                (Nomor)]])</f>
        <v>0018</v>
      </c>
      <c r="BK197" s="72" t="str">
        <f>Table43[[#This Row],[Nama            Gramasi atau Jumlah Pack per CTN]]</f>
        <v>30S</v>
      </c>
      <c r="BL197" s="72"/>
      <c r="BM197" s="72"/>
      <c r="BN197" s="71" t="str">
        <f>IF(Table43[[#This Row],[SATUAN Fix Win]]&lt;&gt;"","KRT")</f>
        <v>KRT</v>
      </c>
      <c r="BO197" s="71" t="str">
        <f>IF(Table43[[#This Row],[SATUAN Fix Win]]&lt;&gt;"","GD01")</f>
        <v>GD01</v>
      </c>
      <c r="BP197" s="71">
        <f>IF(Table43[[#This Row],[SATUAN Fix Win]]&lt;&gt;"",11611)</f>
        <v>11611</v>
      </c>
      <c r="BQ197" s="71">
        <f>IF(Table43[[#This Row],[SATUAN Fix Win]]&lt;&gt;"",11612)</f>
        <v>11612</v>
      </c>
      <c r="BR197" s="71"/>
      <c r="BS197" s="71">
        <f>IF(Table43[[#This Row],[SATUAN Fix Win]]&lt;&gt;"",1)</f>
        <v>1</v>
      </c>
      <c r="BT197" s="71"/>
      <c r="BU197" s="71">
        <f>Table43[[#This Row],[ISI/CTN]]</f>
        <v>144</v>
      </c>
      <c r="BV197" s="71"/>
      <c r="BW197" s="71"/>
    </row>
    <row r="198" spans="1:75">
      <c r="A198" s="4" t="str">
        <f>CONCATENATE(Table43[[#This Row],[Kode BARANG Win2]],Table43[[#This Row],[No. Urut
Item Sama]])</f>
        <v>G1078101001811</v>
      </c>
      <c r="B198" s="7"/>
      <c r="C198" s="31"/>
      <c r="D198" s="51">
        <v>40026337</v>
      </c>
      <c r="E198" s="27"/>
      <c r="F198" s="51"/>
      <c r="G198" s="51"/>
      <c r="H198" s="27"/>
      <c r="I198" s="27">
        <v>144</v>
      </c>
      <c r="J198" s="51" t="s">
        <v>1639</v>
      </c>
      <c r="K198" s="27" t="str">
        <f>Table43[[#This Row],[NamaJenisKemasan]]</f>
        <v>PCS</v>
      </c>
      <c r="L198" s="4" t="str">
        <f>TRIM(CONCATENATE(Table43[[#This Row],[Nama            KLP]]," ",Table43[[#This Row],[Nama            Sub KLP]]))</f>
        <v>HIT MAT GOODKNIGHT</v>
      </c>
      <c r="M198" s="4" t="str">
        <f>CONCATENATE(Table43[[#This Row],[kode  2 Digit                (hrf+No)]],Table43[[#This Row],[kode  2 Digit                (Nomor)]],Table43[[#This Row],[kode  1 Digit                (Nomor)]])</f>
        <v>G1078</v>
      </c>
      <c r="N198" s="4" t="str">
        <f>IF(AI198="",CONCATENATE(S198,U198,W198,Y198,AA198,AC198,AE198,AG198,Table43[[#This Row],[Tanda Kode Revisi]]),CONCATENATE(S198,U198,W198,Y198,AA198,AC198,AE198,AI198))</f>
        <v>G1078101001811</v>
      </c>
      <c r="O198" s="11">
        <f>LEN(N198)</f>
        <v>14</v>
      </c>
      <c r="P198" s="14" t="str">
        <f>IF(AH198&lt;&gt;"",TRIM(UPPER(CONCATENATE(R198," ",T198," ",V198," ",X198," ",Z198," ",AB198," ","X"," ",Table43[[#This Row],[ISI/CTN]]," ",AH198," ",AD198," ",AF198," ",AJ198))),TRIM(UPPER(CONCATENATE(R198," ",T198," ",V198," ",X198," ",Z198," ",AB198," ","X"," ",Table43[[#This Row],[ISI/CTN]]," ",AD198," ",AF198," ",AJ198))))</f>
        <v>HIT MAT GOODKNIGHT REFILL GREEN TEA 18S X 144 PCS +12S</v>
      </c>
      <c r="Q198" s="11">
        <f>LEN(P198)</f>
        <v>54</v>
      </c>
      <c r="S198" s="7" t="s">
        <v>34</v>
      </c>
      <c r="T198" s="4" t="s">
        <v>2242</v>
      </c>
      <c r="U198" s="47" t="s">
        <v>2544</v>
      </c>
      <c r="V198" s="48" t="s">
        <v>2644</v>
      </c>
      <c r="W198" s="7">
        <v>8</v>
      </c>
      <c r="X198" s="48" t="s">
        <v>2231</v>
      </c>
      <c r="Y198" s="47" t="s">
        <v>2539</v>
      </c>
      <c r="Z198" s="4" t="s">
        <v>2281</v>
      </c>
      <c r="AA198" s="49" t="s">
        <v>1115</v>
      </c>
      <c r="AB198" s="4" t="s">
        <v>2287</v>
      </c>
      <c r="AC198" s="49" t="s">
        <v>2603</v>
      </c>
      <c r="AD198" s="4" t="s">
        <v>185</v>
      </c>
      <c r="AE198" s="7">
        <v>1</v>
      </c>
      <c r="AF198" s="65" t="s">
        <v>2604</v>
      </c>
      <c r="AG198" s="7">
        <v>1</v>
      </c>
      <c r="AK198" s="70">
        <f>Table43[[#This Row],[Column4]]</f>
        <v>0</v>
      </c>
      <c r="AN198" s="7">
        <f>Table43[[#This Row],[ISI/CTN]]</f>
        <v>144</v>
      </c>
      <c r="AO198" s="61">
        <f>Table43[[#This Row],[Harga Jual Pcs GT
(-PPN)]]-(Table43[[#This Row],[Harga Jual Pcs GT
(-PPN)]]*6.5%)</f>
        <v>0</v>
      </c>
      <c r="AP198" s="61">
        <f>Table43[[#This Row],[Harga Beli Pcs
(-PPN)]]*Table43[[#This Row],[ISI/CTN]]</f>
        <v>0</v>
      </c>
      <c r="AQ198" s="61">
        <f>Table43[[#This Row],[Harga Beli Pcs
(-PPN)]]*1.11</f>
        <v>0</v>
      </c>
      <c r="AR198" s="61">
        <f>Table43[[#This Row],[Harga Beli Krt
(- PPN)]]*1.11</f>
        <v>0</v>
      </c>
      <c r="AS198" s="61"/>
      <c r="AT198" s="61">
        <f>Table43[[#This Row],[Harga Jual Pcs GT
(-PPN)]]*Table43[[#This Row],[ISI/CTN]]</f>
        <v>0</v>
      </c>
      <c r="AU198" s="61">
        <f>Table43[[#This Row],[Harga Jual Pcs GT
(-PPN)]]*1.11</f>
        <v>0</v>
      </c>
      <c r="AV198" s="61">
        <f>Table43[[#This Row],[Harga Jual Krt GT
(- PPN)]]*1.11</f>
        <v>0</v>
      </c>
      <c r="AW198" s="61">
        <f>IFERROR(VLOOKUP(Table43[[#This Row],[Kode Pcpl]],'[1]FEB 2026'!$A$3:$X$312,24,0),0)</f>
        <v>0</v>
      </c>
      <c r="AX198" s="61">
        <f>Table43[[#This Row],[Harga Jual Pcs MT
(-PPN)]]*Table43[[#This Row],[ISI/CTN]]</f>
        <v>0</v>
      </c>
      <c r="AY198" s="61">
        <f>Table43[[#This Row],[Harga Jual Pcs MT
(-PPN)]]*1.11</f>
        <v>0</v>
      </c>
      <c r="AZ198" s="61">
        <f>Table43[[#This Row],[Harga Jual Pcs MT
(+PPN)]]*Table43[[#This Row],[ISI/CTN]]</f>
        <v>0</v>
      </c>
      <c r="BA198" s="62" t="e">
        <f>(Table43[[#This Row],[Harga Jual Pcs GT
(-PPN)]]-Table43[[#This Row],[Harga Beli Pcs
(-PPN)]])/Table43[[#This Row],[Harga Jual Pcs GT
(-PPN)]]</f>
        <v>#DIV/0!</v>
      </c>
      <c r="BB198" s="63">
        <f>Table43[[#This Row],[Harga Jual Pcs MT
(-PPN)]]-Table43[[#This Row],[Harga Beli Pcs
(-PPN)]]</f>
        <v>0</v>
      </c>
      <c r="BC198" s="64" t="e">
        <f>Table43[[#This Row],[Column1]]/Table43[[#This Row],[Harga Jual Pcs MT
(-PPN)]]</f>
        <v>#DIV/0!</v>
      </c>
      <c r="BD198" s="52"/>
      <c r="BE198" s="7"/>
      <c r="BF198" s="7" t="str">
        <f ca="1">IF(TODAY()-Table43[[#This Row],[Efektif
Pembuatan]]&gt;60,"Lama","Baru")</f>
        <v>Lama</v>
      </c>
      <c r="BG198" s="7" t="str">
        <f ca="1">IF(TODAY()-Table43[[#This Row],[Efektif Naik Harga]]&lt;30,"Naik","Sama")</f>
        <v>Sama</v>
      </c>
      <c r="BH198" s="7"/>
      <c r="BI198" s="7" t="str">
        <f>IF(Table43[[#This Row],[Kode BARANG Win2]]&lt;&gt;"","IDR","")</f>
        <v>IDR</v>
      </c>
      <c r="BJ198" s="7" t="str">
        <f>CONCATENATE(Table43[[#This Row],[kode  1 Digit
(Nomor)]],Table43[[#This Row],[kode  4 Digit                (Nomor)]])</f>
        <v>0018</v>
      </c>
      <c r="BK198" s="7" t="str">
        <f>Table43[[#This Row],[Nama            Gramasi atau Jumlah Pack per CTN]]</f>
        <v>18S</v>
      </c>
      <c r="BL198" s="7"/>
      <c r="BM198" s="7"/>
      <c r="BN198" s="4" t="str">
        <f>IF(Table43[[#This Row],[SATUAN Fix Win]]&lt;&gt;"","KRT")</f>
        <v>KRT</v>
      </c>
      <c r="BO198" s="4" t="str">
        <f>IF(Table43[[#This Row],[SATUAN Fix Win]]&lt;&gt;"","GD01")</f>
        <v>GD01</v>
      </c>
      <c r="BP198" s="4">
        <f>IF(Table43[[#This Row],[SATUAN Fix Win]]&lt;&gt;"",11611)</f>
        <v>11611</v>
      </c>
      <c r="BQ198" s="4">
        <f>IF(Table43[[#This Row],[SATUAN Fix Win]]&lt;&gt;"",11612)</f>
        <v>11612</v>
      </c>
      <c r="BS198" s="4">
        <f>IF(Table43[[#This Row],[SATUAN Fix Win]]&lt;&gt;"",1)</f>
        <v>1</v>
      </c>
      <c r="BU198" s="4">
        <f>Table43[[#This Row],[ISI/CTN]]</f>
        <v>144</v>
      </c>
    </row>
    <row r="199" spans="1:75">
      <c r="A199" s="4" t="str">
        <f>CONCATENATE(Table43[[#This Row],[Kode BARANG Win2]],Table43[[#This Row],[No. Urut
Item Sama]])</f>
        <v>G10781010048101</v>
      </c>
      <c r="B199" s="7">
        <v>1</v>
      </c>
      <c r="C199" s="31">
        <v>30131010000001</v>
      </c>
      <c r="D199" s="51">
        <v>40056228</v>
      </c>
      <c r="E199" s="27" t="s">
        <v>1949</v>
      </c>
      <c r="F199" s="51">
        <v>30120030048001</v>
      </c>
      <c r="G199" s="51">
        <v>0</v>
      </c>
      <c r="H199" s="27" t="s">
        <v>1227</v>
      </c>
      <c r="I199" s="27">
        <v>72</v>
      </c>
      <c r="J199" s="51" t="s">
        <v>1640</v>
      </c>
      <c r="K199" s="27" t="str">
        <f>Table43[[#This Row],[NamaJenisKemasan]]</f>
        <v>PCS</v>
      </c>
      <c r="L199" s="4" t="str">
        <f>TRIM(CONCATENATE(Table43[[#This Row],[Nama            KLP]]," ",Table43[[#This Row],[Nama            Sub KLP]]))</f>
        <v>HIT MAT GOODKNIGHT</v>
      </c>
      <c r="M199" s="4" t="str">
        <f>CONCATENATE(Table43[[#This Row],[kode  2 Digit                (hrf+No)]],Table43[[#This Row],[kode  2 Digit                (Nomor)]],Table43[[#This Row],[kode  1 Digit                (Nomor)]])</f>
        <v>G1078</v>
      </c>
      <c r="N199" s="4" t="str">
        <f>IF(AI199="",CONCATENATE(S199,U199,W199,Y199,AA199,AC199,AE199,AG199,Table43[[#This Row],[Tanda Kode Revisi]]),CONCATENATE(S199,U199,W199,Y199,AA199,AC199,AE199,AI199))</f>
        <v>G1078101004810</v>
      </c>
      <c r="O199" s="11">
        <f t="shared" si="4"/>
        <v>14</v>
      </c>
      <c r="P199" s="14" t="str">
        <f>IF(AH199&lt;&gt;"",TRIM(UPPER(CONCATENATE(R199," ",T199," ",V199," ",X199," ",Z199," ",AB199," ","X"," ",Table43[[#This Row],[ISI/CTN]]," ",AH199," ",AD199," ",AF199," ",AJ199))),TRIM(UPPER(CONCATENATE(R199," ",T199," ",V199," ",X199," ",Z199," ",AB199," ","X"," ",Table43[[#This Row],[ISI/CTN]]," ",AD199," ",AF199," ",AJ199))))</f>
        <v>HIT MAT GOODKNIGHT REFILL GREEN TEA 48S X 72 PCS</v>
      </c>
      <c r="Q199" s="11">
        <f t="shared" si="5"/>
        <v>48</v>
      </c>
      <c r="S199" s="7" t="s">
        <v>34</v>
      </c>
      <c r="T199" s="4" t="s">
        <v>2242</v>
      </c>
      <c r="U199" s="47" t="s">
        <v>2544</v>
      </c>
      <c r="V199" s="48" t="s">
        <v>2644</v>
      </c>
      <c r="W199" s="7">
        <v>8</v>
      </c>
      <c r="X199" s="48" t="s">
        <v>2231</v>
      </c>
      <c r="Y199" s="47" t="s">
        <v>2539</v>
      </c>
      <c r="Z199" s="4" t="s">
        <v>2281</v>
      </c>
      <c r="AA199" s="49" t="s">
        <v>1115</v>
      </c>
      <c r="AB199" s="4" t="s">
        <v>2288</v>
      </c>
      <c r="AC199" s="49" t="s">
        <v>2627</v>
      </c>
      <c r="AD199" s="4" t="s">
        <v>185</v>
      </c>
      <c r="AE199" s="7">
        <v>1</v>
      </c>
      <c r="AG199" s="7">
        <v>0</v>
      </c>
      <c r="AK199" s="70">
        <f>Table43[[#This Row],[Column4]]</f>
        <v>30120030048001</v>
      </c>
      <c r="AN199" s="7">
        <f>Table43[[#This Row],[ISI/CTN]]</f>
        <v>72</v>
      </c>
      <c r="AO199" s="38">
        <f>Table43[[#This Row],[Harga Jual Pcs GT
(-PPN)]]-(Table43[[#This Row],[Harga Jual Pcs GT
(-PPN)]]*6.5%)</f>
        <v>10874.05</v>
      </c>
      <c r="AP199" s="38">
        <f>Table43[[#This Row],[Harga Beli Pcs
(-PPN)]]*Table43[[#This Row],[ISI/CTN]]</f>
        <v>782931.6</v>
      </c>
      <c r="AQ199" s="38">
        <f>Table43[[#This Row],[Harga Beli Pcs
(-PPN)]]*1.11</f>
        <v>12070.1955</v>
      </c>
      <c r="AR199" s="38">
        <f>Table43[[#This Row],[Harga Beli Krt
(- PPN)]]*1.11</f>
        <v>869054.076</v>
      </c>
      <c r="AS199" s="38">
        <v>11630</v>
      </c>
      <c r="AT199" s="38">
        <f>Table43[[#This Row],[Harga Jual Pcs GT
(-PPN)]]*Table43[[#This Row],[ISI/CTN]]</f>
        <v>837360</v>
      </c>
      <c r="AU199" s="38">
        <f>Table43[[#This Row],[Harga Jual Pcs GT
(-PPN)]]*1.11</f>
        <v>12909.300000000001</v>
      </c>
      <c r="AV199" s="38">
        <f>Table43[[#This Row],[Harga Jual Krt GT
(- PPN)]]*1.11</f>
        <v>929469.60000000009</v>
      </c>
      <c r="AW199" s="38">
        <f>IFERROR(VLOOKUP(Table43[[#This Row],[Kode Pcpl]],'[1]FEB 2026'!$A$3:$X$312,24,0),0)</f>
        <v>0</v>
      </c>
      <c r="AX199" s="38">
        <f>Table43[[#This Row],[Harga Jual Pcs MT
(-PPN)]]*Table43[[#This Row],[ISI/CTN]]</f>
        <v>0</v>
      </c>
      <c r="AY199" s="38">
        <f>Table43[[#This Row],[Harga Jual Pcs MT
(-PPN)]]*1.11</f>
        <v>0</v>
      </c>
      <c r="AZ199" s="38">
        <f>Table43[[#This Row],[Harga Jual Pcs MT
(+PPN)]]*Table43[[#This Row],[ISI/CTN]]</f>
        <v>0</v>
      </c>
      <c r="BA199" s="46">
        <f>(Table43[[#This Row],[Harga Jual Pcs GT
(-PPN)]]-Table43[[#This Row],[Harga Beli Pcs
(-PPN)]])/Table43[[#This Row],[Harga Jual Pcs GT
(-PPN)]]</f>
        <v>6.5000000000000058E-2</v>
      </c>
      <c r="BB199" s="53">
        <f>Table43[[#This Row],[Harga Jual Pcs MT
(-PPN)]]-Table43[[#This Row],[Harga Beli Pcs
(-PPN)]]</f>
        <v>-10874.05</v>
      </c>
      <c r="BC199" s="54" t="e">
        <f>Table43[[#This Row],[Column1]]/Table43[[#This Row],[Harga Jual Pcs MT
(-PPN)]]</f>
        <v>#DIV/0!</v>
      </c>
      <c r="BD199" s="52"/>
      <c r="BE199" s="7"/>
      <c r="BF199" s="7" t="str">
        <f ca="1">IF(TODAY()-Table43[[#This Row],[Efektif
Pembuatan]]&gt;60,"Lama","Baru")</f>
        <v>Lama</v>
      </c>
      <c r="BG199" s="7" t="str">
        <f ca="1">IF(TODAY()-Table43[[#This Row],[Efektif Naik Harga]]&lt;30,"Naik","Sama")</f>
        <v>Sama</v>
      </c>
      <c r="BH199" s="7"/>
      <c r="BI199" s="7" t="str">
        <f>IF(Table43[[#This Row],[Kode BARANG Win2]]&lt;&gt;"","IDR","")</f>
        <v>IDR</v>
      </c>
      <c r="BJ199" s="7" t="str">
        <f>CONCATENATE(Table43[[#This Row],[kode  1 Digit
(Nomor)]],Table43[[#This Row],[kode  4 Digit                (Nomor)]])</f>
        <v>0048</v>
      </c>
      <c r="BK199" s="7" t="str">
        <f>Table43[[#This Row],[Nama            Gramasi atau Jumlah Pack per CTN]]</f>
        <v>48S</v>
      </c>
      <c r="BL199" s="7"/>
      <c r="BM199" s="7"/>
      <c r="BN199" s="4" t="str">
        <f>IF(Table43[[#This Row],[SATUAN Fix Win]]&lt;&gt;"","KRT")</f>
        <v>KRT</v>
      </c>
      <c r="BO199" s="4" t="str">
        <f>IF(Table43[[#This Row],[SATUAN Fix Win]]&lt;&gt;"","GD01")</f>
        <v>GD01</v>
      </c>
      <c r="BP199" s="4">
        <f>IF(Table43[[#This Row],[SATUAN Fix Win]]&lt;&gt;"",11611)</f>
        <v>11611</v>
      </c>
      <c r="BQ199" s="4">
        <f>IF(Table43[[#This Row],[SATUAN Fix Win]]&lt;&gt;"",11612)</f>
        <v>11612</v>
      </c>
      <c r="BS199" s="4">
        <f>IF(Table43[[#This Row],[SATUAN Fix Win]]&lt;&gt;"",1)</f>
        <v>1</v>
      </c>
      <c r="BU199" s="4">
        <f>Table43[[#This Row],[ISI/CTN]]</f>
        <v>72</v>
      </c>
    </row>
    <row r="200" spans="1:75">
      <c r="A200" s="4" t="str">
        <f>CONCATENATE(Table43[[#This Row],[Kode BARANG Win2]],Table43[[#This Row],[No. Urut
Item Sama]])</f>
        <v>G10781010048102</v>
      </c>
      <c r="B200" s="7">
        <v>2</v>
      </c>
      <c r="C200" s="31">
        <v>30131010000001</v>
      </c>
      <c r="D200" s="51">
        <v>40023559</v>
      </c>
      <c r="E200" s="27"/>
      <c r="F200" s="51">
        <v>30120030048001</v>
      </c>
      <c r="G200" s="51"/>
      <c r="H200" s="27"/>
      <c r="I200" s="27">
        <v>72</v>
      </c>
      <c r="J200" s="51" t="s">
        <v>1640</v>
      </c>
      <c r="K200" s="27" t="str">
        <f>Table43[[#This Row],[NamaJenisKemasan]]</f>
        <v>PCS</v>
      </c>
      <c r="L200" s="4" t="str">
        <f>TRIM(CONCATENATE(Table43[[#This Row],[Nama            KLP]]," ",Table43[[#This Row],[Nama            Sub KLP]]))</f>
        <v>HIT MAT GOODKNIGHT</v>
      </c>
      <c r="M200" s="4" t="str">
        <f>CONCATENATE(Table43[[#This Row],[kode  2 Digit                (hrf+No)]],Table43[[#This Row],[kode  2 Digit                (Nomor)]],Table43[[#This Row],[kode  1 Digit                (Nomor)]])</f>
        <v>G1078</v>
      </c>
      <c r="N200" s="4" t="str">
        <f>IF(AI200="",CONCATENATE(S200,U200,W200,Y200,AA200,AC200,AE200,AG200,Table43[[#This Row],[Tanda Kode Revisi]]),CONCATENATE(S200,U200,W200,Y200,AA200,AC200,AE200,AI200))</f>
        <v>G1078101004810</v>
      </c>
      <c r="O200" s="11">
        <f t="shared" si="4"/>
        <v>14</v>
      </c>
      <c r="P200" s="14" t="str">
        <f>IF(AH200&lt;&gt;"",TRIM(UPPER(CONCATENATE(R200," ",T200," ",V200," ",X200," ",Z200," ",AB200," ","X"," ",Table43[[#This Row],[ISI/CTN]]," ",AH200," ",AD200," ",AF200," ",AJ200))),TRIM(UPPER(CONCATENATE(R200," ",T200," ",V200," ",X200," ",Z200," ",AB200," ","X"," ",Table43[[#This Row],[ISI/CTN]]," ",AD200," ",AF200," ",AJ200))))</f>
        <v>HIT MAT GOODKNIGHT REFILL GREEN TEA 48S X 72 PCS</v>
      </c>
      <c r="Q200" s="11">
        <f t="shared" si="5"/>
        <v>48</v>
      </c>
      <c r="S200" s="7" t="s">
        <v>34</v>
      </c>
      <c r="T200" s="4" t="s">
        <v>2242</v>
      </c>
      <c r="U200" s="47" t="s">
        <v>2544</v>
      </c>
      <c r="V200" s="48" t="s">
        <v>2644</v>
      </c>
      <c r="W200" s="7">
        <v>8</v>
      </c>
      <c r="X200" s="48" t="s">
        <v>2231</v>
      </c>
      <c r="Y200" s="47" t="s">
        <v>2539</v>
      </c>
      <c r="Z200" s="4" t="s">
        <v>2281</v>
      </c>
      <c r="AA200" s="49" t="s">
        <v>1115</v>
      </c>
      <c r="AB200" s="4" t="s">
        <v>2288</v>
      </c>
      <c r="AC200" s="49" t="s">
        <v>2627</v>
      </c>
      <c r="AD200" s="4" t="s">
        <v>185</v>
      </c>
      <c r="AE200" s="7">
        <v>1</v>
      </c>
      <c r="AG200" s="7">
        <v>0</v>
      </c>
      <c r="AK200" s="70">
        <f>Table43[[#This Row],[Column4]]</f>
        <v>30120030048001</v>
      </c>
      <c r="AN200" s="7">
        <f>Table43[[#This Row],[ISI/CTN]]</f>
        <v>72</v>
      </c>
      <c r="AO200" s="38">
        <f>Table43[[#This Row],[Harga Jual Pcs GT
(-PPN)]]-(Table43[[#This Row],[Harga Jual Pcs GT
(-PPN)]]*6.5%)</f>
        <v>10874.05</v>
      </c>
      <c r="AP200" s="38">
        <f>Table43[[#This Row],[Harga Beli Pcs
(-PPN)]]*Table43[[#This Row],[ISI/CTN]]</f>
        <v>782931.6</v>
      </c>
      <c r="AQ200" s="38">
        <f>Table43[[#This Row],[Harga Beli Pcs
(-PPN)]]*1.11</f>
        <v>12070.1955</v>
      </c>
      <c r="AR200" s="38">
        <f>Table43[[#This Row],[Harga Beli Krt
(- PPN)]]*1.11</f>
        <v>869054.076</v>
      </c>
      <c r="AS200" s="38">
        <v>11630</v>
      </c>
      <c r="AT200" s="38">
        <f>Table43[[#This Row],[Harga Jual Pcs GT
(-PPN)]]*Table43[[#This Row],[ISI/CTN]]</f>
        <v>837360</v>
      </c>
      <c r="AU200" s="38">
        <f>Table43[[#This Row],[Harga Jual Pcs GT
(-PPN)]]*1.11</f>
        <v>12909.300000000001</v>
      </c>
      <c r="AV200" s="38">
        <f>Table43[[#This Row],[Harga Jual Krt GT
(- PPN)]]*1.11</f>
        <v>929469.60000000009</v>
      </c>
      <c r="AW200" s="38">
        <f>IFERROR(VLOOKUP(Table43[[#This Row],[Kode Pcpl]],'[1]FEB 2026'!$A$3:$X$312,24,0),0)</f>
        <v>0</v>
      </c>
      <c r="AX200" s="38">
        <f>Table43[[#This Row],[Harga Jual Pcs MT
(-PPN)]]*Table43[[#This Row],[ISI/CTN]]</f>
        <v>0</v>
      </c>
      <c r="AY200" s="38">
        <f>Table43[[#This Row],[Harga Jual Pcs MT
(-PPN)]]*1.11</f>
        <v>0</v>
      </c>
      <c r="AZ200" s="38">
        <f>Table43[[#This Row],[Harga Jual Pcs MT
(+PPN)]]*Table43[[#This Row],[ISI/CTN]]</f>
        <v>0</v>
      </c>
      <c r="BA200" s="46">
        <f>(Table43[[#This Row],[Harga Jual Pcs GT
(-PPN)]]-Table43[[#This Row],[Harga Beli Pcs
(-PPN)]])/Table43[[#This Row],[Harga Jual Pcs GT
(-PPN)]]</f>
        <v>6.5000000000000058E-2</v>
      </c>
      <c r="BB200" s="53">
        <f>Table43[[#This Row],[Harga Jual Pcs MT
(-PPN)]]-Table43[[#This Row],[Harga Beli Pcs
(-PPN)]]</f>
        <v>-10874.05</v>
      </c>
      <c r="BC200" s="54" t="e">
        <f>Table43[[#This Row],[Column1]]/Table43[[#This Row],[Harga Jual Pcs MT
(-PPN)]]</f>
        <v>#DIV/0!</v>
      </c>
      <c r="BD200" s="52"/>
      <c r="BE200" s="7"/>
      <c r="BF200" s="7" t="str">
        <f ca="1">IF(TODAY()-Table43[[#This Row],[Efektif
Pembuatan]]&gt;60,"Lama","Baru")</f>
        <v>Lama</v>
      </c>
      <c r="BG200" s="7" t="str">
        <f ca="1">IF(TODAY()-Table43[[#This Row],[Efektif Naik Harga]]&lt;30,"Naik","Sama")</f>
        <v>Sama</v>
      </c>
      <c r="BH200" s="7"/>
      <c r="BI200" s="7" t="str">
        <f>IF(Table43[[#This Row],[Kode BARANG Win2]]&lt;&gt;"","IDR","")</f>
        <v>IDR</v>
      </c>
      <c r="BJ200" s="7" t="str">
        <f>CONCATENATE(Table43[[#This Row],[kode  1 Digit
(Nomor)]],Table43[[#This Row],[kode  4 Digit                (Nomor)]])</f>
        <v>0048</v>
      </c>
      <c r="BK200" s="7" t="str">
        <f>Table43[[#This Row],[Nama            Gramasi atau Jumlah Pack per CTN]]</f>
        <v>48S</v>
      </c>
      <c r="BL200" s="7"/>
      <c r="BM200" s="7"/>
      <c r="BN200" s="4" t="str">
        <f>IF(Table43[[#This Row],[SATUAN Fix Win]]&lt;&gt;"","KRT")</f>
        <v>KRT</v>
      </c>
      <c r="BO200" s="4" t="str">
        <f>IF(Table43[[#This Row],[SATUAN Fix Win]]&lt;&gt;"","GD01")</f>
        <v>GD01</v>
      </c>
      <c r="BP200" s="4">
        <f>IF(Table43[[#This Row],[SATUAN Fix Win]]&lt;&gt;"",11611)</f>
        <v>11611</v>
      </c>
      <c r="BQ200" s="4">
        <f>IF(Table43[[#This Row],[SATUAN Fix Win]]&lt;&gt;"",11612)</f>
        <v>11612</v>
      </c>
      <c r="BS200" s="4">
        <f>IF(Table43[[#This Row],[SATUAN Fix Win]]&lt;&gt;"",1)</f>
        <v>1</v>
      </c>
      <c r="BU200" s="4">
        <f>Table43[[#This Row],[ISI/CTN]]</f>
        <v>72</v>
      </c>
    </row>
    <row r="201" spans="1:75" s="87" customFormat="1">
      <c r="A201" s="71" t="str">
        <f>CONCATENATE(Table43[[#This Row],[Kode BARANG Win2]],Table43[[#This Row],[No. Urut
Item Sama]])</f>
        <v>G10781010048103</v>
      </c>
      <c r="B201" s="72">
        <v>3</v>
      </c>
      <c r="C201" s="73"/>
      <c r="D201" s="74">
        <v>40060798</v>
      </c>
      <c r="E201" s="75" t="s">
        <v>3452</v>
      </c>
      <c r="F201" s="74"/>
      <c r="G201" s="74"/>
      <c r="H201" s="75" t="s">
        <v>3452</v>
      </c>
      <c r="I201" s="75">
        <v>72</v>
      </c>
      <c r="J201" s="74"/>
      <c r="K201" s="75" t="str">
        <f>Table43[[#This Row],[NamaJenisKemasan]]</f>
        <v>PCS</v>
      </c>
      <c r="L201" s="71" t="str">
        <f>TRIM(CONCATENATE(Table43[[#This Row],[Nama            KLP]]," ",Table43[[#This Row],[Nama            Sub KLP]]))</f>
        <v>HIT MAT GOODKNIGHT</v>
      </c>
      <c r="M201" s="71" t="str">
        <f>CONCATENATE(Table43[[#This Row],[kode  2 Digit                (hrf+No)]],Table43[[#This Row],[kode  2 Digit                (Nomor)]],Table43[[#This Row],[kode  1 Digit                (Nomor)]])</f>
        <v>G1078</v>
      </c>
      <c r="N201" s="71" t="str">
        <f>IF(AI201="",CONCATENATE(S201,U201,W201,Y201,AA201,AC201,AE201,AG201,Table43[[#This Row],[Tanda Kode Revisi]]),CONCATENATE(S201,U201,W201,Y201,AA201,AC201,AE201,AI201))</f>
        <v>G1078101004810</v>
      </c>
      <c r="O201" s="76">
        <f>LEN(N201)</f>
        <v>14</v>
      </c>
      <c r="P201" s="77" t="str">
        <f>IF(AH201&lt;&gt;"",TRIM(UPPER(CONCATENATE(R201," ",T201," ",V201," ",X201," ",Z201," ",AB201," ","X"," ",Table43[[#This Row],[ISI/CTN]]," ",AH201," ",AD201," ",AF201," ",AJ201))),TRIM(UPPER(CONCATENATE(R201," ",T201," ",V201," ",X201," ",Z201," ",AB201," ","X"," ",Table43[[#This Row],[ISI/CTN]]," ",AD201," ",AF201," ",AJ201))))</f>
        <v>HIT MAT GOODKNIGHT REFILL GREEN TEA 60S X 72 PCS +6S</v>
      </c>
      <c r="Q201" s="76">
        <f>LEN(P201)</f>
        <v>52</v>
      </c>
      <c r="R201" s="71"/>
      <c r="S201" s="72" t="s">
        <v>34</v>
      </c>
      <c r="T201" s="71" t="s">
        <v>2242</v>
      </c>
      <c r="U201" s="78" t="s">
        <v>2544</v>
      </c>
      <c r="V201" s="79" t="s">
        <v>2644</v>
      </c>
      <c r="W201" s="72">
        <v>8</v>
      </c>
      <c r="X201" s="79" t="s">
        <v>2231</v>
      </c>
      <c r="Y201" s="78" t="s">
        <v>2539</v>
      </c>
      <c r="Z201" s="71" t="s">
        <v>2281</v>
      </c>
      <c r="AA201" s="80" t="s">
        <v>1115</v>
      </c>
      <c r="AB201" s="71" t="s">
        <v>2291</v>
      </c>
      <c r="AC201" s="80" t="s">
        <v>2627</v>
      </c>
      <c r="AD201" s="71" t="s">
        <v>185</v>
      </c>
      <c r="AE201" s="72">
        <v>1</v>
      </c>
      <c r="AF201" s="92" t="s">
        <v>2605</v>
      </c>
      <c r="AG201" s="72">
        <v>0</v>
      </c>
      <c r="AH201" s="72"/>
      <c r="AI201" s="72"/>
      <c r="AJ201" s="72"/>
      <c r="AK201" s="81">
        <f>Table43[[#This Row],[Column4]]</f>
        <v>0</v>
      </c>
      <c r="AL201" s="72"/>
      <c r="AM201" s="72"/>
      <c r="AN201" s="72">
        <f>Table43[[#This Row],[ISI/CTN]]</f>
        <v>72</v>
      </c>
      <c r="AO201" s="88">
        <f>Table43[[#This Row],[Harga Jual Pcs GT
(-PPN)]]-(Table43[[#This Row],[Harga Jual Pcs GT
(-PPN)]]*6.5%)</f>
        <v>0</v>
      </c>
      <c r="AP201" s="88">
        <f>Table43[[#This Row],[Harga Beli Pcs
(-PPN)]]*Table43[[#This Row],[ISI/CTN]]</f>
        <v>0</v>
      </c>
      <c r="AQ201" s="88">
        <f>Table43[[#This Row],[Harga Beli Pcs
(-PPN)]]*1.11</f>
        <v>0</v>
      </c>
      <c r="AR201" s="88">
        <f>Table43[[#This Row],[Harga Beli Krt
(- PPN)]]*1.11</f>
        <v>0</v>
      </c>
      <c r="AS201" s="88"/>
      <c r="AT201" s="88">
        <f>Table43[[#This Row],[Harga Jual Pcs GT
(-PPN)]]*Table43[[#This Row],[ISI/CTN]]</f>
        <v>0</v>
      </c>
      <c r="AU201" s="88">
        <f>Table43[[#This Row],[Harga Jual Pcs GT
(-PPN)]]*1.11</f>
        <v>0</v>
      </c>
      <c r="AV201" s="88">
        <f>Table43[[#This Row],[Harga Jual Krt GT
(- PPN)]]*1.11</f>
        <v>0</v>
      </c>
      <c r="AW201" s="88">
        <f>IFERROR(VLOOKUP(Table43[[#This Row],[Kode Pcpl]],'[1]FEB 2026'!$A$3:$X$312,24,0),0)</f>
        <v>0</v>
      </c>
      <c r="AX201" s="88">
        <f>Table43[[#This Row],[Harga Jual Pcs MT
(-PPN)]]*Table43[[#This Row],[ISI/CTN]]</f>
        <v>0</v>
      </c>
      <c r="AY201" s="88">
        <f>Table43[[#This Row],[Harga Jual Pcs MT
(-PPN)]]*1.11</f>
        <v>0</v>
      </c>
      <c r="AZ201" s="88">
        <f>Table43[[#This Row],[Harga Jual Pcs MT
(+PPN)]]*Table43[[#This Row],[ISI/CTN]]</f>
        <v>0</v>
      </c>
      <c r="BA201" s="89" t="e">
        <f>(Table43[[#This Row],[Harga Jual Pcs GT
(-PPN)]]-Table43[[#This Row],[Harga Beli Pcs
(-PPN)]])/Table43[[#This Row],[Harga Jual Pcs GT
(-PPN)]]</f>
        <v>#DIV/0!</v>
      </c>
      <c r="BB201" s="90">
        <f>Table43[[#This Row],[Harga Jual Pcs MT
(-PPN)]]-Table43[[#This Row],[Harga Beli Pcs
(-PPN)]]</f>
        <v>0</v>
      </c>
      <c r="BC201" s="91" t="e">
        <f>Table43[[#This Row],[Column1]]/Table43[[#This Row],[Harga Jual Pcs MT
(-PPN)]]</f>
        <v>#DIV/0!</v>
      </c>
      <c r="BD201" s="86"/>
      <c r="BE201" s="72"/>
      <c r="BF201" s="72" t="str">
        <f ca="1">IF(TODAY()-Table43[[#This Row],[Efektif
Pembuatan]]&gt;60,"Lama","Baru")</f>
        <v>Lama</v>
      </c>
      <c r="BG201" s="72" t="str">
        <f ca="1">IF(TODAY()-Table43[[#This Row],[Efektif Naik Harga]]&lt;30,"Naik","Sama")</f>
        <v>Sama</v>
      </c>
      <c r="BH201" s="72"/>
      <c r="BI201" s="72" t="str">
        <f>IF(Table43[[#This Row],[Kode BARANG Win2]]&lt;&gt;"","IDR","")</f>
        <v>IDR</v>
      </c>
      <c r="BJ201" s="72" t="str">
        <f>CONCATENATE(Table43[[#This Row],[kode  1 Digit
(Nomor)]],Table43[[#This Row],[kode  4 Digit                (Nomor)]])</f>
        <v>0048</v>
      </c>
      <c r="BK201" s="72" t="str">
        <f>Table43[[#This Row],[Nama            Gramasi atau Jumlah Pack per CTN]]</f>
        <v>60S</v>
      </c>
      <c r="BL201" s="72"/>
      <c r="BM201" s="72"/>
      <c r="BN201" s="71" t="str">
        <f>IF(Table43[[#This Row],[SATUAN Fix Win]]&lt;&gt;"","KRT")</f>
        <v>KRT</v>
      </c>
      <c r="BO201" s="71" t="str">
        <f>IF(Table43[[#This Row],[SATUAN Fix Win]]&lt;&gt;"","GD01")</f>
        <v>GD01</v>
      </c>
      <c r="BP201" s="71">
        <f>IF(Table43[[#This Row],[SATUAN Fix Win]]&lt;&gt;"",11611)</f>
        <v>11611</v>
      </c>
      <c r="BQ201" s="71">
        <f>IF(Table43[[#This Row],[SATUAN Fix Win]]&lt;&gt;"",11612)</f>
        <v>11612</v>
      </c>
      <c r="BR201" s="71"/>
      <c r="BS201" s="71">
        <f>IF(Table43[[#This Row],[SATUAN Fix Win]]&lt;&gt;"",1)</f>
        <v>1</v>
      </c>
      <c r="BT201" s="71"/>
      <c r="BU201" s="71">
        <f>Table43[[#This Row],[ISI/CTN]]</f>
        <v>72</v>
      </c>
      <c r="BV201" s="71"/>
      <c r="BW201" s="71"/>
    </row>
    <row r="202" spans="1:75">
      <c r="A202" s="4" t="str">
        <f>CONCATENATE(Table43[[#This Row],[Kode BARANG Win2]],Table43[[#This Row],[No. Urut
Item Sama]])</f>
        <v>G1078101022510</v>
      </c>
      <c r="B202" s="7"/>
      <c r="C202" s="31">
        <v>30090020225002</v>
      </c>
      <c r="D202" s="51">
        <v>40007533</v>
      </c>
      <c r="E202" s="66" t="s">
        <v>2475</v>
      </c>
      <c r="F202" s="68">
        <v>30090020225002</v>
      </c>
      <c r="G202" s="68">
        <v>0</v>
      </c>
      <c r="H202" s="27">
        <v>0</v>
      </c>
      <c r="I202" s="27">
        <v>48</v>
      </c>
      <c r="J202" s="51">
        <v>0</v>
      </c>
      <c r="K202" s="27" t="str">
        <f>Table43[[#This Row],[NamaJenisKemasan]]</f>
        <v>PCS</v>
      </c>
      <c r="L202" s="4" t="str">
        <f>TRIM(CONCATENATE(Table43[[#This Row],[Nama            KLP]]," ",Table43[[#This Row],[Nama            Sub KLP]]))</f>
        <v>HIT MAT GOODKNIGHT</v>
      </c>
      <c r="M202" s="4" t="str">
        <f>CONCATENATE(Table43[[#This Row],[kode  2 Digit                (hrf+No)]],Table43[[#This Row],[kode  2 Digit                (Nomor)]],Table43[[#This Row],[kode  1 Digit                (Nomor)]])</f>
        <v>G1078</v>
      </c>
      <c r="N202" s="4" t="str">
        <f>IF(AI202="",CONCATENATE(S202,U202,W202,Y202,AA202,AC202,AE202,AG202,Table43[[#This Row],[Tanda Kode Revisi]]),CONCATENATE(S202,U202,W202,Y202,AA202,AC202,AE202,AI202))</f>
        <v>G1078101022510</v>
      </c>
      <c r="O202" s="11">
        <f t="shared" si="4"/>
        <v>14</v>
      </c>
      <c r="P202" s="14" t="str">
        <f>IF(AH202&lt;&gt;"",TRIM(UPPER(CONCATENATE(R202," ",T202," ",V202," ",X202," ",Z202," ",AB202," ","X"," ",Table43[[#This Row],[ISI/CTN]]," ",AH202," ",AD202," ",AF202," ",AJ202))),TRIM(UPPER(CONCATENATE(R202," ",T202," ",V202," ",X202," ",Z202," ",AB202," ","X"," ",Table43[[#This Row],[ISI/CTN]]," ",AD202," ",AF202," ",AJ202))))</f>
        <v>HIT MAT GOODKNIGHT ALAT TIKUS 225GR X 48 PCS</v>
      </c>
      <c r="Q202" s="11">
        <f t="shared" si="5"/>
        <v>44</v>
      </c>
      <c r="S202" s="7" t="s">
        <v>34</v>
      </c>
      <c r="T202" s="4" t="s">
        <v>2242</v>
      </c>
      <c r="U202" s="47" t="s">
        <v>2544</v>
      </c>
      <c r="V202" s="48" t="s">
        <v>2644</v>
      </c>
      <c r="W202" s="7">
        <v>8</v>
      </c>
      <c r="X202" s="48" t="s">
        <v>2516</v>
      </c>
      <c r="Y202" s="47" t="s">
        <v>2539</v>
      </c>
      <c r="Z202" s="4" t="s">
        <v>2255</v>
      </c>
      <c r="AA202" s="49" t="s">
        <v>1115</v>
      </c>
      <c r="AB202" s="4" t="s">
        <v>2270</v>
      </c>
      <c r="AC202" s="49" t="s">
        <v>2609</v>
      </c>
      <c r="AD202" s="4" t="s">
        <v>185</v>
      </c>
      <c r="AE202" s="7">
        <v>1</v>
      </c>
      <c r="AG202" s="7">
        <v>0</v>
      </c>
      <c r="AK202" s="70">
        <f>Table43[[#This Row],[Column4]]</f>
        <v>30090020225002</v>
      </c>
      <c r="AN202" s="7">
        <f>Table43[[#This Row],[ISI/CTN]]</f>
        <v>48</v>
      </c>
      <c r="AO202" s="38">
        <f>Table43[[#This Row],[Harga Jual Pcs GT
(-PPN)]]-(Table43[[#This Row],[Harga Jual Pcs GT
(-PPN)]]*6.5%)</f>
        <v>12865.6</v>
      </c>
      <c r="AP202" s="38">
        <f>Table43[[#This Row],[Harga Beli Pcs
(-PPN)]]*Table43[[#This Row],[ISI/CTN]]</f>
        <v>617548.80000000005</v>
      </c>
      <c r="AQ202" s="38">
        <f>Table43[[#This Row],[Harga Beli Pcs
(-PPN)]]*1.11</f>
        <v>14280.816000000003</v>
      </c>
      <c r="AR202" s="38">
        <f>Table43[[#This Row],[Harga Beli Krt
(- PPN)]]*1.11</f>
        <v>685479.16800000006</v>
      </c>
      <c r="AS202" s="38">
        <v>13760</v>
      </c>
      <c r="AT202" s="38">
        <f>Table43[[#This Row],[Harga Jual Pcs GT
(-PPN)]]*Table43[[#This Row],[ISI/CTN]]</f>
        <v>660480</v>
      </c>
      <c r="AU202" s="38">
        <f>Table43[[#This Row],[Harga Jual Pcs GT
(-PPN)]]*1.11</f>
        <v>15273.600000000002</v>
      </c>
      <c r="AV202" s="38">
        <f>Table43[[#This Row],[Harga Jual Krt GT
(- PPN)]]*1.11</f>
        <v>733132.80000000005</v>
      </c>
      <c r="AW202" s="38">
        <f>IFERROR(VLOOKUP(Table43[[#This Row],[Kode Pcpl]],'[1]FEB 2026'!$A$3:$X$312,24,0),0)</f>
        <v>0</v>
      </c>
      <c r="AX202" s="38">
        <f>Table43[[#This Row],[Harga Jual Pcs MT
(-PPN)]]*Table43[[#This Row],[ISI/CTN]]</f>
        <v>0</v>
      </c>
      <c r="AY202" s="38">
        <f>Table43[[#This Row],[Harga Jual Pcs MT
(-PPN)]]*1.11</f>
        <v>0</v>
      </c>
      <c r="AZ202" s="38">
        <f>Table43[[#This Row],[Harga Jual Pcs MT
(+PPN)]]*Table43[[#This Row],[ISI/CTN]]</f>
        <v>0</v>
      </c>
      <c r="BA202" s="46">
        <f>(Table43[[#This Row],[Harga Jual Pcs GT
(-PPN)]]-Table43[[#This Row],[Harga Beli Pcs
(-PPN)]])/Table43[[#This Row],[Harga Jual Pcs GT
(-PPN)]]</f>
        <v>6.4999999999999974E-2</v>
      </c>
      <c r="BB202" s="53">
        <f>Table43[[#This Row],[Harga Jual Pcs MT
(-PPN)]]-Table43[[#This Row],[Harga Beli Pcs
(-PPN)]]</f>
        <v>-12865.6</v>
      </c>
      <c r="BC202" s="54" t="e">
        <f>Table43[[#This Row],[Column1]]/Table43[[#This Row],[Harga Jual Pcs MT
(-PPN)]]</f>
        <v>#DIV/0!</v>
      </c>
      <c r="BD202" s="52"/>
      <c r="BE202" s="7"/>
      <c r="BF202" s="7" t="str">
        <f ca="1">IF(TODAY()-Table43[[#This Row],[Efektif
Pembuatan]]&gt;60,"Lama","Baru")</f>
        <v>Lama</v>
      </c>
      <c r="BG202" s="7" t="str">
        <f ca="1">IF(TODAY()-Table43[[#This Row],[Efektif Naik Harga]]&lt;30,"Naik","Sama")</f>
        <v>Sama</v>
      </c>
      <c r="BH202" s="7"/>
      <c r="BI202" s="7" t="str">
        <f>IF(Table43[[#This Row],[Kode BARANG Win2]]&lt;&gt;"","IDR","")</f>
        <v>IDR</v>
      </c>
      <c r="BJ202" s="7" t="str">
        <f>CONCATENATE(Table43[[#This Row],[kode  1 Digit
(Nomor)]],Table43[[#This Row],[kode  4 Digit                (Nomor)]])</f>
        <v>0225</v>
      </c>
      <c r="BK202" s="7" t="str">
        <f>Table43[[#This Row],[Nama            Gramasi atau Jumlah Pack per CTN]]</f>
        <v>225GR</v>
      </c>
      <c r="BL202" s="7"/>
      <c r="BM202" s="7"/>
      <c r="BN202" s="4" t="str">
        <f>IF(Table43[[#This Row],[SATUAN Fix Win]]&lt;&gt;"","KRT")</f>
        <v>KRT</v>
      </c>
      <c r="BO202" s="4" t="str">
        <f>IF(Table43[[#This Row],[SATUAN Fix Win]]&lt;&gt;"","GD01")</f>
        <v>GD01</v>
      </c>
      <c r="BP202" s="4">
        <f>IF(Table43[[#This Row],[SATUAN Fix Win]]&lt;&gt;"",11611)</f>
        <v>11611</v>
      </c>
      <c r="BQ202" s="4">
        <f>IF(Table43[[#This Row],[SATUAN Fix Win]]&lt;&gt;"",11612)</f>
        <v>11612</v>
      </c>
      <c r="BS202" s="4">
        <f>IF(Table43[[#This Row],[SATUAN Fix Win]]&lt;&gt;"",1)</f>
        <v>1</v>
      </c>
      <c r="BU202" s="4">
        <f>Table43[[#This Row],[ISI/CTN]]</f>
        <v>48</v>
      </c>
    </row>
    <row r="203" spans="1:75">
      <c r="A203" s="71" t="str">
        <f>CONCATENATE(Table43[[#This Row],[Kode BARANG Win2]],Table43[[#This Row],[No. Urut
Item Sama]])</f>
        <v>G1078105000410</v>
      </c>
      <c r="B203" s="72"/>
      <c r="C203" s="73"/>
      <c r="D203" s="74">
        <v>40062940</v>
      </c>
      <c r="E203" s="75" t="s">
        <v>3433</v>
      </c>
      <c r="F203" s="74"/>
      <c r="G203" s="74">
        <v>0</v>
      </c>
      <c r="H203" s="75" t="s">
        <v>3433</v>
      </c>
      <c r="I203" s="75">
        <v>864</v>
      </c>
      <c r="J203" s="74"/>
      <c r="K203" s="75" t="str">
        <f>Table43[[#This Row],[NamaJenisKemasan]]</f>
        <v>PCS</v>
      </c>
      <c r="L203" s="71" t="str">
        <f>TRIM(CONCATENATE(Table43[[#This Row],[Nama            KLP]]," ",Table43[[#This Row],[Nama            Sub KLP]]))</f>
        <v>HIT MAT GOODKNIGHT</v>
      </c>
      <c r="M203" s="71" t="str">
        <f>CONCATENATE(Table43[[#This Row],[kode  2 Digit                (hrf+No)]],Table43[[#This Row],[kode  2 Digit                (Nomor)]],Table43[[#This Row],[kode  1 Digit                (Nomor)]])</f>
        <v>G1078</v>
      </c>
      <c r="N203" s="71" t="str">
        <f>IF(AI203="",CONCATENATE(S203,U203,W203,Y203,AA203,AC203,AE203,AG203,Table43[[#This Row],[Tanda Kode Revisi]]),CONCATENATE(S203,U203,W203,Y203,AA203,AC203,AE203,AI203))</f>
        <v>G1078105000410</v>
      </c>
      <c r="O203" s="76">
        <f t="shared" si="4"/>
        <v>14</v>
      </c>
      <c r="P203" s="77" t="str">
        <f>IF(AH203&lt;&gt;"",TRIM(UPPER(CONCATENATE(R203," ",T203," ",V203," ",X203," ",Z203," ",AB203," ","X"," ",Table43[[#This Row],[ISI/CTN]]," ",AH203," ",AD203," ",AF203," ",AJ203))),TRIM(UPPER(CONCATENATE(R203," ",T203," ",V203," ",X203," ",Z203," ",AB203," ","X"," ",Table43[[#This Row],[ISI/CTN]]," ",AD203," ",AF203," ",AJ203))))</f>
        <v>HIT MAT GOODKNIGHT REFILL CLASSIC 4S X 864 PCS</v>
      </c>
      <c r="Q203" s="76">
        <f t="shared" si="5"/>
        <v>46</v>
      </c>
      <c r="R203" s="71"/>
      <c r="S203" s="72" t="s">
        <v>34</v>
      </c>
      <c r="T203" s="71" t="s">
        <v>2242</v>
      </c>
      <c r="U203" s="78" t="s">
        <v>2544</v>
      </c>
      <c r="V203" s="79" t="s">
        <v>2644</v>
      </c>
      <c r="W203" s="72">
        <v>8</v>
      </c>
      <c r="X203" s="79" t="s">
        <v>2231</v>
      </c>
      <c r="Y203" s="78" t="s">
        <v>2539</v>
      </c>
      <c r="Z203" s="71" t="s">
        <v>2265</v>
      </c>
      <c r="AA203" s="80" t="s">
        <v>2541</v>
      </c>
      <c r="AB203" s="71" t="s">
        <v>2286</v>
      </c>
      <c r="AC203" s="80" t="s">
        <v>2628</v>
      </c>
      <c r="AD203" s="71" t="s">
        <v>185</v>
      </c>
      <c r="AE203" s="72">
        <v>1</v>
      </c>
      <c r="AF203" s="71"/>
      <c r="AG203" s="72">
        <v>0</v>
      </c>
      <c r="AH203" s="72"/>
      <c r="AI203" s="72"/>
      <c r="AJ203" s="72"/>
      <c r="AK203" s="81">
        <f>Table43[[#This Row],[Column4]]</f>
        <v>0</v>
      </c>
      <c r="AL203" s="72"/>
      <c r="AM203" s="72"/>
      <c r="AN203" s="72">
        <f>Table43[[#This Row],[ISI/CTN]]</f>
        <v>864</v>
      </c>
      <c r="AO203" s="88">
        <f>Table43[[#This Row],[Harga Jual Pcs GT
(-PPN)]]-(Table43[[#This Row],[Harga Jual Pcs GT
(-PPN)]]*6.5%)</f>
        <v>673.2</v>
      </c>
      <c r="AP203" s="88">
        <f>Table43[[#This Row],[Harga Beli Pcs
(-PPN)]]*Table43[[#This Row],[ISI/CTN]]</f>
        <v>581644.80000000005</v>
      </c>
      <c r="AQ203" s="88">
        <f>Table43[[#This Row],[Harga Beli Pcs
(-PPN)]]*1.11</f>
        <v>747.25200000000007</v>
      </c>
      <c r="AR203" s="88">
        <f>Table43[[#This Row],[Harga Beli Krt
(- PPN)]]*1.11</f>
        <v>645625.72800000012</v>
      </c>
      <c r="AS203" s="88">
        <v>720</v>
      </c>
      <c r="AT203" s="88">
        <f>Table43[[#This Row],[Harga Jual Pcs GT
(-PPN)]]*Table43[[#This Row],[ISI/CTN]]</f>
        <v>622080</v>
      </c>
      <c r="AU203" s="88">
        <f>Table43[[#This Row],[Harga Jual Pcs GT
(-PPN)]]*1.11</f>
        <v>799.2</v>
      </c>
      <c r="AV203" s="88">
        <f>Table43[[#This Row],[Harga Jual Krt GT
(- PPN)]]*1.11</f>
        <v>690508.80000000005</v>
      </c>
      <c r="AW203" s="88">
        <f>IFERROR(VLOOKUP(Table43[[#This Row],[Kode Pcpl]],'[1]FEB 2026'!$A$3:$X$312,24,0),0)</f>
        <v>0</v>
      </c>
      <c r="AX203" s="88">
        <f>Table43[[#This Row],[Harga Jual Pcs MT
(-PPN)]]*Table43[[#This Row],[ISI/CTN]]</f>
        <v>0</v>
      </c>
      <c r="AY203" s="88">
        <f>Table43[[#This Row],[Harga Jual Pcs MT
(-PPN)]]*1.11</f>
        <v>0</v>
      </c>
      <c r="AZ203" s="88">
        <f>Table43[[#This Row],[Harga Jual Pcs MT
(+PPN)]]*Table43[[#This Row],[ISI/CTN]]</f>
        <v>0</v>
      </c>
      <c r="BA203" s="89">
        <f>(Table43[[#This Row],[Harga Jual Pcs GT
(-PPN)]]-Table43[[#This Row],[Harga Beli Pcs
(-PPN)]])/Table43[[#This Row],[Harga Jual Pcs GT
(-PPN)]]</f>
        <v>6.4999999999999933E-2</v>
      </c>
      <c r="BB203" s="90">
        <f>Table43[[#This Row],[Harga Jual Pcs MT
(-PPN)]]-Table43[[#This Row],[Harga Beli Pcs
(-PPN)]]</f>
        <v>-673.2</v>
      </c>
      <c r="BC203" s="91" t="e">
        <f>Table43[[#This Row],[Column1]]/Table43[[#This Row],[Harga Jual Pcs MT
(-PPN)]]</f>
        <v>#DIV/0!</v>
      </c>
      <c r="BD203" s="86"/>
      <c r="BE203" s="72"/>
      <c r="BF203" s="72" t="str">
        <f ca="1">IF(TODAY()-Table43[[#This Row],[Efektif
Pembuatan]]&gt;60,"Lama","Baru")</f>
        <v>Lama</v>
      </c>
      <c r="BG203" s="72" t="str">
        <f ca="1">IF(TODAY()-Table43[[#This Row],[Efektif Naik Harga]]&lt;30,"Naik","Sama")</f>
        <v>Sama</v>
      </c>
      <c r="BH203" s="72"/>
      <c r="BI203" s="72" t="str">
        <f>IF(Table43[[#This Row],[Kode BARANG Win2]]&lt;&gt;"","IDR","")</f>
        <v>IDR</v>
      </c>
      <c r="BJ203" s="72" t="str">
        <f>CONCATENATE(Table43[[#This Row],[kode  1 Digit
(Nomor)]],Table43[[#This Row],[kode  4 Digit                (Nomor)]])</f>
        <v>0004</v>
      </c>
      <c r="BK203" s="72" t="str">
        <f>Table43[[#This Row],[Nama            Gramasi atau Jumlah Pack per CTN]]</f>
        <v>4S</v>
      </c>
      <c r="BL203" s="72"/>
      <c r="BM203" s="72"/>
      <c r="BN203" s="71" t="str">
        <f>IF(Table43[[#This Row],[SATUAN Fix Win]]&lt;&gt;"","KRT")</f>
        <v>KRT</v>
      </c>
      <c r="BO203" s="71" t="str">
        <f>IF(Table43[[#This Row],[SATUAN Fix Win]]&lt;&gt;"","GD01")</f>
        <v>GD01</v>
      </c>
      <c r="BP203" s="71">
        <f>IF(Table43[[#This Row],[SATUAN Fix Win]]&lt;&gt;"",11611)</f>
        <v>11611</v>
      </c>
      <c r="BQ203" s="71">
        <f>IF(Table43[[#This Row],[SATUAN Fix Win]]&lt;&gt;"",11612)</f>
        <v>11612</v>
      </c>
      <c r="BR203" s="71"/>
      <c r="BS203" s="71">
        <f>IF(Table43[[#This Row],[SATUAN Fix Win]]&lt;&gt;"",1)</f>
        <v>1</v>
      </c>
      <c r="BT203" s="71"/>
      <c r="BU203" s="71">
        <f>Table43[[#This Row],[ISI/CTN]]</f>
        <v>864</v>
      </c>
    </row>
    <row r="204" spans="1:75">
      <c r="A204" s="4" t="str">
        <f>CONCATENATE(Table43[[#This Row],[Kode BARANG Win2]],Table43[[#This Row],[No. Urut
Item Sama]])</f>
        <v>G1079001001011</v>
      </c>
      <c r="B204" s="7"/>
      <c r="C204" s="31">
        <v>30140030010001</v>
      </c>
      <c r="D204" s="51">
        <v>40034916</v>
      </c>
      <c r="E204" s="66" t="s">
        <v>2482</v>
      </c>
      <c r="F204" s="68">
        <v>30140030010001</v>
      </c>
      <c r="G204" s="68">
        <v>0</v>
      </c>
      <c r="H204" s="27">
        <v>0</v>
      </c>
      <c r="I204" s="27">
        <v>48</v>
      </c>
      <c r="J204" s="51">
        <v>0</v>
      </c>
      <c r="K204" s="27" t="str">
        <f>Table43[[#This Row],[NamaJenisKemasan]]</f>
        <v>PCS</v>
      </c>
      <c r="L204" s="4" t="str">
        <f>TRIM(CONCATENATE(Table43[[#This Row],[Nama            KLP]]," ",Table43[[#This Row],[Nama            Sub KLP]]))</f>
        <v>HIT ONE PUSH</v>
      </c>
      <c r="M204" s="4" t="str">
        <f>CONCATENATE(Table43[[#This Row],[kode  2 Digit                (hrf+No)]],Table43[[#This Row],[kode  2 Digit                (Nomor)]],Table43[[#This Row],[kode  1 Digit                (Nomor)]])</f>
        <v>G1079</v>
      </c>
      <c r="N204" s="4" t="str">
        <f>IF(AI204="",CONCATENATE(S204,U204,W204,Y204,AA204,AC204,AE204,AG204,Table43[[#This Row],[Tanda Kode Revisi]]),CONCATENATE(S204,U204,W204,Y204,AA204,AC204,AE204,AI204))</f>
        <v>G1079001001011</v>
      </c>
      <c r="O204" s="11">
        <f t="shared" si="4"/>
        <v>14</v>
      </c>
      <c r="P204" s="14" t="str">
        <f>IF(AH204&lt;&gt;"",TRIM(UPPER(CONCATENATE(R204," ",T204," ",V204," ",X204," ",Z204," ",AB204," ","X"," ",Table43[[#This Row],[ISI/CTN]]," ",AH204," ",AD204," ",AF204," ",AJ204))),TRIM(UPPER(CONCATENATE(R204," ",T204," ",V204," ",X204," ",Z204," ",AB204," ","X"," ",Table43[[#This Row],[ISI/CTN]]," ",AD204," ",AF204," ",AJ204))))</f>
        <v>HIT ONE PUSH GREEN TEA 10ML X 48 PCS BOGOF</v>
      </c>
      <c r="Q204" s="11">
        <f t="shared" si="5"/>
        <v>42</v>
      </c>
      <c r="S204" s="7" t="s">
        <v>34</v>
      </c>
      <c r="T204" s="4" t="s">
        <v>2242</v>
      </c>
      <c r="U204" s="47" t="s">
        <v>2544</v>
      </c>
      <c r="V204" s="48" t="s">
        <v>2517</v>
      </c>
      <c r="W204" s="7">
        <v>9</v>
      </c>
      <c r="X204" s="48"/>
      <c r="Y204" s="47" t="s">
        <v>1116</v>
      </c>
      <c r="Z204" s="4" t="s">
        <v>2281</v>
      </c>
      <c r="AA204" s="49" t="s">
        <v>1115</v>
      </c>
      <c r="AB204" s="4" t="s">
        <v>2518</v>
      </c>
      <c r="AC204" s="49" t="s">
        <v>2592</v>
      </c>
      <c r="AD204" s="4" t="s">
        <v>185</v>
      </c>
      <c r="AE204" s="7">
        <v>1</v>
      </c>
      <c r="AF204" s="4" t="s">
        <v>2338</v>
      </c>
      <c r="AG204" s="7">
        <v>1</v>
      </c>
      <c r="AK204" s="70">
        <f>Table43[[#This Row],[Column4]]</f>
        <v>30140030010001</v>
      </c>
      <c r="AN204" s="7">
        <f>Table43[[#This Row],[ISI/CTN]]</f>
        <v>48</v>
      </c>
      <c r="AO204" s="38">
        <f>Table43[[#This Row],[Harga Jual Pcs GT
(-PPN)]]-(Table43[[#This Row],[Harga Jual Pcs GT
(-PPN)]]*6.5%)</f>
        <v>19167.5</v>
      </c>
      <c r="AP204" s="38">
        <f>Table43[[#This Row],[Harga Beli Pcs
(-PPN)]]*Table43[[#This Row],[ISI/CTN]]</f>
        <v>920040</v>
      </c>
      <c r="AQ204" s="38">
        <f>Table43[[#This Row],[Harga Beli Pcs
(-PPN)]]*1.11</f>
        <v>21275.925000000003</v>
      </c>
      <c r="AR204" s="38">
        <f>Table43[[#This Row],[Harga Beli Krt
(- PPN)]]*1.11</f>
        <v>1021244.4000000001</v>
      </c>
      <c r="AS204" s="38">
        <v>20500</v>
      </c>
      <c r="AT204" s="38">
        <f>Table43[[#This Row],[Harga Jual Pcs GT
(-PPN)]]*Table43[[#This Row],[ISI/CTN]]</f>
        <v>984000</v>
      </c>
      <c r="AU204" s="38">
        <f>Table43[[#This Row],[Harga Jual Pcs GT
(-PPN)]]*1.11</f>
        <v>22755.000000000004</v>
      </c>
      <c r="AV204" s="38">
        <f>Table43[[#This Row],[Harga Jual Krt GT
(- PPN)]]*1.11</f>
        <v>1092240</v>
      </c>
      <c r="AW204" s="38">
        <f>IFERROR(VLOOKUP(Table43[[#This Row],[Kode Pcpl]],'[1]FEB 2026'!$A$3:$X$312,24,0),0)</f>
        <v>0</v>
      </c>
      <c r="AX204" s="38">
        <f>Table43[[#This Row],[Harga Jual Pcs MT
(-PPN)]]*Table43[[#This Row],[ISI/CTN]]</f>
        <v>0</v>
      </c>
      <c r="AY204" s="38">
        <f>Table43[[#This Row],[Harga Jual Pcs MT
(-PPN)]]*1.11</f>
        <v>0</v>
      </c>
      <c r="AZ204" s="38">
        <f>Table43[[#This Row],[Harga Jual Pcs MT
(+PPN)]]*Table43[[#This Row],[ISI/CTN]]</f>
        <v>0</v>
      </c>
      <c r="BA204" s="46">
        <f>(Table43[[#This Row],[Harga Jual Pcs GT
(-PPN)]]-Table43[[#This Row],[Harga Beli Pcs
(-PPN)]])/Table43[[#This Row],[Harga Jual Pcs GT
(-PPN)]]</f>
        <v>6.5000000000000002E-2</v>
      </c>
      <c r="BB204" s="53">
        <f>Table43[[#This Row],[Harga Jual Pcs MT
(-PPN)]]-Table43[[#This Row],[Harga Beli Pcs
(-PPN)]]</f>
        <v>-19167.5</v>
      </c>
      <c r="BC204" s="54" t="e">
        <f>Table43[[#This Row],[Column1]]/Table43[[#This Row],[Harga Jual Pcs MT
(-PPN)]]</f>
        <v>#DIV/0!</v>
      </c>
      <c r="BD204" s="52"/>
      <c r="BE204" s="7"/>
      <c r="BF204" s="7" t="str">
        <f ca="1">IF(TODAY()-Table43[[#This Row],[Efektif
Pembuatan]]&gt;60,"Lama","Baru")</f>
        <v>Lama</v>
      </c>
      <c r="BG204" s="7" t="str">
        <f ca="1">IF(TODAY()-Table43[[#This Row],[Efektif Naik Harga]]&lt;30,"Naik","Sama")</f>
        <v>Sama</v>
      </c>
      <c r="BH204" s="7"/>
      <c r="BI204" s="7" t="str">
        <f>IF(Table43[[#This Row],[Kode BARANG Win2]]&lt;&gt;"","IDR","")</f>
        <v>IDR</v>
      </c>
      <c r="BJ204" s="7" t="str">
        <f>CONCATENATE(Table43[[#This Row],[kode  1 Digit
(Nomor)]],Table43[[#This Row],[kode  4 Digit                (Nomor)]])</f>
        <v>0010</v>
      </c>
      <c r="BK204" s="7" t="str">
        <f>Table43[[#This Row],[Nama            Gramasi atau Jumlah Pack per CTN]]</f>
        <v>10ML</v>
      </c>
      <c r="BL204" s="7"/>
      <c r="BM204" s="7"/>
      <c r="BN204" s="4" t="str">
        <f>IF(Table43[[#This Row],[SATUAN Fix Win]]&lt;&gt;"","KRT")</f>
        <v>KRT</v>
      </c>
      <c r="BO204" s="4" t="str">
        <f>IF(Table43[[#This Row],[SATUAN Fix Win]]&lt;&gt;"","GD01")</f>
        <v>GD01</v>
      </c>
      <c r="BP204" s="4">
        <f>IF(Table43[[#This Row],[SATUAN Fix Win]]&lt;&gt;"",11611)</f>
        <v>11611</v>
      </c>
      <c r="BQ204" s="4">
        <f>IF(Table43[[#This Row],[SATUAN Fix Win]]&lt;&gt;"",11612)</f>
        <v>11612</v>
      </c>
      <c r="BS204" s="4">
        <f>IF(Table43[[#This Row],[SATUAN Fix Win]]&lt;&gt;"",1)</f>
        <v>1</v>
      </c>
      <c r="BU204" s="4">
        <f>Table43[[#This Row],[ISI/CTN]]</f>
        <v>48</v>
      </c>
    </row>
    <row r="205" spans="1:75">
      <c r="A205" s="4" t="str">
        <f>CONCATENATE(Table43[[#This Row],[Kode BARANG Win2]],Table43[[#This Row],[No. Urut
Item Sama]])</f>
        <v>G1079002001010</v>
      </c>
      <c r="B205" s="7"/>
      <c r="C205" s="31">
        <v>30140050010000</v>
      </c>
      <c r="D205" s="51">
        <v>40034915</v>
      </c>
      <c r="E205" s="66" t="s">
        <v>2483</v>
      </c>
      <c r="F205" s="68">
        <v>30140050010000</v>
      </c>
      <c r="G205" s="68">
        <v>0</v>
      </c>
      <c r="H205" s="27">
        <v>0</v>
      </c>
      <c r="I205" s="27">
        <v>48</v>
      </c>
      <c r="J205" s="51">
        <v>0</v>
      </c>
      <c r="K205" s="27" t="str">
        <f>Table43[[#This Row],[NamaJenisKemasan]]</f>
        <v>PCS</v>
      </c>
      <c r="L205" s="4" t="str">
        <f>TRIM(CONCATENATE(Table43[[#This Row],[Nama            KLP]]," ",Table43[[#This Row],[Nama            Sub KLP]]))</f>
        <v>HIT ONE PUSH</v>
      </c>
      <c r="M205" s="4" t="str">
        <f>CONCATENATE(Table43[[#This Row],[kode  2 Digit                (hrf+No)]],Table43[[#This Row],[kode  2 Digit                (Nomor)]],Table43[[#This Row],[kode  1 Digit                (Nomor)]])</f>
        <v>G1079</v>
      </c>
      <c r="N205" s="4" t="str">
        <f>IF(AI205="",CONCATENATE(S205,U205,W205,Y205,AA205,AC205,AE205,AG205,Table43[[#This Row],[Tanda Kode Revisi]]),CONCATENATE(S205,U205,W205,Y205,AA205,AC205,AE205,AI205))</f>
        <v>G1079002001010</v>
      </c>
      <c r="O205" s="11">
        <f t="shared" si="4"/>
        <v>14</v>
      </c>
      <c r="P205" s="14" t="str">
        <f>IF(AH205&lt;&gt;"",TRIM(UPPER(CONCATENATE(R205," ",T205," ",V205," ",X205," ",Z205," ",AB205," ","X"," ",Table43[[#This Row],[ISI/CTN]]," ",AH205," ",AD205," ",AF205," ",AJ205))),TRIM(UPPER(CONCATENATE(R205," ",T205," ",V205," ",X205," ",Z205," ",AB205," ","X"," ",Table43[[#This Row],[ISI/CTN]]," ",AD205," ",AF205," ",AJ205))))</f>
        <v>HIT ONE PUSH ORANGE 10ML X 48 PCS</v>
      </c>
      <c r="Q205" s="11">
        <f t="shared" si="5"/>
        <v>33</v>
      </c>
      <c r="S205" s="7" t="s">
        <v>34</v>
      </c>
      <c r="T205" s="4" t="s">
        <v>2242</v>
      </c>
      <c r="U205" s="47" t="s">
        <v>2544</v>
      </c>
      <c r="V205" s="48" t="s">
        <v>2517</v>
      </c>
      <c r="W205" s="7">
        <v>9</v>
      </c>
      <c r="X205" s="48"/>
      <c r="Y205" s="47" t="s">
        <v>1116</v>
      </c>
      <c r="Z205" s="4" t="s">
        <v>2251</v>
      </c>
      <c r="AA205" s="49" t="s">
        <v>2459</v>
      </c>
      <c r="AB205" s="4" t="s">
        <v>2518</v>
      </c>
      <c r="AC205" s="49" t="s">
        <v>2592</v>
      </c>
      <c r="AD205" s="4" t="s">
        <v>185</v>
      </c>
      <c r="AE205" s="7">
        <v>1</v>
      </c>
      <c r="AG205" s="7">
        <v>0</v>
      </c>
      <c r="AK205" s="70">
        <f>Table43[[#This Row],[Column4]]</f>
        <v>30140050010000</v>
      </c>
      <c r="AN205" s="7">
        <f>Table43[[#This Row],[ISI/CTN]]</f>
        <v>48</v>
      </c>
      <c r="AO205" s="38">
        <f>Table43[[#This Row],[Harga Jual Pcs GT
(-PPN)]]-(Table43[[#This Row],[Harga Jual Pcs GT
(-PPN)]]*6.5%)</f>
        <v>19167.5</v>
      </c>
      <c r="AP205" s="38">
        <f>Table43[[#This Row],[Harga Beli Pcs
(-PPN)]]*Table43[[#This Row],[ISI/CTN]]</f>
        <v>920040</v>
      </c>
      <c r="AQ205" s="38">
        <f>Table43[[#This Row],[Harga Beli Pcs
(-PPN)]]*1.11</f>
        <v>21275.925000000003</v>
      </c>
      <c r="AR205" s="38">
        <f>Table43[[#This Row],[Harga Beli Krt
(- PPN)]]*1.11</f>
        <v>1021244.4000000001</v>
      </c>
      <c r="AS205" s="38">
        <v>20500</v>
      </c>
      <c r="AT205" s="38">
        <f>Table43[[#This Row],[Harga Jual Pcs GT
(-PPN)]]*Table43[[#This Row],[ISI/CTN]]</f>
        <v>984000</v>
      </c>
      <c r="AU205" s="38">
        <f>Table43[[#This Row],[Harga Jual Pcs GT
(-PPN)]]*1.11</f>
        <v>22755.000000000004</v>
      </c>
      <c r="AV205" s="38">
        <f>Table43[[#This Row],[Harga Jual Krt GT
(- PPN)]]*1.11</f>
        <v>1092240</v>
      </c>
      <c r="AW205" s="38">
        <f>IFERROR(VLOOKUP(Table43[[#This Row],[Kode Pcpl]],'[1]FEB 2026'!$A$3:$X$312,24,0),0)</f>
        <v>0</v>
      </c>
      <c r="AX205" s="38">
        <f>Table43[[#This Row],[Harga Jual Pcs MT
(-PPN)]]*Table43[[#This Row],[ISI/CTN]]</f>
        <v>0</v>
      </c>
      <c r="AY205" s="38">
        <f>Table43[[#This Row],[Harga Jual Pcs MT
(-PPN)]]*1.11</f>
        <v>0</v>
      </c>
      <c r="AZ205" s="38">
        <f>Table43[[#This Row],[Harga Jual Pcs MT
(+PPN)]]*Table43[[#This Row],[ISI/CTN]]</f>
        <v>0</v>
      </c>
      <c r="BA205" s="46">
        <f>(Table43[[#This Row],[Harga Jual Pcs GT
(-PPN)]]-Table43[[#This Row],[Harga Beli Pcs
(-PPN)]])/Table43[[#This Row],[Harga Jual Pcs GT
(-PPN)]]</f>
        <v>6.5000000000000002E-2</v>
      </c>
      <c r="BB205" s="53">
        <f>Table43[[#This Row],[Harga Jual Pcs MT
(-PPN)]]-Table43[[#This Row],[Harga Beli Pcs
(-PPN)]]</f>
        <v>-19167.5</v>
      </c>
      <c r="BC205" s="54" t="e">
        <f>Table43[[#This Row],[Column1]]/Table43[[#This Row],[Harga Jual Pcs MT
(-PPN)]]</f>
        <v>#DIV/0!</v>
      </c>
      <c r="BD205" s="52"/>
      <c r="BE205" s="7"/>
      <c r="BF205" s="7" t="str">
        <f ca="1">IF(TODAY()-Table43[[#This Row],[Efektif
Pembuatan]]&gt;60,"Lama","Baru")</f>
        <v>Lama</v>
      </c>
      <c r="BG205" s="7" t="str">
        <f ca="1">IF(TODAY()-Table43[[#This Row],[Efektif Naik Harga]]&lt;30,"Naik","Sama")</f>
        <v>Sama</v>
      </c>
      <c r="BH205" s="7"/>
      <c r="BI205" s="7" t="str">
        <f>IF(Table43[[#This Row],[Kode BARANG Win2]]&lt;&gt;"","IDR","")</f>
        <v>IDR</v>
      </c>
      <c r="BJ205" s="7" t="str">
        <f>CONCATENATE(Table43[[#This Row],[kode  1 Digit
(Nomor)]],Table43[[#This Row],[kode  4 Digit                (Nomor)]])</f>
        <v>0010</v>
      </c>
      <c r="BK205" s="7" t="str">
        <f>Table43[[#This Row],[Nama            Gramasi atau Jumlah Pack per CTN]]</f>
        <v>10ML</v>
      </c>
      <c r="BL205" s="7"/>
      <c r="BM205" s="7"/>
      <c r="BN205" s="4" t="str">
        <f>IF(Table43[[#This Row],[SATUAN Fix Win]]&lt;&gt;"","KRT")</f>
        <v>KRT</v>
      </c>
      <c r="BO205" s="4" t="str">
        <f>IF(Table43[[#This Row],[SATUAN Fix Win]]&lt;&gt;"","GD01")</f>
        <v>GD01</v>
      </c>
      <c r="BP205" s="4">
        <f>IF(Table43[[#This Row],[SATUAN Fix Win]]&lt;&gt;"",11611)</f>
        <v>11611</v>
      </c>
      <c r="BQ205" s="4">
        <f>IF(Table43[[#This Row],[SATUAN Fix Win]]&lt;&gt;"",11612)</f>
        <v>11612</v>
      </c>
      <c r="BS205" s="4">
        <f>IF(Table43[[#This Row],[SATUAN Fix Win]]&lt;&gt;"",1)</f>
        <v>1</v>
      </c>
      <c r="BU205" s="4">
        <f>Table43[[#This Row],[ISI/CTN]]</f>
        <v>48</v>
      </c>
    </row>
    <row r="206" spans="1:75">
      <c r="A206" s="4" t="str">
        <f>CONCATENATE(Table43[[#This Row],[Kode BARANG Win2]],Table43[[#This Row],[No. Urut
Item Sama]])</f>
        <v>G1079002001011</v>
      </c>
      <c r="B206" s="7"/>
      <c r="C206" s="31">
        <v>30140050010001</v>
      </c>
      <c r="D206" s="51">
        <v>40020719</v>
      </c>
      <c r="E206" s="66" t="s">
        <v>2484</v>
      </c>
      <c r="F206" s="68">
        <v>30140050010001</v>
      </c>
      <c r="G206" s="68">
        <v>0</v>
      </c>
      <c r="H206" s="27">
        <v>0</v>
      </c>
      <c r="I206" s="27">
        <v>48</v>
      </c>
      <c r="J206" s="51">
        <v>0</v>
      </c>
      <c r="K206" s="27" t="str">
        <f>Table43[[#This Row],[NamaJenisKemasan]]</f>
        <v>PCS</v>
      </c>
      <c r="L206" s="4" t="str">
        <f>TRIM(CONCATENATE(Table43[[#This Row],[Nama            KLP]]," ",Table43[[#This Row],[Nama            Sub KLP]]))</f>
        <v>HIT ONE PUSH</v>
      </c>
      <c r="M206" s="4" t="str">
        <f>CONCATENATE(Table43[[#This Row],[kode  2 Digit                (hrf+No)]],Table43[[#This Row],[kode  2 Digit                (Nomor)]],Table43[[#This Row],[kode  1 Digit                (Nomor)]])</f>
        <v>G1079</v>
      </c>
      <c r="N206" s="4" t="str">
        <f>IF(AI206="",CONCATENATE(S206,U206,W206,Y206,AA206,AC206,AE206,AG206,Table43[[#This Row],[Tanda Kode Revisi]]),CONCATENATE(S206,U206,W206,Y206,AA206,AC206,AE206,AI206))</f>
        <v>G1079002001011</v>
      </c>
      <c r="O206" s="11">
        <f t="shared" si="4"/>
        <v>14</v>
      </c>
      <c r="P206" s="14" t="str">
        <f>IF(AH206&lt;&gt;"",TRIM(UPPER(CONCATENATE(R206," ",T206," ",V206," ",X206," ",Z206," ",AB206," ","X"," ",Table43[[#This Row],[ISI/CTN]]," ",AH206," ",AD206," ",AF206," ",AJ206))),TRIM(UPPER(CONCATENATE(R206," ",T206," ",V206," ",X206," ",Z206," ",AB206," ","X"," ",Table43[[#This Row],[ISI/CTN]]," ",AD206," ",AF206," ",AJ206))))</f>
        <v>HIT ONE PUSH ORANGE 10ML X 48 PCS BOGOF</v>
      </c>
      <c r="Q206" s="11">
        <f t="shared" si="5"/>
        <v>39</v>
      </c>
      <c r="S206" s="7" t="s">
        <v>34</v>
      </c>
      <c r="T206" s="4" t="s">
        <v>2242</v>
      </c>
      <c r="U206" s="47" t="s">
        <v>2544</v>
      </c>
      <c r="V206" s="48" t="s">
        <v>2517</v>
      </c>
      <c r="W206" s="7">
        <v>9</v>
      </c>
      <c r="X206" s="48"/>
      <c r="Y206" s="47" t="s">
        <v>1116</v>
      </c>
      <c r="Z206" s="4" t="s">
        <v>2251</v>
      </c>
      <c r="AA206" s="49" t="s">
        <v>2459</v>
      </c>
      <c r="AB206" s="4" t="s">
        <v>2518</v>
      </c>
      <c r="AC206" s="49" t="s">
        <v>2592</v>
      </c>
      <c r="AD206" s="4" t="s">
        <v>185</v>
      </c>
      <c r="AE206" s="7">
        <v>1</v>
      </c>
      <c r="AF206" s="4" t="s">
        <v>2338</v>
      </c>
      <c r="AG206" s="7">
        <v>1</v>
      </c>
      <c r="AK206" s="70">
        <f>Table43[[#This Row],[Column4]]</f>
        <v>30140050010001</v>
      </c>
      <c r="AN206" s="7">
        <f>Table43[[#This Row],[ISI/CTN]]</f>
        <v>48</v>
      </c>
      <c r="AO206" s="38">
        <f>Table43[[#This Row],[Harga Jual Pcs GT
(-PPN)]]-(Table43[[#This Row],[Harga Jual Pcs GT
(-PPN)]]*6.5%)</f>
        <v>19167.5</v>
      </c>
      <c r="AP206" s="38">
        <f>Table43[[#This Row],[Harga Beli Pcs
(-PPN)]]*Table43[[#This Row],[ISI/CTN]]</f>
        <v>920040</v>
      </c>
      <c r="AQ206" s="38">
        <f>Table43[[#This Row],[Harga Beli Pcs
(-PPN)]]*1.11</f>
        <v>21275.925000000003</v>
      </c>
      <c r="AR206" s="38">
        <f>Table43[[#This Row],[Harga Beli Krt
(- PPN)]]*1.11</f>
        <v>1021244.4000000001</v>
      </c>
      <c r="AS206" s="38">
        <v>20500</v>
      </c>
      <c r="AT206" s="38">
        <f>Table43[[#This Row],[Harga Jual Pcs GT
(-PPN)]]*Table43[[#This Row],[ISI/CTN]]</f>
        <v>984000</v>
      </c>
      <c r="AU206" s="38">
        <f>Table43[[#This Row],[Harga Jual Pcs GT
(-PPN)]]*1.11</f>
        <v>22755.000000000004</v>
      </c>
      <c r="AV206" s="38">
        <f>Table43[[#This Row],[Harga Jual Krt GT
(- PPN)]]*1.11</f>
        <v>1092240</v>
      </c>
      <c r="AW206" s="38">
        <f>IFERROR(VLOOKUP(Table43[[#This Row],[Kode Pcpl]],'[1]FEB 2026'!$A$3:$X$312,24,0),0)</f>
        <v>0</v>
      </c>
      <c r="AX206" s="38">
        <f>Table43[[#This Row],[Harga Jual Pcs MT
(-PPN)]]*Table43[[#This Row],[ISI/CTN]]</f>
        <v>0</v>
      </c>
      <c r="AY206" s="38">
        <f>Table43[[#This Row],[Harga Jual Pcs MT
(-PPN)]]*1.11</f>
        <v>0</v>
      </c>
      <c r="AZ206" s="38">
        <f>Table43[[#This Row],[Harga Jual Pcs MT
(+PPN)]]*Table43[[#This Row],[ISI/CTN]]</f>
        <v>0</v>
      </c>
      <c r="BA206" s="46">
        <f>(Table43[[#This Row],[Harga Jual Pcs GT
(-PPN)]]-Table43[[#This Row],[Harga Beli Pcs
(-PPN)]])/Table43[[#This Row],[Harga Jual Pcs GT
(-PPN)]]</f>
        <v>6.5000000000000002E-2</v>
      </c>
      <c r="BB206" s="53">
        <f>Table43[[#This Row],[Harga Jual Pcs MT
(-PPN)]]-Table43[[#This Row],[Harga Beli Pcs
(-PPN)]]</f>
        <v>-19167.5</v>
      </c>
      <c r="BC206" s="54" t="e">
        <f>Table43[[#This Row],[Column1]]/Table43[[#This Row],[Harga Jual Pcs MT
(-PPN)]]</f>
        <v>#DIV/0!</v>
      </c>
      <c r="BD206" s="52"/>
      <c r="BE206" s="7"/>
      <c r="BF206" s="7" t="str">
        <f ca="1">IF(TODAY()-Table43[[#This Row],[Efektif
Pembuatan]]&gt;60,"Lama","Baru")</f>
        <v>Lama</v>
      </c>
      <c r="BG206" s="7" t="str">
        <f ca="1">IF(TODAY()-Table43[[#This Row],[Efektif Naik Harga]]&lt;30,"Naik","Sama")</f>
        <v>Sama</v>
      </c>
      <c r="BH206" s="7"/>
      <c r="BI206" s="7" t="str">
        <f>IF(Table43[[#This Row],[Kode BARANG Win2]]&lt;&gt;"","IDR","")</f>
        <v>IDR</v>
      </c>
      <c r="BJ206" s="7" t="str">
        <f>CONCATENATE(Table43[[#This Row],[kode  1 Digit
(Nomor)]],Table43[[#This Row],[kode  4 Digit                (Nomor)]])</f>
        <v>0010</v>
      </c>
      <c r="BK206" s="7" t="str">
        <f>Table43[[#This Row],[Nama            Gramasi atau Jumlah Pack per CTN]]</f>
        <v>10ML</v>
      </c>
      <c r="BL206" s="7"/>
      <c r="BM206" s="7"/>
      <c r="BN206" s="4" t="str">
        <f>IF(Table43[[#This Row],[SATUAN Fix Win]]&lt;&gt;"","KRT")</f>
        <v>KRT</v>
      </c>
      <c r="BO206" s="4" t="str">
        <f>IF(Table43[[#This Row],[SATUAN Fix Win]]&lt;&gt;"","GD01")</f>
        <v>GD01</v>
      </c>
      <c r="BP206" s="4">
        <f>IF(Table43[[#This Row],[SATUAN Fix Win]]&lt;&gt;"",11611)</f>
        <v>11611</v>
      </c>
      <c r="BQ206" s="4">
        <f>IF(Table43[[#This Row],[SATUAN Fix Win]]&lt;&gt;"",11612)</f>
        <v>11612</v>
      </c>
      <c r="BS206" s="4">
        <f>IF(Table43[[#This Row],[SATUAN Fix Win]]&lt;&gt;"",1)</f>
        <v>1</v>
      </c>
      <c r="BU206" s="4">
        <f>Table43[[#This Row],[ISI/CTN]]</f>
        <v>48</v>
      </c>
    </row>
    <row r="207" spans="1:75">
      <c r="A207" s="4" t="str">
        <f>CONCATENATE(Table43[[#This Row],[Kode BARANG Win2]],Table43[[#This Row],[No. Urut
Item Sama]])</f>
        <v>G1079001001011</v>
      </c>
      <c r="B207" s="7"/>
      <c r="C207" s="31"/>
      <c r="D207" s="51">
        <v>40028471</v>
      </c>
      <c r="E207" s="27"/>
      <c r="F207" s="68"/>
      <c r="G207" s="68"/>
      <c r="H207" s="27"/>
      <c r="I207" s="27">
        <v>48</v>
      </c>
      <c r="J207" s="51"/>
      <c r="K207" s="27" t="str">
        <f>Table43[[#This Row],[NamaJenisKemasan]]</f>
        <v>PCS</v>
      </c>
      <c r="L207" s="4" t="str">
        <f>TRIM(CONCATENATE(Table43[[#This Row],[Nama            KLP]]," ",Table43[[#This Row],[Nama            Sub KLP]]))</f>
        <v>HIT ONE PUSH</v>
      </c>
      <c r="M207" s="4" t="str">
        <f>CONCATENATE(Table43[[#This Row],[kode  2 Digit                (hrf+No)]],Table43[[#This Row],[kode  2 Digit                (Nomor)]],Table43[[#This Row],[kode  1 Digit                (Nomor)]])</f>
        <v>G1079</v>
      </c>
      <c r="N207" s="4" t="str">
        <f>IF(AI207="",CONCATENATE(S207,U207,W207,Y207,AA207,AC207,AE207,AG207,Table43[[#This Row],[Tanda Kode Revisi]]),CONCATENATE(S207,U207,W207,Y207,AA207,AC207,AE207,AI207))</f>
        <v>G1079001001011</v>
      </c>
      <c r="O207" s="11">
        <f>LEN(N207)</f>
        <v>14</v>
      </c>
      <c r="P207" s="14" t="str">
        <f>IF(AH207&lt;&gt;"",TRIM(UPPER(CONCATENATE(R207," ",T207," ",V207," ",X207," ",Z207," ",AB207," ","X"," ",Table43[[#This Row],[ISI/CTN]]," ",AH207," ",AD207," ",AF207," ",AJ207))),TRIM(UPPER(CONCATENATE(R207," ",T207," ",V207," ",X207," ",Z207," ",AB207," ","X"," ",Table43[[#This Row],[ISI/CTN]]," ",AD207," ",AF207," ",AJ207))))</f>
        <v>HIT ONE PUSH GREEN TEA 10ML X 48 PCS BOGOF</v>
      </c>
      <c r="Q207" s="11">
        <f>LEN(P207)</f>
        <v>42</v>
      </c>
      <c r="S207" s="7" t="s">
        <v>34</v>
      </c>
      <c r="T207" s="4" t="s">
        <v>2242</v>
      </c>
      <c r="U207" s="47" t="s">
        <v>2544</v>
      </c>
      <c r="V207" s="48" t="s">
        <v>2517</v>
      </c>
      <c r="W207" s="7">
        <v>9</v>
      </c>
      <c r="X207" s="48"/>
      <c r="Y207" s="47" t="s">
        <v>1116</v>
      </c>
      <c r="Z207" s="4" t="s">
        <v>2281</v>
      </c>
      <c r="AA207" s="49" t="s">
        <v>1115</v>
      </c>
      <c r="AB207" s="4" t="s">
        <v>2518</v>
      </c>
      <c r="AC207" s="49" t="s">
        <v>2592</v>
      </c>
      <c r="AD207" s="4" t="s">
        <v>185</v>
      </c>
      <c r="AE207" s="7">
        <v>1</v>
      </c>
      <c r="AF207" s="4" t="s">
        <v>2338</v>
      </c>
      <c r="AG207" s="7">
        <v>1</v>
      </c>
      <c r="AK207" s="70">
        <f>Table43[[#This Row],[Column4]]</f>
        <v>0</v>
      </c>
      <c r="AN207" s="7">
        <f>Table43[[#This Row],[ISI/CTN]]</f>
        <v>48</v>
      </c>
      <c r="AO207" s="38">
        <f>Table43[[#This Row],[Harga Jual Pcs GT
(-PPN)]]-(Table43[[#This Row],[Harga Jual Pcs GT
(-PPN)]]*6.5%)</f>
        <v>0</v>
      </c>
      <c r="AP207" s="38">
        <f>Table43[[#This Row],[Harga Beli Pcs
(-PPN)]]*Table43[[#This Row],[ISI/CTN]]</f>
        <v>0</v>
      </c>
      <c r="AQ207" s="38">
        <f>Table43[[#This Row],[Harga Beli Pcs
(-PPN)]]*1.11</f>
        <v>0</v>
      </c>
      <c r="AR207" s="38">
        <f>Table43[[#This Row],[Harga Beli Krt
(- PPN)]]*1.11</f>
        <v>0</v>
      </c>
      <c r="AS207" s="38"/>
      <c r="AT207" s="38">
        <f>Table43[[#This Row],[Harga Jual Pcs GT
(-PPN)]]*Table43[[#This Row],[ISI/CTN]]</f>
        <v>0</v>
      </c>
      <c r="AU207" s="38">
        <f>Table43[[#This Row],[Harga Jual Pcs GT
(-PPN)]]*1.11</f>
        <v>0</v>
      </c>
      <c r="AV207" s="38">
        <f>Table43[[#This Row],[Harga Jual Krt GT
(- PPN)]]*1.11</f>
        <v>0</v>
      </c>
      <c r="AW207" s="38">
        <f>IFERROR(VLOOKUP(Table43[[#This Row],[Kode Pcpl]],'[1]FEB 2026'!$A$3:$X$312,24,0),0)</f>
        <v>0</v>
      </c>
      <c r="AX207" s="38">
        <f>Table43[[#This Row],[Harga Jual Pcs MT
(-PPN)]]*Table43[[#This Row],[ISI/CTN]]</f>
        <v>0</v>
      </c>
      <c r="AY207" s="38">
        <f>Table43[[#This Row],[Harga Jual Pcs MT
(-PPN)]]*1.11</f>
        <v>0</v>
      </c>
      <c r="AZ207" s="38">
        <f>Table43[[#This Row],[Harga Jual Pcs MT
(+PPN)]]*Table43[[#This Row],[ISI/CTN]]</f>
        <v>0</v>
      </c>
      <c r="BA207" s="46" t="e">
        <f>(Table43[[#This Row],[Harga Jual Pcs GT
(-PPN)]]-Table43[[#This Row],[Harga Beli Pcs
(-PPN)]])/Table43[[#This Row],[Harga Jual Pcs GT
(-PPN)]]</f>
        <v>#DIV/0!</v>
      </c>
      <c r="BB207" s="53">
        <f>Table43[[#This Row],[Harga Jual Pcs MT
(-PPN)]]-Table43[[#This Row],[Harga Beli Pcs
(-PPN)]]</f>
        <v>0</v>
      </c>
      <c r="BC207" s="54" t="e">
        <f>Table43[[#This Row],[Column1]]/Table43[[#This Row],[Harga Jual Pcs MT
(-PPN)]]</f>
        <v>#DIV/0!</v>
      </c>
      <c r="BD207" s="52"/>
      <c r="BE207" s="7"/>
      <c r="BF207" s="7" t="str">
        <f ca="1">IF(TODAY()-Table43[[#This Row],[Efektif
Pembuatan]]&gt;60,"Lama","Baru")</f>
        <v>Lama</v>
      </c>
      <c r="BG207" s="7" t="str">
        <f ca="1">IF(TODAY()-Table43[[#This Row],[Efektif Naik Harga]]&lt;30,"Naik","Sama")</f>
        <v>Sama</v>
      </c>
      <c r="BH207" s="7"/>
      <c r="BI207" s="7" t="str">
        <f>IF(Table43[[#This Row],[Kode BARANG Win2]]&lt;&gt;"","IDR","")</f>
        <v>IDR</v>
      </c>
      <c r="BJ207" s="7" t="str">
        <f>CONCATENATE(Table43[[#This Row],[kode  1 Digit
(Nomor)]],Table43[[#This Row],[kode  4 Digit                (Nomor)]])</f>
        <v>0010</v>
      </c>
      <c r="BK207" s="7" t="str">
        <f>Table43[[#This Row],[Nama            Gramasi atau Jumlah Pack per CTN]]</f>
        <v>10ML</v>
      </c>
      <c r="BL207" s="7"/>
      <c r="BM207" s="7"/>
      <c r="BN207" s="4" t="str">
        <f>IF(Table43[[#This Row],[SATUAN Fix Win]]&lt;&gt;"","KRT")</f>
        <v>KRT</v>
      </c>
      <c r="BO207" s="4" t="str">
        <f>IF(Table43[[#This Row],[SATUAN Fix Win]]&lt;&gt;"","GD01")</f>
        <v>GD01</v>
      </c>
      <c r="BP207" s="4">
        <f>IF(Table43[[#This Row],[SATUAN Fix Win]]&lt;&gt;"",11611)</f>
        <v>11611</v>
      </c>
      <c r="BQ207" s="4">
        <f>IF(Table43[[#This Row],[SATUAN Fix Win]]&lt;&gt;"",11612)</f>
        <v>11612</v>
      </c>
      <c r="BS207" s="4">
        <f>IF(Table43[[#This Row],[SATUAN Fix Win]]&lt;&gt;"",1)</f>
        <v>1</v>
      </c>
      <c r="BU207" s="4">
        <f>Table43[[#This Row],[ISI/CTN]]</f>
        <v>48</v>
      </c>
    </row>
    <row r="208" spans="1:75" s="87" customFormat="1">
      <c r="A208" s="149" t="str">
        <f>CONCATENATE(Table43[[#This Row],[Kode BARANG Win2]],Table43[[#This Row],[No. Urut
Item Sama]])</f>
        <v>G1079001001611</v>
      </c>
      <c r="B208" s="72"/>
      <c r="C208" s="73"/>
      <c r="D208" s="74">
        <v>40024279</v>
      </c>
      <c r="E208" s="75" t="s">
        <v>3539</v>
      </c>
      <c r="F208" s="74"/>
      <c r="G208" s="74"/>
      <c r="H208" s="75" t="s">
        <v>3540</v>
      </c>
      <c r="I208" s="150">
        <v>48</v>
      </c>
      <c r="J208" s="74"/>
      <c r="K208" s="150" t="str">
        <f>Table43[[#This Row],[NamaJenisKemasan]]</f>
        <v>PCS</v>
      </c>
      <c r="L208" s="149" t="str">
        <f>TRIM(CONCATENATE(Table43[[#This Row],[Nama            KLP]]," ",Table43[[#This Row],[Nama            Sub KLP]]))</f>
        <v>HIT ONE PUSH</v>
      </c>
      <c r="M208" s="149" t="str">
        <f>CONCATENATE(Table43[[#This Row],[kode  2 Digit                (hrf+No)]],Table43[[#This Row],[kode  2 Digit                (Nomor)]],Table43[[#This Row],[kode  1 Digit                (Nomor)]])</f>
        <v>G1079</v>
      </c>
      <c r="N208" s="149" t="str">
        <f>IF(AI208="",CONCATENATE(S208,U208,W208,Y208,AA208,AC208,AE208,AG208,Table43[[#This Row],[Tanda Kode Revisi]]),CONCATENATE(S208,U208,W208,Y208,AA208,AC208,AE208,AI208))</f>
        <v>G1079001001611</v>
      </c>
      <c r="O208" s="76">
        <f>LEN(N208)</f>
        <v>14</v>
      </c>
      <c r="P208" s="151" t="str">
        <f>IF(AH208&lt;&gt;"",TRIM(UPPER(CONCATENATE(R208," ",T208," ",V208," ",X208," ",Z208," ",AB208," ","X"," ",Table43[[#This Row],[ISI/CTN]]," ",AH208," ",AD208," ",AF208," ",AJ208))),TRIM(UPPER(CONCATENATE(R208," ",T208," ",V208," ",X208," ",Z208," ",AB208," ","X"," ",Table43[[#This Row],[ISI/CTN]]," ",AD208," ",AF208," ",AJ208))))</f>
        <v>HIT ONE PUSH GREEN TEA 16ML X 48 PCS +3ML</v>
      </c>
      <c r="Q208" s="76">
        <f>LEN(P208)</f>
        <v>41</v>
      </c>
      <c r="R208" s="71"/>
      <c r="S208" s="72" t="s">
        <v>34</v>
      </c>
      <c r="T208" s="71" t="s">
        <v>2242</v>
      </c>
      <c r="U208" s="78" t="s">
        <v>2544</v>
      </c>
      <c r="V208" s="79" t="s">
        <v>2517</v>
      </c>
      <c r="W208" s="72">
        <v>9</v>
      </c>
      <c r="X208" s="79"/>
      <c r="Y208" s="78" t="s">
        <v>1116</v>
      </c>
      <c r="Z208" s="71" t="s">
        <v>2281</v>
      </c>
      <c r="AA208" s="80" t="s">
        <v>1115</v>
      </c>
      <c r="AB208" s="71" t="s">
        <v>3541</v>
      </c>
      <c r="AC208" s="80" t="s">
        <v>3542</v>
      </c>
      <c r="AD208" s="149" t="s">
        <v>185</v>
      </c>
      <c r="AE208" s="72">
        <v>1</v>
      </c>
      <c r="AF208" s="92" t="s">
        <v>3543</v>
      </c>
      <c r="AG208" s="72">
        <v>1</v>
      </c>
      <c r="AH208" s="72"/>
      <c r="AI208" s="72"/>
      <c r="AJ208" s="152"/>
      <c r="AK208" s="81">
        <f>Table43[[#This Row],[Column4]]</f>
        <v>0</v>
      </c>
      <c r="AL208" s="72"/>
      <c r="AM208" s="72"/>
      <c r="AN208" s="152">
        <f>Table43[[#This Row],[ISI/CTN]]</f>
        <v>48</v>
      </c>
      <c r="AO208" s="169">
        <f>Table43[[#This Row],[Harga Jual Pcs GT
(-PPN)]]-(Table43[[#This Row],[Harga Jual Pcs GT
(-PPN)]]*6.5%)</f>
        <v>0</v>
      </c>
      <c r="AP208" s="88">
        <f>Table43[[#This Row],[Harga Beli Pcs
(-PPN)]]*Table43[[#This Row],[ISI/CTN]]</f>
        <v>0</v>
      </c>
      <c r="AQ208" s="88">
        <f>Table43[[#This Row],[Harga Beli Pcs
(-PPN)]]*1.11</f>
        <v>0</v>
      </c>
      <c r="AR208" s="169">
        <f>Table43[[#This Row],[Harga Beli Krt
(- PPN)]]*1.11</f>
        <v>0</v>
      </c>
      <c r="AS208" s="169"/>
      <c r="AT208" s="88">
        <f>Table43[[#This Row],[Harga Jual Pcs GT
(-PPN)]]*Table43[[#This Row],[ISI/CTN]]</f>
        <v>0</v>
      </c>
      <c r="AU208" s="88">
        <f>Table43[[#This Row],[Harga Jual Pcs GT
(-PPN)]]*1.11</f>
        <v>0</v>
      </c>
      <c r="AV208" s="88">
        <f>Table43[[#This Row],[Harga Jual Krt GT
(- PPN)]]*1.11</f>
        <v>0</v>
      </c>
      <c r="AW208" s="169">
        <f>IFERROR(VLOOKUP(Table43[[#This Row],[Kode Pcpl]],'[1]FEB 2026'!$A$3:$X$312,24,0),0)</f>
        <v>0</v>
      </c>
      <c r="AX208" s="88">
        <f>Table43[[#This Row],[Harga Jual Pcs MT
(-PPN)]]*Table43[[#This Row],[ISI/CTN]]</f>
        <v>0</v>
      </c>
      <c r="AY208" s="88">
        <f>Table43[[#This Row],[Harga Jual Pcs MT
(-PPN)]]*1.11</f>
        <v>0</v>
      </c>
      <c r="AZ208" s="88">
        <f>Table43[[#This Row],[Harga Jual Pcs MT
(+PPN)]]*Table43[[#This Row],[ISI/CTN]]</f>
        <v>0</v>
      </c>
      <c r="BA208" s="89" t="e">
        <f>(Table43[[#This Row],[Harga Jual Pcs GT
(-PPN)]]-Table43[[#This Row],[Harga Beli Pcs
(-PPN)]])/Table43[[#This Row],[Harga Jual Pcs GT
(-PPN)]]</f>
        <v>#DIV/0!</v>
      </c>
      <c r="BB208" s="90">
        <f>Table43[[#This Row],[Harga Jual Pcs MT
(-PPN)]]-Table43[[#This Row],[Harga Beli Pcs
(-PPN)]]</f>
        <v>0</v>
      </c>
      <c r="BC208" s="91" t="e">
        <f>Table43[[#This Row],[Column1]]/Table43[[#This Row],[Harga Jual Pcs MT
(-PPN)]]</f>
        <v>#DIV/0!</v>
      </c>
      <c r="BD208" s="86"/>
      <c r="BE208" s="72"/>
      <c r="BF208" s="152" t="str">
        <f ca="1">IF(TODAY()-Table43[[#This Row],[Efektif
Pembuatan]]&gt;60,"Lama","Baru")</f>
        <v>Lama</v>
      </c>
      <c r="BG208" s="152" t="str">
        <f ca="1">IF(TODAY()-Table43[[#This Row],[Efektif Naik Harga]]&lt;30,"Naik","Sama")</f>
        <v>Sama</v>
      </c>
      <c r="BH208" s="72"/>
      <c r="BI208" s="152" t="str">
        <f>IF(Table43[[#This Row],[Kode BARANG Win2]]&lt;&gt;"","IDR","")</f>
        <v>IDR</v>
      </c>
      <c r="BJ208" s="152" t="str">
        <f>CONCATENATE(Table43[[#This Row],[kode  1 Digit
(Nomor)]],Table43[[#This Row],[kode  4 Digit                (Nomor)]])</f>
        <v>0016</v>
      </c>
      <c r="BK208" s="152" t="str">
        <f>Table43[[#This Row],[Nama            Gramasi atau Jumlah Pack per CTN]]</f>
        <v>16ML</v>
      </c>
      <c r="BL208" s="152"/>
      <c r="BM208" s="72"/>
      <c r="BN208" s="149" t="str">
        <f>IF(Table43[[#This Row],[SATUAN Fix Win]]&lt;&gt;"","KRT")</f>
        <v>KRT</v>
      </c>
      <c r="BO208" s="149" t="str">
        <f>IF(Table43[[#This Row],[SATUAN Fix Win]]&lt;&gt;"","GD01")</f>
        <v>GD01</v>
      </c>
      <c r="BP208" s="149">
        <f>IF(Table43[[#This Row],[SATUAN Fix Win]]&lt;&gt;"",11611)</f>
        <v>11611</v>
      </c>
      <c r="BQ208" s="149">
        <f>IF(Table43[[#This Row],[SATUAN Fix Win]]&lt;&gt;"",11612)</f>
        <v>11612</v>
      </c>
      <c r="BR208" s="149"/>
      <c r="BS208" s="149">
        <f>IF(Table43[[#This Row],[SATUAN Fix Win]]&lt;&gt;"",1)</f>
        <v>1</v>
      </c>
      <c r="BT208" s="149"/>
      <c r="BU208" s="149">
        <f>Table43[[#This Row],[ISI/CTN]]</f>
        <v>48</v>
      </c>
      <c r="BV208" s="71"/>
      <c r="BW208" s="71"/>
    </row>
    <row r="209" spans="1:75">
      <c r="A209" s="4" t="str">
        <f>CONCATENATE(Table43[[#This Row],[Kode BARANG Win2]],Table43[[#This Row],[No. Urut
Item Sama]])</f>
        <v>G1081001003010</v>
      </c>
      <c r="B209" s="7"/>
      <c r="C209" s="31">
        <v>30180030030000</v>
      </c>
      <c r="D209" s="51">
        <v>40049588</v>
      </c>
      <c r="E209" s="27" t="s">
        <v>1963</v>
      </c>
      <c r="F209" s="51">
        <v>30180030030000</v>
      </c>
      <c r="G209" s="51">
        <v>0</v>
      </c>
      <c r="H209" s="27" t="s">
        <v>1245</v>
      </c>
      <c r="I209" s="27">
        <v>12</v>
      </c>
      <c r="J209" s="51" t="s">
        <v>1654</v>
      </c>
      <c r="K209" s="27" t="str">
        <f>Table43[[#This Row],[NamaJenisKemasan]]</f>
        <v>PCS</v>
      </c>
      <c r="L209" s="4" t="str">
        <f>TRIM(CONCATENATE(Table43[[#This Row],[Nama            KLP]]," ",Table43[[#This Row],[Nama            Sub KLP]]))</f>
        <v>KLINPAK ALUMINIUM FOIL</v>
      </c>
      <c r="M209" s="4" t="str">
        <f>CONCATENATE(Table43[[#This Row],[kode  2 Digit                (hrf+No)]],Table43[[#This Row],[kode  2 Digit                (Nomor)]],Table43[[#This Row],[kode  1 Digit                (Nomor)]])</f>
        <v>G1081</v>
      </c>
      <c r="N209" s="4" t="str">
        <f>IF(AI209="",CONCATENATE(S209,U209,W209,Y209,AA209,AC209,AE209,AG209,Table43[[#This Row],[Tanda Kode Revisi]]),CONCATENATE(S209,U209,W209,Y209,AA209,AC209,AE209,AI209))</f>
        <v>G1081001003010</v>
      </c>
      <c r="O209" s="11">
        <f t="shared" si="4"/>
        <v>14</v>
      </c>
      <c r="P209" s="14" t="str">
        <f>IF(AH209&lt;&gt;"",TRIM(UPPER(CONCATENATE(R209," ",T209," ",V209," ",X209," ",Z209," ",AB209," ","X"," ",Table43[[#This Row],[ISI/CTN]]," ",AH209," ",AD209," ",AF209," ",AJ209))),TRIM(UPPER(CONCATENATE(R209," ",T209," ",V209," ",X209," ",Z209," ",AB209," ","X"," ",Table43[[#This Row],[ISI/CTN]]," ",AD209," ",AF209," ",AJ209))))</f>
        <v>KLINPAK ALUMINIUM FOIL 5M 30CM X 12 PCS</v>
      </c>
      <c r="Q209" s="11">
        <f t="shared" si="5"/>
        <v>39</v>
      </c>
      <c r="S209" s="7" t="s">
        <v>34</v>
      </c>
      <c r="T209" s="4" t="s">
        <v>2293</v>
      </c>
      <c r="U209" s="47" t="s">
        <v>2545</v>
      </c>
      <c r="V209" s="48" t="s">
        <v>2295</v>
      </c>
      <c r="W209" s="7">
        <v>1</v>
      </c>
      <c r="X209" s="48"/>
      <c r="Y209" s="47" t="s">
        <v>1116</v>
      </c>
      <c r="Z209" s="4" t="s">
        <v>2299</v>
      </c>
      <c r="AA209" s="49" t="s">
        <v>1115</v>
      </c>
      <c r="AB209" s="4" t="s">
        <v>2298</v>
      </c>
      <c r="AC209" s="49" t="s">
        <v>2617</v>
      </c>
      <c r="AD209" s="4" t="s">
        <v>185</v>
      </c>
      <c r="AE209" s="7">
        <v>1</v>
      </c>
      <c r="AG209" s="7">
        <v>0</v>
      </c>
      <c r="AK209" s="70">
        <f>Table43[[#This Row],[Column4]]</f>
        <v>30180030030000</v>
      </c>
      <c r="AN209" s="7">
        <f>Table43[[#This Row],[ISI/CTN]]</f>
        <v>12</v>
      </c>
      <c r="AO209" s="38">
        <f>Table43[[#This Row],[Harga Jual Pcs GT
(-PPN)]]-(Table43[[#This Row],[Harga Jual Pcs GT
(-PPN)]]*6.5%)</f>
        <v>18204.45</v>
      </c>
      <c r="AP209" s="38">
        <f>Table43[[#This Row],[Harga Beli Pcs
(-PPN)]]*Table43[[#This Row],[ISI/CTN]]</f>
        <v>218453.40000000002</v>
      </c>
      <c r="AQ209" s="38">
        <f>Table43[[#This Row],[Harga Beli Pcs
(-PPN)]]*1.11</f>
        <v>20206.939500000004</v>
      </c>
      <c r="AR209" s="38">
        <f>Table43[[#This Row],[Harga Beli Krt
(- PPN)]]*1.11</f>
        <v>242483.27400000003</v>
      </c>
      <c r="AS209" s="38">
        <v>19470</v>
      </c>
      <c r="AT209" s="38">
        <f>Table43[[#This Row],[Harga Jual Pcs GT
(-PPN)]]*Table43[[#This Row],[ISI/CTN]]</f>
        <v>233640</v>
      </c>
      <c r="AU209" s="38">
        <f>Table43[[#This Row],[Harga Jual Pcs GT
(-PPN)]]*1.11</f>
        <v>21611.7</v>
      </c>
      <c r="AV209" s="38">
        <f>Table43[[#This Row],[Harga Jual Krt GT
(- PPN)]]*1.11</f>
        <v>259340.40000000002</v>
      </c>
      <c r="AW209" s="38">
        <f>IFERROR(VLOOKUP(Table43[[#This Row],[Kode Pcpl]],'[1]FEB 2026'!$A$3:$X$312,24,0),0)</f>
        <v>0</v>
      </c>
      <c r="AX209" s="38">
        <f>Table43[[#This Row],[Harga Jual Pcs MT
(-PPN)]]*Table43[[#This Row],[ISI/CTN]]</f>
        <v>0</v>
      </c>
      <c r="AY209" s="38">
        <f>Table43[[#This Row],[Harga Jual Pcs MT
(-PPN)]]*1.11</f>
        <v>0</v>
      </c>
      <c r="AZ209" s="38">
        <f>Table43[[#This Row],[Harga Jual Pcs MT
(+PPN)]]*Table43[[#This Row],[ISI/CTN]]</f>
        <v>0</v>
      </c>
      <c r="BA209" s="46">
        <f>(Table43[[#This Row],[Harga Jual Pcs GT
(-PPN)]]-Table43[[#This Row],[Harga Beli Pcs
(-PPN)]])/Table43[[#This Row],[Harga Jual Pcs GT
(-PPN)]]</f>
        <v>6.4999999999999961E-2</v>
      </c>
      <c r="BB209" s="53">
        <f>Table43[[#This Row],[Harga Jual Pcs MT
(-PPN)]]-Table43[[#This Row],[Harga Beli Pcs
(-PPN)]]</f>
        <v>-18204.45</v>
      </c>
      <c r="BC209" s="54" t="e">
        <f>Table43[[#This Row],[Column1]]/Table43[[#This Row],[Harga Jual Pcs MT
(-PPN)]]</f>
        <v>#DIV/0!</v>
      </c>
      <c r="BD209" s="52"/>
      <c r="BE209" s="7"/>
      <c r="BF209" s="7" t="str">
        <f ca="1">IF(TODAY()-Table43[[#This Row],[Efektif
Pembuatan]]&gt;60,"Lama","Baru")</f>
        <v>Lama</v>
      </c>
      <c r="BG209" s="7" t="str">
        <f ca="1">IF(TODAY()-Table43[[#This Row],[Efektif Naik Harga]]&lt;30,"Naik","Sama")</f>
        <v>Sama</v>
      </c>
      <c r="BH209" s="7"/>
      <c r="BI209" s="7" t="str">
        <f>IF(Table43[[#This Row],[Kode BARANG Win2]]&lt;&gt;"","IDR","")</f>
        <v>IDR</v>
      </c>
      <c r="BJ209" s="7" t="str">
        <f>CONCATENATE(Table43[[#This Row],[kode  1 Digit
(Nomor)]],Table43[[#This Row],[kode  4 Digit                (Nomor)]])</f>
        <v>0030</v>
      </c>
      <c r="BK209" s="7" t="str">
        <f>Table43[[#This Row],[Nama            Gramasi atau Jumlah Pack per CTN]]</f>
        <v>30CM</v>
      </c>
      <c r="BL209" s="7"/>
      <c r="BM209" s="7"/>
      <c r="BN209" s="4" t="str">
        <f>IF(Table43[[#This Row],[SATUAN Fix Win]]&lt;&gt;"","KRT")</f>
        <v>KRT</v>
      </c>
      <c r="BO209" s="4" t="str">
        <f>IF(Table43[[#This Row],[SATUAN Fix Win]]&lt;&gt;"","GD01")</f>
        <v>GD01</v>
      </c>
      <c r="BP209" s="4">
        <f>IF(Table43[[#This Row],[SATUAN Fix Win]]&lt;&gt;"",11611)</f>
        <v>11611</v>
      </c>
      <c r="BQ209" s="4">
        <f>IF(Table43[[#This Row],[SATUAN Fix Win]]&lt;&gt;"",11612)</f>
        <v>11612</v>
      </c>
      <c r="BS209" s="4">
        <f>IF(Table43[[#This Row],[SATUAN Fix Win]]&lt;&gt;"",1)</f>
        <v>1</v>
      </c>
      <c r="BU209" s="4">
        <f>Table43[[#This Row],[ISI/CTN]]</f>
        <v>12</v>
      </c>
    </row>
    <row r="210" spans="1:75">
      <c r="A210" s="4" t="str">
        <f>CONCATENATE(Table43[[#This Row],[Kode BARANG Win2]],Table43[[#This Row],[No. Urut
Item Sama]])</f>
        <v>G1081002003010</v>
      </c>
      <c r="B210" s="7"/>
      <c r="C210" s="31">
        <v>30180020045000</v>
      </c>
      <c r="D210" s="51">
        <v>40008320</v>
      </c>
      <c r="E210" s="27" t="s">
        <v>1961</v>
      </c>
      <c r="F210" s="51">
        <v>30180010030000</v>
      </c>
      <c r="G210" s="51">
        <v>0</v>
      </c>
      <c r="H210" s="27" t="s">
        <v>1243</v>
      </c>
      <c r="I210" s="27">
        <v>12</v>
      </c>
      <c r="J210" s="51" t="s">
        <v>1652</v>
      </c>
      <c r="K210" s="27" t="str">
        <f>Table43[[#This Row],[NamaJenisKemasan]]</f>
        <v>PCS</v>
      </c>
      <c r="L210" s="4" t="str">
        <f>TRIM(CONCATENATE(Table43[[#This Row],[Nama            KLP]]," ",Table43[[#This Row],[Nama            Sub KLP]]))</f>
        <v>KLINPAK ALUMINIUM FOIL</v>
      </c>
      <c r="M210" s="4" t="str">
        <f>CONCATENATE(Table43[[#This Row],[kode  2 Digit                (hrf+No)]],Table43[[#This Row],[kode  2 Digit                (Nomor)]],Table43[[#This Row],[kode  1 Digit                (Nomor)]])</f>
        <v>G1081</v>
      </c>
      <c r="N210" s="4" t="str">
        <f>IF(AI210="",CONCATENATE(S210,U210,W210,Y210,AA210,AC210,AE210,AG210,Table43[[#This Row],[Tanda Kode Revisi]]),CONCATENATE(S210,U210,W210,Y210,AA210,AC210,AE210,AI210))</f>
        <v>G1081002003010</v>
      </c>
      <c r="O210" s="11">
        <f t="shared" si="4"/>
        <v>14</v>
      </c>
      <c r="P210" s="14" t="str">
        <f>IF(AH210&lt;&gt;"",TRIM(UPPER(CONCATENATE(R210," ",T210," ",V210," ",X210," ",Z210," ",AB210," ","X"," ",Table43[[#This Row],[ISI/CTN]]," ",AH210," ",AD210," ",AF210," ",AJ210))),TRIM(UPPER(CONCATENATE(R210," ",T210," ",V210," ",X210," ",Z210," ",AB210," ","X"," ",Table43[[#This Row],[ISI/CTN]]," ",AD210," ",AF210," ",AJ210))))</f>
        <v>KLINPAK ALUMINIUM FOIL REGULER 30CM X 12 PCS</v>
      </c>
      <c r="Q210" s="11">
        <f t="shared" si="5"/>
        <v>44</v>
      </c>
      <c r="S210" s="7" t="s">
        <v>34</v>
      </c>
      <c r="T210" s="4" t="s">
        <v>2293</v>
      </c>
      <c r="U210" s="47" t="s">
        <v>2545</v>
      </c>
      <c r="V210" s="48" t="s">
        <v>2295</v>
      </c>
      <c r="W210" s="7">
        <v>1</v>
      </c>
      <c r="X210" s="48"/>
      <c r="Y210" s="47" t="s">
        <v>1116</v>
      </c>
      <c r="Z210" s="4" t="s">
        <v>2308</v>
      </c>
      <c r="AA210" s="49" t="s">
        <v>2459</v>
      </c>
      <c r="AB210" s="4" t="s">
        <v>2298</v>
      </c>
      <c r="AC210" s="49" t="s">
        <v>2617</v>
      </c>
      <c r="AD210" s="4" t="s">
        <v>185</v>
      </c>
      <c r="AE210" s="7">
        <v>1</v>
      </c>
      <c r="AG210" s="7">
        <v>0</v>
      </c>
      <c r="AK210" s="70">
        <f>Table43[[#This Row],[Column4]]</f>
        <v>30180010030000</v>
      </c>
      <c r="AN210" s="7">
        <f>Table43[[#This Row],[ISI/CTN]]</f>
        <v>12</v>
      </c>
      <c r="AO210" s="38">
        <f>Table43[[#This Row],[Harga Jual Pcs GT
(-PPN)]]-(Table43[[#This Row],[Harga Jual Pcs GT
(-PPN)]]*6.5%)</f>
        <v>26273.5</v>
      </c>
      <c r="AP210" s="38">
        <f>Table43[[#This Row],[Harga Beli Pcs
(-PPN)]]*Table43[[#This Row],[ISI/CTN]]</f>
        <v>315282</v>
      </c>
      <c r="AQ210" s="38">
        <f>Table43[[#This Row],[Harga Beli Pcs
(-PPN)]]*1.11</f>
        <v>29163.585000000003</v>
      </c>
      <c r="AR210" s="38">
        <f>Table43[[#This Row],[Harga Beli Krt
(- PPN)]]*1.11</f>
        <v>349963.02</v>
      </c>
      <c r="AS210" s="38">
        <v>28100</v>
      </c>
      <c r="AT210" s="38">
        <f>Table43[[#This Row],[Harga Jual Pcs GT
(-PPN)]]*Table43[[#This Row],[ISI/CTN]]</f>
        <v>337200</v>
      </c>
      <c r="AU210" s="38">
        <f>Table43[[#This Row],[Harga Jual Pcs GT
(-PPN)]]*1.11</f>
        <v>31191.000000000004</v>
      </c>
      <c r="AV210" s="38">
        <f>Table43[[#This Row],[Harga Jual Krt GT
(- PPN)]]*1.11</f>
        <v>374292.00000000006</v>
      </c>
      <c r="AW210" s="38">
        <f>IFERROR(VLOOKUP(Table43[[#This Row],[Kode Pcpl]],'[1]FEB 2026'!$A$3:$X$312,24,0),0)</f>
        <v>0</v>
      </c>
      <c r="AX210" s="38">
        <f>Table43[[#This Row],[Harga Jual Pcs MT
(-PPN)]]*Table43[[#This Row],[ISI/CTN]]</f>
        <v>0</v>
      </c>
      <c r="AY210" s="38">
        <f>Table43[[#This Row],[Harga Jual Pcs MT
(-PPN)]]*1.11</f>
        <v>0</v>
      </c>
      <c r="AZ210" s="38">
        <f>Table43[[#This Row],[Harga Jual Pcs MT
(+PPN)]]*Table43[[#This Row],[ISI/CTN]]</f>
        <v>0</v>
      </c>
      <c r="BA210" s="46">
        <f>(Table43[[#This Row],[Harga Jual Pcs GT
(-PPN)]]-Table43[[#This Row],[Harga Beli Pcs
(-PPN)]])/Table43[[#This Row],[Harga Jual Pcs GT
(-PPN)]]</f>
        <v>6.5000000000000002E-2</v>
      </c>
      <c r="BB210" s="53">
        <f>Table43[[#This Row],[Harga Jual Pcs MT
(-PPN)]]-Table43[[#This Row],[Harga Beli Pcs
(-PPN)]]</f>
        <v>-26273.5</v>
      </c>
      <c r="BC210" s="54" t="e">
        <f>Table43[[#This Row],[Column1]]/Table43[[#This Row],[Harga Jual Pcs MT
(-PPN)]]</f>
        <v>#DIV/0!</v>
      </c>
      <c r="BD210" s="52"/>
      <c r="BE210" s="7"/>
      <c r="BF210" s="7" t="str">
        <f ca="1">IF(TODAY()-Table43[[#This Row],[Efektif
Pembuatan]]&gt;60,"Lama","Baru")</f>
        <v>Lama</v>
      </c>
      <c r="BG210" s="7" t="str">
        <f ca="1">IF(TODAY()-Table43[[#This Row],[Efektif Naik Harga]]&lt;30,"Naik","Sama")</f>
        <v>Sama</v>
      </c>
      <c r="BH210" s="7"/>
      <c r="BI210" s="7" t="str">
        <f>IF(Table43[[#This Row],[Kode BARANG Win2]]&lt;&gt;"","IDR","")</f>
        <v>IDR</v>
      </c>
      <c r="BJ210" s="7" t="str">
        <f>CONCATENATE(Table43[[#This Row],[kode  1 Digit
(Nomor)]],Table43[[#This Row],[kode  4 Digit                (Nomor)]])</f>
        <v>0030</v>
      </c>
      <c r="BK210" s="7" t="str">
        <f>Table43[[#This Row],[Nama            Gramasi atau Jumlah Pack per CTN]]</f>
        <v>30CM</v>
      </c>
      <c r="BL210" s="7"/>
      <c r="BM210" s="7"/>
      <c r="BN210" s="4" t="str">
        <f>IF(Table43[[#This Row],[SATUAN Fix Win]]&lt;&gt;"","KRT")</f>
        <v>KRT</v>
      </c>
      <c r="BO210" s="4" t="str">
        <f>IF(Table43[[#This Row],[SATUAN Fix Win]]&lt;&gt;"","GD01")</f>
        <v>GD01</v>
      </c>
      <c r="BP210" s="4">
        <f>IF(Table43[[#This Row],[SATUAN Fix Win]]&lt;&gt;"",11611)</f>
        <v>11611</v>
      </c>
      <c r="BQ210" s="4">
        <f>IF(Table43[[#This Row],[SATUAN Fix Win]]&lt;&gt;"",11612)</f>
        <v>11612</v>
      </c>
      <c r="BS210" s="4">
        <f>IF(Table43[[#This Row],[SATUAN Fix Win]]&lt;&gt;"",1)</f>
        <v>1</v>
      </c>
      <c r="BU210" s="4">
        <f>Table43[[#This Row],[ISI/CTN]]</f>
        <v>12</v>
      </c>
    </row>
    <row r="211" spans="1:75">
      <c r="A211" s="4" t="str">
        <f>CONCATENATE(Table43[[#This Row],[Kode BARANG Win2]],Table43[[#This Row],[No. Urut
Item Sama]])</f>
        <v>G1081002004510</v>
      </c>
      <c r="B211" s="7"/>
      <c r="C211" s="31">
        <v>30181010030000</v>
      </c>
      <c r="D211" s="51">
        <v>40008322</v>
      </c>
      <c r="E211" s="27" t="s">
        <v>1962</v>
      </c>
      <c r="F211" s="51">
        <v>30180020045000</v>
      </c>
      <c r="G211" s="51">
        <v>0</v>
      </c>
      <c r="H211" s="27" t="s">
        <v>1244</v>
      </c>
      <c r="I211" s="27">
        <v>12</v>
      </c>
      <c r="J211" s="51" t="s">
        <v>1653</v>
      </c>
      <c r="K211" s="27" t="str">
        <f>Table43[[#This Row],[NamaJenisKemasan]]</f>
        <v>PCS</v>
      </c>
      <c r="L211" s="4" t="str">
        <f>TRIM(CONCATENATE(Table43[[#This Row],[Nama            KLP]]," ",Table43[[#This Row],[Nama            Sub KLP]]))</f>
        <v>KLINPAK ALUMINIUM FOIL</v>
      </c>
      <c r="M211" s="4" t="str">
        <f>CONCATENATE(Table43[[#This Row],[kode  2 Digit                (hrf+No)]],Table43[[#This Row],[kode  2 Digit                (Nomor)]],Table43[[#This Row],[kode  1 Digit                (Nomor)]])</f>
        <v>G1081</v>
      </c>
      <c r="N211" s="4" t="str">
        <f>IF(AI211="",CONCATENATE(S211,U211,W211,Y211,AA211,AC211,AE211,AG211,Table43[[#This Row],[Tanda Kode Revisi]]),CONCATENATE(S211,U211,W211,Y211,AA211,AC211,AE211,AI211))</f>
        <v>G1081002004510</v>
      </c>
      <c r="O211" s="11">
        <f t="shared" si="4"/>
        <v>14</v>
      </c>
      <c r="P211" s="14" t="str">
        <f>IF(AH211&lt;&gt;"",TRIM(UPPER(CONCATENATE(R211," ",T211," ",V211," ",X211," ",Z211," ",AB211," ","X"," ",Table43[[#This Row],[ISI/CTN]]," ",AH211," ",AD211," ",AF211," ",AJ211))),TRIM(UPPER(CONCATENATE(R211," ",T211," ",V211," ",X211," ",Z211," ",AB211," ","X"," ",Table43[[#This Row],[ISI/CTN]]," ",AD211," ",AF211," ",AJ211))))</f>
        <v>KLINPAK ALUMINIUM FOIL JUMBO 45CM X 12 PCS</v>
      </c>
      <c r="Q211" s="11">
        <f t="shared" si="5"/>
        <v>42</v>
      </c>
      <c r="S211" s="7" t="s">
        <v>34</v>
      </c>
      <c r="T211" s="4" t="s">
        <v>2293</v>
      </c>
      <c r="U211" s="47" t="s">
        <v>2545</v>
      </c>
      <c r="V211" s="48" t="s">
        <v>2295</v>
      </c>
      <c r="W211" s="7">
        <v>1</v>
      </c>
      <c r="X211" s="48"/>
      <c r="Y211" s="47" t="s">
        <v>1116</v>
      </c>
      <c r="Z211" s="4" t="s">
        <v>2296</v>
      </c>
      <c r="AA211" s="49" t="s">
        <v>2459</v>
      </c>
      <c r="AB211" s="4" t="s">
        <v>2297</v>
      </c>
      <c r="AC211" s="49" t="s">
        <v>2626</v>
      </c>
      <c r="AD211" s="4" t="s">
        <v>185</v>
      </c>
      <c r="AE211" s="7">
        <v>1</v>
      </c>
      <c r="AG211" s="7">
        <v>0</v>
      </c>
      <c r="AK211" s="70">
        <f>Table43[[#This Row],[Column4]]</f>
        <v>30180020045000</v>
      </c>
      <c r="AN211" s="7">
        <f>Table43[[#This Row],[ISI/CTN]]</f>
        <v>12</v>
      </c>
      <c r="AO211" s="38">
        <f>Table43[[#This Row],[Harga Jual Pcs GT
(-PPN)]]-(Table43[[#This Row],[Harga Jual Pcs GT
(-PPN)]]*6.5%)</f>
        <v>32883.949999999997</v>
      </c>
      <c r="AP211" s="38">
        <f>Table43[[#This Row],[Harga Beli Pcs
(-PPN)]]*Table43[[#This Row],[ISI/CTN]]</f>
        <v>394607.39999999997</v>
      </c>
      <c r="AQ211" s="38">
        <f>Table43[[#This Row],[Harga Beli Pcs
(-PPN)]]*1.11</f>
        <v>36501.184500000003</v>
      </c>
      <c r="AR211" s="38">
        <f>Table43[[#This Row],[Harga Beli Krt
(- PPN)]]*1.11</f>
        <v>438014.21399999998</v>
      </c>
      <c r="AS211" s="38">
        <v>35170</v>
      </c>
      <c r="AT211" s="38">
        <f>Table43[[#This Row],[Harga Jual Pcs GT
(-PPN)]]*Table43[[#This Row],[ISI/CTN]]</f>
        <v>422040</v>
      </c>
      <c r="AU211" s="38">
        <f>Table43[[#This Row],[Harga Jual Pcs GT
(-PPN)]]*1.11</f>
        <v>39038.700000000004</v>
      </c>
      <c r="AV211" s="38">
        <f>Table43[[#This Row],[Harga Jual Krt GT
(- PPN)]]*1.11</f>
        <v>468464.4</v>
      </c>
      <c r="AW211" s="38">
        <f>IFERROR(VLOOKUP(Table43[[#This Row],[Kode Pcpl]],'[1]FEB 2026'!$A$3:$X$312,24,0),0)</f>
        <v>0</v>
      </c>
      <c r="AX211" s="38">
        <f>Table43[[#This Row],[Harga Jual Pcs MT
(-PPN)]]*Table43[[#This Row],[ISI/CTN]]</f>
        <v>0</v>
      </c>
      <c r="AY211" s="38">
        <f>Table43[[#This Row],[Harga Jual Pcs MT
(-PPN)]]*1.11</f>
        <v>0</v>
      </c>
      <c r="AZ211" s="38">
        <f>Table43[[#This Row],[Harga Jual Pcs MT
(+PPN)]]*Table43[[#This Row],[ISI/CTN]]</f>
        <v>0</v>
      </c>
      <c r="BA211" s="46">
        <f>(Table43[[#This Row],[Harga Jual Pcs GT
(-PPN)]]-Table43[[#This Row],[Harga Beli Pcs
(-PPN)]])/Table43[[#This Row],[Harga Jual Pcs GT
(-PPN)]]</f>
        <v>6.5000000000000085E-2</v>
      </c>
      <c r="BB211" s="53">
        <f>Table43[[#This Row],[Harga Jual Pcs MT
(-PPN)]]-Table43[[#This Row],[Harga Beli Pcs
(-PPN)]]</f>
        <v>-32883.949999999997</v>
      </c>
      <c r="BC211" s="54" t="e">
        <f>Table43[[#This Row],[Column1]]/Table43[[#This Row],[Harga Jual Pcs MT
(-PPN)]]</f>
        <v>#DIV/0!</v>
      </c>
      <c r="BD211" s="52"/>
      <c r="BE211" s="7"/>
      <c r="BF211" s="7" t="str">
        <f ca="1">IF(TODAY()-Table43[[#This Row],[Efektif
Pembuatan]]&gt;60,"Lama","Baru")</f>
        <v>Lama</v>
      </c>
      <c r="BG211" s="7" t="str">
        <f ca="1">IF(TODAY()-Table43[[#This Row],[Efektif Naik Harga]]&lt;30,"Naik","Sama")</f>
        <v>Sama</v>
      </c>
      <c r="BH211" s="7"/>
      <c r="BI211" s="7" t="str">
        <f>IF(Table43[[#This Row],[Kode BARANG Win2]]&lt;&gt;"","IDR","")</f>
        <v>IDR</v>
      </c>
      <c r="BJ211" s="7" t="str">
        <f>CONCATENATE(Table43[[#This Row],[kode  1 Digit
(Nomor)]],Table43[[#This Row],[kode  4 Digit                (Nomor)]])</f>
        <v>0045</v>
      </c>
      <c r="BK211" s="7" t="str">
        <f>Table43[[#This Row],[Nama            Gramasi atau Jumlah Pack per CTN]]</f>
        <v>45CM</v>
      </c>
      <c r="BL211" s="7"/>
      <c r="BM211" s="7"/>
      <c r="BN211" s="4" t="str">
        <f>IF(Table43[[#This Row],[SATUAN Fix Win]]&lt;&gt;"","KRT")</f>
        <v>KRT</v>
      </c>
      <c r="BO211" s="4" t="str">
        <f>IF(Table43[[#This Row],[SATUAN Fix Win]]&lt;&gt;"","GD01")</f>
        <v>GD01</v>
      </c>
      <c r="BP211" s="4">
        <f>IF(Table43[[#This Row],[SATUAN Fix Win]]&lt;&gt;"",11611)</f>
        <v>11611</v>
      </c>
      <c r="BQ211" s="4">
        <f>IF(Table43[[#This Row],[SATUAN Fix Win]]&lt;&gt;"",11612)</f>
        <v>11612</v>
      </c>
      <c r="BS211" s="4">
        <f>IF(Table43[[#This Row],[SATUAN Fix Win]]&lt;&gt;"",1)</f>
        <v>1</v>
      </c>
      <c r="BU211" s="4">
        <f>Table43[[#This Row],[ISI/CTN]]</f>
        <v>12</v>
      </c>
    </row>
    <row r="212" spans="1:75">
      <c r="A212" s="4" t="str">
        <f>CONCATENATE(Table43[[#This Row],[Kode BARANG Win2]],Table43[[#This Row],[No. Urut
Item Sama]])</f>
        <v>G1081101003010</v>
      </c>
      <c r="B212" s="7"/>
      <c r="C212" s="31">
        <v>30150010300000</v>
      </c>
      <c r="D212" s="59">
        <v>40008321</v>
      </c>
      <c r="E212" s="60" t="s">
        <v>1964</v>
      </c>
      <c r="F212" s="59">
        <v>30181010030000</v>
      </c>
      <c r="G212" s="59">
        <v>0</v>
      </c>
      <c r="H212" s="60" t="s">
        <v>1246</v>
      </c>
      <c r="I212" s="60">
        <v>24</v>
      </c>
      <c r="J212" s="59" t="s">
        <v>1655</v>
      </c>
      <c r="K212" s="60" t="str">
        <f>Table43[[#This Row],[NamaJenisKemasan]]</f>
        <v>PCS</v>
      </c>
      <c r="L212" s="4" t="str">
        <f>TRIM(CONCATENATE(Table43[[#This Row],[Nama            KLP]]," ",Table43[[#This Row],[Nama            Sub KLP]]))</f>
        <v>KLINPAK ALUMINIUM FOIL</v>
      </c>
      <c r="M212" s="4" t="str">
        <f>CONCATENATE(Table43[[#This Row],[kode  2 Digit                (hrf+No)]],Table43[[#This Row],[kode  2 Digit                (Nomor)]],Table43[[#This Row],[kode  1 Digit                (Nomor)]])</f>
        <v>G1081</v>
      </c>
      <c r="N212" s="4" t="str">
        <f>IF(AI212="",CONCATENATE(S212,U212,W212,Y212,AA212,AC212,AE212,AG212,Table43[[#This Row],[Tanda Kode Revisi]]),CONCATENATE(S212,U212,W212,Y212,AA212,AC212,AE212,AI212))</f>
        <v>G1081101003010</v>
      </c>
      <c r="O212" s="11">
        <f t="shared" si="4"/>
        <v>14</v>
      </c>
      <c r="P212" s="14" t="str">
        <f>IF(AH212&lt;&gt;"",TRIM(UPPER(CONCATENATE(R212," ",T212," ",V212," ",X212," ",Z212," ",AB212," ","X"," ",Table43[[#This Row],[ISI/CTN]]," ",AH212," ",AD212," ",AF212," ",AJ212))),TRIM(UPPER(CONCATENATE(R212," ",T212," ",V212," ",X212," ",Z212," ",AB212," ","X"," ",Table43[[#This Row],[ISI/CTN]]," ",AD212," ",AF212," ",AJ212))))</f>
        <v>KLINPAK ALUMINIUM FOIL REFILL JUMBO 30CM X 24 PCS</v>
      </c>
      <c r="Q212" s="11">
        <f t="shared" si="5"/>
        <v>49</v>
      </c>
      <c r="S212" s="7" t="s">
        <v>34</v>
      </c>
      <c r="T212" s="4" t="s">
        <v>2293</v>
      </c>
      <c r="U212" s="47" t="s">
        <v>2545</v>
      </c>
      <c r="V212" s="48" t="s">
        <v>2295</v>
      </c>
      <c r="W212" s="7">
        <v>1</v>
      </c>
      <c r="X212" s="48" t="s">
        <v>2231</v>
      </c>
      <c r="Y212" s="47" t="s">
        <v>2539</v>
      </c>
      <c r="Z212" s="4" t="s">
        <v>2296</v>
      </c>
      <c r="AA212" s="49" t="s">
        <v>1115</v>
      </c>
      <c r="AB212" s="4" t="s">
        <v>2298</v>
      </c>
      <c r="AC212" s="49" t="s">
        <v>2617</v>
      </c>
      <c r="AD212" s="4" t="s">
        <v>185</v>
      </c>
      <c r="AE212" s="7">
        <v>1</v>
      </c>
      <c r="AG212" s="7">
        <v>0</v>
      </c>
      <c r="AK212" s="70">
        <f>Table43[[#This Row],[Column4]]</f>
        <v>30181010030000</v>
      </c>
      <c r="AN212" s="7">
        <f>Table43[[#This Row],[ISI/CTN]]</f>
        <v>24</v>
      </c>
      <c r="AO212" s="38">
        <f>Table43[[#This Row],[Harga Jual Pcs GT
(-PPN)]]-(Table43[[#This Row],[Harga Jual Pcs GT
(-PPN)]]*6.5%)</f>
        <v>18924.400000000001</v>
      </c>
      <c r="AP212" s="38">
        <f>Table43[[#This Row],[Harga Beli Pcs
(-PPN)]]*Table43[[#This Row],[ISI/CTN]]</f>
        <v>454185.60000000003</v>
      </c>
      <c r="AQ212" s="38">
        <f>Table43[[#This Row],[Harga Beli Pcs
(-PPN)]]*1.11</f>
        <v>21006.084000000003</v>
      </c>
      <c r="AR212" s="38">
        <f>Table43[[#This Row],[Harga Beli Krt
(- PPN)]]*1.11</f>
        <v>504146.01600000006</v>
      </c>
      <c r="AS212" s="38">
        <v>20240</v>
      </c>
      <c r="AT212" s="38">
        <f>Table43[[#This Row],[Harga Jual Pcs GT
(-PPN)]]*Table43[[#This Row],[ISI/CTN]]</f>
        <v>485760</v>
      </c>
      <c r="AU212" s="38">
        <f>Table43[[#This Row],[Harga Jual Pcs GT
(-PPN)]]*1.11</f>
        <v>22466.400000000001</v>
      </c>
      <c r="AV212" s="38">
        <f>Table43[[#This Row],[Harga Jual Krt GT
(- PPN)]]*1.11</f>
        <v>539193.60000000009</v>
      </c>
      <c r="AW212" s="38">
        <f>IFERROR(VLOOKUP(Table43[[#This Row],[Kode Pcpl]],'[1]FEB 2026'!$A$3:$X$312,24,0),0)</f>
        <v>0</v>
      </c>
      <c r="AX212" s="38">
        <f>Table43[[#This Row],[Harga Jual Pcs MT
(-PPN)]]*Table43[[#This Row],[ISI/CTN]]</f>
        <v>0</v>
      </c>
      <c r="AY212" s="38">
        <f>Table43[[#This Row],[Harga Jual Pcs MT
(-PPN)]]*1.11</f>
        <v>0</v>
      </c>
      <c r="AZ212" s="38">
        <f>Table43[[#This Row],[Harga Jual Pcs MT
(+PPN)]]*Table43[[#This Row],[ISI/CTN]]</f>
        <v>0</v>
      </c>
      <c r="BA212" s="46">
        <f>(Table43[[#This Row],[Harga Jual Pcs GT
(-PPN)]]-Table43[[#This Row],[Harga Beli Pcs
(-PPN)]])/Table43[[#This Row],[Harga Jual Pcs GT
(-PPN)]]</f>
        <v>6.4999999999999933E-2</v>
      </c>
      <c r="BB212" s="53">
        <f>Table43[[#This Row],[Harga Jual Pcs MT
(-PPN)]]-Table43[[#This Row],[Harga Beli Pcs
(-PPN)]]</f>
        <v>-18924.400000000001</v>
      </c>
      <c r="BC212" s="54" t="e">
        <f>Table43[[#This Row],[Column1]]/Table43[[#This Row],[Harga Jual Pcs MT
(-PPN)]]</f>
        <v>#DIV/0!</v>
      </c>
      <c r="BD212" s="52"/>
      <c r="BE212" s="7"/>
      <c r="BF212" s="7" t="str">
        <f ca="1">IF(TODAY()-Table43[[#This Row],[Efektif
Pembuatan]]&gt;60,"Lama","Baru")</f>
        <v>Lama</v>
      </c>
      <c r="BG212" s="7" t="str">
        <f ca="1">IF(TODAY()-Table43[[#This Row],[Efektif Naik Harga]]&lt;30,"Naik","Sama")</f>
        <v>Sama</v>
      </c>
      <c r="BH212" s="7"/>
      <c r="BI212" s="7" t="str">
        <f>IF(Table43[[#This Row],[Kode BARANG Win2]]&lt;&gt;"","IDR","")</f>
        <v>IDR</v>
      </c>
      <c r="BJ212" s="7" t="str">
        <f>CONCATENATE(Table43[[#This Row],[kode  1 Digit
(Nomor)]],Table43[[#This Row],[kode  4 Digit                (Nomor)]])</f>
        <v>0030</v>
      </c>
      <c r="BK212" s="7" t="str">
        <f>Table43[[#This Row],[Nama            Gramasi atau Jumlah Pack per CTN]]</f>
        <v>30CM</v>
      </c>
      <c r="BL212" s="7"/>
      <c r="BM212" s="7"/>
      <c r="BN212" s="4" t="str">
        <f>IF(Table43[[#This Row],[SATUAN Fix Win]]&lt;&gt;"","KRT")</f>
        <v>KRT</v>
      </c>
      <c r="BO212" s="4" t="str">
        <f>IF(Table43[[#This Row],[SATUAN Fix Win]]&lt;&gt;"","GD01")</f>
        <v>GD01</v>
      </c>
      <c r="BP212" s="4">
        <f>IF(Table43[[#This Row],[SATUAN Fix Win]]&lt;&gt;"",11611)</f>
        <v>11611</v>
      </c>
      <c r="BQ212" s="4">
        <f>IF(Table43[[#This Row],[SATUAN Fix Win]]&lt;&gt;"",11612)</f>
        <v>11612</v>
      </c>
      <c r="BS212" s="4">
        <f>IF(Table43[[#This Row],[SATUAN Fix Win]]&lt;&gt;"",1)</f>
        <v>1</v>
      </c>
      <c r="BU212" s="4">
        <f>Table43[[#This Row],[ISI/CTN]]</f>
        <v>24</v>
      </c>
    </row>
    <row r="213" spans="1:75" s="87" customFormat="1">
      <c r="A213" s="71" t="str">
        <f>CONCATENATE(Table43[[#This Row],[Kode BARANG Win2]],Table43[[#This Row],[No. Urut
Item Sama]])</f>
        <v>G1081001002810</v>
      </c>
      <c r="B213" s="72"/>
      <c r="C213" s="73"/>
      <c r="D213" s="74">
        <v>40028603</v>
      </c>
      <c r="E213" s="75" t="s">
        <v>3481</v>
      </c>
      <c r="F213" s="74"/>
      <c r="G213" s="74"/>
      <c r="H213" s="75" t="s">
        <v>3481</v>
      </c>
      <c r="I213" s="75">
        <v>12</v>
      </c>
      <c r="J213" s="74"/>
      <c r="K213" s="75" t="str">
        <f>Table43[[#This Row],[NamaJenisKemasan]]</f>
        <v>PCS</v>
      </c>
      <c r="L213" s="71" t="str">
        <f>TRIM(CONCATENATE(Table43[[#This Row],[Nama            KLP]]," ",Table43[[#This Row],[Nama            Sub KLP]]))</f>
        <v>KLINPAK ZIPLOCK</v>
      </c>
      <c r="M213" s="71" t="str">
        <f>CONCATENATE(Table43[[#This Row],[kode  2 Digit                (hrf+No)]],Table43[[#This Row],[kode  2 Digit                (Nomor)]],Table43[[#This Row],[kode  1 Digit                (Nomor)]])</f>
        <v>G1081</v>
      </c>
      <c r="N213" s="71" t="str">
        <f>IF(AI213="",CONCATENATE(S213,U213,W213,Y213,AA213,AC213,AE213,AG213,Table43[[#This Row],[Tanda Kode Revisi]]),CONCATENATE(S213,U213,W213,Y213,AA213,AC213,AE213,AI213))</f>
        <v>G1081001002810</v>
      </c>
      <c r="O213" s="76">
        <f>LEN(N213)</f>
        <v>14</v>
      </c>
      <c r="P213" s="77" t="str">
        <f>IF(AH213&lt;&gt;"",TRIM(UPPER(CONCATENATE(R213," ",T213," ",V213," ",X213," ",Z213," ",AB213," ","X"," ",Table43[[#This Row],[ISI/CTN]]," ",AH213," ",AD213," ",AF213," ",AJ213))),TRIM(UPPER(CONCATENATE(R213," ",T213," ",V213," ",X213," ",Z213," ",AB213," ","X"," ",Table43[[#This Row],[ISI/CTN]]," ",AD213," ",AF213," ",AJ213))))</f>
        <v>KLINPAK ZIPLOCK S.MEDIUM 28CM X 12 PCS</v>
      </c>
      <c r="Q213" s="76">
        <f>LEN(P213)</f>
        <v>38</v>
      </c>
      <c r="R213" s="71"/>
      <c r="S213" s="72" t="s">
        <v>34</v>
      </c>
      <c r="T213" s="71" t="s">
        <v>2293</v>
      </c>
      <c r="U213" s="78" t="s">
        <v>2545</v>
      </c>
      <c r="V213" s="79" t="s">
        <v>2320</v>
      </c>
      <c r="W213" s="72">
        <v>1</v>
      </c>
      <c r="X213" s="79"/>
      <c r="Y213" s="78" t="s">
        <v>1116</v>
      </c>
      <c r="Z213" s="71" t="s">
        <v>3484</v>
      </c>
      <c r="AA213" s="80" t="s">
        <v>1115</v>
      </c>
      <c r="AB213" s="71" t="s">
        <v>3482</v>
      </c>
      <c r="AC213" s="80" t="s">
        <v>3483</v>
      </c>
      <c r="AD213" s="71" t="s">
        <v>185</v>
      </c>
      <c r="AE213" s="72">
        <v>1</v>
      </c>
      <c r="AF213" s="71"/>
      <c r="AG213" s="72">
        <v>0</v>
      </c>
      <c r="AH213" s="72"/>
      <c r="AI213" s="72"/>
      <c r="AJ213" s="72"/>
      <c r="AK213" s="81">
        <f>Table43[[#This Row],[Column4]]</f>
        <v>0</v>
      </c>
      <c r="AL213" s="72"/>
      <c r="AM213" s="72"/>
      <c r="AN213" s="72">
        <f>Table43[[#This Row],[ISI/CTN]]</f>
        <v>12</v>
      </c>
      <c r="AO213" s="88">
        <f>Table43[[#This Row],[Harga Jual Pcs GT
(-PPN)]]-(Table43[[#This Row],[Harga Jual Pcs GT
(-PPN)]]*6.5%)</f>
        <v>0</v>
      </c>
      <c r="AP213" s="88">
        <f>Table43[[#This Row],[Harga Beli Pcs
(-PPN)]]*Table43[[#This Row],[ISI/CTN]]</f>
        <v>0</v>
      </c>
      <c r="AQ213" s="88">
        <f>Table43[[#This Row],[Harga Beli Pcs
(-PPN)]]*1.11</f>
        <v>0</v>
      </c>
      <c r="AR213" s="88">
        <f>Table43[[#This Row],[Harga Beli Krt
(- PPN)]]*1.11</f>
        <v>0</v>
      </c>
      <c r="AS213" s="88"/>
      <c r="AT213" s="88">
        <f>Table43[[#This Row],[Harga Jual Pcs GT
(-PPN)]]*Table43[[#This Row],[ISI/CTN]]</f>
        <v>0</v>
      </c>
      <c r="AU213" s="88">
        <f>Table43[[#This Row],[Harga Jual Pcs GT
(-PPN)]]*1.11</f>
        <v>0</v>
      </c>
      <c r="AV213" s="88">
        <f>Table43[[#This Row],[Harga Jual Krt GT
(- PPN)]]*1.11</f>
        <v>0</v>
      </c>
      <c r="AW213" s="88">
        <f>IFERROR(VLOOKUP(Table43[[#This Row],[Kode Pcpl]],'[1]FEB 2026'!$A$3:$X$312,24,0),0)</f>
        <v>0</v>
      </c>
      <c r="AX213" s="88">
        <f>Table43[[#This Row],[Harga Jual Pcs MT
(-PPN)]]*Table43[[#This Row],[ISI/CTN]]</f>
        <v>0</v>
      </c>
      <c r="AY213" s="88">
        <f>Table43[[#This Row],[Harga Jual Pcs MT
(-PPN)]]*1.11</f>
        <v>0</v>
      </c>
      <c r="AZ213" s="88">
        <f>Table43[[#This Row],[Harga Jual Pcs MT
(+PPN)]]*Table43[[#This Row],[ISI/CTN]]</f>
        <v>0</v>
      </c>
      <c r="BA213" s="89" t="e">
        <f>(Table43[[#This Row],[Harga Jual Pcs GT
(-PPN)]]-Table43[[#This Row],[Harga Beli Pcs
(-PPN)]])/Table43[[#This Row],[Harga Jual Pcs GT
(-PPN)]]</f>
        <v>#DIV/0!</v>
      </c>
      <c r="BB213" s="90">
        <f>Table43[[#This Row],[Harga Jual Pcs MT
(-PPN)]]-Table43[[#This Row],[Harga Beli Pcs
(-PPN)]]</f>
        <v>0</v>
      </c>
      <c r="BC213" s="91" t="e">
        <f>Table43[[#This Row],[Column1]]/Table43[[#This Row],[Harga Jual Pcs MT
(-PPN)]]</f>
        <v>#DIV/0!</v>
      </c>
      <c r="BD213" s="86"/>
      <c r="BE213" s="72"/>
      <c r="BF213" s="72" t="str">
        <f ca="1">IF(TODAY()-Table43[[#This Row],[Efektif
Pembuatan]]&gt;60,"Lama","Baru")</f>
        <v>Lama</v>
      </c>
      <c r="BG213" s="72" t="str">
        <f ca="1">IF(TODAY()-Table43[[#This Row],[Efektif Naik Harga]]&lt;30,"Naik","Sama")</f>
        <v>Sama</v>
      </c>
      <c r="BH213" s="72"/>
      <c r="BI213" s="72" t="str">
        <f>IF(Table43[[#This Row],[Kode BARANG Win2]]&lt;&gt;"","IDR","")</f>
        <v>IDR</v>
      </c>
      <c r="BJ213" s="72" t="str">
        <f>CONCATENATE(Table43[[#This Row],[kode  1 Digit
(Nomor)]],Table43[[#This Row],[kode  4 Digit                (Nomor)]])</f>
        <v>0028</v>
      </c>
      <c r="BK213" s="72" t="str">
        <f>Table43[[#This Row],[Nama            Gramasi atau Jumlah Pack per CTN]]</f>
        <v>28CM</v>
      </c>
      <c r="BL213" s="72"/>
      <c r="BM213" s="72"/>
      <c r="BN213" s="71" t="str">
        <f>IF(Table43[[#This Row],[SATUAN Fix Win]]&lt;&gt;"","KRT")</f>
        <v>KRT</v>
      </c>
      <c r="BO213" s="71" t="str">
        <f>IF(Table43[[#This Row],[SATUAN Fix Win]]&lt;&gt;"","GD01")</f>
        <v>GD01</v>
      </c>
      <c r="BP213" s="71">
        <f>IF(Table43[[#This Row],[SATUAN Fix Win]]&lt;&gt;"",11611)</f>
        <v>11611</v>
      </c>
      <c r="BQ213" s="71">
        <f>IF(Table43[[#This Row],[SATUAN Fix Win]]&lt;&gt;"",11612)</f>
        <v>11612</v>
      </c>
      <c r="BR213" s="71"/>
      <c r="BS213" s="71">
        <f>IF(Table43[[#This Row],[SATUAN Fix Win]]&lt;&gt;"",1)</f>
        <v>1</v>
      </c>
      <c r="BT213" s="71"/>
      <c r="BU213" s="71">
        <f>Table43[[#This Row],[ISI/CTN]]</f>
        <v>12</v>
      </c>
      <c r="BV213" s="71"/>
      <c r="BW213" s="71"/>
    </row>
    <row r="214" spans="1:75">
      <c r="A214" s="4" t="str">
        <f>CONCATENATE(Table43[[#This Row],[Kode BARANG Win2]],Table43[[#This Row],[No. Urut
Item Sama]])</f>
        <v>G1081101004510</v>
      </c>
      <c r="B214" s="7"/>
      <c r="C214" s="31">
        <v>30180010030000</v>
      </c>
      <c r="D214" s="51">
        <v>40008323</v>
      </c>
      <c r="E214" s="27" t="s">
        <v>1965</v>
      </c>
      <c r="F214" s="51">
        <v>30181020045000</v>
      </c>
      <c r="G214" s="51">
        <v>0</v>
      </c>
      <c r="H214" s="27" t="s">
        <v>1247</v>
      </c>
      <c r="I214" s="27">
        <v>24</v>
      </c>
      <c r="J214" s="51" t="s">
        <v>1656</v>
      </c>
      <c r="K214" s="27" t="str">
        <f>Table43[[#This Row],[NamaJenisKemasan]]</f>
        <v>PCS</v>
      </c>
      <c r="L214" s="4" t="str">
        <f>TRIM(CONCATENATE(Table43[[#This Row],[Nama            KLP]]," ",Table43[[#This Row],[Nama            Sub KLP]]))</f>
        <v>KLINPAK ALUMINIUM FOIL</v>
      </c>
      <c r="M214" s="4" t="str">
        <f>CONCATENATE(Table43[[#This Row],[kode  2 Digit                (hrf+No)]],Table43[[#This Row],[kode  2 Digit                (Nomor)]],Table43[[#This Row],[kode  1 Digit                (Nomor)]])</f>
        <v>G1081</v>
      </c>
      <c r="N214" s="4" t="str">
        <f>IF(AI214="",CONCATENATE(S214,U214,W214,Y214,AA214,AC214,AE214,AG214,Table43[[#This Row],[Tanda Kode Revisi]]),CONCATENATE(S214,U214,W214,Y214,AA214,AC214,AE214,AI214))</f>
        <v>G1081101004510</v>
      </c>
      <c r="O214" s="11">
        <f t="shared" si="4"/>
        <v>14</v>
      </c>
      <c r="P214" s="14" t="str">
        <f>IF(AH214&lt;&gt;"",TRIM(UPPER(CONCATENATE(R214," ",T214," ",V214," ",X214," ",Z214," ",AB214," ","X"," ",Table43[[#This Row],[ISI/CTN]]," ",AH214," ",AD214," ",AF214," ",AJ214))),TRIM(UPPER(CONCATENATE(R214," ",T214," ",V214," ",X214," ",Z214," ",AB214," ","X"," ",Table43[[#This Row],[ISI/CTN]]," ",AD214," ",AF214," ",AJ214))))</f>
        <v>KLINPAK ALUMINIUM FOIL REFILL JUMBO 45CM X 24 PCS</v>
      </c>
      <c r="Q214" s="11">
        <f t="shared" si="5"/>
        <v>49</v>
      </c>
      <c r="S214" s="7" t="s">
        <v>34</v>
      </c>
      <c r="T214" s="4" t="s">
        <v>2293</v>
      </c>
      <c r="U214" s="47" t="s">
        <v>2545</v>
      </c>
      <c r="V214" s="48" t="s">
        <v>2295</v>
      </c>
      <c r="W214" s="7">
        <v>1</v>
      </c>
      <c r="X214" s="48" t="s">
        <v>2231</v>
      </c>
      <c r="Y214" s="47" t="s">
        <v>2539</v>
      </c>
      <c r="Z214" s="4" t="s">
        <v>2296</v>
      </c>
      <c r="AA214" s="49" t="s">
        <v>1115</v>
      </c>
      <c r="AB214" s="4" t="s">
        <v>2297</v>
      </c>
      <c r="AC214" s="49" t="s">
        <v>2626</v>
      </c>
      <c r="AD214" s="4" t="s">
        <v>185</v>
      </c>
      <c r="AE214" s="7">
        <v>1</v>
      </c>
      <c r="AG214" s="7">
        <v>0</v>
      </c>
      <c r="AK214" s="70">
        <f>Table43[[#This Row],[Column4]]</f>
        <v>30181020045000</v>
      </c>
      <c r="AN214" s="7">
        <f>Table43[[#This Row],[ISI/CTN]]</f>
        <v>24</v>
      </c>
      <c r="AO214" s="38">
        <f>Table43[[#This Row],[Harga Jual Pcs GT
(-PPN)]]-(Table43[[#This Row],[Harga Jual Pcs GT
(-PPN)]]*6.5%)</f>
        <v>27311.35</v>
      </c>
      <c r="AP214" s="38">
        <f>Table43[[#This Row],[Harga Beli Pcs
(-PPN)]]*Table43[[#This Row],[ISI/CTN]]</f>
        <v>655472.39999999991</v>
      </c>
      <c r="AQ214" s="38">
        <f>Table43[[#This Row],[Harga Beli Pcs
(-PPN)]]*1.11</f>
        <v>30315.5985</v>
      </c>
      <c r="AR214" s="38">
        <f>Table43[[#This Row],[Harga Beli Krt
(- PPN)]]*1.11</f>
        <v>727574.36399999994</v>
      </c>
      <c r="AS214" s="38">
        <v>29210</v>
      </c>
      <c r="AT214" s="38">
        <f>Table43[[#This Row],[Harga Jual Pcs GT
(-PPN)]]*Table43[[#This Row],[ISI/CTN]]</f>
        <v>701040</v>
      </c>
      <c r="AU214" s="38">
        <f>Table43[[#This Row],[Harga Jual Pcs GT
(-PPN)]]*1.11</f>
        <v>32423.100000000002</v>
      </c>
      <c r="AV214" s="38">
        <f>Table43[[#This Row],[Harga Jual Krt GT
(- PPN)]]*1.11</f>
        <v>778154.4</v>
      </c>
      <c r="AW214" s="38">
        <f>IFERROR(VLOOKUP(Table43[[#This Row],[Kode Pcpl]],'[1]FEB 2026'!$A$3:$X$312,24,0),0)</f>
        <v>0</v>
      </c>
      <c r="AX214" s="38">
        <f>Table43[[#This Row],[Harga Jual Pcs MT
(-PPN)]]*Table43[[#This Row],[ISI/CTN]]</f>
        <v>0</v>
      </c>
      <c r="AY214" s="38">
        <f>Table43[[#This Row],[Harga Jual Pcs MT
(-PPN)]]*1.11</f>
        <v>0</v>
      </c>
      <c r="AZ214" s="38">
        <f>Table43[[#This Row],[Harga Jual Pcs MT
(+PPN)]]*Table43[[#This Row],[ISI/CTN]]</f>
        <v>0</v>
      </c>
      <c r="BA214" s="46">
        <f>(Table43[[#This Row],[Harga Jual Pcs GT
(-PPN)]]-Table43[[#This Row],[Harga Beli Pcs
(-PPN)]])/Table43[[#This Row],[Harga Jual Pcs GT
(-PPN)]]</f>
        <v>6.5000000000000044E-2</v>
      </c>
      <c r="BB214" s="53">
        <f>Table43[[#This Row],[Harga Jual Pcs MT
(-PPN)]]-Table43[[#This Row],[Harga Beli Pcs
(-PPN)]]</f>
        <v>-27311.35</v>
      </c>
      <c r="BC214" s="54" t="e">
        <f>Table43[[#This Row],[Column1]]/Table43[[#This Row],[Harga Jual Pcs MT
(-PPN)]]</f>
        <v>#DIV/0!</v>
      </c>
      <c r="BD214" s="52"/>
      <c r="BE214" s="7"/>
      <c r="BF214" s="7" t="str">
        <f ca="1">IF(TODAY()-Table43[[#This Row],[Efektif
Pembuatan]]&gt;60,"Lama","Baru")</f>
        <v>Lama</v>
      </c>
      <c r="BG214" s="7" t="str">
        <f ca="1">IF(TODAY()-Table43[[#This Row],[Efektif Naik Harga]]&lt;30,"Naik","Sama")</f>
        <v>Sama</v>
      </c>
      <c r="BH214" s="7"/>
      <c r="BI214" s="7" t="str">
        <f>IF(Table43[[#This Row],[Kode BARANG Win2]]&lt;&gt;"","IDR","")</f>
        <v>IDR</v>
      </c>
      <c r="BJ214" s="7" t="str">
        <f>CONCATENATE(Table43[[#This Row],[kode  1 Digit
(Nomor)]],Table43[[#This Row],[kode  4 Digit                (Nomor)]])</f>
        <v>0045</v>
      </c>
      <c r="BK214" s="7" t="str">
        <f>Table43[[#This Row],[Nama            Gramasi atau Jumlah Pack per CTN]]</f>
        <v>45CM</v>
      </c>
      <c r="BL214" s="7"/>
      <c r="BM214" s="7"/>
      <c r="BN214" s="4" t="str">
        <f>IF(Table43[[#This Row],[SATUAN Fix Win]]&lt;&gt;"","KRT")</f>
        <v>KRT</v>
      </c>
      <c r="BO214" s="4" t="str">
        <f>IF(Table43[[#This Row],[SATUAN Fix Win]]&lt;&gt;"","GD01")</f>
        <v>GD01</v>
      </c>
      <c r="BP214" s="4">
        <f>IF(Table43[[#This Row],[SATUAN Fix Win]]&lt;&gt;"",11611)</f>
        <v>11611</v>
      </c>
      <c r="BQ214" s="4">
        <f>IF(Table43[[#This Row],[SATUAN Fix Win]]&lt;&gt;"",11612)</f>
        <v>11612</v>
      </c>
      <c r="BS214" s="4">
        <f>IF(Table43[[#This Row],[SATUAN Fix Win]]&lt;&gt;"",1)</f>
        <v>1</v>
      </c>
      <c r="BU214" s="4">
        <f>Table43[[#This Row],[ISI/CTN]]</f>
        <v>24</v>
      </c>
    </row>
    <row r="215" spans="1:75">
      <c r="A215" s="4" t="str">
        <f>CONCATENATE(Table43[[#This Row],[Kode BARANG Win2]],Table43[[#This Row],[No. Urut
Item Sama]])</f>
        <v>G1082001004510</v>
      </c>
      <c r="B215" s="7"/>
      <c r="C215" s="31">
        <v>30191010030000</v>
      </c>
      <c r="D215" s="51">
        <v>40008330</v>
      </c>
      <c r="E215" s="27" t="s">
        <v>1968</v>
      </c>
      <c r="F215" s="51">
        <v>30190030045000</v>
      </c>
      <c r="G215" s="51">
        <v>0</v>
      </c>
      <c r="H215" s="27" t="s">
        <v>1250</v>
      </c>
      <c r="I215" s="27">
        <v>6</v>
      </c>
      <c r="J215" s="51" t="s">
        <v>1659</v>
      </c>
      <c r="K215" s="27" t="str">
        <f>Table43[[#This Row],[NamaJenisKemasan]]</f>
        <v>PCS</v>
      </c>
      <c r="L215" s="4" t="str">
        <f>TRIM(CONCATENATE(Table43[[#This Row],[Nama            KLP]]," ",Table43[[#This Row],[Nama            Sub KLP]]))</f>
        <v>KLINPAK CLING WRAP</v>
      </c>
      <c r="M215" s="4" t="str">
        <f>CONCATENATE(Table43[[#This Row],[kode  2 Digit                (hrf+No)]],Table43[[#This Row],[kode  2 Digit                (Nomor)]],Table43[[#This Row],[kode  1 Digit                (Nomor)]])</f>
        <v>G1082</v>
      </c>
      <c r="N215" s="4" t="str">
        <f>IF(AI215="",CONCATENATE(S215,U215,W215,Y215,AA215,AC215,AE215,AG215,Table43[[#This Row],[Tanda Kode Revisi]]),CONCATENATE(S215,U215,W215,Y215,AA215,AC215,AE215,AI215))</f>
        <v>G1082001004510</v>
      </c>
      <c r="O215" s="11">
        <f t="shared" si="4"/>
        <v>14</v>
      </c>
      <c r="P215" s="14" t="str">
        <f>IF(AH215&lt;&gt;"",TRIM(UPPER(CONCATENATE(R215," ",T215," ",V215," ",X215," ",Z215," ",AB215," ","X"," ",Table43[[#This Row],[ISI/CTN]]," ",AH215," ",AD215," ",AF215," ",AJ215))),TRIM(UPPER(CONCATENATE(R215," ",T215," ",V215," ",X215," ",Z215," ",AB215," ","X"," ",Table43[[#This Row],[ISI/CTN]]," ",AD215," ",AF215," ",AJ215))))</f>
        <v>KLINPAK CLING WRAP BIG 45CM X 6 PCS</v>
      </c>
      <c r="Q215" s="11">
        <f t="shared" si="5"/>
        <v>35</v>
      </c>
      <c r="S215" s="7" t="s">
        <v>34</v>
      </c>
      <c r="T215" s="4" t="s">
        <v>2293</v>
      </c>
      <c r="U215" s="47" t="s">
        <v>2545</v>
      </c>
      <c r="V215" s="48" t="s">
        <v>2302</v>
      </c>
      <c r="W215" s="7">
        <v>2</v>
      </c>
      <c r="X215" s="48"/>
      <c r="Y215" s="47" t="s">
        <v>1116</v>
      </c>
      <c r="Z215" s="4" t="s">
        <v>2303</v>
      </c>
      <c r="AA215" s="49" t="s">
        <v>1115</v>
      </c>
      <c r="AB215" s="4" t="s">
        <v>2297</v>
      </c>
      <c r="AC215" s="49" t="s">
        <v>2626</v>
      </c>
      <c r="AD215" s="4" t="s">
        <v>185</v>
      </c>
      <c r="AE215" s="7">
        <v>1</v>
      </c>
      <c r="AG215" s="7">
        <v>0</v>
      </c>
      <c r="AK215" s="70">
        <f>Table43[[#This Row],[Column4]]</f>
        <v>30190030045000</v>
      </c>
      <c r="AN215" s="7">
        <f>Table43[[#This Row],[ISI/CTN]]</f>
        <v>6</v>
      </c>
      <c r="AO215" s="38">
        <f>Table43[[#This Row],[Harga Jual Pcs GT
(-PPN)]]-(Table43[[#This Row],[Harga Jual Pcs GT
(-PPN)]]*6.5%)</f>
        <v>207317.55</v>
      </c>
      <c r="AP215" s="38">
        <f>Table43[[#This Row],[Harga Beli Pcs
(-PPN)]]*Table43[[#This Row],[ISI/CTN]]</f>
        <v>1243905.2999999998</v>
      </c>
      <c r="AQ215" s="38">
        <f>Table43[[#This Row],[Harga Beli Pcs
(-PPN)]]*1.11</f>
        <v>230122.48050000001</v>
      </c>
      <c r="AR215" s="38">
        <f>Table43[[#This Row],[Harga Beli Krt
(- PPN)]]*1.11</f>
        <v>1380734.8829999999</v>
      </c>
      <c r="AS215" s="38">
        <v>221730</v>
      </c>
      <c r="AT215" s="38">
        <f>Table43[[#This Row],[Harga Jual Pcs GT
(-PPN)]]*Table43[[#This Row],[ISI/CTN]]</f>
        <v>1330380</v>
      </c>
      <c r="AU215" s="38">
        <f>Table43[[#This Row],[Harga Jual Pcs GT
(-PPN)]]*1.11</f>
        <v>246120.30000000002</v>
      </c>
      <c r="AV215" s="38">
        <f>Table43[[#This Row],[Harga Jual Krt GT
(- PPN)]]*1.11</f>
        <v>1476721.8</v>
      </c>
      <c r="AW215" s="38">
        <f>IFERROR(VLOOKUP(Table43[[#This Row],[Kode Pcpl]],'[1]FEB 2026'!$A$3:$X$312,24,0),0)</f>
        <v>0</v>
      </c>
      <c r="AX215" s="38">
        <f>Table43[[#This Row],[Harga Jual Pcs MT
(-PPN)]]*Table43[[#This Row],[ISI/CTN]]</f>
        <v>0</v>
      </c>
      <c r="AY215" s="38">
        <f>Table43[[#This Row],[Harga Jual Pcs MT
(-PPN)]]*1.11</f>
        <v>0</v>
      </c>
      <c r="AZ215" s="38">
        <f>Table43[[#This Row],[Harga Jual Pcs MT
(+PPN)]]*Table43[[#This Row],[ISI/CTN]]</f>
        <v>0</v>
      </c>
      <c r="BA215" s="46">
        <f>(Table43[[#This Row],[Harga Jual Pcs GT
(-PPN)]]-Table43[[#This Row],[Harga Beli Pcs
(-PPN)]])/Table43[[#This Row],[Harga Jual Pcs GT
(-PPN)]]</f>
        <v>6.5000000000000058E-2</v>
      </c>
      <c r="BB215" s="53">
        <f>Table43[[#This Row],[Harga Jual Pcs MT
(-PPN)]]-Table43[[#This Row],[Harga Beli Pcs
(-PPN)]]</f>
        <v>-207317.55</v>
      </c>
      <c r="BC215" s="54" t="e">
        <f>Table43[[#This Row],[Column1]]/Table43[[#This Row],[Harga Jual Pcs MT
(-PPN)]]</f>
        <v>#DIV/0!</v>
      </c>
      <c r="BD215" s="52"/>
      <c r="BE215" s="7"/>
      <c r="BF215" s="7" t="str">
        <f ca="1">IF(TODAY()-Table43[[#This Row],[Efektif
Pembuatan]]&gt;60,"Lama","Baru")</f>
        <v>Lama</v>
      </c>
      <c r="BG215" s="7" t="str">
        <f ca="1">IF(TODAY()-Table43[[#This Row],[Efektif Naik Harga]]&lt;30,"Naik","Sama")</f>
        <v>Sama</v>
      </c>
      <c r="BH215" s="7"/>
      <c r="BI215" s="7" t="str">
        <f>IF(Table43[[#This Row],[Kode BARANG Win2]]&lt;&gt;"","IDR","")</f>
        <v>IDR</v>
      </c>
      <c r="BJ215" s="7" t="str">
        <f>CONCATENATE(Table43[[#This Row],[kode  1 Digit
(Nomor)]],Table43[[#This Row],[kode  4 Digit                (Nomor)]])</f>
        <v>0045</v>
      </c>
      <c r="BK215" s="7" t="str">
        <f>Table43[[#This Row],[Nama            Gramasi atau Jumlah Pack per CTN]]</f>
        <v>45CM</v>
      </c>
      <c r="BL215" s="7"/>
      <c r="BM215" s="7"/>
      <c r="BN215" s="4" t="str">
        <f>IF(Table43[[#This Row],[SATUAN Fix Win]]&lt;&gt;"","KRT")</f>
        <v>KRT</v>
      </c>
      <c r="BO215" s="4" t="str">
        <f>IF(Table43[[#This Row],[SATUAN Fix Win]]&lt;&gt;"","GD01")</f>
        <v>GD01</v>
      </c>
      <c r="BP215" s="4">
        <f>IF(Table43[[#This Row],[SATUAN Fix Win]]&lt;&gt;"",11611)</f>
        <v>11611</v>
      </c>
      <c r="BQ215" s="4">
        <f>IF(Table43[[#This Row],[SATUAN Fix Win]]&lt;&gt;"",11612)</f>
        <v>11612</v>
      </c>
      <c r="BS215" s="4">
        <f>IF(Table43[[#This Row],[SATUAN Fix Win]]&lt;&gt;"",1)</f>
        <v>1</v>
      </c>
      <c r="BU215" s="4">
        <f>Table43[[#This Row],[ISI/CTN]]</f>
        <v>6</v>
      </c>
    </row>
    <row r="216" spans="1:75">
      <c r="A216" s="4" t="str">
        <f>CONCATENATE(Table43[[#This Row],[Kode BARANG Win2]],Table43[[#This Row],[No. Urut
Item Sama]])</f>
        <v>G1082002003810</v>
      </c>
      <c r="B216" s="7"/>
      <c r="C216" s="31">
        <v>30190010030000</v>
      </c>
      <c r="D216" s="51">
        <v>40008327</v>
      </c>
      <c r="E216" s="27" t="s">
        <v>1967</v>
      </c>
      <c r="F216" s="51">
        <v>30190020038000</v>
      </c>
      <c r="G216" s="51">
        <v>0</v>
      </c>
      <c r="H216" s="27" t="s">
        <v>1249</v>
      </c>
      <c r="I216" s="27">
        <v>12</v>
      </c>
      <c r="J216" s="51" t="s">
        <v>1658</v>
      </c>
      <c r="K216" s="27" t="str">
        <f>Table43[[#This Row],[NamaJenisKemasan]]</f>
        <v>PCS</v>
      </c>
      <c r="L216" s="4" t="str">
        <f>TRIM(CONCATENATE(Table43[[#This Row],[Nama            KLP]]," ",Table43[[#This Row],[Nama            Sub KLP]]))</f>
        <v>KLINPAK CLING WRAP</v>
      </c>
      <c r="M216" s="4" t="str">
        <f>CONCATENATE(Table43[[#This Row],[kode  2 Digit                (hrf+No)]],Table43[[#This Row],[kode  2 Digit                (Nomor)]],Table43[[#This Row],[kode  1 Digit                (Nomor)]])</f>
        <v>G1082</v>
      </c>
      <c r="N216" s="4" t="str">
        <f>IF(AI216="",CONCATENATE(S216,U216,W216,Y216,AA216,AC216,AE216,AG216,Table43[[#This Row],[Tanda Kode Revisi]]),CONCATENATE(S216,U216,W216,Y216,AA216,AC216,AE216,AI216))</f>
        <v>G1082002003810</v>
      </c>
      <c r="O216" s="11">
        <f t="shared" si="4"/>
        <v>14</v>
      </c>
      <c r="P216" s="14" t="str">
        <f>IF(AH216&lt;&gt;"",TRIM(UPPER(CONCATENATE(R216," ",T216," ",V216," ",X216," ",Z216," ",AB216," ","X"," ",Table43[[#This Row],[ISI/CTN]]," ",AH216," ",AD216," ",AF216," ",AJ216))),TRIM(UPPER(CONCATENATE(R216," ",T216," ",V216," ",X216," ",Z216," ",AB216," ","X"," ",Table43[[#This Row],[ISI/CTN]]," ",AD216," ",AF216," ",AJ216))))</f>
        <v>KLINPAK CLING WRAP JUMBO 38CM X 12 PCS</v>
      </c>
      <c r="Q216" s="11">
        <f t="shared" si="5"/>
        <v>38</v>
      </c>
      <c r="S216" s="7" t="s">
        <v>34</v>
      </c>
      <c r="T216" s="4" t="s">
        <v>2293</v>
      </c>
      <c r="U216" s="47" t="s">
        <v>2545</v>
      </c>
      <c r="V216" s="48" t="s">
        <v>2302</v>
      </c>
      <c r="W216" s="7">
        <v>2</v>
      </c>
      <c r="X216" s="48"/>
      <c r="Y216" s="47" t="s">
        <v>1116</v>
      </c>
      <c r="Z216" s="4" t="s">
        <v>2296</v>
      </c>
      <c r="AA216" s="49" t="s">
        <v>2459</v>
      </c>
      <c r="AB216" s="4" t="s">
        <v>2307</v>
      </c>
      <c r="AC216" s="49" t="s">
        <v>2622</v>
      </c>
      <c r="AD216" s="4" t="s">
        <v>185</v>
      </c>
      <c r="AE216" s="7">
        <v>1</v>
      </c>
      <c r="AG216" s="7">
        <v>0</v>
      </c>
      <c r="AK216" s="70">
        <f>Table43[[#This Row],[Column4]]</f>
        <v>30190020038000</v>
      </c>
      <c r="AN216" s="7">
        <f>Table43[[#This Row],[ISI/CTN]]</f>
        <v>12</v>
      </c>
      <c r="AO216" s="38">
        <f>Table43[[#This Row],[Harga Jual Pcs GT
(-PPN)]]-(Table43[[#This Row],[Harga Jual Pcs GT
(-PPN)]]*6.5%)</f>
        <v>33370.15</v>
      </c>
      <c r="AP216" s="38">
        <f>Table43[[#This Row],[Harga Beli Pcs
(-PPN)]]*Table43[[#This Row],[ISI/CTN]]</f>
        <v>400441.80000000005</v>
      </c>
      <c r="AQ216" s="38">
        <f>Table43[[#This Row],[Harga Beli Pcs
(-PPN)]]*1.11</f>
        <v>37040.866500000004</v>
      </c>
      <c r="AR216" s="38">
        <f>Table43[[#This Row],[Harga Beli Krt
(- PPN)]]*1.11</f>
        <v>444490.3980000001</v>
      </c>
      <c r="AS216" s="38">
        <v>35690</v>
      </c>
      <c r="AT216" s="38">
        <f>Table43[[#This Row],[Harga Jual Pcs GT
(-PPN)]]*Table43[[#This Row],[ISI/CTN]]</f>
        <v>428280</v>
      </c>
      <c r="AU216" s="38">
        <f>Table43[[#This Row],[Harga Jual Pcs GT
(-PPN)]]*1.11</f>
        <v>39615.9</v>
      </c>
      <c r="AV216" s="38">
        <f>Table43[[#This Row],[Harga Jual Krt GT
(- PPN)]]*1.11</f>
        <v>475390.80000000005</v>
      </c>
      <c r="AW216" s="38">
        <f>IFERROR(VLOOKUP(Table43[[#This Row],[Kode Pcpl]],'[1]FEB 2026'!$A$3:$X$312,24,0),0)</f>
        <v>0</v>
      </c>
      <c r="AX216" s="38">
        <f>Table43[[#This Row],[Harga Jual Pcs MT
(-PPN)]]*Table43[[#This Row],[ISI/CTN]]</f>
        <v>0</v>
      </c>
      <c r="AY216" s="38">
        <f>Table43[[#This Row],[Harga Jual Pcs MT
(-PPN)]]*1.11</f>
        <v>0</v>
      </c>
      <c r="AZ216" s="38">
        <f>Table43[[#This Row],[Harga Jual Pcs MT
(+PPN)]]*Table43[[#This Row],[ISI/CTN]]</f>
        <v>0</v>
      </c>
      <c r="BA216" s="46">
        <f>(Table43[[#This Row],[Harga Jual Pcs GT
(-PPN)]]-Table43[[#This Row],[Harga Beli Pcs
(-PPN)]])/Table43[[#This Row],[Harga Jual Pcs GT
(-PPN)]]</f>
        <v>6.4999999999999961E-2</v>
      </c>
      <c r="BB216" s="53">
        <f>Table43[[#This Row],[Harga Jual Pcs MT
(-PPN)]]-Table43[[#This Row],[Harga Beli Pcs
(-PPN)]]</f>
        <v>-33370.15</v>
      </c>
      <c r="BC216" s="54" t="e">
        <f>Table43[[#This Row],[Column1]]/Table43[[#This Row],[Harga Jual Pcs MT
(-PPN)]]</f>
        <v>#DIV/0!</v>
      </c>
      <c r="BD216" s="52"/>
      <c r="BE216" s="7"/>
      <c r="BF216" s="7" t="str">
        <f ca="1">IF(TODAY()-Table43[[#This Row],[Efektif
Pembuatan]]&gt;60,"Lama","Baru")</f>
        <v>Lama</v>
      </c>
      <c r="BG216" s="7" t="str">
        <f ca="1">IF(TODAY()-Table43[[#This Row],[Efektif Naik Harga]]&lt;30,"Naik","Sama")</f>
        <v>Sama</v>
      </c>
      <c r="BH216" s="7"/>
      <c r="BI216" s="7" t="str">
        <f>IF(Table43[[#This Row],[Kode BARANG Win2]]&lt;&gt;"","IDR","")</f>
        <v>IDR</v>
      </c>
      <c r="BJ216" s="7" t="str">
        <f>CONCATENATE(Table43[[#This Row],[kode  1 Digit
(Nomor)]],Table43[[#This Row],[kode  4 Digit                (Nomor)]])</f>
        <v>0038</v>
      </c>
      <c r="BK216" s="7" t="str">
        <f>Table43[[#This Row],[Nama            Gramasi atau Jumlah Pack per CTN]]</f>
        <v>38CM</v>
      </c>
      <c r="BL216" s="7"/>
      <c r="BM216" s="7"/>
      <c r="BN216" s="4" t="str">
        <f>IF(Table43[[#This Row],[SATUAN Fix Win]]&lt;&gt;"","KRT")</f>
        <v>KRT</v>
      </c>
      <c r="BO216" s="4" t="str">
        <f>IF(Table43[[#This Row],[SATUAN Fix Win]]&lt;&gt;"","GD01")</f>
        <v>GD01</v>
      </c>
      <c r="BP216" s="4">
        <f>IF(Table43[[#This Row],[SATUAN Fix Win]]&lt;&gt;"",11611)</f>
        <v>11611</v>
      </c>
      <c r="BQ216" s="4">
        <f>IF(Table43[[#This Row],[SATUAN Fix Win]]&lt;&gt;"",11612)</f>
        <v>11612</v>
      </c>
      <c r="BS216" s="4">
        <f>IF(Table43[[#This Row],[SATUAN Fix Win]]&lt;&gt;"",1)</f>
        <v>1</v>
      </c>
      <c r="BU216" s="4">
        <f>Table43[[#This Row],[ISI/CTN]]</f>
        <v>12</v>
      </c>
    </row>
    <row r="217" spans="1:75">
      <c r="A217" s="4" t="str">
        <f>CONCATENATE(Table43[[#This Row],[Kode BARANG Win2]],Table43[[#This Row],[No. Urut
Item Sama]])</f>
        <v>G1082003003010</v>
      </c>
      <c r="B217" s="7"/>
      <c r="C217" s="31">
        <v>30181020045000</v>
      </c>
      <c r="D217" s="51">
        <v>40008325</v>
      </c>
      <c r="E217" s="27" t="s">
        <v>1966</v>
      </c>
      <c r="F217" s="51">
        <v>30190010030000</v>
      </c>
      <c r="G217" s="51">
        <v>0</v>
      </c>
      <c r="H217" s="27" t="s">
        <v>1248</v>
      </c>
      <c r="I217" s="27">
        <v>12</v>
      </c>
      <c r="J217" s="51" t="s">
        <v>1657</v>
      </c>
      <c r="K217" s="27" t="str">
        <f>Table43[[#This Row],[NamaJenisKemasan]]</f>
        <v>PCS</v>
      </c>
      <c r="L217" s="4" t="str">
        <f>TRIM(CONCATENATE(Table43[[#This Row],[Nama            KLP]]," ",Table43[[#This Row],[Nama            Sub KLP]]))</f>
        <v>KLINPAK CLING WRAP</v>
      </c>
      <c r="M217" s="4" t="str">
        <f>CONCATENATE(Table43[[#This Row],[kode  2 Digit                (hrf+No)]],Table43[[#This Row],[kode  2 Digit                (Nomor)]],Table43[[#This Row],[kode  1 Digit                (Nomor)]])</f>
        <v>G1082</v>
      </c>
      <c r="N217" s="4" t="str">
        <f>IF(AI217="",CONCATENATE(S217,U217,W217,Y217,AA217,AC217,AE217,AG217,Table43[[#This Row],[Tanda Kode Revisi]]),CONCATENATE(S217,U217,W217,Y217,AA217,AC217,AE217,AI217))</f>
        <v>G1082003003010</v>
      </c>
      <c r="O217" s="11">
        <f t="shared" si="4"/>
        <v>14</v>
      </c>
      <c r="P217" s="14" t="str">
        <f>IF(AH217&lt;&gt;"",TRIM(UPPER(CONCATENATE(R217," ",T217," ",V217," ",X217," ",Z217," ",AB217," ","X"," ",Table43[[#This Row],[ISI/CTN]]," ",AH217," ",AD217," ",AF217," ",AJ217))),TRIM(UPPER(CONCATENATE(R217," ",T217," ",V217," ",X217," ",Z217," ",AB217," ","X"," ",Table43[[#This Row],[ISI/CTN]]," ",AD217," ",AF217," ",AJ217))))</f>
        <v>KLINPAK CLING WRAP REGULER 30CM X 12 PCS</v>
      </c>
      <c r="Q217" s="11">
        <f t="shared" si="5"/>
        <v>40</v>
      </c>
      <c r="S217" s="7" t="s">
        <v>34</v>
      </c>
      <c r="T217" s="4" t="s">
        <v>2293</v>
      </c>
      <c r="U217" s="47" t="s">
        <v>2545</v>
      </c>
      <c r="V217" s="48" t="s">
        <v>2302</v>
      </c>
      <c r="W217" s="7">
        <v>2</v>
      </c>
      <c r="X217" s="48"/>
      <c r="Y217" s="47" t="s">
        <v>1116</v>
      </c>
      <c r="Z217" s="4" t="s">
        <v>2308</v>
      </c>
      <c r="AA217" s="49" t="s">
        <v>2538</v>
      </c>
      <c r="AB217" s="4" t="s">
        <v>2298</v>
      </c>
      <c r="AC217" s="49" t="s">
        <v>2617</v>
      </c>
      <c r="AD217" s="4" t="s">
        <v>185</v>
      </c>
      <c r="AE217" s="7">
        <v>1</v>
      </c>
      <c r="AG217" s="7">
        <v>0</v>
      </c>
      <c r="AK217" s="70">
        <f>Table43[[#This Row],[Column4]]</f>
        <v>30190010030000</v>
      </c>
      <c r="AN217" s="7">
        <f>Table43[[#This Row],[ISI/CTN]]</f>
        <v>12</v>
      </c>
      <c r="AO217" s="38">
        <f>Table43[[#This Row],[Harga Jual Pcs GT
(-PPN)]]-(Table43[[#This Row],[Harga Jual Pcs GT
(-PPN)]]*6.5%)</f>
        <v>20944</v>
      </c>
      <c r="AP217" s="38">
        <f>Table43[[#This Row],[Harga Beli Pcs
(-PPN)]]*Table43[[#This Row],[ISI/CTN]]</f>
        <v>251328</v>
      </c>
      <c r="AQ217" s="38">
        <f>Table43[[#This Row],[Harga Beli Pcs
(-PPN)]]*1.11</f>
        <v>23247.840000000004</v>
      </c>
      <c r="AR217" s="38">
        <f>Table43[[#This Row],[Harga Beli Krt
(- PPN)]]*1.11</f>
        <v>278974.08000000002</v>
      </c>
      <c r="AS217" s="38">
        <v>22400</v>
      </c>
      <c r="AT217" s="38">
        <f>Table43[[#This Row],[Harga Jual Pcs GT
(-PPN)]]*Table43[[#This Row],[ISI/CTN]]</f>
        <v>268800</v>
      </c>
      <c r="AU217" s="38">
        <f>Table43[[#This Row],[Harga Jual Pcs GT
(-PPN)]]*1.11</f>
        <v>24864.000000000004</v>
      </c>
      <c r="AV217" s="38">
        <f>Table43[[#This Row],[Harga Jual Krt GT
(- PPN)]]*1.11</f>
        <v>298368</v>
      </c>
      <c r="AW217" s="38">
        <f>IFERROR(VLOOKUP(Table43[[#This Row],[Kode Pcpl]],'[1]FEB 2026'!$A$3:$X$312,24,0),0)</f>
        <v>0</v>
      </c>
      <c r="AX217" s="38">
        <f>Table43[[#This Row],[Harga Jual Pcs MT
(-PPN)]]*Table43[[#This Row],[ISI/CTN]]</f>
        <v>0</v>
      </c>
      <c r="AY217" s="38">
        <f>Table43[[#This Row],[Harga Jual Pcs MT
(-PPN)]]*1.11</f>
        <v>0</v>
      </c>
      <c r="AZ217" s="38">
        <f>Table43[[#This Row],[Harga Jual Pcs MT
(+PPN)]]*Table43[[#This Row],[ISI/CTN]]</f>
        <v>0</v>
      </c>
      <c r="BA217" s="46">
        <f>(Table43[[#This Row],[Harga Jual Pcs GT
(-PPN)]]-Table43[[#This Row],[Harga Beli Pcs
(-PPN)]])/Table43[[#This Row],[Harga Jual Pcs GT
(-PPN)]]</f>
        <v>6.5000000000000002E-2</v>
      </c>
      <c r="BB217" s="53">
        <f>Table43[[#This Row],[Harga Jual Pcs MT
(-PPN)]]-Table43[[#This Row],[Harga Beli Pcs
(-PPN)]]</f>
        <v>-20944</v>
      </c>
      <c r="BC217" s="54" t="e">
        <f>Table43[[#This Row],[Column1]]/Table43[[#This Row],[Harga Jual Pcs MT
(-PPN)]]</f>
        <v>#DIV/0!</v>
      </c>
      <c r="BD217" s="52"/>
      <c r="BE217" s="7"/>
      <c r="BF217" s="7" t="str">
        <f ca="1">IF(TODAY()-Table43[[#This Row],[Efektif
Pembuatan]]&gt;60,"Lama","Baru")</f>
        <v>Lama</v>
      </c>
      <c r="BG217" s="7" t="str">
        <f ca="1">IF(TODAY()-Table43[[#This Row],[Efektif Naik Harga]]&lt;30,"Naik","Sama")</f>
        <v>Sama</v>
      </c>
      <c r="BH217" s="7"/>
      <c r="BI217" s="7" t="str">
        <f>IF(Table43[[#This Row],[Kode BARANG Win2]]&lt;&gt;"","IDR","")</f>
        <v>IDR</v>
      </c>
      <c r="BJ217" s="7" t="str">
        <f>CONCATENATE(Table43[[#This Row],[kode  1 Digit
(Nomor)]],Table43[[#This Row],[kode  4 Digit                (Nomor)]])</f>
        <v>0030</v>
      </c>
      <c r="BK217" s="7" t="str">
        <f>Table43[[#This Row],[Nama            Gramasi atau Jumlah Pack per CTN]]</f>
        <v>30CM</v>
      </c>
      <c r="BL217" s="7"/>
      <c r="BM217" s="7"/>
      <c r="BN217" s="4" t="str">
        <f>IF(Table43[[#This Row],[SATUAN Fix Win]]&lt;&gt;"","KRT")</f>
        <v>KRT</v>
      </c>
      <c r="BO217" s="4" t="str">
        <f>IF(Table43[[#This Row],[SATUAN Fix Win]]&lt;&gt;"","GD01")</f>
        <v>GD01</v>
      </c>
      <c r="BP217" s="4">
        <f>IF(Table43[[#This Row],[SATUAN Fix Win]]&lt;&gt;"",11611)</f>
        <v>11611</v>
      </c>
      <c r="BQ217" s="4">
        <f>IF(Table43[[#This Row],[SATUAN Fix Win]]&lt;&gt;"",11612)</f>
        <v>11612</v>
      </c>
      <c r="BS217" s="4">
        <f>IF(Table43[[#This Row],[SATUAN Fix Win]]&lt;&gt;"",1)</f>
        <v>1</v>
      </c>
      <c r="BU217" s="4">
        <f>Table43[[#This Row],[ISI/CTN]]</f>
        <v>12</v>
      </c>
    </row>
    <row r="218" spans="1:75">
      <c r="A218" s="4" t="str">
        <f>CONCATENATE(Table43[[#This Row],[Kode BARANG Win2]],Table43[[#This Row],[No. Urut
Item Sama]])</f>
        <v>G1082101003810</v>
      </c>
      <c r="B218" s="7"/>
      <c r="C218" s="31">
        <v>30190030045000</v>
      </c>
      <c r="D218" s="51">
        <v>40008328</v>
      </c>
      <c r="E218" s="27" t="s">
        <v>1970</v>
      </c>
      <c r="F218" s="51">
        <v>30191020038000</v>
      </c>
      <c r="G218" s="51">
        <v>0</v>
      </c>
      <c r="H218" s="27" t="s">
        <v>1252</v>
      </c>
      <c r="I218" s="27">
        <v>24</v>
      </c>
      <c r="J218" s="51" t="s">
        <v>1661</v>
      </c>
      <c r="K218" s="27" t="str">
        <f>Table43[[#This Row],[NamaJenisKemasan]]</f>
        <v>PCS</v>
      </c>
      <c r="L218" s="4" t="str">
        <f>TRIM(CONCATENATE(Table43[[#This Row],[Nama            KLP]]," ",Table43[[#This Row],[Nama            Sub KLP]]))</f>
        <v>KLINPAK CLING WRAP</v>
      </c>
      <c r="M218" s="4" t="str">
        <f>CONCATENATE(Table43[[#This Row],[kode  2 Digit                (hrf+No)]],Table43[[#This Row],[kode  2 Digit                (Nomor)]],Table43[[#This Row],[kode  1 Digit                (Nomor)]])</f>
        <v>G1082</v>
      </c>
      <c r="N218" s="4" t="str">
        <f>IF(AI218="",CONCATENATE(S218,U218,W218,Y218,AA218,AC218,AE218,AG218,Table43[[#This Row],[Tanda Kode Revisi]]),CONCATENATE(S218,U218,W218,Y218,AA218,AC218,AE218,AI218))</f>
        <v>G1082101003810</v>
      </c>
      <c r="O218" s="11">
        <f t="shared" si="4"/>
        <v>14</v>
      </c>
      <c r="P218" s="14" t="str">
        <f>IF(AH218&lt;&gt;"",TRIM(UPPER(CONCATENATE(R218," ",T218," ",V218," ",X218," ",Z218," ",AB218," ","X"," ",Table43[[#This Row],[ISI/CTN]]," ",AH218," ",AD218," ",AF218," ",AJ218))),TRIM(UPPER(CONCATENATE(R218," ",T218," ",V218," ",X218," ",Z218," ",AB218," ","X"," ",Table43[[#This Row],[ISI/CTN]]," ",AD218," ",AF218," ",AJ218))))</f>
        <v>KLINPAK CLING WRAP REFILL JUMBO 38CM X 24 PCS</v>
      </c>
      <c r="Q218" s="11">
        <f t="shared" si="5"/>
        <v>45</v>
      </c>
      <c r="S218" s="7" t="s">
        <v>34</v>
      </c>
      <c r="T218" s="4" t="s">
        <v>2293</v>
      </c>
      <c r="U218" s="47" t="s">
        <v>2545</v>
      </c>
      <c r="V218" s="48" t="s">
        <v>2302</v>
      </c>
      <c r="W218" s="7">
        <v>2</v>
      </c>
      <c r="X218" s="48" t="s">
        <v>2231</v>
      </c>
      <c r="Y218" s="47" t="s">
        <v>2539</v>
      </c>
      <c r="Z218" s="4" t="s">
        <v>2296</v>
      </c>
      <c r="AA218" s="49" t="s">
        <v>1115</v>
      </c>
      <c r="AB218" s="4" t="s">
        <v>2307</v>
      </c>
      <c r="AC218" s="49" t="s">
        <v>2622</v>
      </c>
      <c r="AD218" s="4" t="s">
        <v>185</v>
      </c>
      <c r="AE218" s="7">
        <v>1</v>
      </c>
      <c r="AG218" s="7">
        <v>0</v>
      </c>
      <c r="AK218" s="70">
        <f>Table43[[#This Row],[Column4]]</f>
        <v>30191020038000</v>
      </c>
      <c r="AN218" s="7">
        <f>Table43[[#This Row],[ISI/CTN]]</f>
        <v>24</v>
      </c>
      <c r="AO218" s="38">
        <f>Table43[[#This Row],[Harga Jual Pcs GT
(-PPN)]]-(Table43[[#This Row],[Harga Jual Pcs GT
(-PPN)]]*6.5%)</f>
        <v>23870.55</v>
      </c>
      <c r="AP218" s="38">
        <f>Table43[[#This Row],[Harga Beli Pcs
(-PPN)]]*Table43[[#This Row],[ISI/CTN]]</f>
        <v>572893.19999999995</v>
      </c>
      <c r="AQ218" s="38">
        <f>Table43[[#This Row],[Harga Beli Pcs
(-PPN)]]*1.11</f>
        <v>26496.310500000003</v>
      </c>
      <c r="AR218" s="38">
        <f>Table43[[#This Row],[Harga Beli Krt
(- PPN)]]*1.11</f>
        <v>635911.45200000005</v>
      </c>
      <c r="AS218" s="38">
        <v>25530</v>
      </c>
      <c r="AT218" s="38">
        <f>Table43[[#This Row],[Harga Jual Pcs GT
(-PPN)]]*Table43[[#This Row],[ISI/CTN]]</f>
        <v>612720</v>
      </c>
      <c r="AU218" s="38">
        <f>Table43[[#This Row],[Harga Jual Pcs GT
(-PPN)]]*1.11</f>
        <v>28338.300000000003</v>
      </c>
      <c r="AV218" s="38">
        <f>Table43[[#This Row],[Harga Jual Krt GT
(- PPN)]]*1.11</f>
        <v>680119.20000000007</v>
      </c>
      <c r="AW218" s="38">
        <f>IFERROR(VLOOKUP(Table43[[#This Row],[Kode Pcpl]],'[1]FEB 2026'!$A$3:$X$312,24,0),0)</f>
        <v>0</v>
      </c>
      <c r="AX218" s="38">
        <f>Table43[[#This Row],[Harga Jual Pcs MT
(-PPN)]]*Table43[[#This Row],[ISI/CTN]]</f>
        <v>0</v>
      </c>
      <c r="AY218" s="38">
        <f>Table43[[#This Row],[Harga Jual Pcs MT
(-PPN)]]*1.11</f>
        <v>0</v>
      </c>
      <c r="AZ218" s="38">
        <f>Table43[[#This Row],[Harga Jual Pcs MT
(+PPN)]]*Table43[[#This Row],[ISI/CTN]]</f>
        <v>0</v>
      </c>
      <c r="BA218" s="46">
        <f>(Table43[[#This Row],[Harga Jual Pcs GT
(-PPN)]]-Table43[[#This Row],[Harga Beli Pcs
(-PPN)]])/Table43[[#This Row],[Harga Jual Pcs GT
(-PPN)]]</f>
        <v>6.500000000000003E-2</v>
      </c>
      <c r="BB218" s="53">
        <f>Table43[[#This Row],[Harga Jual Pcs MT
(-PPN)]]-Table43[[#This Row],[Harga Beli Pcs
(-PPN)]]</f>
        <v>-23870.55</v>
      </c>
      <c r="BC218" s="54" t="e">
        <f>Table43[[#This Row],[Column1]]/Table43[[#This Row],[Harga Jual Pcs MT
(-PPN)]]</f>
        <v>#DIV/0!</v>
      </c>
      <c r="BD218" s="52"/>
      <c r="BE218" s="7"/>
      <c r="BF218" s="7" t="str">
        <f ca="1">IF(TODAY()-Table43[[#This Row],[Efektif
Pembuatan]]&gt;60,"Lama","Baru")</f>
        <v>Lama</v>
      </c>
      <c r="BG218" s="7" t="str">
        <f ca="1">IF(TODAY()-Table43[[#This Row],[Efektif Naik Harga]]&lt;30,"Naik","Sama")</f>
        <v>Sama</v>
      </c>
      <c r="BH218" s="7"/>
      <c r="BI218" s="7" t="str">
        <f>IF(Table43[[#This Row],[Kode BARANG Win2]]&lt;&gt;"","IDR","")</f>
        <v>IDR</v>
      </c>
      <c r="BJ218" s="7" t="str">
        <f>CONCATENATE(Table43[[#This Row],[kode  1 Digit
(Nomor)]],Table43[[#This Row],[kode  4 Digit                (Nomor)]])</f>
        <v>0038</v>
      </c>
      <c r="BK218" s="7" t="str">
        <f>Table43[[#This Row],[Nama            Gramasi atau Jumlah Pack per CTN]]</f>
        <v>38CM</v>
      </c>
      <c r="BL218" s="7"/>
      <c r="BM218" s="7"/>
      <c r="BN218" s="4" t="str">
        <f>IF(Table43[[#This Row],[SATUAN Fix Win]]&lt;&gt;"","KRT")</f>
        <v>KRT</v>
      </c>
      <c r="BO218" s="4" t="str">
        <f>IF(Table43[[#This Row],[SATUAN Fix Win]]&lt;&gt;"","GD01")</f>
        <v>GD01</v>
      </c>
      <c r="BP218" s="4">
        <f>IF(Table43[[#This Row],[SATUAN Fix Win]]&lt;&gt;"",11611)</f>
        <v>11611</v>
      </c>
      <c r="BQ218" s="4">
        <f>IF(Table43[[#This Row],[SATUAN Fix Win]]&lt;&gt;"",11612)</f>
        <v>11612</v>
      </c>
      <c r="BS218" s="4">
        <f>IF(Table43[[#This Row],[SATUAN Fix Win]]&lt;&gt;"",1)</f>
        <v>1</v>
      </c>
      <c r="BU218" s="4">
        <f>Table43[[#This Row],[ISI/CTN]]</f>
        <v>24</v>
      </c>
    </row>
    <row r="219" spans="1:75">
      <c r="A219" s="4" t="str">
        <f>CONCATENATE(Table43[[#This Row],[Kode BARANG Win2]],Table43[[#This Row],[No. Urut
Item Sama]])</f>
        <v>G1082102003010</v>
      </c>
      <c r="B219" s="7"/>
      <c r="C219" s="31">
        <v>30190020038000</v>
      </c>
      <c r="D219" s="59">
        <v>40008326</v>
      </c>
      <c r="E219" s="60" t="s">
        <v>1969</v>
      </c>
      <c r="F219" s="59">
        <v>30191010030000</v>
      </c>
      <c r="G219" s="59">
        <v>0</v>
      </c>
      <c r="H219" s="60" t="s">
        <v>1251</v>
      </c>
      <c r="I219" s="60">
        <v>24</v>
      </c>
      <c r="J219" s="59" t="s">
        <v>1660</v>
      </c>
      <c r="K219" s="60" t="str">
        <f>Table43[[#This Row],[NamaJenisKemasan]]</f>
        <v>PCS</v>
      </c>
      <c r="L219" s="4" t="str">
        <f>TRIM(CONCATENATE(Table43[[#This Row],[Nama            KLP]]," ",Table43[[#This Row],[Nama            Sub KLP]]))</f>
        <v>KLINPAK CLING WRAP</v>
      </c>
      <c r="M219" s="4" t="str">
        <f>CONCATENATE(Table43[[#This Row],[kode  2 Digit                (hrf+No)]],Table43[[#This Row],[kode  2 Digit                (Nomor)]],Table43[[#This Row],[kode  1 Digit                (Nomor)]])</f>
        <v>G1082</v>
      </c>
      <c r="N219" s="4" t="str">
        <f>IF(AI219="",CONCATENATE(S219,U219,W219,Y219,AA219,AC219,AE219,AG219,Table43[[#This Row],[Tanda Kode Revisi]]),CONCATENATE(S219,U219,W219,Y219,AA219,AC219,AE219,AI219))</f>
        <v>G1082102003010</v>
      </c>
      <c r="O219" s="11">
        <f t="shared" si="4"/>
        <v>14</v>
      </c>
      <c r="P219" s="14" t="str">
        <f>IF(AH219&lt;&gt;"",TRIM(UPPER(CONCATENATE(R219," ",T219," ",V219," ",X219," ",Z219," ",AB219," ","X"," ",Table43[[#This Row],[ISI/CTN]]," ",AH219," ",AD219," ",AF219," ",AJ219))),TRIM(UPPER(CONCATENATE(R219," ",T219," ",V219," ",X219," ",Z219," ",AB219," ","X"," ",Table43[[#This Row],[ISI/CTN]]," ",AD219," ",AF219," ",AJ219))))</f>
        <v>KLINPAK CLING WRAP REFILL REGULER 30CM X 24 PCS</v>
      </c>
      <c r="Q219" s="11">
        <f t="shared" si="5"/>
        <v>47</v>
      </c>
      <c r="S219" s="7" t="s">
        <v>34</v>
      </c>
      <c r="T219" s="4" t="s">
        <v>2293</v>
      </c>
      <c r="U219" s="47" t="s">
        <v>2545</v>
      </c>
      <c r="V219" s="48" t="s">
        <v>2302</v>
      </c>
      <c r="W219" s="7">
        <v>2</v>
      </c>
      <c r="X219" s="48" t="s">
        <v>2231</v>
      </c>
      <c r="Y219" s="47" t="s">
        <v>2539</v>
      </c>
      <c r="Z219" s="4" t="s">
        <v>2308</v>
      </c>
      <c r="AA219" s="49" t="s">
        <v>2459</v>
      </c>
      <c r="AB219" s="4" t="s">
        <v>2298</v>
      </c>
      <c r="AC219" s="49" t="s">
        <v>2617</v>
      </c>
      <c r="AD219" s="4" t="s">
        <v>185</v>
      </c>
      <c r="AE219" s="7">
        <v>1</v>
      </c>
      <c r="AG219" s="7">
        <v>0</v>
      </c>
      <c r="AK219" s="70">
        <f>Table43[[#This Row],[Column4]]</f>
        <v>30191010030000</v>
      </c>
      <c r="AN219" s="7">
        <f>Table43[[#This Row],[ISI/CTN]]</f>
        <v>24</v>
      </c>
      <c r="AO219" s="38">
        <f>Table43[[#This Row],[Harga Jual Pcs GT
(-PPN)]]-(Table43[[#This Row],[Harga Jual Pcs GT
(-PPN)]]*6.5%)</f>
        <v>14679.5</v>
      </c>
      <c r="AP219" s="38">
        <f>Table43[[#This Row],[Harga Beli Pcs
(-PPN)]]*Table43[[#This Row],[ISI/CTN]]</f>
        <v>352308</v>
      </c>
      <c r="AQ219" s="38">
        <f>Table43[[#This Row],[Harga Beli Pcs
(-PPN)]]*1.11</f>
        <v>16294.245000000001</v>
      </c>
      <c r="AR219" s="38">
        <f>Table43[[#This Row],[Harga Beli Krt
(- PPN)]]*1.11</f>
        <v>391061.88000000006</v>
      </c>
      <c r="AS219" s="38">
        <v>15700</v>
      </c>
      <c r="AT219" s="38">
        <f>Table43[[#This Row],[Harga Jual Pcs GT
(-PPN)]]*Table43[[#This Row],[ISI/CTN]]</f>
        <v>376800</v>
      </c>
      <c r="AU219" s="38">
        <f>Table43[[#This Row],[Harga Jual Pcs GT
(-PPN)]]*1.11</f>
        <v>17427</v>
      </c>
      <c r="AV219" s="38">
        <f>Table43[[#This Row],[Harga Jual Krt GT
(- PPN)]]*1.11</f>
        <v>418248.00000000006</v>
      </c>
      <c r="AW219" s="38">
        <f>IFERROR(VLOOKUP(Table43[[#This Row],[Kode Pcpl]],'[1]FEB 2026'!$A$3:$X$312,24,0),0)</f>
        <v>0</v>
      </c>
      <c r="AX219" s="38">
        <f>Table43[[#This Row],[Harga Jual Pcs MT
(-PPN)]]*Table43[[#This Row],[ISI/CTN]]</f>
        <v>0</v>
      </c>
      <c r="AY219" s="38">
        <f>Table43[[#This Row],[Harga Jual Pcs MT
(-PPN)]]*1.11</f>
        <v>0</v>
      </c>
      <c r="AZ219" s="38">
        <f>Table43[[#This Row],[Harga Jual Pcs MT
(+PPN)]]*Table43[[#This Row],[ISI/CTN]]</f>
        <v>0</v>
      </c>
      <c r="BA219" s="46">
        <f>(Table43[[#This Row],[Harga Jual Pcs GT
(-PPN)]]-Table43[[#This Row],[Harga Beli Pcs
(-PPN)]])/Table43[[#This Row],[Harga Jual Pcs GT
(-PPN)]]</f>
        <v>6.5000000000000002E-2</v>
      </c>
      <c r="BB219" s="53">
        <f>Table43[[#This Row],[Harga Jual Pcs MT
(-PPN)]]-Table43[[#This Row],[Harga Beli Pcs
(-PPN)]]</f>
        <v>-14679.5</v>
      </c>
      <c r="BC219" s="54" t="e">
        <f>Table43[[#This Row],[Column1]]/Table43[[#This Row],[Harga Jual Pcs MT
(-PPN)]]</f>
        <v>#DIV/0!</v>
      </c>
      <c r="BD219" s="52"/>
      <c r="BE219" s="7"/>
      <c r="BF219" s="7" t="str">
        <f ca="1">IF(TODAY()-Table43[[#This Row],[Efektif
Pembuatan]]&gt;60,"Lama","Baru")</f>
        <v>Lama</v>
      </c>
      <c r="BG219" s="7" t="str">
        <f ca="1">IF(TODAY()-Table43[[#This Row],[Efektif Naik Harga]]&lt;30,"Naik","Sama")</f>
        <v>Sama</v>
      </c>
      <c r="BH219" s="7"/>
      <c r="BI219" s="7" t="str">
        <f>IF(Table43[[#This Row],[Kode BARANG Win2]]&lt;&gt;"","IDR","")</f>
        <v>IDR</v>
      </c>
      <c r="BJ219" s="7" t="str">
        <f>CONCATENATE(Table43[[#This Row],[kode  1 Digit
(Nomor)]],Table43[[#This Row],[kode  4 Digit                (Nomor)]])</f>
        <v>0030</v>
      </c>
      <c r="BK219" s="7" t="str">
        <f>Table43[[#This Row],[Nama            Gramasi atau Jumlah Pack per CTN]]</f>
        <v>30CM</v>
      </c>
      <c r="BL219" s="7"/>
      <c r="BM219" s="7"/>
      <c r="BN219" s="4" t="str">
        <f>IF(Table43[[#This Row],[SATUAN Fix Win]]&lt;&gt;"","KRT")</f>
        <v>KRT</v>
      </c>
      <c r="BO219" s="4" t="str">
        <f>IF(Table43[[#This Row],[SATUAN Fix Win]]&lt;&gt;"","GD01")</f>
        <v>GD01</v>
      </c>
      <c r="BP219" s="4">
        <f>IF(Table43[[#This Row],[SATUAN Fix Win]]&lt;&gt;"",11611)</f>
        <v>11611</v>
      </c>
      <c r="BQ219" s="4">
        <f>IF(Table43[[#This Row],[SATUAN Fix Win]]&lt;&gt;"",11612)</f>
        <v>11612</v>
      </c>
      <c r="BS219" s="4">
        <f>IF(Table43[[#This Row],[SATUAN Fix Win]]&lt;&gt;"",1)</f>
        <v>1</v>
      </c>
      <c r="BU219" s="4">
        <f>Table43[[#This Row],[ISI/CTN]]</f>
        <v>24</v>
      </c>
    </row>
    <row r="220" spans="1:75">
      <c r="A220" s="4" t="str">
        <f>CONCATENATE(Table43[[#This Row],[Kode BARANG Win2]],Table43[[#This Row],[No. Urut
Item Sama]])</f>
        <v>G1083001010010</v>
      </c>
      <c r="B220" s="7"/>
      <c r="C220" s="31">
        <v>30191020038000</v>
      </c>
      <c r="D220" s="51">
        <v>40008340</v>
      </c>
      <c r="E220" s="27" t="s">
        <v>1971</v>
      </c>
      <c r="F220" s="51">
        <v>30201010038000</v>
      </c>
      <c r="G220" s="51">
        <v>0</v>
      </c>
      <c r="H220" s="27" t="s">
        <v>1253</v>
      </c>
      <c r="I220" s="27">
        <v>24</v>
      </c>
      <c r="J220" s="51" t="s">
        <v>1662</v>
      </c>
      <c r="K220" s="27" t="str">
        <f>Table43[[#This Row],[NamaJenisKemasan]]</f>
        <v>PCS</v>
      </c>
      <c r="L220" s="4" t="str">
        <f>TRIM(CONCATENATE(Table43[[#This Row],[Nama            KLP]]," ",Table43[[#This Row],[Nama            Sub KLP]]))</f>
        <v>KLINPAK KANTONG PLASTIK</v>
      </c>
      <c r="M220" s="4" t="str">
        <f>CONCATENATE(Table43[[#This Row],[kode  2 Digit                (hrf+No)]],Table43[[#This Row],[kode  2 Digit                (Nomor)]],Table43[[#This Row],[kode  1 Digit                (Nomor)]])</f>
        <v>G1083</v>
      </c>
      <c r="N220" s="4" t="str">
        <f>IF(AI220="",CONCATENATE(S220,U220,W220,Y220,AA220,AC220,AE220,AG220,Table43[[#This Row],[Tanda Kode Revisi]]),CONCATENATE(S220,U220,W220,Y220,AA220,AC220,AE220,AI220))</f>
        <v>G1083001010010</v>
      </c>
      <c r="O220" s="11">
        <f t="shared" si="4"/>
        <v>14</v>
      </c>
      <c r="P220" s="14" t="str">
        <f>IF(AH220&lt;&gt;"",TRIM(UPPER(CONCATENATE(R220," ",T220," ",V220," ",X220," ",Z220," ",AB220," ","X"," ",Table43[[#This Row],[ISI/CTN]]," ",AH220," ",AD220," ",AF220," ",AJ220))),TRIM(UPPER(CONCATENATE(R220," ",T220," ",V220," ",X220," ",Z220," ",AB220," ","X"," ",Table43[[#This Row],[ISI/CTN]]," ",AD220," ",AF220," ",AJ220))))</f>
        <v>KLINPAK KANTONG PLASTIK SERBAGUNA 38CM X 24 PCS</v>
      </c>
      <c r="Q220" s="11">
        <f t="shared" si="5"/>
        <v>47</v>
      </c>
      <c r="S220" s="7" t="s">
        <v>34</v>
      </c>
      <c r="T220" s="4" t="s">
        <v>2293</v>
      </c>
      <c r="U220" s="47" t="s">
        <v>2545</v>
      </c>
      <c r="V220" s="48" t="s">
        <v>2309</v>
      </c>
      <c r="W220" s="7">
        <v>3</v>
      </c>
      <c r="X220" s="48"/>
      <c r="Y220" s="47" t="s">
        <v>1116</v>
      </c>
      <c r="Z220" s="4" t="s">
        <v>2311</v>
      </c>
      <c r="AA220" s="49" t="s">
        <v>1115</v>
      </c>
      <c r="AB220" s="4" t="s">
        <v>2307</v>
      </c>
      <c r="AC220" s="49" t="s">
        <v>1118</v>
      </c>
      <c r="AD220" s="4" t="s">
        <v>185</v>
      </c>
      <c r="AE220" s="7">
        <v>1</v>
      </c>
      <c r="AG220" s="7">
        <v>0</v>
      </c>
      <c r="AK220" s="70">
        <f>Table43[[#This Row],[Column4]]</f>
        <v>30201010038000</v>
      </c>
      <c r="AN220" s="7">
        <f>Table43[[#This Row],[ISI/CTN]]</f>
        <v>24</v>
      </c>
      <c r="AO220" s="38">
        <f>Table43[[#This Row],[Harga Jual Pcs GT
(-PPN)]]-(Table43[[#This Row],[Harga Jual Pcs GT
(-PPN)]]*6.5%)</f>
        <v>19017.900000000001</v>
      </c>
      <c r="AP220" s="38">
        <f>Table43[[#This Row],[Harga Beli Pcs
(-PPN)]]*Table43[[#This Row],[ISI/CTN]]</f>
        <v>456429.60000000003</v>
      </c>
      <c r="AQ220" s="38">
        <f>Table43[[#This Row],[Harga Beli Pcs
(-PPN)]]*1.11</f>
        <v>21109.869000000002</v>
      </c>
      <c r="AR220" s="38">
        <f>Table43[[#This Row],[Harga Beli Krt
(- PPN)]]*1.11</f>
        <v>506636.85600000009</v>
      </c>
      <c r="AS220" s="38">
        <v>20340</v>
      </c>
      <c r="AT220" s="38">
        <f>Table43[[#This Row],[Harga Jual Pcs GT
(-PPN)]]*Table43[[#This Row],[ISI/CTN]]</f>
        <v>488160</v>
      </c>
      <c r="AU220" s="38">
        <f>Table43[[#This Row],[Harga Jual Pcs GT
(-PPN)]]*1.11</f>
        <v>22577.4</v>
      </c>
      <c r="AV220" s="38">
        <f>Table43[[#This Row],[Harga Jual Krt GT
(- PPN)]]*1.11</f>
        <v>541857.60000000009</v>
      </c>
      <c r="AW220" s="38">
        <f>IFERROR(VLOOKUP(Table43[[#This Row],[Kode Pcpl]],'[1]FEB 2026'!$A$3:$X$312,24,0),0)</f>
        <v>0</v>
      </c>
      <c r="AX220" s="38">
        <f>Table43[[#This Row],[Harga Jual Pcs MT
(-PPN)]]*Table43[[#This Row],[ISI/CTN]]</f>
        <v>0</v>
      </c>
      <c r="AY220" s="38">
        <f>Table43[[#This Row],[Harga Jual Pcs MT
(-PPN)]]*1.11</f>
        <v>0</v>
      </c>
      <c r="AZ220" s="38">
        <f>Table43[[#This Row],[Harga Jual Pcs MT
(+PPN)]]*Table43[[#This Row],[ISI/CTN]]</f>
        <v>0</v>
      </c>
      <c r="BA220" s="46">
        <f>(Table43[[#This Row],[Harga Jual Pcs GT
(-PPN)]]-Table43[[#This Row],[Harga Beli Pcs
(-PPN)]])/Table43[[#This Row],[Harga Jual Pcs GT
(-PPN)]]</f>
        <v>6.4999999999999933E-2</v>
      </c>
      <c r="BB220" s="53">
        <f>Table43[[#This Row],[Harga Jual Pcs MT
(-PPN)]]-Table43[[#This Row],[Harga Beli Pcs
(-PPN)]]</f>
        <v>-19017.900000000001</v>
      </c>
      <c r="BC220" s="54" t="e">
        <f>Table43[[#This Row],[Column1]]/Table43[[#This Row],[Harga Jual Pcs MT
(-PPN)]]</f>
        <v>#DIV/0!</v>
      </c>
      <c r="BD220" s="52"/>
      <c r="BE220" s="7"/>
      <c r="BF220" s="7" t="str">
        <f ca="1">IF(TODAY()-Table43[[#This Row],[Efektif
Pembuatan]]&gt;60,"Lama","Baru")</f>
        <v>Lama</v>
      </c>
      <c r="BG220" s="7" t="str">
        <f ca="1">IF(TODAY()-Table43[[#This Row],[Efektif Naik Harga]]&lt;30,"Naik","Sama")</f>
        <v>Sama</v>
      </c>
      <c r="BH220" s="7"/>
      <c r="BI220" s="7" t="str">
        <f>IF(Table43[[#This Row],[Kode BARANG Win2]]&lt;&gt;"","IDR","")</f>
        <v>IDR</v>
      </c>
      <c r="BJ220" s="7" t="str">
        <f>CONCATENATE(Table43[[#This Row],[kode  1 Digit
(Nomor)]],Table43[[#This Row],[kode  4 Digit                (Nomor)]])</f>
        <v>0100</v>
      </c>
      <c r="BK220" s="7" t="str">
        <f>Table43[[#This Row],[Nama            Gramasi atau Jumlah Pack per CTN]]</f>
        <v>38CM</v>
      </c>
      <c r="BL220" s="7"/>
      <c r="BM220" s="7"/>
      <c r="BN220" s="4" t="str">
        <f>IF(Table43[[#This Row],[SATUAN Fix Win]]&lt;&gt;"","KRT")</f>
        <v>KRT</v>
      </c>
      <c r="BO220" s="4" t="str">
        <f>IF(Table43[[#This Row],[SATUAN Fix Win]]&lt;&gt;"","GD01")</f>
        <v>GD01</v>
      </c>
      <c r="BP220" s="4">
        <f>IF(Table43[[#This Row],[SATUAN Fix Win]]&lt;&gt;"",11611)</f>
        <v>11611</v>
      </c>
      <c r="BQ220" s="4">
        <f>IF(Table43[[#This Row],[SATUAN Fix Win]]&lt;&gt;"",11612)</f>
        <v>11612</v>
      </c>
      <c r="BS220" s="4">
        <f>IF(Table43[[#This Row],[SATUAN Fix Win]]&lt;&gt;"",1)</f>
        <v>1</v>
      </c>
      <c r="BU220" s="4">
        <f>Table43[[#This Row],[ISI/CTN]]</f>
        <v>24</v>
      </c>
    </row>
    <row r="221" spans="1:75">
      <c r="A221" s="4" t="str">
        <f>CONCATENATE(Table43[[#This Row],[Kode BARANG Win2]],Table43[[#This Row],[No. Urut
Item Sama]])</f>
        <v>G1084001010010</v>
      </c>
      <c r="B221" s="7"/>
      <c r="C221" s="31">
        <v>30202020050000</v>
      </c>
      <c r="D221" s="51">
        <v>40008338</v>
      </c>
      <c r="E221" s="27" t="s">
        <v>1974</v>
      </c>
      <c r="F221" s="51">
        <v>30202040100000</v>
      </c>
      <c r="G221" s="51">
        <v>0</v>
      </c>
      <c r="H221" s="27" t="s">
        <v>1256</v>
      </c>
      <c r="I221" s="27">
        <v>24</v>
      </c>
      <c r="J221" s="51" t="s">
        <v>1665</v>
      </c>
      <c r="K221" s="27" t="str">
        <f>Table43[[#This Row],[NamaJenisKemasan]]</f>
        <v>PCS</v>
      </c>
      <c r="L221" s="4" t="str">
        <f>TRIM(CONCATENATE(Table43[[#This Row],[Nama            KLP]]," ",Table43[[#This Row],[Nama            Sub KLP]]))</f>
        <v>KLINPAK KANTONG SAMPAH</v>
      </c>
      <c r="M221" s="4" t="str">
        <f>CONCATENATE(Table43[[#This Row],[kode  2 Digit                (hrf+No)]],Table43[[#This Row],[kode  2 Digit                (Nomor)]],Table43[[#This Row],[kode  1 Digit                (Nomor)]])</f>
        <v>G1084</v>
      </c>
      <c r="N221" s="4" t="str">
        <f>IF(AI221="",CONCATENATE(S221,U221,W221,Y221,AA221,AC221,AE221,AG221,Table43[[#This Row],[Tanda Kode Revisi]]),CONCATENATE(S221,U221,W221,Y221,AA221,AC221,AE221,AI221))</f>
        <v>G1084001010010</v>
      </c>
      <c r="O221" s="11">
        <f t="shared" si="4"/>
        <v>14</v>
      </c>
      <c r="P221" s="14" t="str">
        <f>IF(AH221&lt;&gt;"",TRIM(UPPER(CONCATENATE(R221," ",T221," ",V221," ",X221," ",Z221," ",AB221," ","X"," ",Table43[[#This Row],[ISI/CTN]]," ",AH221," ",AD221," ",AF221," ",AJ221))),TRIM(UPPER(CONCATENATE(R221," ",T221," ",V221," ",X221," ",Z221," ",AB221," ","X"," ",Table43[[#This Row],[ISI/CTN]]," ",AD221," ",AF221," ",AJ221))))</f>
        <v>KLINPAK KANTONG SAMPAH BESAR 100CM X 24 PCS</v>
      </c>
      <c r="Q221" s="11">
        <f t="shared" si="5"/>
        <v>43</v>
      </c>
      <c r="S221" s="7" t="s">
        <v>34</v>
      </c>
      <c r="T221" s="4" t="s">
        <v>2293</v>
      </c>
      <c r="U221" s="47" t="s">
        <v>2545</v>
      </c>
      <c r="V221" s="48" t="s">
        <v>2310</v>
      </c>
      <c r="W221" s="7">
        <v>4</v>
      </c>
      <c r="X221" s="48"/>
      <c r="Y221" s="47" t="s">
        <v>1116</v>
      </c>
      <c r="Z221" s="4" t="s">
        <v>2304</v>
      </c>
      <c r="AA221" s="49" t="s">
        <v>1115</v>
      </c>
      <c r="AB221" s="4" t="s">
        <v>2312</v>
      </c>
      <c r="AC221" s="49" t="s">
        <v>1118</v>
      </c>
      <c r="AD221" s="4" t="s">
        <v>185</v>
      </c>
      <c r="AE221" s="7">
        <v>1</v>
      </c>
      <c r="AG221" s="7">
        <v>0</v>
      </c>
      <c r="AK221" s="70">
        <f>Table43[[#This Row],[Column4]]</f>
        <v>30202040100000</v>
      </c>
      <c r="AN221" s="7">
        <f>Table43[[#This Row],[ISI/CTN]]</f>
        <v>24</v>
      </c>
      <c r="AO221" s="38">
        <f>Table43[[#This Row],[Harga Jual Pcs GT
(-PPN)]]-(Table43[[#This Row],[Harga Jual Pcs GT
(-PPN)]]*6.5%)</f>
        <v>23225.4</v>
      </c>
      <c r="AP221" s="38">
        <f>Table43[[#This Row],[Harga Beli Pcs
(-PPN)]]*Table43[[#This Row],[ISI/CTN]]</f>
        <v>557409.60000000009</v>
      </c>
      <c r="AQ221" s="38">
        <f>Table43[[#This Row],[Harga Beli Pcs
(-PPN)]]*1.11</f>
        <v>25780.194000000003</v>
      </c>
      <c r="AR221" s="38">
        <f>Table43[[#This Row],[Harga Beli Krt
(- PPN)]]*1.11</f>
        <v>618724.65600000019</v>
      </c>
      <c r="AS221" s="38">
        <v>24840</v>
      </c>
      <c r="AT221" s="38">
        <f>Table43[[#This Row],[Harga Jual Pcs GT
(-PPN)]]*Table43[[#This Row],[ISI/CTN]]</f>
        <v>596160</v>
      </c>
      <c r="AU221" s="38">
        <f>Table43[[#This Row],[Harga Jual Pcs GT
(-PPN)]]*1.11</f>
        <v>27572.400000000001</v>
      </c>
      <c r="AV221" s="38">
        <f>Table43[[#This Row],[Harga Jual Krt GT
(- PPN)]]*1.11</f>
        <v>661737.60000000009</v>
      </c>
      <c r="AW221" s="38">
        <f>IFERROR(VLOOKUP(Table43[[#This Row],[Kode Pcpl]],'[1]FEB 2026'!$A$3:$X$312,24,0),0)</f>
        <v>0</v>
      </c>
      <c r="AX221" s="38">
        <f>Table43[[#This Row],[Harga Jual Pcs MT
(-PPN)]]*Table43[[#This Row],[ISI/CTN]]</f>
        <v>0</v>
      </c>
      <c r="AY221" s="38">
        <f>Table43[[#This Row],[Harga Jual Pcs MT
(-PPN)]]*1.11</f>
        <v>0</v>
      </c>
      <c r="AZ221" s="38">
        <f>Table43[[#This Row],[Harga Jual Pcs MT
(+PPN)]]*Table43[[#This Row],[ISI/CTN]]</f>
        <v>0</v>
      </c>
      <c r="BA221" s="46">
        <f>(Table43[[#This Row],[Harga Jual Pcs GT
(-PPN)]]-Table43[[#This Row],[Harga Beli Pcs
(-PPN)]])/Table43[[#This Row],[Harga Jual Pcs GT
(-PPN)]]</f>
        <v>6.4999999999999947E-2</v>
      </c>
      <c r="BB221" s="53">
        <f>Table43[[#This Row],[Harga Jual Pcs MT
(-PPN)]]-Table43[[#This Row],[Harga Beli Pcs
(-PPN)]]</f>
        <v>-23225.4</v>
      </c>
      <c r="BC221" s="54" t="e">
        <f>Table43[[#This Row],[Column1]]/Table43[[#This Row],[Harga Jual Pcs MT
(-PPN)]]</f>
        <v>#DIV/0!</v>
      </c>
      <c r="BD221" s="52"/>
      <c r="BE221" s="7"/>
      <c r="BF221" s="7" t="str">
        <f ca="1">IF(TODAY()-Table43[[#This Row],[Efektif
Pembuatan]]&gt;60,"Lama","Baru")</f>
        <v>Lama</v>
      </c>
      <c r="BG221" s="7" t="str">
        <f ca="1">IF(TODAY()-Table43[[#This Row],[Efektif Naik Harga]]&lt;30,"Naik","Sama")</f>
        <v>Sama</v>
      </c>
      <c r="BH221" s="7"/>
      <c r="BI221" s="7" t="str">
        <f>IF(Table43[[#This Row],[Kode BARANG Win2]]&lt;&gt;"","IDR","")</f>
        <v>IDR</v>
      </c>
      <c r="BJ221" s="7" t="str">
        <f>CONCATENATE(Table43[[#This Row],[kode  1 Digit
(Nomor)]],Table43[[#This Row],[kode  4 Digit                (Nomor)]])</f>
        <v>0100</v>
      </c>
      <c r="BK221" s="7" t="str">
        <f>Table43[[#This Row],[Nama            Gramasi atau Jumlah Pack per CTN]]</f>
        <v>100CM</v>
      </c>
      <c r="BL221" s="7"/>
      <c r="BM221" s="7"/>
      <c r="BN221" s="4" t="str">
        <f>IF(Table43[[#This Row],[SATUAN Fix Win]]&lt;&gt;"","KRT")</f>
        <v>KRT</v>
      </c>
      <c r="BO221" s="4" t="str">
        <f>IF(Table43[[#This Row],[SATUAN Fix Win]]&lt;&gt;"","GD01")</f>
        <v>GD01</v>
      </c>
      <c r="BP221" s="4">
        <f>IF(Table43[[#This Row],[SATUAN Fix Win]]&lt;&gt;"",11611)</f>
        <v>11611</v>
      </c>
      <c r="BQ221" s="4">
        <f>IF(Table43[[#This Row],[SATUAN Fix Win]]&lt;&gt;"",11612)</f>
        <v>11612</v>
      </c>
      <c r="BS221" s="4">
        <f>IF(Table43[[#This Row],[SATUAN Fix Win]]&lt;&gt;"",1)</f>
        <v>1</v>
      </c>
      <c r="BU221" s="4">
        <f>Table43[[#This Row],[ISI/CTN]]</f>
        <v>24</v>
      </c>
    </row>
    <row r="222" spans="1:75">
      <c r="A222" s="4" t="str">
        <f>CONCATENATE(Table43[[#This Row],[Kode BARANG Win2]],Table43[[#This Row],[No. Urut
Item Sama]])</f>
        <v>G1084002012010</v>
      </c>
      <c r="B222" s="7"/>
      <c r="C222" s="31">
        <v>30202030080000</v>
      </c>
      <c r="D222" s="51">
        <v>40008339</v>
      </c>
      <c r="E222" s="27" t="s">
        <v>1975</v>
      </c>
      <c r="F222" s="51">
        <v>30202050120000</v>
      </c>
      <c r="G222" s="51">
        <v>0</v>
      </c>
      <c r="H222" s="27" t="s">
        <v>1257</v>
      </c>
      <c r="I222" s="27">
        <v>24</v>
      </c>
      <c r="J222" s="51" t="s">
        <v>1666</v>
      </c>
      <c r="K222" s="27" t="str">
        <f>Table43[[#This Row],[NamaJenisKemasan]]</f>
        <v>PCS</v>
      </c>
      <c r="L222" s="4" t="str">
        <f>TRIM(CONCATENATE(Table43[[#This Row],[Nama            KLP]]," ",Table43[[#This Row],[Nama            Sub KLP]]))</f>
        <v>KLINPAK KANTONG SAMPAH</v>
      </c>
      <c r="M222" s="4" t="str">
        <f>CONCATENATE(Table43[[#This Row],[kode  2 Digit                (hrf+No)]],Table43[[#This Row],[kode  2 Digit                (Nomor)]],Table43[[#This Row],[kode  1 Digit                (Nomor)]])</f>
        <v>G1084</v>
      </c>
      <c r="N222" s="4" t="str">
        <f>IF(AI222="",CONCATENATE(S222,U222,W222,Y222,AA222,AC222,AE222,AG222,Table43[[#This Row],[Tanda Kode Revisi]]),CONCATENATE(S222,U222,W222,Y222,AA222,AC222,AE222,AI222))</f>
        <v>G1084002012010</v>
      </c>
      <c r="O222" s="11">
        <f t="shared" si="4"/>
        <v>14</v>
      </c>
      <c r="P222" s="14" t="str">
        <f>IF(AH222&lt;&gt;"",TRIM(UPPER(CONCATENATE(R222," ",T222," ",V222," ",X222," ",Z222," ",AB222," ","X"," ",Table43[[#This Row],[ISI/CTN]]," ",AH222," ",AD222," ",AF222," ",AJ222))),TRIM(UPPER(CONCATENATE(R222," ",T222," ",V222," ",X222," ",Z222," ",AB222," ","X"," ",Table43[[#This Row],[ISI/CTN]]," ",AD222," ",AF222," ",AJ222))))</f>
        <v>KLINPAK KANTONG SAMPAH EXTRA 120CM X 24 PCS</v>
      </c>
      <c r="Q222" s="11">
        <f t="shared" si="5"/>
        <v>43</v>
      </c>
      <c r="S222" s="7" t="s">
        <v>34</v>
      </c>
      <c r="T222" s="4" t="s">
        <v>2293</v>
      </c>
      <c r="U222" s="47" t="s">
        <v>2545</v>
      </c>
      <c r="V222" s="48" t="s">
        <v>2310</v>
      </c>
      <c r="W222" s="7">
        <v>4</v>
      </c>
      <c r="X222" s="48"/>
      <c r="Y222" s="47" t="s">
        <v>1116</v>
      </c>
      <c r="Z222" s="4" t="s">
        <v>2313</v>
      </c>
      <c r="AA222" s="49" t="s">
        <v>2459</v>
      </c>
      <c r="AB222" s="4" t="s">
        <v>2314</v>
      </c>
      <c r="AC222" s="49" t="s">
        <v>2595</v>
      </c>
      <c r="AD222" s="4" t="s">
        <v>185</v>
      </c>
      <c r="AE222" s="7">
        <v>1</v>
      </c>
      <c r="AG222" s="7">
        <v>0</v>
      </c>
      <c r="AK222" s="70">
        <f>Table43[[#This Row],[Column4]]</f>
        <v>30202050120000</v>
      </c>
      <c r="AN222" s="7">
        <f>Table43[[#This Row],[ISI/CTN]]</f>
        <v>24</v>
      </c>
      <c r="AO222" s="61">
        <f>Table43[[#This Row],[Harga Jual Pcs GT
(-PPN)]]-(Table43[[#This Row],[Harga Jual Pcs GT
(-PPN)]]*6.5%)</f>
        <v>22215.599999999999</v>
      </c>
      <c r="AP222" s="61">
        <f>Table43[[#This Row],[Harga Beli Pcs
(-PPN)]]*Table43[[#This Row],[ISI/CTN]]</f>
        <v>533174.39999999991</v>
      </c>
      <c r="AQ222" s="61">
        <f>Table43[[#This Row],[Harga Beli Pcs
(-PPN)]]*1.11</f>
        <v>24659.315999999999</v>
      </c>
      <c r="AR222" s="61">
        <f>Table43[[#This Row],[Harga Beli Krt
(- PPN)]]*1.11</f>
        <v>591823.58399999992</v>
      </c>
      <c r="AS222" s="61">
        <v>23760</v>
      </c>
      <c r="AT222" s="61">
        <f>Table43[[#This Row],[Harga Jual Pcs GT
(-PPN)]]*Table43[[#This Row],[ISI/CTN]]</f>
        <v>570240</v>
      </c>
      <c r="AU222" s="61">
        <f>Table43[[#This Row],[Harga Jual Pcs GT
(-PPN)]]*1.11</f>
        <v>26373.600000000002</v>
      </c>
      <c r="AV222" s="61">
        <f>Table43[[#This Row],[Harga Jual Krt GT
(- PPN)]]*1.11</f>
        <v>632966.40000000002</v>
      </c>
      <c r="AW222" s="61">
        <f>IFERROR(VLOOKUP(Table43[[#This Row],[Kode Pcpl]],'[1]FEB 2026'!$A$3:$X$312,24,0),0)</f>
        <v>0</v>
      </c>
      <c r="AX222" s="61">
        <f>Table43[[#This Row],[Harga Jual Pcs MT
(-PPN)]]*Table43[[#This Row],[ISI/CTN]]</f>
        <v>0</v>
      </c>
      <c r="AY222" s="61">
        <f>Table43[[#This Row],[Harga Jual Pcs MT
(-PPN)]]*1.11</f>
        <v>0</v>
      </c>
      <c r="AZ222" s="61">
        <f>Table43[[#This Row],[Harga Jual Pcs MT
(+PPN)]]*Table43[[#This Row],[ISI/CTN]]</f>
        <v>0</v>
      </c>
      <c r="BA222" s="62">
        <f>(Table43[[#This Row],[Harga Jual Pcs GT
(-PPN)]]-Table43[[#This Row],[Harga Beli Pcs
(-PPN)]])/Table43[[#This Row],[Harga Jual Pcs GT
(-PPN)]]</f>
        <v>6.5000000000000058E-2</v>
      </c>
      <c r="BB222" s="63">
        <f>Table43[[#This Row],[Harga Jual Pcs MT
(-PPN)]]-Table43[[#This Row],[Harga Beli Pcs
(-PPN)]]</f>
        <v>-22215.599999999999</v>
      </c>
      <c r="BC222" s="64" t="e">
        <f>Table43[[#This Row],[Column1]]/Table43[[#This Row],[Harga Jual Pcs MT
(-PPN)]]</f>
        <v>#DIV/0!</v>
      </c>
      <c r="BD222" s="52"/>
      <c r="BE222" s="7"/>
      <c r="BF222" s="7" t="str">
        <f ca="1">IF(TODAY()-Table43[[#This Row],[Efektif
Pembuatan]]&gt;60,"Lama","Baru")</f>
        <v>Lama</v>
      </c>
      <c r="BG222" s="7" t="str">
        <f ca="1">IF(TODAY()-Table43[[#This Row],[Efektif Naik Harga]]&lt;30,"Naik","Sama")</f>
        <v>Sama</v>
      </c>
      <c r="BH222" s="7"/>
      <c r="BI222" s="7" t="str">
        <f>IF(Table43[[#This Row],[Kode BARANG Win2]]&lt;&gt;"","IDR","")</f>
        <v>IDR</v>
      </c>
      <c r="BJ222" s="7" t="str">
        <f>CONCATENATE(Table43[[#This Row],[kode  1 Digit
(Nomor)]],Table43[[#This Row],[kode  4 Digit                (Nomor)]])</f>
        <v>0120</v>
      </c>
      <c r="BK222" s="7" t="str">
        <f>Table43[[#This Row],[Nama            Gramasi atau Jumlah Pack per CTN]]</f>
        <v>120CM</v>
      </c>
      <c r="BL222" s="7"/>
      <c r="BM222" s="7"/>
      <c r="BN222" s="4" t="str">
        <f>IF(Table43[[#This Row],[SATUAN Fix Win]]&lt;&gt;"","KRT")</f>
        <v>KRT</v>
      </c>
      <c r="BO222" s="4" t="str">
        <f>IF(Table43[[#This Row],[SATUAN Fix Win]]&lt;&gt;"","GD01")</f>
        <v>GD01</v>
      </c>
      <c r="BP222" s="4">
        <f>IF(Table43[[#This Row],[SATUAN Fix Win]]&lt;&gt;"",11611)</f>
        <v>11611</v>
      </c>
      <c r="BQ222" s="4">
        <f>IF(Table43[[#This Row],[SATUAN Fix Win]]&lt;&gt;"",11612)</f>
        <v>11612</v>
      </c>
      <c r="BS222" s="4">
        <f>IF(Table43[[#This Row],[SATUAN Fix Win]]&lt;&gt;"",1)</f>
        <v>1</v>
      </c>
      <c r="BU222" s="4">
        <f>Table43[[#This Row],[ISI/CTN]]</f>
        <v>24</v>
      </c>
    </row>
    <row r="223" spans="1:75">
      <c r="A223" s="4" t="str">
        <f>CONCATENATE(Table43[[#This Row],[Kode BARANG Win2]],Table43[[#This Row],[No. Urut
Item Sama]])</f>
        <v>G1084003005010</v>
      </c>
      <c r="B223" s="7"/>
      <c r="C223" s="31">
        <v>30201010038000</v>
      </c>
      <c r="D223" s="59">
        <v>40008336</v>
      </c>
      <c r="E223" s="60" t="s">
        <v>1972</v>
      </c>
      <c r="F223" s="59">
        <v>30202020050000</v>
      </c>
      <c r="G223" s="59">
        <v>0</v>
      </c>
      <c r="H223" s="60" t="s">
        <v>1254</v>
      </c>
      <c r="I223" s="60">
        <v>24</v>
      </c>
      <c r="J223" s="59" t="s">
        <v>1663</v>
      </c>
      <c r="K223" s="60" t="str">
        <f>Table43[[#This Row],[NamaJenisKemasan]]</f>
        <v>PCS</v>
      </c>
      <c r="L223" s="4" t="str">
        <f>TRIM(CONCATENATE(Table43[[#This Row],[Nama            KLP]]," ",Table43[[#This Row],[Nama            Sub KLP]]))</f>
        <v>KLINPAK KANTONG SAMPAH</v>
      </c>
      <c r="M223" s="4" t="str">
        <f>CONCATENATE(Table43[[#This Row],[kode  2 Digit                (hrf+No)]],Table43[[#This Row],[kode  2 Digit                (Nomor)]],Table43[[#This Row],[kode  1 Digit                (Nomor)]])</f>
        <v>G1084</v>
      </c>
      <c r="N223" s="4" t="str">
        <f>IF(AI223="",CONCATENATE(S223,U223,W223,Y223,AA223,AC223,AE223,AG223,Table43[[#This Row],[Tanda Kode Revisi]]),CONCATENATE(S223,U223,W223,Y223,AA223,AC223,AE223,AI223))</f>
        <v>G1084003005010</v>
      </c>
      <c r="O223" s="11">
        <f t="shared" si="4"/>
        <v>14</v>
      </c>
      <c r="P223" s="14" t="str">
        <f>IF(AH223&lt;&gt;"",TRIM(UPPER(CONCATENATE(R223," ",T223," ",V223," ",X223," ",Z223," ",AB223," ","X"," ",Table43[[#This Row],[ISI/CTN]]," ",AH223," ",AD223," ",AF223," ",AJ223))),TRIM(UPPER(CONCATENATE(R223," ",T223," ",V223," ",X223," ",Z223," ",AB223," ","X"," ",Table43[[#This Row],[ISI/CTN]]," ",AD223," ",AF223," ",AJ223))))</f>
        <v>KLINPAK KANTONG SAMPAH KECIL 50CM X 24 PCS</v>
      </c>
      <c r="Q223" s="11">
        <f t="shared" si="5"/>
        <v>42</v>
      </c>
      <c r="S223" s="7" t="s">
        <v>34</v>
      </c>
      <c r="T223" s="4" t="s">
        <v>2293</v>
      </c>
      <c r="U223" s="47" t="s">
        <v>2545</v>
      </c>
      <c r="V223" s="48" t="s">
        <v>2310</v>
      </c>
      <c r="W223" s="7">
        <v>4</v>
      </c>
      <c r="X223" s="48"/>
      <c r="Y223" s="47" t="s">
        <v>1116</v>
      </c>
      <c r="Z223" s="4" t="s">
        <v>2305</v>
      </c>
      <c r="AA223" s="49" t="s">
        <v>2538</v>
      </c>
      <c r="AB223" s="4" t="s">
        <v>2315</v>
      </c>
      <c r="AC223" s="49" t="s">
        <v>2630</v>
      </c>
      <c r="AD223" s="4" t="s">
        <v>185</v>
      </c>
      <c r="AE223" s="7">
        <v>1</v>
      </c>
      <c r="AG223" s="7">
        <v>0</v>
      </c>
      <c r="AK223" s="70">
        <f>Table43[[#This Row],[Column4]]</f>
        <v>30202020050000</v>
      </c>
      <c r="AN223" s="7">
        <f>Table43[[#This Row],[ISI/CTN]]</f>
        <v>24</v>
      </c>
      <c r="AO223" s="38">
        <f>Table43[[#This Row],[Harga Jual Pcs GT
(-PPN)]]-(Table43[[#This Row],[Harga Jual Pcs GT
(-PPN)]]*6.5%)</f>
        <v>22421.3</v>
      </c>
      <c r="AP223" s="38">
        <f>Table43[[#This Row],[Harga Beli Pcs
(-PPN)]]*Table43[[#This Row],[ISI/CTN]]</f>
        <v>538111.19999999995</v>
      </c>
      <c r="AQ223" s="38">
        <f>Table43[[#This Row],[Harga Beli Pcs
(-PPN)]]*1.11</f>
        <v>24887.643</v>
      </c>
      <c r="AR223" s="38">
        <f>Table43[[#This Row],[Harga Beli Krt
(- PPN)]]*1.11</f>
        <v>597303.43200000003</v>
      </c>
      <c r="AS223" s="38">
        <v>23980</v>
      </c>
      <c r="AT223" s="38">
        <f>Table43[[#This Row],[Harga Jual Pcs GT
(-PPN)]]*Table43[[#This Row],[ISI/CTN]]</f>
        <v>575520</v>
      </c>
      <c r="AU223" s="38">
        <f>Table43[[#This Row],[Harga Jual Pcs GT
(-PPN)]]*1.11</f>
        <v>26617.800000000003</v>
      </c>
      <c r="AV223" s="38">
        <f>Table43[[#This Row],[Harga Jual Krt GT
(- PPN)]]*1.11</f>
        <v>638827.20000000007</v>
      </c>
      <c r="AW223" s="38">
        <f>IFERROR(VLOOKUP(Table43[[#This Row],[Kode Pcpl]],'[1]FEB 2026'!$A$3:$X$312,24,0),0)</f>
        <v>0</v>
      </c>
      <c r="AX223" s="38">
        <f>Table43[[#This Row],[Harga Jual Pcs MT
(-PPN)]]*Table43[[#This Row],[ISI/CTN]]</f>
        <v>0</v>
      </c>
      <c r="AY223" s="38">
        <f>Table43[[#This Row],[Harga Jual Pcs MT
(-PPN)]]*1.11</f>
        <v>0</v>
      </c>
      <c r="AZ223" s="38">
        <f>Table43[[#This Row],[Harga Jual Pcs MT
(+PPN)]]*Table43[[#This Row],[ISI/CTN]]</f>
        <v>0</v>
      </c>
      <c r="BA223" s="46">
        <f>(Table43[[#This Row],[Harga Jual Pcs GT
(-PPN)]]-Table43[[#This Row],[Harga Beli Pcs
(-PPN)]])/Table43[[#This Row],[Harga Jual Pcs GT
(-PPN)]]</f>
        <v>6.500000000000003E-2</v>
      </c>
      <c r="BB223" s="53">
        <f>Table43[[#This Row],[Harga Jual Pcs MT
(-PPN)]]-Table43[[#This Row],[Harga Beli Pcs
(-PPN)]]</f>
        <v>-22421.3</v>
      </c>
      <c r="BC223" s="54" t="e">
        <f>Table43[[#This Row],[Column1]]/Table43[[#This Row],[Harga Jual Pcs MT
(-PPN)]]</f>
        <v>#DIV/0!</v>
      </c>
      <c r="BD223" s="52"/>
      <c r="BE223" s="7"/>
      <c r="BF223" s="7" t="str">
        <f ca="1">IF(TODAY()-Table43[[#This Row],[Efektif
Pembuatan]]&gt;60,"Lama","Baru")</f>
        <v>Lama</v>
      </c>
      <c r="BG223" s="7" t="str">
        <f ca="1">IF(TODAY()-Table43[[#This Row],[Efektif Naik Harga]]&lt;30,"Naik","Sama")</f>
        <v>Sama</v>
      </c>
      <c r="BH223" s="7"/>
      <c r="BI223" s="7" t="str">
        <f>IF(Table43[[#This Row],[Kode BARANG Win2]]&lt;&gt;"","IDR","")</f>
        <v>IDR</v>
      </c>
      <c r="BJ223" s="7" t="str">
        <f>CONCATENATE(Table43[[#This Row],[kode  1 Digit
(Nomor)]],Table43[[#This Row],[kode  4 Digit                (Nomor)]])</f>
        <v>0050</v>
      </c>
      <c r="BK223" s="7" t="str">
        <f>Table43[[#This Row],[Nama            Gramasi atau Jumlah Pack per CTN]]</f>
        <v>50CM</v>
      </c>
      <c r="BL223" s="7"/>
      <c r="BM223" s="7"/>
      <c r="BN223" s="4" t="str">
        <f>IF(Table43[[#This Row],[SATUAN Fix Win]]&lt;&gt;"","KRT")</f>
        <v>KRT</v>
      </c>
      <c r="BO223" s="4" t="str">
        <f>IF(Table43[[#This Row],[SATUAN Fix Win]]&lt;&gt;"","GD01")</f>
        <v>GD01</v>
      </c>
      <c r="BP223" s="4">
        <f>IF(Table43[[#This Row],[SATUAN Fix Win]]&lt;&gt;"",11611)</f>
        <v>11611</v>
      </c>
      <c r="BQ223" s="4">
        <f>IF(Table43[[#This Row],[SATUAN Fix Win]]&lt;&gt;"",11612)</f>
        <v>11612</v>
      </c>
      <c r="BS223" s="4">
        <f>IF(Table43[[#This Row],[SATUAN Fix Win]]&lt;&gt;"",1)</f>
        <v>1</v>
      </c>
      <c r="BU223" s="4">
        <f>Table43[[#This Row],[ISI/CTN]]</f>
        <v>24</v>
      </c>
    </row>
    <row r="224" spans="1:75">
      <c r="A224" s="4" t="str">
        <f>CONCATENATE(Table43[[#This Row],[Kode BARANG Win2]],Table43[[#This Row],[No. Urut
Item Sama]])</f>
        <v>G1084004008010</v>
      </c>
      <c r="B224" s="7"/>
      <c r="C224" s="31">
        <v>30202040100000</v>
      </c>
      <c r="D224" s="59">
        <v>40008337</v>
      </c>
      <c r="E224" s="60" t="s">
        <v>1973</v>
      </c>
      <c r="F224" s="59">
        <v>30202030080000</v>
      </c>
      <c r="G224" s="59">
        <v>0</v>
      </c>
      <c r="H224" s="60" t="s">
        <v>1255</v>
      </c>
      <c r="I224" s="60">
        <v>24</v>
      </c>
      <c r="J224" s="59" t="s">
        <v>1664</v>
      </c>
      <c r="K224" s="60" t="str">
        <f>Table43[[#This Row],[NamaJenisKemasan]]</f>
        <v>PCS</v>
      </c>
      <c r="L224" s="4" t="str">
        <f>TRIM(CONCATENATE(Table43[[#This Row],[Nama            KLP]]," ",Table43[[#This Row],[Nama            Sub KLP]]))</f>
        <v>KLINPAK KANTONG SAMPAH</v>
      </c>
      <c r="M224" s="4" t="str">
        <f>CONCATENATE(Table43[[#This Row],[kode  2 Digit                (hrf+No)]],Table43[[#This Row],[kode  2 Digit                (Nomor)]],Table43[[#This Row],[kode  1 Digit                (Nomor)]])</f>
        <v>G1084</v>
      </c>
      <c r="N224" s="4" t="str">
        <f>IF(AI224="",CONCATENATE(S224,U224,W224,Y224,AA224,AC224,AE224,AG224,Table43[[#This Row],[Tanda Kode Revisi]]),CONCATENATE(S224,U224,W224,Y224,AA224,AC224,AE224,AI224))</f>
        <v>G1084004008010</v>
      </c>
      <c r="O224" s="11">
        <f t="shared" si="4"/>
        <v>14</v>
      </c>
      <c r="P224" s="14" t="str">
        <f>IF(AH224&lt;&gt;"",TRIM(UPPER(CONCATENATE(R224," ",T224," ",V224," ",X224," ",Z224," ",AB224," ","X"," ",Table43[[#This Row],[ISI/CTN]]," ",AH224," ",AD224," ",AF224," ",AJ224))),TRIM(UPPER(CONCATENATE(R224," ",T224," ",V224," ",X224," ",Z224," ",AB224," ","X"," ",Table43[[#This Row],[ISI/CTN]]," ",AD224," ",AF224," ",AJ224))))</f>
        <v>KLINPAK KANTONG SAMPAH SEDANG 80CM X 24 PCS</v>
      </c>
      <c r="Q224" s="11">
        <f t="shared" si="5"/>
        <v>43</v>
      </c>
      <c r="S224" s="7" t="s">
        <v>34</v>
      </c>
      <c r="T224" s="4" t="s">
        <v>2293</v>
      </c>
      <c r="U224" s="47" t="s">
        <v>2545</v>
      </c>
      <c r="V224" s="48" t="s">
        <v>2310</v>
      </c>
      <c r="W224" s="7">
        <v>4</v>
      </c>
      <c r="X224" s="48"/>
      <c r="Y224" s="47" t="s">
        <v>1116</v>
      </c>
      <c r="Z224" s="4" t="s">
        <v>2306</v>
      </c>
      <c r="AA224" s="49" t="s">
        <v>2540</v>
      </c>
      <c r="AB224" s="4" t="s">
        <v>2316</v>
      </c>
      <c r="AC224" s="49" t="s">
        <v>2639</v>
      </c>
      <c r="AD224" s="4" t="s">
        <v>185</v>
      </c>
      <c r="AE224" s="7">
        <v>1</v>
      </c>
      <c r="AG224" s="7">
        <v>0</v>
      </c>
      <c r="AK224" s="70">
        <f>Table43[[#This Row],[Column4]]</f>
        <v>30202030080000</v>
      </c>
      <c r="AN224" s="7">
        <f>Table43[[#This Row],[ISI/CTN]]</f>
        <v>24</v>
      </c>
      <c r="AO224" s="38">
        <f>Table43[[#This Row],[Harga Jual Pcs GT
(-PPN)]]-(Table43[[#This Row],[Harga Jual Pcs GT
(-PPN)]]*6.5%)</f>
        <v>21916.400000000001</v>
      </c>
      <c r="AP224" s="38">
        <f>Table43[[#This Row],[Harga Beli Pcs
(-PPN)]]*Table43[[#This Row],[ISI/CTN]]</f>
        <v>525993.60000000009</v>
      </c>
      <c r="AQ224" s="38">
        <f>Table43[[#This Row],[Harga Beli Pcs
(-PPN)]]*1.11</f>
        <v>24327.204000000005</v>
      </c>
      <c r="AR224" s="38">
        <f>Table43[[#This Row],[Harga Beli Krt
(- PPN)]]*1.11</f>
        <v>583852.89600000018</v>
      </c>
      <c r="AS224" s="38">
        <v>23440</v>
      </c>
      <c r="AT224" s="38">
        <f>Table43[[#This Row],[Harga Jual Pcs GT
(-PPN)]]*Table43[[#This Row],[ISI/CTN]]</f>
        <v>562560</v>
      </c>
      <c r="AU224" s="38">
        <f>Table43[[#This Row],[Harga Jual Pcs GT
(-PPN)]]*1.11</f>
        <v>26018.400000000001</v>
      </c>
      <c r="AV224" s="38">
        <f>Table43[[#This Row],[Harga Jual Krt GT
(- PPN)]]*1.11</f>
        <v>624441.60000000009</v>
      </c>
      <c r="AW224" s="38">
        <f>IFERROR(VLOOKUP(Table43[[#This Row],[Kode Pcpl]],'[1]FEB 2026'!$A$3:$X$312,24,0),0)</f>
        <v>0</v>
      </c>
      <c r="AX224" s="38">
        <f>Table43[[#This Row],[Harga Jual Pcs MT
(-PPN)]]*Table43[[#This Row],[ISI/CTN]]</f>
        <v>0</v>
      </c>
      <c r="AY224" s="38">
        <f>Table43[[#This Row],[Harga Jual Pcs MT
(-PPN)]]*1.11</f>
        <v>0</v>
      </c>
      <c r="AZ224" s="38">
        <f>Table43[[#This Row],[Harga Jual Pcs MT
(+PPN)]]*Table43[[#This Row],[ISI/CTN]]</f>
        <v>0</v>
      </c>
      <c r="BA224" s="46">
        <f>(Table43[[#This Row],[Harga Jual Pcs GT
(-PPN)]]-Table43[[#This Row],[Harga Beli Pcs
(-PPN)]])/Table43[[#This Row],[Harga Jual Pcs GT
(-PPN)]]</f>
        <v>6.4999999999999933E-2</v>
      </c>
      <c r="BB224" s="53">
        <f>Table43[[#This Row],[Harga Jual Pcs MT
(-PPN)]]-Table43[[#This Row],[Harga Beli Pcs
(-PPN)]]</f>
        <v>-21916.400000000001</v>
      </c>
      <c r="BC224" s="54" t="e">
        <f>Table43[[#This Row],[Column1]]/Table43[[#This Row],[Harga Jual Pcs MT
(-PPN)]]</f>
        <v>#DIV/0!</v>
      </c>
      <c r="BD224" s="52"/>
      <c r="BE224" s="7"/>
      <c r="BF224" s="7" t="str">
        <f ca="1">IF(TODAY()-Table43[[#This Row],[Efektif
Pembuatan]]&gt;60,"Lama","Baru")</f>
        <v>Lama</v>
      </c>
      <c r="BG224" s="7" t="str">
        <f ca="1">IF(TODAY()-Table43[[#This Row],[Efektif Naik Harga]]&lt;30,"Naik","Sama")</f>
        <v>Sama</v>
      </c>
      <c r="BH224" s="7"/>
      <c r="BI224" s="7" t="str">
        <f>IF(Table43[[#This Row],[Kode BARANG Win2]]&lt;&gt;"","IDR","")</f>
        <v>IDR</v>
      </c>
      <c r="BJ224" s="7" t="str">
        <f>CONCATENATE(Table43[[#This Row],[kode  1 Digit
(Nomor)]],Table43[[#This Row],[kode  4 Digit                (Nomor)]])</f>
        <v>0080</v>
      </c>
      <c r="BK224" s="7" t="str">
        <f>Table43[[#This Row],[Nama            Gramasi atau Jumlah Pack per CTN]]</f>
        <v>80CM</v>
      </c>
      <c r="BL224" s="7"/>
      <c r="BM224" s="7"/>
      <c r="BN224" s="4" t="str">
        <f>IF(Table43[[#This Row],[SATUAN Fix Win]]&lt;&gt;"","KRT")</f>
        <v>KRT</v>
      </c>
      <c r="BO224" s="4" t="str">
        <f>IF(Table43[[#This Row],[SATUAN Fix Win]]&lt;&gt;"","GD01")</f>
        <v>GD01</v>
      </c>
      <c r="BP224" s="4">
        <f>IF(Table43[[#This Row],[SATUAN Fix Win]]&lt;&gt;"",11611)</f>
        <v>11611</v>
      </c>
      <c r="BQ224" s="4">
        <f>IF(Table43[[#This Row],[SATUAN Fix Win]]&lt;&gt;"",11612)</f>
        <v>11612</v>
      </c>
      <c r="BS224" s="4">
        <f>IF(Table43[[#This Row],[SATUAN Fix Win]]&lt;&gt;"",1)</f>
        <v>1</v>
      </c>
      <c r="BU224" s="4">
        <f>Table43[[#This Row],[ISI/CTN]]</f>
        <v>24</v>
      </c>
    </row>
    <row r="225" spans="1:73">
      <c r="A225" s="4" t="str">
        <f>CONCATENATE(Table43[[#This Row],[Kode BARANG Win2]],Table43[[#This Row],[No. Urut
Item Sama]])</f>
        <v>G1091001005011</v>
      </c>
      <c r="B225" s="7"/>
      <c r="C225" s="31">
        <v>30341010010000</v>
      </c>
      <c r="D225" s="59">
        <v>40027244</v>
      </c>
      <c r="E225" s="60" t="s">
        <v>1984</v>
      </c>
      <c r="F225" s="59">
        <v>30240040050001</v>
      </c>
      <c r="G225" s="59">
        <v>0</v>
      </c>
      <c r="H225" s="60" t="s">
        <v>1268</v>
      </c>
      <c r="I225" s="60">
        <v>24</v>
      </c>
      <c r="J225" s="59" t="s">
        <v>1675</v>
      </c>
      <c r="K225" s="60" t="str">
        <f>Table43[[#This Row],[NamaJenisKemasan]]</f>
        <v>PCS</v>
      </c>
      <c r="L225" s="4" t="str">
        <f>TRIM(CONCATENATE(Table43[[#This Row],[Nama            KLP]]," ",Table43[[#This Row],[Nama            Sub KLP]]))</f>
        <v>MITU BABY GANTI POPOK</v>
      </c>
      <c r="M225" s="4" t="str">
        <f>CONCATENATE(Table43[[#This Row],[kode  2 Digit                (hrf+No)]],Table43[[#This Row],[kode  2 Digit                (Nomor)]],Table43[[#This Row],[kode  1 Digit                (Nomor)]])</f>
        <v>G1091</v>
      </c>
      <c r="N225" s="4" t="str">
        <f>IF(AI225="",CONCATENATE(S225,U225,W225,Y225,AA225,AC225,AE225,AG225,Table43[[#This Row],[Tanda Kode Revisi]]),CONCATENATE(S225,U225,W225,Y225,AA225,AC225,AE225,AI225))</f>
        <v>G1091001005011</v>
      </c>
      <c r="O225" s="11">
        <f t="shared" si="4"/>
        <v>14</v>
      </c>
      <c r="P225" s="14" t="str">
        <f>IF(AH225&lt;&gt;"",TRIM(UPPER(CONCATENATE(R225," ",T225," ",V225," ",X225," ",Z225," ",AB225," ","X"," ",Table43[[#This Row],[ISI/CTN]]," ",AH225," ",AD225," ",AF225," ",AJ225))),TRIM(UPPER(CONCATENATE(R225," ",T225," ",V225," ",X225," ",Z225," ",AB225," ","X"," ",Table43[[#This Row],[ISI/CTN]]," ",AD225," ",AF225," ",AJ225))))</f>
        <v>MITU BABY GANTI POPOK BLUE LILY 50S X 24 PCS BOGOF</v>
      </c>
      <c r="Q225" s="11">
        <f t="shared" si="5"/>
        <v>50</v>
      </c>
      <c r="S225" s="7" t="s">
        <v>34</v>
      </c>
      <c r="T225" s="4" t="s">
        <v>2317</v>
      </c>
      <c r="U225" s="47" t="s">
        <v>2546</v>
      </c>
      <c r="V225" s="48" t="s">
        <v>2334</v>
      </c>
      <c r="W225" s="7">
        <v>1</v>
      </c>
      <c r="X225" s="48"/>
      <c r="Y225" s="47" t="s">
        <v>1116</v>
      </c>
      <c r="Z225" s="4" t="s">
        <v>2335</v>
      </c>
      <c r="AA225" s="49" t="s">
        <v>1115</v>
      </c>
      <c r="AB225" s="4" t="s">
        <v>2337</v>
      </c>
      <c r="AC225" s="49" t="s">
        <v>2630</v>
      </c>
      <c r="AD225" s="4" t="s">
        <v>185</v>
      </c>
      <c r="AE225" s="7">
        <v>1</v>
      </c>
      <c r="AF225" s="4" t="s">
        <v>2338</v>
      </c>
      <c r="AG225" s="7">
        <v>1</v>
      </c>
      <c r="AK225" s="70">
        <f>Table43[[#This Row],[Column4]]</f>
        <v>30240040050001</v>
      </c>
      <c r="AN225" s="7">
        <f>Table43[[#This Row],[ISI/CTN]]</f>
        <v>24</v>
      </c>
      <c r="AO225" s="38">
        <f>Table43[[#This Row],[Harga Jual Pcs GT
(-PPN)]]-(Table43[[#This Row],[Harga Jual Pcs GT
(-PPN)]]*6.5%)</f>
        <v>9882.9500000000007</v>
      </c>
      <c r="AP225" s="38">
        <f>Table43[[#This Row],[Harga Beli Pcs
(-PPN)]]*Table43[[#This Row],[ISI/CTN]]</f>
        <v>237190.80000000002</v>
      </c>
      <c r="AQ225" s="38">
        <f>Table43[[#This Row],[Harga Beli Pcs
(-PPN)]]*1.11</f>
        <v>10970.074500000002</v>
      </c>
      <c r="AR225" s="38">
        <f>Table43[[#This Row],[Harga Beli Krt
(- PPN)]]*1.11</f>
        <v>263281.78800000006</v>
      </c>
      <c r="AS225" s="38">
        <v>10570</v>
      </c>
      <c r="AT225" s="38">
        <f>Table43[[#This Row],[Harga Jual Pcs GT
(-PPN)]]*Table43[[#This Row],[ISI/CTN]]</f>
        <v>253680</v>
      </c>
      <c r="AU225" s="38">
        <f>Table43[[#This Row],[Harga Jual Pcs GT
(-PPN)]]*1.11</f>
        <v>11732.7</v>
      </c>
      <c r="AV225" s="38">
        <f>Table43[[#This Row],[Harga Jual Krt GT
(- PPN)]]*1.11</f>
        <v>281584.80000000005</v>
      </c>
      <c r="AW225" s="38">
        <f>IFERROR(VLOOKUP(Table43[[#This Row],[Kode Pcpl]],'[1]FEB 2026'!$A$3:$X$312,24,0),0)</f>
        <v>0</v>
      </c>
      <c r="AX225" s="38">
        <f>Table43[[#This Row],[Harga Jual Pcs MT
(-PPN)]]*Table43[[#This Row],[ISI/CTN]]</f>
        <v>0</v>
      </c>
      <c r="AY225" s="38">
        <f>Table43[[#This Row],[Harga Jual Pcs MT
(-PPN)]]*1.11</f>
        <v>0</v>
      </c>
      <c r="AZ225" s="38">
        <f>Table43[[#This Row],[Harga Jual Pcs MT
(+PPN)]]*Table43[[#This Row],[ISI/CTN]]</f>
        <v>0</v>
      </c>
      <c r="BA225" s="46">
        <f>(Table43[[#This Row],[Harga Jual Pcs GT
(-PPN)]]-Table43[[#This Row],[Harga Beli Pcs
(-PPN)]])/Table43[[#This Row],[Harga Jual Pcs GT
(-PPN)]]</f>
        <v>6.4999999999999933E-2</v>
      </c>
      <c r="BB225" s="53">
        <f>Table43[[#This Row],[Harga Jual Pcs MT
(-PPN)]]-Table43[[#This Row],[Harga Beli Pcs
(-PPN)]]</f>
        <v>-9882.9500000000007</v>
      </c>
      <c r="BC225" s="54" t="e">
        <f>Table43[[#This Row],[Column1]]/Table43[[#This Row],[Harga Jual Pcs MT
(-PPN)]]</f>
        <v>#DIV/0!</v>
      </c>
      <c r="BD225" s="52"/>
      <c r="BE225" s="7"/>
      <c r="BF225" s="7" t="str">
        <f ca="1">IF(TODAY()-Table43[[#This Row],[Efektif
Pembuatan]]&gt;60,"Lama","Baru")</f>
        <v>Lama</v>
      </c>
      <c r="BG225" s="7" t="str">
        <f ca="1">IF(TODAY()-Table43[[#This Row],[Efektif Naik Harga]]&lt;30,"Naik","Sama")</f>
        <v>Sama</v>
      </c>
      <c r="BH225" s="7"/>
      <c r="BI225" s="7" t="str">
        <f>IF(Table43[[#This Row],[Kode BARANG Win2]]&lt;&gt;"","IDR","")</f>
        <v>IDR</v>
      </c>
      <c r="BJ225" s="7" t="str">
        <f>CONCATENATE(Table43[[#This Row],[kode  1 Digit
(Nomor)]],Table43[[#This Row],[kode  4 Digit                (Nomor)]])</f>
        <v>0050</v>
      </c>
      <c r="BK225" s="7" t="str">
        <f>Table43[[#This Row],[Nama            Gramasi atau Jumlah Pack per CTN]]</f>
        <v>50S</v>
      </c>
      <c r="BL225" s="7"/>
      <c r="BM225" s="7"/>
      <c r="BN225" s="4" t="str">
        <f>IF(Table43[[#This Row],[SATUAN Fix Win]]&lt;&gt;"","KRT")</f>
        <v>KRT</v>
      </c>
      <c r="BO225" s="4" t="str">
        <f>IF(Table43[[#This Row],[SATUAN Fix Win]]&lt;&gt;"","GD01")</f>
        <v>GD01</v>
      </c>
      <c r="BP225" s="4">
        <f>IF(Table43[[#This Row],[SATUAN Fix Win]]&lt;&gt;"",11611)</f>
        <v>11611</v>
      </c>
      <c r="BQ225" s="4">
        <f>IF(Table43[[#This Row],[SATUAN Fix Win]]&lt;&gt;"",11612)</f>
        <v>11612</v>
      </c>
      <c r="BS225" s="4">
        <f>IF(Table43[[#This Row],[SATUAN Fix Win]]&lt;&gt;"",1)</f>
        <v>1</v>
      </c>
      <c r="BU225" s="4">
        <f>Table43[[#This Row],[ISI/CTN]]</f>
        <v>24</v>
      </c>
    </row>
    <row r="226" spans="1:73">
      <c r="A226" s="4" t="str">
        <f>CONCATENATE(Table43[[#This Row],[Kode BARANG Win2]],Table43[[#This Row],[No. Urut
Item Sama]])</f>
        <v>G1091002005011</v>
      </c>
      <c r="B226" s="7"/>
      <c r="C226" s="31">
        <v>30342010090010</v>
      </c>
      <c r="D226" s="51">
        <v>40027245</v>
      </c>
      <c r="E226" s="27" t="s">
        <v>1981</v>
      </c>
      <c r="F226" s="51">
        <v>30240010050001</v>
      </c>
      <c r="G226" s="51">
        <v>0</v>
      </c>
      <c r="H226" s="27" t="s">
        <v>1265</v>
      </c>
      <c r="I226" s="27">
        <v>24</v>
      </c>
      <c r="J226" s="51" t="s">
        <v>1672</v>
      </c>
      <c r="K226" s="27" t="str">
        <f>Table43[[#This Row],[NamaJenisKemasan]]</f>
        <v>PCS</v>
      </c>
      <c r="L226" s="4" t="str">
        <f>TRIM(CONCATENATE(Table43[[#This Row],[Nama            KLP]]," ",Table43[[#This Row],[Nama            Sub KLP]]))</f>
        <v>MITU BABY GANTI POPOK</v>
      </c>
      <c r="M226" s="4" t="str">
        <f>CONCATENATE(Table43[[#This Row],[kode  2 Digit                (hrf+No)]],Table43[[#This Row],[kode  2 Digit                (Nomor)]],Table43[[#This Row],[kode  1 Digit                (Nomor)]])</f>
        <v>G1091</v>
      </c>
      <c r="N226" s="4" t="str">
        <f>IF(AI226="",CONCATENATE(S226,U226,W226,Y226,AA226,AC226,AE226,AG226,Table43[[#This Row],[Tanda Kode Revisi]]),CONCATENATE(S226,U226,W226,Y226,AA226,AC226,AE226,AI226))</f>
        <v>G1091002005011</v>
      </c>
      <c r="O226" s="11">
        <f t="shared" si="4"/>
        <v>14</v>
      </c>
      <c r="P226" s="14" t="str">
        <f>IF(AH226&lt;&gt;"",TRIM(UPPER(CONCATENATE(R226," ",T226," ",V226," ",X226," ",Z226," ",AB226," ","X"," ",Table43[[#This Row],[ISI/CTN]]," ",AH226," ",AD226," ",AF226," ",AJ226))),TRIM(UPPER(CONCATENATE(R226," ",T226," ",V226," ",X226," ",Z226," ",AB226," ","X"," ",Table43[[#This Row],[ISI/CTN]]," ",AD226," ",AF226," ",AJ226))))</f>
        <v>MITU BABY GANTI POPOK PINK ROSE 50S X 24 PCS BOGOF</v>
      </c>
      <c r="Q226" s="11">
        <f t="shared" si="5"/>
        <v>50</v>
      </c>
      <c r="S226" s="7" t="s">
        <v>34</v>
      </c>
      <c r="T226" s="4" t="s">
        <v>2317</v>
      </c>
      <c r="U226" s="47" t="s">
        <v>2546</v>
      </c>
      <c r="V226" s="48" t="s">
        <v>2334</v>
      </c>
      <c r="W226" s="7">
        <v>1</v>
      </c>
      <c r="X226" s="48"/>
      <c r="Y226" s="47" t="s">
        <v>1116</v>
      </c>
      <c r="Z226" s="4" t="s">
        <v>2336</v>
      </c>
      <c r="AA226" s="49" t="s">
        <v>2459</v>
      </c>
      <c r="AB226" s="4" t="s">
        <v>2337</v>
      </c>
      <c r="AC226" s="49" t="s">
        <v>2630</v>
      </c>
      <c r="AD226" s="4" t="s">
        <v>185</v>
      </c>
      <c r="AE226" s="7">
        <v>1</v>
      </c>
      <c r="AF226" s="4" t="s">
        <v>2338</v>
      </c>
      <c r="AG226" s="7">
        <v>1</v>
      </c>
      <c r="AK226" s="70">
        <f>Table43[[#This Row],[Column4]]</f>
        <v>30240010050001</v>
      </c>
      <c r="AN226" s="7">
        <f>Table43[[#This Row],[ISI/CTN]]</f>
        <v>24</v>
      </c>
      <c r="AO226" s="38">
        <f>Table43[[#This Row],[Harga Jual Pcs GT
(-PPN)]]-(Table43[[#This Row],[Harga Jual Pcs GT
(-PPN)]]*6.5%)</f>
        <v>9882.9500000000007</v>
      </c>
      <c r="AP226" s="38">
        <f>Table43[[#This Row],[Harga Beli Pcs
(-PPN)]]*Table43[[#This Row],[ISI/CTN]]</f>
        <v>237190.80000000002</v>
      </c>
      <c r="AQ226" s="38">
        <f>Table43[[#This Row],[Harga Beli Pcs
(-PPN)]]*1.11</f>
        <v>10970.074500000002</v>
      </c>
      <c r="AR226" s="38">
        <f>Table43[[#This Row],[Harga Beli Krt
(- PPN)]]*1.11</f>
        <v>263281.78800000006</v>
      </c>
      <c r="AS226" s="38">
        <v>10570</v>
      </c>
      <c r="AT226" s="38">
        <f>Table43[[#This Row],[Harga Jual Pcs GT
(-PPN)]]*Table43[[#This Row],[ISI/CTN]]</f>
        <v>253680</v>
      </c>
      <c r="AU226" s="38">
        <f>Table43[[#This Row],[Harga Jual Pcs GT
(-PPN)]]*1.11</f>
        <v>11732.7</v>
      </c>
      <c r="AV226" s="38">
        <f>Table43[[#This Row],[Harga Jual Krt GT
(- PPN)]]*1.11</f>
        <v>281584.80000000005</v>
      </c>
      <c r="AW226" s="38">
        <f>IFERROR(VLOOKUP(Table43[[#This Row],[Kode Pcpl]],'[1]FEB 2026'!$A$3:$X$312,24,0),0)</f>
        <v>0</v>
      </c>
      <c r="AX226" s="38">
        <f>Table43[[#This Row],[Harga Jual Pcs MT
(-PPN)]]*Table43[[#This Row],[ISI/CTN]]</f>
        <v>0</v>
      </c>
      <c r="AY226" s="38">
        <f>Table43[[#This Row],[Harga Jual Pcs MT
(-PPN)]]*1.11</f>
        <v>0</v>
      </c>
      <c r="AZ226" s="38">
        <f>Table43[[#This Row],[Harga Jual Pcs MT
(+PPN)]]*Table43[[#This Row],[ISI/CTN]]</f>
        <v>0</v>
      </c>
      <c r="BA226" s="46">
        <f>(Table43[[#This Row],[Harga Jual Pcs GT
(-PPN)]]-Table43[[#This Row],[Harga Beli Pcs
(-PPN)]])/Table43[[#This Row],[Harga Jual Pcs GT
(-PPN)]]</f>
        <v>6.4999999999999933E-2</v>
      </c>
      <c r="BB226" s="53">
        <f>Table43[[#This Row],[Harga Jual Pcs MT
(-PPN)]]-Table43[[#This Row],[Harga Beli Pcs
(-PPN)]]</f>
        <v>-9882.9500000000007</v>
      </c>
      <c r="BC226" s="54" t="e">
        <f>Table43[[#This Row],[Column1]]/Table43[[#This Row],[Harga Jual Pcs MT
(-PPN)]]</f>
        <v>#DIV/0!</v>
      </c>
      <c r="BD226" s="52"/>
      <c r="BE226" s="7"/>
      <c r="BF226" s="7" t="str">
        <f ca="1">IF(TODAY()-Table43[[#This Row],[Efektif
Pembuatan]]&gt;60,"Lama","Baru")</f>
        <v>Lama</v>
      </c>
      <c r="BG226" s="7" t="str">
        <f ca="1">IF(TODAY()-Table43[[#This Row],[Efektif Naik Harga]]&lt;30,"Naik","Sama")</f>
        <v>Sama</v>
      </c>
      <c r="BH226" s="7"/>
      <c r="BI226" s="7" t="str">
        <f>IF(Table43[[#This Row],[Kode BARANG Win2]]&lt;&gt;"","IDR","")</f>
        <v>IDR</v>
      </c>
      <c r="BJ226" s="7" t="str">
        <f>CONCATENATE(Table43[[#This Row],[kode  1 Digit
(Nomor)]],Table43[[#This Row],[kode  4 Digit                (Nomor)]])</f>
        <v>0050</v>
      </c>
      <c r="BK226" s="7" t="str">
        <f>Table43[[#This Row],[Nama            Gramasi atau Jumlah Pack per CTN]]</f>
        <v>50S</v>
      </c>
      <c r="BL226" s="7"/>
      <c r="BM226" s="7"/>
      <c r="BN226" s="4" t="str">
        <f>IF(Table43[[#This Row],[SATUAN Fix Win]]&lt;&gt;"","KRT")</f>
        <v>KRT</v>
      </c>
      <c r="BO226" s="4" t="str">
        <f>IF(Table43[[#This Row],[SATUAN Fix Win]]&lt;&gt;"","GD01")</f>
        <v>GD01</v>
      </c>
      <c r="BP226" s="4">
        <f>IF(Table43[[#This Row],[SATUAN Fix Win]]&lt;&gt;"",11611)</f>
        <v>11611</v>
      </c>
      <c r="BQ226" s="4">
        <f>IF(Table43[[#This Row],[SATUAN Fix Win]]&lt;&gt;"",11612)</f>
        <v>11612</v>
      </c>
      <c r="BS226" s="4">
        <f>IF(Table43[[#This Row],[SATUAN Fix Win]]&lt;&gt;"",1)</f>
        <v>1</v>
      </c>
      <c r="BU226" s="4">
        <f>Table43[[#This Row],[ISI/CTN]]</f>
        <v>24</v>
      </c>
    </row>
    <row r="227" spans="1:73">
      <c r="A227" s="4" t="str">
        <f>CONCATENATE(Table43[[#This Row],[Kode BARANG Win2]],Table43[[#This Row],[No. Urut
Item Sama]])</f>
        <v>G1091003005011</v>
      </c>
      <c r="B227" s="7"/>
      <c r="C227" s="31">
        <v>30342030090010</v>
      </c>
      <c r="D227" s="51">
        <v>40027246</v>
      </c>
      <c r="E227" s="27" t="s">
        <v>1982</v>
      </c>
      <c r="F227" s="51">
        <v>30240020050001</v>
      </c>
      <c r="G227" s="51">
        <v>0</v>
      </c>
      <c r="H227" s="27" t="s">
        <v>1266</v>
      </c>
      <c r="I227" s="27">
        <v>24</v>
      </c>
      <c r="J227" s="51" t="s">
        <v>1673</v>
      </c>
      <c r="K227" s="27" t="str">
        <f>Table43[[#This Row],[NamaJenisKemasan]]</f>
        <v>PCS</v>
      </c>
      <c r="L227" s="4" t="str">
        <f>TRIM(CONCATENATE(Table43[[#This Row],[Nama            KLP]]," ",Table43[[#This Row],[Nama            Sub KLP]]))</f>
        <v>MITU BABY GANTI POPOK</v>
      </c>
      <c r="M227" s="4" t="str">
        <f>CONCATENATE(Table43[[#This Row],[kode  2 Digit                (hrf+No)]],Table43[[#This Row],[kode  2 Digit                (Nomor)]],Table43[[#This Row],[kode  1 Digit                (Nomor)]])</f>
        <v>G1091</v>
      </c>
      <c r="N227" s="4" t="str">
        <f>IF(AI227="",CONCATENATE(S227,U227,W227,Y227,AA227,AC227,AE227,AG227,Table43[[#This Row],[Tanda Kode Revisi]]),CONCATENATE(S227,U227,W227,Y227,AA227,AC227,AE227,AI227))</f>
        <v>G1091003005011</v>
      </c>
      <c r="O227" s="11">
        <f t="shared" si="4"/>
        <v>14</v>
      </c>
      <c r="P227" s="14" t="str">
        <f>IF(AH227&lt;&gt;"",TRIM(UPPER(CONCATENATE(R227," ",T227," ",V227," ",X227," ",Z227," ",AB227," ","X"," ",Table43[[#This Row],[ISI/CTN]]," ",AH227," ",AD227," ",AF227," ",AJ227))),TRIM(UPPER(CONCATENATE(R227," ",T227," ",V227," ",X227," ",Z227," ",AB227," ","X"," ",Table43[[#This Row],[ISI/CTN]]," ",AD227," ",AF227," ",AJ227))))</f>
        <v>MITU BABY GANTI POPOK PURPLE 50S X 24 PCS BOGOF</v>
      </c>
      <c r="Q227" s="11">
        <f t="shared" si="5"/>
        <v>47</v>
      </c>
      <c r="S227" s="7" t="s">
        <v>34</v>
      </c>
      <c r="T227" s="4" t="s">
        <v>2317</v>
      </c>
      <c r="U227" s="47" t="s">
        <v>2546</v>
      </c>
      <c r="V227" s="48" t="s">
        <v>2334</v>
      </c>
      <c r="W227" s="7">
        <v>1</v>
      </c>
      <c r="X227" s="48"/>
      <c r="Y227" s="47" t="s">
        <v>1116</v>
      </c>
      <c r="Z227" s="4" t="s">
        <v>2339</v>
      </c>
      <c r="AA227" s="49" t="s">
        <v>2538</v>
      </c>
      <c r="AB227" s="4" t="s">
        <v>2337</v>
      </c>
      <c r="AC227" s="49" t="s">
        <v>2630</v>
      </c>
      <c r="AD227" s="4" t="s">
        <v>185</v>
      </c>
      <c r="AE227" s="7">
        <v>1</v>
      </c>
      <c r="AF227" s="4" t="s">
        <v>2338</v>
      </c>
      <c r="AG227" s="7">
        <v>1</v>
      </c>
      <c r="AK227" s="70">
        <f>Table43[[#This Row],[Column4]]</f>
        <v>30240020050001</v>
      </c>
      <c r="AN227" s="7">
        <f>Table43[[#This Row],[ISI/CTN]]</f>
        <v>24</v>
      </c>
      <c r="AO227" s="38">
        <f>Table43[[#This Row],[Harga Jual Pcs GT
(-PPN)]]-(Table43[[#This Row],[Harga Jual Pcs GT
(-PPN)]]*6.5%)</f>
        <v>9882.9500000000007</v>
      </c>
      <c r="AP227" s="38">
        <f>Table43[[#This Row],[Harga Beli Pcs
(-PPN)]]*Table43[[#This Row],[ISI/CTN]]</f>
        <v>237190.80000000002</v>
      </c>
      <c r="AQ227" s="38">
        <f>Table43[[#This Row],[Harga Beli Pcs
(-PPN)]]*1.11</f>
        <v>10970.074500000002</v>
      </c>
      <c r="AR227" s="38">
        <f>Table43[[#This Row],[Harga Beli Krt
(- PPN)]]*1.11</f>
        <v>263281.78800000006</v>
      </c>
      <c r="AS227" s="38">
        <v>10570</v>
      </c>
      <c r="AT227" s="38">
        <f>Table43[[#This Row],[Harga Jual Pcs GT
(-PPN)]]*Table43[[#This Row],[ISI/CTN]]</f>
        <v>253680</v>
      </c>
      <c r="AU227" s="38">
        <f>Table43[[#This Row],[Harga Jual Pcs GT
(-PPN)]]*1.11</f>
        <v>11732.7</v>
      </c>
      <c r="AV227" s="38">
        <f>Table43[[#This Row],[Harga Jual Krt GT
(- PPN)]]*1.11</f>
        <v>281584.80000000005</v>
      </c>
      <c r="AW227" s="38">
        <f>IFERROR(VLOOKUP(Table43[[#This Row],[Kode Pcpl]],'[1]FEB 2026'!$A$3:$X$312,24,0),0)</f>
        <v>0</v>
      </c>
      <c r="AX227" s="38">
        <f>Table43[[#This Row],[Harga Jual Pcs MT
(-PPN)]]*Table43[[#This Row],[ISI/CTN]]</f>
        <v>0</v>
      </c>
      <c r="AY227" s="38">
        <f>Table43[[#This Row],[Harga Jual Pcs MT
(-PPN)]]*1.11</f>
        <v>0</v>
      </c>
      <c r="AZ227" s="38">
        <f>Table43[[#This Row],[Harga Jual Pcs MT
(+PPN)]]*Table43[[#This Row],[ISI/CTN]]</f>
        <v>0</v>
      </c>
      <c r="BA227" s="46">
        <f>(Table43[[#This Row],[Harga Jual Pcs GT
(-PPN)]]-Table43[[#This Row],[Harga Beli Pcs
(-PPN)]])/Table43[[#This Row],[Harga Jual Pcs GT
(-PPN)]]</f>
        <v>6.4999999999999933E-2</v>
      </c>
      <c r="BB227" s="53">
        <f>Table43[[#This Row],[Harga Jual Pcs MT
(-PPN)]]-Table43[[#This Row],[Harga Beli Pcs
(-PPN)]]</f>
        <v>-9882.9500000000007</v>
      </c>
      <c r="BC227" s="54" t="e">
        <f>Table43[[#This Row],[Column1]]/Table43[[#This Row],[Harga Jual Pcs MT
(-PPN)]]</f>
        <v>#DIV/0!</v>
      </c>
      <c r="BD227" s="52"/>
      <c r="BE227" s="7"/>
      <c r="BF227" s="7" t="str">
        <f ca="1">IF(TODAY()-Table43[[#This Row],[Efektif
Pembuatan]]&gt;60,"Lama","Baru")</f>
        <v>Lama</v>
      </c>
      <c r="BG227" s="7" t="str">
        <f ca="1">IF(TODAY()-Table43[[#This Row],[Efektif Naik Harga]]&lt;30,"Naik","Sama")</f>
        <v>Sama</v>
      </c>
      <c r="BH227" s="7"/>
      <c r="BI227" s="7" t="str">
        <f>IF(Table43[[#This Row],[Kode BARANG Win2]]&lt;&gt;"","IDR","")</f>
        <v>IDR</v>
      </c>
      <c r="BJ227" s="7" t="str">
        <f>CONCATENATE(Table43[[#This Row],[kode  1 Digit
(Nomor)]],Table43[[#This Row],[kode  4 Digit                (Nomor)]])</f>
        <v>0050</v>
      </c>
      <c r="BK227" s="7" t="str">
        <f>Table43[[#This Row],[Nama            Gramasi atau Jumlah Pack per CTN]]</f>
        <v>50S</v>
      </c>
      <c r="BL227" s="7"/>
      <c r="BM227" s="7"/>
      <c r="BN227" s="4" t="str">
        <f>IF(Table43[[#This Row],[SATUAN Fix Win]]&lt;&gt;"","KRT")</f>
        <v>KRT</v>
      </c>
      <c r="BO227" s="4" t="str">
        <f>IF(Table43[[#This Row],[SATUAN Fix Win]]&lt;&gt;"","GD01")</f>
        <v>GD01</v>
      </c>
      <c r="BP227" s="4">
        <f>IF(Table43[[#This Row],[SATUAN Fix Win]]&lt;&gt;"",11611)</f>
        <v>11611</v>
      </c>
      <c r="BQ227" s="4">
        <f>IF(Table43[[#This Row],[SATUAN Fix Win]]&lt;&gt;"",11612)</f>
        <v>11612</v>
      </c>
      <c r="BS227" s="4">
        <f>IF(Table43[[#This Row],[SATUAN Fix Win]]&lt;&gt;"",1)</f>
        <v>1</v>
      </c>
      <c r="BU227" s="4">
        <f>Table43[[#This Row],[ISI/CTN]]</f>
        <v>24</v>
      </c>
    </row>
    <row r="228" spans="1:73">
      <c r="A228" s="4" t="str">
        <f>CONCATENATE(Table43[[#This Row],[Kode BARANG Win2]],Table43[[#This Row],[No. Urut
Item Sama]])</f>
        <v>G1091004005011</v>
      </c>
      <c r="B228" s="7"/>
      <c r="C228" s="31">
        <v>30351010022022</v>
      </c>
      <c r="D228" s="51">
        <v>40027248</v>
      </c>
      <c r="E228" s="27" t="s">
        <v>1983</v>
      </c>
      <c r="F228" s="51">
        <v>30240030050001</v>
      </c>
      <c r="G228" s="51">
        <v>0</v>
      </c>
      <c r="H228" s="27" t="s">
        <v>1267</v>
      </c>
      <c r="I228" s="27">
        <v>24</v>
      </c>
      <c r="J228" s="51" t="s">
        <v>1674</v>
      </c>
      <c r="K228" s="27" t="str">
        <f>Table43[[#This Row],[NamaJenisKemasan]]</f>
        <v>PCS</v>
      </c>
      <c r="L228" s="4" t="str">
        <f>TRIM(CONCATENATE(Table43[[#This Row],[Nama            KLP]]," ",Table43[[#This Row],[Nama            Sub KLP]]))</f>
        <v>MITU BABY GANTI POPOK</v>
      </c>
      <c r="M228" s="4" t="str">
        <f>CONCATENATE(Table43[[#This Row],[kode  2 Digit                (hrf+No)]],Table43[[#This Row],[kode  2 Digit                (Nomor)]],Table43[[#This Row],[kode  1 Digit                (Nomor)]])</f>
        <v>G1091</v>
      </c>
      <c r="N228" s="4" t="str">
        <f>IF(AI228="",CONCATENATE(S228,U228,W228,Y228,AA228,AC228,AE228,AG228,Table43[[#This Row],[Tanda Kode Revisi]]),CONCATENATE(S228,U228,W228,Y228,AA228,AC228,AE228,AI228))</f>
        <v>G1091004005011</v>
      </c>
      <c r="O228" s="11">
        <f t="shared" si="4"/>
        <v>14</v>
      </c>
      <c r="P228" s="14" t="str">
        <f>IF(AH228&lt;&gt;"",TRIM(UPPER(CONCATENATE(R228," ",T228," ",V228," ",X228," ",Z228," ",AB228," ","X"," ",Table43[[#This Row],[ISI/CTN]]," ",AH228," ",AD228," ",AF228," ",AJ228))),TRIM(UPPER(CONCATENATE(R228," ",T228," ",V228," ",X228," ",Z228," ",AB228," ","X"," ",Table43[[#This Row],[ISI/CTN]]," ",AD228," ",AF228," ",AJ228))))</f>
        <v>MITU BABY GANTI POPOK WHITE 50S X 24 PCS BOGOF</v>
      </c>
      <c r="Q228" s="11">
        <f t="shared" si="5"/>
        <v>46</v>
      </c>
      <c r="S228" s="7" t="s">
        <v>34</v>
      </c>
      <c r="T228" s="4" t="s">
        <v>2317</v>
      </c>
      <c r="U228" s="47" t="s">
        <v>2546</v>
      </c>
      <c r="V228" s="48" t="s">
        <v>2334</v>
      </c>
      <c r="W228" s="7">
        <v>1</v>
      </c>
      <c r="X228" s="48"/>
      <c r="Y228" s="47" t="s">
        <v>1116</v>
      </c>
      <c r="Z228" s="4" t="s">
        <v>2340</v>
      </c>
      <c r="AA228" s="49" t="s">
        <v>2540</v>
      </c>
      <c r="AB228" s="4" t="s">
        <v>2337</v>
      </c>
      <c r="AC228" s="49" t="s">
        <v>2630</v>
      </c>
      <c r="AD228" s="4" t="s">
        <v>185</v>
      </c>
      <c r="AE228" s="7">
        <v>1</v>
      </c>
      <c r="AF228" s="4" t="s">
        <v>2338</v>
      </c>
      <c r="AG228" s="7">
        <v>1</v>
      </c>
      <c r="AK228" s="70">
        <f>Table43[[#This Row],[Column4]]</f>
        <v>30240030050001</v>
      </c>
      <c r="AN228" s="7">
        <f>Table43[[#This Row],[ISI/CTN]]</f>
        <v>24</v>
      </c>
      <c r="AO228" s="38">
        <f>Table43[[#This Row],[Harga Jual Pcs GT
(-PPN)]]-(Table43[[#This Row],[Harga Jual Pcs GT
(-PPN)]]*6.5%)</f>
        <v>9882.9500000000007</v>
      </c>
      <c r="AP228" s="38">
        <f>Table43[[#This Row],[Harga Beli Pcs
(-PPN)]]*Table43[[#This Row],[ISI/CTN]]</f>
        <v>237190.80000000002</v>
      </c>
      <c r="AQ228" s="38">
        <f>Table43[[#This Row],[Harga Beli Pcs
(-PPN)]]*1.11</f>
        <v>10970.074500000002</v>
      </c>
      <c r="AR228" s="38">
        <f>Table43[[#This Row],[Harga Beli Krt
(- PPN)]]*1.11</f>
        <v>263281.78800000006</v>
      </c>
      <c r="AS228" s="38">
        <v>10570</v>
      </c>
      <c r="AT228" s="38">
        <f>Table43[[#This Row],[Harga Jual Pcs GT
(-PPN)]]*Table43[[#This Row],[ISI/CTN]]</f>
        <v>253680</v>
      </c>
      <c r="AU228" s="38">
        <f>Table43[[#This Row],[Harga Jual Pcs GT
(-PPN)]]*1.11</f>
        <v>11732.7</v>
      </c>
      <c r="AV228" s="38">
        <f>Table43[[#This Row],[Harga Jual Krt GT
(- PPN)]]*1.11</f>
        <v>281584.80000000005</v>
      </c>
      <c r="AW228" s="38">
        <f>IFERROR(VLOOKUP(Table43[[#This Row],[Kode Pcpl]],'[1]FEB 2026'!$A$3:$X$312,24,0),0)</f>
        <v>0</v>
      </c>
      <c r="AX228" s="38">
        <f>Table43[[#This Row],[Harga Jual Pcs MT
(-PPN)]]*Table43[[#This Row],[ISI/CTN]]</f>
        <v>0</v>
      </c>
      <c r="AY228" s="38">
        <f>Table43[[#This Row],[Harga Jual Pcs MT
(-PPN)]]*1.11</f>
        <v>0</v>
      </c>
      <c r="AZ228" s="38">
        <f>Table43[[#This Row],[Harga Jual Pcs MT
(+PPN)]]*Table43[[#This Row],[ISI/CTN]]</f>
        <v>0</v>
      </c>
      <c r="BA228" s="46">
        <f>(Table43[[#This Row],[Harga Jual Pcs GT
(-PPN)]]-Table43[[#This Row],[Harga Beli Pcs
(-PPN)]])/Table43[[#This Row],[Harga Jual Pcs GT
(-PPN)]]</f>
        <v>6.4999999999999933E-2</v>
      </c>
      <c r="BB228" s="53">
        <f>Table43[[#This Row],[Harga Jual Pcs MT
(-PPN)]]-Table43[[#This Row],[Harga Beli Pcs
(-PPN)]]</f>
        <v>-9882.9500000000007</v>
      </c>
      <c r="BC228" s="54" t="e">
        <f>Table43[[#This Row],[Column1]]/Table43[[#This Row],[Harga Jual Pcs MT
(-PPN)]]</f>
        <v>#DIV/0!</v>
      </c>
      <c r="BD228" s="52"/>
      <c r="BE228" s="7"/>
      <c r="BF228" s="7" t="str">
        <f ca="1">IF(TODAY()-Table43[[#This Row],[Efektif
Pembuatan]]&gt;60,"Lama","Baru")</f>
        <v>Lama</v>
      </c>
      <c r="BG228" s="7" t="str">
        <f ca="1">IF(TODAY()-Table43[[#This Row],[Efektif Naik Harga]]&lt;30,"Naik","Sama")</f>
        <v>Sama</v>
      </c>
      <c r="BH228" s="7"/>
      <c r="BI228" s="7" t="str">
        <f>IF(Table43[[#This Row],[Kode BARANG Win2]]&lt;&gt;"","IDR","")</f>
        <v>IDR</v>
      </c>
      <c r="BJ228" s="7" t="str">
        <f>CONCATENATE(Table43[[#This Row],[kode  1 Digit
(Nomor)]],Table43[[#This Row],[kode  4 Digit                (Nomor)]])</f>
        <v>0050</v>
      </c>
      <c r="BK228" s="7" t="str">
        <f>Table43[[#This Row],[Nama            Gramasi atau Jumlah Pack per CTN]]</f>
        <v>50S</v>
      </c>
      <c r="BL228" s="7"/>
      <c r="BM228" s="7"/>
      <c r="BN228" s="4" t="str">
        <f>IF(Table43[[#This Row],[SATUAN Fix Win]]&lt;&gt;"","KRT")</f>
        <v>KRT</v>
      </c>
      <c r="BO228" s="4" t="str">
        <f>IF(Table43[[#This Row],[SATUAN Fix Win]]&lt;&gt;"","GD01")</f>
        <v>GD01</v>
      </c>
      <c r="BP228" s="4">
        <f>IF(Table43[[#This Row],[SATUAN Fix Win]]&lt;&gt;"",11611)</f>
        <v>11611</v>
      </c>
      <c r="BQ228" s="4">
        <f>IF(Table43[[#This Row],[SATUAN Fix Win]]&lt;&gt;"",11612)</f>
        <v>11612</v>
      </c>
      <c r="BS228" s="4">
        <f>IF(Table43[[#This Row],[SATUAN Fix Win]]&lt;&gt;"",1)</f>
        <v>1</v>
      </c>
      <c r="BU228" s="4">
        <f>Table43[[#This Row],[ISI/CTN]]</f>
        <v>24</v>
      </c>
    </row>
    <row r="229" spans="1:73">
      <c r="A229" s="4" t="str">
        <f>CONCATENATE(Table43[[#This Row],[Kode BARANG Win2]],Table43[[#This Row],[No. Urut
Item Sama]])</f>
        <v>G1092001000010</v>
      </c>
      <c r="B229" s="7"/>
      <c r="C229" s="31">
        <v>30240040050001</v>
      </c>
      <c r="D229" s="59">
        <v>40050291</v>
      </c>
      <c r="E229" s="60" t="s">
        <v>2201</v>
      </c>
      <c r="F229" s="59">
        <v>30721010000010</v>
      </c>
      <c r="G229" s="59">
        <v>0</v>
      </c>
      <c r="H229" s="60" t="s">
        <v>1558</v>
      </c>
      <c r="I229" s="60">
        <v>24</v>
      </c>
      <c r="J229" s="59" t="s">
        <v>1866</v>
      </c>
      <c r="K229" s="60" t="str">
        <f>Table43[[#This Row],[NamaJenisKemasan]]</f>
        <v>PACK</v>
      </c>
      <c r="L229" s="4" t="str">
        <f>TRIM(CONCATENATE(Table43[[#This Row],[Nama            KLP]]," ",Table43[[#This Row],[Nama            Sub KLP]]))</f>
        <v>MITU BABY GIFT SET</v>
      </c>
      <c r="M229" s="4" t="str">
        <f>CONCATENATE(Table43[[#This Row],[kode  2 Digit                (hrf+No)]],Table43[[#This Row],[kode  2 Digit                (Nomor)]],Table43[[#This Row],[kode  1 Digit                (Nomor)]])</f>
        <v>G1092</v>
      </c>
      <c r="N229" s="4" t="str">
        <f>IF(AI229="",CONCATENATE(S229,U229,W229,Y229,AA229,AC229,AE229,AG229,Table43[[#This Row],[Tanda Kode Revisi]]),CONCATENATE(S229,U229,W229,Y229,AA229,AC229,AE229,AI229))</f>
        <v>G1092001000010</v>
      </c>
      <c r="O229" s="11">
        <f t="shared" si="4"/>
        <v>14</v>
      </c>
      <c r="P229" s="14" t="str">
        <f>IF(AH229&lt;&gt;"",TRIM(UPPER(CONCATENATE(R229," ",T229," ",V229," ",X229," ",Z229," ",AB229," ","X"," ",Table43[[#This Row],[ISI/CTN]]," ",AH229," ",AD229," ",AF229," ",AJ229))),TRIM(UPPER(CONCATENATE(R229," ",T229," ",V229," ",X229," ",Z229," ",AB229," ","X"," ",Table43[[#This Row],[ISI/CTN]]," ",AD229," ",AF229," ",AJ229))))</f>
        <v>MITU BABY GIFT SET ESSENTIAL X 24 PACK</v>
      </c>
      <c r="Q229" s="11">
        <f t="shared" si="5"/>
        <v>38</v>
      </c>
      <c r="S229" s="7" t="s">
        <v>34</v>
      </c>
      <c r="T229" s="4" t="s">
        <v>2317</v>
      </c>
      <c r="U229" s="47" t="s">
        <v>2546</v>
      </c>
      <c r="V229" s="48" t="s">
        <v>2325</v>
      </c>
      <c r="W229" s="7">
        <v>2</v>
      </c>
      <c r="X229" s="48"/>
      <c r="Y229" s="47" t="s">
        <v>1116</v>
      </c>
      <c r="Z229" s="4" t="s">
        <v>2300</v>
      </c>
      <c r="AA229" s="49" t="s">
        <v>1115</v>
      </c>
      <c r="AC229" s="49" t="s">
        <v>2460</v>
      </c>
      <c r="AD229" s="4" t="s">
        <v>663</v>
      </c>
      <c r="AE229" s="7">
        <v>1</v>
      </c>
      <c r="AG229" s="7">
        <v>0</v>
      </c>
      <c r="AK229" s="70">
        <f>Table43[[#This Row],[Column4]]</f>
        <v>30721010000010</v>
      </c>
      <c r="AN229" s="7">
        <f>Table43[[#This Row],[ISI/CTN]]</f>
        <v>24</v>
      </c>
      <c r="AO229" s="38">
        <f>Table43[[#This Row],[Harga Jual Pcs GT
(-PPN)]]-(Table43[[#This Row],[Harga Jual Pcs GT
(-PPN)]]*6.5%)</f>
        <v>43888.9</v>
      </c>
      <c r="AP229" s="38">
        <f>Table43[[#This Row],[Harga Beli Pcs
(-PPN)]]*Table43[[#This Row],[ISI/CTN]]</f>
        <v>1053333.6000000001</v>
      </c>
      <c r="AQ229" s="38">
        <f>Table43[[#This Row],[Harga Beli Pcs
(-PPN)]]*1.11</f>
        <v>48716.679000000004</v>
      </c>
      <c r="AR229" s="38">
        <f>Table43[[#This Row],[Harga Beli Krt
(- PPN)]]*1.11</f>
        <v>1169200.2960000003</v>
      </c>
      <c r="AS229" s="38">
        <v>46940</v>
      </c>
      <c r="AT229" s="38">
        <f>Table43[[#This Row],[Harga Jual Pcs GT
(-PPN)]]*Table43[[#This Row],[ISI/CTN]]</f>
        <v>1126560</v>
      </c>
      <c r="AU229" s="38">
        <f>Table43[[#This Row],[Harga Jual Pcs GT
(-PPN)]]*1.11</f>
        <v>52103.4</v>
      </c>
      <c r="AV229" s="38">
        <f>Table43[[#This Row],[Harga Jual Krt GT
(- PPN)]]*1.11</f>
        <v>1250481.6000000001</v>
      </c>
      <c r="AW229" s="38">
        <f>IFERROR(VLOOKUP(Table43[[#This Row],[Kode Pcpl]],'[1]FEB 2026'!$A$3:$X$312,24,0),0)</f>
        <v>0</v>
      </c>
      <c r="AX229" s="38">
        <f>Table43[[#This Row],[Harga Jual Pcs MT
(-PPN)]]*Table43[[#This Row],[ISI/CTN]]</f>
        <v>0</v>
      </c>
      <c r="AY229" s="38">
        <f>Table43[[#This Row],[Harga Jual Pcs MT
(-PPN)]]*1.11</f>
        <v>0</v>
      </c>
      <c r="AZ229" s="38">
        <f>Table43[[#This Row],[Harga Jual Pcs MT
(+PPN)]]*Table43[[#This Row],[ISI/CTN]]</f>
        <v>0</v>
      </c>
      <c r="BA229" s="46">
        <f>(Table43[[#This Row],[Harga Jual Pcs GT
(-PPN)]]-Table43[[#This Row],[Harga Beli Pcs
(-PPN)]])/Table43[[#This Row],[Harga Jual Pcs GT
(-PPN)]]</f>
        <v>6.4999999999999974E-2</v>
      </c>
      <c r="BB229" s="53">
        <f>Table43[[#This Row],[Harga Jual Pcs MT
(-PPN)]]-Table43[[#This Row],[Harga Beli Pcs
(-PPN)]]</f>
        <v>-43888.9</v>
      </c>
      <c r="BC229" s="54" t="e">
        <f>Table43[[#This Row],[Column1]]/Table43[[#This Row],[Harga Jual Pcs MT
(-PPN)]]</f>
        <v>#DIV/0!</v>
      </c>
      <c r="BD229" s="52"/>
      <c r="BE229" s="7"/>
      <c r="BF229" s="7" t="str">
        <f ca="1">IF(TODAY()-Table43[[#This Row],[Efektif
Pembuatan]]&gt;60,"Lama","Baru")</f>
        <v>Lama</v>
      </c>
      <c r="BG229" s="7" t="str">
        <f ca="1">IF(TODAY()-Table43[[#This Row],[Efektif Naik Harga]]&lt;30,"Naik","Sama")</f>
        <v>Sama</v>
      </c>
      <c r="BH229" s="7"/>
      <c r="BI229" s="7" t="str">
        <f>IF(Table43[[#This Row],[Kode BARANG Win2]]&lt;&gt;"","IDR","")</f>
        <v>IDR</v>
      </c>
      <c r="BJ229" s="7" t="str">
        <f>CONCATENATE(Table43[[#This Row],[kode  1 Digit
(Nomor)]],Table43[[#This Row],[kode  4 Digit                (Nomor)]])</f>
        <v>0000</v>
      </c>
      <c r="BK229" s="7">
        <f>Table43[[#This Row],[Nama            Gramasi atau Jumlah Pack per CTN]]</f>
        <v>0</v>
      </c>
      <c r="BL229" s="7"/>
      <c r="BM229" s="7"/>
      <c r="BN229" s="4" t="str">
        <f>IF(Table43[[#This Row],[SATUAN Fix Win]]&lt;&gt;"","KRT")</f>
        <v>KRT</v>
      </c>
      <c r="BO229" s="4" t="str">
        <f>IF(Table43[[#This Row],[SATUAN Fix Win]]&lt;&gt;"","GD01")</f>
        <v>GD01</v>
      </c>
      <c r="BP229" s="4">
        <f>IF(Table43[[#This Row],[SATUAN Fix Win]]&lt;&gt;"",11611)</f>
        <v>11611</v>
      </c>
      <c r="BQ229" s="4">
        <f>IF(Table43[[#This Row],[SATUAN Fix Win]]&lt;&gt;"",11612)</f>
        <v>11612</v>
      </c>
      <c r="BS229" s="4">
        <f>IF(Table43[[#This Row],[SATUAN Fix Win]]&lt;&gt;"",1)</f>
        <v>1</v>
      </c>
      <c r="BU229" s="4">
        <f>Table43[[#This Row],[ISI/CTN]]</f>
        <v>24</v>
      </c>
    </row>
    <row r="230" spans="1:73">
      <c r="A230" s="4" t="str">
        <f>CONCATENATE(Table43[[#This Row],[Kode BARANG Win2]],Table43[[#This Row],[No. Urut
Item Sama]])</f>
        <v>G1092002000010</v>
      </c>
      <c r="B230" s="7"/>
      <c r="C230" s="31">
        <v>30301010200000</v>
      </c>
      <c r="D230" s="51">
        <v>40050313</v>
      </c>
      <c r="E230" s="27" t="s">
        <v>2202</v>
      </c>
      <c r="F230" s="51">
        <v>30721020000010</v>
      </c>
      <c r="G230" s="51">
        <v>0</v>
      </c>
      <c r="H230" s="27" t="s">
        <v>1559</v>
      </c>
      <c r="I230" s="27">
        <v>6</v>
      </c>
      <c r="J230" s="51" t="s">
        <v>1867</v>
      </c>
      <c r="K230" s="27" t="str">
        <f>Table43[[#This Row],[NamaJenisKemasan]]</f>
        <v>PACK</v>
      </c>
      <c r="L230" s="4" t="str">
        <f>TRIM(CONCATENATE(Table43[[#This Row],[Nama            KLP]]," ",Table43[[#This Row],[Nama            Sub KLP]]))</f>
        <v>MITU BABY GIFT SET</v>
      </c>
      <c r="M230" s="4" t="str">
        <f>CONCATENATE(Table43[[#This Row],[kode  2 Digit                (hrf+No)]],Table43[[#This Row],[kode  2 Digit                (Nomor)]],Table43[[#This Row],[kode  1 Digit                (Nomor)]])</f>
        <v>G1092</v>
      </c>
      <c r="N230" s="4" t="str">
        <f>IF(AI230="",CONCATENATE(S230,U230,W230,Y230,AA230,AC230,AE230,AG230,Table43[[#This Row],[Tanda Kode Revisi]]),CONCATENATE(S230,U230,W230,Y230,AA230,AC230,AE230,AI230))</f>
        <v>G1092002000010</v>
      </c>
      <c r="O230" s="11">
        <f t="shared" si="4"/>
        <v>14</v>
      </c>
      <c r="P230" s="14" t="str">
        <f>IF(AH230&lt;&gt;"",TRIM(UPPER(CONCATENATE(R230," ",T230," ",V230," ",X230," ",Z230," ",AB230," ","X"," ",Table43[[#This Row],[ISI/CTN]]," ",AH230," ",AD230," ",AF230," ",AJ230))),TRIM(UPPER(CONCATENATE(R230," ",T230," ",V230," ",X230," ",Z230," ",AB230," ","X"," ",Table43[[#This Row],[ISI/CTN]]," ",AD230," ",AF230," ",AJ230))))</f>
        <v>MITU BABY GIFT SET PREMIUM X 6 PACK</v>
      </c>
      <c r="Q230" s="11">
        <f t="shared" si="5"/>
        <v>35</v>
      </c>
      <c r="S230" s="7" t="s">
        <v>34</v>
      </c>
      <c r="T230" s="4" t="s">
        <v>2317</v>
      </c>
      <c r="U230" s="47" t="s">
        <v>2546</v>
      </c>
      <c r="V230" s="48" t="s">
        <v>2325</v>
      </c>
      <c r="W230" s="7">
        <v>2</v>
      </c>
      <c r="X230" s="48"/>
      <c r="Y230" s="47" t="s">
        <v>1116</v>
      </c>
      <c r="Z230" s="4" t="s">
        <v>2301</v>
      </c>
      <c r="AA230" s="49" t="s">
        <v>2459</v>
      </c>
      <c r="AC230" s="49" t="s">
        <v>2460</v>
      </c>
      <c r="AD230" s="4" t="s">
        <v>663</v>
      </c>
      <c r="AE230" s="7">
        <v>1</v>
      </c>
      <c r="AG230" s="7">
        <v>0</v>
      </c>
      <c r="AK230" s="70">
        <f>Table43[[#This Row],[Column4]]</f>
        <v>30721020000010</v>
      </c>
      <c r="AN230" s="7">
        <f>Table43[[#This Row],[ISI/CTN]]</f>
        <v>6</v>
      </c>
      <c r="AO230" s="38">
        <f>Table43[[#This Row],[Harga Jual Pcs GT
(-PPN)]]-(Table43[[#This Row],[Harga Jual Pcs GT
(-PPN)]]*6.5%)</f>
        <v>80410</v>
      </c>
      <c r="AP230" s="38">
        <f>Table43[[#This Row],[Harga Beli Pcs
(-PPN)]]*Table43[[#This Row],[ISI/CTN]]</f>
        <v>482460</v>
      </c>
      <c r="AQ230" s="38">
        <f>Table43[[#This Row],[Harga Beli Pcs
(-PPN)]]*1.11</f>
        <v>89255.1</v>
      </c>
      <c r="AR230" s="38">
        <f>Table43[[#This Row],[Harga Beli Krt
(- PPN)]]*1.11</f>
        <v>535530.60000000009</v>
      </c>
      <c r="AS230" s="38">
        <v>86000</v>
      </c>
      <c r="AT230" s="38">
        <f>Table43[[#This Row],[Harga Jual Pcs GT
(-PPN)]]*Table43[[#This Row],[ISI/CTN]]</f>
        <v>516000</v>
      </c>
      <c r="AU230" s="38">
        <f>Table43[[#This Row],[Harga Jual Pcs GT
(-PPN)]]*1.11</f>
        <v>95460.000000000015</v>
      </c>
      <c r="AV230" s="38">
        <f>Table43[[#This Row],[Harga Jual Krt GT
(- PPN)]]*1.11</f>
        <v>572760</v>
      </c>
      <c r="AW230" s="38">
        <f>IFERROR(VLOOKUP(Table43[[#This Row],[Kode Pcpl]],'[1]FEB 2026'!$A$3:$X$312,24,0),0)</f>
        <v>0</v>
      </c>
      <c r="AX230" s="38">
        <f>Table43[[#This Row],[Harga Jual Pcs MT
(-PPN)]]*Table43[[#This Row],[ISI/CTN]]</f>
        <v>0</v>
      </c>
      <c r="AY230" s="38">
        <f>Table43[[#This Row],[Harga Jual Pcs MT
(-PPN)]]*1.11</f>
        <v>0</v>
      </c>
      <c r="AZ230" s="38">
        <f>Table43[[#This Row],[Harga Jual Pcs MT
(+PPN)]]*Table43[[#This Row],[ISI/CTN]]</f>
        <v>0</v>
      </c>
      <c r="BA230" s="46">
        <f>(Table43[[#This Row],[Harga Jual Pcs GT
(-PPN)]]-Table43[[#This Row],[Harga Beli Pcs
(-PPN)]])/Table43[[#This Row],[Harga Jual Pcs GT
(-PPN)]]</f>
        <v>6.5000000000000002E-2</v>
      </c>
      <c r="BB230" s="53">
        <f>Table43[[#This Row],[Harga Jual Pcs MT
(-PPN)]]-Table43[[#This Row],[Harga Beli Pcs
(-PPN)]]</f>
        <v>-80410</v>
      </c>
      <c r="BC230" s="54" t="e">
        <f>Table43[[#This Row],[Column1]]/Table43[[#This Row],[Harga Jual Pcs MT
(-PPN)]]</f>
        <v>#DIV/0!</v>
      </c>
      <c r="BD230" s="52"/>
      <c r="BE230" s="7"/>
      <c r="BF230" s="7" t="str">
        <f ca="1">IF(TODAY()-Table43[[#This Row],[Efektif
Pembuatan]]&gt;60,"Lama","Baru")</f>
        <v>Lama</v>
      </c>
      <c r="BG230" s="7" t="str">
        <f ca="1">IF(TODAY()-Table43[[#This Row],[Efektif Naik Harga]]&lt;30,"Naik","Sama")</f>
        <v>Sama</v>
      </c>
      <c r="BH230" s="7"/>
      <c r="BI230" s="7" t="str">
        <f>IF(Table43[[#This Row],[Kode BARANG Win2]]&lt;&gt;"","IDR","")</f>
        <v>IDR</v>
      </c>
      <c r="BJ230" s="7" t="str">
        <f>CONCATENATE(Table43[[#This Row],[kode  1 Digit
(Nomor)]],Table43[[#This Row],[kode  4 Digit                (Nomor)]])</f>
        <v>0000</v>
      </c>
      <c r="BK230" s="7">
        <f>Table43[[#This Row],[Nama            Gramasi atau Jumlah Pack per CTN]]</f>
        <v>0</v>
      </c>
      <c r="BL230" s="7"/>
      <c r="BM230" s="7"/>
      <c r="BN230" s="4" t="str">
        <f>IF(Table43[[#This Row],[SATUAN Fix Win]]&lt;&gt;"","KRT")</f>
        <v>KRT</v>
      </c>
      <c r="BO230" s="4" t="str">
        <f>IF(Table43[[#This Row],[SATUAN Fix Win]]&lt;&gt;"","GD01")</f>
        <v>GD01</v>
      </c>
      <c r="BP230" s="4">
        <f>IF(Table43[[#This Row],[SATUAN Fix Win]]&lt;&gt;"",11611)</f>
        <v>11611</v>
      </c>
      <c r="BQ230" s="4">
        <f>IF(Table43[[#This Row],[SATUAN Fix Win]]&lt;&gt;"",11612)</f>
        <v>11612</v>
      </c>
      <c r="BS230" s="4">
        <f>IF(Table43[[#This Row],[SATUAN Fix Win]]&lt;&gt;"",1)</f>
        <v>1</v>
      </c>
      <c r="BU230" s="4">
        <f>Table43[[#This Row],[ISI/CTN]]</f>
        <v>6</v>
      </c>
    </row>
    <row r="231" spans="1:73">
      <c r="A231" s="4" t="str">
        <f>CONCATENATE(Table43[[#This Row],[Kode BARANG Win2]],Table43[[#This Row],[No. Urut
Item Sama]])</f>
        <v>G1093000000010</v>
      </c>
      <c r="B231" s="7"/>
      <c r="C231" s="31">
        <v>30280010050001</v>
      </c>
      <c r="D231" s="51">
        <v>40035995</v>
      </c>
      <c r="E231" s="27" t="s">
        <v>1976</v>
      </c>
      <c r="F231" s="51">
        <v>30220001001000</v>
      </c>
      <c r="G231" s="51">
        <v>0</v>
      </c>
      <c r="H231" s="27" t="s">
        <v>1258</v>
      </c>
      <c r="I231" s="27">
        <v>12</v>
      </c>
      <c r="J231" s="51" t="s">
        <v>1667</v>
      </c>
      <c r="K231" s="27" t="str">
        <f>Table43[[#This Row],[NamaJenisKemasan]]</f>
        <v>BOX</v>
      </c>
      <c r="L231" s="4" t="str">
        <f>TRIM(CONCATENATE(Table43[[#This Row],[Nama            KLP]]," ",Table43[[#This Row],[Nama            Sub KLP]]))</f>
        <v>MITU BABY PAKET</v>
      </c>
      <c r="M231" s="4" t="str">
        <f>CONCATENATE(Table43[[#This Row],[kode  2 Digit                (hrf+No)]],Table43[[#This Row],[kode  2 Digit                (Nomor)]],Table43[[#This Row],[kode  1 Digit                (Nomor)]])</f>
        <v>G1093</v>
      </c>
      <c r="N231" s="4" t="str">
        <f>IF(AI231="",CONCATENATE(S231,U231,W231,Y231,AA231,AC231,AE231,AG231,Table43[[#This Row],[Tanda Kode Revisi]]),CONCATENATE(S231,U231,W231,Y231,AA231,AC231,AE231,AI231))</f>
        <v>G1093000000010</v>
      </c>
      <c r="O231" s="11">
        <f t="shared" si="4"/>
        <v>14</v>
      </c>
      <c r="P231" s="14" t="str">
        <f>IF(AH231&lt;&gt;"",TRIM(UPPER(CONCATENATE(R231," ",T231," ",V231," ",X231," ",Z231," ",AB231," ","X"," ",Table43[[#This Row],[ISI/CTN]]," ",AH231," ",AD231," ",AF231," ",AJ231))),TRIM(UPPER(CONCATENATE(R231," ",T231," ",V231," ",X231," ",Z231," ",AB231," ","X"," ",Table43[[#This Row],[ISI/CTN]]," ",AD231," ",AF231," ",AJ231))))</f>
        <v>MITU BABY PAKET X 12 BOX</v>
      </c>
      <c r="Q231" s="11">
        <f t="shared" si="5"/>
        <v>24</v>
      </c>
      <c r="S231" s="7" t="s">
        <v>34</v>
      </c>
      <c r="T231" s="4" t="s">
        <v>2317</v>
      </c>
      <c r="U231" s="47" t="s">
        <v>2546</v>
      </c>
      <c r="V231" s="48" t="s">
        <v>2326</v>
      </c>
      <c r="W231" s="7">
        <v>3</v>
      </c>
      <c r="X231" s="48"/>
      <c r="Y231" s="47" t="s">
        <v>1116</v>
      </c>
      <c r="AA231" s="49" t="s">
        <v>1117</v>
      </c>
      <c r="AC231" s="49" t="s">
        <v>2460</v>
      </c>
      <c r="AD231" s="4" t="s">
        <v>662</v>
      </c>
      <c r="AE231" s="7">
        <v>1</v>
      </c>
      <c r="AG231" s="7">
        <v>0</v>
      </c>
      <c r="AK231" s="70">
        <f>Table43[[#This Row],[Column4]]</f>
        <v>30220001001000</v>
      </c>
      <c r="AN231" s="7">
        <f>Table43[[#This Row],[ISI/CTN]]</f>
        <v>12</v>
      </c>
      <c r="AO231" s="38">
        <f>Table43[[#This Row],[Harga Jual Pcs GT
(-PPN)]]-(Table43[[#This Row],[Harga Jual Pcs GT
(-PPN)]]*6.5%)</f>
        <v>46338.6</v>
      </c>
      <c r="AP231" s="38">
        <f>Table43[[#This Row],[Harga Beli Pcs
(-PPN)]]*Table43[[#This Row],[ISI/CTN]]</f>
        <v>556063.19999999995</v>
      </c>
      <c r="AQ231" s="38">
        <f>Table43[[#This Row],[Harga Beli Pcs
(-PPN)]]*1.11</f>
        <v>51435.846000000005</v>
      </c>
      <c r="AR231" s="38">
        <f>Table43[[#This Row],[Harga Beli Krt
(- PPN)]]*1.11</f>
        <v>617230.152</v>
      </c>
      <c r="AS231" s="38">
        <v>49560</v>
      </c>
      <c r="AT231" s="38">
        <f>Table43[[#This Row],[Harga Jual Pcs GT
(-PPN)]]*Table43[[#This Row],[ISI/CTN]]</f>
        <v>594720</v>
      </c>
      <c r="AU231" s="38">
        <f>Table43[[#This Row],[Harga Jual Pcs GT
(-PPN)]]*1.11</f>
        <v>55011.600000000006</v>
      </c>
      <c r="AV231" s="38">
        <f>Table43[[#This Row],[Harga Jual Krt GT
(- PPN)]]*1.11</f>
        <v>660139.20000000007</v>
      </c>
      <c r="AW231" s="38">
        <f>IFERROR(VLOOKUP(Table43[[#This Row],[Kode Pcpl]],'[1]FEB 2026'!$A$3:$X$312,24,0),0)</f>
        <v>0</v>
      </c>
      <c r="AX231" s="38">
        <f>Table43[[#This Row],[Harga Jual Pcs MT
(-PPN)]]*Table43[[#This Row],[ISI/CTN]]</f>
        <v>0</v>
      </c>
      <c r="AY231" s="38">
        <f>Table43[[#This Row],[Harga Jual Pcs MT
(-PPN)]]*1.11</f>
        <v>0</v>
      </c>
      <c r="AZ231" s="38">
        <f>Table43[[#This Row],[Harga Jual Pcs MT
(+PPN)]]*Table43[[#This Row],[ISI/CTN]]</f>
        <v>0</v>
      </c>
      <c r="BA231" s="46">
        <f>(Table43[[#This Row],[Harga Jual Pcs GT
(-PPN)]]-Table43[[#This Row],[Harga Beli Pcs
(-PPN)]])/Table43[[#This Row],[Harga Jual Pcs GT
(-PPN)]]</f>
        <v>6.500000000000003E-2</v>
      </c>
      <c r="BB231" s="53">
        <f>Table43[[#This Row],[Harga Jual Pcs MT
(-PPN)]]-Table43[[#This Row],[Harga Beli Pcs
(-PPN)]]</f>
        <v>-46338.6</v>
      </c>
      <c r="BC231" s="54" t="e">
        <f>Table43[[#This Row],[Column1]]/Table43[[#This Row],[Harga Jual Pcs MT
(-PPN)]]</f>
        <v>#DIV/0!</v>
      </c>
      <c r="BD231" s="52"/>
      <c r="BE231" s="7"/>
      <c r="BF231" s="7" t="str">
        <f ca="1">IF(TODAY()-Table43[[#This Row],[Efektif
Pembuatan]]&gt;60,"Lama","Baru")</f>
        <v>Lama</v>
      </c>
      <c r="BG231" s="7" t="str">
        <f ca="1">IF(TODAY()-Table43[[#This Row],[Efektif Naik Harga]]&lt;30,"Naik","Sama")</f>
        <v>Sama</v>
      </c>
      <c r="BH231" s="7"/>
      <c r="BI231" s="7" t="str">
        <f>IF(Table43[[#This Row],[Kode BARANG Win2]]&lt;&gt;"","IDR","")</f>
        <v>IDR</v>
      </c>
      <c r="BJ231" s="7" t="str">
        <f>CONCATENATE(Table43[[#This Row],[kode  1 Digit
(Nomor)]],Table43[[#This Row],[kode  4 Digit                (Nomor)]])</f>
        <v>0000</v>
      </c>
      <c r="BK231" s="7">
        <f>Table43[[#This Row],[Nama            Gramasi atau Jumlah Pack per CTN]]</f>
        <v>0</v>
      </c>
      <c r="BL231" s="7"/>
      <c r="BM231" s="7"/>
      <c r="BN231" s="4" t="str">
        <f>IF(Table43[[#This Row],[SATUAN Fix Win]]&lt;&gt;"","KRT")</f>
        <v>KRT</v>
      </c>
      <c r="BO231" s="4" t="str">
        <f>IF(Table43[[#This Row],[SATUAN Fix Win]]&lt;&gt;"","GD01")</f>
        <v>GD01</v>
      </c>
      <c r="BP231" s="4">
        <f>IF(Table43[[#This Row],[SATUAN Fix Win]]&lt;&gt;"",11611)</f>
        <v>11611</v>
      </c>
      <c r="BQ231" s="4">
        <f>IF(Table43[[#This Row],[SATUAN Fix Win]]&lt;&gt;"",11612)</f>
        <v>11612</v>
      </c>
      <c r="BS231" s="4">
        <f>IF(Table43[[#This Row],[SATUAN Fix Win]]&lt;&gt;"",1)</f>
        <v>1</v>
      </c>
      <c r="BU231" s="4">
        <f>Table43[[#This Row],[ISI/CTN]]</f>
        <v>12</v>
      </c>
    </row>
    <row r="232" spans="1:73">
      <c r="A232" s="4" t="str">
        <f>CONCATENATE(Table43[[#This Row],[Kode BARANG Win2]],Table43[[#This Row],[No. Urut
Item Sama]])</f>
        <v>G1101001005010</v>
      </c>
      <c r="B232" s="7"/>
      <c r="C232" s="31">
        <v>30230020100000</v>
      </c>
      <c r="D232" s="51">
        <v>40028274</v>
      </c>
      <c r="E232" s="27" t="s">
        <v>1977</v>
      </c>
      <c r="F232" s="51">
        <v>30230010050000</v>
      </c>
      <c r="G232" s="51">
        <v>0</v>
      </c>
      <c r="H232" s="27" t="s">
        <v>1259</v>
      </c>
      <c r="I232" s="27">
        <v>48</v>
      </c>
      <c r="J232" s="51" t="s">
        <v>1668</v>
      </c>
      <c r="K232" s="27" t="str">
        <f>Table43[[#This Row],[NamaJenisKemasan]]</f>
        <v>PCS</v>
      </c>
      <c r="L232" s="4" t="str">
        <f>TRIM(CONCATENATE(Table43[[#This Row],[Nama            KLP]]," ",Table43[[#This Row],[Nama            Sub KLP]]))</f>
        <v>MITU BABY COLOGNE F&amp;C</v>
      </c>
      <c r="M232" s="4" t="str">
        <f>CONCATENATE(Table43[[#This Row],[kode  2 Digit                (hrf+No)]],Table43[[#This Row],[kode  2 Digit                (Nomor)]],Table43[[#This Row],[kode  1 Digit                (Nomor)]])</f>
        <v>G1101</v>
      </c>
      <c r="N232" s="4" t="str">
        <f>IF(AI232="",CONCATENATE(S232,U232,W232,Y232,AA232,AC232,AE232,AG232,Table43[[#This Row],[Tanda Kode Revisi]]),CONCATENATE(S232,U232,W232,Y232,AA232,AC232,AE232,AI232))</f>
        <v>G1101001005010</v>
      </c>
      <c r="O232" s="11">
        <f t="shared" ref="O232:O298" si="6">LEN(N232)</f>
        <v>14</v>
      </c>
      <c r="P232" s="14" t="str">
        <f>IF(AH232&lt;&gt;"",TRIM(UPPER(CONCATENATE(R232," ",T232," ",V232," ",X232," ",Z232," ",AB232," ","X"," ",Table43[[#This Row],[ISI/CTN]]," ",AH232," ",AD232," ",AF232," ",AJ232))),TRIM(UPPER(CONCATENATE(R232," ",T232," ",V232," ",X232," ",Z232," ",AB232," ","X"," ",Table43[[#This Row],[ISI/CTN]]," ",AD232," ",AF232," ",AJ232))))</f>
        <v>MITU BABY COLOGNE F&amp;C FRESH GREEN 50ML X 48 PCS</v>
      </c>
      <c r="Q232" s="11">
        <f t="shared" ref="Q232:Q298" si="7">LEN(P232)</f>
        <v>47</v>
      </c>
      <c r="S232" s="7" t="s">
        <v>34</v>
      </c>
      <c r="T232" s="4" t="s">
        <v>2547</v>
      </c>
      <c r="U232" s="47" t="s">
        <v>2556</v>
      </c>
      <c r="V232" s="48" t="s">
        <v>2327</v>
      </c>
      <c r="W232" s="7">
        <v>1</v>
      </c>
      <c r="X232" s="48"/>
      <c r="Y232" s="47" t="s">
        <v>1116</v>
      </c>
      <c r="Z232" s="4" t="s">
        <v>2331</v>
      </c>
      <c r="AA232" s="49" t="s">
        <v>1115</v>
      </c>
      <c r="AB232" s="4" t="s">
        <v>1089</v>
      </c>
      <c r="AC232" s="49" t="s">
        <v>2630</v>
      </c>
      <c r="AD232" s="4" t="s">
        <v>185</v>
      </c>
      <c r="AE232" s="7">
        <v>1</v>
      </c>
      <c r="AG232" s="7">
        <v>0</v>
      </c>
      <c r="AK232" s="70">
        <f>Table43[[#This Row],[Column4]]</f>
        <v>30230010050000</v>
      </c>
      <c r="AN232" s="7">
        <f>Table43[[#This Row],[ISI/CTN]]</f>
        <v>48</v>
      </c>
      <c r="AO232" s="38">
        <f>Table43[[#This Row],[Harga Jual Pcs GT
(-PPN)]]-(Table43[[#This Row],[Harga Jual Pcs GT
(-PPN)]]*6.5%)</f>
        <v>9134.9500000000007</v>
      </c>
      <c r="AP232" s="38">
        <f>Table43[[#This Row],[Harga Beli Pcs
(-PPN)]]*Table43[[#This Row],[ISI/CTN]]</f>
        <v>438477.60000000003</v>
      </c>
      <c r="AQ232" s="38">
        <f>Table43[[#This Row],[Harga Beli Pcs
(-PPN)]]*1.11</f>
        <v>10139.794500000002</v>
      </c>
      <c r="AR232" s="38">
        <f>Table43[[#This Row],[Harga Beli Krt
(- PPN)]]*1.11</f>
        <v>486710.13600000006</v>
      </c>
      <c r="AS232" s="38">
        <v>9770</v>
      </c>
      <c r="AT232" s="38">
        <f>Table43[[#This Row],[Harga Jual Pcs GT
(-PPN)]]*Table43[[#This Row],[ISI/CTN]]</f>
        <v>468960</v>
      </c>
      <c r="AU232" s="38">
        <f>Table43[[#This Row],[Harga Jual Pcs GT
(-PPN)]]*1.11</f>
        <v>10844.7</v>
      </c>
      <c r="AV232" s="38">
        <f>Table43[[#This Row],[Harga Jual Krt GT
(- PPN)]]*1.11</f>
        <v>520545.60000000003</v>
      </c>
      <c r="AW232" s="38">
        <f>IFERROR(VLOOKUP(Table43[[#This Row],[Kode Pcpl]],'[1]FEB 2026'!$A$3:$X$312,24,0),0)</f>
        <v>0</v>
      </c>
      <c r="AX232" s="38">
        <f>Table43[[#This Row],[Harga Jual Pcs MT
(-PPN)]]*Table43[[#This Row],[ISI/CTN]]</f>
        <v>0</v>
      </c>
      <c r="AY232" s="38">
        <f>Table43[[#This Row],[Harga Jual Pcs MT
(-PPN)]]*1.11</f>
        <v>0</v>
      </c>
      <c r="AZ232" s="38">
        <f>Table43[[#This Row],[Harga Jual Pcs MT
(+PPN)]]*Table43[[#This Row],[ISI/CTN]]</f>
        <v>0</v>
      </c>
      <c r="BA232" s="46">
        <f>(Table43[[#This Row],[Harga Jual Pcs GT
(-PPN)]]-Table43[[#This Row],[Harga Beli Pcs
(-PPN)]])/Table43[[#This Row],[Harga Jual Pcs GT
(-PPN)]]</f>
        <v>6.4999999999999919E-2</v>
      </c>
      <c r="BB232" s="53">
        <f>Table43[[#This Row],[Harga Jual Pcs MT
(-PPN)]]-Table43[[#This Row],[Harga Beli Pcs
(-PPN)]]</f>
        <v>-9134.9500000000007</v>
      </c>
      <c r="BC232" s="54" t="e">
        <f>Table43[[#This Row],[Column1]]/Table43[[#This Row],[Harga Jual Pcs MT
(-PPN)]]</f>
        <v>#DIV/0!</v>
      </c>
      <c r="BD232" s="52"/>
      <c r="BE232" s="7"/>
      <c r="BF232" s="7" t="str">
        <f ca="1">IF(TODAY()-Table43[[#This Row],[Efektif
Pembuatan]]&gt;60,"Lama","Baru")</f>
        <v>Lama</v>
      </c>
      <c r="BG232" s="7" t="str">
        <f ca="1">IF(TODAY()-Table43[[#This Row],[Efektif Naik Harga]]&lt;30,"Naik","Sama")</f>
        <v>Sama</v>
      </c>
      <c r="BH232" s="7"/>
      <c r="BI232" s="7" t="str">
        <f>IF(Table43[[#This Row],[Kode BARANG Win2]]&lt;&gt;"","IDR","")</f>
        <v>IDR</v>
      </c>
      <c r="BJ232" s="7" t="str">
        <f>CONCATENATE(Table43[[#This Row],[kode  1 Digit
(Nomor)]],Table43[[#This Row],[kode  4 Digit                (Nomor)]])</f>
        <v>0050</v>
      </c>
      <c r="BK232" s="7" t="str">
        <f>Table43[[#This Row],[Nama            Gramasi atau Jumlah Pack per CTN]]</f>
        <v>50ML</v>
      </c>
      <c r="BL232" s="7"/>
      <c r="BM232" s="7"/>
      <c r="BN232" s="4" t="str">
        <f>IF(Table43[[#This Row],[SATUAN Fix Win]]&lt;&gt;"","KRT")</f>
        <v>KRT</v>
      </c>
      <c r="BO232" s="4" t="str">
        <f>IF(Table43[[#This Row],[SATUAN Fix Win]]&lt;&gt;"","GD01")</f>
        <v>GD01</v>
      </c>
      <c r="BP232" s="4">
        <f>IF(Table43[[#This Row],[SATUAN Fix Win]]&lt;&gt;"",11611)</f>
        <v>11611</v>
      </c>
      <c r="BQ232" s="4">
        <f>IF(Table43[[#This Row],[SATUAN Fix Win]]&lt;&gt;"",11612)</f>
        <v>11612</v>
      </c>
      <c r="BS232" s="4">
        <f>IF(Table43[[#This Row],[SATUAN Fix Win]]&lt;&gt;"",1)</f>
        <v>1</v>
      </c>
      <c r="BU232" s="4">
        <f>Table43[[#This Row],[ISI/CTN]]</f>
        <v>48</v>
      </c>
    </row>
    <row r="233" spans="1:73">
      <c r="A233" s="4" t="str">
        <f>CONCATENATE(Table43[[#This Row],[Kode BARANG Win2]],Table43[[#This Row],[No. Urut
Item Sama]])</f>
        <v>G1101001010010</v>
      </c>
      <c r="B233" s="7"/>
      <c r="C233" s="31">
        <v>30230020050000</v>
      </c>
      <c r="D233" s="51">
        <v>40028012</v>
      </c>
      <c r="E233" s="27" t="s">
        <v>1978</v>
      </c>
      <c r="F233" s="51">
        <v>30230010100000</v>
      </c>
      <c r="G233" s="51">
        <v>0</v>
      </c>
      <c r="H233" s="27" t="s">
        <v>1260</v>
      </c>
      <c r="I233" s="27">
        <v>48</v>
      </c>
      <c r="J233" s="51" t="s">
        <v>1669</v>
      </c>
      <c r="K233" s="27" t="str">
        <f>Table43[[#This Row],[NamaJenisKemasan]]</f>
        <v>PCS</v>
      </c>
      <c r="L233" s="4" t="str">
        <f>TRIM(CONCATENATE(Table43[[#This Row],[Nama            KLP]]," ",Table43[[#This Row],[Nama            Sub KLP]]))</f>
        <v>MITU BABY COLOGNE F&amp;C</v>
      </c>
      <c r="M233" s="4" t="str">
        <f>CONCATENATE(Table43[[#This Row],[kode  2 Digit                (hrf+No)]],Table43[[#This Row],[kode  2 Digit                (Nomor)]],Table43[[#This Row],[kode  1 Digit                (Nomor)]])</f>
        <v>G1101</v>
      </c>
      <c r="N233" s="4" t="str">
        <f>IF(AI233="",CONCATENATE(S233,U233,W233,Y233,AA233,AC233,AE233,AG233,Table43[[#This Row],[Tanda Kode Revisi]]),CONCATENATE(S233,U233,W233,Y233,AA233,AC233,AE233,AI233))</f>
        <v>G1101001010010</v>
      </c>
      <c r="O233" s="11">
        <f t="shared" si="6"/>
        <v>14</v>
      </c>
      <c r="P233" s="14" t="str">
        <f>IF(AH233&lt;&gt;"",TRIM(UPPER(CONCATENATE(R233," ",T233," ",V233," ",X233," ",Z233," ",AB233," ","X"," ",Table43[[#This Row],[ISI/CTN]]," ",AH233," ",AD233," ",AF233," ",AJ233))),TRIM(UPPER(CONCATENATE(R233," ",T233," ",V233," ",X233," ",Z233," ",AB233," ","X"," ",Table43[[#This Row],[ISI/CTN]]," ",AD233," ",AF233," ",AJ233))))</f>
        <v>MITU BABY COLOGNE F&amp;C FRESH GREEN 100ML X 48 PCS</v>
      </c>
      <c r="Q233" s="11">
        <f t="shared" si="7"/>
        <v>48</v>
      </c>
      <c r="S233" s="7" t="s">
        <v>34</v>
      </c>
      <c r="T233" s="4" t="s">
        <v>2547</v>
      </c>
      <c r="U233" s="47" t="s">
        <v>2556</v>
      </c>
      <c r="V233" s="48" t="s">
        <v>2327</v>
      </c>
      <c r="W233" s="7">
        <v>1</v>
      </c>
      <c r="X233" s="48"/>
      <c r="Y233" s="47" t="s">
        <v>1116</v>
      </c>
      <c r="Z233" s="4" t="s">
        <v>2331</v>
      </c>
      <c r="AA233" s="49" t="s">
        <v>1115</v>
      </c>
      <c r="AB233" s="4" t="s">
        <v>650</v>
      </c>
      <c r="AC233" s="49" t="s">
        <v>1118</v>
      </c>
      <c r="AD233" s="4" t="s">
        <v>185</v>
      </c>
      <c r="AE233" s="7">
        <v>1</v>
      </c>
      <c r="AG233" s="7">
        <v>0</v>
      </c>
      <c r="AK233" s="70">
        <f>Table43[[#This Row],[Column4]]</f>
        <v>30230010100000</v>
      </c>
      <c r="AN233" s="7">
        <f>Table43[[#This Row],[ISI/CTN]]</f>
        <v>48</v>
      </c>
      <c r="AO233" s="38">
        <f>Table43[[#This Row],[Harga Jual Pcs GT
(-PPN)]]-(Table43[[#This Row],[Harga Jual Pcs GT
(-PPN)]]*6.5%)</f>
        <v>17082.45</v>
      </c>
      <c r="AP233" s="38">
        <f>Table43[[#This Row],[Harga Beli Pcs
(-PPN)]]*Table43[[#This Row],[ISI/CTN]]</f>
        <v>819957.60000000009</v>
      </c>
      <c r="AQ233" s="38">
        <f>Table43[[#This Row],[Harga Beli Pcs
(-PPN)]]*1.11</f>
        <v>18961.519500000002</v>
      </c>
      <c r="AR233" s="38">
        <f>Table43[[#This Row],[Harga Beli Krt
(- PPN)]]*1.11</f>
        <v>910152.93600000022</v>
      </c>
      <c r="AS233" s="38">
        <v>18270</v>
      </c>
      <c r="AT233" s="38">
        <f>Table43[[#This Row],[Harga Jual Pcs GT
(-PPN)]]*Table43[[#This Row],[ISI/CTN]]</f>
        <v>876960</v>
      </c>
      <c r="AU233" s="38">
        <f>Table43[[#This Row],[Harga Jual Pcs GT
(-PPN)]]*1.11</f>
        <v>20279.7</v>
      </c>
      <c r="AV233" s="38">
        <f>Table43[[#This Row],[Harga Jual Krt GT
(- PPN)]]*1.11</f>
        <v>973425.60000000009</v>
      </c>
      <c r="AW233" s="38">
        <f>IFERROR(VLOOKUP(Table43[[#This Row],[Kode Pcpl]],'[1]FEB 2026'!$A$3:$X$312,24,0),0)</f>
        <v>0</v>
      </c>
      <c r="AX233" s="38">
        <f>Table43[[#This Row],[Harga Jual Pcs MT
(-PPN)]]*Table43[[#This Row],[ISI/CTN]]</f>
        <v>0</v>
      </c>
      <c r="AY233" s="38">
        <f>Table43[[#This Row],[Harga Jual Pcs MT
(-PPN)]]*1.11</f>
        <v>0</v>
      </c>
      <c r="AZ233" s="38">
        <f>Table43[[#This Row],[Harga Jual Pcs MT
(+PPN)]]*Table43[[#This Row],[ISI/CTN]]</f>
        <v>0</v>
      </c>
      <c r="BA233" s="46">
        <f>(Table43[[#This Row],[Harga Jual Pcs GT
(-PPN)]]-Table43[[#This Row],[Harga Beli Pcs
(-PPN)]])/Table43[[#This Row],[Harga Jual Pcs GT
(-PPN)]]</f>
        <v>6.4999999999999961E-2</v>
      </c>
      <c r="BB233" s="53">
        <f>Table43[[#This Row],[Harga Jual Pcs MT
(-PPN)]]-Table43[[#This Row],[Harga Beli Pcs
(-PPN)]]</f>
        <v>-17082.45</v>
      </c>
      <c r="BC233" s="54" t="e">
        <f>Table43[[#This Row],[Column1]]/Table43[[#This Row],[Harga Jual Pcs MT
(-PPN)]]</f>
        <v>#DIV/0!</v>
      </c>
      <c r="BD233" s="52"/>
      <c r="BE233" s="7"/>
      <c r="BF233" s="7" t="str">
        <f ca="1">IF(TODAY()-Table43[[#This Row],[Efektif
Pembuatan]]&gt;60,"Lama","Baru")</f>
        <v>Lama</v>
      </c>
      <c r="BG233" s="7" t="str">
        <f ca="1">IF(TODAY()-Table43[[#This Row],[Efektif Naik Harga]]&lt;30,"Naik","Sama")</f>
        <v>Sama</v>
      </c>
      <c r="BH233" s="7"/>
      <c r="BI233" s="7" t="str">
        <f>IF(Table43[[#This Row],[Kode BARANG Win2]]&lt;&gt;"","IDR","")</f>
        <v>IDR</v>
      </c>
      <c r="BJ233" s="7" t="str">
        <f>CONCATENATE(Table43[[#This Row],[kode  1 Digit
(Nomor)]],Table43[[#This Row],[kode  4 Digit                (Nomor)]])</f>
        <v>0100</v>
      </c>
      <c r="BK233" s="7" t="str">
        <f>Table43[[#This Row],[Nama            Gramasi atau Jumlah Pack per CTN]]</f>
        <v>100ML</v>
      </c>
      <c r="BL233" s="7"/>
      <c r="BM233" s="7"/>
      <c r="BN233" s="4" t="str">
        <f>IF(Table43[[#This Row],[SATUAN Fix Win]]&lt;&gt;"","KRT")</f>
        <v>KRT</v>
      </c>
      <c r="BO233" s="4" t="str">
        <f>IF(Table43[[#This Row],[SATUAN Fix Win]]&lt;&gt;"","GD01")</f>
        <v>GD01</v>
      </c>
      <c r="BP233" s="4">
        <f>IF(Table43[[#This Row],[SATUAN Fix Win]]&lt;&gt;"",11611)</f>
        <v>11611</v>
      </c>
      <c r="BQ233" s="4">
        <f>IF(Table43[[#This Row],[SATUAN Fix Win]]&lt;&gt;"",11612)</f>
        <v>11612</v>
      </c>
      <c r="BS233" s="4">
        <f>IF(Table43[[#This Row],[SATUAN Fix Win]]&lt;&gt;"",1)</f>
        <v>1</v>
      </c>
      <c r="BU233" s="4">
        <f>Table43[[#This Row],[ISI/CTN]]</f>
        <v>48</v>
      </c>
    </row>
    <row r="234" spans="1:73">
      <c r="A234" s="4" t="str">
        <f>CONCATENATE(Table43[[#This Row],[Kode BARANG Win2]],Table43[[#This Row],[No. Urut
Item Sama]])</f>
        <v>G1101001010010</v>
      </c>
      <c r="B234" s="7"/>
      <c r="C234" s="31">
        <v>30230020100000</v>
      </c>
      <c r="D234" s="51">
        <v>40058790</v>
      </c>
      <c r="E234" s="27" t="s">
        <v>1978</v>
      </c>
      <c r="F234" s="51">
        <v>30230010100000</v>
      </c>
      <c r="G234" s="51">
        <v>0</v>
      </c>
      <c r="H234" s="27" t="s">
        <v>1261</v>
      </c>
      <c r="I234" s="27">
        <v>48</v>
      </c>
      <c r="J234" s="51" t="s">
        <v>1669</v>
      </c>
      <c r="K234" s="27" t="str">
        <f>Table43[[#This Row],[NamaJenisKemasan]]</f>
        <v>PCS</v>
      </c>
      <c r="L234" s="4" t="str">
        <f>TRIM(CONCATENATE(Table43[[#This Row],[Nama            KLP]]," ",Table43[[#This Row],[Nama            Sub KLP]]))</f>
        <v>MITU BABY COLOGNE F&amp;C</v>
      </c>
      <c r="M234" s="4" t="str">
        <f>CONCATENATE(Table43[[#This Row],[kode  2 Digit                (hrf+No)]],Table43[[#This Row],[kode  2 Digit                (Nomor)]],Table43[[#This Row],[kode  1 Digit                (Nomor)]])</f>
        <v>G1101</v>
      </c>
      <c r="N234" s="4" t="str">
        <f>IF(AI234="",CONCATENATE(S234,U234,W234,Y234,AA234,AC234,AE234,AG234,Table43[[#This Row],[Tanda Kode Revisi]]),CONCATENATE(S234,U234,W234,Y234,AA234,AC234,AE234,AI234))</f>
        <v>G1101001010010</v>
      </c>
      <c r="O234" s="11">
        <f t="shared" si="6"/>
        <v>14</v>
      </c>
      <c r="P234" s="14" t="str">
        <f>IF(AH234&lt;&gt;"",TRIM(UPPER(CONCATENATE(R234," ",T234," ",V234," ",X234," ",Z234," ",AB234," ","X"," ",Table43[[#This Row],[ISI/CTN]]," ",AH234," ",AD234," ",AF234," ",AJ234))),TRIM(UPPER(CONCATENATE(R234," ",T234," ",V234," ",X234," ",Z234," ",AB234," ","X"," ",Table43[[#This Row],[ISI/CTN]]," ",AD234," ",AF234," ",AJ234))))</f>
        <v>MITU BABY COLOGNE F&amp;C FRESH GREEN 100ML X 48 PCS</v>
      </c>
      <c r="Q234" s="11">
        <f t="shared" si="7"/>
        <v>48</v>
      </c>
      <c r="S234" s="7" t="s">
        <v>34</v>
      </c>
      <c r="T234" s="4" t="s">
        <v>2547</v>
      </c>
      <c r="U234" s="47" t="s">
        <v>2556</v>
      </c>
      <c r="V234" s="48" t="s">
        <v>2327</v>
      </c>
      <c r="W234" s="7">
        <v>1</v>
      </c>
      <c r="X234" s="48"/>
      <c r="Y234" s="47" t="s">
        <v>1116</v>
      </c>
      <c r="Z234" s="4" t="s">
        <v>2331</v>
      </c>
      <c r="AA234" s="49" t="s">
        <v>1115</v>
      </c>
      <c r="AB234" s="4" t="s">
        <v>650</v>
      </c>
      <c r="AC234" s="49" t="s">
        <v>1118</v>
      </c>
      <c r="AD234" s="4" t="s">
        <v>185</v>
      </c>
      <c r="AE234" s="7">
        <v>1</v>
      </c>
      <c r="AG234" s="7">
        <v>0</v>
      </c>
      <c r="AK234" s="70">
        <f>Table43[[#This Row],[Column4]]</f>
        <v>30230010100000</v>
      </c>
      <c r="AN234" s="7">
        <f>Table43[[#This Row],[ISI/CTN]]</f>
        <v>48</v>
      </c>
      <c r="AO234" s="38">
        <f>Table43[[#This Row],[Harga Jual Pcs GT
(-PPN)]]-(Table43[[#This Row],[Harga Jual Pcs GT
(-PPN)]]*6.5%)</f>
        <v>17082.45</v>
      </c>
      <c r="AP234" s="38">
        <f>Table43[[#This Row],[Harga Beli Pcs
(-PPN)]]*Table43[[#This Row],[ISI/CTN]]</f>
        <v>819957.60000000009</v>
      </c>
      <c r="AQ234" s="38">
        <f>Table43[[#This Row],[Harga Beli Pcs
(-PPN)]]*1.11</f>
        <v>18961.519500000002</v>
      </c>
      <c r="AR234" s="38">
        <f>Table43[[#This Row],[Harga Beli Krt
(- PPN)]]*1.11</f>
        <v>910152.93600000022</v>
      </c>
      <c r="AS234" s="38">
        <v>18270</v>
      </c>
      <c r="AT234" s="38">
        <f>Table43[[#This Row],[Harga Jual Pcs GT
(-PPN)]]*Table43[[#This Row],[ISI/CTN]]</f>
        <v>876960</v>
      </c>
      <c r="AU234" s="38">
        <f>Table43[[#This Row],[Harga Jual Pcs GT
(-PPN)]]*1.11</f>
        <v>20279.7</v>
      </c>
      <c r="AV234" s="38">
        <f>Table43[[#This Row],[Harga Jual Krt GT
(- PPN)]]*1.11</f>
        <v>973425.60000000009</v>
      </c>
      <c r="AW234" s="38">
        <f>IFERROR(VLOOKUP(Table43[[#This Row],[Kode Pcpl]],'[1]FEB 2026'!$A$3:$X$312,24,0),0)</f>
        <v>0</v>
      </c>
      <c r="AX234" s="38">
        <f>Table43[[#This Row],[Harga Jual Pcs MT
(-PPN)]]*Table43[[#This Row],[ISI/CTN]]</f>
        <v>0</v>
      </c>
      <c r="AY234" s="38">
        <f>Table43[[#This Row],[Harga Jual Pcs MT
(-PPN)]]*1.11</f>
        <v>0</v>
      </c>
      <c r="AZ234" s="38">
        <f>Table43[[#This Row],[Harga Jual Pcs MT
(+PPN)]]*Table43[[#This Row],[ISI/CTN]]</f>
        <v>0</v>
      </c>
      <c r="BA234" s="46">
        <f>(Table43[[#This Row],[Harga Jual Pcs GT
(-PPN)]]-Table43[[#This Row],[Harga Beli Pcs
(-PPN)]])/Table43[[#This Row],[Harga Jual Pcs GT
(-PPN)]]</f>
        <v>6.4999999999999961E-2</v>
      </c>
      <c r="BB234" s="53">
        <f>Table43[[#This Row],[Harga Jual Pcs MT
(-PPN)]]-Table43[[#This Row],[Harga Beli Pcs
(-PPN)]]</f>
        <v>-17082.45</v>
      </c>
      <c r="BC234" s="54" t="e">
        <f>Table43[[#This Row],[Column1]]/Table43[[#This Row],[Harga Jual Pcs MT
(-PPN)]]</f>
        <v>#DIV/0!</v>
      </c>
      <c r="BD234" s="52"/>
      <c r="BE234" s="7"/>
      <c r="BF234" s="7" t="str">
        <f ca="1">IF(TODAY()-Table43[[#This Row],[Efektif
Pembuatan]]&gt;60,"Lama","Baru")</f>
        <v>Lama</v>
      </c>
      <c r="BG234" s="7" t="str">
        <f ca="1">IF(TODAY()-Table43[[#This Row],[Efektif Naik Harga]]&lt;30,"Naik","Sama")</f>
        <v>Sama</v>
      </c>
      <c r="BH234" s="7"/>
      <c r="BI234" s="7" t="str">
        <f>IF(Table43[[#This Row],[Kode BARANG Win2]]&lt;&gt;"","IDR","")</f>
        <v>IDR</v>
      </c>
      <c r="BJ234" s="7" t="str">
        <f>CONCATENATE(Table43[[#This Row],[kode  1 Digit
(Nomor)]],Table43[[#This Row],[kode  4 Digit                (Nomor)]])</f>
        <v>0100</v>
      </c>
      <c r="BK234" s="7" t="str">
        <f>Table43[[#This Row],[Nama            Gramasi atau Jumlah Pack per CTN]]</f>
        <v>100ML</v>
      </c>
      <c r="BL234" s="7"/>
      <c r="BM234" s="7"/>
      <c r="BN234" s="4" t="str">
        <f>IF(Table43[[#This Row],[SATUAN Fix Win]]&lt;&gt;"","KRT")</f>
        <v>KRT</v>
      </c>
      <c r="BO234" s="4" t="str">
        <f>IF(Table43[[#This Row],[SATUAN Fix Win]]&lt;&gt;"","GD01")</f>
        <v>GD01</v>
      </c>
      <c r="BP234" s="4">
        <f>IF(Table43[[#This Row],[SATUAN Fix Win]]&lt;&gt;"",11611)</f>
        <v>11611</v>
      </c>
      <c r="BQ234" s="4">
        <f>IF(Table43[[#This Row],[SATUAN Fix Win]]&lt;&gt;"",11612)</f>
        <v>11612</v>
      </c>
      <c r="BS234" s="4">
        <f>IF(Table43[[#This Row],[SATUAN Fix Win]]&lt;&gt;"",1)</f>
        <v>1</v>
      </c>
      <c r="BU234" s="4">
        <f>Table43[[#This Row],[ISI/CTN]]</f>
        <v>48</v>
      </c>
    </row>
    <row r="235" spans="1:73">
      <c r="A235" s="4" t="str">
        <f>CONCATENATE(Table43[[#This Row],[Kode BARANG Win2]],Table43[[#This Row],[No. Urut
Item Sama]])</f>
        <v>G1101003005010</v>
      </c>
      <c r="B235" s="7"/>
      <c r="C235" s="31">
        <v>30240030050001</v>
      </c>
      <c r="D235" s="59">
        <v>40028285</v>
      </c>
      <c r="E235" s="60" t="s">
        <v>1979</v>
      </c>
      <c r="F235" s="59">
        <v>30230020050000</v>
      </c>
      <c r="G235" s="59">
        <v>0</v>
      </c>
      <c r="H235" s="60" t="s">
        <v>1262</v>
      </c>
      <c r="I235" s="60">
        <v>48</v>
      </c>
      <c r="J235" s="59" t="s">
        <v>1670</v>
      </c>
      <c r="K235" s="60" t="str">
        <f>Table43[[#This Row],[NamaJenisKemasan]]</f>
        <v>PCS</v>
      </c>
      <c r="L235" s="4" t="str">
        <f>TRIM(CONCATENATE(Table43[[#This Row],[Nama            KLP]]," ",Table43[[#This Row],[Nama            Sub KLP]]))</f>
        <v>MITU BABY COLOGNE F&amp;C</v>
      </c>
      <c r="M235" s="4" t="str">
        <f>CONCATENATE(Table43[[#This Row],[kode  2 Digit                (hrf+No)]],Table43[[#This Row],[kode  2 Digit                (Nomor)]],Table43[[#This Row],[kode  1 Digit                (Nomor)]])</f>
        <v>G1101</v>
      </c>
      <c r="N235" s="4" t="str">
        <f>IF(AI235="",CONCATENATE(S235,U235,W235,Y235,AA235,AC235,AE235,AG235,Table43[[#This Row],[Tanda Kode Revisi]]),CONCATENATE(S235,U235,W235,Y235,AA235,AC235,AE235,AI235))</f>
        <v>G1101003005010</v>
      </c>
      <c r="O235" s="11">
        <f t="shared" si="6"/>
        <v>14</v>
      </c>
      <c r="P235" s="14" t="str">
        <f>IF(AH235&lt;&gt;"",TRIM(UPPER(CONCATENATE(R235," ",T235," ",V235," ",X235," ",Z235," ",AB235," ","X"," ",Table43[[#This Row],[ISI/CTN]]," ",AH235," ",AD235," ",AF235," ",AJ235))),TRIM(UPPER(CONCATENATE(R235," ",T235," ",V235," ",X235," ",Z235," ",AB235," ","X"," ",Table43[[#This Row],[ISI/CTN]]," ",AD235," ",AF235," ",AJ235))))</f>
        <v>MITU BABY COLOGNE F&amp;C SWEET PINK 50ML X 48 PCS</v>
      </c>
      <c r="Q235" s="11">
        <f t="shared" si="7"/>
        <v>46</v>
      </c>
      <c r="S235" s="7" t="s">
        <v>34</v>
      </c>
      <c r="T235" s="4" t="s">
        <v>2547</v>
      </c>
      <c r="U235" s="47" t="s">
        <v>2556</v>
      </c>
      <c r="V235" s="48" t="s">
        <v>2327</v>
      </c>
      <c r="W235" s="7">
        <v>1</v>
      </c>
      <c r="X235" s="48"/>
      <c r="Y235" s="47" t="s">
        <v>1116</v>
      </c>
      <c r="Z235" s="4" t="s">
        <v>2330</v>
      </c>
      <c r="AA235" s="49" t="s">
        <v>2538</v>
      </c>
      <c r="AB235" s="4" t="s">
        <v>1089</v>
      </c>
      <c r="AC235" s="49" t="s">
        <v>2630</v>
      </c>
      <c r="AD235" s="4" t="s">
        <v>185</v>
      </c>
      <c r="AE235" s="7">
        <v>1</v>
      </c>
      <c r="AG235" s="7">
        <v>0</v>
      </c>
      <c r="AK235" s="70">
        <f>Table43[[#This Row],[Column4]]</f>
        <v>30230020050000</v>
      </c>
      <c r="AN235" s="7">
        <f>Table43[[#This Row],[ISI/CTN]]</f>
        <v>48</v>
      </c>
      <c r="AO235" s="38">
        <f>Table43[[#This Row],[Harga Jual Pcs GT
(-PPN)]]-(Table43[[#This Row],[Harga Jual Pcs GT
(-PPN)]]*6.5%)</f>
        <v>9134.9500000000007</v>
      </c>
      <c r="AP235" s="38">
        <f>Table43[[#This Row],[Harga Beli Pcs
(-PPN)]]*Table43[[#This Row],[ISI/CTN]]</f>
        <v>438477.60000000003</v>
      </c>
      <c r="AQ235" s="38">
        <f>Table43[[#This Row],[Harga Beli Pcs
(-PPN)]]*1.11</f>
        <v>10139.794500000002</v>
      </c>
      <c r="AR235" s="38">
        <f>Table43[[#This Row],[Harga Beli Krt
(- PPN)]]*1.11</f>
        <v>486710.13600000006</v>
      </c>
      <c r="AS235" s="38">
        <v>9770</v>
      </c>
      <c r="AT235" s="38">
        <f>Table43[[#This Row],[Harga Jual Pcs GT
(-PPN)]]*Table43[[#This Row],[ISI/CTN]]</f>
        <v>468960</v>
      </c>
      <c r="AU235" s="38">
        <f>Table43[[#This Row],[Harga Jual Pcs GT
(-PPN)]]*1.11</f>
        <v>10844.7</v>
      </c>
      <c r="AV235" s="38">
        <f>Table43[[#This Row],[Harga Jual Krt GT
(- PPN)]]*1.11</f>
        <v>520545.60000000003</v>
      </c>
      <c r="AW235" s="38">
        <f>IFERROR(VLOOKUP(Table43[[#This Row],[Kode Pcpl]],'[1]FEB 2026'!$A$3:$X$312,24,0),0)</f>
        <v>0</v>
      </c>
      <c r="AX235" s="38">
        <f>Table43[[#This Row],[Harga Jual Pcs MT
(-PPN)]]*Table43[[#This Row],[ISI/CTN]]</f>
        <v>0</v>
      </c>
      <c r="AY235" s="38">
        <f>Table43[[#This Row],[Harga Jual Pcs MT
(-PPN)]]*1.11</f>
        <v>0</v>
      </c>
      <c r="AZ235" s="38">
        <f>Table43[[#This Row],[Harga Jual Pcs MT
(+PPN)]]*Table43[[#This Row],[ISI/CTN]]</f>
        <v>0</v>
      </c>
      <c r="BA235" s="46">
        <f>(Table43[[#This Row],[Harga Jual Pcs GT
(-PPN)]]-Table43[[#This Row],[Harga Beli Pcs
(-PPN)]])/Table43[[#This Row],[Harga Jual Pcs GT
(-PPN)]]</f>
        <v>6.4999999999999919E-2</v>
      </c>
      <c r="BB235" s="53">
        <f>Table43[[#This Row],[Harga Jual Pcs MT
(-PPN)]]-Table43[[#This Row],[Harga Beli Pcs
(-PPN)]]</f>
        <v>-9134.9500000000007</v>
      </c>
      <c r="BC235" s="54" t="e">
        <f>Table43[[#This Row],[Column1]]/Table43[[#This Row],[Harga Jual Pcs MT
(-PPN)]]</f>
        <v>#DIV/0!</v>
      </c>
      <c r="BD235" s="52"/>
      <c r="BE235" s="7"/>
      <c r="BF235" s="7" t="str">
        <f ca="1">IF(TODAY()-Table43[[#This Row],[Efektif
Pembuatan]]&gt;60,"Lama","Baru")</f>
        <v>Lama</v>
      </c>
      <c r="BG235" s="7" t="str">
        <f ca="1">IF(TODAY()-Table43[[#This Row],[Efektif Naik Harga]]&lt;30,"Naik","Sama")</f>
        <v>Sama</v>
      </c>
      <c r="BH235" s="7"/>
      <c r="BI235" s="7" t="str">
        <f>IF(Table43[[#This Row],[Kode BARANG Win2]]&lt;&gt;"","IDR","")</f>
        <v>IDR</v>
      </c>
      <c r="BJ235" s="7" t="str">
        <f>CONCATENATE(Table43[[#This Row],[kode  1 Digit
(Nomor)]],Table43[[#This Row],[kode  4 Digit                (Nomor)]])</f>
        <v>0050</v>
      </c>
      <c r="BK235" s="7" t="str">
        <f>Table43[[#This Row],[Nama            Gramasi atau Jumlah Pack per CTN]]</f>
        <v>50ML</v>
      </c>
      <c r="BL235" s="7"/>
      <c r="BM235" s="7"/>
      <c r="BN235" s="4" t="str">
        <f>IF(Table43[[#This Row],[SATUAN Fix Win]]&lt;&gt;"","KRT")</f>
        <v>KRT</v>
      </c>
      <c r="BO235" s="4" t="str">
        <f>IF(Table43[[#This Row],[SATUAN Fix Win]]&lt;&gt;"","GD01")</f>
        <v>GD01</v>
      </c>
      <c r="BP235" s="4">
        <f>IF(Table43[[#This Row],[SATUAN Fix Win]]&lt;&gt;"",11611)</f>
        <v>11611</v>
      </c>
      <c r="BQ235" s="4">
        <f>IF(Table43[[#This Row],[SATUAN Fix Win]]&lt;&gt;"",11612)</f>
        <v>11612</v>
      </c>
      <c r="BS235" s="4">
        <f>IF(Table43[[#This Row],[SATUAN Fix Win]]&lt;&gt;"",1)</f>
        <v>1</v>
      </c>
      <c r="BU235" s="4">
        <f>Table43[[#This Row],[ISI/CTN]]</f>
        <v>48</v>
      </c>
    </row>
    <row r="236" spans="1:73">
      <c r="A236" s="4" t="str">
        <f>CONCATENATE(Table43[[#This Row],[Kode BARANG Win2]],Table43[[#This Row],[No. Urut
Item Sama]])</f>
        <v>G1101003010010</v>
      </c>
      <c r="B236" s="7"/>
      <c r="C236" s="31">
        <v>30240010050001</v>
      </c>
      <c r="D236" s="59">
        <v>40058791</v>
      </c>
      <c r="E236" s="60" t="s">
        <v>1980</v>
      </c>
      <c r="F236" s="59">
        <v>30230020100000</v>
      </c>
      <c r="G236" s="59">
        <v>0</v>
      </c>
      <c r="H236" s="60" t="s">
        <v>1264</v>
      </c>
      <c r="I236" s="60">
        <v>48</v>
      </c>
      <c r="J236" s="59" t="s">
        <v>1671</v>
      </c>
      <c r="K236" s="60" t="str">
        <f>Table43[[#This Row],[NamaJenisKemasan]]</f>
        <v>PCS</v>
      </c>
      <c r="L236" s="4" t="str">
        <f>TRIM(CONCATENATE(Table43[[#This Row],[Nama            KLP]]," ",Table43[[#This Row],[Nama            Sub KLP]]))</f>
        <v>MITU BABY COLOGNE F&amp;C</v>
      </c>
      <c r="M236" s="4" t="str">
        <f>CONCATENATE(Table43[[#This Row],[kode  2 Digit                (hrf+No)]],Table43[[#This Row],[kode  2 Digit                (Nomor)]],Table43[[#This Row],[kode  1 Digit                (Nomor)]])</f>
        <v>G1101</v>
      </c>
      <c r="N236" s="4" t="str">
        <f>IF(AI236="",CONCATENATE(S236,U236,W236,Y236,AA236,AC236,AE236,AG236,Table43[[#This Row],[Tanda Kode Revisi]]),CONCATENATE(S236,U236,W236,Y236,AA236,AC236,AE236,AI236))</f>
        <v>G1101003010010</v>
      </c>
      <c r="O236" s="11">
        <f t="shared" si="6"/>
        <v>14</v>
      </c>
      <c r="P236" s="14" t="str">
        <f>IF(AH236&lt;&gt;"",TRIM(UPPER(CONCATENATE(R236," ",T236," ",V236," ",X236," ",Z236," ",AB236," ","X"," ",Table43[[#This Row],[ISI/CTN]]," ",AH236," ",AD236," ",AF236," ",AJ236))),TRIM(UPPER(CONCATENATE(R236," ",T236," ",V236," ",X236," ",Z236," ",AB236," ","X"," ",Table43[[#This Row],[ISI/CTN]]," ",AD236," ",AF236," ",AJ236))))</f>
        <v>MITU BABY COLOGNE F&amp;C SWEET PINK 100ML X 48 PCS</v>
      </c>
      <c r="Q236" s="11">
        <f t="shared" si="7"/>
        <v>47</v>
      </c>
      <c r="S236" s="7" t="s">
        <v>34</v>
      </c>
      <c r="T236" s="4" t="s">
        <v>2547</v>
      </c>
      <c r="U236" s="47" t="s">
        <v>2556</v>
      </c>
      <c r="V236" s="48" t="s">
        <v>2327</v>
      </c>
      <c r="W236" s="7">
        <v>1</v>
      </c>
      <c r="X236" s="48"/>
      <c r="Y236" s="47" t="s">
        <v>1116</v>
      </c>
      <c r="Z236" s="4" t="s">
        <v>2330</v>
      </c>
      <c r="AA236" s="49" t="s">
        <v>2538</v>
      </c>
      <c r="AB236" s="4" t="s">
        <v>650</v>
      </c>
      <c r="AC236" s="49" t="s">
        <v>1118</v>
      </c>
      <c r="AD236" s="4" t="s">
        <v>185</v>
      </c>
      <c r="AE236" s="7">
        <v>1</v>
      </c>
      <c r="AG236" s="7">
        <v>0</v>
      </c>
      <c r="AK236" s="70">
        <f>Table43[[#This Row],[Column4]]</f>
        <v>30230020100000</v>
      </c>
      <c r="AN236" s="7">
        <f>Table43[[#This Row],[ISI/CTN]]</f>
        <v>48</v>
      </c>
      <c r="AO236" s="38">
        <f>Table43[[#This Row],[Harga Jual Pcs GT
(-PPN)]]-(Table43[[#This Row],[Harga Jual Pcs GT
(-PPN)]]*6.5%)</f>
        <v>17082.45</v>
      </c>
      <c r="AP236" s="38">
        <f>Table43[[#This Row],[Harga Beli Pcs
(-PPN)]]*Table43[[#This Row],[ISI/CTN]]</f>
        <v>819957.60000000009</v>
      </c>
      <c r="AQ236" s="38">
        <f>Table43[[#This Row],[Harga Beli Pcs
(-PPN)]]*1.11</f>
        <v>18961.519500000002</v>
      </c>
      <c r="AR236" s="38">
        <f>Table43[[#This Row],[Harga Beli Krt
(- PPN)]]*1.11</f>
        <v>910152.93600000022</v>
      </c>
      <c r="AS236" s="38">
        <v>18270</v>
      </c>
      <c r="AT236" s="38">
        <f>Table43[[#This Row],[Harga Jual Pcs GT
(-PPN)]]*Table43[[#This Row],[ISI/CTN]]</f>
        <v>876960</v>
      </c>
      <c r="AU236" s="38">
        <f>Table43[[#This Row],[Harga Jual Pcs GT
(-PPN)]]*1.11</f>
        <v>20279.7</v>
      </c>
      <c r="AV236" s="38">
        <f>Table43[[#This Row],[Harga Jual Krt GT
(- PPN)]]*1.11</f>
        <v>973425.60000000009</v>
      </c>
      <c r="AW236" s="38">
        <f>IFERROR(VLOOKUP(Table43[[#This Row],[Kode Pcpl]],'[1]FEB 2026'!$A$3:$X$312,24,0),0)</f>
        <v>0</v>
      </c>
      <c r="AX236" s="38">
        <f>Table43[[#This Row],[Harga Jual Pcs MT
(-PPN)]]*Table43[[#This Row],[ISI/CTN]]</f>
        <v>0</v>
      </c>
      <c r="AY236" s="38">
        <f>Table43[[#This Row],[Harga Jual Pcs MT
(-PPN)]]*1.11</f>
        <v>0</v>
      </c>
      <c r="AZ236" s="38">
        <f>Table43[[#This Row],[Harga Jual Pcs MT
(+PPN)]]*Table43[[#This Row],[ISI/CTN]]</f>
        <v>0</v>
      </c>
      <c r="BA236" s="46">
        <f>(Table43[[#This Row],[Harga Jual Pcs GT
(-PPN)]]-Table43[[#This Row],[Harga Beli Pcs
(-PPN)]])/Table43[[#This Row],[Harga Jual Pcs GT
(-PPN)]]</f>
        <v>6.4999999999999961E-2</v>
      </c>
      <c r="BB236" s="53">
        <f>Table43[[#This Row],[Harga Jual Pcs MT
(-PPN)]]-Table43[[#This Row],[Harga Beli Pcs
(-PPN)]]</f>
        <v>-17082.45</v>
      </c>
      <c r="BC236" s="54" t="e">
        <f>Table43[[#This Row],[Column1]]/Table43[[#This Row],[Harga Jual Pcs MT
(-PPN)]]</f>
        <v>#DIV/0!</v>
      </c>
      <c r="BD236" s="52"/>
      <c r="BE236" s="7"/>
      <c r="BF236" s="7" t="str">
        <f ca="1">IF(TODAY()-Table43[[#This Row],[Efektif
Pembuatan]]&gt;60,"Lama","Baru")</f>
        <v>Lama</v>
      </c>
      <c r="BG236" s="7" t="str">
        <f ca="1">IF(TODAY()-Table43[[#This Row],[Efektif Naik Harga]]&lt;30,"Naik","Sama")</f>
        <v>Sama</v>
      </c>
      <c r="BH236" s="7"/>
      <c r="BI236" s="7" t="str">
        <f>IF(Table43[[#This Row],[Kode BARANG Win2]]&lt;&gt;"","IDR","")</f>
        <v>IDR</v>
      </c>
      <c r="BJ236" s="7" t="str">
        <f>CONCATENATE(Table43[[#This Row],[kode  1 Digit
(Nomor)]],Table43[[#This Row],[kode  4 Digit                (Nomor)]])</f>
        <v>0100</v>
      </c>
      <c r="BK236" s="7" t="str">
        <f>Table43[[#This Row],[Nama            Gramasi atau Jumlah Pack per CTN]]</f>
        <v>100ML</v>
      </c>
      <c r="BL236" s="7"/>
      <c r="BM236" s="7"/>
      <c r="BN236" s="4" t="str">
        <f>IF(Table43[[#This Row],[SATUAN Fix Win]]&lt;&gt;"","KRT")</f>
        <v>KRT</v>
      </c>
      <c r="BO236" s="4" t="str">
        <f>IF(Table43[[#This Row],[SATUAN Fix Win]]&lt;&gt;"","GD01")</f>
        <v>GD01</v>
      </c>
      <c r="BP236" s="4">
        <f>IF(Table43[[#This Row],[SATUAN Fix Win]]&lt;&gt;"",11611)</f>
        <v>11611</v>
      </c>
      <c r="BQ236" s="4">
        <f>IF(Table43[[#This Row],[SATUAN Fix Win]]&lt;&gt;"",11612)</f>
        <v>11612</v>
      </c>
      <c r="BS236" s="4">
        <f>IF(Table43[[#This Row],[SATUAN Fix Win]]&lt;&gt;"",1)</f>
        <v>1</v>
      </c>
      <c r="BU236" s="4">
        <f>Table43[[#This Row],[ISI/CTN]]</f>
        <v>48</v>
      </c>
    </row>
    <row r="237" spans="1:73">
      <c r="A237" s="4" t="str">
        <f>CONCATENATE(Table43[[#This Row],[Kode BARANG Win2]],Table43[[#This Row],[No. Urut
Item Sama]])</f>
        <v>G1101003010010</v>
      </c>
      <c r="B237" s="7"/>
      <c r="C237" s="31">
        <v>30240020050001</v>
      </c>
      <c r="D237" s="51">
        <v>40028013</v>
      </c>
      <c r="E237" s="27" t="s">
        <v>1980</v>
      </c>
      <c r="F237" s="51">
        <v>30230020100000</v>
      </c>
      <c r="G237" s="51">
        <v>0</v>
      </c>
      <c r="H237" s="27" t="s">
        <v>1263</v>
      </c>
      <c r="I237" s="27">
        <v>48</v>
      </c>
      <c r="J237" s="51" t="s">
        <v>1671</v>
      </c>
      <c r="K237" s="27" t="str">
        <f>Table43[[#This Row],[NamaJenisKemasan]]</f>
        <v>PCS</v>
      </c>
      <c r="L237" s="4" t="str">
        <f>TRIM(CONCATENATE(Table43[[#This Row],[Nama            KLP]]," ",Table43[[#This Row],[Nama            Sub KLP]]))</f>
        <v>MITU BABY COLOGNE F&amp;C</v>
      </c>
      <c r="M237" s="4" t="str">
        <f>CONCATENATE(Table43[[#This Row],[kode  2 Digit                (hrf+No)]],Table43[[#This Row],[kode  2 Digit                (Nomor)]],Table43[[#This Row],[kode  1 Digit                (Nomor)]])</f>
        <v>G1101</v>
      </c>
      <c r="N237" s="4" t="str">
        <f>IF(AI237="",CONCATENATE(S237,U237,W237,Y237,AA237,AC237,AE237,AG237,Table43[[#This Row],[Tanda Kode Revisi]]),CONCATENATE(S237,U237,W237,Y237,AA237,AC237,AE237,AI237))</f>
        <v>G1101003010010</v>
      </c>
      <c r="O237" s="11">
        <f t="shared" si="6"/>
        <v>14</v>
      </c>
      <c r="P237" s="14" t="str">
        <f>IF(AH237&lt;&gt;"",TRIM(UPPER(CONCATENATE(R237," ",T237," ",V237," ",X237," ",Z237," ",AB237," ","X"," ",Table43[[#This Row],[ISI/CTN]]," ",AH237," ",AD237," ",AF237," ",AJ237))),TRIM(UPPER(CONCATENATE(R237," ",T237," ",V237," ",X237," ",Z237," ",AB237," ","X"," ",Table43[[#This Row],[ISI/CTN]]," ",AD237," ",AF237," ",AJ237))))</f>
        <v>MITU BABY COLOGNE F&amp;C SWEET PINK 100ML X 48 PCS</v>
      </c>
      <c r="Q237" s="11">
        <f t="shared" si="7"/>
        <v>47</v>
      </c>
      <c r="S237" s="7" t="s">
        <v>34</v>
      </c>
      <c r="T237" s="4" t="s">
        <v>2547</v>
      </c>
      <c r="U237" s="47" t="s">
        <v>2556</v>
      </c>
      <c r="V237" s="48" t="s">
        <v>2327</v>
      </c>
      <c r="W237" s="7">
        <v>1</v>
      </c>
      <c r="X237" s="48"/>
      <c r="Y237" s="47" t="s">
        <v>1116</v>
      </c>
      <c r="Z237" s="4" t="s">
        <v>2330</v>
      </c>
      <c r="AA237" s="49" t="s">
        <v>2538</v>
      </c>
      <c r="AB237" s="4" t="s">
        <v>650</v>
      </c>
      <c r="AC237" s="49" t="s">
        <v>1118</v>
      </c>
      <c r="AD237" s="4" t="s">
        <v>185</v>
      </c>
      <c r="AE237" s="7">
        <v>1</v>
      </c>
      <c r="AG237" s="7">
        <v>0</v>
      </c>
      <c r="AK237" s="70">
        <f>Table43[[#This Row],[Column4]]</f>
        <v>30230020100000</v>
      </c>
      <c r="AN237" s="7">
        <f>Table43[[#This Row],[ISI/CTN]]</f>
        <v>48</v>
      </c>
      <c r="AO237" s="38">
        <f>Table43[[#This Row],[Harga Jual Pcs GT
(-PPN)]]-(Table43[[#This Row],[Harga Jual Pcs GT
(-PPN)]]*6.5%)</f>
        <v>17082.45</v>
      </c>
      <c r="AP237" s="38">
        <f>Table43[[#This Row],[Harga Beli Pcs
(-PPN)]]*Table43[[#This Row],[ISI/CTN]]</f>
        <v>819957.60000000009</v>
      </c>
      <c r="AQ237" s="38">
        <f>Table43[[#This Row],[Harga Beli Pcs
(-PPN)]]*1.11</f>
        <v>18961.519500000002</v>
      </c>
      <c r="AR237" s="38">
        <f>Table43[[#This Row],[Harga Beli Krt
(- PPN)]]*1.11</f>
        <v>910152.93600000022</v>
      </c>
      <c r="AS237" s="38">
        <v>18270</v>
      </c>
      <c r="AT237" s="38">
        <f>Table43[[#This Row],[Harga Jual Pcs GT
(-PPN)]]*Table43[[#This Row],[ISI/CTN]]</f>
        <v>876960</v>
      </c>
      <c r="AU237" s="38">
        <f>Table43[[#This Row],[Harga Jual Pcs GT
(-PPN)]]*1.11</f>
        <v>20279.7</v>
      </c>
      <c r="AV237" s="38">
        <f>Table43[[#This Row],[Harga Jual Krt GT
(- PPN)]]*1.11</f>
        <v>973425.60000000009</v>
      </c>
      <c r="AW237" s="38">
        <f>IFERROR(VLOOKUP(Table43[[#This Row],[Kode Pcpl]],'[1]FEB 2026'!$A$3:$X$312,24,0),0)</f>
        <v>0</v>
      </c>
      <c r="AX237" s="38">
        <f>Table43[[#This Row],[Harga Jual Pcs MT
(-PPN)]]*Table43[[#This Row],[ISI/CTN]]</f>
        <v>0</v>
      </c>
      <c r="AY237" s="38">
        <f>Table43[[#This Row],[Harga Jual Pcs MT
(-PPN)]]*1.11</f>
        <v>0</v>
      </c>
      <c r="AZ237" s="38">
        <f>Table43[[#This Row],[Harga Jual Pcs MT
(+PPN)]]*Table43[[#This Row],[ISI/CTN]]</f>
        <v>0</v>
      </c>
      <c r="BA237" s="46">
        <f>(Table43[[#This Row],[Harga Jual Pcs GT
(-PPN)]]-Table43[[#This Row],[Harga Beli Pcs
(-PPN)]])/Table43[[#This Row],[Harga Jual Pcs GT
(-PPN)]]</f>
        <v>6.4999999999999961E-2</v>
      </c>
      <c r="BB237" s="53">
        <f>Table43[[#This Row],[Harga Jual Pcs MT
(-PPN)]]-Table43[[#This Row],[Harga Beli Pcs
(-PPN)]]</f>
        <v>-17082.45</v>
      </c>
      <c r="BC237" s="54" t="e">
        <f>Table43[[#This Row],[Column1]]/Table43[[#This Row],[Harga Jual Pcs MT
(-PPN)]]</f>
        <v>#DIV/0!</v>
      </c>
      <c r="BD237" s="52"/>
      <c r="BE237" s="7"/>
      <c r="BF237" s="7" t="str">
        <f ca="1">IF(TODAY()-Table43[[#This Row],[Efektif
Pembuatan]]&gt;60,"Lama","Baru")</f>
        <v>Lama</v>
      </c>
      <c r="BG237" s="7" t="str">
        <f ca="1">IF(TODAY()-Table43[[#This Row],[Efektif Naik Harga]]&lt;30,"Naik","Sama")</f>
        <v>Sama</v>
      </c>
      <c r="BH237" s="7"/>
      <c r="BI237" s="7" t="str">
        <f>IF(Table43[[#This Row],[Kode BARANG Win2]]&lt;&gt;"","IDR","")</f>
        <v>IDR</v>
      </c>
      <c r="BJ237" s="7" t="str">
        <f>CONCATENATE(Table43[[#This Row],[kode  1 Digit
(Nomor)]],Table43[[#This Row],[kode  4 Digit                (Nomor)]])</f>
        <v>0100</v>
      </c>
      <c r="BK237" s="7" t="str">
        <f>Table43[[#This Row],[Nama            Gramasi atau Jumlah Pack per CTN]]</f>
        <v>100ML</v>
      </c>
      <c r="BL237" s="7"/>
      <c r="BM237" s="7"/>
      <c r="BN237" s="4" t="str">
        <f>IF(Table43[[#This Row],[SATUAN Fix Win]]&lt;&gt;"","KRT")</f>
        <v>KRT</v>
      </c>
      <c r="BO237" s="4" t="str">
        <f>IF(Table43[[#This Row],[SATUAN Fix Win]]&lt;&gt;"","GD01")</f>
        <v>GD01</v>
      </c>
      <c r="BP237" s="4">
        <f>IF(Table43[[#This Row],[SATUAN Fix Win]]&lt;&gt;"",11611)</f>
        <v>11611</v>
      </c>
      <c r="BQ237" s="4">
        <f>IF(Table43[[#This Row],[SATUAN Fix Win]]&lt;&gt;"",11612)</f>
        <v>11612</v>
      </c>
      <c r="BS237" s="4">
        <f>IF(Table43[[#This Row],[SATUAN Fix Win]]&lt;&gt;"",1)</f>
        <v>1</v>
      </c>
      <c r="BU237" s="4">
        <f>Table43[[#This Row],[ISI/CTN]]</f>
        <v>48</v>
      </c>
    </row>
    <row r="238" spans="1:73">
      <c r="A238" s="4" t="str">
        <f>CONCATENATE(Table43[[#This Row],[Kode BARANG Win2]],Table43[[#This Row],[No. Urut
Item Sama]])</f>
        <v>G1111001010010</v>
      </c>
      <c r="B238" s="7"/>
      <c r="C238" s="31">
        <v>30250010100000</v>
      </c>
      <c r="D238" s="51">
        <v>40028137</v>
      </c>
      <c r="E238" s="27" t="s">
        <v>1985</v>
      </c>
      <c r="F238" s="51">
        <v>30250010100000</v>
      </c>
      <c r="G238" s="51">
        <v>0</v>
      </c>
      <c r="H238" s="27" t="s">
        <v>1269</v>
      </c>
      <c r="I238" s="27">
        <v>48</v>
      </c>
      <c r="J238" s="51" t="s">
        <v>1676</v>
      </c>
      <c r="K238" s="27" t="str">
        <f>Table43[[#This Row],[NamaJenisKemasan]]</f>
        <v>PCS</v>
      </c>
      <c r="L238" s="4" t="str">
        <f>TRIM(CONCATENATE(Table43[[#This Row],[Nama            KLP]]," ",Table43[[#This Row],[Nama            Sub KLP]]))</f>
        <v>MITU BABY HAIR LOTION F&amp;C</v>
      </c>
      <c r="M238" s="4" t="str">
        <f>CONCATENATE(Table43[[#This Row],[kode  2 Digit                (hrf+No)]],Table43[[#This Row],[kode  2 Digit                (Nomor)]],Table43[[#This Row],[kode  1 Digit                (Nomor)]])</f>
        <v>G1111</v>
      </c>
      <c r="N238" s="4" t="str">
        <f>IF(AI238="",CONCATENATE(S238,U238,W238,Y238,AA238,AC238,AE238,AG238,Table43[[#This Row],[Tanda Kode Revisi]]),CONCATENATE(S238,U238,W238,Y238,AA238,AC238,AE238,AI238))</f>
        <v>G1111001010010</v>
      </c>
      <c r="O238" s="11">
        <f t="shared" si="6"/>
        <v>14</v>
      </c>
      <c r="P238" s="14" t="str">
        <f>IF(AH238&lt;&gt;"",TRIM(UPPER(CONCATENATE(R238," ",T238," ",V238," ",X238," ",Z238," ",AB238," ","X"," ",Table43[[#This Row],[ISI/CTN]]," ",AH238," ",AD238," ",AF238," ",AJ238))),TRIM(UPPER(CONCATENATE(R238," ",T238," ",V238," ",X238," ",Z238," ",AB238," ","X"," ",Table43[[#This Row],[ISI/CTN]]," ",AD238," ",AF238," ",AJ238))))</f>
        <v>MITU BABY HAIR LOTION F&amp;C ALOE 100ML X 48 PCS</v>
      </c>
      <c r="Q238" s="11">
        <f t="shared" si="7"/>
        <v>45</v>
      </c>
      <c r="S238" s="7" t="s">
        <v>34</v>
      </c>
      <c r="T238" s="4" t="s">
        <v>2548</v>
      </c>
      <c r="U238" s="47" t="s">
        <v>2557</v>
      </c>
      <c r="V238" s="48" t="s">
        <v>2327</v>
      </c>
      <c r="W238" s="7">
        <v>1</v>
      </c>
      <c r="X238" s="48"/>
      <c r="Y238" s="47" t="s">
        <v>1116</v>
      </c>
      <c r="Z238" s="4" t="s">
        <v>2341</v>
      </c>
      <c r="AA238" s="49" t="s">
        <v>1115</v>
      </c>
      <c r="AB238" s="4" t="s">
        <v>650</v>
      </c>
      <c r="AC238" s="49" t="s">
        <v>1118</v>
      </c>
      <c r="AD238" s="4" t="s">
        <v>185</v>
      </c>
      <c r="AE238" s="7">
        <v>1</v>
      </c>
      <c r="AG238" s="7">
        <v>0</v>
      </c>
      <c r="AK238" s="70">
        <f>Table43[[#This Row],[Column4]]</f>
        <v>30250010100000</v>
      </c>
      <c r="AN238" s="7">
        <f>Table43[[#This Row],[ISI/CTN]]</f>
        <v>48</v>
      </c>
      <c r="AO238" s="61">
        <f>Table43[[#This Row],[Harga Jual Pcs GT
(-PPN)]]-(Table43[[#This Row],[Harga Jual Pcs GT
(-PPN)]]*6.5%)</f>
        <v>13548.15</v>
      </c>
      <c r="AP238" s="61">
        <f>Table43[[#This Row],[Harga Beli Pcs
(-PPN)]]*Table43[[#This Row],[ISI/CTN]]</f>
        <v>650311.19999999995</v>
      </c>
      <c r="AQ238" s="61">
        <f>Table43[[#This Row],[Harga Beli Pcs
(-PPN)]]*1.11</f>
        <v>15038.4465</v>
      </c>
      <c r="AR238" s="61">
        <f>Table43[[#This Row],[Harga Beli Krt
(- PPN)]]*1.11</f>
        <v>721845.43200000003</v>
      </c>
      <c r="AS238" s="61">
        <v>14490</v>
      </c>
      <c r="AT238" s="61">
        <f>Table43[[#This Row],[Harga Jual Pcs GT
(-PPN)]]*Table43[[#This Row],[ISI/CTN]]</f>
        <v>695520</v>
      </c>
      <c r="AU238" s="61">
        <f>Table43[[#This Row],[Harga Jual Pcs GT
(-PPN)]]*1.11</f>
        <v>16083.900000000001</v>
      </c>
      <c r="AV238" s="61">
        <f>Table43[[#This Row],[Harga Jual Krt GT
(- PPN)]]*1.11</f>
        <v>772027.20000000007</v>
      </c>
      <c r="AW238" s="61">
        <f>IFERROR(VLOOKUP(Table43[[#This Row],[Kode Pcpl]],'[1]FEB 2026'!$A$3:$X$312,24,0),0)</f>
        <v>0</v>
      </c>
      <c r="AX238" s="61">
        <f>Table43[[#This Row],[Harga Jual Pcs MT
(-PPN)]]*Table43[[#This Row],[ISI/CTN]]</f>
        <v>0</v>
      </c>
      <c r="AY238" s="61">
        <f>Table43[[#This Row],[Harga Jual Pcs MT
(-PPN)]]*1.11</f>
        <v>0</v>
      </c>
      <c r="AZ238" s="61">
        <f>Table43[[#This Row],[Harga Jual Pcs MT
(+PPN)]]*Table43[[#This Row],[ISI/CTN]]</f>
        <v>0</v>
      </c>
      <c r="BA238" s="62">
        <f>(Table43[[#This Row],[Harga Jual Pcs GT
(-PPN)]]-Table43[[#This Row],[Harga Beli Pcs
(-PPN)]])/Table43[[#This Row],[Harga Jual Pcs GT
(-PPN)]]</f>
        <v>6.500000000000003E-2</v>
      </c>
      <c r="BB238" s="63">
        <f>Table43[[#This Row],[Harga Jual Pcs MT
(-PPN)]]-Table43[[#This Row],[Harga Beli Pcs
(-PPN)]]</f>
        <v>-13548.15</v>
      </c>
      <c r="BC238" s="64" t="e">
        <f>Table43[[#This Row],[Column1]]/Table43[[#This Row],[Harga Jual Pcs MT
(-PPN)]]</f>
        <v>#DIV/0!</v>
      </c>
      <c r="BD238" s="52"/>
      <c r="BE238" s="7"/>
      <c r="BF238" s="7" t="str">
        <f ca="1">IF(TODAY()-Table43[[#This Row],[Efektif
Pembuatan]]&gt;60,"Lama","Baru")</f>
        <v>Lama</v>
      </c>
      <c r="BG238" s="7" t="str">
        <f ca="1">IF(TODAY()-Table43[[#This Row],[Efektif Naik Harga]]&lt;30,"Naik","Sama")</f>
        <v>Sama</v>
      </c>
      <c r="BH238" s="7"/>
      <c r="BI238" s="7" t="str">
        <f>IF(Table43[[#This Row],[Kode BARANG Win2]]&lt;&gt;"","IDR","")</f>
        <v>IDR</v>
      </c>
      <c r="BJ238" s="7" t="str">
        <f>CONCATENATE(Table43[[#This Row],[kode  1 Digit
(Nomor)]],Table43[[#This Row],[kode  4 Digit                (Nomor)]])</f>
        <v>0100</v>
      </c>
      <c r="BK238" s="7" t="str">
        <f>Table43[[#This Row],[Nama            Gramasi atau Jumlah Pack per CTN]]</f>
        <v>100ML</v>
      </c>
      <c r="BL238" s="7"/>
      <c r="BM238" s="7"/>
      <c r="BN238" s="4" t="str">
        <f>IF(Table43[[#This Row],[SATUAN Fix Win]]&lt;&gt;"","KRT")</f>
        <v>KRT</v>
      </c>
      <c r="BO238" s="4" t="str">
        <f>IF(Table43[[#This Row],[SATUAN Fix Win]]&lt;&gt;"","GD01")</f>
        <v>GD01</v>
      </c>
      <c r="BP238" s="4">
        <f>IF(Table43[[#This Row],[SATUAN Fix Win]]&lt;&gt;"",11611)</f>
        <v>11611</v>
      </c>
      <c r="BQ238" s="4">
        <f>IF(Table43[[#This Row],[SATUAN Fix Win]]&lt;&gt;"",11612)</f>
        <v>11612</v>
      </c>
      <c r="BS238" s="4">
        <f>IF(Table43[[#This Row],[SATUAN Fix Win]]&lt;&gt;"",1)</f>
        <v>1</v>
      </c>
      <c r="BU238" s="4">
        <f>Table43[[#This Row],[ISI/CTN]]</f>
        <v>48</v>
      </c>
    </row>
    <row r="239" spans="1:73">
      <c r="A239" s="4" t="str">
        <f>CONCATENATE(Table43[[#This Row],[Kode BARANG Win2]],Table43[[#This Row],[No. Urut
Item Sama]])</f>
        <v>G1121001020020</v>
      </c>
      <c r="B239" s="7"/>
      <c r="C239" s="31">
        <v>30260010200000</v>
      </c>
      <c r="D239" s="59">
        <v>40027992</v>
      </c>
      <c r="E239" s="67" t="s">
        <v>2485</v>
      </c>
      <c r="F239" s="69">
        <v>30260010200000</v>
      </c>
      <c r="G239" s="69">
        <v>0</v>
      </c>
      <c r="H239" s="60">
        <v>0</v>
      </c>
      <c r="I239" s="60">
        <v>24</v>
      </c>
      <c r="J239" s="59">
        <v>0</v>
      </c>
      <c r="K239" s="60" t="str">
        <f>Table43[[#This Row],[NamaJenisKemasan]]</f>
        <v>BTL</v>
      </c>
      <c r="L239" s="4" t="str">
        <f>TRIM(CONCATENATE(Table43[[#This Row],[Nama            KLP]]," ",Table43[[#This Row],[Nama            Sub KLP]]))</f>
        <v>MITU BABY MILK BATH F&amp;C</v>
      </c>
      <c r="M239" s="4" t="str">
        <f>CONCATENATE(Table43[[#This Row],[kode  2 Digit                (hrf+No)]],Table43[[#This Row],[kode  2 Digit                (Nomor)]],Table43[[#This Row],[kode  1 Digit                (Nomor)]])</f>
        <v>G1121</v>
      </c>
      <c r="N239" s="4" t="str">
        <f>IF(AI239="",CONCATENATE(S239,U239,W239,Y239,AA239,AC239,AE239,AG239,Table43[[#This Row],[Tanda Kode Revisi]]),CONCATENATE(S239,U239,W239,Y239,AA239,AC239,AE239,AI239))</f>
        <v>G1121001020020</v>
      </c>
      <c r="O239" s="11">
        <f t="shared" si="6"/>
        <v>14</v>
      </c>
      <c r="P239" s="14" t="str">
        <f>IF(AH239&lt;&gt;"",TRIM(UPPER(CONCATENATE(R239," ",T239," ",V239," ",X239," ",Z239," ",AB239," ","X"," ",Table43[[#This Row],[ISI/CTN]]," ",AH239," ",AD239," ",AF239," ",AJ239))),TRIM(UPPER(CONCATENATE(R239," ",T239," ",V239," ",X239," ",Z239," ",AB239," ","X"," ",Table43[[#This Row],[ISI/CTN]]," ",AD239," ",AF239," ",AJ239))))</f>
        <v>MITU BABY MILK BATH F&amp;C OAT 200ML X 24 BTL</v>
      </c>
      <c r="Q239" s="11">
        <f t="shared" si="7"/>
        <v>42</v>
      </c>
      <c r="S239" s="7" t="s">
        <v>34</v>
      </c>
      <c r="T239" s="4" t="s">
        <v>2549</v>
      </c>
      <c r="U239" s="47" t="s">
        <v>2558</v>
      </c>
      <c r="V239" s="48" t="s">
        <v>2327</v>
      </c>
      <c r="W239" s="7">
        <v>1</v>
      </c>
      <c r="X239" s="48"/>
      <c r="Y239" s="47" t="s">
        <v>1116</v>
      </c>
      <c r="Z239" s="4" t="s">
        <v>2519</v>
      </c>
      <c r="AA239" s="49" t="s">
        <v>1115</v>
      </c>
      <c r="AB239" s="4" t="s">
        <v>640</v>
      </c>
      <c r="AC239" s="49" t="s">
        <v>2606</v>
      </c>
      <c r="AD239" s="4" t="s">
        <v>647</v>
      </c>
      <c r="AE239" s="7">
        <v>2</v>
      </c>
      <c r="AG239" s="7">
        <v>0</v>
      </c>
      <c r="AK239" s="70">
        <f>Table43[[#This Row],[Column4]]</f>
        <v>30260010200000</v>
      </c>
      <c r="AN239" s="7">
        <f>Table43[[#This Row],[ISI/CTN]]</f>
        <v>24</v>
      </c>
      <c r="AO239" s="38">
        <f>Table43[[#This Row],[Harga Jual Pcs GT
(-PPN)]]-(Table43[[#This Row],[Harga Jual Pcs GT
(-PPN)]]*6.5%)</f>
        <v>15427.5</v>
      </c>
      <c r="AP239" s="38">
        <f>Table43[[#This Row],[Harga Beli Pcs
(-PPN)]]*Table43[[#This Row],[ISI/CTN]]</f>
        <v>370260</v>
      </c>
      <c r="AQ239" s="38">
        <f>Table43[[#This Row],[Harga Beli Pcs
(-PPN)]]*1.11</f>
        <v>17124.525000000001</v>
      </c>
      <c r="AR239" s="38">
        <f>Table43[[#This Row],[Harga Beli Krt
(- PPN)]]*1.11</f>
        <v>410988.60000000003</v>
      </c>
      <c r="AS239" s="38">
        <v>16500</v>
      </c>
      <c r="AT239" s="38">
        <f>Table43[[#This Row],[Harga Jual Pcs GT
(-PPN)]]*Table43[[#This Row],[ISI/CTN]]</f>
        <v>396000</v>
      </c>
      <c r="AU239" s="38">
        <f>Table43[[#This Row],[Harga Jual Pcs GT
(-PPN)]]*1.11</f>
        <v>18315</v>
      </c>
      <c r="AV239" s="38">
        <f>Table43[[#This Row],[Harga Jual Krt GT
(- PPN)]]*1.11</f>
        <v>439560.00000000006</v>
      </c>
      <c r="AW239" s="38">
        <f>IFERROR(VLOOKUP(Table43[[#This Row],[Kode Pcpl]],'[1]FEB 2026'!$A$3:$X$312,24,0),0)</f>
        <v>0</v>
      </c>
      <c r="AX239" s="38">
        <f>Table43[[#This Row],[Harga Jual Pcs MT
(-PPN)]]*Table43[[#This Row],[ISI/CTN]]</f>
        <v>0</v>
      </c>
      <c r="AY239" s="38">
        <f>Table43[[#This Row],[Harga Jual Pcs MT
(-PPN)]]*1.11</f>
        <v>0</v>
      </c>
      <c r="AZ239" s="38">
        <f>Table43[[#This Row],[Harga Jual Pcs MT
(+PPN)]]*Table43[[#This Row],[ISI/CTN]]</f>
        <v>0</v>
      </c>
      <c r="BA239" s="46">
        <f>(Table43[[#This Row],[Harga Jual Pcs GT
(-PPN)]]-Table43[[#This Row],[Harga Beli Pcs
(-PPN)]])/Table43[[#This Row],[Harga Jual Pcs GT
(-PPN)]]</f>
        <v>6.5000000000000002E-2</v>
      </c>
      <c r="BB239" s="53">
        <f>Table43[[#This Row],[Harga Jual Pcs MT
(-PPN)]]-Table43[[#This Row],[Harga Beli Pcs
(-PPN)]]</f>
        <v>-15427.5</v>
      </c>
      <c r="BC239" s="54" t="e">
        <f>Table43[[#This Row],[Column1]]/Table43[[#This Row],[Harga Jual Pcs MT
(-PPN)]]</f>
        <v>#DIV/0!</v>
      </c>
      <c r="BD239" s="52"/>
      <c r="BE239" s="7"/>
      <c r="BF239" s="7" t="str">
        <f ca="1">IF(TODAY()-Table43[[#This Row],[Efektif
Pembuatan]]&gt;60,"Lama","Baru")</f>
        <v>Lama</v>
      </c>
      <c r="BG239" s="7" t="str">
        <f ca="1">IF(TODAY()-Table43[[#This Row],[Efektif Naik Harga]]&lt;30,"Naik","Sama")</f>
        <v>Sama</v>
      </c>
      <c r="BH239" s="7"/>
      <c r="BI239" s="7" t="str">
        <f>IF(Table43[[#This Row],[Kode BARANG Win2]]&lt;&gt;"","IDR","")</f>
        <v>IDR</v>
      </c>
      <c r="BJ239" s="7" t="str">
        <f>CONCATENATE(Table43[[#This Row],[kode  1 Digit
(Nomor)]],Table43[[#This Row],[kode  4 Digit                (Nomor)]])</f>
        <v>0200</v>
      </c>
      <c r="BK239" s="7" t="str">
        <f>Table43[[#This Row],[Nama            Gramasi atau Jumlah Pack per CTN]]</f>
        <v>200ML</v>
      </c>
      <c r="BL239" s="7"/>
      <c r="BM239" s="7"/>
      <c r="BN239" s="4" t="str">
        <f>IF(Table43[[#This Row],[SATUAN Fix Win]]&lt;&gt;"","KRT")</f>
        <v>KRT</v>
      </c>
      <c r="BO239" s="4" t="str">
        <f>IF(Table43[[#This Row],[SATUAN Fix Win]]&lt;&gt;"","GD01")</f>
        <v>GD01</v>
      </c>
      <c r="BP239" s="4">
        <f>IF(Table43[[#This Row],[SATUAN Fix Win]]&lt;&gt;"",11611)</f>
        <v>11611</v>
      </c>
      <c r="BQ239" s="4">
        <f>IF(Table43[[#This Row],[SATUAN Fix Win]]&lt;&gt;"",11612)</f>
        <v>11612</v>
      </c>
      <c r="BS239" s="4">
        <f>IF(Table43[[#This Row],[SATUAN Fix Win]]&lt;&gt;"",1)</f>
        <v>1</v>
      </c>
      <c r="BU239" s="4">
        <f>Table43[[#This Row],[ISI/CTN]]</f>
        <v>24</v>
      </c>
    </row>
    <row r="240" spans="1:73">
      <c r="A240" s="4" t="str">
        <f>CONCATENATE(Table43[[#This Row],[Kode BARANG Win2]],Table43[[#This Row],[No. Urut
Item Sama]])</f>
        <v>G1121101040010</v>
      </c>
      <c r="B240" s="7"/>
      <c r="C240" s="31">
        <v>30261010400010</v>
      </c>
      <c r="D240" s="51">
        <v>40027994</v>
      </c>
      <c r="E240" s="66" t="s">
        <v>2486</v>
      </c>
      <c r="F240" s="68">
        <v>30261010400010</v>
      </c>
      <c r="G240" s="68">
        <v>0</v>
      </c>
      <c r="H240" s="27">
        <v>0</v>
      </c>
      <c r="I240" s="27">
        <v>12</v>
      </c>
      <c r="J240" s="51">
        <v>0</v>
      </c>
      <c r="K240" s="27" t="str">
        <f>Table43[[#This Row],[NamaJenisKemasan]]</f>
        <v>PCH</v>
      </c>
      <c r="L240" s="4" t="str">
        <f>TRIM(CONCATENATE(Table43[[#This Row],[Nama            KLP]]," ",Table43[[#This Row],[Nama            Sub KLP]]))</f>
        <v>MITU BABY MILK BATH F&amp;C</v>
      </c>
      <c r="M240" s="4" t="str">
        <f>CONCATENATE(Table43[[#This Row],[kode  2 Digit                (hrf+No)]],Table43[[#This Row],[kode  2 Digit                (Nomor)]],Table43[[#This Row],[kode  1 Digit                (Nomor)]])</f>
        <v>G1121</v>
      </c>
      <c r="N240" s="4" t="str">
        <f>IF(AI240="",CONCATENATE(S240,U240,W240,Y240,AA240,AC240,AE240,AG240,Table43[[#This Row],[Tanda Kode Revisi]]),CONCATENATE(S240,U240,W240,Y240,AA240,AC240,AE240,AI240))</f>
        <v>G1121101040010</v>
      </c>
      <c r="O240" s="11">
        <f t="shared" si="6"/>
        <v>14</v>
      </c>
      <c r="P240" s="14" t="str">
        <f>IF(AH240&lt;&gt;"",TRIM(UPPER(CONCATENATE(R240," ",T240," ",V240," ",X240," ",Z240," ",AB240," ","X"," ",Table43[[#This Row],[ISI/CTN]]," ",AH240," ",AD240," ",AF240," ",AJ240))),TRIM(UPPER(CONCATENATE(R240," ",T240," ",V240," ",X240," ",Z240," ",AB240," ","X"," ",Table43[[#This Row],[ISI/CTN]]," ",AD240," ",AF240," ",AJ240))))</f>
        <v>MITU BABY MILK BATH F&amp;C REFILL OAT 400ML X 12 PCH</v>
      </c>
      <c r="Q240" s="11">
        <f t="shared" si="7"/>
        <v>49</v>
      </c>
      <c r="S240" s="7" t="s">
        <v>34</v>
      </c>
      <c r="T240" s="4" t="s">
        <v>2549</v>
      </c>
      <c r="U240" s="47" t="s">
        <v>2558</v>
      </c>
      <c r="V240" s="48" t="s">
        <v>2327</v>
      </c>
      <c r="W240" s="7">
        <v>1</v>
      </c>
      <c r="X240" s="48" t="s">
        <v>2231</v>
      </c>
      <c r="Y240" s="47" t="s">
        <v>2539</v>
      </c>
      <c r="Z240" s="4" t="s">
        <v>2519</v>
      </c>
      <c r="AA240" s="49" t="s">
        <v>1115</v>
      </c>
      <c r="AB240" s="4" t="s">
        <v>635</v>
      </c>
      <c r="AC240" s="49" t="s">
        <v>2624</v>
      </c>
      <c r="AD240" s="4" t="s">
        <v>636</v>
      </c>
      <c r="AE240" s="7">
        <v>1</v>
      </c>
      <c r="AG240" s="7">
        <v>0</v>
      </c>
      <c r="AK240" s="70">
        <f>Table43[[#This Row],[Column4]]</f>
        <v>30261010400010</v>
      </c>
      <c r="AN240" s="7">
        <f>Table43[[#This Row],[ISI/CTN]]</f>
        <v>12</v>
      </c>
      <c r="AO240" s="38">
        <f>Table43[[#This Row],[Harga Jual Pcs GT
(-PPN)]]-(Table43[[#This Row],[Harga Jual Pcs GT
(-PPN)]]*6.5%)</f>
        <v>20944</v>
      </c>
      <c r="AP240" s="38">
        <f>Table43[[#This Row],[Harga Beli Pcs
(-PPN)]]*Table43[[#This Row],[ISI/CTN]]</f>
        <v>251328</v>
      </c>
      <c r="AQ240" s="38">
        <f>Table43[[#This Row],[Harga Beli Pcs
(-PPN)]]*1.11</f>
        <v>23247.840000000004</v>
      </c>
      <c r="AR240" s="38">
        <f>Table43[[#This Row],[Harga Beli Krt
(- PPN)]]*1.11</f>
        <v>278974.08000000002</v>
      </c>
      <c r="AS240" s="38">
        <v>22400</v>
      </c>
      <c r="AT240" s="38">
        <f>Table43[[#This Row],[Harga Jual Pcs GT
(-PPN)]]*Table43[[#This Row],[ISI/CTN]]</f>
        <v>268800</v>
      </c>
      <c r="AU240" s="38">
        <f>Table43[[#This Row],[Harga Jual Pcs GT
(-PPN)]]*1.11</f>
        <v>24864.000000000004</v>
      </c>
      <c r="AV240" s="38">
        <f>Table43[[#This Row],[Harga Jual Krt GT
(- PPN)]]*1.11</f>
        <v>298368</v>
      </c>
      <c r="AW240" s="38">
        <f>IFERROR(VLOOKUP(Table43[[#This Row],[Kode Pcpl]],'[1]FEB 2026'!$A$3:$X$312,24,0),0)</f>
        <v>0</v>
      </c>
      <c r="AX240" s="38">
        <f>Table43[[#This Row],[Harga Jual Pcs MT
(-PPN)]]*Table43[[#This Row],[ISI/CTN]]</f>
        <v>0</v>
      </c>
      <c r="AY240" s="38">
        <f>Table43[[#This Row],[Harga Jual Pcs MT
(-PPN)]]*1.11</f>
        <v>0</v>
      </c>
      <c r="AZ240" s="38">
        <f>Table43[[#This Row],[Harga Jual Pcs MT
(+PPN)]]*Table43[[#This Row],[ISI/CTN]]</f>
        <v>0</v>
      </c>
      <c r="BA240" s="46">
        <f>(Table43[[#This Row],[Harga Jual Pcs GT
(-PPN)]]-Table43[[#This Row],[Harga Beli Pcs
(-PPN)]])/Table43[[#This Row],[Harga Jual Pcs GT
(-PPN)]]</f>
        <v>6.5000000000000002E-2</v>
      </c>
      <c r="BB240" s="53">
        <f>Table43[[#This Row],[Harga Jual Pcs MT
(-PPN)]]-Table43[[#This Row],[Harga Beli Pcs
(-PPN)]]</f>
        <v>-20944</v>
      </c>
      <c r="BC240" s="54" t="e">
        <f>Table43[[#This Row],[Column1]]/Table43[[#This Row],[Harga Jual Pcs MT
(-PPN)]]</f>
        <v>#DIV/0!</v>
      </c>
      <c r="BD240" s="52"/>
      <c r="BE240" s="7"/>
      <c r="BF240" s="7" t="str">
        <f ca="1">IF(TODAY()-Table43[[#This Row],[Efektif
Pembuatan]]&gt;60,"Lama","Baru")</f>
        <v>Lama</v>
      </c>
      <c r="BG240" s="7" t="str">
        <f ca="1">IF(TODAY()-Table43[[#This Row],[Efektif Naik Harga]]&lt;30,"Naik","Sama")</f>
        <v>Sama</v>
      </c>
      <c r="BH240" s="7"/>
      <c r="BI240" s="7" t="str">
        <f>IF(Table43[[#This Row],[Kode BARANG Win2]]&lt;&gt;"","IDR","")</f>
        <v>IDR</v>
      </c>
      <c r="BJ240" s="7" t="str">
        <f>CONCATENATE(Table43[[#This Row],[kode  1 Digit
(Nomor)]],Table43[[#This Row],[kode  4 Digit                (Nomor)]])</f>
        <v>0400</v>
      </c>
      <c r="BK240" s="7" t="str">
        <f>Table43[[#This Row],[Nama            Gramasi atau Jumlah Pack per CTN]]</f>
        <v>400ML</v>
      </c>
      <c r="BL240" s="7"/>
      <c r="BM240" s="7"/>
      <c r="BN240" s="4" t="str">
        <f>IF(Table43[[#This Row],[SATUAN Fix Win]]&lt;&gt;"","KRT")</f>
        <v>KRT</v>
      </c>
      <c r="BO240" s="4" t="str">
        <f>IF(Table43[[#This Row],[SATUAN Fix Win]]&lt;&gt;"","GD01")</f>
        <v>GD01</v>
      </c>
      <c r="BP240" s="4">
        <f>IF(Table43[[#This Row],[SATUAN Fix Win]]&lt;&gt;"",11611)</f>
        <v>11611</v>
      </c>
      <c r="BQ240" s="4">
        <f>IF(Table43[[#This Row],[SATUAN Fix Win]]&lt;&gt;"",11612)</f>
        <v>11612</v>
      </c>
      <c r="BS240" s="4">
        <f>IF(Table43[[#This Row],[SATUAN Fix Win]]&lt;&gt;"",1)</f>
        <v>1</v>
      </c>
      <c r="BU240" s="4">
        <f>Table43[[#This Row],[ISI/CTN]]</f>
        <v>12</v>
      </c>
    </row>
    <row r="241" spans="1:73">
      <c r="A241" s="4" t="str">
        <f>CONCATENATE(Table43[[#This Row],[Kode BARANG Win2]],Table43[[#This Row],[No. Urut
Item Sama]])</f>
        <v>G1131001009511</v>
      </c>
      <c r="B241" s="7"/>
      <c r="C241" s="31">
        <v>30270010095001</v>
      </c>
      <c r="D241" s="51">
        <v>40028073</v>
      </c>
      <c r="E241" s="66" t="s">
        <v>2487</v>
      </c>
      <c r="F241" s="68">
        <v>30270010095001</v>
      </c>
      <c r="G241" s="68">
        <v>0</v>
      </c>
      <c r="H241" s="27">
        <v>0</v>
      </c>
      <c r="I241" s="27">
        <v>48</v>
      </c>
      <c r="J241" s="51">
        <v>0</v>
      </c>
      <c r="K241" s="27" t="str">
        <f>Table43[[#This Row],[NamaJenisKemasan]]</f>
        <v>BTL</v>
      </c>
      <c r="L241" s="4" t="str">
        <f>TRIM(CONCATENATE(Table43[[#This Row],[Nama            KLP]]," ",Table43[[#This Row],[Nama            Sub KLP]]))</f>
        <v>MITU BABY OIL F&amp;C</v>
      </c>
      <c r="M241" s="4" t="str">
        <f>CONCATENATE(Table43[[#This Row],[kode  2 Digit                (hrf+No)]],Table43[[#This Row],[kode  2 Digit                (Nomor)]],Table43[[#This Row],[kode  1 Digit                (Nomor)]])</f>
        <v>G1131</v>
      </c>
      <c r="N241" s="4" t="str">
        <f>IF(AI241="",CONCATENATE(S241,U241,W241,Y241,AA241,AC241,AE241,AG241,Table43[[#This Row],[Tanda Kode Revisi]]),CONCATENATE(S241,U241,W241,Y241,AA241,AC241,AE241,AI241))</f>
        <v>G1131001009511</v>
      </c>
      <c r="O241" s="11">
        <f t="shared" si="6"/>
        <v>14</v>
      </c>
      <c r="P241" s="14" t="str">
        <f>IF(AH241&lt;&gt;"",TRIM(UPPER(CONCATENATE(R241," ",T241," ",V241," ",X241," ",Z241," ",AB241," ","X"," ",Table43[[#This Row],[ISI/CTN]]," ",AH241," ",AD241," ",AF241," ",AJ241))),TRIM(UPPER(CONCATENATE(R241," ",T241," ",V241," ",X241," ",Z241," ",AB241," ","X"," ",Table43[[#This Row],[ISI/CTN]]," ",AD241," ",AF241," ",AJ241))))</f>
        <v>MITU BABY OIL F&amp;C OLIVE 95ML X 48 BTL +50%</v>
      </c>
      <c r="Q241" s="11">
        <f t="shared" si="7"/>
        <v>42</v>
      </c>
      <c r="S241" s="7" t="s">
        <v>34</v>
      </c>
      <c r="T241" s="4" t="s">
        <v>2550</v>
      </c>
      <c r="U241" s="47" t="s">
        <v>2559</v>
      </c>
      <c r="V241" s="48" t="s">
        <v>2327</v>
      </c>
      <c r="W241" s="7">
        <v>1</v>
      </c>
      <c r="X241" s="48"/>
      <c r="Y241" s="47" t="s">
        <v>1116</v>
      </c>
      <c r="Z241" s="4" t="s">
        <v>2520</v>
      </c>
      <c r="AA241" s="49" t="s">
        <v>1115</v>
      </c>
      <c r="AB241" s="4" t="s">
        <v>2521</v>
      </c>
      <c r="AC241" s="49" t="s">
        <v>2640</v>
      </c>
      <c r="AD241" s="4" t="s">
        <v>647</v>
      </c>
      <c r="AE241" s="7">
        <v>1</v>
      </c>
      <c r="AF241" s="65" t="s">
        <v>2345</v>
      </c>
      <c r="AG241" s="7">
        <v>1</v>
      </c>
      <c r="AK241" s="70">
        <f>Table43[[#This Row],[Column4]]</f>
        <v>30270010095001</v>
      </c>
      <c r="AN241" s="7">
        <f>Table43[[#This Row],[ISI/CTN]]</f>
        <v>48</v>
      </c>
      <c r="AO241" s="38">
        <f>Table43[[#This Row],[Harga Jual Pcs GT
(-PPN)]]-(Table43[[#This Row],[Harga Jual Pcs GT
(-PPN)]]*6.5%)</f>
        <v>11594</v>
      </c>
      <c r="AP241" s="38">
        <f>Table43[[#This Row],[Harga Beli Pcs
(-PPN)]]*Table43[[#This Row],[ISI/CTN]]</f>
        <v>556512</v>
      </c>
      <c r="AQ241" s="38">
        <f>Table43[[#This Row],[Harga Beli Pcs
(-PPN)]]*1.11</f>
        <v>12869.340000000002</v>
      </c>
      <c r="AR241" s="38">
        <f>Table43[[#This Row],[Harga Beli Krt
(- PPN)]]*1.11</f>
        <v>617728.32000000007</v>
      </c>
      <c r="AS241" s="38">
        <v>12400</v>
      </c>
      <c r="AT241" s="38">
        <f>Table43[[#This Row],[Harga Jual Pcs GT
(-PPN)]]*Table43[[#This Row],[ISI/CTN]]</f>
        <v>595200</v>
      </c>
      <c r="AU241" s="38">
        <f>Table43[[#This Row],[Harga Jual Pcs GT
(-PPN)]]*1.11</f>
        <v>13764.000000000002</v>
      </c>
      <c r="AV241" s="38">
        <f>Table43[[#This Row],[Harga Jual Krt GT
(- PPN)]]*1.11</f>
        <v>660672</v>
      </c>
      <c r="AW241" s="38">
        <f>IFERROR(VLOOKUP(Table43[[#This Row],[Kode Pcpl]],'[1]FEB 2026'!$A$3:$X$312,24,0),0)</f>
        <v>0</v>
      </c>
      <c r="AX241" s="38">
        <f>Table43[[#This Row],[Harga Jual Pcs MT
(-PPN)]]*Table43[[#This Row],[ISI/CTN]]</f>
        <v>0</v>
      </c>
      <c r="AY241" s="38">
        <f>Table43[[#This Row],[Harga Jual Pcs MT
(-PPN)]]*1.11</f>
        <v>0</v>
      </c>
      <c r="AZ241" s="38">
        <f>Table43[[#This Row],[Harga Jual Pcs MT
(+PPN)]]*Table43[[#This Row],[ISI/CTN]]</f>
        <v>0</v>
      </c>
      <c r="BA241" s="46">
        <f>(Table43[[#This Row],[Harga Jual Pcs GT
(-PPN)]]-Table43[[#This Row],[Harga Beli Pcs
(-PPN)]])/Table43[[#This Row],[Harga Jual Pcs GT
(-PPN)]]</f>
        <v>6.5000000000000002E-2</v>
      </c>
      <c r="BB241" s="53">
        <f>Table43[[#This Row],[Harga Jual Pcs MT
(-PPN)]]-Table43[[#This Row],[Harga Beli Pcs
(-PPN)]]</f>
        <v>-11594</v>
      </c>
      <c r="BC241" s="54" t="e">
        <f>Table43[[#This Row],[Column1]]/Table43[[#This Row],[Harga Jual Pcs MT
(-PPN)]]</f>
        <v>#DIV/0!</v>
      </c>
      <c r="BD241" s="52"/>
      <c r="BE241" s="7"/>
      <c r="BF241" s="7" t="str">
        <f ca="1">IF(TODAY()-Table43[[#This Row],[Efektif
Pembuatan]]&gt;60,"Lama","Baru")</f>
        <v>Lama</v>
      </c>
      <c r="BG241" s="7" t="str">
        <f ca="1">IF(TODAY()-Table43[[#This Row],[Efektif Naik Harga]]&lt;30,"Naik","Sama")</f>
        <v>Sama</v>
      </c>
      <c r="BH241" s="7"/>
      <c r="BI241" s="7" t="str">
        <f>IF(Table43[[#This Row],[Kode BARANG Win2]]&lt;&gt;"","IDR","")</f>
        <v>IDR</v>
      </c>
      <c r="BJ241" s="7" t="str">
        <f>CONCATENATE(Table43[[#This Row],[kode  1 Digit
(Nomor)]],Table43[[#This Row],[kode  4 Digit                (Nomor)]])</f>
        <v>0095</v>
      </c>
      <c r="BK241" s="7" t="str">
        <f>Table43[[#This Row],[Nama            Gramasi atau Jumlah Pack per CTN]]</f>
        <v>95ML</v>
      </c>
      <c r="BL241" s="7"/>
      <c r="BM241" s="7"/>
      <c r="BN241" s="4" t="str">
        <f>IF(Table43[[#This Row],[SATUAN Fix Win]]&lt;&gt;"","KRT")</f>
        <v>KRT</v>
      </c>
      <c r="BO241" s="4" t="str">
        <f>IF(Table43[[#This Row],[SATUAN Fix Win]]&lt;&gt;"","GD01")</f>
        <v>GD01</v>
      </c>
      <c r="BP241" s="4">
        <f>IF(Table43[[#This Row],[SATUAN Fix Win]]&lt;&gt;"",11611)</f>
        <v>11611</v>
      </c>
      <c r="BQ241" s="4">
        <f>IF(Table43[[#This Row],[SATUAN Fix Win]]&lt;&gt;"",11612)</f>
        <v>11612</v>
      </c>
      <c r="BS241" s="4">
        <f>IF(Table43[[#This Row],[SATUAN Fix Win]]&lt;&gt;"",1)</f>
        <v>1</v>
      </c>
      <c r="BU241" s="4">
        <f>Table43[[#This Row],[ISI/CTN]]</f>
        <v>48</v>
      </c>
    </row>
    <row r="242" spans="1:73">
      <c r="A242" s="4" t="str">
        <f>CONCATENATE(Table43[[#This Row],[Kode BARANG Win2]],Table43[[#This Row],[No. Urut
Item Sama]])</f>
        <v>G1141001005011</v>
      </c>
      <c r="B242" s="7"/>
      <c r="C242" s="31">
        <v>30280020050001</v>
      </c>
      <c r="D242" s="51">
        <v>40028269</v>
      </c>
      <c r="E242" s="27" t="s">
        <v>1986</v>
      </c>
      <c r="F242" s="51">
        <v>30280010050001</v>
      </c>
      <c r="G242" s="51">
        <v>0</v>
      </c>
      <c r="H242" s="27" t="s">
        <v>1270</v>
      </c>
      <c r="I242" s="27">
        <v>36</v>
      </c>
      <c r="J242" s="51" t="s">
        <v>1677</v>
      </c>
      <c r="K242" s="27" t="str">
        <f>Table43[[#This Row],[NamaJenisKemasan]]</f>
        <v>BTL</v>
      </c>
      <c r="L242" s="4" t="str">
        <f>TRIM(CONCATENATE(Table43[[#This Row],[Nama            KLP]]," ",Table43[[#This Row],[Nama            Sub KLP]]))</f>
        <v>MITU BABY POWDER F&amp;C</v>
      </c>
      <c r="M242" s="4" t="str">
        <f>CONCATENATE(Table43[[#This Row],[kode  2 Digit                (hrf+No)]],Table43[[#This Row],[kode  2 Digit                (Nomor)]],Table43[[#This Row],[kode  1 Digit                (Nomor)]])</f>
        <v>G1141</v>
      </c>
      <c r="N242" s="4" t="str">
        <f>IF(AI242="",CONCATENATE(S242,U242,W242,Y242,AA242,AC242,AE242,AG242,Table43[[#This Row],[Tanda Kode Revisi]]),CONCATENATE(S242,U242,W242,Y242,AA242,AC242,AE242,AI242))</f>
        <v>G1141001005011</v>
      </c>
      <c r="O242" s="11">
        <f t="shared" si="6"/>
        <v>14</v>
      </c>
      <c r="P242" s="14" t="str">
        <f>IF(AH242&lt;&gt;"",TRIM(UPPER(CONCATENATE(R242," ",T242," ",V242," ",X242," ",Z242," ",AB242," ","X"," ",Table43[[#This Row],[ISI/CTN]]," ",AH242," ",AD242," ",AF242," ",AJ242))),TRIM(UPPER(CONCATENATE(R242," ",T242," ",V242," ",X242," ",Z242," ",AB242," ","X"," ",Table43[[#This Row],[ISI/CTN]]," ",AD242," ",AF242," ",AJ242))))</f>
        <v>MITU BABY POWDER F&amp;C CLASSIC 50GR X 36 BTL +50%</v>
      </c>
      <c r="Q242" s="11">
        <f t="shared" si="7"/>
        <v>47</v>
      </c>
      <c r="S242" s="7" t="s">
        <v>34</v>
      </c>
      <c r="T242" s="4" t="s">
        <v>2551</v>
      </c>
      <c r="U242" s="47" t="s">
        <v>2560</v>
      </c>
      <c r="V242" s="48" t="s">
        <v>2327</v>
      </c>
      <c r="W242" s="7">
        <v>1</v>
      </c>
      <c r="X242" s="48"/>
      <c r="Y242" s="47" t="s">
        <v>1116</v>
      </c>
      <c r="Z242" s="4" t="s">
        <v>2265</v>
      </c>
      <c r="AA242" s="49" t="s">
        <v>1115</v>
      </c>
      <c r="AB242" s="4" t="s">
        <v>2210</v>
      </c>
      <c r="AC242" s="49" t="s">
        <v>2630</v>
      </c>
      <c r="AD242" s="4" t="s">
        <v>647</v>
      </c>
      <c r="AE242" s="7">
        <v>1</v>
      </c>
      <c r="AF242" s="65" t="s">
        <v>2345</v>
      </c>
      <c r="AG242" s="7">
        <v>1</v>
      </c>
      <c r="AK242" s="70">
        <f>Table43[[#This Row],[Column4]]</f>
        <v>30280010050001</v>
      </c>
      <c r="AN242" s="7">
        <f>Table43[[#This Row],[ISI/CTN]]</f>
        <v>36</v>
      </c>
      <c r="AO242" s="38">
        <f>Table43[[#This Row],[Harga Jual Pcs GT
(-PPN)]]-(Table43[[#This Row],[Harga Jual Pcs GT
(-PPN)]]*6.5%)</f>
        <v>3272.5</v>
      </c>
      <c r="AP242" s="38">
        <f>Table43[[#This Row],[Harga Beli Pcs
(-PPN)]]*Table43[[#This Row],[ISI/CTN]]</f>
        <v>117810</v>
      </c>
      <c r="AQ242" s="38">
        <f>Table43[[#This Row],[Harga Beli Pcs
(-PPN)]]*1.11</f>
        <v>3632.4750000000004</v>
      </c>
      <c r="AR242" s="38">
        <f>Table43[[#This Row],[Harga Beli Krt
(- PPN)]]*1.11</f>
        <v>130769.1</v>
      </c>
      <c r="AS242" s="38">
        <v>3500</v>
      </c>
      <c r="AT242" s="38">
        <f>Table43[[#This Row],[Harga Jual Pcs GT
(-PPN)]]*Table43[[#This Row],[ISI/CTN]]</f>
        <v>126000</v>
      </c>
      <c r="AU242" s="38">
        <f>Table43[[#This Row],[Harga Jual Pcs GT
(-PPN)]]*1.11</f>
        <v>3885.0000000000005</v>
      </c>
      <c r="AV242" s="38">
        <f>Table43[[#This Row],[Harga Jual Krt GT
(- PPN)]]*1.11</f>
        <v>139860</v>
      </c>
      <c r="AW242" s="38">
        <f>IFERROR(VLOOKUP(Table43[[#This Row],[Kode Pcpl]],'[1]FEB 2026'!$A$3:$X$312,24,0),0)</f>
        <v>0</v>
      </c>
      <c r="AX242" s="38">
        <f>Table43[[#This Row],[Harga Jual Pcs MT
(-PPN)]]*Table43[[#This Row],[ISI/CTN]]</f>
        <v>0</v>
      </c>
      <c r="AY242" s="38">
        <f>Table43[[#This Row],[Harga Jual Pcs MT
(-PPN)]]*1.11</f>
        <v>0</v>
      </c>
      <c r="AZ242" s="38">
        <f>Table43[[#This Row],[Harga Jual Pcs MT
(+PPN)]]*Table43[[#This Row],[ISI/CTN]]</f>
        <v>0</v>
      </c>
      <c r="BA242" s="46">
        <f>(Table43[[#This Row],[Harga Jual Pcs GT
(-PPN)]]-Table43[[#This Row],[Harga Beli Pcs
(-PPN)]])/Table43[[#This Row],[Harga Jual Pcs GT
(-PPN)]]</f>
        <v>6.5000000000000002E-2</v>
      </c>
      <c r="BB242" s="53">
        <f>Table43[[#This Row],[Harga Jual Pcs MT
(-PPN)]]-Table43[[#This Row],[Harga Beli Pcs
(-PPN)]]</f>
        <v>-3272.5</v>
      </c>
      <c r="BC242" s="54" t="e">
        <f>Table43[[#This Row],[Column1]]/Table43[[#This Row],[Harga Jual Pcs MT
(-PPN)]]</f>
        <v>#DIV/0!</v>
      </c>
      <c r="BD242" s="52"/>
      <c r="BE242" s="7"/>
      <c r="BF242" s="7" t="str">
        <f ca="1">IF(TODAY()-Table43[[#This Row],[Efektif
Pembuatan]]&gt;60,"Lama","Baru")</f>
        <v>Lama</v>
      </c>
      <c r="BG242" s="7" t="str">
        <f ca="1">IF(TODAY()-Table43[[#This Row],[Efektif Naik Harga]]&lt;30,"Naik","Sama")</f>
        <v>Sama</v>
      </c>
      <c r="BH242" s="7"/>
      <c r="BI242" s="7" t="str">
        <f>IF(Table43[[#This Row],[Kode BARANG Win2]]&lt;&gt;"","IDR","")</f>
        <v>IDR</v>
      </c>
      <c r="BJ242" s="7" t="str">
        <f>CONCATENATE(Table43[[#This Row],[kode  1 Digit
(Nomor)]],Table43[[#This Row],[kode  4 Digit                (Nomor)]])</f>
        <v>0050</v>
      </c>
      <c r="BK242" s="7" t="str">
        <f>Table43[[#This Row],[Nama            Gramasi atau Jumlah Pack per CTN]]</f>
        <v>50GR</v>
      </c>
      <c r="BL242" s="7"/>
      <c r="BM242" s="7"/>
      <c r="BN242" s="4" t="str">
        <f>IF(Table43[[#This Row],[SATUAN Fix Win]]&lt;&gt;"","KRT")</f>
        <v>KRT</v>
      </c>
      <c r="BO242" s="4" t="str">
        <f>IF(Table43[[#This Row],[SATUAN Fix Win]]&lt;&gt;"","GD01")</f>
        <v>GD01</v>
      </c>
      <c r="BP242" s="4">
        <f>IF(Table43[[#This Row],[SATUAN Fix Win]]&lt;&gt;"",11611)</f>
        <v>11611</v>
      </c>
      <c r="BQ242" s="4">
        <f>IF(Table43[[#This Row],[SATUAN Fix Win]]&lt;&gt;"",11612)</f>
        <v>11612</v>
      </c>
      <c r="BS242" s="4">
        <f>IF(Table43[[#This Row],[SATUAN Fix Win]]&lt;&gt;"",1)</f>
        <v>1</v>
      </c>
      <c r="BU242" s="4">
        <f>Table43[[#This Row],[ISI/CTN]]</f>
        <v>36</v>
      </c>
    </row>
    <row r="243" spans="1:73">
      <c r="A243" s="4" t="str">
        <f>CONCATENATE(Table43[[#This Row],[Kode BARANG Win2]],Table43[[#This Row],[No. Urut
Item Sama]])</f>
        <v>G1141001010011</v>
      </c>
      <c r="B243" s="7"/>
      <c r="C243" s="31">
        <v>30280010100001</v>
      </c>
      <c r="D243" s="51">
        <v>40028271</v>
      </c>
      <c r="E243" s="27" t="s">
        <v>1987</v>
      </c>
      <c r="F243" s="51">
        <v>30280010100001</v>
      </c>
      <c r="G243" s="51">
        <v>0</v>
      </c>
      <c r="H243" s="27" t="s">
        <v>1271</v>
      </c>
      <c r="I243" s="27">
        <v>36</v>
      </c>
      <c r="J243" s="51" t="s">
        <v>1678</v>
      </c>
      <c r="K243" s="27" t="str">
        <f>Table43[[#This Row],[NamaJenisKemasan]]</f>
        <v>BTL</v>
      </c>
      <c r="L243" s="4" t="str">
        <f>TRIM(CONCATENATE(Table43[[#This Row],[Nama            KLP]]," ",Table43[[#This Row],[Nama            Sub KLP]]))</f>
        <v>MITU BABY POWDER F&amp;C</v>
      </c>
      <c r="M243" s="4" t="str">
        <f>CONCATENATE(Table43[[#This Row],[kode  2 Digit                (hrf+No)]],Table43[[#This Row],[kode  2 Digit                (Nomor)]],Table43[[#This Row],[kode  1 Digit                (Nomor)]])</f>
        <v>G1141</v>
      </c>
      <c r="N243" s="4" t="str">
        <f>IF(AI243="",CONCATENATE(S243,U243,W243,Y243,AA243,AC243,AE243,AG243,Table43[[#This Row],[Tanda Kode Revisi]]),CONCATENATE(S243,U243,W243,Y243,AA243,AC243,AE243,AI243))</f>
        <v>G1141001010011</v>
      </c>
      <c r="O243" s="11">
        <f t="shared" si="6"/>
        <v>14</v>
      </c>
      <c r="P243" s="14" t="str">
        <f>IF(AH243&lt;&gt;"",TRIM(UPPER(CONCATENATE(R243," ",T243," ",V243," ",X243," ",Z243," ",AB243," ","X"," ",Table43[[#This Row],[ISI/CTN]]," ",AH243," ",AD243," ",AF243," ",AJ243))),TRIM(UPPER(CONCATENATE(R243," ",T243," ",V243," ",X243," ",Z243," ",AB243," ","X"," ",Table43[[#This Row],[ISI/CTN]]," ",AD243," ",AF243," ",AJ243))))</f>
        <v>MITU BABY POWDER F&amp;C CLASSIC 100GR X 36 BTL +50%</v>
      </c>
      <c r="Q243" s="11">
        <f t="shared" si="7"/>
        <v>48</v>
      </c>
      <c r="S243" s="7" t="s">
        <v>34</v>
      </c>
      <c r="T243" s="4" t="s">
        <v>2551</v>
      </c>
      <c r="U243" s="47" t="s">
        <v>2560</v>
      </c>
      <c r="V243" s="48" t="s">
        <v>2327</v>
      </c>
      <c r="W243" s="7">
        <v>1</v>
      </c>
      <c r="X243" s="48"/>
      <c r="Y243" s="47" t="s">
        <v>1116</v>
      </c>
      <c r="Z243" s="4" t="s">
        <v>2265</v>
      </c>
      <c r="AA243" s="49" t="s">
        <v>1115</v>
      </c>
      <c r="AB243" s="4" t="s">
        <v>2346</v>
      </c>
      <c r="AC243" s="49" t="s">
        <v>1118</v>
      </c>
      <c r="AD243" s="4" t="s">
        <v>647</v>
      </c>
      <c r="AE243" s="7">
        <v>1</v>
      </c>
      <c r="AF243" s="65" t="s">
        <v>2345</v>
      </c>
      <c r="AG243" s="7">
        <v>1</v>
      </c>
      <c r="AK243" s="70">
        <f>Table43[[#This Row],[Column4]]</f>
        <v>30280010100001</v>
      </c>
      <c r="AN243" s="7">
        <f>Table43[[#This Row],[ISI/CTN]]</f>
        <v>36</v>
      </c>
      <c r="AO243" s="38">
        <f>Table43[[#This Row],[Harga Jual Pcs GT
(-PPN)]]-(Table43[[#This Row],[Harga Jual Pcs GT
(-PPN)]]*6.5%)</f>
        <v>5843.75</v>
      </c>
      <c r="AP243" s="38">
        <f>Table43[[#This Row],[Harga Beli Pcs
(-PPN)]]*Table43[[#This Row],[ISI/CTN]]</f>
        <v>210375</v>
      </c>
      <c r="AQ243" s="38">
        <f>Table43[[#This Row],[Harga Beli Pcs
(-PPN)]]*1.11</f>
        <v>6486.5625000000009</v>
      </c>
      <c r="AR243" s="38">
        <f>Table43[[#This Row],[Harga Beli Krt
(- PPN)]]*1.11</f>
        <v>233516.25000000003</v>
      </c>
      <c r="AS243" s="38">
        <v>6250</v>
      </c>
      <c r="AT243" s="38">
        <f>Table43[[#This Row],[Harga Jual Pcs GT
(-PPN)]]*Table43[[#This Row],[ISI/CTN]]</f>
        <v>225000</v>
      </c>
      <c r="AU243" s="38">
        <f>Table43[[#This Row],[Harga Jual Pcs GT
(-PPN)]]*1.11</f>
        <v>6937.5000000000009</v>
      </c>
      <c r="AV243" s="38">
        <f>Table43[[#This Row],[Harga Jual Krt GT
(- PPN)]]*1.11</f>
        <v>249750.00000000003</v>
      </c>
      <c r="AW243" s="38">
        <f>IFERROR(VLOOKUP(Table43[[#This Row],[Kode Pcpl]],'[1]FEB 2026'!$A$3:$X$312,24,0),0)</f>
        <v>0</v>
      </c>
      <c r="AX243" s="38">
        <f>Table43[[#This Row],[Harga Jual Pcs MT
(-PPN)]]*Table43[[#This Row],[ISI/CTN]]</f>
        <v>0</v>
      </c>
      <c r="AY243" s="38">
        <f>Table43[[#This Row],[Harga Jual Pcs MT
(-PPN)]]*1.11</f>
        <v>0</v>
      </c>
      <c r="AZ243" s="38">
        <f>Table43[[#This Row],[Harga Jual Pcs MT
(+PPN)]]*Table43[[#This Row],[ISI/CTN]]</f>
        <v>0</v>
      </c>
      <c r="BA243" s="46">
        <f>(Table43[[#This Row],[Harga Jual Pcs GT
(-PPN)]]-Table43[[#This Row],[Harga Beli Pcs
(-PPN)]])/Table43[[#This Row],[Harga Jual Pcs GT
(-PPN)]]</f>
        <v>6.5000000000000002E-2</v>
      </c>
      <c r="BB243" s="53">
        <f>Table43[[#This Row],[Harga Jual Pcs MT
(-PPN)]]-Table43[[#This Row],[Harga Beli Pcs
(-PPN)]]</f>
        <v>-5843.75</v>
      </c>
      <c r="BC243" s="54" t="e">
        <f>Table43[[#This Row],[Column1]]/Table43[[#This Row],[Harga Jual Pcs MT
(-PPN)]]</f>
        <v>#DIV/0!</v>
      </c>
      <c r="BD243" s="52"/>
      <c r="BE243" s="7"/>
      <c r="BF243" s="7" t="str">
        <f ca="1">IF(TODAY()-Table43[[#This Row],[Efektif
Pembuatan]]&gt;60,"Lama","Baru")</f>
        <v>Lama</v>
      </c>
      <c r="BG243" s="7" t="str">
        <f ca="1">IF(TODAY()-Table43[[#This Row],[Efektif Naik Harga]]&lt;30,"Naik","Sama")</f>
        <v>Sama</v>
      </c>
      <c r="BH243" s="7"/>
      <c r="BI243" s="7" t="str">
        <f>IF(Table43[[#This Row],[Kode BARANG Win2]]&lt;&gt;"","IDR","")</f>
        <v>IDR</v>
      </c>
      <c r="BJ243" s="7" t="str">
        <f>CONCATENATE(Table43[[#This Row],[kode  1 Digit
(Nomor)]],Table43[[#This Row],[kode  4 Digit                (Nomor)]])</f>
        <v>0100</v>
      </c>
      <c r="BK243" s="7" t="str">
        <f>Table43[[#This Row],[Nama            Gramasi atau Jumlah Pack per CTN]]</f>
        <v>100GR</v>
      </c>
      <c r="BL243" s="7"/>
      <c r="BM243" s="7"/>
      <c r="BN243" s="4" t="str">
        <f>IF(Table43[[#This Row],[SATUAN Fix Win]]&lt;&gt;"","KRT")</f>
        <v>KRT</v>
      </c>
      <c r="BO243" s="4" t="str">
        <f>IF(Table43[[#This Row],[SATUAN Fix Win]]&lt;&gt;"","GD01")</f>
        <v>GD01</v>
      </c>
      <c r="BP243" s="4">
        <f>IF(Table43[[#This Row],[SATUAN Fix Win]]&lt;&gt;"",11611)</f>
        <v>11611</v>
      </c>
      <c r="BQ243" s="4">
        <f>IF(Table43[[#This Row],[SATUAN Fix Win]]&lt;&gt;"",11612)</f>
        <v>11612</v>
      </c>
      <c r="BS243" s="4">
        <f>IF(Table43[[#This Row],[SATUAN Fix Win]]&lt;&gt;"",1)</f>
        <v>1</v>
      </c>
      <c r="BU243" s="4">
        <f>Table43[[#This Row],[ISI/CTN]]</f>
        <v>36</v>
      </c>
    </row>
    <row r="244" spans="1:73">
      <c r="A244" s="4" t="str">
        <f>CONCATENATE(Table43[[#This Row],[Kode BARANG Win2]],Table43[[#This Row],[No. Urut
Item Sama]])</f>
        <v>G1141001020011</v>
      </c>
      <c r="B244" s="7"/>
      <c r="C244" s="31">
        <v>30280010200001</v>
      </c>
      <c r="D244" s="59">
        <v>40028273</v>
      </c>
      <c r="E244" s="60" t="s">
        <v>1988</v>
      </c>
      <c r="F244" s="59">
        <v>30280010200001</v>
      </c>
      <c r="G244" s="59">
        <v>0</v>
      </c>
      <c r="H244" s="60" t="s">
        <v>1272</v>
      </c>
      <c r="I244" s="60">
        <v>36</v>
      </c>
      <c r="J244" s="59" t="s">
        <v>1679</v>
      </c>
      <c r="K244" s="60" t="str">
        <f>Table43[[#This Row],[NamaJenisKemasan]]</f>
        <v>BTL</v>
      </c>
      <c r="L244" s="4" t="str">
        <f>TRIM(CONCATENATE(Table43[[#This Row],[Nama            KLP]]," ",Table43[[#This Row],[Nama            Sub KLP]]))</f>
        <v>MITU BABY POWDER F&amp;C</v>
      </c>
      <c r="M244" s="4" t="str">
        <f>CONCATENATE(Table43[[#This Row],[kode  2 Digit                (hrf+No)]],Table43[[#This Row],[kode  2 Digit                (Nomor)]],Table43[[#This Row],[kode  1 Digit                (Nomor)]])</f>
        <v>G1141</v>
      </c>
      <c r="N244" s="4" t="str">
        <f>IF(AI244="",CONCATENATE(S244,U244,W244,Y244,AA244,AC244,AE244,AG244,Table43[[#This Row],[Tanda Kode Revisi]]),CONCATENATE(S244,U244,W244,Y244,AA244,AC244,AE244,AI244))</f>
        <v>G1141001020011</v>
      </c>
      <c r="O244" s="11">
        <f t="shared" si="6"/>
        <v>14</v>
      </c>
      <c r="P244" s="14" t="str">
        <f>IF(AH244&lt;&gt;"",TRIM(UPPER(CONCATENATE(R244," ",T244," ",V244," ",X244," ",Z244," ",AB244," ","X"," ",Table43[[#This Row],[ISI/CTN]]," ",AH244," ",AD244," ",AF244," ",AJ244))),TRIM(UPPER(CONCATENATE(R244," ",T244," ",V244," ",X244," ",Z244," ",AB244," ","X"," ",Table43[[#This Row],[ISI/CTN]]," ",AD244," ",AF244," ",AJ244))))</f>
        <v>MITU BABY POWDER F&amp;C CLASSIC 200GR X 36 BTL +50%</v>
      </c>
      <c r="Q244" s="11">
        <f t="shared" si="7"/>
        <v>48</v>
      </c>
      <c r="S244" s="7" t="s">
        <v>34</v>
      </c>
      <c r="T244" s="4" t="s">
        <v>2551</v>
      </c>
      <c r="U244" s="47" t="s">
        <v>2560</v>
      </c>
      <c r="V244" s="48" t="s">
        <v>2327</v>
      </c>
      <c r="W244" s="7">
        <v>1</v>
      </c>
      <c r="X244" s="48"/>
      <c r="Y244" s="47" t="s">
        <v>1116</v>
      </c>
      <c r="Z244" s="4" t="s">
        <v>2265</v>
      </c>
      <c r="AA244" s="49" t="s">
        <v>1115</v>
      </c>
      <c r="AB244" s="4" t="s">
        <v>2347</v>
      </c>
      <c r="AC244" s="49" t="s">
        <v>2606</v>
      </c>
      <c r="AD244" s="4" t="s">
        <v>647</v>
      </c>
      <c r="AE244" s="7">
        <v>1</v>
      </c>
      <c r="AF244" s="65" t="s">
        <v>2345</v>
      </c>
      <c r="AG244" s="7">
        <v>1</v>
      </c>
      <c r="AK244" s="70">
        <f>Table43[[#This Row],[Column4]]</f>
        <v>30280010200001</v>
      </c>
      <c r="AN244" s="7">
        <f>Table43[[#This Row],[ISI/CTN]]</f>
        <v>36</v>
      </c>
      <c r="AO244" s="38">
        <f>Table43[[#This Row],[Harga Jual Pcs GT
(-PPN)]]-(Table43[[#This Row],[Harga Jual Pcs GT
(-PPN)]]*6.5%)</f>
        <v>10285</v>
      </c>
      <c r="AP244" s="38">
        <f>Table43[[#This Row],[Harga Beli Pcs
(-PPN)]]*Table43[[#This Row],[ISI/CTN]]</f>
        <v>370260</v>
      </c>
      <c r="AQ244" s="38">
        <f>Table43[[#This Row],[Harga Beli Pcs
(-PPN)]]*1.11</f>
        <v>11416.35</v>
      </c>
      <c r="AR244" s="38">
        <f>Table43[[#This Row],[Harga Beli Krt
(- PPN)]]*1.11</f>
        <v>410988.60000000003</v>
      </c>
      <c r="AS244" s="38">
        <v>11000</v>
      </c>
      <c r="AT244" s="38">
        <f>Table43[[#This Row],[Harga Jual Pcs GT
(-PPN)]]*Table43[[#This Row],[ISI/CTN]]</f>
        <v>396000</v>
      </c>
      <c r="AU244" s="38">
        <f>Table43[[#This Row],[Harga Jual Pcs GT
(-PPN)]]*1.11</f>
        <v>12210.000000000002</v>
      </c>
      <c r="AV244" s="38">
        <f>Table43[[#This Row],[Harga Jual Krt GT
(- PPN)]]*1.11</f>
        <v>439560.00000000006</v>
      </c>
      <c r="AW244" s="38">
        <f>IFERROR(VLOOKUP(Table43[[#This Row],[Kode Pcpl]],'[1]FEB 2026'!$A$3:$X$312,24,0),0)</f>
        <v>0</v>
      </c>
      <c r="AX244" s="38">
        <f>Table43[[#This Row],[Harga Jual Pcs MT
(-PPN)]]*Table43[[#This Row],[ISI/CTN]]</f>
        <v>0</v>
      </c>
      <c r="AY244" s="38">
        <f>Table43[[#This Row],[Harga Jual Pcs MT
(-PPN)]]*1.11</f>
        <v>0</v>
      </c>
      <c r="AZ244" s="38">
        <f>Table43[[#This Row],[Harga Jual Pcs MT
(+PPN)]]*Table43[[#This Row],[ISI/CTN]]</f>
        <v>0</v>
      </c>
      <c r="BA244" s="46">
        <f>(Table43[[#This Row],[Harga Jual Pcs GT
(-PPN)]]-Table43[[#This Row],[Harga Beli Pcs
(-PPN)]])/Table43[[#This Row],[Harga Jual Pcs GT
(-PPN)]]</f>
        <v>6.5000000000000002E-2</v>
      </c>
      <c r="BB244" s="53">
        <f>Table43[[#This Row],[Harga Jual Pcs MT
(-PPN)]]-Table43[[#This Row],[Harga Beli Pcs
(-PPN)]]</f>
        <v>-10285</v>
      </c>
      <c r="BC244" s="54" t="e">
        <f>Table43[[#This Row],[Column1]]/Table43[[#This Row],[Harga Jual Pcs MT
(-PPN)]]</f>
        <v>#DIV/0!</v>
      </c>
      <c r="BD244" s="52"/>
      <c r="BE244" s="7"/>
      <c r="BF244" s="7" t="str">
        <f ca="1">IF(TODAY()-Table43[[#This Row],[Efektif
Pembuatan]]&gt;60,"Lama","Baru")</f>
        <v>Lama</v>
      </c>
      <c r="BG244" s="7" t="str">
        <f ca="1">IF(TODAY()-Table43[[#This Row],[Efektif Naik Harga]]&lt;30,"Naik","Sama")</f>
        <v>Sama</v>
      </c>
      <c r="BH244" s="7"/>
      <c r="BI244" s="7" t="str">
        <f>IF(Table43[[#This Row],[Kode BARANG Win2]]&lt;&gt;"","IDR","")</f>
        <v>IDR</v>
      </c>
      <c r="BJ244" s="7" t="str">
        <f>CONCATENATE(Table43[[#This Row],[kode  1 Digit
(Nomor)]],Table43[[#This Row],[kode  4 Digit                (Nomor)]])</f>
        <v>0200</v>
      </c>
      <c r="BK244" s="7" t="str">
        <f>Table43[[#This Row],[Nama            Gramasi atau Jumlah Pack per CTN]]</f>
        <v>200GR</v>
      </c>
      <c r="BL244" s="7"/>
      <c r="BM244" s="7"/>
      <c r="BN244" s="4" t="str">
        <f>IF(Table43[[#This Row],[SATUAN Fix Win]]&lt;&gt;"","KRT")</f>
        <v>KRT</v>
      </c>
      <c r="BO244" s="4" t="str">
        <f>IF(Table43[[#This Row],[SATUAN Fix Win]]&lt;&gt;"","GD01")</f>
        <v>GD01</v>
      </c>
      <c r="BP244" s="4">
        <f>IF(Table43[[#This Row],[SATUAN Fix Win]]&lt;&gt;"",11611)</f>
        <v>11611</v>
      </c>
      <c r="BQ244" s="4">
        <f>IF(Table43[[#This Row],[SATUAN Fix Win]]&lt;&gt;"",11612)</f>
        <v>11612</v>
      </c>
      <c r="BS244" s="4">
        <f>IF(Table43[[#This Row],[SATUAN Fix Win]]&lt;&gt;"",1)</f>
        <v>1</v>
      </c>
      <c r="BU244" s="4">
        <f>Table43[[#This Row],[ISI/CTN]]</f>
        <v>36</v>
      </c>
    </row>
    <row r="245" spans="1:73">
      <c r="A245" s="4" t="str">
        <f>CONCATENATE(Table43[[#This Row],[Kode BARANG Win2]],Table43[[#This Row],[No. Urut
Item Sama]])</f>
        <v>G1141002005011</v>
      </c>
      <c r="B245" s="7"/>
      <c r="C245" s="31">
        <v>30300010400010</v>
      </c>
      <c r="D245" s="51">
        <v>40028268</v>
      </c>
      <c r="E245" s="27" t="s">
        <v>1989</v>
      </c>
      <c r="F245" s="51">
        <v>30280020050001</v>
      </c>
      <c r="G245" s="51">
        <v>0</v>
      </c>
      <c r="H245" s="27" t="s">
        <v>1273</v>
      </c>
      <c r="I245" s="27">
        <v>36</v>
      </c>
      <c r="J245" s="51" t="s">
        <v>1680</v>
      </c>
      <c r="K245" s="27" t="str">
        <f>Table43[[#This Row],[NamaJenisKemasan]]</f>
        <v>BTL</v>
      </c>
      <c r="L245" s="4" t="str">
        <f>TRIM(CONCATENATE(Table43[[#This Row],[Nama            KLP]]," ",Table43[[#This Row],[Nama            Sub KLP]]))</f>
        <v>MITU BABY POWDER F&amp;C</v>
      </c>
      <c r="M245" s="4" t="str">
        <f>CONCATENATE(Table43[[#This Row],[kode  2 Digit                (hrf+No)]],Table43[[#This Row],[kode  2 Digit                (Nomor)]],Table43[[#This Row],[kode  1 Digit                (Nomor)]])</f>
        <v>G1141</v>
      </c>
      <c r="N245" s="4" t="str">
        <f>IF(AI245="",CONCATENATE(S245,U245,W245,Y245,AA245,AC245,AE245,AG245,Table43[[#This Row],[Tanda Kode Revisi]]),CONCATENATE(S245,U245,W245,Y245,AA245,AC245,AE245,AI245))</f>
        <v>G1141002005011</v>
      </c>
      <c r="O245" s="11">
        <f t="shared" si="6"/>
        <v>14</v>
      </c>
      <c r="P245" s="14" t="str">
        <f>IF(AH245&lt;&gt;"",TRIM(UPPER(CONCATENATE(R245," ",T245," ",V245," ",X245," ",Z245," ",AB245," ","X"," ",Table43[[#This Row],[ISI/CTN]]," ",AH245," ",AD245," ",AF245," ",AJ245))),TRIM(UPPER(CONCATENATE(R245," ",T245," ",V245," ",X245," ",Z245," ",AB245," ","X"," ",Table43[[#This Row],[ISI/CTN]]," ",AD245," ",AF245," ",AJ245))))</f>
        <v>MITU BABY POWDER F&amp;C FLORAL 50GR X 36 BTL +50%</v>
      </c>
      <c r="Q245" s="11">
        <f t="shared" si="7"/>
        <v>46</v>
      </c>
      <c r="S245" s="7" t="s">
        <v>34</v>
      </c>
      <c r="T245" s="4" t="s">
        <v>2551</v>
      </c>
      <c r="U245" s="47" t="s">
        <v>2560</v>
      </c>
      <c r="V245" s="48" t="s">
        <v>2327</v>
      </c>
      <c r="W245" s="7">
        <v>1</v>
      </c>
      <c r="X245" s="48"/>
      <c r="Y245" s="47" t="s">
        <v>1116</v>
      </c>
      <c r="Z245" s="4" t="s">
        <v>2232</v>
      </c>
      <c r="AA245" s="49" t="s">
        <v>2459</v>
      </c>
      <c r="AB245" s="4" t="s">
        <v>2210</v>
      </c>
      <c r="AC245" s="49" t="s">
        <v>2630</v>
      </c>
      <c r="AD245" s="4" t="s">
        <v>647</v>
      </c>
      <c r="AE245" s="7">
        <v>1</v>
      </c>
      <c r="AF245" s="65" t="s">
        <v>2345</v>
      </c>
      <c r="AG245" s="7">
        <v>1</v>
      </c>
      <c r="AK245" s="70">
        <f>Table43[[#This Row],[Column4]]</f>
        <v>30280020050001</v>
      </c>
      <c r="AN245" s="7">
        <f>Table43[[#This Row],[ISI/CTN]]</f>
        <v>36</v>
      </c>
      <c r="AO245" s="38">
        <f>Table43[[#This Row],[Harga Jual Pcs GT
(-PPN)]]-(Table43[[#This Row],[Harga Jual Pcs GT
(-PPN)]]*6.5%)</f>
        <v>3272.5</v>
      </c>
      <c r="AP245" s="38">
        <f>Table43[[#This Row],[Harga Beli Pcs
(-PPN)]]*Table43[[#This Row],[ISI/CTN]]</f>
        <v>117810</v>
      </c>
      <c r="AQ245" s="38">
        <f>Table43[[#This Row],[Harga Beli Pcs
(-PPN)]]*1.11</f>
        <v>3632.4750000000004</v>
      </c>
      <c r="AR245" s="38">
        <f>Table43[[#This Row],[Harga Beli Krt
(- PPN)]]*1.11</f>
        <v>130769.1</v>
      </c>
      <c r="AS245" s="38">
        <v>3500</v>
      </c>
      <c r="AT245" s="38">
        <f>Table43[[#This Row],[Harga Jual Pcs GT
(-PPN)]]*Table43[[#This Row],[ISI/CTN]]</f>
        <v>126000</v>
      </c>
      <c r="AU245" s="38">
        <f>Table43[[#This Row],[Harga Jual Pcs GT
(-PPN)]]*1.11</f>
        <v>3885.0000000000005</v>
      </c>
      <c r="AV245" s="38">
        <f>Table43[[#This Row],[Harga Jual Krt GT
(- PPN)]]*1.11</f>
        <v>139860</v>
      </c>
      <c r="AW245" s="38">
        <f>IFERROR(VLOOKUP(Table43[[#This Row],[Kode Pcpl]],'[1]FEB 2026'!$A$3:$X$312,24,0),0)</f>
        <v>0</v>
      </c>
      <c r="AX245" s="38">
        <f>Table43[[#This Row],[Harga Jual Pcs MT
(-PPN)]]*Table43[[#This Row],[ISI/CTN]]</f>
        <v>0</v>
      </c>
      <c r="AY245" s="38">
        <f>Table43[[#This Row],[Harga Jual Pcs MT
(-PPN)]]*1.11</f>
        <v>0</v>
      </c>
      <c r="AZ245" s="38">
        <f>Table43[[#This Row],[Harga Jual Pcs MT
(+PPN)]]*Table43[[#This Row],[ISI/CTN]]</f>
        <v>0</v>
      </c>
      <c r="BA245" s="46">
        <f>(Table43[[#This Row],[Harga Jual Pcs GT
(-PPN)]]-Table43[[#This Row],[Harga Beli Pcs
(-PPN)]])/Table43[[#This Row],[Harga Jual Pcs GT
(-PPN)]]</f>
        <v>6.5000000000000002E-2</v>
      </c>
      <c r="BB245" s="53">
        <f>Table43[[#This Row],[Harga Jual Pcs MT
(-PPN)]]-Table43[[#This Row],[Harga Beli Pcs
(-PPN)]]</f>
        <v>-3272.5</v>
      </c>
      <c r="BC245" s="54" t="e">
        <f>Table43[[#This Row],[Column1]]/Table43[[#This Row],[Harga Jual Pcs MT
(-PPN)]]</f>
        <v>#DIV/0!</v>
      </c>
      <c r="BD245" s="52"/>
      <c r="BE245" s="7"/>
      <c r="BF245" s="7" t="str">
        <f ca="1">IF(TODAY()-Table43[[#This Row],[Efektif
Pembuatan]]&gt;60,"Lama","Baru")</f>
        <v>Lama</v>
      </c>
      <c r="BG245" s="7" t="str">
        <f ca="1">IF(TODAY()-Table43[[#This Row],[Efektif Naik Harga]]&lt;30,"Naik","Sama")</f>
        <v>Sama</v>
      </c>
      <c r="BH245" s="7"/>
      <c r="BI245" s="7" t="str">
        <f>IF(Table43[[#This Row],[Kode BARANG Win2]]&lt;&gt;"","IDR","")</f>
        <v>IDR</v>
      </c>
      <c r="BJ245" s="7" t="str">
        <f>CONCATENATE(Table43[[#This Row],[kode  1 Digit
(Nomor)]],Table43[[#This Row],[kode  4 Digit                (Nomor)]])</f>
        <v>0050</v>
      </c>
      <c r="BK245" s="7" t="str">
        <f>Table43[[#This Row],[Nama            Gramasi atau Jumlah Pack per CTN]]</f>
        <v>50GR</v>
      </c>
      <c r="BL245" s="7"/>
      <c r="BM245" s="7"/>
      <c r="BN245" s="4" t="str">
        <f>IF(Table43[[#This Row],[SATUAN Fix Win]]&lt;&gt;"","KRT")</f>
        <v>KRT</v>
      </c>
      <c r="BO245" s="4" t="str">
        <f>IF(Table43[[#This Row],[SATUAN Fix Win]]&lt;&gt;"","GD01")</f>
        <v>GD01</v>
      </c>
      <c r="BP245" s="4">
        <f>IF(Table43[[#This Row],[SATUAN Fix Win]]&lt;&gt;"",11611)</f>
        <v>11611</v>
      </c>
      <c r="BQ245" s="4">
        <f>IF(Table43[[#This Row],[SATUAN Fix Win]]&lt;&gt;"",11612)</f>
        <v>11612</v>
      </c>
      <c r="BS245" s="4">
        <f>IF(Table43[[#This Row],[SATUAN Fix Win]]&lt;&gt;"",1)</f>
        <v>1</v>
      </c>
      <c r="BU245" s="4">
        <f>Table43[[#This Row],[ISI/CTN]]</f>
        <v>36</v>
      </c>
    </row>
    <row r="246" spans="1:73">
      <c r="A246" s="4" t="str">
        <f>CONCATENATE(Table43[[#This Row],[Kode BARANG Win2]],Table43[[#This Row],[No. Urut
Item Sama]])</f>
        <v>G1141002010011</v>
      </c>
      <c r="B246" s="7"/>
      <c r="C246" s="31">
        <v>30280020100001</v>
      </c>
      <c r="D246" s="51">
        <v>40028270</v>
      </c>
      <c r="E246" s="27" t="s">
        <v>1990</v>
      </c>
      <c r="F246" s="51">
        <v>30280020100001</v>
      </c>
      <c r="G246" s="51">
        <v>0</v>
      </c>
      <c r="H246" s="27" t="s">
        <v>1274</v>
      </c>
      <c r="I246" s="27">
        <v>36</v>
      </c>
      <c r="J246" s="51" t="s">
        <v>1681</v>
      </c>
      <c r="K246" s="27" t="str">
        <f>Table43[[#This Row],[NamaJenisKemasan]]</f>
        <v>BTL</v>
      </c>
      <c r="L246" s="4" t="str">
        <f>TRIM(CONCATENATE(Table43[[#This Row],[Nama            KLP]]," ",Table43[[#This Row],[Nama            Sub KLP]]))</f>
        <v>MITU BABY POWDER F&amp;C</v>
      </c>
      <c r="M246" s="4" t="str">
        <f>CONCATENATE(Table43[[#This Row],[kode  2 Digit                (hrf+No)]],Table43[[#This Row],[kode  2 Digit                (Nomor)]],Table43[[#This Row],[kode  1 Digit                (Nomor)]])</f>
        <v>G1141</v>
      </c>
      <c r="N246" s="4" t="str">
        <f>IF(AI246="",CONCATENATE(S246,U246,W246,Y246,AA246,AC246,AE246,AG246,Table43[[#This Row],[Tanda Kode Revisi]]),CONCATENATE(S246,U246,W246,Y246,AA246,AC246,AE246,AI246))</f>
        <v>G1141002010011</v>
      </c>
      <c r="O246" s="11">
        <f t="shared" si="6"/>
        <v>14</v>
      </c>
      <c r="P246" s="14" t="str">
        <f>IF(AH246&lt;&gt;"",TRIM(UPPER(CONCATENATE(R246," ",T246," ",V246," ",X246," ",Z246," ",AB246," ","X"," ",Table43[[#This Row],[ISI/CTN]]," ",AH246," ",AD246," ",AF246," ",AJ246))),TRIM(UPPER(CONCATENATE(R246," ",T246," ",V246," ",X246," ",Z246," ",AB246," ","X"," ",Table43[[#This Row],[ISI/CTN]]," ",AD246," ",AF246," ",AJ246))))</f>
        <v>MITU BABY POWDER F&amp;C FLORAL 100GR X 36 BTL +50%</v>
      </c>
      <c r="Q246" s="11">
        <f t="shared" si="7"/>
        <v>47</v>
      </c>
      <c r="S246" s="7" t="s">
        <v>34</v>
      </c>
      <c r="T246" s="4" t="s">
        <v>2551</v>
      </c>
      <c r="U246" s="47" t="s">
        <v>2560</v>
      </c>
      <c r="V246" s="48" t="s">
        <v>2327</v>
      </c>
      <c r="W246" s="7">
        <v>1</v>
      </c>
      <c r="X246" s="48"/>
      <c r="Y246" s="47" t="s">
        <v>1116</v>
      </c>
      <c r="Z246" s="4" t="s">
        <v>2232</v>
      </c>
      <c r="AA246" s="49" t="s">
        <v>2459</v>
      </c>
      <c r="AB246" s="4" t="s">
        <v>2346</v>
      </c>
      <c r="AC246" s="49" t="s">
        <v>1118</v>
      </c>
      <c r="AD246" s="4" t="s">
        <v>647</v>
      </c>
      <c r="AE246" s="7">
        <v>1</v>
      </c>
      <c r="AF246" s="65" t="s">
        <v>2345</v>
      </c>
      <c r="AG246" s="7">
        <v>1</v>
      </c>
      <c r="AK246" s="70">
        <f>Table43[[#This Row],[Column4]]</f>
        <v>30280020100001</v>
      </c>
      <c r="AN246" s="7">
        <f>Table43[[#This Row],[ISI/CTN]]</f>
        <v>36</v>
      </c>
      <c r="AO246" s="38">
        <f>Table43[[#This Row],[Harga Jual Pcs GT
(-PPN)]]-(Table43[[#This Row],[Harga Jual Pcs GT
(-PPN)]]*6.5%)</f>
        <v>5843.75</v>
      </c>
      <c r="AP246" s="38">
        <f>Table43[[#This Row],[Harga Beli Pcs
(-PPN)]]*Table43[[#This Row],[ISI/CTN]]</f>
        <v>210375</v>
      </c>
      <c r="AQ246" s="38">
        <f>Table43[[#This Row],[Harga Beli Pcs
(-PPN)]]*1.11</f>
        <v>6486.5625000000009</v>
      </c>
      <c r="AR246" s="38">
        <f>Table43[[#This Row],[Harga Beli Krt
(- PPN)]]*1.11</f>
        <v>233516.25000000003</v>
      </c>
      <c r="AS246" s="38">
        <v>6250</v>
      </c>
      <c r="AT246" s="38">
        <f>Table43[[#This Row],[Harga Jual Pcs GT
(-PPN)]]*Table43[[#This Row],[ISI/CTN]]</f>
        <v>225000</v>
      </c>
      <c r="AU246" s="38">
        <f>Table43[[#This Row],[Harga Jual Pcs GT
(-PPN)]]*1.11</f>
        <v>6937.5000000000009</v>
      </c>
      <c r="AV246" s="38">
        <f>Table43[[#This Row],[Harga Jual Krt GT
(- PPN)]]*1.11</f>
        <v>249750.00000000003</v>
      </c>
      <c r="AW246" s="38">
        <f>IFERROR(VLOOKUP(Table43[[#This Row],[Kode Pcpl]],'[1]FEB 2026'!$A$3:$X$312,24,0),0)</f>
        <v>0</v>
      </c>
      <c r="AX246" s="38">
        <f>Table43[[#This Row],[Harga Jual Pcs MT
(-PPN)]]*Table43[[#This Row],[ISI/CTN]]</f>
        <v>0</v>
      </c>
      <c r="AY246" s="38">
        <f>Table43[[#This Row],[Harga Jual Pcs MT
(-PPN)]]*1.11</f>
        <v>0</v>
      </c>
      <c r="AZ246" s="38">
        <f>Table43[[#This Row],[Harga Jual Pcs MT
(+PPN)]]*Table43[[#This Row],[ISI/CTN]]</f>
        <v>0</v>
      </c>
      <c r="BA246" s="46">
        <f>(Table43[[#This Row],[Harga Jual Pcs GT
(-PPN)]]-Table43[[#This Row],[Harga Beli Pcs
(-PPN)]])/Table43[[#This Row],[Harga Jual Pcs GT
(-PPN)]]</f>
        <v>6.5000000000000002E-2</v>
      </c>
      <c r="BB246" s="53">
        <f>Table43[[#This Row],[Harga Jual Pcs MT
(-PPN)]]-Table43[[#This Row],[Harga Beli Pcs
(-PPN)]]</f>
        <v>-5843.75</v>
      </c>
      <c r="BC246" s="54" t="e">
        <f>Table43[[#This Row],[Column1]]/Table43[[#This Row],[Harga Jual Pcs MT
(-PPN)]]</f>
        <v>#DIV/0!</v>
      </c>
      <c r="BD246" s="52"/>
      <c r="BE246" s="7"/>
      <c r="BF246" s="7" t="str">
        <f ca="1">IF(TODAY()-Table43[[#This Row],[Efektif
Pembuatan]]&gt;60,"Lama","Baru")</f>
        <v>Lama</v>
      </c>
      <c r="BG246" s="7" t="str">
        <f ca="1">IF(TODAY()-Table43[[#This Row],[Efektif Naik Harga]]&lt;30,"Naik","Sama")</f>
        <v>Sama</v>
      </c>
      <c r="BH246" s="7"/>
      <c r="BI246" s="7" t="str">
        <f>IF(Table43[[#This Row],[Kode BARANG Win2]]&lt;&gt;"","IDR","")</f>
        <v>IDR</v>
      </c>
      <c r="BJ246" s="7" t="str">
        <f>CONCATENATE(Table43[[#This Row],[kode  1 Digit
(Nomor)]],Table43[[#This Row],[kode  4 Digit                (Nomor)]])</f>
        <v>0100</v>
      </c>
      <c r="BK246" s="7" t="str">
        <f>Table43[[#This Row],[Nama            Gramasi atau Jumlah Pack per CTN]]</f>
        <v>100GR</v>
      </c>
      <c r="BL246" s="7"/>
      <c r="BM246" s="7"/>
      <c r="BN246" s="4" t="str">
        <f>IF(Table43[[#This Row],[SATUAN Fix Win]]&lt;&gt;"","KRT")</f>
        <v>KRT</v>
      </c>
      <c r="BO246" s="4" t="str">
        <f>IF(Table43[[#This Row],[SATUAN Fix Win]]&lt;&gt;"","GD01")</f>
        <v>GD01</v>
      </c>
      <c r="BP246" s="4">
        <f>IF(Table43[[#This Row],[SATUAN Fix Win]]&lt;&gt;"",11611)</f>
        <v>11611</v>
      </c>
      <c r="BQ246" s="4">
        <f>IF(Table43[[#This Row],[SATUAN Fix Win]]&lt;&gt;"",11612)</f>
        <v>11612</v>
      </c>
      <c r="BS246" s="4">
        <f>IF(Table43[[#This Row],[SATUAN Fix Win]]&lt;&gt;"",1)</f>
        <v>1</v>
      </c>
      <c r="BU246" s="4">
        <f>Table43[[#This Row],[ISI/CTN]]</f>
        <v>36</v>
      </c>
    </row>
    <row r="247" spans="1:73">
      <c r="A247" s="4" t="str">
        <f>CONCATENATE(Table43[[#This Row],[Kode BARANG Win2]],Table43[[#This Row],[No. Urut
Item Sama]])</f>
        <v>G1141002020011</v>
      </c>
      <c r="B247" s="7"/>
      <c r="C247" s="31">
        <v>30280020200001</v>
      </c>
      <c r="D247" s="51">
        <v>40028272</v>
      </c>
      <c r="E247" s="27" t="s">
        <v>1991</v>
      </c>
      <c r="F247" s="51">
        <v>30280020200001</v>
      </c>
      <c r="G247" s="51">
        <v>0</v>
      </c>
      <c r="H247" s="27" t="s">
        <v>1275</v>
      </c>
      <c r="I247" s="27">
        <v>36</v>
      </c>
      <c r="J247" s="51" t="s">
        <v>1682</v>
      </c>
      <c r="K247" s="27" t="str">
        <f>Table43[[#This Row],[NamaJenisKemasan]]</f>
        <v>BTL</v>
      </c>
      <c r="L247" s="4" t="str">
        <f>TRIM(CONCATENATE(Table43[[#This Row],[Nama            KLP]]," ",Table43[[#This Row],[Nama            Sub KLP]]))</f>
        <v>MITU BABY POWDER F&amp;C</v>
      </c>
      <c r="M247" s="4" t="str">
        <f>CONCATENATE(Table43[[#This Row],[kode  2 Digit                (hrf+No)]],Table43[[#This Row],[kode  2 Digit                (Nomor)]],Table43[[#This Row],[kode  1 Digit                (Nomor)]])</f>
        <v>G1141</v>
      </c>
      <c r="N247" s="4" t="str">
        <f>IF(AI247="",CONCATENATE(S247,U247,W247,Y247,AA247,AC247,AE247,AG247,Table43[[#This Row],[Tanda Kode Revisi]]),CONCATENATE(S247,U247,W247,Y247,AA247,AC247,AE247,AI247))</f>
        <v>G1141002020011</v>
      </c>
      <c r="O247" s="11">
        <f t="shared" si="6"/>
        <v>14</v>
      </c>
      <c r="P247" s="14" t="str">
        <f>IF(AH247&lt;&gt;"",TRIM(UPPER(CONCATENATE(R247," ",T247," ",V247," ",X247," ",Z247," ",AB247," ","X"," ",Table43[[#This Row],[ISI/CTN]]," ",AH247," ",AD247," ",AF247," ",AJ247))),TRIM(UPPER(CONCATENATE(R247," ",T247," ",V247," ",X247," ",Z247," ",AB247," ","X"," ",Table43[[#This Row],[ISI/CTN]]," ",AD247," ",AF247," ",AJ247))))</f>
        <v>MITU BABY POWDER F&amp;C FLORAL 200GR X 36 BTL +50%</v>
      </c>
      <c r="Q247" s="11">
        <f t="shared" si="7"/>
        <v>47</v>
      </c>
      <c r="S247" s="7" t="s">
        <v>34</v>
      </c>
      <c r="T247" s="4" t="s">
        <v>2551</v>
      </c>
      <c r="U247" s="47" t="s">
        <v>2560</v>
      </c>
      <c r="V247" s="48" t="s">
        <v>2327</v>
      </c>
      <c r="W247" s="7">
        <v>1</v>
      </c>
      <c r="X247" s="48"/>
      <c r="Y247" s="47" t="s">
        <v>1116</v>
      </c>
      <c r="Z247" s="4" t="s">
        <v>2232</v>
      </c>
      <c r="AA247" s="49" t="s">
        <v>2459</v>
      </c>
      <c r="AB247" s="4" t="s">
        <v>2347</v>
      </c>
      <c r="AC247" s="49" t="s">
        <v>2606</v>
      </c>
      <c r="AD247" s="4" t="s">
        <v>647</v>
      </c>
      <c r="AE247" s="7">
        <v>1</v>
      </c>
      <c r="AF247" s="65" t="s">
        <v>2345</v>
      </c>
      <c r="AG247" s="7">
        <v>1</v>
      </c>
      <c r="AK247" s="70">
        <f>Table43[[#This Row],[Column4]]</f>
        <v>30280020200001</v>
      </c>
      <c r="AN247" s="7">
        <f>Table43[[#This Row],[ISI/CTN]]</f>
        <v>36</v>
      </c>
      <c r="AO247" s="61">
        <f>Table43[[#This Row],[Harga Jual Pcs GT
(-PPN)]]-(Table43[[#This Row],[Harga Jual Pcs GT
(-PPN)]]*6.5%)</f>
        <v>10285</v>
      </c>
      <c r="AP247" s="61">
        <f>Table43[[#This Row],[Harga Beli Pcs
(-PPN)]]*Table43[[#This Row],[ISI/CTN]]</f>
        <v>370260</v>
      </c>
      <c r="AQ247" s="61">
        <f>Table43[[#This Row],[Harga Beli Pcs
(-PPN)]]*1.11</f>
        <v>11416.35</v>
      </c>
      <c r="AR247" s="61">
        <f>Table43[[#This Row],[Harga Beli Krt
(- PPN)]]*1.11</f>
        <v>410988.60000000003</v>
      </c>
      <c r="AS247" s="61">
        <v>11000</v>
      </c>
      <c r="AT247" s="61">
        <f>Table43[[#This Row],[Harga Jual Pcs GT
(-PPN)]]*Table43[[#This Row],[ISI/CTN]]</f>
        <v>396000</v>
      </c>
      <c r="AU247" s="61">
        <f>Table43[[#This Row],[Harga Jual Pcs GT
(-PPN)]]*1.11</f>
        <v>12210.000000000002</v>
      </c>
      <c r="AV247" s="61">
        <f>Table43[[#This Row],[Harga Jual Krt GT
(- PPN)]]*1.11</f>
        <v>439560.00000000006</v>
      </c>
      <c r="AW247" s="61">
        <f>IFERROR(VLOOKUP(Table43[[#This Row],[Kode Pcpl]],'[1]FEB 2026'!$A$3:$X$312,24,0),0)</f>
        <v>0</v>
      </c>
      <c r="AX247" s="61">
        <f>Table43[[#This Row],[Harga Jual Pcs MT
(-PPN)]]*Table43[[#This Row],[ISI/CTN]]</f>
        <v>0</v>
      </c>
      <c r="AY247" s="61">
        <f>Table43[[#This Row],[Harga Jual Pcs MT
(-PPN)]]*1.11</f>
        <v>0</v>
      </c>
      <c r="AZ247" s="61">
        <f>Table43[[#This Row],[Harga Jual Pcs MT
(+PPN)]]*Table43[[#This Row],[ISI/CTN]]</f>
        <v>0</v>
      </c>
      <c r="BA247" s="62">
        <f>(Table43[[#This Row],[Harga Jual Pcs GT
(-PPN)]]-Table43[[#This Row],[Harga Beli Pcs
(-PPN)]])/Table43[[#This Row],[Harga Jual Pcs GT
(-PPN)]]</f>
        <v>6.5000000000000002E-2</v>
      </c>
      <c r="BB247" s="63">
        <f>Table43[[#This Row],[Harga Jual Pcs MT
(-PPN)]]-Table43[[#This Row],[Harga Beli Pcs
(-PPN)]]</f>
        <v>-10285</v>
      </c>
      <c r="BC247" s="64" t="e">
        <f>Table43[[#This Row],[Column1]]/Table43[[#This Row],[Harga Jual Pcs MT
(-PPN)]]</f>
        <v>#DIV/0!</v>
      </c>
      <c r="BD247" s="52"/>
      <c r="BE247" s="7"/>
      <c r="BF247" s="7" t="str">
        <f ca="1">IF(TODAY()-Table43[[#This Row],[Efektif
Pembuatan]]&gt;60,"Lama","Baru")</f>
        <v>Lama</v>
      </c>
      <c r="BG247" s="7" t="str">
        <f ca="1">IF(TODAY()-Table43[[#This Row],[Efektif Naik Harga]]&lt;30,"Naik","Sama")</f>
        <v>Sama</v>
      </c>
      <c r="BH247" s="7"/>
      <c r="BI247" s="7" t="str">
        <f>IF(Table43[[#This Row],[Kode BARANG Win2]]&lt;&gt;"","IDR","")</f>
        <v>IDR</v>
      </c>
      <c r="BJ247" s="7" t="str">
        <f>CONCATENATE(Table43[[#This Row],[kode  1 Digit
(Nomor)]],Table43[[#This Row],[kode  4 Digit                (Nomor)]])</f>
        <v>0200</v>
      </c>
      <c r="BK247" s="7" t="str">
        <f>Table43[[#This Row],[Nama            Gramasi atau Jumlah Pack per CTN]]</f>
        <v>200GR</v>
      </c>
      <c r="BL247" s="7"/>
      <c r="BM247" s="7"/>
      <c r="BN247" s="4" t="str">
        <f>IF(Table43[[#This Row],[SATUAN Fix Win]]&lt;&gt;"","KRT")</f>
        <v>KRT</v>
      </c>
      <c r="BO247" s="4" t="str">
        <f>IF(Table43[[#This Row],[SATUAN Fix Win]]&lt;&gt;"","GD01")</f>
        <v>GD01</v>
      </c>
      <c r="BP247" s="4">
        <f>IF(Table43[[#This Row],[SATUAN Fix Win]]&lt;&gt;"",11611)</f>
        <v>11611</v>
      </c>
      <c r="BQ247" s="4">
        <f>IF(Table43[[#This Row],[SATUAN Fix Win]]&lt;&gt;"",11612)</f>
        <v>11612</v>
      </c>
      <c r="BS247" s="4">
        <f>IF(Table43[[#This Row],[SATUAN Fix Win]]&lt;&gt;"",1)</f>
        <v>1</v>
      </c>
      <c r="BU247" s="4">
        <f>Table43[[#This Row],[ISI/CTN]]</f>
        <v>36</v>
      </c>
    </row>
    <row r="248" spans="1:73">
      <c r="A248" s="4" t="str">
        <f>CONCATENATE(Table43[[#This Row],[Kode BARANG Win2]],Table43[[#This Row],[No. Urut
Item Sama]])</f>
        <v>G1151001020020</v>
      </c>
      <c r="B248" s="7"/>
      <c r="C248" s="31">
        <v>30301010400000</v>
      </c>
      <c r="D248" s="59">
        <v>40027989</v>
      </c>
      <c r="E248" s="60" t="s">
        <v>1992</v>
      </c>
      <c r="F248" s="59">
        <v>30300010400010</v>
      </c>
      <c r="G248" s="59">
        <v>0</v>
      </c>
      <c r="H248" s="60" t="s">
        <v>1276</v>
      </c>
      <c r="I248" s="60">
        <v>36</v>
      </c>
      <c r="J248" s="59" t="s">
        <v>1683</v>
      </c>
      <c r="K248" s="60" t="str">
        <f>Table43[[#This Row],[NamaJenisKemasan]]</f>
        <v>BTL</v>
      </c>
      <c r="L248" s="4" t="str">
        <f>TRIM(CONCATENATE(Table43[[#This Row],[Nama            KLP]]," ",Table43[[#This Row],[Nama            Sub KLP]]))</f>
        <v>MITU BABY SABUN F&amp;C 2IN1</v>
      </c>
      <c r="M248" s="4" t="str">
        <f>CONCATENATE(Table43[[#This Row],[kode  2 Digit                (hrf+No)]],Table43[[#This Row],[kode  2 Digit                (Nomor)]],Table43[[#This Row],[kode  1 Digit                (Nomor)]])</f>
        <v>G1151</v>
      </c>
      <c r="N248" s="4" t="str">
        <f>IF(AI248="",CONCATENATE(S248,U248,W248,Y248,AA248,AC248,AE248,AG248,Table43[[#This Row],[Tanda Kode Revisi]]),CONCATENATE(S248,U248,W248,Y248,AA248,AC248,AE248,AI248))</f>
        <v>G1151001020020</v>
      </c>
      <c r="O248" s="11">
        <f t="shared" si="6"/>
        <v>14</v>
      </c>
      <c r="P248" s="14" t="str">
        <f>IF(AH248&lt;&gt;"",TRIM(UPPER(CONCATENATE(R248," ",T248," ",V248," ",X248," ",Z248," ",AB248," ","X"," ",Table43[[#This Row],[ISI/CTN]]," ",AH248," ",AD248," ",AF248," ",AJ248))),TRIM(UPPER(CONCATENATE(R248," ",T248," ",V248," ",X248," ",Z248," ",AB248," ","X"," ",Table43[[#This Row],[ISI/CTN]]," ",AD248," ",AF248," ",AJ248))))</f>
        <v>MITU BABY SABUN F&amp;C 2IN1 HONEY 200ML X 36 BTL</v>
      </c>
      <c r="Q248" s="11">
        <f t="shared" si="7"/>
        <v>45</v>
      </c>
      <c r="S248" s="7" t="s">
        <v>34</v>
      </c>
      <c r="T248" s="4" t="s">
        <v>2552</v>
      </c>
      <c r="U248" s="47" t="s">
        <v>2561</v>
      </c>
      <c r="V248" s="48" t="s">
        <v>2553</v>
      </c>
      <c r="W248" s="7">
        <v>1</v>
      </c>
      <c r="X248" s="48"/>
      <c r="Y248" s="47" t="s">
        <v>1116</v>
      </c>
      <c r="Z248" s="4" t="s">
        <v>2342</v>
      </c>
      <c r="AA248" s="49" t="s">
        <v>1115</v>
      </c>
      <c r="AB248" s="4" t="s">
        <v>640</v>
      </c>
      <c r="AC248" s="49" t="s">
        <v>2606</v>
      </c>
      <c r="AD248" s="4" t="s">
        <v>647</v>
      </c>
      <c r="AE248" s="7">
        <v>2</v>
      </c>
      <c r="AG248" s="7">
        <v>0</v>
      </c>
      <c r="AK248" s="70">
        <f>Table43[[#This Row],[Column4]]</f>
        <v>30300010400010</v>
      </c>
      <c r="AN248" s="7">
        <f>Table43[[#This Row],[ISI/CTN]]</f>
        <v>36</v>
      </c>
      <c r="AO248" s="38">
        <f>Table43[[#This Row],[Harga Jual Pcs GT
(-PPN)]]-(Table43[[#This Row],[Harga Jual Pcs GT
(-PPN)]]*6.5%)</f>
        <v>16689.75</v>
      </c>
      <c r="AP248" s="38">
        <f>Table43[[#This Row],[Harga Beli Pcs
(-PPN)]]*Table43[[#This Row],[ISI/CTN]]</f>
        <v>600831</v>
      </c>
      <c r="AQ248" s="38">
        <f>Table43[[#This Row],[Harga Beli Pcs
(-PPN)]]*1.11</f>
        <v>18525.622500000001</v>
      </c>
      <c r="AR248" s="38">
        <f>Table43[[#This Row],[Harga Beli Krt
(- PPN)]]*1.11</f>
        <v>666922.41</v>
      </c>
      <c r="AS248" s="38">
        <v>17850</v>
      </c>
      <c r="AT248" s="38">
        <f>Table43[[#This Row],[Harga Jual Pcs GT
(-PPN)]]*Table43[[#This Row],[ISI/CTN]]</f>
        <v>642600</v>
      </c>
      <c r="AU248" s="38">
        <f>Table43[[#This Row],[Harga Jual Pcs GT
(-PPN)]]*1.11</f>
        <v>19813.5</v>
      </c>
      <c r="AV248" s="38">
        <f>Table43[[#This Row],[Harga Jual Krt GT
(- PPN)]]*1.11</f>
        <v>713286.00000000012</v>
      </c>
      <c r="AW248" s="38">
        <f>IFERROR(VLOOKUP(Table43[[#This Row],[Kode Pcpl]],'[1]FEB 2026'!$A$3:$X$312,24,0),0)</f>
        <v>0</v>
      </c>
      <c r="AX248" s="38">
        <f>Table43[[#This Row],[Harga Jual Pcs MT
(-PPN)]]*Table43[[#This Row],[ISI/CTN]]</f>
        <v>0</v>
      </c>
      <c r="AY248" s="38">
        <f>Table43[[#This Row],[Harga Jual Pcs MT
(-PPN)]]*1.11</f>
        <v>0</v>
      </c>
      <c r="AZ248" s="38">
        <f>Table43[[#This Row],[Harga Jual Pcs MT
(+PPN)]]*Table43[[#This Row],[ISI/CTN]]</f>
        <v>0</v>
      </c>
      <c r="BA248" s="46">
        <f>(Table43[[#This Row],[Harga Jual Pcs GT
(-PPN)]]-Table43[[#This Row],[Harga Beli Pcs
(-PPN)]])/Table43[[#This Row],[Harga Jual Pcs GT
(-PPN)]]</f>
        <v>6.5000000000000002E-2</v>
      </c>
      <c r="BB248" s="53">
        <f>Table43[[#This Row],[Harga Jual Pcs MT
(-PPN)]]-Table43[[#This Row],[Harga Beli Pcs
(-PPN)]]</f>
        <v>-16689.75</v>
      </c>
      <c r="BC248" s="54" t="e">
        <f>Table43[[#This Row],[Column1]]/Table43[[#This Row],[Harga Jual Pcs MT
(-PPN)]]</f>
        <v>#DIV/0!</v>
      </c>
      <c r="BD248" s="52"/>
      <c r="BE248" s="7"/>
      <c r="BF248" s="7" t="str">
        <f ca="1">IF(TODAY()-Table43[[#This Row],[Efektif
Pembuatan]]&gt;60,"Lama","Baru")</f>
        <v>Lama</v>
      </c>
      <c r="BG248" s="7" t="str">
        <f ca="1">IF(TODAY()-Table43[[#This Row],[Efektif Naik Harga]]&lt;30,"Naik","Sama")</f>
        <v>Sama</v>
      </c>
      <c r="BH248" s="7"/>
      <c r="BI248" s="7" t="str">
        <f>IF(Table43[[#This Row],[Kode BARANG Win2]]&lt;&gt;"","IDR","")</f>
        <v>IDR</v>
      </c>
      <c r="BJ248" s="7" t="str">
        <f>CONCATENATE(Table43[[#This Row],[kode  1 Digit
(Nomor)]],Table43[[#This Row],[kode  4 Digit                (Nomor)]])</f>
        <v>0200</v>
      </c>
      <c r="BK248" s="7" t="str">
        <f>Table43[[#This Row],[Nama            Gramasi atau Jumlah Pack per CTN]]</f>
        <v>200ML</v>
      </c>
      <c r="BL248" s="7"/>
      <c r="BM248" s="7"/>
      <c r="BN248" s="4" t="str">
        <f>IF(Table43[[#This Row],[SATUAN Fix Win]]&lt;&gt;"","KRT")</f>
        <v>KRT</v>
      </c>
      <c r="BO248" s="4" t="str">
        <f>IF(Table43[[#This Row],[SATUAN Fix Win]]&lt;&gt;"","GD01")</f>
        <v>GD01</v>
      </c>
      <c r="BP248" s="4">
        <f>IF(Table43[[#This Row],[SATUAN Fix Win]]&lt;&gt;"",11611)</f>
        <v>11611</v>
      </c>
      <c r="BQ248" s="4">
        <f>IF(Table43[[#This Row],[SATUAN Fix Win]]&lt;&gt;"",11612)</f>
        <v>11612</v>
      </c>
      <c r="BS248" s="4">
        <f>IF(Table43[[#This Row],[SATUAN Fix Win]]&lt;&gt;"",1)</f>
        <v>1</v>
      </c>
      <c r="BU248" s="4">
        <f>Table43[[#This Row],[ISI/CTN]]</f>
        <v>36</v>
      </c>
    </row>
    <row r="249" spans="1:73">
      <c r="A249" s="4" t="str">
        <f>CONCATENATE(Table43[[#This Row],[Kode BARANG Win2]],Table43[[#This Row],[No. Urut
Item Sama]])</f>
        <v>G1151101020010</v>
      </c>
      <c r="B249" s="7"/>
      <c r="C249" s="31">
        <v>30311010400010</v>
      </c>
      <c r="D249" s="51">
        <v>40027990</v>
      </c>
      <c r="E249" s="27" t="s">
        <v>1993</v>
      </c>
      <c r="F249" s="51">
        <v>30301010200000</v>
      </c>
      <c r="G249" s="51">
        <v>0</v>
      </c>
      <c r="H249" s="27" t="s">
        <v>1277</v>
      </c>
      <c r="I249" s="27">
        <v>36</v>
      </c>
      <c r="J249" s="51" t="s">
        <v>1684</v>
      </c>
      <c r="K249" s="27" t="str">
        <f>Table43[[#This Row],[NamaJenisKemasan]]</f>
        <v>PCH</v>
      </c>
      <c r="L249" s="4" t="str">
        <f>TRIM(CONCATENATE(Table43[[#This Row],[Nama            KLP]]," ",Table43[[#This Row],[Nama            Sub KLP]]))</f>
        <v>MITU BABY SABUN F&amp;C 2IN1</v>
      </c>
      <c r="M249" s="4" t="str">
        <f>CONCATENATE(Table43[[#This Row],[kode  2 Digit                (hrf+No)]],Table43[[#This Row],[kode  2 Digit                (Nomor)]],Table43[[#This Row],[kode  1 Digit                (Nomor)]])</f>
        <v>G1151</v>
      </c>
      <c r="N249" s="4" t="str">
        <f>IF(AI249="",CONCATENATE(S249,U249,W249,Y249,AA249,AC249,AE249,AG249,Table43[[#This Row],[Tanda Kode Revisi]]),CONCATENATE(S249,U249,W249,Y249,AA249,AC249,AE249,AI249))</f>
        <v>G1151101020010</v>
      </c>
      <c r="O249" s="11">
        <f t="shared" si="6"/>
        <v>14</v>
      </c>
      <c r="P249" s="14" t="str">
        <f>IF(AH249&lt;&gt;"",TRIM(UPPER(CONCATENATE(R249," ",T249," ",V249," ",X249," ",Z249," ",AB249," ","X"," ",Table43[[#This Row],[ISI/CTN]]," ",AH249," ",AD249," ",AF249," ",AJ249))),TRIM(UPPER(CONCATENATE(R249," ",T249," ",V249," ",X249," ",Z249," ",AB249," ","X"," ",Table43[[#This Row],[ISI/CTN]]," ",AD249," ",AF249," ",AJ249))))</f>
        <v>MITU BABY SABUN F&amp;C 2IN1 REFILL HONEY 200ML X 36 PCH</v>
      </c>
      <c r="Q249" s="11">
        <f t="shared" si="7"/>
        <v>52</v>
      </c>
      <c r="S249" s="7" t="s">
        <v>34</v>
      </c>
      <c r="T249" s="4" t="s">
        <v>2552</v>
      </c>
      <c r="U249" s="47" t="s">
        <v>2561</v>
      </c>
      <c r="V249" s="48" t="s">
        <v>2553</v>
      </c>
      <c r="W249" s="7">
        <v>1</v>
      </c>
      <c r="X249" s="48" t="s">
        <v>2231</v>
      </c>
      <c r="Y249" s="47" t="s">
        <v>2539</v>
      </c>
      <c r="Z249" s="4" t="s">
        <v>2342</v>
      </c>
      <c r="AA249" s="49" t="s">
        <v>1115</v>
      </c>
      <c r="AB249" s="4" t="s">
        <v>640</v>
      </c>
      <c r="AC249" s="49" t="s">
        <v>2606</v>
      </c>
      <c r="AD249" s="4" t="s">
        <v>636</v>
      </c>
      <c r="AE249" s="7">
        <v>1</v>
      </c>
      <c r="AG249" s="7">
        <v>0</v>
      </c>
      <c r="AK249" s="70">
        <f>Table43[[#This Row],[Column4]]</f>
        <v>30301010200000</v>
      </c>
      <c r="AN249" s="7">
        <f>Table43[[#This Row],[ISI/CTN]]</f>
        <v>36</v>
      </c>
      <c r="AO249" s="38">
        <f>Table43[[#This Row],[Harga Jual Pcs GT
(-PPN)]]-(Table43[[#This Row],[Harga Jual Pcs GT
(-PPN)]]*6.5%)</f>
        <v>14380.3</v>
      </c>
      <c r="AP249" s="38">
        <f>Table43[[#This Row],[Harga Beli Pcs
(-PPN)]]*Table43[[#This Row],[ISI/CTN]]</f>
        <v>517690.8</v>
      </c>
      <c r="AQ249" s="38">
        <f>Table43[[#This Row],[Harga Beli Pcs
(-PPN)]]*1.11</f>
        <v>15962.133</v>
      </c>
      <c r="AR249" s="38">
        <f>Table43[[#This Row],[Harga Beli Krt
(- PPN)]]*1.11</f>
        <v>574636.78800000006</v>
      </c>
      <c r="AS249" s="38">
        <v>15380</v>
      </c>
      <c r="AT249" s="38">
        <f>Table43[[#This Row],[Harga Jual Pcs GT
(-PPN)]]*Table43[[#This Row],[ISI/CTN]]</f>
        <v>553680</v>
      </c>
      <c r="AU249" s="38">
        <f>Table43[[#This Row],[Harga Jual Pcs GT
(-PPN)]]*1.11</f>
        <v>17071.800000000003</v>
      </c>
      <c r="AV249" s="38">
        <f>Table43[[#This Row],[Harga Jual Krt GT
(- PPN)]]*1.11</f>
        <v>614584.80000000005</v>
      </c>
      <c r="AW249" s="38">
        <f>IFERROR(VLOOKUP(Table43[[#This Row],[Kode Pcpl]],'[1]FEB 2026'!$A$3:$X$312,24,0),0)</f>
        <v>0</v>
      </c>
      <c r="AX249" s="38">
        <f>Table43[[#This Row],[Harga Jual Pcs MT
(-PPN)]]*Table43[[#This Row],[ISI/CTN]]</f>
        <v>0</v>
      </c>
      <c r="AY249" s="38">
        <f>Table43[[#This Row],[Harga Jual Pcs MT
(-PPN)]]*1.11</f>
        <v>0</v>
      </c>
      <c r="AZ249" s="38">
        <f>Table43[[#This Row],[Harga Jual Pcs MT
(+PPN)]]*Table43[[#This Row],[ISI/CTN]]</f>
        <v>0</v>
      </c>
      <c r="BA249" s="46">
        <f>(Table43[[#This Row],[Harga Jual Pcs GT
(-PPN)]]-Table43[[#This Row],[Harga Beli Pcs
(-PPN)]])/Table43[[#This Row],[Harga Jual Pcs GT
(-PPN)]]</f>
        <v>6.5000000000000044E-2</v>
      </c>
      <c r="BB249" s="53">
        <f>Table43[[#This Row],[Harga Jual Pcs MT
(-PPN)]]-Table43[[#This Row],[Harga Beli Pcs
(-PPN)]]</f>
        <v>-14380.3</v>
      </c>
      <c r="BC249" s="54" t="e">
        <f>Table43[[#This Row],[Column1]]/Table43[[#This Row],[Harga Jual Pcs MT
(-PPN)]]</f>
        <v>#DIV/0!</v>
      </c>
      <c r="BD249" s="52"/>
      <c r="BE249" s="7"/>
      <c r="BF249" s="7" t="str">
        <f ca="1">IF(TODAY()-Table43[[#This Row],[Efektif
Pembuatan]]&gt;60,"Lama","Baru")</f>
        <v>Lama</v>
      </c>
      <c r="BG249" s="7" t="str">
        <f ca="1">IF(TODAY()-Table43[[#This Row],[Efektif Naik Harga]]&lt;30,"Naik","Sama")</f>
        <v>Sama</v>
      </c>
      <c r="BH249" s="7"/>
      <c r="BI249" s="7" t="str">
        <f>IF(Table43[[#This Row],[Kode BARANG Win2]]&lt;&gt;"","IDR","")</f>
        <v>IDR</v>
      </c>
      <c r="BJ249" s="7" t="str">
        <f>CONCATENATE(Table43[[#This Row],[kode  1 Digit
(Nomor)]],Table43[[#This Row],[kode  4 Digit                (Nomor)]])</f>
        <v>0200</v>
      </c>
      <c r="BK249" s="7" t="str">
        <f>Table43[[#This Row],[Nama            Gramasi atau Jumlah Pack per CTN]]</f>
        <v>200ML</v>
      </c>
      <c r="BL249" s="7"/>
      <c r="BM249" s="7"/>
      <c r="BN249" s="4" t="str">
        <f>IF(Table43[[#This Row],[SATUAN Fix Win]]&lt;&gt;"","KRT")</f>
        <v>KRT</v>
      </c>
      <c r="BO249" s="4" t="str">
        <f>IF(Table43[[#This Row],[SATUAN Fix Win]]&lt;&gt;"","GD01")</f>
        <v>GD01</v>
      </c>
      <c r="BP249" s="4">
        <f>IF(Table43[[#This Row],[SATUAN Fix Win]]&lt;&gt;"",11611)</f>
        <v>11611</v>
      </c>
      <c r="BQ249" s="4">
        <f>IF(Table43[[#This Row],[SATUAN Fix Win]]&lt;&gt;"",11612)</f>
        <v>11612</v>
      </c>
      <c r="BS249" s="4">
        <f>IF(Table43[[#This Row],[SATUAN Fix Win]]&lt;&gt;"",1)</f>
        <v>1</v>
      </c>
      <c r="BU249" s="4">
        <f>Table43[[#This Row],[ISI/CTN]]</f>
        <v>36</v>
      </c>
    </row>
    <row r="250" spans="1:73">
      <c r="A250" s="4" t="str">
        <f>CONCATENATE(Table43[[#This Row],[Kode BARANG Win2]],Table43[[#This Row],[No. Urut
Item Sama]])</f>
        <v>G1151101040010</v>
      </c>
      <c r="B250" s="7"/>
      <c r="C250" s="31">
        <v>30310010200000</v>
      </c>
      <c r="D250" s="59">
        <v>40027991</v>
      </c>
      <c r="E250" s="60" t="s">
        <v>1994</v>
      </c>
      <c r="F250" s="59">
        <v>30301010400000</v>
      </c>
      <c r="G250" s="59">
        <v>0</v>
      </c>
      <c r="H250" s="60" t="s">
        <v>1278</v>
      </c>
      <c r="I250" s="60">
        <v>12</v>
      </c>
      <c r="J250" s="59" t="s">
        <v>1685</v>
      </c>
      <c r="K250" s="60" t="str">
        <f>Table43[[#This Row],[NamaJenisKemasan]]</f>
        <v>PCH</v>
      </c>
      <c r="L250" s="4" t="str">
        <f>TRIM(CONCATENATE(Table43[[#This Row],[Nama            KLP]]," ",Table43[[#This Row],[Nama            Sub KLP]]))</f>
        <v>MITU BABY SABUN F&amp;C 2IN1</v>
      </c>
      <c r="M250" s="4" t="str">
        <f>CONCATENATE(Table43[[#This Row],[kode  2 Digit                (hrf+No)]],Table43[[#This Row],[kode  2 Digit                (Nomor)]],Table43[[#This Row],[kode  1 Digit                (Nomor)]])</f>
        <v>G1151</v>
      </c>
      <c r="N250" s="4" t="str">
        <f>IF(AI250="",CONCATENATE(S250,U250,W250,Y250,AA250,AC250,AE250,AG250,Table43[[#This Row],[Tanda Kode Revisi]]),CONCATENATE(S250,U250,W250,Y250,AA250,AC250,AE250,AI250))</f>
        <v>G1151101040010</v>
      </c>
      <c r="O250" s="11">
        <f t="shared" si="6"/>
        <v>14</v>
      </c>
      <c r="P250" s="14" t="str">
        <f>IF(AH250&lt;&gt;"",TRIM(UPPER(CONCATENATE(R250," ",T250," ",V250," ",X250," ",Z250," ",AB250," ","X"," ",Table43[[#This Row],[ISI/CTN]]," ",AH250," ",AD250," ",AF250," ",AJ250))),TRIM(UPPER(CONCATENATE(R250," ",T250," ",V250," ",X250," ",Z250," ",AB250," ","X"," ",Table43[[#This Row],[ISI/CTN]]," ",AD250," ",AF250," ",AJ250))))</f>
        <v>MITU BABY SABUN F&amp;C 2IN1 REFILL HONEY 400ML X 12 PCH</v>
      </c>
      <c r="Q250" s="11">
        <f t="shared" si="7"/>
        <v>52</v>
      </c>
      <c r="S250" s="7" t="s">
        <v>34</v>
      </c>
      <c r="T250" s="4" t="s">
        <v>2552</v>
      </c>
      <c r="U250" s="47" t="s">
        <v>2561</v>
      </c>
      <c r="V250" s="48" t="s">
        <v>2553</v>
      </c>
      <c r="W250" s="7">
        <v>1</v>
      </c>
      <c r="X250" s="48" t="s">
        <v>2231</v>
      </c>
      <c r="Y250" s="47" t="s">
        <v>2539</v>
      </c>
      <c r="Z250" s="4" t="s">
        <v>2342</v>
      </c>
      <c r="AA250" s="49" t="s">
        <v>1115</v>
      </c>
      <c r="AB250" s="4" t="s">
        <v>635</v>
      </c>
      <c r="AC250" s="49" t="s">
        <v>2624</v>
      </c>
      <c r="AD250" s="4" t="s">
        <v>636</v>
      </c>
      <c r="AE250" s="7">
        <v>1</v>
      </c>
      <c r="AG250" s="7">
        <v>0</v>
      </c>
      <c r="AK250" s="70">
        <f>Table43[[#This Row],[Column4]]</f>
        <v>30301010400000</v>
      </c>
      <c r="AN250" s="7">
        <f>Table43[[#This Row],[ISI/CTN]]</f>
        <v>12</v>
      </c>
      <c r="AO250" s="38">
        <f>Table43[[#This Row],[Harga Jual Pcs GT
(-PPN)]]-(Table43[[#This Row],[Harga Jual Pcs GT
(-PPN)]]*6.5%)</f>
        <v>23468.5</v>
      </c>
      <c r="AP250" s="38">
        <f>Table43[[#This Row],[Harga Beli Pcs
(-PPN)]]*Table43[[#This Row],[ISI/CTN]]</f>
        <v>281622</v>
      </c>
      <c r="AQ250" s="38">
        <f>Table43[[#This Row],[Harga Beli Pcs
(-PPN)]]*1.11</f>
        <v>26050.035000000003</v>
      </c>
      <c r="AR250" s="38">
        <f>Table43[[#This Row],[Harga Beli Krt
(- PPN)]]*1.11</f>
        <v>312600.42000000004</v>
      </c>
      <c r="AS250" s="38">
        <v>25100</v>
      </c>
      <c r="AT250" s="38">
        <f>Table43[[#This Row],[Harga Jual Pcs GT
(-PPN)]]*Table43[[#This Row],[ISI/CTN]]</f>
        <v>301200</v>
      </c>
      <c r="AU250" s="38">
        <f>Table43[[#This Row],[Harga Jual Pcs GT
(-PPN)]]*1.11</f>
        <v>27861.000000000004</v>
      </c>
      <c r="AV250" s="38">
        <f>Table43[[#This Row],[Harga Jual Krt GT
(- PPN)]]*1.11</f>
        <v>334332.00000000006</v>
      </c>
      <c r="AW250" s="38">
        <f>IFERROR(VLOOKUP(Table43[[#This Row],[Kode Pcpl]],'[1]FEB 2026'!$A$3:$X$312,24,0),0)</f>
        <v>0</v>
      </c>
      <c r="AX250" s="38">
        <f>Table43[[#This Row],[Harga Jual Pcs MT
(-PPN)]]*Table43[[#This Row],[ISI/CTN]]</f>
        <v>0</v>
      </c>
      <c r="AY250" s="38">
        <f>Table43[[#This Row],[Harga Jual Pcs MT
(-PPN)]]*1.11</f>
        <v>0</v>
      </c>
      <c r="AZ250" s="38">
        <f>Table43[[#This Row],[Harga Jual Pcs MT
(+PPN)]]*Table43[[#This Row],[ISI/CTN]]</f>
        <v>0</v>
      </c>
      <c r="BA250" s="46">
        <f>(Table43[[#This Row],[Harga Jual Pcs GT
(-PPN)]]-Table43[[#This Row],[Harga Beli Pcs
(-PPN)]])/Table43[[#This Row],[Harga Jual Pcs GT
(-PPN)]]</f>
        <v>6.5000000000000002E-2</v>
      </c>
      <c r="BB250" s="53">
        <f>Table43[[#This Row],[Harga Jual Pcs MT
(-PPN)]]-Table43[[#This Row],[Harga Beli Pcs
(-PPN)]]</f>
        <v>-23468.5</v>
      </c>
      <c r="BC250" s="54" t="e">
        <f>Table43[[#This Row],[Column1]]/Table43[[#This Row],[Harga Jual Pcs MT
(-PPN)]]</f>
        <v>#DIV/0!</v>
      </c>
      <c r="BD250" s="52"/>
      <c r="BE250" s="7"/>
      <c r="BF250" s="7" t="str">
        <f ca="1">IF(TODAY()-Table43[[#This Row],[Efektif
Pembuatan]]&gt;60,"Lama","Baru")</f>
        <v>Lama</v>
      </c>
      <c r="BG250" s="7" t="str">
        <f ca="1">IF(TODAY()-Table43[[#This Row],[Efektif Naik Harga]]&lt;30,"Naik","Sama")</f>
        <v>Sama</v>
      </c>
      <c r="BH250" s="7"/>
      <c r="BI250" s="7" t="str">
        <f>IF(Table43[[#This Row],[Kode BARANG Win2]]&lt;&gt;"","IDR","")</f>
        <v>IDR</v>
      </c>
      <c r="BJ250" s="7" t="str">
        <f>CONCATENATE(Table43[[#This Row],[kode  1 Digit
(Nomor)]],Table43[[#This Row],[kode  4 Digit                (Nomor)]])</f>
        <v>0400</v>
      </c>
      <c r="BK250" s="7" t="str">
        <f>Table43[[#This Row],[Nama            Gramasi atau Jumlah Pack per CTN]]</f>
        <v>400ML</v>
      </c>
      <c r="BL250" s="7"/>
      <c r="BM250" s="7"/>
      <c r="BN250" s="4" t="str">
        <f>IF(Table43[[#This Row],[SATUAN Fix Win]]&lt;&gt;"","KRT")</f>
        <v>KRT</v>
      </c>
      <c r="BO250" s="4" t="str">
        <f>IF(Table43[[#This Row],[SATUAN Fix Win]]&lt;&gt;"","GD01")</f>
        <v>GD01</v>
      </c>
      <c r="BP250" s="4">
        <f>IF(Table43[[#This Row],[SATUAN Fix Win]]&lt;&gt;"",11611)</f>
        <v>11611</v>
      </c>
      <c r="BQ250" s="4">
        <f>IF(Table43[[#This Row],[SATUAN Fix Win]]&lt;&gt;"",11612)</f>
        <v>11612</v>
      </c>
      <c r="BS250" s="4">
        <f>IF(Table43[[#This Row],[SATUAN Fix Win]]&lt;&gt;"",1)</f>
        <v>1</v>
      </c>
      <c r="BU250" s="4">
        <f>Table43[[#This Row],[ISI/CTN]]</f>
        <v>12</v>
      </c>
    </row>
    <row r="251" spans="1:73">
      <c r="A251" s="4" t="str">
        <f>CONCATENATE(Table43[[#This Row],[Kode BARANG Win2]],Table43[[#This Row],[No. Urut
Item Sama]])</f>
        <v>G1161001020020</v>
      </c>
      <c r="B251" s="7"/>
      <c r="C251" s="31">
        <v>30320020010001</v>
      </c>
      <c r="D251" s="51">
        <v>40028065</v>
      </c>
      <c r="E251" s="27" t="s">
        <v>1995</v>
      </c>
      <c r="F251" s="51">
        <v>30310010200000</v>
      </c>
      <c r="G251" s="51">
        <v>0</v>
      </c>
      <c r="H251" s="27" t="s">
        <v>1279</v>
      </c>
      <c r="I251" s="27">
        <v>36</v>
      </c>
      <c r="J251" s="51" t="s">
        <v>1686</v>
      </c>
      <c r="K251" s="27" t="str">
        <f>Table43[[#This Row],[NamaJenisKemasan]]</f>
        <v>BTL</v>
      </c>
      <c r="L251" s="4" t="str">
        <f>TRIM(CONCATENATE(Table43[[#This Row],[Nama            KLP]]," ",Table43[[#This Row],[Nama            Sub KLP]]))</f>
        <v>MITU BABY SHAMPOO F&amp;C</v>
      </c>
      <c r="M251" s="4" t="str">
        <f>CONCATENATE(Table43[[#This Row],[kode  2 Digit                (hrf+No)]],Table43[[#This Row],[kode  2 Digit                (Nomor)]],Table43[[#This Row],[kode  1 Digit                (Nomor)]])</f>
        <v>G1161</v>
      </c>
      <c r="N251" s="4" t="str">
        <f>IF(AI251="",CONCATENATE(S251,U251,W251,Y251,AA251,AC251,AE251,AG251,Table43[[#This Row],[Tanda Kode Revisi]]),CONCATENATE(S251,U251,W251,Y251,AA251,AC251,AE251,AI251))</f>
        <v>G1161001020020</v>
      </c>
      <c r="O251" s="11">
        <f t="shared" si="6"/>
        <v>14</v>
      </c>
      <c r="P251" s="14" t="str">
        <f>IF(AH251&lt;&gt;"",TRIM(UPPER(CONCATENATE(R251," ",T251," ",V251," ",X251," ",Z251," ",AB251," ","X"," ",Table43[[#This Row],[ISI/CTN]]," ",AH251," ",AD251," ",AF251," ",AJ251))),TRIM(UPPER(CONCATENATE(R251," ",T251," ",V251," ",X251," ",Z251," ",AB251," ","X"," ",Table43[[#This Row],[ISI/CTN]]," ",AD251," ",AF251," ",AJ251))))</f>
        <v>MITU BABY SHAMPOO F&amp;C ALOE 200ML X 36 BTL</v>
      </c>
      <c r="Q251" s="11">
        <f t="shared" si="7"/>
        <v>41</v>
      </c>
      <c r="S251" s="7" t="s">
        <v>34</v>
      </c>
      <c r="T251" s="4" t="s">
        <v>2554</v>
      </c>
      <c r="U251" s="47" t="s">
        <v>2562</v>
      </c>
      <c r="V251" s="48" t="s">
        <v>2327</v>
      </c>
      <c r="W251" s="7">
        <v>1</v>
      </c>
      <c r="X251" s="48"/>
      <c r="Y251" s="47" t="s">
        <v>1116</v>
      </c>
      <c r="Z251" s="4" t="s">
        <v>2341</v>
      </c>
      <c r="AA251" s="49" t="s">
        <v>1115</v>
      </c>
      <c r="AB251" s="4" t="s">
        <v>640</v>
      </c>
      <c r="AC251" s="49" t="s">
        <v>2606</v>
      </c>
      <c r="AD251" s="4" t="s">
        <v>647</v>
      </c>
      <c r="AE251" s="7">
        <v>2</v>
      </c>
      <c r="AG251" s="7">
        <v>0</v>
      </c>
      <c r="AK251" s="70">
        <f>Table43[[#This Row],[Column4]]</f>
        <v>30310010200000</v>
      </c>
      <c r="AN251" s="7">
        <f>Table43[[#This Row],[ISI/CTN]]</f>
        <v>36</v>
      </c>
      <c r="AO251" s="61">
        <f>Table43[[#This Row],[Harga Jual Pcs GT
(-PPN)]]-(Table43[[#This Row],[Harga Jual Pcs GT
(-PPN)]]*6.5%)</f>
        <v>16839.349999999999</v>
      </c>
      <c r="AP251" s="61">
        <f>Table43[[#This Row],[Harga Beli Pcs
(-PPN)]]*Table43[[#This Row],[ISI/CTN]]</f>
        <v>606216.6</v>
      </c>
      <c r="AQ251" s="61">
        <f>Table43[[#This Row],[Harga Beli Pcs
(-PPN)]]*1.11</f>
        <v>18691.678500000002</v>
      </c>
      <c r="AR251" s="61">
        <f>Table43[[#This Row],[Harga Beli Krt
(- PPN)]]*1.11</f>
        <v>672900.42599999998</v>
      </c>
      <c r="AS251" s="61">
        <v>18010</v>
      </c>
      <c r="AT251" s="61">
        <f>Table43[[#This Row],[Harga Jual Pcs GT
(-PPN)]]*Table43[[#This Row],[ISI/CTN]]</f>
        <v>648360</v>
      </c>
      <c r="AU251" s="61">
        <f>Table43[[#This Row],[Harga Jual Pcs GT
(-PPN)]]*1.11</f>
        <v>19991.100000000002</v>
      </c>
      <c r="AV251" s="61">
        <f>Table43[[#This Row],[Harga Jual Krt GT
(- PPN)]]*1.11</f>
        <v>719679.60000000009</v>
      </c>
      <c r="AW251" s="61">
        <f>IFERROR(VLOOKUP(Table43[[#This Row],[Kode Pcpl]],'[1]FEB 2026'!$A$3:$X$312,24,0),0)</f>
        <v>0</v>
      </c>
      <c r="AX251" s="61">
        <f>Table43[[#This Row],[Harga Jual Pcs MT
(-PPN)]]*Table43[[#This Row],[ISI/CTN]]</f>
        <v>0</v>
      </c>
      <c r="AY251" s="61">
        <f>Table43[[#This Row],[Harga Jual Pcs MT
(-PPN)]]*1.11</f>
        <v>0</v>
      </c>
      <c r="AZ251" s="61">
        <f>Table43[[#This Row],[Harga Jual Pcs MT
(+PPN)]]*Table43[[#This Row],[ISI/CTN]]</f>
        <v>0</v>
      </c>
      <c r="BA251" s="62">
        <f>(Table43[[#This Row],[Harga Jual Pcs GT
(-PPN)]]-Table43[[#This Row],[Harga Beli Pcs
(-PPN)]])/Table43[[#This Row],[Harga Jual Pcs GT
(-PPN)]]</f>
        <v>6.5000000000000085E-2</v>
      </c>
      <c r="BB251" s="63">
        <f>Table43[[#This Row],[Harga Jual Pcs MT
(-PPN)]]-Table43[[#This Row],[Harga Beli Pcs
(-PPN)]]</f>
        <v>-16839.349999999999</v>
      </c>
      <c r="BC251" s="64" t="e">
        <f>Table43[[#This Row],[Column1]]/Table43[[#This Row],[Harga Jual Pcs MT
(-PPN)]]</f>
        <v>#DIV/0!</v>
      </c>
      <c r="BD251" s="52"/>
      <c r="BE251" s="7"/>
      <c r="BF251" s="7" t="str">
        <f ca="1">IF(TODAY()-Table43[[#This Row],[Efektif
Pembuatan]]&gt;60,"Lama","Baru")</f>
        <v>Lama</v>
      </c>
      <c r="BG251" s="7" t="str">
        <f ca="1">IF(TODAY()-Table43[[#This Row],[Efektif Naik Harga]]&lt;30,"Naik","Sama")</f>
        <v>Sama</v>
      </c>
      <c r="BH251" s="7"/>
      <c r="BI251" s="7" t="str">
        <f>IF(Table43[[#This Row],[Kode BARANG Win2]]&lt;&gt;"","IDR","")</f>
        <v>IDR</v>
      </c>
      <c r="BJ251" s="7" t="str">
        <f>CONCATENATE(Table43[[#This Row],[kode  1 Digit
(Nomor)]],Table43[[#This Row],[kode  4 Digit                (Nomor)]])</f>
        <v>0200</v>
      </c>
      <c r="BK251" s="7" t="str">
        <f>Table43[[#This Row],[Nama            Gramasi atau Jumlah Pack per CTN]]</f>
        <v>200ML</v>
      </c>
      <c r="BL251" s="7"/>
      <c r="BM251" s="7"/>
      <c r="BN251" s="4" t="str">
        <f>IF(Table43[[#This Row],[SATUAN Fix Win]]&lt;&gt;"","KRT")</f>
        <v>KRT</v>
      </c>
      <c r="BO251" s="4" t="str">
        <f>IF(Table43[[#This Row],[SATUAN Fix Win]]&lt;&gt;"","GD01")</f>
        <v>GD01</v>
      </c>
      <c r="BP251" s="4">
        <f>IF(Table43[[#This Row],[SATUAN Fix Win]]&lt;&gt;"",11611)</f>
        <v>11611</v>
      </c>
      <c r="BQ251" s="4">
        <f>IF(Table43[[#This Row],[SATUAN Fix Win]]&lt;&gt;"",11612)</f>
        <v>11612</v>
      </c>
      <c r="BS251" s="4">
        <f>IF(Table43[[#This Row],[SATUAN Fix Win]]&lt;&gt;"",1)</f>
        <v>1</v>
      </c>
      <c r="BU251" s="4">
        <f>Table43[[#This Row],[ISI/CTN]]</f>
        <v>36</v>
      </c>
    </row>
    <row r="252" spans="1:73">
      <c r="A252" s="4" t="str">
        <f>CONCATENATE(Table43[[#This Row],[Kode BARANG Win2]],Table43[[#This Row],[No. Urut
Item Sama]])</f>
        <v>G1161001020020</v>
      </c>
      <c r="B252" s="7"/>
      <c r="C252" s="31"/>
      <c r="D252" s="51">
        <v>40016503</v>
      </c>
      <c r="E252" s="27"/>
      <c r="F252" s="51"/>
      <c r="G252" s="51"/>
      <c r="H252" s="27"/>
      <c r="I252" s="27">
        <v>36</v>
      </c>
      <c r="J252" s="51"/>
      <c r="K252" s="27" t="str">
        <f>Table43[[#This Row],[NamaJenisKemasan]]</f>
        <v>BTL</v>
      </c>
      <c r="L252" s="4" t="str">
        <f>TRIM(CONCATENATE(Table43[[#This Row],[Nama            KLP]]," ",Table43[[#This Row],[Nama            Sub KLP]]))</f>
        <v>MITU BABY SHAMPOO F&amp;C</v>
      </c>
      <c r="M252" s="4" t="str">
        <f>CONCATENATE(Table43[[#This Row],[kode  2 Digit                (hrf+No)]],Table43[[#This Row],[kode  2 Digit                (Nomor)]],Table43[[#This Row],[kode  1 Digit                (Nomor)]])</f>
        <v>G1161</v>
      </c>
      <c r="N252" s="4" t="str">
        <f>IF(AI252="",CONCATENATE(S252,U252,W252,Y252,AA252,AC252,AE252,AG252,Table43[[#This Row],[Tanda Kode Revisi]]),CONCATENATE(S252,U252,W252,Y252,AA252,AC252,AE252,AI252))</f>
        <v>G1161001020020</v>
      </c>
      <c r="O252" s="11">
        <f t="shared" si="6"/>
        <v>14</v>
      </c>
      <c r="P252" s="14" t="str">
        <f>IF(AH252&lt;&gt;"",TRIM(UPPER(CONCATENATE(R252," ",T252," ",V252," ",X252," ",Z252," ",AB252," ","X"," ",Table43[[#This Row],[ISI/CTN]]," ",AH252," ",AD252," ",AF252," ",AJ252))),TRIM(UPPER(CONCATENATE(R252," ",T252," ",V252," ",X252," ",Z252," ",AB252," ","X"," ",Table43[[#This Row],[ISI/CTN]]," ",AD252," ",AF252," ",AJ252))))</f>
        <v>MITU BABY SHAMPOO F&amp;C ALOE 200ML X 36 BTL</v>
      </c>
      <c r="Q252" s="11">
        <f t="shared" si="7"/>
        <v>41</v>
      </c>
      <c r="S252" s="7" t="s">
        <v>34</v>
      </c>
      <c r="T252" s="4" t="s">
        <v>2554</v>
      </c>
      <c r="U252" s="47" t="s">
        <v>2562</v>
      </c>
      <c r="V252" s="48" t="s">
        <v>2327</v>
      </c>
      <c r="W252" s="7">
        <v>1</v>
      </c>
      <c r="X252" s="48"/>
      <c r="Y252" s="47" t="s">
        <v>1116</v>
      </c>
      <c r="Z252" s="4" t="s">
        <v>2341</v>
      </c>
      <c r="AA252" s="49" t="s">
        <v>1115</v>
      </c>
      <c r="AB252" s="4" t="s">
        <v>640</v>
      </c>
      <c r="AC252" s="49" t="s">
        <v>2606</v>
      </c>
      <c r="AD252" s="4" t="s">
        <v>647</v>
      </c>
      <c r="AE252" s="7">
        <v>2</v>
      </c>
      <c r="AG252" s="7">
        <v>0</v>
      </c>
      <c r="AK252" s="70">
        <f>Table43[[#This Row],[Column4]]</f>
        <v>0</v>
      </c>
      <c r="AN252" s="7">
        <f>Table43[[#This Row],[ISI/CTN]]</f>
        <v>36</v>
      </c>
      <c r="AO252" s="61">
        <f>Table43[[#This Row],[Harga Jual Pcs GT
(-PPN)]]-(Table43[[#This Row],[Harga Jual Pcs GT
(-PPN)]]*6.5%)</f>
        <v>16839.349999999999</v>
      </c>
      <c r="AP252" s="61">
        <f>Table43[[#This Row],[Harga Beli Pcs
(-PPN)]]*Table43[[#This Row],[ISI/CTN]]</f>
        <v>606216.6</v>
      </c>
      <c r="AQ252" s="61">
        <f>Table43[[#This Row],[Harga Beli Pcs
(-PPN)]]*1.11</f>
        <v>18691.678500000002</v>
      </c>
      <c r="AR252" s="61">
        <f>Table43[[#This Row],[Harga Beli Krt
(- PPN)]]*1.11</f>
        <v>672900.42599999998</v>
      </c>
      <c r="AS252" s="61">
        <v>18010</v>
      </c>
      <c r="AT252" s="61">
        <f>Table43[[#This Row],[Harga Jual Pcs GT
(-PPN)]]*Table43[[#This Row],[ISI/CTN]]</f>
        <v>648360</v>
      </c>
      <c r="AU252" s="61">
        <f>Table43[[#This Row],[Harga Jual Pcs GT
(-PPN)]]*1.11</f>
        <v>19991.100000000002</v>
      </c>
      <c r="AV252" s="61">
        <f>Table43[[#This Row],[Harga Jual Krt GT
(- PPN)]]*1.11</f>
        <v>719679.60000000009</v>
      </c>
      <c r="AW252" s="61">
        <f>IFERROR(VLOOKUP(Table43[[#This Row],[Kode Pcpl]],'[1]FEB 2026'!$A$3:$X$312,24,0),0)</f>
        <v>0</v>
      </c>
      <c r="AX252" s="61">
        <f>Table43[[#This Row],[Harga Jual Pcs MT
(-PPN)]]*Table43[[#This Row],[ISI/CTN]]</f>
        <v>0</v>
      </c>
      <c r="AY252" s="61">
        <f>Table43[[#This Row],[Harga Jual Pcs MT
(-PPN)]]*1.11</f>
        <v>0</v>
      </c>
      <c r="AZ252" s="61">
        <f>Table43[[#This Row],[Harga Jual Pcs MT
(+PPN)]]*Table43[[#This Row],[ISI/CTN]]</f>
        <v>0</v>
      </c>
      <c r="BA252" s="62">
        <f>(Table43[[#This Row],[Harga Jual Pcs GT
(-PPN)]]-Table43[[#This Row],[Harga Beli Pcs
(-PPN)]])/Table43[[#This Row],[Harga Jual Pcs GT
(-PPN)]]</f>
        <v>6.5000000000000085E-2</v>
      </c>
      <c r="BB252" s="63">
        <f>Table43[[#This Row],[Harga Jual Pcs MT
(-PPN)]]-Table43[[#This Row],[Harga Beli Pcs
(-PPN)]]</f>
        <v>-16839.349999999999</v>
      </c>
      <c r="BC252" s="64" t="e">
        <f>Table43[[#This Row],[Column1]]/Table43[[#This Row],[Harga Jual Pcs MT
(-PPN)]]</f>
        <v>#DIV/0!</v>
      </c>
      <c r="BD252" s="52"/>
      <c r="BE252" s="7"/>
      <c r="BF252" s="7" t="str">
        <f ca="1">IF(TODAY()-Table43[[#This Row],[Efektif
Pembuatan]]&gt;60,"Lama","Baru")</f>
        <v>Lama</v>
      </c>
      <c r="BG252" s="7" t="str">
        <f ca="1">IF(TODAY()-Table43[[#This Row],[Efektif Naik Harga]]&lt;30,"Naik","Sama")</f>
        <v>Sama</v>
      </c>
      <c r="BH252" s="7"/>
      <c r="BI252" s="7" t="str">
        <f>IF(Table43[[#This Row],[Kode BARANG Win2]]&lt;&gt;"","IDR","")</f>
        <v>IDR</v>
      </c>
      <c r="BJ252" s="7" t="str">
        <f>CONCATENATE(Table43[[#This Row],[kode  1 Digit
(Nomor)]],Table43[[#This Row],[kode  4 Digit                (Nomor)]])</f>
        <v>0200</v>
      </c>
      <c r="BK252" s="7" t="str">
        <f>Table43[[#This Row],[Nama            Gramasi atau Jumlah Pack per CTN]]</f>
        <v>200ML</v>
      </c>
      <c r="BL252" s="7"/>
      <c r="BM252" s="7"/>
      <c r="BN252" s="4" t="str">
        <f>IF(Table43[[#This Row],[SATUAN Fix Win]]&lt;&gt;"","KRT")</f>
        <v>KRT</v>
      </c>
      <c r="BO252" s="4" t="str">
        <f>IF(Table43[[#This Row],[SATUAN Fix Win]]&lt;&gt;"","GD01")</f>
        <v>GD01</v>
      </c>
      <c r="BP252" s="4">
        <f>IF(Table43[[#This Row],[SATUAN Fix Win]]&lt;&gt;"",11611)</f>
        <v>11611</v>
      </c>
      <c r="BQ252" s="4">
        <f>IF(Table43[[#This Row],[SATUAN Fix Win]]&lt;&gt;"",11612)</f>
        <v>11612</v>
      </c>
      <c r="BS252" s="4">
        <f>IF(Table43[[#This Row],[SATUAN Fix Win]]&lt;&gt;"",1)</f>
        <v>1</v>
      </c>
      <c r="BU252" s="4">
        <f>Table43[[#This Row],[ISI/CTN]]</f>
        <v>36</v>
      </c>
    </row>
    <row r="253" spans="1:73">
      <c r="A253" s="4" t="str">
        <f>CONCATENATE(Table43[[#This Row],[Kode BARANG Win2]],Table43[[#This Row],[No. Urut
Item Sama]])</f>
        <v>G11611010400101</v>
      </c>
      <c r="B253" s="7">
        <v>1</v>
      </c>
      <c r="C253" s="31">
        <v>30320020060010</v>
      </c>
      <c r="D253" s="59">
        <v>40027883</v>
      </c>
      <c r="E253" s="60" t="s">
        <v>1996</v>
      </c>
      <c r="F253" s="59">
        <v>30311010400010</v>
      </c>
      <c r="G253" s="59">
        <v>0</v>
      </c>
      <c r="H253" s="60" t="s">
        <v>1280</v>
      </c>
      <c r="I253" s="60">
        <v>12</v>
      </c>
      <c r="J253" s="59" t="s">
        <v>1687</v>
      </c>
      <c r="K253" s="60" t="str">
        <f>Table43[[#This Row],[NamaJenisKemasan]]</f>
        <v>PCH</v>
      </c>
      <c r="L253" s="4" t="str">
        <f>TRIM(CONCATENATE(Table43[[#This Row],[Nama            KLP]]," ",Table43[[#This Row],[Nama            Sub KLP]]))</f>
        <v>MITU BABY SHAMPOO F&amp;C</v>
      </c>
      <c r="M253" s="4" t="str">
        <f>CONCATENATE(Table43[[#This Row],[kode  2 Digit                (hrf+No)]],Table43[[#This Row],[kode  2 Digit                (Nomor)]],Table43[[#This Row],[kode  1 Digit                (Nomor)]])</f>
        <v>G1161</v>
      </c>
      <c r="N253" s="4" t="str">
        <f>IF(AI253="",CONCATENATE(S253,U253,W253,Y253,AA253,AC253,AE253,AG253,Table43[[#This Row],[Tanda Kode Revisi]]),CONCATENATE(S253,U253,W253,Y253,AA253,AC253,AE253,AI253))</f>
        <v>G1161101040010</v>
      </c>
      <c r="O253" s="11">
        <f t="shared" si="6"/>
        <v>14</v>
      </c>
      <c r="P253" s="14" t="str">
        <f>IF(AH253&lt;&gt;"",TRIM(UPPER(CONCATENATE(R253," ",T253," ",V253," ",X253," ",Z253," ",AB253," ","X"," ",Table43[[#This Row],[ISI/CTN]]," ",AH253," ",AD253," ",AF253," ",AJ253))),TRIM(UPPER(CONCATENATE(R253," ",T253," ",V253," ",X253," ",Z253," ",AB253," ","X"," ",Table43[[#This Row],[ISI/CTN]]," ",AD253," ",AF253," ",AJ253))))</f>
        <v>MITU BABY SHAMPOO F&amp;C REFILL ALOE 400ML X 12 PCH</v>
      </c>
      <c r="Q253" s="11">
        <f t="shared" si="7"/>
        <v>48</v>
      </c>
      <c r="S253" s="7" t="s">
        <v>34</v>
      </c>
      <c r="T253" s="4" t="s">
        <v>2554</v>
      </c>
      <c r="U253" s="47" t="s">
        <v>2562</v>
      </c>
      <c r="V253" s="48" t="s">
        <v>2327</v>
      </c>
      <c r="W253" s="7">
        <v>1</v>
      </c>
      <c r="X253" s="48" t="s">
        <v>2231</v>
      </c>
      <c r="Y253" s="47" t="s">
        <v>2539</v>
      </c>
      <c r="Z253" s="4" t="s">
        <v>2341</v>
      </c>
      <c r="AA253" s="49" t="s">
        <v>1115</v>
      </c>
      <c r="AB253" s="4" t="s">
        <v>635</v>
      </c>
      <c r="AC253" s="49" t="s">
        <v>2624</v>
      </c>
      <c r="AD253" s="4" t="s">
        <v>636</v>
      </c>
      <c r="AE253" s="7">
        <v>1</v>
      </c>
      <c r="AG253" s="7">
        <v>0</v>
      </c>
      <c r="AK253" s="70">
        <f>Table43[[#This Row],[Column4]]</f>
        <v>30311010400010</v>
      </c>
      <c r="AN253" s="7">
        <f>Table43[[#This Row],[ISI/CTN]]</f>
        <v>12</v>
      </c>
      <c r="AO253" s="61">
        <f>Table43[[#This Row],[Harga Jual Pcs GT
(-PPN)]]-(Table43[[#This Row],[Harga Jual Pcs GT
(-PPN)]]*6.5%)</f>
        <v>18840.25</v>
      </c>
      <c r="AP253" s="61">
        <f>Table43[[#This Row],[Harga Beli Pcs
(-PPN)]]*Table43[[#This Row],[ISI/CTN]]</f>
        <v>226083</v>
      </c>
      <c r="AQ253" s="61">
        <f>Table43[[#This Row],[Harga Beli Pcs
(-PPN)]]*1.11</f>
        <v>20912.677500000002</v>
      </c>
      <c r="AR253" s="61">
        <f>Table43[[#This Row],[Harga Beli Krt
(- PPN)]]*1.11</f>
        <v>250952.13000000003</v>
      </c>
      <c r="AS253" s="61">
        <v>20150</v>
      </c>
      <c r="AT253" s="61">
        <f>Table43[[#This Row],[Harga Jual Pcs GT
(-PPN)]]*Table43[[#This Row],[ISI/CTN]]</f>
        <v>241800</v>
      </c>
      <c r="AU253" s="61">
        <f>Table43[[#This Row],[Harga Jual Pcs GT
(-PPN)]]*1.11</f>
        <v>22366.500000000004</v>
      </c>
      <c r="AV253" s="61">
        <f>Table43[[#This Row],[Harga Jual Krt GT
(- PPN)]]*1.11</f>
        <v>268398</v>
      </c>
      <c r="AW253" s="61">
        <f>IFERROR(VLOOKUP(Table43[[#This Row],[Kode Pcpl]],'[1]FEB 2026'!$A$3:$X$312,24,0),0)</f>
        <v>0</v>
      </c>
      <c r="AX253" s="61">
        <f>Table43[[#This Row],[Harga Jual Pcs MT
(-PPN)]]*Table43[[#This Row],[ISI/CTN]]</f>
        <v>0</v>
      </c>
      <c r="AY253" s="61">
        <f>Table43[[#This Row],[Harga Jual Pcs MT
(-PPN)]]*1.11</f>
        <v>0</v>
      </c>
      <c r="AZ253" s="61">
        <f>Table43[[#This Row],[Harga Jual Pcs MT
(+PPN)]]*Table43[[#This Row],[ISI/CTN]]</f>
        <v>0</v>
      </c>
      <c r="BA253" s="62">
        <f>(Table43[[#This Row],[Harga Jual Pcs GT
(-PPN)]]-Table43[[#This Row],[Harga Beli Pcs
(-PPN)]])/Table43[[#This Row],[Harga Jual Pcs GT
(-PPN)]]</f>
        <v>6.5000000000000002E-2</v>
      </c>
      <c r="BB253" s="63">
        <f>Table43[[#This Row],[Harga Jual Pcs MT
(-PPN)]]-Table43[[#This Row],[Harga Beli Pcs
(-PPN)]]</f>
        <v>-18840.25</v>
      </c>
      <c r="BC253" s="64" t="e">
        <f>Table43[[#This Row],[Column1]]/Table43[[#This Row],[Harga Jual Pcs MT
(-PPN)]]</f>
        <v>#DIV/0!</v>
      </c>
      <c r="BD253" s="52"/>
      <c r="BE253" s="7"/>
      <c r="BF253" s="7" t="str">
        <f ca="1">IF(TODAY()-Table43[[#This Row],[Efektif
Pembuatan]]&gt;60,"Lama","Baru")</f>
        <v>Lama</v>
      </c>
      <c r="BG253" s="7" t="str">
        <f ca="1">IF(TODAY()-Table43[[#This Row],[Efektif Naik Harga]]&lt;30,"Naik","Sama")</f>
        <v>Sama</v>
      </c>
      <c r="BH253" s="7"/>
      <c r="BI253" s="7" t="str">
        <f>IF(Table43[[#This Row],[Kode BARANG Win2]]&lt;&gt;"","IDR","")</f>
        <v>IDR</v>
      </c>
      <c r="BJ253" s="7" t="str">
        <f>CONCATENATE(Table43[[#This Row],[kode  1 Digit
(Nomor)]],Table43[[#This Row],[kode  4 Digit                (Nomor)]])</f>
        <v>0400</v>
      </c>
      <c r="BK253" s="7" t="str">
        <f>Table43[[#This Row],[Nama            Gramasi atau Jumlah Pack per CTN]]</f>
        <v>400ML</v>
      </c>
      <c r="BL253" s="7"/>
      <c r="BM253" s="7"/>
      <c r="BN253" s="4" t="str">
        <f>IF(Table43[[#This Row],[SATUAN Fix Win]]&lt;&gt;"","KRT")</f>
        <v>KRT</v>
      </c>
      <c r="BO253" s="4" t="str">
        <f>IF(Table43[[#This Row],[SATUAN Fix Win]]&lt;&gt;"","GD01")</f>
        <v>GD01</v>
      </c>
      <c r="BP253" s="4">
        <f>IF(Table43[[#This Row],[SATUAN Fix Win]]&lt;&gt;"",11611)</f>
        <v>11611</v>
      </c>
      <c r="BQ253" s="4">
        <f>IF(Table43[[#This Row],[SATUAN Fix Win]]&lt;&gt;"",11612)</f>
        <v>11612</v>
      </c>
      <c r="BS253" s="4">
        <f>IF(Table43[[#This Row],[SATUAN Fix Win]]&lt;&gt;"",1)</f>
        <v>1</v>
      </c>
      <c r="BU253" s="4">
        <f>Table43[[#This Row],[ISI/CTN]]</f>
        <v>12</v>
      </c>
    </row>
    <row r="254" spans="1:73">
      <c r="A254" s="4" t="str">
        <f>CONCATENATE(Table43[[#This Row],[Kode BARANG Win2]],Table43[[#This Row],[No. Urut
Item Sama]])</f>
        <v>G11611010400102</v>
      </c>
      <c r="B254" s="7">
        <v>2</v>
      </c>
      <c r="C254" s="31"/>
      <c r="D254" s="51">
        <v>40009897</v>
      </c>
      <c r="E254" s="60" t="s">
        <v>3455</v>
      </c>
      <c r="F254" s="51"/>
      <c r="G254" s="51"/>
      <c r="H254" s="60" t="s">
        <v>1280</v>
      </c>
      <c r="I254" s="60">
        <v>12</v>
      </c>
      <c r="J254" s="59" t="s">
        <v>1687</v>
      </c>
      <c r="K254" s="27" t="str">
        <f>Table43[[#This Row],[NamaJenisKemasan]]</f>
        <v>PCH</v>
      </c>
      <c r="L254" s="4" t="str">
        <f>TRIM(CONCATENATE(Table43[[#This Row],[Nama            KLP]]," ",Table43[[#This Row],[Nama            Sub KLP]]))</f>
        <v>MITU BABY SHAMPOO F&amp;C</v>
      </c>
      <c r="M254" s="4" t="str">
        <f>CONCATENATE(Table43[[#This Row],[kode  2 Digit                (hrf+No)]],Table43[[#This Row],[kode  2 Digit                (Nomor)]],Table43[[#This Row],[kode  1 Digit                (Nomor)]])</f>
        <v>G1161</v>
      </c>
      <c r="N254" s="4" t="str">
        <f>IF(AI254="",CONCATENATE(S254,U254,W254,Y254,AA254,AC254,AE254,AG254,Table43[[#This Row],[Tanda Kode Revisi]]),CONCATENATE(S254,U254,W254,Y254,AA254,AC254,AE254,AI254))</f>
        <v>G1161101040010</v>
      </c>
      <c r="O254" s="11">
        <f>LEN(N254)</f>
        <v>14</v>
      </c>
      <c r="P254" s="14" t="str">
        <f>IF(AH254&lt;&gt;"",TRIM(UPPER(CONCATENATE(R254," ",T254," ",V254," ",X254," ",Z254," ",AB254," ","X"," ",Table43[[#This Row],[ISI/CTN]]," ",AH254," ",AD254," ",AF254," ",AJ254))),TRIM(UPPER(CONCATENATE(R254," ",T254," ",V254," ",X254," ",Z254," ",AB254," ","X"," ",Table43[[#This Row],[ISI/CTN]]," ",AD254," ",AF254," ",AJ254))))</f>
        <v>MITU BABY SHAMPOO F&amp;C REFILL ALOE 400ML X 12 PCH</v>
      </c>
      <c r="Q254" s="11">
        <f>LEN(P254)</f>
        <v>48</v>
      </c>
      <c r="S254" s="7" t="s">
        <v>34</v>
      </c>
      <c r="T254" s="4" t="s">
        <v>2554</v>
      </c>
      <c r="U254" s="47" t="s">
        <v>2562</v>
      </c>
      <c r="V254" s="48" t="s">
        <v>2327</v>
      </c>
      <c r="W254" s="7">
        <v>1</v>
      </c>
      <c r="X254" s="48" t="s">
        <v>2231</v>
      </c>
      <c r="Y254" s="47" t="s">
        <v>2539</v>
      </c>
      <c r="Z254" s="4" t="s">
        <v>2341</v>
      </c>
      <c r="AA254" s="49" t="s">
        <v>1115</v>
      </c>
      <c r="AB254" s="4" t="s">
        <v>635</v>
      </c>
      <c r="AC254" s="49" t="s">
        <v>2624</v>
      </c>
      <c r="AD254" s="4" t="s">
        <v>636</v>
      </c>
      <c r="AE254" s="7">
        <v>1</v>
      </c>
      <c r="AG254" s="7">
        <v>0</v>
      </c>
      <c r="AK254" s="70">
        <f>Table43[[#This Row],[Column4]]</f>
        <v>0</v>
      </c>
      <c r="AN254" s="7">
        <f>Table43[[#This Row],[ISI/CTN]]</f>
        <v>12</v>
      </c>
      <c r="AO254" s="61">
        <f>Table43[[#This Row],[Harga Jual Pcs GT
(-PPN)]]-(Table43[[#This Row],[Harga Jual Pcs GT
(-PPN)]]*6.5%)</f>
        <v>0</v>
      </c>
      <c r="AP254" s="61">
        <f>Table43[[#This Row],[Harga Beli Pcs
(-PPN)]]*Table43[[#This Row],[ISI/CTN]]</f>
        <v>0</v>
      </c>
      <c r="AQ254" s="61">
        <f>Table43[[#This Row],[Harga Beli Pcs
(-PPN)]]*1.11</f>
        <v>0</v>
      </c>
      <c r="AR254" s="61">
        <f>Table43[[#This Row],[Harga Beli Krt
(- PPN)]]*1.11</f>
        <v>0</v>
      </c>
      <c r="AS254" s="61"/>
      <c r="AT254" s="61">
        <f>Table43[[#This Row],[Harga Jual Pcs GT
(-PPN)]]*Table43[[#This Row],[ISI/CTN]]</f>
        <v>0</v>
      </c>
      <c r="AU254" s="61">
        <f>Table43[[#This Row],[Harga Jual Pcs GT
(-PPN)]]*1.11</f>
        <v>0</v>
      </c>
      <c r="AV254" s="61">
        <f>Table43[[#This Row],[Harga Jual Krt GT
(- PPN)]]*1.11</f>
        <v>0</v>
      </c>
      <c r="AW254" s="61">
        <f>IFERROR(VLOOKUP(Table43[[#This Row],[Kode Pcpl]],'[1]FEB 2026'!$A$3:$X$312,24,0),0)</f>
        <v>0</v>
      </c>
      <c r="AX254" s="61">
        <f>Table43[[#This Row],[Harga Jual Pcs MT
(-PPN)]]*Table43[[#This Row],[ISI/CTN]]</f>
        <v>0</v>
      </c>
      <c r="AY254" s="61">
        <f>Table43[[#This Row],[Harga Jual Pcs MT
(-PPN)]]*1.11</f>
        <v>0</v>
      </c>
      <c r="AZ254" s="61">
        <f>Table43[[#This Row],[Harga Jual Pcs MT
(+PPN)]]*Table43[[#This Row],[ISI/CTN]]</f>
        <v>0</v>
      </c>
      <c r="BA254" s="62" t="e">
        <f>(Table43[[#This Row],[Harga Jual Pcs GT
(-PPN)]]-Table43[[#This Row],[Harga Beli Pcs
(-PPN)]])/Table43[[#This Row],[Harga Jual Pcs GT
(-PPN)]]</f>
        <v>#DIV/0!</v>
      </c>
      <c r="BB254" s="63">
        <f>Table43[[#This Row],[Harga Jual Pcs MT
(-PPN)]]-Table43[[#This Row],[Harga Beli Pcs
(-PPN)]]</f>
        <v>0</v>
      </c>
      <c r="BC254" s="64" t="e">
        <f>Table43[[#This Row],[Column1]]/Table43[[#This Row],[Harga Jual Pcs MT
(-PPN)]]</f>
        <v>#DIV/0!</v>
      </c>
      <c r="BD254" s="52"/>
      <c r="BE254" s="7"/>
      <c r="BF254" s="7" t="str">
        <f ca="1">IF(TODAY()-Table43[[#This Row],[Efektif
Pembuatan]]&gt;60,"Lama","Baru")</f>
        <v>Lama</v>
      </c>
      <c r="BG254" s="7" t="str">
        <f ca="1">IF(TODAY()-Table43[[#This Row],[Efektif Naik Harga]]&lt;30,"Naik","Sama")</f>
        <v>Sama</v>
      </c>
      <c r="BH254" s="7"/>
      <c r="BI254" s="7" t="str">
        <f>IF(Table43[[#This Row],[Kode BARANG Win2]]&lt;&gt;"","IDR","")</f>
        <v>IDR</v>
      </c>
      <c r="BJ254" s="7" t="str">
        <f>CONCATENATE(Table43[[#This Row],[kode  1 Digit
(Nomor)]],Table43[[#This Row],[kode  4 Digit                (Nomor)]])</f>
        <v>0400</v>
      </c>
      <c r="BK254" s="7" t="str">
        <f>Table43[[#This Row],[Nama            Gramasi atau Jumlah Pack per CTN]]</f>
        <v>400ML</v>
      </c>
      <c r="BL254" s="7"/>
      <c r="BM254" s="7"/>
      <c r="BN254" s="4" t="str">
        <f>IF(Table43[[#This Row],[SATUAN Fix Win]]&lt;&gt;"","KRT")</f>
        <v>KRT</v>
      </c>
      <c r="BO254" s="4" t="str">
        <f>IF(Table43[[#This Row],[SATUAN Fix Win]]&lt;&gt;"","GD01")</f>
        <v>GD01</v>
      </c>
      <c r="BP254" s="4">
        <f>IF(Table43[[#This Row],[SATUAN Fix Win]]&lt;&gt;"",11611)</f>
        <v>11611</v>
      </c>
      <c r="BQ254" s="4">
        <f>IF(Table43[[#This Row],[SATUAN Fix Win]]&lt;&gt;"",11612)</f>
        <v>11612</v>
      </c>
      <c r="BS254" s="4">
        <f>IF(Table43[[#This Row],[SATUAN Fix Win]]&lt;&gt;"",1)</f>
        <v>1</v>
      </c>
      <c r="BU254" s="4">
        <f>Table43[[#This Row],[ISI/CTN]]</f>
        <v>12</v>
      </c>
    </row>
    <row r="255" spans="1:73">
      <c r="A255" s="4" t="str">
        <f>CONCATENATE(Table43[[#This Row],[Kode BARANG Win2]],Table43[[#This Row],[No. Urut
Item Sama]])</f>
        <v>G1171001004511</v>
      </c>
      <c r="B255" s="7"/>
      <c r="C255" s="31">
        <v>30320030004000</v>
      </c>
      <c r="D255" s="51">
        <v>40043531</v>
      </c>
      <c r="E255" s="27" t="s">
        <v>2010</v>
      </c>
      <c r="F255" s="51">
        <v>30321070045001</v>
      </c>
      <c r="G255" s="51">
        <v>0</v>
      </c>
      <c r="H255" s="27" t="s">
        <v>1296</v>
      </c>
      <c r="I255" s="27">
        <v>24</v>
      </c>
      <c r="J255" s="51" t="s">
        <v>1701</v>
      </c>
      <c r="K255" s="27" t="str">
        <f>Table43[[#This Row],[NamaJenisKemasan]]</f>
        <v>PCS</v>
      </c>
      <c r="L255" s="4" t="str">
        <f>TRIM(CONCATENATE(Table43[[#This Row],[Nama            KLP]]," ",Table43[[#This Row],[Nama            Sub KLP]]))</f>
        <v>MITU BABY WIPES ANTISEPTIC</v>
      </c>
      <c r="M255" s="4" t="str">
        <f>CONCATENATE(Table43[[#This Row],[kode  2 Digit                (hrf+No)]],Table43[[#This Row],[kode  2 Digit                (Nomor)]],Table43[[#This Row],[kode  1 Digit                (Nomor)]])</f>
        <v>G1171</v>
      </c>
      <c r="N255" s="4" t="str">
        <f>IF(AI255="",CONCATENATE(S255,U255,W255,Y255,AA255,AC255,AE255,AG255,Table43[[#This Row],[Tanda Kode Revisi]]),CONCATENATE(S255,U255,W255,Y255,AA255,AC255,AE255,AI255))</f>
        <v>G1171001004511</v>
      </c>
      <c r="O255" s="11">
        <f t="shared" si="6"/>
        <v>14</v>
      </c>
      <c r="P255" s="14" t="str">
        <f>IF(AH255&lt;&gt;"",TRIM(UPPER(CONCATENATE(R255," ",T255," ",V255," ",X255," ",Z255," ",AB255," ","X"," ",Table43[[#This Row],[ISI/CTN]]," ",AH255," ",AD255," ",AF255," ",AJ255))),TRIM(UPPER(CONCATENATE(R255," ",T255," ",V255," ",X255," ",Z255," ",AB255," ","X"," ",Table43[[#This Row],[ISI/CTN]]," ",AD255," ",AF255," ",AJ255))))</f>
        <v>MITU BABY WIPES ANTISEPTIC EXTRA 45S X 24 PCS BOGOF</v>
      </c>
      <c r="Q255" s="11">
        <f t="shared" si="7"/>
        <v>51</v>
      </c>
      <c r="S255" s="7" t="s">
        <v>34</v>
      </c>
      <c r="T255" s="4" t="s">
        <v>2555</v>
      </c>
      <c r="U255" s="47" t="s">
        <v>2563</v>
      </c>
      <c r="V255" s="48" t="s">
        <v>2323</v>
      </c>
      <c r="W255" s="7">
        <v>1</v>
      </c>
      <c r="X255" s="48"/>
      <c r="Y255" s="47" t="s">
        <v>1116</v>
      </c>
      <c r="Z255" s="4" t="s">
        <v>2313</v>
      </c>
      <c r="AA255" s="49" t="s">
        <v>1115</v>
      </c>
      <c r="AB255" s="4" t="s">
        <v>2354</v>
      </c>
      <c r="AC255" s="49" t="s">
        <v>2626</v>
      </c>
      <c r="AD255" s="4" t="s">
        <v>185</v>
      </c>
      <c r="AE255" s="7">
        <v>1</v>
      </c>
      <c r="AF255" s="4" t="s">
        <v>2338</v>
      </c>
      <c r="AG255" s="7">
        <v>1</v>
      </c>
      <c r="AK255" s="70">
        <f>Table43[[#This Row],[Column4]]</f>
        <v>30321070045001</v>
      </c>
      <c r="AN255" s="7">
        <f>Table43[[#This Row],[ISI/CTN]]</f>
        <v>24</v>
      </c>
      <c r="AO255" s="38">
        <f>Table43[[#This Row],[Harga Jual Pcs GT
(-PPN)]]-(Table43[[#This Row],[Harga Jual Pcs GT
(-PPN)]]*6.5%)</f>
        <v>10668.35</v>
      </c>
      <c r="AP255" s="38">
        <f>Table43[[#This Row],[Harga Beli Pcs
(-PPN)]]*Table43[[#This Row],[ISI/CTN]]</f>
        <v>256040.40000000002</v>
      </c>
      <c r="AQ255" s="38">
        <f>Table43[[#This Row],[Harga Beli Pcs
(-PPN)]]*1.11</f>
        <v>11841.868500000002</v>
      </c>
      <c r="AR255" s="38">
        <f>Table43[[#This Row],[Harga Beli Krt
(- PPN)]]*1.11</f>
        <v>284204.84400000004</v>
      </c>
      <c r="AS255" s="38">
        <v>11410</v>
      </c>
      <c r="AT255" s="38">
        <f>Table43[[#This Row],[Harga Jual Pcs GT
(-PPN)]]*Table43[[#This Row],[ISI/CTN]]</f>
        <v>273840</v>
      </c>
      <c r="AU255" s="38">
        <f>Table43[[#This Row],[Harga Jual Pcs GT
(-PPN)]]*1.11</f>
        <v>12665.1</v>
      </c>
      <c r="AV255" s="38">
        <f>Table43[[#This Row],[Harga Jual Krt GT
(- PPN)]]*1.11</f>
        <v>303962.40000000002</v>
      </c>
      <c r="AW255" s="38">
        <f>IFERROR(VLOOKUP(Table43[[#This Row],[Kode Pcpl]],'[1]FEB 2026'!$A$3:$X$312,24,0),0)</f>
        <v>0</v>
      </c>
      <c r="AX255" s="38">
        <f>Table43[[#This Row],[Harga Jual Pcs MT
(-PPN)]]*Table43[[#This Row],[ISI/CTN]]</f>
        <v>0</v>
      </c>
      <c r="AY255" s="38">
        <f>Table43[[#This Row],[Harga Jual Pcs MT
(-PPN)]]*1.11</f>
        <v>0</v>
      </c>
      <c r="AZ255" s="38">
        <f>Table43[[#This Row],[Harga Jual Pcs MT
(+PPN)]]*Table43[[#This Row],[ISI/CTN]]</f>
        <v>0</v>
      </c>
      <c r="BA255" s="46">
        <f>(Table43[[#This Row],[Harga Jual Pcs GT
(-PPN)]]-Table43[[#This Row],[Harga Beli Pcs
(-PPN)]])/Table43[[#This Row],[Harga Jual Pcs GT
(-PPN)]]</f>
        <v>6.4999999999999974E-2</v>
      </c>
      <c r="BB255" s="53">
        <f>Table43[[#This Row],[Harga Jual Pcs MT
(-PPN)]]-Table43[[#This Row],[Harga Beli Pcs
(-PPN)]]</f>
        <v>-10668.35</v>
      </c>
      <c r="BC255" s="54" t="e">
        <f>Table43[[#This Row],[Column1]]/Table43[[#This Row],[Harga Jual Pcs MT
(-PPN)]]</f>
        <v>#DIV/0!</v>
      </c>
      <c r="BD255" s="52"/>
      <c r="BE255" s="7"/>
      <c r="BF255" s="7" t="str">
        <f ca="1">IF(TODAY()-Table43[[#This Row],[Efektif
Pembuatan]]&gt;60,"Lama","Baru")</f>
        <v>Lama</v>
      </c>
      <c r="BG255" s="7" t="str">
        <f ca="1">IF(TODAY()-Table43[[#This Row],[Efektif Naik Harga]]&lt;30,"Naik","Sama")</f>
        <v>Sama</v>
      </c>
      <c r="BH255" s="7"/>
      <c r="BI255" s="7" t="str">
        <f>IF(Table43[[#This Row],[Kode BARANG Win2]]&lt;&gt;"","IDR","")</f>
        <v>IDR</v>
      </c>
      <c r="BJ255" s="7" t="str">
        <f>CONCATENATE(Table43[[#This Row],[kode  1 Digit
(Nomor)]],Table43[[#This Row],[kode  4 Digit                (Nomor)]])</f>
        <v>0045</v>
      </c>
      <c r="BK255" s="7" t="str">
        <f>Table43[[#This Row],[Nama            Gramasi atau Jumlah Pack per CTN]]</f>
        <v>45S</v>
      </c>
      <c r="BL255" s="7"/>
      <c r="BM255" s="7"/>
      <c r="BN255" s="4" t="str">
        <f>IF(Table43[[#This Row],[SATUAN Fix Win]]&lt;&gt;"","KRT")</f>
        <v>KRT</v>
      </c>
      <c r="BO255" s="4" t="str">
        <f>IF(Table43[[#This Row],[SATUAN Fix Win]]&lt;&gt;"","GD01")</f>
        <v>GD01</v>
      </c>
      <c r="BP255" s="4">
        <f>IF(Table43[[#This Row],[SATUAN Fix Win]]&lt;&gt;"",11611)</f>
        <v>11611</v>
      </c>
      <c r="BQ255" s="4">
        <f>IF(Table43[[#This Row],[SATUAN Fix Win]]&lt;&gt;"",11612)</f>
        <v>11612</v>
      </c>
      <c r="BS255" s="4">
        <f>IF(Table43[[#This Row],[SATUAN Fix Win]]&lt;&gt;"",1)</f>
        <v>1</v>
      </c>
      <c r="BU255" s="4">
        <f>Table43[[#This Row],[ISI/CTN]]</f>
        <v>24</v>
      </c>
    </row>
    <row r="256" spans="1:73">
      <c r="A256" s="4" t="str">
        <f>CONCATENATE(Table43[[#This Row],[Kode BARANG Win2]],Table43[[#This Row],[No. Urut
Item Sama]])</f>
        <v>G1171002000410</v>
      </c>
      <c r="B256" s="7"/>
      <c r="C256" s="31">
        <v>30320030060010</v>
      </c>
      <c r="D256" s="51">
        <v>40058367</v>
      </c>
      <c r="E256" s="27" t="s">
        <v>2008</v>
      </c>
      <c r="F256" s="51">
        <v>30321060004000</v>
      </c>
      <c r="G256" s="51">
        <v>0</v>
      </c>
      <c r="H256" s="27" t="s">
        <v>1294</v>
      </c>
      <c r="I256" s="27">
        <v>288</v>
      </c>
      <c r="J256" s="51" t="s">
        <v>1699</v>
      </c>
      <c r="K256" s="27" t="str">
        <f>Table43[[#This Row],[NamaJenisKemasan]]</f>
        <v>PCS</v>
      </c>
      <c r="L256" s="4" t="str">
        <f>TRIM(CONCATENATE(Table43[[#This Row],[Nama            KLP]]," ",Table43[[#This Row],[Nama            Sub KLP]]))</f>
        <v>MITU BABY WIPES ANTISEPTIC</v>
      </c>
      <c r="M256" s="4" t="str">
        <f>CONCATENATE(Table43[[#This Row],[kode  2 Digit                (hrf+No)]],Table43[[#This Row],[kode  2 Digit                (Nomor)]],Table43[[#This Row],[kode  1 Digit                (Nomor)]])</f>
        <v>G1171</v>
      </c>
      <c r="N256" s="4" t="str">
        <f>IF(AI256="",CONCATENATE(S256,U256,W256,Y256,AA256,AC256,AE256,AG256,Table43[[#This Row],[Tanda Kode Revisi]]),CONCATENATE(S256,U256,W256,Y256,AA256,AC256,AE256,AI256))</f>
        <v>G1171002000410</v>
      </c>
      <c r="O256" s="11">
        <f t="shared" si="6"/>
        <v>14</v>
      </c>
      <c r="P256" s="14" t="str">
        <f>IF(AH256&lt;&gt;"",TRIM(UPPER(CONCATENATE(R256," ",T256," ",V256," ",X256," ",Z256," ",AB256," ","X"," ",Table43[[#This Row],[ISI/CTN]]," ",AH256," ",AD256," ",AF256," ",AJ256))),TRIM(UPPER(CONCATENATE(R256," ",T256," ",V256," ",X256," ",Z256," ",AB256," ","X"," ",Table43[[#This Row],[ISI/CTN]]," ",AD256," ",AF256," ",AJ256))))</f>
        <v>MITU BABY WIPES ANTISEPTIC REFRESHING 4S X 288 PCS</v>
      </c>
      <c r="Q256" s="11">
        <f t="shared" si="7"/>
        <v>50</v>
      </c>
      <c r="S256" s="7" t="s">
        <v>34</v>
      </c>
      <c r="T256" s="4" t="s">
        <v>2555</v>
      </c>
      <c r="U256" s="47" t="s">
        <v>2563</v>
      </c>
      <c r="V256" s="48" t="s">
        <v>2323</v>
      </c>
      <c r="W256" s="7">
        <v>1</v>
      </c>
      <c r="X256" s="48"/>
      <c r="Y256" s="47" t="s">
        <v>1116</v>
      </c>
      <c r="Z256" s="4" t="s">
        <v>2344</v>
      </c>
      <c r="AA256" s="49" t="s">
        <v>2459</v>
      </c>
      <c r="AB256" s="4" t="s">
        <v>2286</v>
      </c>
      <c r="AC256" s="49" t="s">
        <v>2628</v>
      </c>
      <c r="AD256" s="4" t="s">
        <v>185</v>
      </c>
      <c r="AE256" s="7">
        <v>1</v>
      </c>
      <c r="AG256" s="7">
        <v>0</v>
      </c>
      <c r="AK256" s="70">
        <f>Table43[[#This Row],[Column4]]</f>
        <v>30321060004000</v>
      </c>
      <c r="AN256" s="7">
        <f>Table43[[#This Row],[ISI/CTN]]</f>
        <v>288</v>
      </c>
      <c r="AO256" s="38">
        <f>Table43[[#This Row],[Harga Jual Pcs GT
(-PPN)]]-(Table43[[#This Row],[Harga Jual Pcs GT
(-PPN)]]*6.5%)</f>
        <v>635.79999999999995</v>
      </c>
      <c r="AP256" s="38">
        <f>Table43[[#This Row],[Harga Beli Pcs
(-PPN)]]*Table43[[#This Row],[ISI/CTN]]</f>
        <v>183110.39999999999</v>
      </c>
      <c r="AQ256" s="38">
        <f>Table43[[#This Row],[Harga Beli Pcs
(-PPN)]]*1.11</f>
        <v>705.73800000000006</v>
      </c>
      <c r="AR256" s="38">
        <f>Table43[[#This Row],[Harga Beli Krt
(- PPN)]]*1.11</f>
        <v>203252.54400000002</v>
      </c>
      <c r="AS256" s="38">
        <v>680</v>
      </c>
      <c r="AT256" s="38">
        <f>Table43[[#This Row],[Harga Jual Pcs GT
(-PPN)]]*Table43[[#This Row],[ISI/CTN]]</f>
        <v>195840</v>
      </c>
      <c r="AU256" s="38">
        <f>Table43[[#This Row],[Harga Jual Pcs GT
(-PPN)]]*1.11</f>
        <v>754.80000000000007</v>
      </c>
      <c r="AV256" s="38">
        <f>Table43[[#This Row],[Harga Jual Krt GT
(- PPN)]]*1.11</f>
        <v>217382.40000000002</v>
      </c>
      <c r="AW256" s="38">
        <f>IFERROR(VLOOKUP(Table43[[#This Row],[Kode Pcpl]],'[1]FEB 2026'!$A$3:$X$312,24,0),0)</f>
        <v>0</v>
      </c>
      <c r="AX256" s="38">
        <f>Table43[[#This Row],[Harga Jual Pcs MT
(-PPN)]]*Table43[[#This Row],[ISI/CTN]]</f>
        <v>0</v>
      </c>
      <c r="AY256" s="38">
        <f>Table43[[#This Row],[Harga Jual Pcs MT
(-PPN)]]*1.11</f>
        <v>0</v>
      </c>
      <c r="AZ256" s="38">
        <f>Table43[[#This Row],[Harga Jual Pcs MT
(+PPN)]]*Table43[[#This Row],[ISI/CTN]]</f>
        <v>0</v>
      </c>
      <c r="BA256" s="46">
        <f>(Table43[[#This Row],[Harga Jual Pcs GT
(-PPN)]]-Table43[[#This Row],[Harga Beli Pcs
(-PPN)]])/Table43[[#This Row],[Harga Jual Pcs GT
(-PPN)]]</f>
        <v>6.5000000000000072E-2</v>
      </c>
      <c r="BB256" s="53">
        <f>Table43[[#This Row],[Harga Jual Pcs MT
(-PPN)]]-Table43[[#This Row],[Harga Beli Pcs
(-PPN)]]</f>
        <v>-635.79999999999995</v>
      </c>
      <c r="BC256" s="54" t="e">
        <f>Table43[[#This Row],[Column1]]/Table43[[#This Row],[Harga Jual Pcs MT
(-PPN)]]</f>
        <v>#DIV/0!</v>
      </c>
      <c r="BD256" s="52"/>
      <c r="BE256" s="7"/>
      <c r="BF256" s="7" t="str">
        <f ca="1">IF(TODAY()-Table43[[#This Row],[Efektif
Pembuatan]]&gt;60,"Lama","Baru")</f>
        <v>Lama</v>
      </c>
      <c r="BG256" s="7" t="str">
        <f ca="1">IF(TODAY()-Table43[[#This Row],[Efektif Naik Harga]]&lt;30,"Naik","Sama")</f>
        <v>Sama</v>
      </c>
      <c r="BH256" s="7"/>
      <c r="BI256" s="7" t="str">
        <f>IF(Table43[[#This Row],[Kode BARANG Win2]]&lt;&gt;"","IDR","")</f>
        <v>IDR</v>
      </c>
      <c r="BJ256" s="7" t="str">
        <f>CONCATENATE(Table43[[#This Row],[kode  1 Digit
(Nomor)]],Table43[[#This Row],[kode  4 Digit                (Nomor)]])</f>
        <v>0004</v>
      </c>
      <c r="BK256" s="7" t="str">
        <f>Table43[[#This Row],[Nama            Gramasi atau Jumlah Pack per CTN]]</f>
        <v>4S</v>
      </c>
      <c r="BL256" s="7"/>
      <c r="BM256" s="7"/>
      <c r="BN256" s="4" t="str">
        <f>IF(Table43[[#This Row],[SATUAN Fix Win]]&lt;&gt;"","KRT")</f>
        <v>KRT</v>
      </c>
      <c r="BO256" s="4" t="str">
        <f>IF(Table43[[#This Row],[SATUAN Fix Win]]&lt;&gt;"","GD01")</f>
        <v>GD01</v>
      </c>
      <c r="BP256" s="4">
        <f>IF(Table43[[#This Row],[SATUAN Fix Win]]&lt;&gt;"",11611)</f>
        <v>11611</v>
      </c>
      <c r="BQ256" s="4">
        <f>IF(Table43[[#This Row],[SATUAN Fix Win]]&lt;&gt;"",11612)</f>
        <v>11612</v>
      </c>
      <c r="BS256" s="4">
        <f>IF(Table43[[#This Row],[SATUAN Fix Win]]&lt;&gt;"",1)</f>
        <v>1</v>
      </c>
      <c r="BU256" s="4">
        <f>Table43[[#This Row],[ISI/CTN]]</f>
        <v>288</v>
      </c>
    </row>
    <row r="257" spans="1:73">
      <c r="A257" s="4" t="str">
        <f>CONCATENATE(Table43[[#This Row],[Kode BARANG Win2]],Table43[[#This Row],[No. Urut
Item Sama]])</f>
        <v>G1171002000410</v>
      </c>
      <c r="B257" s="7"/>
      <c r="C257" s="31">
        <v>30320030010000</v>
      </c>
      <c r="D257" s="51">
        <v>40027227</v>
      </c>
      <c r="E257" s="27" t="s">
        <v>2008</v>
      </c>
      <c r="F257" s="51">
        <v>30321060004000</v>
      </c>
      <c r="G257" s="51">
        <v>0</v>
      </c>
      <c r="H257" s="27" t="s">
        <v>1293</v>
      </c>
      <c r="I257" s="27">
        <v>288</v>
      </c>
      <c r="J257" s="51" t="s">
        <v>1699</v>
      </c>
      <c r="K257" s="27" t="str">
        <f>Table43[[#This Row],[NamaJenisKemasan]]</f>
        <v>PCS</v>
      </c>
      <c r="L257" s="4" t="str">
        <f>TRIM(CONCATENATE(Table43[[#This Row],[Nama            KLP]]," ",Table43[[#This Row],[Nama            Sub KLP]]))</f>
        <v>MITU BABY WIPES ANTISEPTIC</v>
      </c>
      <c r="M257" s="4" t="str">
        <f>CONCATENATE(Table43[[#This Row],[kode  2 Digit                (hrf+No)]],Table43[[#This Row],[kode  2 Digit                (Nomor)]],Table43[[#This Row],[kode  1 Digit                (Nomor)]])</f>
        <v>G1171</v>
      </c>
      <c r="N257" s="4" t="str">
        <f>IF(AI257="",CONCATENATE(S257,U257,W257,Y257,AA257,AC257,AE257,AG257,Table43[[#This Row],[Tanda Kode Revisi]]),CONCATENATE(S257,U257,W257,Y257,AA257,AC257,AE257,AI257))</f>
        <v>G1171002000410</v>
      </c>
      <c r="O257" s="11">
        <f t="shared" si="6"/>
        <v>14</v>
      </c>
      <c r="P257" s="14" t="str">
        <f>IF(AH257&lt;&gt;"",TRIM(UPPER(CONCATENATE(R257," ",T257," ",V257," ",X257," ",Z257," ",AB257," ","X"," ",Table43[[#This Row],[ISI/CTN]]," ",AH257," ",AD257," ",AF257," ",AJ257))),TRIM(UPPER(CONCATENATE(R257," ",T257," ",V257," ",X257," ",Z257," ",AB257," ","X"," ",Table43[[#This Row],[ISI/CTN]]," ",AD257," ",AF257," ",AJ257))))</f>
        <v>MITU BABY WIPES ANTISEPTIC REFRESHING 4S X 288 PCS</v>
      </c>
      <c r="Q257" s="11">
        <f t="shared" si="7"/>
        <v>50</v>
      </c>
      <c r="S257" s="7" t="s">
        <v>34</v>
      </c>
      <c r="T257" s="4" t="s">
        <v>2555</v>
      </c>
      <c r="U257" s="47" t="s">
        <v>2563</v>
      </c>
      <c r="V257" s="48" t="s">
        <v>2323</v>
      </c>
      <c r="W257" s="7">
        <v>1</v>
      </c>
      <c r="X257" s="48"/>
      <c r="Y257" s="47" t="s">
        <v>1116</v>
      </c>
      <c r="Z257" s="4" t="s">
        <v>2344</v>
      </c>
      <c r="AA257" s="49" t="s">
        <v>2459</v>
      </c>
      <c r="AB257" s="4" t="s">
        <v>2286</v>
      </c>
      <c r="AC257" s="49" t="s">
        <v>2628</v>
      </c>
      <c r="AD257" s="4" t="s">
        <v>185</v>
      </c>
      <c r="AE257" s="7">
        <v>1</v>
      </c>
      <c r="AG257" s="7">
        <v>0</v>
      </c>
      <c r="AK257" s="70">
        <f>Table43[[#This Row],[Column4]]</f>
        <v>30321060004000</v>
      </c>
      <c r="AN257" s="7">
        <f>Table43[[#This Row],[ISI/CTN]]</f>
        <v>288</v>
      </c>
      <c r="AO257" s="38">
        <f>Table43[[#This Row],[Harga Jual Pcs GT
(-PPN)]]-(Table43[[#This Row],[Harga Jual Pcs GT
(-PPN)]]*6.5%)</f>
        <v>635.79999999999995</v>
      </c>
      <c r="AP257" s="38">
        <f>Table43[[#This Row],[Harga Beli Pcs
(-PPN)]]*Table43[[#This Row],[ISI/CTN]]</f>
        <v>183110.39999999999</v>
      </c>
      <c r="AQ257" s="38">
        <f>Table43[[#This Row],[Harga Beli Pcs
(-PPN)]]*1.11</f>
        <v>705.73800000000006</v>
      </c>
      <c r="AR257" s="38">
        <f>Table43[[#This Row],[Harga Beli Krt
(- PPN)]]*1.11</f>
        <v>203252.54400000002</v>
      </c>
      <c r="AS257" s="38">
        <v>680</v>
      </c>
      <c r="AT257" s="38">
        <f>Table43[[#This Row],[Harga Jual Pcs GT
(-PPN)]]*Table43[[#This Row],[ISI/CTN]]</f>
        <v>195840</v>
      </c>
      <c r="AU257" s="38">
        <f>Table43[[#This Row],[Harga Jual Pcs GT
(-PPN)]]*1.11</f>
        <v>754.80000000000007</v>
      </c>
      <c r="AV257" s="38">
        <f>Table43[[#This Row],[Harga Jual Krt GT
(- PPN)]]*1.11</f>
        <v>217382.40000000002</v>
      </c>
      <c r="AW257" s="38">
        <f>IFERROR(VLOOKUP(Table43[[#This Row],[Kode Pcpl]],'[1]FEB 2026'!$A$3:$X$312,24,0),0)</f>
        <v>0</v>
      </c>
      <c r="AX257" s="38">
        <f>Table43[[#This Row],[Harga Jual Pcs MT
(-PPN)]]*Table43[[#This Row],[ISI/CTN]]</f>
        <v>0</v>
      </c>
      <c r="AY257" s="38">
        <f>Table43[[#This Row],[Harga Jual Pcs MT
(-PPN)]]*1.11</f>
        <v>0</v>
      </c>
      <c r="AZ257" s="38">
        <f>Table43[[#This Row],[Harga Jual Pcs MT
(+PPN)]]*Table43[[#This Row],[ISI/CTN]]</f>
        <v>0</v>
      </c>
      <c r="BA257" s="46">
        <f>(Table43[[#This Row],[Harga Jual Pcs GT
(-PPN)]]-Table43[[#This Row],[Harga Beli Pcs
(-PPN)]])/Table43[[#This Row],[Harga Jual Pcs GT
(-PPN)]]</f>
        <v>6.5000000000000072E-2</v>
      </c>
      <c r="BB257" s="53">
        <f>Table43[[#This Row],[Harga Jual Pcs MT
(-PPN)]]-Table43[[#This Row],[Harga Beli Pcs
(-PPN)]]</f>
        <v>-635.79999999999995</v>
      </c>
      <c r="BC257" s="54" t="e">
        <f>Table43[[#This Row],[Column1]]/Table43[[#This Row],[Harga Jual Pcs MT
(-PPN)]]</f>
        <v>#DIV/0!</v>
      </c>
      <c r="BD257" s="52"/>
      <c r="BE257" s="7"/>
      <c r="BF257" s="7" t="str">
        <f ca="1">IF(TODAY()-Table43[[#This Row],[Efektif
Pembuatan]]&gt;60,"Lama","Baru")</f>
        <v>Lama</v>
      </c>
      <c r="BG257" s="7" t="str">
        <f ca="1">IF(TODAY()-Table43[[#This Row],[Efektif Naik Harga]]&lt;30,"Naik","Sama")</f>
        <v>Sama</v>
      </c>
      <c r="BH257" s="7"/>
      <c r="BI257" s="7" t="str">
        <f>IF(Table43[[#This Row],[Kode BARANG Win2]]&lt;&gt;"","IDR","")</f>
        <v>IDR</v>
      </c>
      <c r="BJ257" s="7" t="str">
        <f>CONCATENATE(Table43[[#This Row],[kode  1 Digit
(Nomor)]],Table43[[#This Row],[kode  4 Digit                (Nomor)]])</f>
        <v>0004</v>
      </c>
      <c r="BK257" s="7" t="str">
        <f>Table43[[#This Row],[Nama            Gramasi atau Jumlah Pack per CTN]]</f>
        <v>4S</v>
      </c>
      <c r="BL257" s="7"/>
      <c r="BM257" s="7"/>
      <c r="BN257" s="4" t="str">
        <f>IF(Table43[[#This Row],[SATUAN Fix Win]]&lt;&gt;"","KRT")</f>
        <v>KRT</v>
      </c>
      <c r="BO257" s="4" t="str">
        <f>IF(Table43[[#This Row],[SATUAN Fix Win]]&lt;&gt;"","GD01")</f>
        <v>GD01</v>
      </c>
      <c r="BP257" s="4">
        <f>IF(Table43[[#This Row],[SATUAN Fix Win]]&lt;&gt;"",11611)</f>
        <v>11611</v>
      </c>
      <c r="BQ257" s="4">
        <f>IF(Table43[[#This Row],[SATUAN Fix Win]]&lt;&gt;"",11612)</f>
        <v>11612</v>
      </c>
      <c r="BS257" s="4">
        <f>IF(Table43[[#This Row],[SATUAN Fix Win]]&lt;&gt;"",1)</f>
        <v>1</v>
      </c>
      <c r="BU257" s="4">
        <f>Table43[[#This Row],[ISI/CTN]]</f>
        <v>288</v>
      </c>
    </row>
    <row r="258" spans="1:73">
      <c r="A258" s="4" t="str">
        <f>CONCATENATE(Table43[[#This Row],[Kode BARANG Win2]],Table43[[#This Row],[No. Urut
Item Sama]])</f>
        <v>G1171002001011</v>
      </c>
      <c r="B258" s="7"/>
      <c r="C258" s="31">
        <v>30320030004000</v>
      </c>
      <c r="D258" s="51">
        <v>40027228</v>
      </c>
      <c r="E258" s="27" t="s">
        <v>2009</v>
      </c>
      <c r="F258" s="51">
        <v>30321060010001</v>
      </c>
      <c r="G258" s="51">
        <v>0</v>
      </c>
      <c r="H258" s="27" t="s">
        <v>1295</v>
      </c>
      <c r="I258" s="27">
        <v>144</v>
      </c>
      <c r="J258" s="51" t="s">
        <v>1700</v>
      </c>
      <c r="K258" s="27" t="str">
        <f>Table43[[#This Row],[NamaJenisKemasan]]</f>
        <v>PCS</v>
      </c>
      <c r="L258" s="4" t="str">
        <f>TRIM(CONCATENATE(Table43[[#This Row],[Nama            KLP]]," ",Table43[[#This Row],[Nama            Sub KLP]]))</f>
        <v>MITU BABY WIPES ANTISEPTIC</v>
      </c>
      <c r="M258" s="4" t="str">
        <f>CONCATENATE(Table43[[#This Row],[kode  2 Digit                (hrf+No)]],Table43[[#This Row],[kode  2 Digit                (Nomor)]],Table43[[#This Row],[kode  1 Digit                (Nomor)]])</f>
        <v>G1171</v>
      </c>
      <c r="N258" s="4" t="str">
        <f>IF(AI258="",CONCATENATE(S258,U258,W258,Y258,AA258,AC258,AE258,AG258,Table43[[#This Row],[Tanda Kode Revisi]]),CONCATENATE(S258,U258,W258,Y258,AA258,AC258,AE258,AI258))</f>
        <v>G1171002001011</v>
      </c>
      <c r="O258" s="11">
        <f t="shared" si="6"/>
        <v>14</v>
      </c>
      <c r="P258" s="14" t="str">
        <f>IF(AH258&lt;&gt;"",TRIM(UPPER(CONCATENATE(R258," ",T258," ",V258," ",X258," ",Z258," ",AB258," ","X"," ",Table43[[#This Row],[ISI/CTN]]," ",AH258," ",AD258," ",AF258," ",AJ258))),TRIM(UPPER(CONCATENATE(R258," ",T258," ",V258," ",X258," ",Z258," ",AB258," ","X"," ",Table43[[#This Row],[ISI/CTN]]," ",AD258," ",AF258," ",AJ258))))</f>
        <v>MITU BABY WIPES ANTISEPTIC REFRESHING 10S X 144 PCS BOGOF</v>
      </c>
      <c r="Q258" s="11">
        <f t="shared" si="7"/>
        <v>57</v>
      </c>
      <c r="S258" s="7" t="s">
        <v>34</v>
      </c>
      <c r="T258" s="4" t="s">
        <v>2555</v>
      </c>
      <c r="U258" s="47" t="s">
        <v>2563</v>
      </c>
      <c r="V258" s="48" t="s">
        <v>2323</v>
      </c>
      <c r="W258" s="7">
        <v>1</v>
      </c>
      <c r="X258" s="48"/>
      <c r="Y258" s="47" t="s">
        <v>1116</v>
      </c>
      <c r="Z258" s="4" t="s">
        <v>2344</v>
      </c>
      <c r="AA258" s="49" t="s">
        <v>2459</v>
      </c>
      <c r="AB258" s="4" t="s">
        <v>2284</v>
      </c>
      <c r="AC258" s="49" t="s">
        <v>2592</v>
      </c>
      <c r="AD258" s="4" t="s">
        <v>185</v>
      </c>
      <c r="AE258" s="7">
        <v>1</v>
      </c>
      <c r="AF258" s="4" t="s">
        <v>2338</v>
      </c>
      <c r="AG258" s="7">
        <v>1</v>
      </c>
      <c r="AK258" s="70">
        <f>Table43[[#This Row],[Column4]]</f>
        <v>30321060010001</v>
      </c>
      <c r="AN258" s="7">
        <f>Table43[[#This Row],[ISI/CTN]]</f>
        <v>144</v>
      </c>
      <c r="AO258" s="61">
        <f>Table43[[#This Row],[Harga Jual Pcs GT
(-PPN)]]-(Table43[[#This Row],[Harga Jual Pcs GT
(-PPN)]]*6.5%)</f>
        <v>4301</v>
      </c>
      <c r="AP258" s="61">
        <f>Table43[[#This Row],[Harga Beli Pcs
(-PPN)]]*Table43[[#This Row],[ISI/CTN]]</f>
        <v>619344</v>
      </c>
      <c r="AQ258" s="61">
        <f>Table43[[#This Row],[Harga Beli Pcs
(-PPN)]]*1.11</f>
        <v>4774.1100000000006</v>
      </c>
      <c r="AR258" s="61">
        <f>Table43[[#This Row],[Harga Beli Krt
(- PPN)]]*1.11</f>
        <v>687471.84000000008</v>
      </c>
      <c r="AS258" s="61">
        <v>4600</v>
      </c>
      <c r="AT258" s="61">
        <f>Table43[[#This Row],[Harga Jual Pcs GT
(-PPN)]]*Table43[[#This Row],[ISI/CTN]]</f>
        <v>662400</v>
      </c>
      <c r="AU258" s="61">
        <f>Table43[[#This Row],[Harga Jual Pcs GT
(-PPN)]]*1.11</f>
        <v>5106</v>
      </c>
      <c r="AV258" s="61">
        <f>Table43[[#This Row],[Harga Jual Krt GT
(- PPN)]]*1.11</f>
        <v>735264.00000000012</v>
      </c>
      <c r="AW258" s="61">
        <f>IFERROR(VLOOKUP(Table43[[#This Row],[Kode Pcpl]],'[1]FEB 2026'!$A$3:$X$312,24,0),0)</f>
        <v>0</v>
      </c>
      <c r="AX258" s="61">
        <f>Table43[[#This Row],[Harga Jual Pcs MT
(-PPN)]]*Table43[[#This Row],[ISI/CTN]]</f>
        <v>0</v>
      </c>
      <c r="AY258" s="61">
        <f>Table43[[#This Row],[Harga Jual Pcs MT
(-PPN)]]*1.11</f>
        <v>0</v>
      </c>
      <c r="AZ258" s="61">
        <f>Table43[[#This Row],[Harga Jual Pcs MT
(+PPN)]]*Table43[[#This Row],[ISI/CTN]]</f>
        <v>0</v>
      </c>
      <c r="BA258" s="62">
        <f>(Table43[[#This Row],[Harga Jual Pcs GT
(-PPN)]]-Table43[[#This Row],[Harga Beli Pcs
(-PPN)]])/Table43[[#This Row],[Harga Jual Pcs GT
(-PPN)]]</f>
        <v>6.5000000000000002E-2</v>
      </c>
      <c r="BB258" s="63">
        <f>Table43[[#This Row],[Harga Jual Pcs MT
(-PPN)]]-Table43[[#This Row],[Harga Beli Pcs
(-PPN)]]</f>
        <v>-4301</v>
      </c>
      <c r="BC258" s="64" t="e">
        <f>Table43[[#This Row],[Column1]]/Table43[[#This Row],[Harga Jual Pcs MT
(-PPN)]]</f>
        <v>#DIV/0!</v>
      </c>
      <c r="BD258" s="52"/>
      <c r="BE258" s="7"/>
      <c r="BF258" s="7" t="str">
        <f ca="1">IF(TODAY()-Table43[[#This Row],[Efektif
Pembuatan]]&gt;60,"Lama","Baru")</f>
        <v>Lama</v>
      </c>
      <c r="BG258" s="7" t="str">
        <f ca="1">IF(TODAY()-Table43[[#This Row],[Efektif Naik Harga]]&lt;30,"Naik","Sama")</f>
        <v>Sama</v>
      </c>
      <c r="BH258" s="7"/>
      <c r="BI258" s="7" t="str">
        <f>IF(Table43[[#This Row],[Kode BARANG Win2]]&lt;&gt;"","IDR","")</f>
        <v>IDR</v>
      </c>
      <c r="BJ258" s="7" t="str">
        <f>CONCATENATE(Table43[[#This Row],[kode  1 Digit
(Nomor)]],Table43[[#This Row],[kode  4 Digit                (Nomor)]])</f>
        <v>0010</v>
      </c>
      <c r="BK258" s="7" t="str">
        <f>Table43[[#This Row],[Nama            Gramasi atau Jumlah Pack per CTN]]</f>
        <v>10S</v>
      </c>
      <c r="BL258" s="7"/>
      <c r="BM258" s="7"/>
      <c r="BN258" s="4" t="str">
        <f>IF(Table43[[#This Row],[SATUAN Fix Win]]&lt;&gt;"","KRT")</f>
        <v>KRT</v>
      </c>
      <c r="BO258" s="4" t="str">
        <f>IF(Table43[[#This Row],[SATUAN Fix Win]]&lt;&gt;"","GD01")</f>
        <v>GD01</v>
      </c>
      <c r="BP258" s="4">
        <f>IF(Table43[[#This Row],[SATUAN Fix Win]]&lt;&gt;"",11611)</f>
        <v>11611</v>
      </c>
      <c r="BQ258" s="4">
        <f>IF(Table43[[#This Row],[SATUAN Fix Win]]&lt;&gt;"",11612)</f>
        <v>11612</v>
      </c>
      <c r="BS258" s="4">
        <f>IF(Table43[[#This Row],[SATUAN Fix Win]]&lt;&gt;"",1)</f>
        <v>1</v>
      </c>
      <c r="BU258" s="4">
        <f>Table43[[#This Row],[ISI/CTN]]</f>
        <v>144</v>
      </c>
    </row>
    <row r="259" spans="1:73">
      <c r="A259" s="4" t="str">
        <f>CONCATENATE(Table43[[#This Row],[Kode BARANG Win2]],Table43[[#This Row],[No. Urut
Item Sama]])</f>
        <v>G1171002001011</v>
      </c>
      <c r="B259" s="7"/>
      <c r="C259" s="31"/>
      <c r="D259" s="51">
        <v>40008112</v>
      </c>
      <c r="E259" s="27"/>
      <c r="F259" s="51"/>
      <c r="G259" s="51"/>
      <c r="H259" s="27"/>
      <c r="I259" s="27">
        <v>144</v>
      </c>
      <c r="J259" s="51"/>
      <c r="K259" s="27" t="str">
        <f>Table43[[#This Row],[NamaJenisKemasan]]</f>
        <v>PCS</v>
      </c>
      <c r="L259" s="4" t="str">
        <f>TRIM(CONCATENATE(Table43[[#This Row],[Nama            KLP]]," ",Table43[[#This Row],[Nama            Sub KLP]]))</f>
        <v>MITU BABY WIPES ANTISEPTIC</v>
      </c>
      <c r="M259" s="4" t="str">
        <f>CONCATENATE(Table43[[#This Row],[kode  2 Digit                (hrf+No)]],Table43[[#This Row],[kode  2 Digit                (Nomor)]],Table43[[#This Row],[kode  1 Digit                (Nomor)]])</f>
        <v>G1171</v>
      </c>
      <c r="N259" s="4" t="str">
        <f>IF(AI259="",CONCATENATE(S259,U259,W259,Y259,AA259,AC259,AE259,AG259,Table43[[#This Row],[Tanda Kode Revisi]]),CONCATENATE(S259,U259,W259,Y259,AA259,AC259,AE259,AI259))</f>
        <v>G1171002001011</v>
      </c>
      <c r="O259" s="11">
        <f t="shared" si="6"/>
        <v>14</v>
      </c>
      <c r="P259" s="14" t="str">
        <f>IF(AH259&lt;&gt;"",TRIM(UPPER(CONCATENATE(R259," ",T259," ",V259," ",X259," ",Z259," ",AB259," ","X"," ",Table43[[#This Row],[ISI/CTN]]," ",AH259," ",AD259," ",AF259," ",AJ259))),TRIM(UPPER(CONCATENATE(R259," ",T259," ",V259," ",X259," ",Z259," ",AB259," ","X"," ",Table43[[#This Row],[ISI/CTN]]," ",AD259," ",AF259," ",AJ259))))</f>
        <v>MITU BABY WIPES ANTISEPTIC REFRESHING 10S X 144 PCS BOGOF</v>
      </c>
      <c r="Q259" s="11">
        <f t="shared" si="7"/>
        <v>57</v>
      </c>
      <c r="S259" s="7" t="s">
        <v>34</v>
      </c>
      <c r="T259" s="4" t="s">
        <v>2555</v>
      </c>
      <c r="U259" s="47" t="s">
        <v>2563</v>
      </c>
      <c r="V259" s="48" t="s">
        <v>2323</v>
      </c>
      <c r="W259" s="7">
        <v>1</v>
      </c>
      <c r="X259" s="48"/>
      <c r="Y259" s="47" t="s">
        <v>1116</v>
      </c>
      <c r="Z259" s="4" t="s">
        <v>2344</v>
      </c>
      <c r="AA259" s="49" t="s">
        <v>2459</v>
      </c>
      <c r="AB259" s="4" t="s">
        <v>2284</v>
      </c>
      <c r="AC259" s="49" t="s">
        <v>2592</v>
      </c>
      <c r="AD259" s="4" t="s">
        <v>185</v>
      </c>
      <c r="AE259" s="7">
        <v>1</v>
      </c>
      <c r="AF259" s="4" t="s">
        <v>2338</v>
      </c>
      <c r="AG259" s="7">
        <v>1</v>
      </c>
      <c r="AK259" s="70">
        <f>Table43[[#This Row],[Column4]]</f>
        <v>0</v>
      </c>
      <c r="AN259" s="7">
        <f>Table43[[#This Row],[ISI/CTN]]</f>
        <v>144</v>
      </c>
      <c r="AO259" s="61">
        <f>Table43[[#This Row],[Harga Jual Pcs GT
(-PPN)]]-(Table43[[#This Row],[Harga Jual Pcs GT
(-PPN)]]*6.5%)</f>
        <v>4301</v>
      </c>
      <c r="AP259" s="61">
        <f>Table43[[#This Row],[Harga Beli Pcs
(-PPN)]]*Table43[[#This Row],[ISI/CTN]]</f>
        <v>619344</v>
      </c>
      <c r="AQ259" s="61">
        <f>Table43[[#This Row],[Harga Beli Pcs
(-PPN)]]*1.11</f>
        <v>4774.1100000000006</v>
      </c>
      <c r="AR259" s="61">
        <f>Table43[[#This Row],[Harga Beli Krt
(- PPN)]]*1.11</f>
        <v>687471.84000000008</v>
      </c>
      <c r="AS259" s="61">
        <v>4600</v>
      </c>
      <c r="AT259" s="61">
        <f>Table43[[#This Row],[Harga Jual Pcs GT
(-PPN)]]*Table43[[#This Row],[ISI/CTN]]</f>
        <v>662400</v>
      </c>
      <c r="AU259" s="61">
        <f>Table43[[#This Row],[Harga Jual Pcs GT
(-PPN)]]*1.11</f>
        <v>5106</v>
      </c>
      <c r="AV259" s="61">
        <f>Table43[[#This Row],[Harga Jual Krt GT
(- PPN)]]*1.11</f>
        <v>735264.00000000012</v>
      </c>
      <c r="AW259" s="61">
        <f>IFERROR(VLOOKUP(Table43[[#This Row],[Kode Pcpl]],'[1]FEB 2026'!$A$3:$X$312,24,0),0)</f>
        <v>0</v>
      </c>
      <c r="AX259" s="61">
        <f>Table43[[#This Row],[Harga Jual Pcs MT
(-PPN)]]*Table43[[#This Row],[ISI/CTN]]</f>
        <v>0</v>
      </c>
      <c r="AY259" s="61">
        <f>Table43[[#This Row],[Harga Jual Pcs MT
(-PPN)]]*1.11</f>
        <v>0</v>
      </c>
      <c r="AZ259" s="61">
        <f>Table43[[#This Row],[Harga Jual Pcs MT
(+PPN)]]*Table43[[#This Row],[ISI/CTN]]</f>
        <v>0</v>
      </c>
      <c r="BA259" s="62">
        <f>(Table43[[#This Row],[Harga Jual Pcs GT
(-PPN)]]-Table43[[#This Row],[Harga Beli Pcs
(-PPN)]])/Table43[[#This Row],[Harga Jual Pcs GT
(-PPN)]]</f>
        <v>6.5000000000000002E-2</v>
      </c>
      <c r="BB259" s="63">
        <f>Table43[[#This Row],[Harga Jual Pcs MT
(-PPN)]]-Table43[[#This Row],[Harga Beli Pcs
(-PPN)]]</f>
        <v>-4301</v>
      </c>
      <c r="BC259" s="64" t="e">
        <f>Table43[[#This Row],[Column1]]/Table43[[#This Row],[Harga Jual Pcs MT
(-PPN)]]</f>
        <v>#DIV/0!</v>
      </c>
      <c r="BD259" s="52"/>
      <c r="BE259" s="7"/>
      <c r="BF259" s="7" t="str">
        <f ca="1">IF(TODAY()-Table43[[#This Row],[Efektif
Pembuatan]]&gt;60,"Lama","Baru")</f>
        <v>Lama</v>
      </c>
      <c r="BG259" s="7" t="str">
        <f ca="1">IF(TODAY()-Table43[[#This Row],[Efektif Naik Harga]]&lt;30,"Naik","Sama")</f>
        <v>Sama</v>
      </c>
      <c r="BH259" s="7"/>
      <c r="BI259" s="7" t="str">
        <f>IF(Table43[[#This Row],[Kode BARANG Win2]]&lt;&gt;"","IDR","")</f>
        <v>IDR</v>
      </c>
      <c r="BJ259" s="7" t="str">
        <f>CONCATENATE(Table43[[#This Row],[kode  1 Digit
(Nomor)]],Table43[[#This Row],[kode  4 Digit                (Nomor)]])</f>
        <v>0010</v>
      </c>
      <c r="BK259" s="7" t="str">
        <f>Table43[[#This Row],[Nama            Gramasi atau Jumlah Pack per CTN]]</f>
        <v>10S</v>
      </c>
      <c r="BL259" s="7"/>
      <c r="BM259" s="7"/>
      <c r="BN259" s="4" t="str">
        <f>IF(Table43[[#This Row],[SATUAN Fix Win]]&lt;&gt;"","KRT")</f>
        <v>KRT</v>
      </c>
      <c r="BO259" s="4" t="str">
        <f>IF(Table43[[#This Row],[SATUAN Fix Win]]&lt;&gt;"","GD01")</f>
        <v>GD01</v>
      </c>
      <c r="BP259" s="4">
        <f>IF(Table43[[#This Row],[SATUAN Fix Win]]&lt;&gt;"",11611)</f>
        <v>11611</v>
      </c>
      <c r="BQ259" s="4">
        <f>IF(Table43[[#This Row],[SATUAN Fix Win]]&lt;&gt;"",11612)</f>
        <v>11612</v>
      </c>
      <c r="BS259" s="4">
        <f>IF(Table43[[#This Row],[SATUAN Fix Win]]&lt;&gt;"",1)</f>
        <v>1</v>
      </c>
      <c r="BU259" s="4">
        <f>Table43[[#This Row],[ISI/CTN]]</f>
        <v>144</v>
      </c>
    </row>
    <row r="260" spans="1:73">
      <c r="A260" s="4" t="str">
        <f>CONCATENATE(Table43[[#This Row],[Kode BARANG Win2]],Table43[[#This Row],[No. Urut
Item Sama]])</f>
        <v>G1172001000410</v>
      </c>
      <c r="B260" s="7"/>
      <c r="C260" s="31">
        <v>30340010090020</v>
      </c>
      <c r="D260" s="59">
        <v>40058366</v>
      </c>
      <c r="E260" s="60" t="s">
        <v>1999</v>
      </c>
      <c r="F260" s="59">
        <v>30320030004000</v>
      </c>
      <c r="G260" s="59">
        <v>0</v>
      </c>
      <c r="H260" s="60" t="s">
        <v>1284</v>
      </c>
      <c r="I260" s="60">
        <v>288</v>
      </c>
      <c r="J260" s="59" t="s">
        <v>1690</v>
      </c>
      <c r="K260" s="60" t="str">
        <f>Table43[[#This Row],[NamaJenisKemasan]]</f>
        <v>PCS</v>
      </c>
      <c r="L260" s="4" t="str">
        <f>TRIM(CONCATENATE(Table43[[#This Row],[Nama            KLP]]," ",Table43[[#This Row],[Nama            Sub KLP]]))</f>
        <v>MITU BABY WIPES F&amp;C</v>
      </c>
      <c r="M260" s="4" t="str">
        <f>CONCATENATE(Table43[[#This Row],[kode  2 Digit                (hrf+No)]],Table43[[#This Row],[kode  2 Digit                (Nomor)]],Table43[[#This Row],[kode  1 Digit                (Nomor)]])</f>
        <v>G1172</v>
      </c>
      <c r="N260" s="4" t="str">
        <f>IF(AI260="",CONCATENATE(S260,U260,W260,Y260,AA260,AC260,AE260,AG260,Table43[[#This Row],[Tanda Kode Revisi]]),CONCATENATE(S260,U260,W260,Y260,AA260,AC260,AE260,AI260))</f>
        <v>G1172001000410</v>
      </c>
      <c r="O260" s="11">
        <f t="shared" si="6"/>
        <v>14</v>
      </c>
      <c r="P260" s="14" t="str">
        <f>IF(AH260&lt;&gt;"",TRIM(UPPER(CONCATENATE(R260," ",T260," ",V260," ",X260," ",Z260," ",AB260," ","X"," ",Table43[[#This Row],[ISI/CTN]]," ",AH260," ",AD260," ",AF260," ",AJ260))),TRIM(UPPER(CONCATENATE(R260," ",T260," ",V260," ",X260," ",Z260," ",AB260," ","X"," ",Table43[[#This Row],[ISI/CTN]]," ",AD260," ",AF260," ",AJ260))))</f>
        <v>MITU BABY WIPES F&amp;C BLOOMING CHERRY 4S X 288 PCS</v>
      </c>
      <c r="Q260" s="11">
        <f t="shared" si="7"/>
        <v>48</v>
      </c>
      <c r="S260" s="7" t="s">
        <v>34</v>
      </c>
      <c r="T260" s="4" t="s">
        <v>2555</v>
      </c>
      <c r="U260" s="47" t="s">
        <v>2563</v>
      </c>
      <c r="V260" s="48" t="s">
        <v>2327</v>
      </c>
      <c r="W260" s="7">
        <v>2</v>
      </c>
      <c r="X260" s="48"/>
      <c r="Y260" s="47" t="s">
        <v>1116</v>
      </c>
      <c r="Z260" s="4" t="s">
        <v>2356</v>
      </c>
      <c r="AA260" s="49" t="s">
        <v>1115</v>
      </c>
      <c r="AB260" s="4" t="s">
        <v>2286</v>
      </c>
      <c r="AC260" s="49" t="s">
        <v>2628</v>
      </c>
      <c r="AD260" s="4" t="s">
        <v>185</v>
      </c>
      <c r="AE260" s="7">
        <v>1</v>
      </c>
      <c r="AG260" s="7">
        <v>0</v>
      </c>
      <c r="AK260" s="70">
        <f>Table43[[#This Row],[Column4]]</f>
        <v>30320030004000</v>
      </c>
      <c r="AN260" s="7">
        <f>Table43[[#This Row],[ISI/CTN]]</f>
        <v>288</v>
      </c>
      <c r="AO260" s="38">
        <f>Table43[[#This Row],[Harga Jual Pcs GT
(-PPN)]]-(Table43[[#This Row],[Harga Jual Pcs GT
(-PPN)]]*6.5%)</f>
        <v>635.79999999999995</v>
      </c>
      <c r="AP260" s="38">
        <f>Table43[[#This Row],[Harga Beli Pcs
(-PPN)]]*Table43[[#This Row],[ISI/CTN]]</f>
        <v>183110.39999999999</v>
      </c>
      <c r="AQ260" s="38">
        <f>Table43[[#This Row],[Harga Beli Pcs
(-PPN)]]*1.11</f>
        <v>705.73800000000006</v>
      </c>
      <c r="AR260" s="38">
        <f>Table43[[#This Row],[Harga Beli Krt
(- PPN)]]*1.11</f>
        <v>203252.54400000002</v>
      </c>
      <c r="AS260" s="38">
        <v>680</v>
      </c>
      <c r="AT260" s="38">
        <f>Table43[[#This Row],[Harga Jual Pcs GT
(-PPN)]]*Table43[[#This Row],[ISI/CTN]]</f>
        <v>195840</v>
      </c>
      <c r="AU260" s="38">
        <f>Table43[[#This Row],[Harga Jual Pcs GT
(-PPN)]]*1.11</f>
        <v>754.80000000000007</v>
      </c>
      <c r="AV260" s="38">
        <f>Table43[[#This Row],[Harga Jual Krt GT
(- PPN)]]*1.11</f>
        <v>217382.40000000002</v>
      </c>
      <c r="AW260" s="38">
        <f>IFERROR(VLOOKUP(Table43[[#This Row],[Kode Pcpl]],'[1]FEB 2026'!$A$3:$X$312,24,0),0)</f>
        <v>0</v>
      </c>
      <c r="AX260" s="38">
        <f>Table43[[#This Row],[Harga Jual Pcs MT
(-PPN)]]*Table43[[#This Row],[ISI/CTN]]</f>
        <v>0</v>
      </c>
      <c r="AY260" s="38">
        <f>Table43[[#This Row],[Harga Jual Pcs MT
(-PPN)]]*1.11</f>
        <v>0</v>
      </c>
      <c r="AZ260" s="38">
        <f>Table43[[#This Row],[Harga Jual Pcs MT
(+PPN)]]*Table43[[#This Row],[ISI/CTN]]</f>
        <v>0</v>
      </c>
      <c r="BA260" s="46">
        <f>(Table43[[#This Row],[Harga Jual Pcs GT
(-PPN)]]-Table43[[#This Row],[Harga Beli Pcs
(-PPN)]])/Table43[[#This Row],[Harga Jual Pcs GT
(-PPN)]]</f>
        <v>6.5000000000000072E-2</v>
      </c>
      <c r="BB260" s="53">
        <f>Table43[[#This Row],[Harga Jual Pcs MT
(-PPN)]]-Table43[[#This Row],[Harga Beli Pcs
(-PPN)]]</f>
        <v>-635.79999999999995</v>
      </c>
      <c r="BC260" s="54" t="e">
        <f>Table43[[#This Row],[Column1]]/Table43[[#This Row],[Harga Jual Pcs MT
(-PPN)]]</f>
        <v>#DIV/0!</v>
      </c>
      <c r="BD260" s="52"/>
      <c r="BE260" s="7"/>
      <c r="BF260" s="7" t="str">
        <f ca="1">IF(TODAY()-Table43[[#This Row],[Efektif
Pembuatan]]&gt;60,"Lama","Baru")</f>
        <v>Lama</v>
      </c>
      <c r="BG260" s="7" t="str">
        <f ca="1">IF(TODAY()-Table43[[#This Row],[Efektif Naik Harga]]&lt;30,"Naik","Sama")</f>
        <v>Sama</v>
      </c>
      <c r="BH260" s="7"/>
      <c r="BI260" s="7" t="str">
        <f>IF(Table43[[#This Row],[Kode BARANG Win2]]&lt;&gt;"","IDR","")</f>
        <v>IDR</v>
      </c>
      <c r="BJ260" s="7" t="str">
        <f>CONCATENATE(Table43[[#This Row],[kode  1 Digit
(Nomor)]],Table43[[#This Row],[kode  4 Digit                (Nomor)]])</f>
        <v>0004</v>
      </c>
      <c r="BK260" s="7" t="str">
        <f>Table43[[#This Row],[Nama            Gramasi atau Jumlah Pack per CTN]]</f>
        <v>4S</v>
      </c>
      <c r="BL260" s="7"/>
      <c r="BM260" s="7"/>
      <c r="BN260" s="4" t="str">
        <f>IF(Table43[[#This Row],[SATUAN Fix Win]]&lt;&gt;"","KRT")</f>
        <v>KRT</v>
      </c>
      <c r="BO260" s="4" t="str">
        <f>IF(Table43[[#This Row],[SATUAN Fix Win]]&lt;&gt;"","GD01")</f>
        <v>GD01</v>
      </c>
      <c r="BP260" s="4">
        <f>IF(Table43[[#This Row],[SATUAN Fix Win]]&lt;&gt;"",11611)</f>
        <v>11611</v>
      </c>
      <c r="BQ260" s="4">
        <f>IF(Table43[[#This Row],[SATUAN Fix Win]]&lt;&gt;"",11612)</f>
        <v>11612</v>
      </c>
      <c r="BS260" s="4">
        <f>IF(Table43[[#This Row],[SATUAN Fix Win]]&lt;&gt;"",1)</f>
        <v>1</v>
      </c>
      <c r="BU260" s="4">
        <f>Table43[[#This Row],[ISI/CTN]]</f>
        <v>288</v>
      </c>
    </row>
    <row r="261" spans="1:73">
      <c r="A261" s="4" t="str">
        <f>CONCATENATE(Table43[[#This Row],[Kode BARANG Win2]],Table43[[#This Row],[No. Urut
Item Sama]])</f>
        <v>G1172001000410</v>
      </c>
      <c r="B261" s="7"/>
      <c r="C261" s="31">
        <v>30330010250000</v>
      </c>
      <c r="D261" s="51">
        <v>40027230</v>
      </c>
      <c r="E261" s="27" t="s">
        <v>1999</v>
      </c>
      <c r="F261" s="51">
        <v>30320030004000</v>
      </c>
      <c r="G261" s="51">
        <v>0</v>
      </c>
      <c r="H261" s="27" t="s">
        <v>1283</v>
      </c>
      <c r="I261" s="27">
        <v>288</v>
      </c>
      <c r="J261" s="51" t="s">
        <v>1690</v>
      </c>
      <c r="K261" s="27" t="str">
        <f>Table43[[#This Row],[NamaJenisKemasan]]</f>
        <v>PCS</v>
      </c>
      <c r="L261" s="4" t="str">
        <f>TRIM(CONCATENATE(Table43[[#This Row],[Nama            KLP]]," ",Table43[[#This Row],[Nama            Sub KLP]]))</f>
        <v>MITU BABY WIPES F&amp;C</v>
      </c>
      <c r="M261" s="4" t="str">
        <f>CONCATENATE(Table43[[#This Row],[kode  2 Digit                (hrf+No)]],Table43[[#This Row],[kode  2 Digit                (Nomor)]],Table43[[#This Row],[kode  1 Digit                (Nomor)]])</f>
        <v>G1172</v>
      </c>
      <c r="N261" s="4" t="str">
        <f>IF(AI261="",CONCATENATE(S261,U261,W261,Y261,AA261,AC261,AE261,AG261,Table43[[#This Row],[Tanda Kode Revisi]]),CONCATENATE(S261,U261,W261,Y261,AA261,AC261,AE261,AI261))</f>
        <v>G1172001000410</v>
      </c>
      <c r="O261" s="11">
        <f t="shared" si="6"/>
        <v>14</v>
      </c>
      <c r="P261" s="14" t="str">
        <f>IF(AH261&lt;&gt;"",TRIM(UPPER(CONCATENATE(R261," ",T261," ",V261," ",X261," ",Z261," ",AB261," ","X"," ",Table43[[#This Row],[ISI/CTN]]," ",AH261," ",AD261," ",AF261," ",AJ261))),TRIM(UPPER(CONCATENATE(R261," ",T261," ",V261," ",X261," ",Z261," ",AB261," ","X"," ",Table43[[#This Row],[ISI/CTN]]," ",AD261," ",AF261," ",AJ261))))</f>
        <v>MITU BABY WIPES F&amp;C BLOOMING CHERRY 4S X 288 PCS</v>
      </c>
      <c r="Q261" s="11">
        <f t="shared" si="7"/>
        <v>48</v>
      </c>
      <c r="S261" s="7" t="s">
        <v>34</v>
      </c>
      <c r="T261" s="4" t="s">
        <v>2555</v>
      </c>
      <c r="U261" s="47" t="s">
        <v>2563</v>
      </c>
      <c r="V261" s="48" t="s">
        <v>2327</v>
      </c>
      <c r="W261" s="7">
        <v>2</v>
      </c>
      <c r="X261" s="48"/>
      <c r="Y261" s="47" t="s">
        <v>1116</v>
      </c>
      <c r="Z261" s="4" t="s">
        <v>2356</v>
      </c>
      <c r="AA261" s="49" t="s">
        <v>1115</v>
      </c>
      <c r="AB261" s="4" t="s">
        <v>2286</v>
      </c>
      <c r="AC261" s="49" t="s">
        <v>2628</v>
      </c>
      <c r="AD261" s="4" t="s">
        <v>185</v>
      </c>
      <c r="AE261" s="7">
        <v>1</v>
      </c>
      <c r="AG261" s="7">
        <v>0</v>
      </c>
      <c r="AK261" s="70">
        <f>Table43[[#This Row],[Column4]]</f>
        <v>30320030004000</v>
      </c>
      <c r="AN261" s="7">
        <f>Table43[[#This Row],[ISI/CTN]]</f>
        <v>288</v>
      </c>
      <c r="AO261" s="38">
        <f>Table43[[#This Row],[Harga Jual Pcs GT
(-PPN)]]-(Table43[[#This Row],[Harga Jual Pcs GT
(-PPN)]]*6.5%)</f>
        <v>635.79999999999995</v>
      </c>
      <c r="AP261" s="38">
        <f>Table43[[#This Row],[Harga Beli Pcs
(-PPN)]]*Table43[[#This Row],[ISI/CTN]]</f>
        <v>183110.39999999999</v>
      </c>
      <c r="AQ261" s="38">
        <f>Table43[[#This Row],[Harga Beli Pcs
(-PPN)]]*1.11</f>
        <v>705.73800000000006</v>
      </c>
      <c r="AR261" s="38">
        <f>Table43[[#This Row],[Harga Beli Krt
(- PPN)]]*1.11</f>
        <v>203252.54400000002</v>
      </c>
      <c r="AS261" s="38">
        <v>680</v>
      </c>
      <c r="AT261" s="38">
        <f>Table43[[#This Row],[Harga Jual Pcs GT
(-PPN)]]*Table43[[#This Row],[ISI/CTN]]</f>
        <v>195840</v>
      </c>
      <c r="AU261" s="38">
        <f>Table43[[#This Row],[Harga Jual Pcs GT
(-PPN)]]*1.11</f>
        <v>754.80000000000007</v>
      </c>
      <c r="AV261" s="38">
        <f>Table43[[#This Row],[Harga Jual Krt GT
(- PPN)]]*1.11</f>
        <v>217382.40000000002</v>
      </c>
      <c r="AW261" s="38">
        <f>IFERROR(VLOOKUP(Table43[[#This Row],[Kode Pcpl]],'[1]FEB 2026'!$A$3:$X$312,24,0),0)</f>
        <v>0</v>
      </c>
      <c r="AX261" s="38">
        <f>Table43[[#This Row],[Harga Jual Pcs MT
(-PPN)]]*Table43[[#This Row],[ISI/CTN]]</f>
        <v>0</v>
      </c>
      <c r="AY261" s="38">
        <f>Table43[[#This Row],[Harga Jual Pcs MT
(-PPN)]]*1.11</f>
        <v>0</v>
      </c>
      <c r="AZ261" s="38">
        <f>Table43[[#This Row],[Harga Jual Pcs MT
(+PPN)]]*Table43[[#This Row],[ISI/CTN]]</f>
        <v>0</v>
      </c>
      <c r="BA261" s="46">
        <f>(Table43[[#This Row],[Harga Jual Pcs GT
(-PPN)]]-Table43[[#This Row],[Harga Beli Pcs
(-PPN)]])/Table43[[#This Row],[Harga Jual Pcs GT
(-PPN)]]</f>
        <v>6.5000000000000072E-2</v>
      </c>
      <c r="BB261" s="53">
        <f>Table43[[#This Row],[Harga Jual Pcs MT
(-PPN)]]-Table43[[#This Row],[Harga Beli Pcs
(-PPN)]]</f>
        <v>-635.79999999999995</v>
      </c>
      <c r="BC261" s="54" t="e">
        <f>Table43[[#This Row],[Column1]]/Table43[[#This Row],[Harga Jual Pcs MT
(-PPN)]]</f>
        <v>#DIV/0!</v>
      </c>
      <c r="BD261" s="52"/>
      <c r="BE261" s="7"/>
      <c r="BF261" s="7" t="str">
        <f ca="1">IF(TODAY()-Table43[[#This Row],[Efektif
Pembuatan]]&gt;60,"Lama","Baru")</f>
        <v>Lama</v>
      </c>
      <c r="BG261" s="7" t="str">
        <f ca="1">IF(TODAY()-Table43[[#This Row],[Efektif Naik Harga]]&lt;30,"Naik","Sama")</f>
        <v>Sama</v>
      </c>
      <c r="BH261" s="7"/>
      <c r="BI261" s="7" t="str">
        <f>IF(Table43[[#This Row],[Kode BARANG Win2]]&lt;&gt;"","IDR","")</f>
        <v>IDR</v>
      </c>
      <c r="BJ261" s="7" t="str">
        <f>CONCATENATE(Table43[[#This Row],[kode  1 Digit
(Nomor)]],Table43[[#This Row],[kode  4 Digit                (Nomor)]])</f>
        <v>0004</v>
      </c>
      <c r="BK261" s="7" t="str">
        <f>Table43[[#This Row],[Nama            Gramasi atau Jumlah Pack per CTN]]</f>
        <v>4S</v>
      </c>
      <c r="BL261" s="7"/>
      <c r="BM261" s="7"/>
      <c r="BN261" s="4" t="str">
        <f>IF(Table43[[#This Row],[SATUAN Fix Win]]&lt;&gt;"","KRT")</f>
        <v>KRT</v>
      </c>
      <c r="BO261" s="4" t="str">
        <f>IF(Table43[[#This Row],[SATUAN Fix Win]]&lt;&gt;"","GD01")</f>
        <v>GD01</v>
      </c>
      <c r="BP261" s="4">
        <f>IF(Table43[[#This Row],[SATUAN Fix Win]]&lt;&gt;"",11611)</f>
        <v>11611</v>
      </c>
      <c r="BQ261" s="4">
        <f>IF(Table43[[#This Row],[SATUAN Fix Win]]&lt;&gt;"",11612)</f>
        <v>11612</v>
      </c>
      <c r="BS261" s="4">
        <f>IF(Table43[[#This Row],[SATUAN Fix Win]]&lt;&gt;"",1)</f>
        <v>1</v>
      </c>
      <c r="BU261" s="4">
        <f>Table43[[#This Row],[ISI/CTN]]</f>
        <v>288</v>
      </c>
    </row>
    <row r="262" spans="1:73">
      <c r="A262" s="4" t="str">
        <f>CONCATENATE(Table43[[#This Row],[Kode BARANG Win2]],Table43[[#This Row],[No. Urut
Item Sama]])</f>
        <v>G1172001002510</v>
      </c>
      <c r="B262" s="7"/>
      <c r="C262" s="31">
        <v>30321060004000</v>
      </c>
      <c r="D262" s="59">
        <v>40049679</v>
      </c>
      <c r="E262" s="60" t="s">
        <v>2002</v>
      </c>
      <c r="F262" s="51">
        <v>30320040025000</v>
      </c>
      <c r="G262" s="59">
        <v>0</v>
      </c>
      <c r="H262" s="60" t="s">
        <v>1287</v>
      </c>
      <c r="I262" s="60">
        <v>72</v>
      </c>
      <c r="J262" s="59" t="s">
        <v>1693</v>
      </c>
      <c r="K262" s="60" t="str">
        <f>Table43[[#This Row],[NamaJenisKemasan]]</f>
        <v>PCS</v>
      </c>
      <c r="L262" s="4" t="str">
        <f>TRIM(CONCATENATE(Table43[[#This Row],[Nama            KLP]]," ",Table43[[#This Row],[Nama            Sub KLP]]))</f>
        <v>MITU BABY WIPES F&amp;C</v>
      </c>
      <c r="M262" s="4" t="str">
        <f>CONCATENATE(Table43[[#This Row],[kode  2 Digit                (hrf+No)]],Table43[[#This Row],[kode  2 Digit                (Nomor)]],Table43[[#This Row],[kode  1 Digit                (Nomor)]])</f>
        <v>G1172</v>
      </c>
      <c r="N262" s="4" t="str">
        <f>IF(AI262="",CONCATENATE(S262,U262,W262,Y262,AA262,AC262,AE262,AG262,Table43[[#This Row],[Tanda Kode Revisi]]),CONCATENATE(S262,U262,W262,Y262,AA262,AC262,AE262,AI262))</f>
        <v>G1172001002510</v>
      </c>
      <c r="O262" s="11">
        <f t="shared" si="6"/>
        <v>14</v>
      </c>
      <c r="P262" s="14" t="str">
        <f>IF(AH262&lt;&gt;"",TRIM(UPPER(CONCATENATE(R262," ",T262," ",V262," ",X262," ",Z262," ",AB262," ","X"," ",Table43[[#This Row],[ISI/CTN]]," ",AH262," ",AD262," ",AF262," ",AJ262))),TRIM(UPPER(CONCATENATE(R262," ",T262," ",V262," ",X262," ",Z262," ",AB262," ","X"," ",Table43[[#This Row],[ISI/CTN]]," ",AD262," ",AF262," ",AJ262))))</f>
        <v>MITU BABY WIPES F&amp;C BLOOMING CHERRY 25S X 72 PCS</v>
      </c>
      <c r="Q262" s="11">
        <f t="shared" si="7"/>
        <v>48</v>
      </c>
      <c r="S262" s="7" t="s">
        <v>34</v>
      </c>
      <c r="T262" s="4" t="s">
        <v>2555</v>
      </c>
      <c r="U262" s="47" t="s">
        <v>2563</v>
      </c>
      <c r="V262" s="48" t="s">
        <v>2327</v>
      </c>
      <c r="W262" s="7">
        <v>2</v>
      </c>
      <c r="X262" s="48"/>
      <c r="Y262" s="47" t="s">
        <v>1116</v>
      </c>
      <c r="Z262" s="4" t="s">
        <v>2356</v>
      </c>
      <c r="AA262" s="49" t="s">
        <v>1115</v>
      </c>
      <c r="AB262" s="4" t="s">
        <v>2348</v>
      </c>
      <c r="AC262" s="49" t="s">
        <v>2614</v>
      </c>
      <c r="AD262" s="4" t="s">
        <v>185</v>
      </c>
      <c r="AE262" s="7">
        <v>1</v>
      </c>
      <c r="AG262" s="7">
        <v>0</v>
      </c>
      <c r="AK262" s="70">
        <f>Table43[[#This Row],[Column4]]</f>
        <v>30320040025000</v>
      </c>
      <c r="AN262" s="7">
        <f>Table43[[#This Row],[ISI/CTN]]</f>
        <v>72</v>
      </c>
      <c r="AO262" s="38">
        <f>Table43[[#This Row],[Harga Jual Pcs GT
(-PPN)]]-(Table43[[#This Row],[Harga Jual Pcs GT
(-PPN)]]*6.5%)</f>
        <v>3366</v>
      </c>
      <c r="AP262" s="38">
        <f>Table43[[#This Row],[Harga Beli Pcs
(-PPN)]]*Table43[[#This Row],[ISI/CTN]]</f>
        <v>242352</v>
      </c>
      <c r="AQ262" s="38">
        <f>Table43[[#This Row],[Harga Beli Pcs
(-PPN)]]*1.11</f>
        <v>3736.26</v>
      </c>
      <c r="AR262" s="38">
        <f>Table43[[#This Row],[Harga Beli Krt
(- PPN)]]*1.11</f>
        <v>269010.72000000003</v>
      </c>
      <c r="AS262" s="38">
        <v>3600</v>
      </c>
      <c r="AT262" s="38">
        <f>Table43[[#This Row],[Harga Jual Pcs GT
(-PPN)]]*Table43[[#This Row],[ISI/CTN]]</f>
        <v>259200</v>
      </c>
      <c r="AU262" s="38">
        <f>Table43[[#This Row],[Harga Jual Pcs GT
(-PPN)]]*1.11</f>
        <v>3996.0000000000005</v>
      </c>
      <c r="AV262" s="38">
        <f>Table43[[#This Row],[Harga Jual Krt GT
(- PPN)]]*1.11</f>
        <v>287712</v>
      </c>
      <c r="AW262" s="38">
        <f>IFERROR(VLOOKUP(Table43[[#This Row],[Kode Pcpl]],'[1]FEB 2026'!$A$3:$X$312,24,0),0)</f>
        <v>0</v>
      </c>
      <c r="AX262" s="38">
        <f>Table43[[#This Row],[Harga Jual Pcs MT
(-PPN)]]*Table43[[#This Row],[ISI/CTN]]</f>
        <v>0</v>
      </c>
      <c r="AY262" s="38">
        <f>Table43[[#This Row],[Harga Jual Pcs MT
(-PPN)]]*1.11</f>
        <v>0</v>
      </c>
      <c r="AZ262" s="38">
        <f>Table43[[#This Row],[Harga Jual Pcs MT
(+PPN)]]*Table43[[#This Row],[ISI/CTN]]</f>
        <v>0</v>
      </c>
      <c r="BA262" s="46">
        <f>(Table43[[#This Row],[Harga Jual Pcs GT
(-PPN)]]-Table43[[#This Row],[Harga Beli Pcs
(-PPN)]])/Table43[[#This Row],[Harga Jual Pcs GT
(-PPN)]]</f>
        <v>6.5000000000000002E-2</v>
      </c>
      <c r="BB262" s="53">
        <f>Table43[[#This Row],[Harga Jual Pcs MT
(-PPN)]]-Table43[[#This Row],[Harga Beli Pcs
(-PPN)]]</f>
        <v>-3366</v>
      </c>
      <c r="BC262" s="54" t="e">
        <f>Table43[[#This Row],[Column1]]/Table43[[#This Row],[Harga Jual Pcs MT
(-PPN)]]</f>
        <v>#DIV/0!</v>
      </c>
      <c r="BD262" s="52"/>
      <c r="BE262" s="7"/>
      <c r="BF262" s="7" t="str">
        <f ca="1">IF(TODAY()-Table43[[#This Row],[Efektif
Pembuatan]]&gt;60,"Lama","Baru")</f>
        <v>Lama</v>
      </c>
      <c r="BG262" s="7" t="str">
        <f ca="1">IF(TODAY()-Table43[[#This Row],[Efektif Naik Harga]]&lt;30,"Naik","Sama")</f>
        <v>Sama</v>
      </c>
      <c r="BH262" s="7"/>
      <c r="BI262" s="7" t="str">
        <f>IF(Table43[[#This Row],[Kode BARANG Win2]]&lt;&gt;"","IDR","")</f>
        <v>IDR</v>
      </c>
      <c r="BJ262" s="7" t="str">
        <f>CONCATENATE(Table43[[#This Row],[kode  1 Digit
(Nomor)]],Table43[[#This Row],[kode  4 Digit                (Nomor)]])</f>
        <v>0025</v>
      </c>
      <c r="BK262" s="7" t="str">
        <f>Table43[[#This Row],[Nama            Gramasi atau Jumlah Pack per CTN]]</f>
        <v>25S</v>
      </c>
      <c r="BL262" s="7"/>
      <c r="BM262" s="7"/>
      <c r="BN262" s="4" t="str">
        <f>IF(Table43[[#This Row],[SATUAN Fix Win]]&lt;&gt;"","KRT")</f>
        <v>KRT</v>
      </c>
      <c r="BO262" s="4" t="str">
        <f>IF(Table43[[#This Row],[SATUAN Fix Win]]&lt;&gt;"","GD01")</f>
        <v>GD01</v>
      </c>
      <c r="BP262" s="4">
        <f>IF(Table43[[#This Row],[SATUAN Fix Win]]&lt;&gt;"",11611)</f>
        <v>11611</v>
      </c>
      <c r="BQ262" s="4">
        <f>IF(Table43[[#This Row],[SATUAN Fix Win]]&lt;&gt;"",11612)</f>
        <v>11612</v>
      </c>
      <c r="BS262" s="4">
        <f>IF(Table43[[#This Row],[SATUAN Fix Win]]&lt;&gt;"",1)</f>
        <v>1</v>
      </c>
      <c r="BU262" s="4">
        <f>Table43[[#This Row],[ISI/CTN]]</f>
        <v>72</v>
      </c>
    </row>
    <row r="263" spans="1:73">
      <c r="A263" s="4" t="str">
        <f>CONCATENATE(Table43[[#This Row],[Kode BARANG Win2]],Table43[[#This Row],[No. Urut
Item Sama]])</f>
        <v>G1172001002520</v>
      </c>
      <c r="B263" s="7"/>
      <c r="C263" s="31">
        <v>30321060004000</v>
      </c>
      <c r="D263" s="51">
        <v>40049678</v>
      </c>
      <c r="E263" s="27" t="s">
        <v>2003</v>
      </c>
      <c r="F263" s="51">
        <v>30320040025001</v>
      </c>
      <c r="G263" s="51">
        <v>30320030024000</v>
      </c>
      <c r="H263" s="27" t="s">
        <v>1288</v>
      </c>
      <c r="I263" s="27">
        <v>72</v>
      </c>
      <c r="J263" s="51" t="s">
        <v>1694</v>
      </c>
      <c r="K263" s="27" t="str">
        <f>Table43[[#This Row],[NamaJenisKemasan]]</f>
        <v>RCG</v>
      </c>
      <c r="L263" s="4" t="str">
        <f>TRIM(CONCATENATE(Table43[[#This Row],[Nama            KLP]]," ",Table43[[#This Row],[Nama            Sub KLP]]))</f>
        <v>MITU BABY WIPES F&amp;C</v>
      </c>
      <c r="M263" s="4" t="str">
        <f>CONCATENATE(Table43[[#This Row],[kode  2 Digit                (hrf+No)]],Table43[[#This Row],[kode  2 Digit                (Nomor)]],Table43[[#This Row],[kode  1 Digit                (Nomor)]])</f>
        <v>G1172</v>
      </c>
      <c r="N263" s="4" t="str">
        <f>IF(AI263="",CONCATENATE(S263,U263,W263,Y263,AA263,AC263,AE263,AG263,Table43[[#This Row],[Tanda Kode Revisi]]),CONCATENATE(S263,U263,W263,Y263,AA263,AC263,AE263,AI263))</f>
        <v>G1172001002520</v>
      </c>
      <c r="O263" s="11">
        <f t="shared" si="6"/>
        <v>14</v>
      </c>
      <c r="P263" s="14" t="str">
        <f>IF(AH263&lt;&gt;"",TRIM(UPPER(CONCATENATE(R263," ",T263," ",V263," ",X263," ",Z263," ",AB263," ","X"," ",Table43[[#This Row],[ISI/CTN]]," ",AH263," ",AD263," ",AF263," ",AJ263))),TRIM(UPPER(CONCATENATE(R263," ",T263," ",V263," ",X263," ",Z263," ",AB263," ","X"," ",Table43[[#This Row],[ISI/CTN]]," ",AD263," ",AF263," ",AJ263))))</f>
        <v>MITU BABY WIPES F&amp;C BLOOMING CHERRY 25S X 72 RCG</v>
      </c>
      <c r="Q263" s="11">
        <f t="shared" si="7"/>
        <v>48</v>
      </c>
      <c r="S263" s="7" t="s">
        <v>34</v>
      </c>
      <c r="T263" s="4" t="s">
        <v>2555</v>
      </c>
      <c r="U263" s="47" t="s">
        <v>2563</v>
      </c>
      <c r="V263" s="48" t="s">
        <v>2327</v>
      </c>
      <c r="W263" s="7">
        <v>2</v>
      </c>
      <c r="X263" s="48"/>
      <c r="Y263" s="47" t="s">
        <v>1116</v>
      </c>
      <c r="Z263" s="4" t="s">
        <v>2356</v>
      </c>
      <c r="AA263" s="49" t="s">
        <v>1115</v>
      </c>
      <c r="AB263" s="4" t="s">
        <v>2348</v>
      </c>
      <c r="AC263" s="49" t="s">
        <v>2614</v>
      </c>
      <c r="AD263" s="4" t="s">
        <v>2654</v>
      </c>
      <c r="AE263" s="7">
        <v>2</v>
      </c>
      <c r="AG263" s="7">
        <v>0</v>
      </c>
      <c r="AK263" s="70">
        <f>Table43[[#This Row],[Column4]]</f>
        <v>30320040025001</v>
      </c>
      <c r="AN263" s="7">
        <f>Table43[[#This Row],[ISI/CTN]]</f>
        <v>72</v>
      </c>
      <c r="AO263" s="38">
        <f>Table43[[#This Row],[Harga Jual Pcs GT
(-PPN)]]-(Table43[[#This Row],[Harga Jual Pcs GT
(-PPN)]]*6.5%)</f>
        <v>3366</v>
      </c>
      <c r="AP263" s="38">
        <f>Table43[[#This Row],[Harga Beli Pcs
(-PPN)]]*Table43[[#This Row],[ISI/CTN]]</f>
        <v>242352</v>
      </c>
      <c r="AQ263" s="38">
        <f>Table43[[#This Row],[Harga Beli Pcs
(-PPN)]]*1.11</f>
        <v>3736.26</v>
      </c>
      <c r="AR263" s="38">
        <f>Table43[[#This Row],[Harga Beli Krt
(- PPN)]]*1.11</f>
        <v>269010.72000000003</v>
      </c>
      <c r="AS263" s="38">
        <v>3600</v>
      </c>
      <c r="AT263" s="38">
        <f>Table43[[#This Row],[Harga Jual Pcs GT
(-PPN)]]*Table43[[#This Row],[ISI/CTN]]</f>
        <v>259200</v>
      </c>
      <c r="AU263" s="38">
        <f>Table43[[#This Row],[Harga Jual Pcs GT
(-PPN)]]*1.11</f>
        <v>3996.0000000000005</v>
      </c>
      <c r="AV263" s="38">
        <f>Table43[[#This Row],[Harga Jual Krt GT
(- PPN)]]*1.11</f>
        <v>287712</v>
      </c>
      <c r="AW263" s="38">
        <f>IFERROR(VLOOKUP(Table43[[#This Row],[Kode Pcpl]],'[1]FEB 2026'!$A$3:$X$312,24,0),0)</f>
        <v>0</v>
      </c>
      <c r="AX263" s="38">
        <f>Table43[[#This Row],[Harga Jual Pcs MT
(-PPN)]]*Table43[[#This Row],[ISI/CTN]]</f>
        <v>0</v>
      </c>
      <c r="AY263" s="38">
        <f>Table43[[#This Row],[Harga Jual Pcs MT
(-PPN)]]*1.11</f>
        <v>0</v>
      </c>
      <c r="AZ263" s="38">
        <f>Table43[[#This Row],[Harga Jual Pcs MT
(+PPN)]]*Table43[[#This Row],[ISI/CTN]]</f>
        <v>0</v>
      </c>
      <c r="BA263" s="46">
        <f>(Table43[[#This Row],[Harga Jual Pcs GT
(-PPN)]]-Table43[[#This Row],[Harga Beli Pcs
(-PPN)]])/Table43[[#This Row],[Harga Jual Pcs GT
(-PPN)]]</f>
        <v>6.5000000000000002E-2</v>
      </c>
      <c r="BB263" s="53">
        <f>Table43[[#This Row],[Harga Jual Pcs MT
(-PPN)]]-Table43[[#This Row],[Harga Beli Pcs
(-PPN)]]</f>
        <v>-3366</v>
      </c>
      <c r="BC263" s="54" t="e">
        <f>Table43[[#This Row],[Column1]]/Table43[[#This Row],[Harga Jual Pcs MT
(-PPN)]]</f>
        <v>#DIV/0!</v>
      </c>
      <c r="BD263" s="52"/>
      <c r="BE263" s="7"/>
      <c r="BF263" s="7" t="str">
        <f ca="1">IF(TODAY()-Table43[[#This Row],[Efektif
Pembuatan]]&gt;60,"Lama","Baru")</f>
        <v>Lama</v>
      </c>
      <c r="BG263" s="7" t="str">
        <f ca="1">IF(TODAY()-Table43[[#This Row],[Efektif Naik Harga]]&lt;30,"Naik","Sama")</f>
        <v>Sama</v>
      </c>
      <c r="BH263" s="7"/>
      <c r="BI263" s="7" t="str">
        <f>IF(Table43[[#This Row],[Kode BARANG Win2]]&lt;&gt;"","IDR","")</f>
        <v>IDR</v>
      </c>
      <c r="BJ263" s="7" t="str">
        <f>CONCATENATE(Table43[[#This Row],[kode  1 Digit
(Nomor)]],Table43[[#This Row],[kode  4 Digit                (Nomor)]])</f>
        <v>0025</v>
      </c>
      <c r="BK263" s="7" t="str">
        <f>Table43[[#This Row],[Nama            Gramasi atau Jumlah Pack per CTN]]</f>
        <v>25S</v>
      </c>
      <c r="BL263" s="7"/>
      <c r="BM263" s="7"/>
      <c r="BN263" s="4" t="str">
        <f>IF(Table43[[#This Row],[SATUAN Fix Win]]&lt;&gt;"","KRT")</f>
        <v>KRT</v>
      </c>
      <c r="BO263" s="4" t="str">
        <f>IF(Table43[[#This Row],[SATUAN Fix Win]]&lt;&gt;"","GD01")</f>
        <v>GD01</v>
      </c>
      <c r="BP263" s="4">
        <f>IF(Table43[[#This Row],[SATUAN Fix Win]]&lt;&gt;"",11611)</f>
        <v>11611</v>
      </c>
      <c r="BQ263" s="4">
        <f>IF(Table43[[#This Row],[SATUAN Fix Win]]&lt;&gt;"",11612)</f>
        <v>11612</v>
      </c>
      <c r="BS263" s="4">
        <f>IF(Table43[[#This Row],[SATUAN Fix Win]]&lt;&gt;"",1)</f>
        <v>1</v>
      </c>
      <c r="BU263" s="4">
        <f>Table43[[#This Row],[ISI/CTN]]</f>
        <v>72</v>
      </c>
    </row>
    <row r="264" spans="1:73">
      <c r="A264" s="4" t="str">
        <f>CONCATENATE(Table43[[#This Row],[Kode BARANG Win2]],Table43[[#This Row],[No. Urut
Item Sama]])</f>
        <v>G1172001003010</v>
      </c>
      <c r="B264" s="7"/>
      <c r="C264" s="31">
        <v>30351010150000</v>
      </c>
      <c r="D264" s="51">
        <v>40039096</v>
      </c>
      <c r="E264" s="27" t="s">
        <v>2007</v>
      </c>
      <c r="F264" s="51">
        <v>30320080030000</v>
      </c>
      <c r="G264" s="51">
        <v>0</v>
      </c>
      <c r="H264" s="27" t="s">
        <v>1292</v>
      </c>
      <c r="I264" s="27">
        <v>72</v>
      </c>
      <c r="J264" s="51" t="s">
        <v>1698</v>
      </c>
      <c r="K264" s="27" t="str">
        <f>Table43[[#This Row],[NamaJenisKemasan]]</f>
        <v>PCS</v>
      </c>
      <c r="L264" s="4" t="str">
        <f>TRIM(CONCATENATE(Table43[[#This Row],[Nama            KLP]]," ",Table43[[#This Row],[Nama            Sub KLP]]))</f>
        <v>MITU BABY WIPES F&amp;C</v>
      </c>
      <c r="M264" s="4" t="str">
        <f>CONCATENATE(Table43[[#This Row],[kode  2 Digit                (hrf+No)]],Table43[[#This Row],[kode  2 Digit                (Nomor)]],Table43[[#This Row],[kode  1 Digit                (Nomor)]])</f>
        <v>G1172</v>
      </c>
      <c r="N264" s="4" t="str">
        <f>IF(AI264="",CONCATENATE(S264,U264,W264,Y264,AA264,AC264,AE264,AG264,Table43[[#This Row],[Tanda Kode Revisi]]),CONCATENATE(S264,U264,W264,Y264,AA264,AC264,AE264,AI264))</f>
        <v>G1172001003010</v>
      </c>
      <c r="O264" s="11">
        <f t="shared" si="6"/>
        <v>14</v>
      </c>
      <c r="P264" s="14" t="str">
        <f>IF(AH264&lt;&gt;"",TRIM(UPPER(CONCATENATE(R264," ",T264," ",V264," ",X264," ",Z264," ",AB264," ","X"," ",Table43[[#This Row],[ISI/CTN]]," ",AH264," ",AD264," ",AF264," ",AJ264))),TRIM(UPPER(CONCATENATE(R264," ",T264," ",V264," ",X264," ",Z264," ",AB264," ","X"," ",Table43[[#This Row],[ISI/CTN]]," ",AD264," ",AF264," ",AJ264))))</f>
        <v>MITU BABY WIPES F&amp;C BLOOMING CHERRY 30S X 72 PCS</v>
      </c>
      <c r="Q264" s="11">
        <f t="shared" si="7"/>
        <v>48</v>
      </c>
      <c r="S264" s="7" t="s">
        <v>34</v>
      </c>
      <c r="T264" s="4" t="s">
        <v>2555</v>
      </c>
      <c r="U264" s="47" t="s">
        <v>2563</v>
      </c>
      <c r="V264" s="48" t="s">
        <v>2327</v>
      </c>
      <c r="W264" s="7">
        <v>2</v>
      </c>
      <c r="X264" s="48"/>
      <c r="Y264" s="47" t="s">
        <v>1116</v>
      </c>
      <c r="Z264" s="4" t="s">
        <v>2356</v>
      </c>
      <c r="AA264" s="49" t="s">
        <v>1115</v>
      </c>
      <c r="AB264" s="4" t="s">
        <v>2290</v>
      </c>
      <c r="AC264" s="49" t="s">
        <v>2617</v>
      </c>
      <c r="AD264" s="4" t="s">
        <v>185</v>
      </c>
      <c r="AE264" s="7">
        <v>1</v>
      </c>
      <c r="AG264" s="7">
        <v>0</v>
      </c>
      <c r="AK264" s="70">
        <f>Table43[[#This Row],[Column4]]</f>
        <v>30320080030000</v>
      </c>
      <c r="AN264" s="7">
        <f>Table43[[#This Row],[ISI/CTN]]</f>
        <v>72</v>
      </c>
      <c r="AO264" s="61">
        <f>Table43[[#This Row],[Harga Jual Pcs GT
(-PPN)]]-(Table43[[#This Row],[Harga Jual Pcs GT
(-PPN)]]*6.5%)</f>
        <v>3366</v>
      </c>
      <c r="AP264" s="61">
        <f>Table43[[#This Row],[Harga Beli Pcs
(-PPN)]]*Table43[[#This Row],[ISI/CTN]]</f>
        <v>242352</v>
      </c>
      <c r="AQ264" s="61">
        <f>Table43[[#This Row],[Harga Beli Pcs
(-PPN)]]*1.11</f>
        <v>3736.26</v>
      </c>
      <c r="AR264" s="61">
        <f>Table43[[#This Row],[Harga Beli Krt
(- PPN)]]*1.11</f>
        <v>269010.72000000003</v>
      </c>
      <c r="AS264" s="61">
        <v>3600</v>
      </c>
      <c r="AT264" s="61">
        <f>Table43[[#This Row],[Harga Jual Pcs GT
(-PPN)]]*Table43[[#This Row],[ISI/CTN]]</f>
        <v>259200</v>
      </c>
      <c r="AU264" s="61">
        <f>Table43[[#This Row],[Harga Jual Pcs GT
(-PPN)]]*1.11</f>
        <v>3996.0000000000005</v>
      </c>
      <c r="AV264" s="61">
        <f>Table43[[#This Row],[Harga Jual Krt GT
(- PPN)]]*1.11</f>
        <v>287712</v>
      </c>
      <c r="AW264" s="61">
        <f>IFERROR(VLOOKUP(Table43[[#This Row],[Kode Pcpl]],'[1]FEB 2026'!$A$3:$X$312,24,0),0)</f>
        <v>0</v>
      </c>
      <c r="AX264" s="61">
        <f>Table43[[#This Row],[Harga Jual Pcs MT
(-PPN)]]*Table43[[#This Row],[ISI/CTN]]</f>
        <v>0</v>
      </c>
      <c r="AY264" s="61">
        <f>Table43[[#This Row],[Harga Jual Pcs MT
(-PPN)]]*1.11</f>
        <v>0</v>
      </c>
      <c r="AZ264" s="61">
        <f>Table43[[#This Row],[Harga Jual Pcs MT
(+PPN)]]*Table43[[#This Row],[ISI/CTN]]</f>
        <v>0</v>
      </c>
      <c r="BA264" s="62">
        <f>(Table43[[#This Row],[Harga Jual Pcs GT
(-PPN)]]-Table43[[#This Row],[Harga Beli Pcs
(-PPN)]])/Table43[[#This Row],[Harga Jual Pcs GT
(-PPN)]]</f>
        <v>6.5000000000000002E-2</v>
      </c>
      <c r="BB264" s="63">
        <f>Table43[[#This Row],[Harga Jual Pcs MT
(-PPN)]]-Table43[[#This Row],[Harga Beli Pcs
(-PPN)]]</f>
        <v>-3366</v>
      </c>
      <c r="BC264" s="64" t="e">
        <f>Table43[[#This Row],[Column1]]/Table43[[#This Row],[Harga Jual Pcs MT
(-PPN)]]</f>
        <v>#DIV/0!</v>
      </c>
      <c r="BD264" s="52"/>
      <c r="BE264" s="7"/>
      <c r="BF264" s="7" t="str">
        <f ca="1">IF(TODAY()-Table43[[#This Row],[Efektif
Pembuatan]]&gt;60,"Lama","Baru")</f>
        <v>Lama</v>
      </c>
      <c r="BG264" s="7" t="str">
        <f ca="1">IF(TODAY()-Table43[[#This Row],[Efektif Naik Harga]]&lt;30,"Naik","Sama")</f>
        <v>Sama</v>
      </c>
      <c r="BH264" s="7"/>
      <c r="BI264" s="7" t="str">
        <f>IF(Table43[[#This Row],[Kode BARANG Win2]]&lt;&gt;"","IDR","")</f>
        <v>IDR</v>
      </c>
      <c r="BJ264" s="7" t="str">
        <f>CONCATENATE(Table43[[#This Row],[kode  1 Digit
(Nomor)]],Table43[[#This Row],[kode  4 Digit                (Nomor)]])</f>
        <v>0030</v>
      </c>
      <c r="BK264" s="7" t="str">
        <f>Table43[[#This Row],[Nama            Gramasi atau Jumlah Pack per CTN]]</f>
        <v>30S</v>
      </c>
      <c r="BL264" s="7"/>
      <c r="BM264" s="7"/>
      <c r="BN264" s="4" t="str">
        <f>IF(Table43[[#This Row],[SATUAN Fix Win]]&lt;&gt;"","KRT")</f>
        <v>KRT</v>
      </c>
      <c r="BO264" s="4" t="str">
        <f>IF(Table43[[#This Row],[SATUAN Fix Win]]&lt;&gt;"","GD01")</f>
        <v>GD01</v>
      </c>
      <c r="BP264" s="4">
        <f>IF(Table43[[#This Row],[SATUAN Fix Win]]&lt;&gt;"",11611)</f>
        <v>11611</v>
      </c>
      <c r="BQ264" s="4">
        <f>IF(Table43[[#This Row],[SATUAN Fix Win]]&lt;&gt;"",11612)</f>
        <v>11612</v>
      </c>
      <c r="BS264" s="4">
        <f>IF(Table43[[#This Row],[SATUAN Fix Win]]&lt;&gt;"",1)</f>
        <v>1</v>
      </c>
      <c r="BU264" s="4">
        <f>Table43[[#This Row],[ISI/CTN]]</f>
        <v>72</v>
      </c>
    </row>
    <row r="265" spans="1:73">
      <c r="A265" s="4" t="str">
        <f>CONCATENATE(Table43[[#This Row],[Kode BARANG Win2]],Table43[[#This Row],[No. Urut
Item Sama]])</f>
        <v>G1172002000410</v>
      </c>
      <c r="B265" s="7"/>
      <c r="C265" s="31">
        <v>30320040040002</v>
      </c>
      <c r="D265" s="51">
        <v>40027231</v>
      </c>
      <c r="E265" s="27" t="s">
        <v>2203</v>
      </c>
      <c r="F265" s="51">
        <v>30320020004000</v>
      </c>
      <c r="G265" s="51">
        <v>0</v>
      </c>
      <c r="H265" s="27" t="s">
        <v>1560</v>
      </c>
      <c r="I265" s="27">
        <v>288</v>
      </c>
      <c r="J265" s="51" t="s">
        <v>1868</v>
      </c>
      <c r="K265" s="27" t="str">
        <f>Table43[[#This Row],[NamaJenisKemasan]]</f>
        <v>PCS</v>
      </c>
      <c r="L265" s="4" t="str">
        <f>TRIM(CONCATENATE(Table43[[#This Row],[Nama            KLP]]," ",Table43[[#This Row],[Nama            Sub KLP]]))</f>
        <v>MITU BABY WIPES F&amp;C</v>
      </c>
      <c r="M265" s="4" t="str">
        <f>CONCATENATE(Table43[[#This Row],[kode  2 Digit                (hrf+No)]],Table43[[#This Row],[kode  2 Digit                (Nomor)]],Table43[[#This Row],[kode  1 Digit                (Nomor)]])</f>
        <v>G1172</v>
      </c>
      <c r="N265" s="4" t="str">
        <f>IF(AI265="",CONCATENATE(S265,U265,W265,Y265,AA265,AC265,AE265,AG265,Table43[[#This Row],[Tanda Kode Revisi]]),CONCATENATE(S265,U265,W265,Y265,AA265,AC265,AE265,AI265))</f>
        <v>G1172002000410</v>
      </c>
      <c r="O265" s="11">
        <f t="shared" si="6"/>
        <v>14</v>
      </c>
      <c r="P265" s="14" t="str">
        <f>IF(AH265&lt;&gt;"",TRIM(UPPER(CONCATENATE(R265," ",T265," ",V265," ",X265," ",Z265," ",AB265," ","X"," ",Table43[[#This Row],[ISI/CTN]]," ",AH265," ",AD265," ",AF265," ",AJ265))),TRIM(UPPER(CONCATENATE(R265," ",T265," ",V265," ",X265," ",Z265," ",AB265," ","X"," ",Table43[[#This Row],[ISI/CTN]]," ",AD265," ",AF265," ",AJ265))))</f>
        <v>MITU BABY WIPES F&amp;C BLOSSOM BERRY 4S X 288 PCS</v>
      </c>
      <c r="Q265" s="11">
        <f t="shared" si="7"/>
        <v>46</v>
      </c>
      <c r="S265" s="7" t="s">
        <v>34</v>
      </c>
      <c r="T265" s="4" t="s">
        <v>2555</v>
      </c>
      <c r="U265" s="47" t="s">
        <v>2563</v>
      </c>
      <c r="V265" s="48" t="s">
        <v>2327</v>
      </c>
      <c r="W265" s="7">
        <v>2</v>
      </c>
      <c r="X265" s="48"/>
      <c r="Y265" s="47" t="s">
        <v>1116</v>
      </c>
      <c r="Z265" s="4" t="s">
        <v>2360</v>
      </c>
      <c r="AA265" s="49" t="s">
        <v>2459</v>
      </c>
      <c r="AB265" s="4" t="s">
        <v>2286</v>
      </c>
      <c r="AC265" s="49" t="s">
        <v>2628</v>
      </c>
      <c r="AD265" s="4" t="s">
        <v>185</v>
      </c>
      <c r="AE265" s="7">
        <v>1</v>
      </c>
      <c r="AG265" s="7">
        <v>0</v>
      </c>
      <c r="AK265" s="70">
        <f>Table43[[#This Row],[Column4]]</f>
        <v>30320020004000</v>
      </c>
      <c r="AN265" s="7">
        <f>Table43[[#This Row],[ISI/CTN]]</f>
        <v>288</v>
      </c>
      <c r="AO265" s="38">
        <f>Table43[[#This Row],[Harga Jual Pcs GT
(-PPN)]]-(Table43[[#This Row],[Harga Jual Pcs GT
(-PPN)]]*6.5%)</f>
        <v>635.79999999999995</v>
      </c>
      <c r="AP265" s="38">
        <f>Table43[[#This Row],[Harga Beli Pcs
(-PPN)]]*Table43[[#This Row],[ISI/CTN]]</f>
        <v>183110.39999999999</v>
      </c>
      <c r="AQ265" s="38">
        <f>Table43[[#This Row],[Harga Beli Pcs
(-PPN)]]*1.11</f>
        <v>705.73800000000006</v>
      </c>
      <c r="AR265" s="38">
        <f>Table43[[#This Row],[Harga Beli Krt
(- PPN)]]*1.11</f>
        <v>203252.54400000002</v>
      </c>
      <c r="AS265" s="38">
        <v>680</v>
      </c>
      <c r="AT265" s="38">
        <f>Table43[[#This Row],[Harga Jual Pcs GT
(-PPN)]]*Table43[[#This Row],[ISI/CTN]]</f>
        <v>195840</v>
      </c>
      <c r="AU265" s="38">
        <f>Table43[[#This Row],[Harga Jual Pcs GT
(-PPN)]]*1.11</f>
        <v>754.80000000000007</v>
      </c>
      <c r="AV265" s="38">
        <f>Table43[[#This Row],[Harga Jual Krt GT
(- PPN)]]*1.11</f>
        <v>217382.40000000002</v>
      </c>
      <c r="AW265" s="38">
        <f>IFERROR(VLOOKUP(Table43[[#This Row],[Kode Pcpl]],'[1]FEB 2026'!$A$3:$X$312,24,0),0)</f>
        <v>0</v>
      </c>
      <c r="AX265" s="38">
        <f>Table43[[#This Row],[Harga Jual Pcs MT
(-PPN)]]*Table43[[#This Row],[ISI/CTN]]</f>
        <v>0</v>
      </c>
      <c r="AY265" s="38">
        <f>Table43[[#This Row],[Harga Jual Pcs MT
(-PPN)]]*1.11</f>
        <v>0</v>
      </c>
      <c r="AZ265" s="38">
        <f>Table43[[#This Row],[Harga Jual Pcs MT
(+PPN)]]*Table43[[#This Row],[ISI/CTN]]</f>
        <v>0</v>
      </c>
      <c r="BA265" s="46">
        <f>(Table43[[#This Row],[Harga Jual Pcs GT
(-PPN)]]-Table43[[#This Row],[Harga Beli Pcs
(-PPN)]])/Table43[[#This Row],[Harga Jual Pcs GT
(-PPN)]]</f>
        <v>6.5000000000000072E-2</v>
      </c>
      <c r="BB265" s="53">
        <f>Table43[[#This Row],[Harga Jual Pcs MT
(-PPN)]]-Table43[[#This Row],[Harga Beli Pcs
(-PPN)]]</f>
        <v>-635.79999999999995</v>
      </c>
      <c r="BC265" s="54" t="e">
        <f>Table43[[#This Row],[Column1]]/Table43[[#This Row],[Harga Jual Pcs MT
(-PPN)]]</f>
        <v>#DIV/0!</v>
      </c>
      <c r="BD265" s="52"/>
      <c r="BE265" s="7"/>
      <c r="BF265" s="7" t="str">
        <f ca="1">IF(TODAY()-Table43[[#This Row],[Efektif
Pembuatan]]&gt;60,"Lama","Baru")</f>
        <v>Lama</v>
      </c>
      <c r="BG265" s="7" t="str">
        <f ca="1">IF(TODAY()-Table43[[#This Row],[Efektif Naik Harga]]&lt;30,"Naik","Sama")</f>
        <v>Sama</v>
      </c>
      <c r="BH265" s="7"/>
      <c r="BI265" s="7" t="str">
        <f>IF(Table43[[#This Row],[Kode BARANG Win2]]&lt;&gt;"","IDR","")</f>
        <v>IDR</v>
      </c>
      <c r="BJ265" s="7" t="str">
        <f>CONCATENATE(Table43[[#This Row],[kode  1 Digit
(Nomor)]],Table43[[#This Row],[kode  4 Digit                (Nomor)]])</f>
        <v>0004</v>
      </c>
      <c r="BK265" s="7" t="str">
        <f>Table43[[#This Row],[Nama            Gramasi atau Jumlah Pack per CTN]]</f>
        <v>4S</v>
      </c>
      <c r="BL265" s="7"/>
      <c r="BM265" s="7"/>
      <c r="BN265" s="4" t="str">
        <f>IF(Table43[[#This Row],[SATUAN Fix Win]]&lt;&gt;"","KRT")</f>
        <v>KRT</v>
      </c>
      <c r="BO265" s="4" t="str">
        <f>IF(Table43[[#This Row],[SATUAN Fix Win]]&lt;&gt;"","GD01")</f>
        <v>GD01</v>
      </c>
      <c r="BP265" s="4">
        <f>IF(Table43[[#This Row],[SATUAN Fix Win]]&lt;&gt;"",11611)</f>
        <v>11611</v>
      </c>
      <c r="BQ265" s="4">
        <f>IF(Table43[[#This Row],[SATUAN Fix Win]]&lt;&gt;"",11612)</f>
        <v>11612</v>
      </c>
      <c r="BS265" s="4">
        <f>IF(Table43[[#This Row],[SATUAN Fix Win]]&lt;&gt;"",1)</f>
        <v>1</v>
      </c>
      <c r="BU265" s="4">
        <f>Table43[[#This Row],[ISI/CTN]]</f>
        <v>288</v>
      </c>
    </row>
    <row r="266" spans="1:73">
      <c r="A266" s="4" t="str">
        <f>CONCATENATE(Table43[[#This Row],[Kode BARANG Win2]],Table43[[#This Row],[No. Urut
Item Sama]])</f>
        <v>G1172002000410</v>
      </c>
      <c r="B266" s="7"/>
      <c r="C266" s="31">
        <v>30320050025000</v>
      </c>
      <c r="D266" s="51">
        <v>40058365</v>
      </c>
      <c r="E266" s="27" t="s">
        <v>2203</v>
      </c>
      <c r="F266" s="51">
        <v>31320030004000</v>
      </c>
      <c r="G266" s="51">
        <v>0</v>
      </c>
      <c r="H266" s="27" t="s">
        <v>1561</v>
      </c>
      <c r="I266" s="27">
        <v>288</v>
      </c>
      <c r="J266" s="51" t="s">
        <v>1868</v>
      </c>
      <c r="K266" s="27" t="str">
        <f>Table43[[#This Row],[NamaJenisKemasan]]</f>
        <v>PCS</v>
      </c>
      <c r="L266" s="4" t="str">
        <f>TRIM(CONCATENATE(Table43[[#This Row],[Nama            KLP]]," ",Table43[[#This Row],[Nama            Sub KLP]]))</f>
        <v>MITU BABY WIPES F&amp;C</v>
      </c>
      <c r="M266" s="4" t="str">
        <f>CONCATENATE(Table43[[#This Row],[kode  2 Digit                (hrf+No)]],Table43[[#This Row],[kode  2 Digit                (Nomor)]],Table43[[#This Row],[kode  1 Digit                (Nomor)]])</f>
        <v>G1172</v>
      </c>
      <c r="N266" s="4" t="str">
        <f>IF(AI266="",CONCATENATE(S266,U266,W266,Y266,AA266,AC266,AE266,AG266,Table43[[#This Row],[Tanda Kode Revisi]]),CONCATENATE(S266,U266,W266,Y266,AA266,AC266,AE266,AI266))</f>
        <v>G1172002000410</v>
      </c>
      <c r="O266" s="11">
        <f t="shared" si="6"/>
        <v>14</v>
      </c>
      <c r="P266" s="14" t="str">
        <f>IF(AH266&lt;&gt;"",TRIM(UPPER(CONCATENATE(R266," ",T266," ",V266," ",X266," ",Z266," ",AB266," ","X"," ",Table43[[#This Row],[ISI/CTN]]," ",AH266," ",AD266," ",AF266," ",AJ266))),TRIM(UPPER(CONCATENATE(R266," ",T266," ",V266," ",X266," ",Z266," ",AB266," ","X"," ",Table43[[#This Row],[ISI/CTN]]," ",AD266," ",AF266," ",AJ266))))</f>
        <v>MITU BABY WIPES F&amp;C BLOSSOM BERRY 4S X 288 PCS</v>
      </c>
      <c r="Q266" s="11">
        <f t="shared" si="7"/>
        <v>46</v>
      </c>
      <c r="S266" s="7" t="s">
        <v>34</v>
      </c>
      <c r="T266" s="4" t="s">
        <v>2555</v>
      </c>
      <c r="U266" s="47" t="s">
        <v>2563</v>
      </c>
      <c r="V266" s="48" t="s">
        <v>2327</v>
      </c>
      <c r="W266" s="7">
        <v>2</v>
      </c>
      <c r="X266" s="48"/>
      <c r="Y266" s="47" t="s">
        <v>1116</v>
      </c>
      <c r="Z266" s="4" t="s">
        <v>2360</v>
      </c>
      <c r="AA266" s="49" t="s">
        <v>2459</v>
      </c>
      <c r="AB266" s="4" t="s">
        <v>2286</v>
      </c>
      <c r="AC266" s="49" t="s">
        <v>2628</v>
      </c>
      <c r="AD266" s="4" t="s">
        <v>185</v>
      </c>
      <c r="AE266" s="7">
        <v>1</v>
      </c>
      <c r="AG266" s="7">
        <v>0</v>
      </c>
      <c r="AK266" s="70">
        <f>Table43[[#This Row],[Column4]]</f>
        <v>31320030004000</v>
      </c>
      <c r="AN266" s="7">
        <f>Table43[[#This Row],[ISI/CTN]]</f>
        <v>288</v>
      </c>
      <c r="AO266" s="38">
        <f>Table43[[#This Row],[Harga Jual Pcs GT
(-PPN)]]-(Table43[[#This Row],[Harga Jual Pcs GT
(-PPN)]]*6.5%)</f>
        <v>635.79999999999995</v>
      </c>
      <c r="AP266" s="38">
        <f>Table43[[#This Row],[Harga Beli Pcs
(-PPN)]]*Table43[[#This Row],[ISI/CTN]]</f>
        <v>183110.39999999999</v>
      </c>
      <c r="AQ266" s="38">
        <f>Table43[[#This Row],[Harga Beli Pcs
(-PPN)]]*1.11</f>
        <v>705.73800000000006</v>
      </c>
      <c r="AR266" s="38">
        <f>Table43[[#This Row],[Harga Beli Krt
(- PPN)]]*1.11</f>
        <v>203252.54400000002</v>
      </c>
      <c r="AS266" s="38">
        <v>680</v>
      </c>
      <c r="AT266" s="38">
        <f>Table43[[#This Row],[Harga Jual Pcs GT
(-PPN)]]*Table43[[#This Row],[ISI/CTN]]</f>
        <v>195840</v>
      </c>
      <c r="AU266" s="38">
        <f>Table43[[#This Row],[Harga Jual Pcs GT
(-PPN)]]*1.11</f>
        <v>754.80000000000007</v>
      </c>
      <c r="AV266" s="38">
        <f>Table43[[#This Row],[Harga Jual Krt GT
(- PPN)]]*1.11</f>
        <v>217382.40000000002</v>
      </c>
      <c r="AW266" s="38">
        <f>IFERROR(VLOOKUP(Table43[[#This Row],[Kode Pcpl]],'[1]FEB 2026'!$A$3:$X$312,24,0),0)</f>
        <v>0</v>
      </c>
      <c r="AX266" s="38">
        <f>Table43[[#This Row],[Harga Jual Pcs MT
(-PPN)]]*Table43[[#This Row],[ISI/CTN]]</f>
        <v>0</v>
      </c>
      <c r="AY266" s="38">
        <f>Table43[[#This Row],[Harga Jual Pcs MT
(-PPN)]]*1.11</f>
        <v>0</v>
      </c>
      <c r="AZ266" s="38">
        <f>Table43[[#This Row],[Harga Jual Pcs MT
(+PPN)]]*Table43[[#This Row],[ISI/CTN]]</f>
        <v>0</v>
      </c>
      <c r="BA266" s="46">
        <f>(Table43[[#This Row],[Harga Jual Pcs GT
(-PPN)]]-Table43[[#This Row],[Harga Beli Pcs
(-PPN)]])/Table43[[#This Row],[Harga Jual Pcs GT
(-PPN)]]</f>
        <v>6.5000000000000072E-2</v>
      </c>
      <c r="BB266" s="53">
        <f>Table43[[#This Row],[Harga Jual Pcs MT
(-PPN)]]-Table43[[#This Row],[Harga Beli Pcs
(-PPN)]]</f>
        <v>-635.79999999999995</v>
      </c>
      <c r="BC266" s="54" t="e">
        <f>Table43[[#This Row],[Column1]]/Table43[[#This Row],[Harga Jual Pcs MT
(-PPN)]]</f>
        <v>#DIV/0!</v>
      </c>
      <c r="BD266" s="52"/>
      <c r="BE266" s="7"/>
      <c r="BF266" s="7" t="str">
        <f ca="1">IF(TODAY()-Table43[[#This Row],[Efektif
Pembuatan]]&gt;60,"Lama","Baru")</f>
        <v>Lama</v>
      </c>
      <c r="BG266" s="7" t="str">
        <f ca="1">IF(TODAY()-Table43[[#This Row],[Efektif Naik Harga]]&lt;30,"Naik","Sama")</f>
        <v>Sama</v>
      </c>
      <c r="BH266" s="7"/>
      <c r="BI266" s="7" t="str">
        <f>IF(Table43[[#This Row],[Kode BARANG Win2]]&lt;&gt;"","IDR","")</f>
        <v>IDR</v>
      </c>
      <c r="BJ266" s="7" t="str">
        <f>CONCATENATE(Table43[[#This Row],[kode  1 Digit
(Nomor)]],Table43[[#This Row],[kode  4 Digit                (Nomor)]])</f>
        <v>0004</v>
      </c>
      <c r="BK266" s="7" t="str">
        <f>Table43[[#This Row],[Nama            Gramasi atau Jumlah Pack per CTN]]</f>
        <v>4S</v>
      </c>
      <c r="BL266" s="7"/>
      <c r="BM266" s="7"/>
      <c r="BN266" s="4" t="str">
        <f>IF(Table43[[#This Row],[SATUAN Fix Win]]&lt;&gt;"","KRT")</f>
        <v>KRT</v>
      </c>
      <c r="BO266" s="4" t="str">
        <f>IF(Table43[[#This Row],[SATUAN Fix Win]]&lt;&gt;"","GD01")</f>
        <v>GD01</v>
      </c>
      <c r="BP266" s="4">
        <f>IF(Table43[[#This Row],[SATUAN Fix Win]]&lt;&gt;"",11611)</f>
        <v>11611</v>
      </c>
      <c r="BQ266" s="4">
        <f>IF(Table43[[#This Row],[SATUAN Fix Win]]&lt;&gt;"",11612)</f>
        <v>11612</v>
      </c>
      <c r="BS266" s="4">
        <f>IF(Table43[[#This Row],[SATUAN Fix Win]]&lt;&gt;"",1)</f>
        <v>1</v>
      </c>
      <c r="BU266" s="4">
        <f>Table43[[#This Row],[ISI/CTN]]</f>
        <v>288</v>
      </c>
    </row>
    <row r="267" spans="1:73">
      <c r="A267" s="4" t="str">
        <f>CONCATENATE(Table43[[#This Row],[Kode BARANG Win2]],Table43[[#This Row],[No. Urut
Item Sama]])</f>
        <v>G1172002001011</v>
      </c>
      <c r="B267" s="7"/>
      <c r="C267" s="31">
        <v>30320080030000</v>
      </c>
      <c r="D267" s="51">
        <v>40027233</v>
      </c>
      <c r="E267" s="27" t="s">
        <v>1997</v>
      </c>
      <c r="F267" s="51">
        <v>30320020010001</v>
      </c>
      <c r="G267" s="51">
        <v>0</v>
      </c>
      <c r="H267" s="27" t="s">
        <v>1281</v>
      </c>
      <c r="I267" s="27">
        <v>144</v>
      </c>
      <c r="J267" s="51" t="s">
        <v>1688</v>
      </c>
      <c r="K267" s="27" t="str">
        <f>Table43[[#This Row],[NamaJenisKemasan]]</f>
        <v>PCS</v>
      </c>
      <c r="L267" s="4" t="str">
        <f>TRIM(CONCATENATE(Table43[[#This Row],[Nama            KLP]]," ",Table43[[#This Row],[Nama            Sub KLP]]))</f>
        <v>MITU BABY WIPES F&amp;C</v>
      </c>
      <c r="M267" s="4" t="str">
        <f>CONCATENATE(Table43[[#This Row],[kode  2 Digit                (hrf+No)]],Table43[[#This Row],[kode  2 Digit                (Nomor)]],Table43[[#This Row],[kode  1 Digit                (Nomor)]])</f>
        <v>G1172</v>
      </c>
      <c r="N267" s="4" t="str">
        <f>IF(AI267="",CONCATENATE(S267,U267,W267,Y267,AA267,AC267,AE267,AG267,Table43[[#This Row],[Tanda Kode Revisi]]),CONCATENATE(S267,U267,W267,Y267,AA267,AC267,AE267,AI267))</f>
        <v>G1172002001011</v>
      </c>
      <c r="O267" s="11">
        <f t="shared" si="6"/>
        <v>14</v>
      </c>
      <c r="P267" s="14" t="str">
        <f>IF(AH267&lt;&gt;"",TRIM(UPPER(CONCATENATE(R267," ",T267," ",V267," ",X267," ",Z267," ",AB267," ","X"," ",Table43[[#This Row],[ISI/CTN]]," ",AH267," ",AD267," ",AF267," ",AJ267))),TRIM(UPPER(CONCATENATE(R267," ",T267," ",V267," ",X267," ",Z267," ",AB267," ","X"," ",Table43[[#This Row],[ISI/CTN]]," ",AD267," ",AF267," ",AJ267))))</f>
        <v>MITU BABY WIPES F&amp;C BLOSSOM BERRY 10S X 144 PCS BOGOF</v>
      </c>
      <c r="Q267" s="11">
        <f t="shared" si="7"/>
        <v>53</v>
      </c>
      <c r="S267" s="7" t="s">
        <v>34</v>
      </c>
      <c r="T267" s="4" t="s">
        <v>2555</v>
      </c>
      <c r="U267" s="47" t="s">
        <v>2563</v>
      </c>
      <c r="V267" s="48" t="s">
        <v>2327</v>
      </c>
      <c r="W267" s="7">
        <v>2</v>
      </c>
      <c r="X267" s="48"/>
      <c r="Y267" s="47" t="s">
        <v>1116</v>
      </c>
      <c r="Z267" s="4" t="s">
        <v>2360</v>
      </c>
      <c r="AA267" s="49" t="s">
        <v>2459</v>
      </c>
      <c r="AB267" s="4" t="s">
        <v>2284</v>
      </c>
      <c r="AC267" s="49" t="s">
        <v>2592</v>
      </c>
      <c r="AD267" s="4" t="s">
        <v>185</v>
      </c>
      <c r="AE267" s="7">
        <v>1</v>
      </c>
      <c r="AF267" s="4" t="s">
        <v>2338</v>
      </c>
      <c r="AG267" s="7">
        <v>1</v>
      </c>
      <c r="AK267" s="70">
        <f>Table43[[#This Row],[Column4]]</f>
        <v>30320020010001</v>
      </c>
      <c r="AN267" s="7">
        <f>Table43[[#This Row],[ISI/CTN]]</f>
        <v>144</v>
      </c>
      <c r="AO267" s="61">
        <f>Table43[[#This Row],[Harga Jual Pcs GT
(-PPN)]]-(Table43[[#This Row],[Harga Jual Pcs GT
(-PPN)]]*6.5%)</f>
        <v>4095.3</v>
      </c>
      <c r="AP267" s="61">
        <f>Table43[[#This Row],[Harga Beli Pcs
(-PPN)]]*Table43[[#This Row],[ISI/CTN]]</f>
        <v>589723.20000000007</v>
      </c>
      <c r="AQ267" s="61">
        <f>Table43[[#This Row],[Harga Beli Pcs
(-PPN)]]*1.11</f>
        <v>4545.7830000000004</v>
      </c>
      <c r="AR267" s="61">
        <f>Table43[[#This Row],[Harga Beli Krt
(- PPN)]]*1.11</f>
        <v>654592.75200000009</v>
      </c>
      <c r="AS267" s="61">
        <v>4380</v>
      </c>
      <c r="AT267" s="61">
        <f>Table43[[#This Row],[Harga Jual Pcs GT
(-PPN)]]*Table43[[#This Row],[ISI/CTN]]</f>
        <v>630720</v>
      </c>
      <c r="AU267" s="61">
        <f>Table43[[#This Row],[Harga Jual Pcs GT
(-PPN)]]*1.11</f>
        <v>4861.8</v>
      </c>
      <c r="AV267" s="61">
        <f>Table43[[#This Row],[Harga Jual Krt GT
(- PPN)]]*1.11</f>
        <v>700099.20000000007</v>
      </c>
      <c r="AW267" s="61">
        <f>IFERROR(VLOOKUP(Table43[[#This Row],[Kode Pcpl]],'[1]FEB 2026'!$A$3:$X$312,24,0),0)</f>
        <v>0</v>
      </c>
      <c r="AX267" s="61">
        <f>Table43[[#This Row],[Harga Jual Pcs MT
(-PPN)]]*Table43[[#This Row],[ISI/CTN]]</f>
        <v>0</v>
      </c>
      <c r="AY267" s="61">
        <f>Table43[[#This Row],[Harga Jual Pcs MT
(-PPN)]]*1.11</f>
        <v>0</v>
      </c>
      <c r="AZ267" s="61">
        <f>Table43[[#This Row],[Harga Jual Pcs MT
(+PPN)]]*Table43[[#This Row],[ISI/CTN]]</f>
        <v>0</v>
      </c>
      <c r="BA267" s="62">
        <f>(Table43[[#This Row],[Harga Jual Pcs GT
(-PPN)]]-Table43[[#This Row],[Harga Beli Pcs
(-PPN)]])/Table43[[#This Row],[Harga Jual Pcs GT
(-PPN)]]</f>
        <v>6.4999999999999961E-2</v>
      </c>
      <c r="BB267" s="63">
        <f>Table43[[#This Row],[Harga Jual Pcs MT
(-PPN)]]-Table43[[#This Row],[Harga Beli Pcs
(-PPN)]]</f>
        <v>-4095.3</v>
      </c>
      <c r="BC267" s="64" t="e">
        <f>Table43[[#This Row],[Column1]]/Table43[[#This Row],[Harga Jual Pcs MT
(-PPN)]]</f>
        <v>#DIV/0!</v>
      </c>
      <c r="BD267" s="52"/>
      <c r="BE267" s="7"/>
      <c r="BF267" s="7" t="str">
        <f ca="1">IF(TODAY()-Table43[[#This Row],[Efektif
Pembuatan]]&gt;60,"Lama","Baru")</f>
        <v>Lama</v>
      </c>
      <c r="BG267" s="7" t="str">
        <f ca="1">IF(TODAY()-Table43[[#This Row],[Efektif Naik Harga]]&lt;30,"Naik","Sama")</f>
        <v>Sama</v>
      </c>
      <c r="BH267" s="7"/>
      <c r="BI267" s="7" t="str">
        <f>IF(Table43[[#This Row],[Kode BARANG Win2]]&lt;&gt;"","IDR","")</f>
        <v>IDR</v>
      </c>
      <c r="BJ267" s="7" t="str">
        <f>CONCATENATE(Table43[[#This Row],[kode  1 Digit
(Nomor)]],Table43[[#This Row],[kode  4 Digit                (Nomor)]])</f>
        <v>0010</v>
      </c>
      <c r="BK267" s="7" t="str">
        <f>Table43[[#This Row],[Nama            Gramasi atau Jumlah Pack per CTN]]</f>
        <v>10S</v>
      </c>
      <c r="BL267" s="7"/>
      <c r="BM267" s="7"/>
      <c r="BN267" s="4" t="str">
        <f>IF(Table43[[#This Row],[SATUAN Fix Win]]&lt;&gt;"","KRT")</f>
        <v>KRT</v>
      </c>
      <c r="BO267" s="4" t="str">
        <f>IF(Table43[[#This Row],[SATUAN Fix Win]]&lt;&gt;"","GD01")</f>
        <v>GD01</v>
      </c>
      <c r="BP267" s="4">
        <f>IF(Table43[[#This Row],[SATUAN Fix Win]]&lt;&gt;"",11611)</f>
        <v>11611</v>
      </c>
      <c r="BQ267" s="4">
        <f>IF(Table43[[#This Row],[SATUAN Fix Win]]&lt;&gt;"",11612)</f>
        <v>11612</v>
      </c>
      <c r="BS267" s="4">
        <f>IF(Table43[[#This Row],[SATUAN Fix Win]]&lt;&gt;"",1)</f>
        <v>1</v>
      </c>
      <c r="BU267" s="4">
        <f>Table43[[#This Row],[ISI/CTN]]</f>
        <v>144</v>
      </c>
    </row>
    <row r="268" spans="1:73">
      <c r="A268" s="4" t="str">
        <f>CONCATENATE(Table43[[#This Row],[Kode BARANG Win2]],Table43[[#This Row],[No. Urut
Item Sama]])</f>
        <v>G1172002002010</v>
      </c>
      <c r="B268" s="7"/>
      <c r="C268" s="31">
        <v>30320020020000</v>
      </c>
      <c r="D268" s="51">
        <v>40027235</v>
      </c>
      <c r="E268" s="66" t="s">
        <v>2488</v>
      </c>
      <c r="F268" s="68">
        <v>30320020020000</v>
      </c>
      <c r="G268" s="68">
        <v>0</v>
      </c>
      <c r="H268" s="27">
        <v>0</v>
      </c>
      <c r="I268" s="27">
        <v>72</v>
      </c>
      <c r="J268" s="51">
        <v>0</v>
      </c>
      <c r="K268" s="27" t="str">
        <f>Table43[[#This Row],[NamaJenisKemasan]]</f>
        <v>PCS</v>
      </c>
      <c r="L268" s="4" t="str">
        <f>TRIM(CONCATENATE(Table43[[#This Row],[Nama            KLP]]," ",Table43[[#This Row],[Nama            Sub KLP]]))</f>
        <v>MITU BABY WIPES F&amp;C</v>
      </c>
      <c r="M268" s="4" t="str">
        <f>CONCATENATE(Table43[[#This Row],[kode  2 Digit                (hrf+No)]],Table43[[#This Row],[kode  2 Digit                (Nomor)]],Table43[[#This Row],[kode  1 Digit                (Nomor)]])</f>
        <v>G1172</v>
      </c>
      <c r="N268" s="4" t="str">
        <f>IF(AI268="",CONCATENATE(S268,U268,W268,Y268,AA268,AC268,AE268,AG268,Table43[[#This Row],[Tanda Kode Revisi]]),CONCATENATE(S268,U268,W268,Y268,AA268,AC268,AE268,AI268))</f>
        <v>G1172002002010</v>
      </c>
      <c r="O268" s="11">
        <f t="shared" si="6"/>
        <v>14</v>
      </c>
      <c r="P268" s="14" t="str">
        <f>IF(AH268&lt;&gt;"",TRIM(UPPER(CONCATENATE(R268," ",T268," ",V268," ",X268," ",Z268," ",AB268," ","X"," ",Table43[[#This Row],[ISI/CTN]]," ",AH268," ",AD268," ",AF268," ",AJ268))),TRIM(UPPER(CONCATENATE(R268," ",T268," ",V268," ",X268," ",Z268," ",AB268," ","X"," ",Table43[[#This Row],[ISI/CTN]]," ",AD268," ",AF268," ",AJ268))))</f>
        <v>MITU BABY WIPES F&amp;C BLOSSOM BERRY 20S X 72 PCS</v>
      </c>
      <c r="Q268" s="11">
        <f t="shared" si="7"/>
        <v>46</v>
      </c>
      <c r="S268" s="7" t="s">
        <v>34</v>
      </c>
      <c r="T268" s="4" t="s">
        <v>2555</v>
      </c>
      <c r="U268" s="47" t="s">
        <v>2563</v>
      </c>
      <c r="V268" s="48" t="s">
        <v>2327</v>
      </c>
      <c r="W268" s="7">
        <v>2</v>
      </c>
      <c r="X268" s="48"/>
      <c r="Y268" s="47" t="s">
        <v>1116</v>
      </c>
      <c r="Z268" s="4" t="s">
        <v>2360</v>
      </c>
      <c r="AA268" s="49" t="s">
        <v>2459</v>
      </c>
      <c r="AB268" s="4" t="s">
        <v>2357</v>
      </c>
      <c r="AC268" s="49" t="s">
        <v>2607</v>
      </c>
      <c r="AD268" s="4" t="s">
        <v>185</v>
      </c>
      <c r="AE268" s="7">
        <v>1</v>
      </c>
      <c r="AG268" s="7">
        <v>0</v>
      </c>
      <c r="AK268" s="70">
        <f>Table43[[#This Row],[Column4]]</f>
        <v>30320020020000</v>
      </c>
      <c r="AN268" s="7">
        <f>Table43[[#This Row],[ISI/CTN]]</f>
        <v>72</v>
      </c>
      <c r="AO268" s="38">
        <f>Table43[[#This Row],[Harga Jual Pcs GT
(-PPN)]]-(Table43[[#This Row],[Harga Jual Pcs GT
(-PPN)]]*6.5%)</f>
        <v>3833.5</v>
      </c>
      <c r="AP268" s="38">
        <f>Table43[[#This Row],[Harga Beli Pcs
(-PPN)]]*Table43[[#This Row],[ISI/CTN]]</f>
        <v>276012</v>
      </c>
      <c r="AQ268" s="38">
        <f>Table43[[#This Row],[Harga Beli Pcs
(-PPN)]]*1.11</f>
        <v>4255.1850000000004</v>
      </c>
      <c r="AR268" s="38">
        <f>Table43[[#This Row],[Harga Beli Krt
(- PPN)]]*1.11</f>
        <v>306373.32</v>
      </c>
      <c r="AS268" s="38">
        <v>4100</v>
      </c>
      <c r="AT268" s="38">
        <f>Table43[[#This Row],[Harga Jual Pcs GT
(-PPN)]]*Table43[[#This Row],[ISI/CTN]]</f>
        <v>295200</v>
      </c>
      <c r="AU268" s="38">
        <f>Table43[[#This Row],[Harga Jual Pcs GT
(-PPN)]]*1.11</f>
        <v>4551</v>
      </c>
      <c r="AV268" s="38">
        <f>Table43[[#This Row],[Harga Jual Krt GT
(- PPN)]]*1.11</f>
        <v>327672</v>
      </c>
      <c r="AW268" s="38">
        <f>IFERROR(VLOOKUP(Table43[[#This Row],[Kode Pcpl]],'[1]FEB 2026'!$A$3:$X$312,24,0),0)</f>
        <v>0</v>
      </c>
      <c r="AX268" s="38">
        <f>Table43[[#This Row],[Harga Jual Pcs MT
(-PPN)]]*Table43[[#This Row],[ISI/CTN]]</f>
        <v>0</v>
      </c>
      <c r="AY268" s="38">
        <f>Table43[[#This Row],[Harga Jual Pcs MT
(-PPN)]]*1.11</f>
        <v>0</v>
      </c>
      <c r="AZ268" s="38">
        <f>Table43[[#This Row],[Harga Jual Pcs MT
(+PPN)]]*Table43[[#This Row],[ISI/CTN]]</f>
        <v>0</v>
      </c>
      <c r="BA268" s="46">
        <f>(Table43[[#This Row],[Harga Jual Pcs GT
(-PPN)]]-Table43[[#This Row],[Harga Beli Pcs
(-PPN)]])/Table43[[#This Row],[Harga Jual Pcs GT
(-PPN)]]</f>
        <v>6.5000000000000002E-2</v>
      </c>
      <c r="BB268" s="53">
        <f>Table43[[#This Row],[Harga Jual Pcs MT
(-PPN)]]-Table43[[#This Row],[Harga Beli Pcs
(-PPN)]]</f>
        <v>-3833.5</v>
      </c>
      <c r="BC268" s="54" t="e">
        <f>Table43[[#This Row],[Column1]]/Table43[[#This Row],[Harga Jual Pcs MT
(-PPN)]]</f>
        <v>#DIV/0!</v>
      </c>
      <c r="BD268" s="52"/>
      <c r="BE268" s="7"/>
      <c r="BF268" s="7" t="str">
        <f ca="1">IF(TODAY()-Table43[[#This Row],[Efektif
Pembuatan]]&gt;60,"Lama","Baru")</f>
        <v>Lama</v>
      </c>
      <c r="BG268" s="7" t="str">
        <f ca="1">IF(TODAY()-Table43[[#This Row],[Efektif Naik Harga]]&lt;30,"Naik","Sama")</f>
        <v>Sama</v>
      </c>
      <c r="BH268" s="7"/>
      <c r="BI268" s="7" t="str">
        <f>IF(Table43[[#This Row],[Kode BARANG Win2]]&lt;&gt;"","IDR","")</f>
        <v>IDR</v>
      </c>
      <c r="BJ268" s="7" t="str">
        <f>CONCATENATE(Table43[[#This Row],[kode  1 Digit
(Nomor)]],Table43[[#This Row],[kode  4 Digit                (Nomor)]])</f>
        <v>0020</v>
      </c>
      <c r="BK268" s="7" t="str">
        <f>Table43[[#This Row],[Nama            Gramasi atau Jumlah Pack per CTN]]</f>
        <v>20S</v>
      </c>
      <c r="BL268" s="7"/>
      <c r="BM268" s="7"/>
      <c r="BN268" s="4" t="str">
        <f>IF(Table43[[#This Row],[SATUAN Fix Win]]&lt;&gt;"","KRT")</f>
        <v>KRT</v>
      </c>
      <c r="BO268" s="4" t="str">
        <f>IF(Table43[[#This Row],[SATUAN Fix Win]]&lt;&gt;"","GD01")</f>
        <v>GD01</v>
      </c>
      <c r="BP268" s="4">
        <f>IF(Table43[[#This Row],[SATUAN Fix Win]]&lt;&gt;"",11611)</f>
        <v>11611</v>
      </c>
      <c r="BQ268" s="4">
        <f>IF(Table43[[#This Row],[SATUAN Fix Win]]&lt;&gt;"",11612)</f>
        <v>11612</v>
      </c>
      <c r="BS268" s="4">
        <f>IF(Table43[[#This Row],[SATUAN Fix Win]]&lt;&gt;"",1)</f>
        <v>1</v>
      </c>
      <c r="BU268" s="4">
        <f>Table43[[#This Row],[ISI/CTN]]</f>
        <v>72</v>
      </c>
    </row>
    <row r="269" spans="1:73">
      <c r="A269" s="4" t="str">
        <f>CONCATENATE(Table43[[#This Row],[Kode BARANG Win2]],Table43[[#This Row],[No. Urut
Item Sama]])</f>
        <v>G1172002002410</v>
      </c>
      <c r="B269" s="7"/>
      <c r="C269" s="31">
        <v>30320020024000</v>
      </c>
      <c r="D269" s="51">
        <v>40027237</v>
      </c>
      <c r="E269" s="66" t="s">
        <v>2464</v>
      </c>
      <c r="F269" s="68">
        <v>30320020024000</v>
      </c>
      <c r="G269" s="68">
        <v>0</v>
      </c>
      <c r="H269" s="27">
        <v>0</v>
      </c>
      <c r="I269" s="27">
        <v>36</v>
      </c>
      <c r="J269" s="51">
        <v>0</v>
      </c>
      <c r="K269" s="27" t="str">
        <f>Table43[[#This Row],[NamaJenisKemasan]]</f>
        <v>PCS</v>
      </c>
      <c r="L269" s="4" t="str">
        <f>TRIM(CONCATENATE(Table43[[#This Row],[Nama            KLP]]," ",Table43[[#This Row],[Nama            Sub KLP]]))</f>
        <v>MITU BABY WIPES F&amp;C</v>
      </c>
      <c r="M269" s="4" t="str">
        <f>CONCATENATE(Table43[[#This Row],[kode  2 Digit                (hrf+No)]],Table43[[#This Row],[kode  2 Digit                (Nomor)]],Table43[[#This Row],[kode  1 Digit                (Nomor)]])</f>
        <v>G1172</v>
      </c>
      <c r="N269" s="4" t="str">
        <f>IF(AI269="",CONCATENATE(S269,U269,W269,Y269,AA269,AC269,AE269,AG269,Table43[[#This Row],[Tanda Kode Revisi]]),CONCATENATE(S269,U269,W269,Y269,AA269,AC269,AE269,AI269))</f>
        <v>G1172002002410</v>
      </c>
      <c r="O269" s="11">
        <f t="shared" si="6"/>
        <v>14</v>
      </c>
      <c r="P269" s="14" t="str">
        <f>IF(AH269&lt;&gt;"",TRIM(UPPER(CONCATENATE(R269," ",T269," ",V269," ",X269," ",Z269," ",AB269," ","X"," ",Table43[[#This Row],[ISI/CTN]]," ",AH269," ",AD269," ",AF269," ",AJ269))),TRIM(UPPER(CONCATENATE(R269," ",T269," ",V269," ",X269," ",Z269," ",AB269," ","X"," ",Table43[[#This Row],[ISI/CTN]]," ",AD269," ",AF269," ",AJ269))))</f>
        <v>MITU BABY WIPES F&amp;C BLOSSOM BERRY 24S X 36 PCS</v>
      </c>
      <c r="Q269" s="11">
        <f t="shared" si="7"/>
        <v>46</v>
      </c>
      <c r="S269" s="7" t="s">
        <v>34</v>
      </c>
      <c r="T269" s="4" t="s">
        <v>2555</v>
      </c>
      <c r="U269" s="47" t="s">
        <v>2563</v>
      </c>
      <c r="V269" s="48" t="s">
        <v>2327</v>
      </c>
      <c r="W269" s="7">
        <v>2</v>
      </c>
      <c r="X269" s="48"/>
      <c r="Y269" s="47" t="s">
        <v>1116</v>
      </c>
      <c r="Z269" s="4" t="s">
        <v>2360</v>
      </c>
      <c r="AA269" s="49" t="s">
        <v>2459</v>
      </c>
      <c r="AB269" s="4" t="s">
        <v>2523</v>
      </c>
      <c r="AC269" s="49" t="s">
        <v>2612</v>
      </c>
      <c r="AD269" s="4" t="s">
        <v>185</v>
      </c>
      <c r="AE269" s="7">
        <v>1</v>
      </c>
      <c r="AG269" s="7">
        <v>0</v>
      </c>
      <c r="AK269" s="70">
        <f>Table43[[#This Row],[Column4]]</f>
        <v>30320020024000</v>
      </c>
      <c r="AN269" s="7">
        <f>Table43[[#This Row],[ISI/CTN]]</f>
        <v>36</v>
      </c>
      <c r="AO269" s="38">
        <f>Table43[[#This Row],[Harga Jual Pcs GT
(-PPN)]]-(Table43[[#This Row],[Harga Jual Pcs GT
(-PPN)]]*6.5%)</f>
        <v>3366</v>
      </c>
      <c r="AP269" s="38">
        <f>Table43[[#This Row],[Harga Beli Pcs
(-PPN)]]*Table43[[#This Row],[ISI/CTN]]</f>
        <v>121176</v>
      </c>
      <c r="AQ269" s="38">
        <f>Table43[[#This Row],[Harga Beli Pcs
(-PPN)]]*1.11</f>
        <v>3736.26</v>
      </c>
      <c r="AR269" s="38">
        <f>Table43[[#This Row],[Harga Beli Krt
(- PPN)]]*1.11</f>
        <v>134505.36000000002</v>
      </c>
      <c r="AS269" s="38">
        <v>3600</v>
      </c>
      <c r="AT269" s="38">
        <f>Table43[[#This Row],[Harga Jual Pcs GT
(-PPN)]]*Table43[[#This Row],[ISI/CTN]]</f>
        <v>129600</v>
      </c>
      <c r="AU269" s="38">
        <f>Table43[[#This Row],[Harga Jual Pcs GT
(-PPN)]]*1.11</f>
        <v>3996.0000000000005</v>
      </c>
      <c r="AV269" s="38">
        <f>Table43[[#This Row],[Harga Jual Krt GT
(- PPN)]]*1.11</f>
        <v>143856</v>
      </c>
      <c r="AW269" s="38">
        <f>IFERROR(VLOOKUP(Table43[[#This Row],[Kode Pcpl]],'[1]FEB 2026'!$A$3:$X$312,24,0),0)</f>
        <v>0</v>
      </c>
      <c r="AX269" s="38">
        <f>Table43[[#This Row],[Harga Jual Pcs MT
(-PPN)]]*Table43[[#This Row],[ISI/CTN]]</f>
        <v>0</v>
      </c>
      <c r="AY269" s="38">
        <f>Table43[[#This Row],[Harga Jual Pcs MT
(-PPN)]]*1.11</f>
        <v>0</v>
      </c>
      <c r="AZ269" s="38">
        <f>Table43[[#This Row],[Harga Jual Pcs MT
(+PPN)]]*Table43[[#This Row],[ISI/CTN]]</f>
        <v>0</v>
      </c>
      <c r="BA269" s="46">
        <f>(Table43[[#This Row],[Harga Jual Pcs GT
(-PPN)]]-Table43[[#This Row],[Harga Beli Pcs
(-PPN)]])/Table43[[#This Row],[Harga Jual Pcs GT
(-PPN)]]</f>
        <v>6.5000000000000002E-2</v>
      </c>
      <c r="BB269" s="53">
        <f>Table43[[#This Row],[Harga Jual Pcs MT
(-PPN)]]-Table43[[#This Row],[Harga Beli Pcs
(-PPN)]]</f>
        <v>-3366</v>
      </c>
      <c r="BC269" s="54" t="e">
        <f>Table43[[#This Row],[Column1]]/Table43[[#This Row],[Harga Jual Pcs MT
(-PPN)]]</f>
        <v>#DIV/0!</v>
      </c>
      <c r="BD269" s="52"/>
      <c r="BE269" s="7"/>
      <c r="BF269" s="7" t="str">
        <f ca="1">IF(TODAY()-Table43[[#This Row],[Efektif
Pembuatan]]&gt;60,"Lama","Baru")</f>
        <v>Lama</v>
      </c>
      <c r="BG269" s="7" t="str">
        <f ca="1">IF(TODAY()-Table43[[#This Row],[Efektif Naik Harga]]&lt;30,"Naik","Sama")</f>
        <v>Sama</v>
      </c>
      <c r="BH269" s="7"/>
      <c r="BI269" s="7" t="str">
        <f>IF(Table43[[#This Row],[Kode BARANG Win2]]&lt;&gt;"","IDR","")</f>
        <v>IDR</v>
      </c>
      <c r="BJ269" s="7" t="str">
        <f>CONCATENATE(Table43[[#This Row],[kode  1 Digit
(Nomor)]],Table43[[#This Row],[kode  4 Digit                (Nomor)]])</f>
        <v>0024</v>
      </c>
      <c r="BK269" s="7" t="str">
        <f>Table43[[#This Row],[Nama            Gramasi atau Jumlah Pack per CTN]]</f>
        <v>24S</v>
      </c>
      <c r="BL269" s="7"/>
      <c r="BM269" s="7"/>
      <c r="BN269" s="4" t="str">
        <f>IF(Table43[[#This Row],[SATUAN Fix Win]]&lt;&gt;"","KRT")</f>
        <v>KRT</v>
      </c>
      <c r="BO269" s="4" t="str">
        <f>IF(Table43[[#This Row],[SATUAN Fix Win]]&lt;&gt;"","GD01")</f>
        <v>GD01</v>
      </c>
      <c r="BP269" s="4">
        <f>IF(Table43[[#This Row],[SATUAN Fix Win]]&lt;&gt;"",11611)</f>
        <v>11611</v>
      </c>
      <c r="BQ269" s="4">
        <f>IF(Table43[[#This Row],[SATUAN Fix Win]]&lt;&gt;"",11612)</f>
        <v>11612</v>
      </c>
      <c r="BS269" s="4">
        <f>IF(Table43[[#This Row],[SATUAN Fix Win]]&lt;&gt;"",1)</f>
        <v>1</v>
      </c>
      <c r="BU269" s="4">
        <f>Table43[[#This Row],[ISI/CTN]]</f>
        <v>36</v>
      </c>
    </row>
    <row r="270" spans="1:73">
      <c r="A270" s="4" t="str">
        <f>CONCATENATE(Table43[[#This Row],[Kode BARANG Win2]],Table43[[#This Row],[No. Urut
Item Sama]])</f>
        <v>G1172002002510</v>
      </c>
      <c r="B270" s="7"/>
      <c r="C270" s="31">
        <v>30320040025000</v>
      </c>
      <c r="D270" s="51">
        <v>40049680</v>
      </c>
      <c r="E270" s="27" t="s">
        <v>2005</v>
      </c>
      <c r="F270" s="51">
        <v>30320050025000</v>
      </c>
      <c r="G270" s="51">
        <v>30320080030000</v>
      </c>
      <c r="H270" s="27" t="s">
        <v>1290</v>
      </c>
      <c r="I270" s="27">
        <v>72</v>
      </c>
      <c r="J270" s="51" t="s">
        <v>1696</v>
      </c>
      <c r="K270" s="27" t="str">
        <f>Table43[[#This Row],[NamaJenisKemasan]]</f>
        <v>PCS</v>
      </c>
      <c r="L270" s="4" t="str">
        <f>TRIM(CONCATENATE(Table43[[#This Row],[Nama            KLP]]," ",Table43[[#This Row],[Nama            Sub KLP]]))</f>
        <v>MITU BABY WIPES F&amp;C</v>
      </c>
      <c r="M270" s="4" t="str">
        <f>CONCATENATE(Table43[[#This Row],[kode  2 Digit                (hrf+No)]],Table43[[#This Row],[kode  2 Digit                (Nomor)]],Table43[[#This Row],[kode  1 Digit                (Nomor)]])</f>
        <v>G1172</v>
      </c>
      <c r="N270" s="4" t="str">
        <f>IF(AI270="",CONCATENATE(S270,U270,W270,Y270,AA270,AC270,AE270,AG270,Table43[[#This Row],[Tanda Kode Revisi]]),CONCATENATE(S270,U270,W270,Y270,AA270,AC270,AE270,AI270))</f>
        <v>G1172002002510</v>
      </c>
      <c r="O270" s="11">
        <f t="shared" si="6"/>
        <v>14</v>
      </c>
      <c r="P270" s="14" t="str">
        <f>IF(AH270&lt;&gt;"",TRIM(UPPER(CONCATENATE(R270," ",T270," ",V270," ",X270," ",Z270," ",AB270," ","X"," ",Table43[[#This Row],[ISI/CTN]]," ",AH270," ",AD270," ",AF270," ",AJ270))),TRIM(UPPER(CONCATENATE(R270," ",T270," ",V270," ",X270," ",Z270," ",AB270," ","X"," ",Table43[[#This Row],[ISI/CTN]]," ",AD270," ",AF270," ",AJ270))))</f>
        <v>MITU BABY WIPES F&amp;C BLOSSOM BERRY 25S X 72 PCS</v>
      </c>
      <c r="Q270" s="11">
        <f t="shared" si="7"/>
        <v>46</v>
      </c>
      <c r="S270" s="7" t="s">
        <v>34</v>
      </c>
      <c r="T270" s="4" t="s">
        <v>2555</v>
      </c>
      <c r="U270" s="47" t="s">
        <v>2563</v>
      </c>
      <c r="V270" s="48" t="s">
        <v>2327</v>
      </c>
      <c r="W270" s="7">
        <v>2</v>
      </c>
      <c r="X270" s="48"/>
      <c r="Y270" s="47" t="s">
        <v>1116</v>
      </c>
      <c r="Z270" s="4" t="s">
        <v>2360</v>
      </c>
      <c r="AA270" s="49" t="s">
        <v>2459</v>
      </c>
      <c r="AB270" s="4" t="s">
        <v>2361</v>
      </c>
      <c r="AC270" s="49" t="s">
        <v>2614</v>
      </c>
      <c r="AD270" s="4" t="s">
        <v>185</v>
      </c>
      <c r="AE270" s="7">
        <v>1</v>
      </c>
      <c r="AG270" s="7">
        <v>0</v>
      </c>
      <c r="AK270" s="70">
        <f>Table43[[#This Row],[Column4]]</f>
        <v>30320050025000</v>
      </c>
      <c r="AN270" s="7">
        <f>Table43[[#This Row],[ISI/CTN]]</f>
        <v>72</v>
      </c>
      <c r="AO270" s="38">
        <f>Table43[[#This Row],[Harga Jual Pcs GT
(-PPN)]]-(Table43[[#This Row],[Harga Jual Pcs GT
(-PPN)]]*6.5%)</f>
        <v>3366</v>
      </c>
      <c r="AP270" s="38">
        <f>Table43[[#This Row],[Harga Beli Pcs
(-PPN)]]*Table43[[#This Row],[ISI/CTN]]</f>
        <v>242352</v>
      </c>
      <c r="AQ270" s="38">
        <f>Table43[[#This Row],[Harga Beli Pcs
(-PPN)]]*1.11</f>
        <v>3736.26</v>
      </c>
      <c r="AR270" s="38">
        <f>Table43[[#This Row],[Harga Beli Krt
(- PPN)]]*1.11</f>
        <v>269010.72000000003</v>
      </c>
      <c r="AS270" s="38">
        <v>3600</v>
      </c>
      <c r="AT270" s="38">
        <f>Table43[[#This Row],[Harga Jual Pcs GT
(-PPN)]]*Table43[[#This Row],[ISI/CTN]]</f>
        <v>259200</v>
      </c>
      <c r="AU270" s="38">
        <f>Table43[[#This Row],[Harga Jual Pcs GT
(-PPN)]]*1.11</f>
        <v>3996.0000000000005</v>
      </c>
      <c r="AV270" s="38">
        <f>Table43[[#This Row],[Harga Jual Krt GT
(- PPN)]]*1.11</f>
        <v>287712</v>
      </c>
      <c r="AW270" s="38">
        <f>IFERROR(VLOOKUP(Table43[[#This Row],[Kode Pcpl]],'[1]FEB 2026'!$A$3:$X$312,24,0),0)</f>
        <v>0</v>
      </c>
      <c r="AX270" s="38">
        <f>Table43[[#This Row],[Harga Jual Pcs MT
(-PPN)]]*Table43[[#This Row],[ISI/CTN]]</f>
        <v>0</v>
      </c>
      <c r="AY270" s="38">
        <f>Table43[[#This Row],[Harga Jual Pcs MT
(-PPN)]]*1.11</f>
        <v>0</v>
      </c>
      <c r="AZ270" s="38">
        <f>Table43[[#This Row],[Harga Jual Pcs MT
(+PPN)]]*Table43[[#This Row],[ISI/CTN]]</f>
        <v>0</v>
      </c>
      <c r="BA270" s="46">
        <f>(Table43[[#This Row],[Harga Jual Pcs GT
(-PPN)]]-Table43[[#This Row],[Harga Beli Pcs
(-PPN)]])/Table43[[#This Row],[Harga Jual Pcs GT
(-PPN)]]</f>
        <v>6.5000000000000002E-2</v>
      </c>
      <c r="BB270" s="53">
        <f>Table43[[#This Row],[Harga Jual Pcs MT
(-PPN)]]-Table43[[#This Row],[Harga Beli Pcs
(-PPN)]]</f>
        <v>-3366</v>
      </c>
      <c r="BC270" s="54" t="e">
        <f>Table43[[#This Row],[Column1]]/Table43[[#This Row],[Harga Jual Pcs MT
(-PPN)]]</f>
        <v>#DIV/0!</v>
      </c>
      <c r="BD270" s="52"/>
      <c r="BE270" s="7"/>
      <c r="BF270" s="7" t="str">
        <f ca="1">IF(TODAY()-Table43[[#This Row],[Efektif
Pembuatan]]&gt;60,"Lama","Baru")</f>
        <v>Lama</v>
      </c>
      <c r="BG270" s="7" t="str">
        <f ca="1">IF(TODAY()-Table43[[#This Row],[Efektif Naik Harga]]&lt;30,"Naik","Sama")</f>
        <v>Sama</v>
      </c>
      <c r="BH270" s="7"/>
      <c r="BI270" s="7" t="str">
        <f>IF(Table43[[#This Row],[Kode BARANG Win2]]&lt;&gt;"","IDR","")</f>
        <v>IDR</v>
      </c>
      <c r="BJ270" s="7" t="str">
        <f>CONCATENATE(Table43[[#This Row],[kode  1 Digit
(Nomor)]],Table43[[#This Row],[kode  4 Digit                (Nomor)]])</f>
        <v>0025</v>
      </c>
      <c r="BK270" s="7" t="str">
        <f>Table43[[#This Row],[Nama            Gramasi atau Jumlah Pack per CTN]]</f>
        <v>25s</v>
      </c>
      <c r="BL270" s="7"/>
      <c r="BM270" s="7"/>
      <c r="BN270" s="4" t="str">
        <f>IF(Table43[[#This Row],[SATUAN Fix Win]]&lt;&gt;"","KRT")</f>
        <v>KRT</v>
      </c>
      <c r="BO270" s="4" t="str">
        <f>IF(Table43[[#This Row],[SATUAN Fix Win]]&lt;&gt;"","GD01")</f>
        <v>GD01</v>
      </c>
      <c r="BP270" s="4">
        <f>IF(Table43[[#This Row],[SATUAN Fix Win]]&lt;&gt;"",11611)</f>
        <v>11611</v>
      </c>
      <c r="BQ270" s="4">
        <f>IF(Table43[[#This Row],[SATUAN Fix Win]]&lt;&gt;"",11612)</f>
        <v>11612</v>
      </c>
      <c r="BS270" s="4">
        <f>IF(Table43[[#This Row],[SATUAN Fix Win]]&lt;&gt;"",1)</f>
        <v>1</v>
      </c>
      <c r="BU270" s="4">
        <f>Table43[[#This Row],[ISI/CTN]]</f>
        <v>72</v>
      </c>
    </row>
    <row r="271" spans="1:73">
      <c r="A271" s="4" t="str">
        <f>CONCATENATE(Table43[[#This Row],[Kode BARANG Win2]],Table43[[#This Row],[No. Urut
Item Sama]])</f>
        <v>G1172002004011</v>
      </c>
      <c r="B271" s="7"/>
      <c r="C271" s="31">
        <v>30320040025001</v>
      </c>
      <c r="D271" s="51">
        <v>40031569</v>
      </c>
      <c r="E271" s="27" t="s">
        <v>2006</v>
      </c>
      <c r="F271" s="51">
        <v>30320050040002</v>
      </c>
      <c r="G271" s="51">
        <v>0</v>
      </c>
      <c r="H271" s="27" t="s">
        <v>1291</v>
      </c>
      <c r="I271" s="27">
        <v>24</v>
      </c>
      <c r="J271" s="51" t="s">
        <v>1697</v>
      </c>
      <c r="K271" s="27" t="str">
        <f>Table43[[#This Row],[NamaJenisKemasan]]</f>
        <v>PCS</v>
      </c>
      <c r="L271" s="4" t="str">
        <f>TRIM(CONCATENATE(Table43[[#This Row],[Nama            KLP]]," ",Table43[[#This Row],[Nama            Sub KLP]]))</f>
        <v>MITU BABY WIPES F&amp;C</v>
      </c>
      <c r="M271" s="4" t="str">
        <f>CONCATENATE(Table43[[#This Row],[kode  2 Digit                (hrf+No)]],Table43[[#This Row],[kode  2 Digit                (Nomor)]],Table43[[#This Row],[kode  1 Digit                (Nomor)]])</f>
        <v>G1172</v>
      </c>
      <c r="N271" s="4" t="str">
        <f>IF(AI271="",CONCATENATE(S271,U271,W271,Y271,AA271,AC271,AE271,AG271,Table43[[#This Row],[Tanda Kode Revisi]]),CONCATENATE(S271,U271,W271,Y271,AA271,AC271,AE271,AI271))</f>
        <v>G1172002004011</v>
      </c>
      <c r="O271" s="11">
        <f t="shared" si="6"/>
        <v>14</v>
      </c>
      <c r="P271" s="14" t="str">
        <f>IF(AH271&lt;&gt;"",TRIM(UPPER(CONCATENATE(R271," ",T271," ",V271," ",X271," ",Z271," ",AB271," ","X"," ",Table43[[#This Row],[ISI/CTN]]," ",AH271," ",AD271," ",AF271," ",AJ271))),TRIM(UPPER(CONCATENATE(R271," ",T271," ",V271," ",X271," ",Z271," ",AB271," ","X"," ",Table43[[#This Row],[ISI/CTN]]," ",AD271," ",AF271," ",AJ271))))</f>
        <v>MITU BABY WIPES F&amp;C BLOSSOM BERRY 40S X 24 PCS BOGOF</v>
      </c>
      <c r="Q271" s="11">
        <f t="shared" si="7"/>
        <v>52</v>
      </c>
      <c r="S271" s="7" t="s">
        <v>34</v>
      </c>
      <c r="T271" s="4" t="s">
        <v>2555</v>
      </c>
      <c r="U271" s="47" t="s">
        <v>2563</v>
      </c>
      <c r="V271" s="48" t="s">
        <v>2327</v>
      </c>
      <c r="W271" s="7">
        <v>2</v>
      </c>
      <c r="X271" s="48"/>
      <c r="Y271" s="47" t="s">
        <v>1116</v>
      </c>
      <c r="Z271" s="4" t="s">
        <v>2360</v>
      </c>
      <c r="AA271" s="49" t="s">
        <v>2459</v>
      </c>
      <c r="AB271" s="4" t="s">
        <v>2355</v>
      </c>
      <c r="AC271" s="49" t="s">
        <v>2625</v>
      </c>
      <c r="AD271" s="4" t="s">
        <v>185</v>
      </c>
      <c r="AE271" s="7">
        <v>1</v>
      </c>
      <c r="AF271" s="4" t="s">
        <v>2338</v>
      </c>
      <c r="AG271" s="7">
        <v>1</v>
      </c>
      <c r="AK271" s="70">
        <f>Table43[[#This Row],[Column4]]</f>
        <v>30320050040002</v>
      </c>
      <c r="AN271" s="7">
        <f>Table43[[#This Row],[ISI/CTN]]</f>
        <v>24</v>
      </c>
      <c r="AO271" s="61">
        <f>Table43[[#This Row],[Harga Jual Pcs GT
(-PPN)]]-(Table43[[#This Row],[Harga Jual Pcs GT
(-PPN)]]*6.5%)</f>
        <v>9882.9500000000007</v>
      </c>
      <c r="AP271" s="61">
        <f>Table43[[#This Row],[Harga Beli Pcs
(-PPN)]]*Table43[[#This Row],[ISI/CTN]]</f>
        <v>237190.80000000002</v>
      </c>
      <c r="AQ271" s="61">
        <f>Table43[[#This Row],[Harga Beli Pcs
(-PPN)]]*1.11</f>
        <v>10970.074500000002</v>
      </c>
      <c r="AR271" s="61">
        <f>Table43[[#This Row],[Harga Beli Krt
(- PPN)]]*1.11</f>
        <v>263281.78800000006</v>
      </c>
      <c r="AS271" s="61">
        <v>10570</v>
      </c>
      <c r="AT271" s="61">
        <f>Table43[[#This Row],[Harga Jual Pcs GT
(-PPN)]]*Table43[[#This Row],[ISI/CTN]]</f>
        <v>253680</v>
      </c>
      <c r="AU271" s="61">
        <f>Table43[[#This Row],[Harga Jual Pcs GT
(-PPN)]]*1.11</f>
        <v>11732.7</v>
      </c>
      <c r="AV271" s="61">
        <f>Table43[[#This Row],[Harga Jual Krt GT
(- PPN)]]*1.11</f>
        <v>281584.80000000005</v>
      </c>
      <c r="AW271" s="61">
        <f>IFERROR(VLOOKUP(Table43[[#This Row],[Kode Pcpl]],'[1]FEB 2026'!$A$3:$X$312,24,0),0)</f>
        <v>0</v>
      </c>
      <c r="AX271" s="61">
        <f>Table43[[#This Row],[Harga Jual Pcs MT
(-PPN)]]*Table43[[#This Row],[ISI/CTN]]</f>
        <v>0</v>
      </c>
      <c r="AY271" s="61">
        <f>Table43[[#This Row],[Harga Jual Pcs MT
(-PPN)]]*1.11</f>
        <v>0</v>
      </c>
      <c r="AZ271" s="61">
        <f>Table43[[#This Row],[Harga Jual Pcs MT
(+PPN)]]*Table43[[#This Row],[ISI/CTN]]</f>
        <v>0</v>
      </c>
      <c r="BA271" s="62">
        <f>(Table43[[#This Row],[Harga Jual Pcs GT
(-PPN)]]-Table43[[#This Row],[Harga Beli Pcs
(-PPN)]])/Table43[[#This Row],[Harga Jual Pcs GT
(-PPN)]]</f>
        <v>6.4999999999999933E-2</v>
      </c>
      <c r="BB271" s="63">
        <f>Table43[[#This Row],[Harga Jual Pcs MT
(-PPN)]]-Table43[[#This Row],[Harga Beli Pcs
(-PPN)]]</f>
        <v>-9882.9500000000007</v>
      </c>
      <c r="BC271" s="64" t="e">
        <f>Table43[[#This Row],[Column1]]/Table43[[#This Row],[Harga Jual Pcs MT
(-PPN)]]</f>
        <v>#DIV/0!</v>
      </c>
      <c r="BD271" s="52"/>
      <c r="BE271" s="7"/>
      <c r="BF271" s="7" t="str">
        <f ca="1">IF(TODAY()-Table43[[#This Row],[Efektif
Pembuatan]]&gt;60,"Lama","Baru")</f>
        <v>Lama</v>
      </c>
      <c r="BG271" s="7" t="str">
        <f ca="1">IF(TODAY()-Table43[[#This Row],[Efektif Naik Harga]]&lt;30,"Naik","Sama")</f>
        <v>Sama</v>
      </c>
      <c r="BH271" s="7"/>
      <c r="BI271" s="7" t="str">
        <f>IF(Table43[[#This Row],[Kode BARANG Win2]]&lt;&gt;"","IDR","")</f>
        <v>IDR</v>
      </c>
      <c r="BJ271" s="7" t="str">
        <f>CONCATENATE(Table43[[#This Row],[kode  1 Digit
(Nomor)]],Table43[[#This Row],[kode  4 Digit                (Nomor)]])</f>
        <v>0040</v>
      </c>
      <c r="BK271" s="7" t="str">
        <f>Table43[[#This Row],[Nama            Gramasi atau Jumlah Pack per CTN]]</f>
        <v>40S</v>
      </c>
      <c r="BL271" s="7"/>
      <c r="BM271" s="7"/>
      <c r="BN271" s="4" t="str">
        <f>IF(Table43[[#This Row],[SATUAN Fix Win]]&lt;&gt;"","KRT")</f>
        <v>KRT</v>
      </c>
      <c r="BO271" s="4" t="str">
        <f>IF(Table43[[#This Row],[SATUAN Fix Win]]&lt;&gt;"","GD01")</f>
        <v>GD01</v>
      </c>
      <c r="BP271" s="4">
        <f>IF(Table43[[#This Row],[SATUAN Fix Win]]&lt;&gt;"",11611)</f>
        <v>11611</v>
      </c>
      <c r="BQ271" s="4">
        <f>IF(Table43[[#This Row],[SATUAN Fix Win]]&lt;&gt;"",11612)</f>
        <v>11612</v>
      </c>
      <c r="BS271" s="4">
        <f>IF(Table43[[#This Row],[SATUAN Fix Win]]&lt;&gt;"",1)</f>
        <v>1</v>
      </c>
      <c r="BU271" s="4">
        <f>Table43[[#This Row],[ISI/CTN]]</f>
        <v>24</v>
      </c>
    </row>
    <row r="272" spans="1:73">
      <c r="A272" s="4" t="str">
        <f>CONCATENATE(Table43[[#This Row],[Kode BARANG Win2]],Table43[[#This Row],[No. Urut
Item Sama]])</f>
        <v>G1172002004011</v>
      </c>
      <c r="B272" s="7"/>
      <c r="C272" s="31"/>
      <c r="D272" s="51">
        <v>40027239</v>
      </c>
      <c r="E272" s="27"/>
      <c r="F272" s="51"/>
      <c r="G272" s="51"/>
      <c r="H272" s="27"/>
      <c r="I272" s="27">
        <v>24</v>
      </c>
      <c r="J272" s="51" t="s">
        <v>1697</v>
      </c>
      <c r="K272" s="27" t="str">
        <f>Table43[[#This Row],[NamaJenisKemasan]]</f>
        <v>PCS</v>
      </c>
      <c r="L272" s="4" t="str">
        <f>TRIM(CONCATENATE(Table43[[#This Row],[Nama            KLP]]," ",Table43[[#This Row],[Nama            Sub KLP]]))</f>
        <v>MITU BABY WIPES F&amp;C</v>
      </c>
      <c r="M272" s="4" t="str">
        <f>CONCATENATE(Table43[[#This Row],[kode  2 Digit                (hrf+No)]],Table43[[#This Row],[kode  2 Digit                (Nomor)]],Table43[[#This Row],[kode  1 Digit                (Nomor)]])</f>
        <v>G1172</v>
      </c>
      <c r="N272" s="4" t="str">
        <f>IF(AI272="",CONCATENATE(S272,U272,W272,Y272,AA272,AC272,AE272,AG272,Table43[[#This Row],[Tanda Kode Revisi]]),CONCATENATE(S272,U272,W272,Y272,AA272,AC272,AE272,AI272))</f>
        <v>G1172002004011</v>
      </c>
      <c r="O272" s="11">
        <f>LEN(N272)</f>
        <v>14</v>
      </c>
      <c r="P272" s="14" t="str">
        <f>IF(AH272&lt;&gt;"",TRIM(UPPER(CONCATENATE(R272," ",T272," ",V272," ",X272," ",Z272," ",AB272," ","X"," ",Table43[[#This Row],[ISI/CTN]]," ",AH272," ",AD272," ",AF272," ",AJ272))),TRIM(UPPER(CONCATENATE(R272," ",T272," ",V272," ",X272," ",Z272," ",AB272," ","X"," ",Table43[[#This Row],[ISI/CTN]]," ",AD272," ",AF272," ",AJ272))))</f>
        <v>MITU BABY WIPES F&amp;C BLOSSOM BERRY 40S X 24 PCS BOGOF</v>
      </c>
      <c r="Q272" s="11">
        <f>LEN(P272)</f>
        <v>52</v>
      </c>
      <c r="S272" s="7" t="s">
        <v>34</v>
      </c>
      <c r="T272" s="4" t="s">
        <v>2555</v>
      </c>
      <c r="U272" s="47" t="s">
        <v>2563</v>
      </c>
      <c r="V272" s="48" t="s">
        <v>2327</v>
      </c>
      <c r="W272" s="7">
        <v>2</v>
      </c>
      <c r="X272" s="48"/>
      <c r="Y272" s="47" t="s">
        <v>1116</v>
      </c>
      <c r="Z272" s="4" t="s">
        <v>2360</v>
      </c>
      <c r="AA272" s="49" t="s">
        <v>2459</v>
      </c>
      <c r="AB272" s="4" t="s">
        <v>2355</v>
      </c>
      <c r="AC272" s="49" t="s">
        <v>2625</v>
      </c>
      <c r="AD272" s="4" t="s">
        <v>185</v>
      </c>
      <c r="AE272" s="7">
        <v>1</v>
      </c>
      <c r="AF272" s="4" t="s">
        <v>2338</v>
      </c>
      <c r="AG272" s="7">
        <v>1</v>
      </c>
      <c r="AK272" s="70">
        <f>Table43[[#This Row],[Column4]]</f>
        <v>0</v>
      </c>
      <c r="AN272" s="7">
        <f>Table43[[#This Row],[ISI/CTN]]</f>
        <v>24</v>
      </c>
      <c r="AO272" s="61">
        <f>Table43[[#This Row],[Harga Jual Pcs GT
(-PPN)]]-(Table43[[#This Row],[Harga Jual Pcs GT
(-PPN)]]*6.5%)</f>
        <v>0</v>
      </c>
      <c r="AP272" s="61">
        <f>Table43[[#This Row],[Harga Beli Pcs
(-PPN)]]*Table43[[#This Row],[ISI/CTN]]</f>
        <v>0</v>
      </c>
      <c r="AQ272" s="61">
        <f>Table43[[#This Row],[Harga Beli Pcs
(-PPN)]]*1.11</f>
        <v>0</v>
      </c>
      <c r="AR272" s="61">
        <f>Table43[[#This Row],[Harga Beli Krt
(- PPN)]]*1.11</f>
        <v>0</v>
      </c>
      <c r="AS272" s="61"/>
      <c r="AT272" s="61">
        <f>Table43[[#This Row],[Harga Jual Pcs GT
(-PPN)]]*Table43[[#This Row],[ISI/CTN]]</f>
        <v>0</v>
      </c>
      <c r="AU272" s="61">
        <f>Table43[[#This Row],[Harga Jual Pcs GT
(-PPN)]]*1.11</f>
        <v>0</v>
      </c>
      <c r="AV272" s="61">
        <f>Table43[[#This Row],[Harga Jual Krt GT
(- PPN)]]*1.11</f>
        <v>0</v>
      </c>
      <c r="AW272" s="61">
        <f>IFERROR(VLOOKUP(Table43[[#This Row],[Kode Pcpl]],'[1]FEB 2026'!$A$3:$X$312,24,0),0)</f>
        <v>0</v>
      </c>
      <c r="AX272" s="61">
        <f>Table43[[#This Row],[Harga Jual Pcs MT
(-PPN)]]*Table43[[#This Row],[ISI/CTN]]</f>
        <v>0</v>
      </c>
      <c r="AY272" s="61">
        <f>Table43[[#This Row],[Harga Jual Pcs MT
(-PPN)]]*1.11</f>
        <v>0</v>
      </c>
      <c r="AZ272" s="61">
        <f>Table43[[#This Row],[Harga Jual Pcs MT
(+PPN)]]*Table43[[#This Row],[ISI/CTN]]</f>
        <v>0</v>
      </c>
      <c r="BA272" s="62" t="e">
        <f>(Table43[[#This Row],[Harga Jual Pcs GT
(-PPN)]]-Table43[[#This Row],[Harga Beli Pcs
(-PPN)]])/Table43[[#This Row],[Harga Jual Pcs GT
(-PPN)]]</f>
        <v>#DIV/0!</v>
      </c>
      <c r="BB272" s="63">
        <f>Table43[[#This Row],[Harga Jual Pcs MT
(-PPN)]]-Table43[[#This Row],[Harga Beli Pcs
(-PPN)]]</f>
        <v>0</v>
      </c>
      <c r="BC272" s="64" t="e">
        <f>Table43[[#This Row],[Column1]]/Table43[[#This Row],[Harga Jual Pcs MT
(-PPN)]]</f>
        <v>#DIV/0!</v>
      </c>
      <c r="BD272" s="52"/>
      <c r="BE272" s="7"/>
      <c r="BF272" s="7" t="str">
        <f ca="1">IF(TODAY()-Table43[[#This Row],[Efektif
Pembuatan]]&gt;60,"Lama","Baru")</f>
        <v>Lama</v>
      </c>
      <c r="BG272" s="7" t="str">
        <f ca="1">IF(TODAY()-Table43[[#This Row],[Efektif Naik Harga]]&lt;30,"Naik","Sama")</f>
        <v>Sama</v>
      </c>
      <c r="BH272" s="7"/>
      <c r="BI272" s="7" t="str">
        <f>IF(Table43[[#This Row],[Kode BARANG Win2]]&lt;&gt;"","IDR","")</f>
        <v>IDR</v>
      </c>
      <c r="BJ272" s="7" t="str">
        <f>CONCATENATE(Table43[[#This Row],[kode  1 Digit
(Nomor)]],Table43[[#This Row],[kode  4 Digit                (Nomor)]])</f>
        <v>0040</v>
      </c>
      <c r="BK272" s="7" t="str">
        <f>Table43[[#This Row],[Nama            Gramasi atau Jumlah Pack per CTN]]</f>
        <v>40S</v>
      </c>
      <c r="BL272" s="7"/>
      <c r="BM272" s="7"/>
      <c r="BN272" s="4" t="str">
        <f>IF(Table43[[#This Row],[SATUAN Fix Win]]&lt;&gt;"","KRT")</f>
        <v>KRT</v>
      </c>
      <c r="BO272" s="4" t="str">
        <f>IF(Table43[[#This Row],[SATUAN Fix Win]]&lt;&gt;"","GD01")</f>
        <v>GD01</v>
      </c>
      <c r="BP272" s="4">
        <f>IF(Table43[[#This Row],[SATUAN Fix Win]]&lt;&gt;"",11611)</f>
        <v>11611</v>
      </c>
      <c r="BQ272" s="4">
        <f>IF(Table43[[#This Row],[SATUAN Fix Win]]&lt;&gt;"",11612)</f>
        <v>11612</v>
      </c>
      <c r="BS272" s="4">
        <f>IF(Table43[[#This Row],[SATUAN Fix Win]]&lt;&gt;"",1)</f>
        <v>1</v>
      </c>
      <c r="BU272" s="4">
        <f>Table43[[#This Row],[ISI/CTN]]</f>
        <v>24</v>
      </c>
    </row>
    <row r="273" spans="1:75">
      <c r="A273" s="4" t="str">
        <f>CONCATENATE(Table43[[#This Row],[Kode BARANG Win2]],Table43[[#This Row],[No. Urut
Item Sama]])</f>
        <v>G1172002006010</v>
      </c>
      <c r="B273" s="7"/>
      <c r="C273" s="31">
        <v>30320020060000</v>
      </c>
      <c r="D273" s="51">
        <v>40027243</v>
      </c>
      <c r="E273" s="66" t="s">
        <v>2489</v>
      </c>
      <c r="F273" s="68">
        <v>30320020060000</v>
      </c>
      <c r="G273" s="68">
        <v>0</v>
      </c>
      <c r="H273" s="27">
        <v>0</v>
      </c>
      <c r="I273" s="27">
        <v>24</v>
      </c>
      <c r="J273" s="51">
        <v>0</v>
      </c>
      <c r="K273" s="27" t="str">
        <f>Table43[[#This Row],[NamaJenisKemasan]]</f>
        <v>PCS</v>
      </c>
      <c r="L273" s="4" t="str">
        <f>TRIM(CONCATENATE(Table43[[#This Row],[Nama            KLP]]," ",Table43[[#This Row],[Nama            Sub KLP]]))</f>
        <v>MITU BABY WIPES F&amp;C</v>
      </c>
      <c r="M273" s="4" t="str">
        <f>CONCATENATE(Table43[[#This Row],[kode  2 Digit                (hrf+No)]],Table43[[#This Row],[kode  2 Digit                (Nomor)]],Table43[[#This Row],[kode  1 Digit                (Nomor)]])</f>
        <v>G1172</v>
      </c>
      <c r="N273" s="4" t="str">
        <f>IF(AI273="",CONCATENATE(S273,U273,W273,Y273,AA273,AC273,AE273,AG273,Table43[[#This Row],[Tanda Kode Revisi]]),CONCATENATE(S273,U273,W273,Y273,AA273,AC273,AE273,AI273))</f>
        <v>G1172002006010</v>
      </c>
      <c r="O273" s="11">
        <f t="shared" si="6"/>
        <v>14</v>
      </c>
      <c r="P273" s="14" t="str">
        <f>IF(AH273&lt;&gt;"",TRIM(UPPER(CONCATENATE(R273," ",T273," ",V273," ",X273," ",Z273," ",AB273," ","X"," ",Table43[[#This Row],[ISI/CTN]]," ",AH273," ",AD273," ",AF273," ",AJ273))),TRIM(UPPER(CONCATENATE(R273," ",T273," ",V273," ",X273," ",Z273," ",AB273," ","X"," ",Table43[[#This Row],[ISI/CTN]]," ",AD273," ",AF273," ",AJ273))))</f>
        <v>MITU BABY WIPES F&amp;C BLOSSOM BERRY 60S X 24 PCS</v>
      </c>
      <c r="Q273" s="11">
        <f t="shared" si="7"/>
        <v>46</v>
      </c>
      <c r="S273" s="7" t="s">
        <v>34</v>
      </c>
      <c r="T273" s="4" t="s">
        <v>2555</v>
      </c>
      <c r="U273" s="47" t="s">
        <v>2563</v>
      </c>
      <c r="V273" s="48" t="s">
        <v>2327</v>
      </c>
      <c r="W273" s="7">
        <v>2</v>
      </c>
      <c r="X273" s="48"/>
      <c r="Y273" s="47" t="s">
        <v>1116</v>
      </c>
      <c r="Z273" s="4" t="s">
        <v>2360</v>
      </c>
      <c r="AA273" s="49" t="s">
        <v>2459</v>
      </c>
      <c r="AB273" s="4" t="s">
        <v>2291</v>
      </c>
      <c r="AC273" s="49" t="s">
        <v>2633</v>
      </c>
      <c r="AD273" s="4" t="s">
        <v>185</v>
      </c>
      <c r="AE273" s="7">
        <v>1</v>
      </c>
      <c r="AG273" s="7">
        <v>0</v>
      </c>
      <c r="AK273" s="70">
        <f>Table43[[#This Row],[Column4]]</f>
        <v>30320020060000</v>
      </c>
      <c r="AN273" s="7">
        <f>Table43[[#This Row],[ISI/CTN]]</f>
        <v>24</v>
      </c>
      <c r="AO273" s="38">
        <f>Table43[[#This Row],[Harga Jual Pcs GT
(-PPN)]]-(Table43[[#This Row],[Harga Jual Pcs GT
(-PPN)]]*6.5%)</f>
        <v>11126.5</v>
      </c>
      <c r="AP273" s="38">
        <f>Table43[[#This Row],[Harga Beli Pcs
(-PPN)]]*Table43[[#This Row],[ISI/CTN]]</f>
        <v>267036</v>
      </c>
      <c r="AQ273" s="38">
        <f>Table43[[#This Row],[Harga Beli Pcs
(-PPN)]]*1.11</f>
        <v>12350.415000000001</v>
      </c>
      <c r="AR273" s="38">
        <f>Table43[[#This Row],[Harga Beli Krt
(- PPN)]]*1.11</f>
        <v>296409.96000000002</v>
      </c>
      <c r="AS273" s="38">
        <v>11900</v>
      </c>
      <c r="AT273" s="38">
        <f>Table43[[#This Row],[Harga Jual Pcs GT
(-PPN)]]*Table43[[#This Row],[ISI/CTN]]</f>
        <v>285600</v>
      </c>
      <c r="AU273" s="38">
        <f>Table43[[#This Row],[Harga Jual Pcs GT
(-PPN)]]*1.11</f>
        <v>13209.000000000002</v>
      </c>
      <c r="AV273" s="38">
        <f>Table43[[#This Row],[Harga Jual Krt GT
(- PPN)]]*1.11</f>
        <v>317016</v>
      </c>
      <c r="AW273" s="38">
        <f>IFERROR(VLOOKUP(Table43[[#This Row],[Kode Pcpl]],'[1]FEB 2026'!$A$3:$X$312,24,0),0)</f>
        <v>0</v>
      </c>
      <c r="AX273" s="38">
        <f>Table43[[#This Row],[Harga Jual Pcs MT
(-PPN)]]*Table43[[#This Row],[ISI/CTN]]</f>
        <v>0</v>
      </c>
      <c r="AY273" s="38">
        <f>Table43[[#This Row],[Harga Jual Pcs MT
(-PPN)]]*1.11</f>
        <v>0</v>
      </c>
      <c r="AZ273" s="38">
        <f>Table43[[#This Row],[Harga Jual Pcs MT
(+PPN)]]*Table43[[#This Row],[ISI/CTN]]</f>
        <v>0</v>
      </c>
      <c r="BA273" s="46">
        <f>(Table43[[#This Row],[Harga Jual Pcs GT
(-PPN)]]-Table43[[#This Row],[Harga Beli Pcs
(-PPN)]])/Table43[[#This Row],[Harga Jual Pcs GT
(-PPN)]]</f>
        <v>6.5000000000000002E-2</v>
      </c>
      <c r="BB273" s="53">
        <f>Table43[[#This Row],[Harga Jual Pcs MT
(-PPN)]]-Table43[[#This Row],[Harga Beli Pcs
(-PPN)]]</f>
        <v>-11126.5</v>
      </c>
      <c r="BC273" s="54" t="e">
        <f>Table43[[#This Row],[Column1]]/Table43[[#This Row],[Harga Jual Pcs MT
(-PPN)]]</f>
        <v>#DIV/0!</v>
      </c>
      <c r="BD273" s="52"/>
      <c r="BE273" s="7"/>
      <c r="BF273" s="7" t="str">
        <f ca="1">IF(TODAY()-Table43[[#This Row],[Efektif
Pembuatan]]&gt;60,"Lama","Baru")</f>
        <v>Lama</v>
      </c>
      <c r="BG273" s="7" t="str">
        <f ca="1">IF(TODAY()-Table43[[#This Row],[Efektif Naik Harga]]&lt;30,"Naik","Sama")</f>
        <v>Sama</v>
      </c>
      <c r="BH273" s="7"/>
      <c r="BI273" s="7" t="str">
        <f>IF(Table43[[#This Row],[Kode BARANG Win2]]&lt;&gt;"","IDR","")</f>
        <v>IDR</v>
      </c>
      <c r="BJ273" s="7" t="str">
        <f>CONCATENATE(Table43[[#This Row],[kode  1 Digit
(Nomor)]],Table43[[#This Row],[kode  4 Digit                (Nomor)]])</f>
        <v>0060</v>
      </c>
      <c r="BK273" s="7" t="str">
        <f>Table43[[#This Row],[Nama            Gramasi atau Jumlah Pack per CTN]]</f>
        <v>60S</v>
      </c>
      <c r="BL273" s="7"/>
      <c r="BM273" s="7"/>
      <c r="BN273" s="4" t="str">
        <f>IF(Table43[[#This Row],[SATUAN Fix Win]]&lt;&gt;"","KRT")</f>
        <v>KRT</v>
      </c>
      <c r="BO273" s="4" t="str">
        <f>IF(Table43[[#This Row],[SATUAN Fix Win]]&lt;&gt;"","GD01")</f>
        <v>GD01</v>
      </c>
      <c r="BP273" s="4">
        <f>IF(Table43[[#This Row],[SATUAN Fix Win]]&lt;&gt;"",11611)</f>
        <v>11611</v>
      </c>
      <c r="BQ273" s="4">
        <f>IF(Table43[[#This Row],[SATUAN Fix Win]]&lt;&gt;"",11612)</f>
        <v>11612</v>
      </c>
      <c r="BS273" s="4">
        <f>IF(Table43[[#This Row],[SATUAN Fix Win]]&lt;&gt;"",1)</f>
        <v>1</v>
      </c>
      <c r="BU273" s="4">
        <f>Table43[[#This Row],[ISI/CTN]]</f>
        <v>24</v>
      </c>
    </row>
    <row r="274" spans="1:75">
      <c r="A274" s="4" t="str">
        <f>CONCATENATE(Table43[[#This Row],[Kode BARANG Win2]],Table43[[#This Row],[No. Urut
Item Sama]])</f>
        <v>G1172002006020</v>
      </c>
      <c r="B274" s="7"/>
      <c r="C274" s="31">
        <v>30320050040002</v>
      </c>
      <c r="D274" s="51">
        <v>40027241</v>
      </c>
      <c r="E274" s="27" t="s">
        <v>1998</v>
      </c>
      <c r="F274" s="51">
        <v>30320020060010</v>
      </c>
      <c r="G274" s="51">
        <v>0</v>
      </c>
      <c r="H274" s="27" t="s">
        <v>1282</v>
      </c>
      <c r="I274" s="27">
        <v>24</v>
      </c>
      <c r="J274" s="51" t="s">
        <v>1689</v>
      </c>
      <c r="K274" s="27" t="str">
        <f>Table43[[#This Row],[NamaJenisKemasan]]</f>
        <v>BTL</v>
      </c>
      <c r="L274" s="4" t="str">
        <f>TRIM(CONCATENATE(Table43[[#This Row],[Nama            KLP]]," ",Table43[[#This Row],[Nama            Sub KLP]]))</f>
        <v>MITU BABY WIPES F&amp;C</v>
      </c>
      <c r="M274" s="4" t="str">
        <f>CONCATENATE(Table43[[#This Row],[kode  2 Digit                (hrf+No)]],Table43[[#This Row],[kode  2 Digit                (Nomor)]],Table43[[#This Row],[kode  1 Digit                (Nomor)]])</f>
        <v>G1172</v>
      </c>
      <c r="N274" s="4" t="str">
        <f>IF(AI274="",CONCATENATE(S274,U274,W274,Y274,AA274,AC274,AE274,AG274,Table43[[#This Row],[Tanda Kode Revisi]]),CONCATENATE(S274,U274,W274,Y274,AA274,AC274,AE274,AI274))</f>
        <v>G1172002006020</v>
      </c>
      <c r="O274" s="11">
        <f t="shared" si="6"/>
        <v>14</v>
      </c>
      <c r="P274" s="14" t="str">
        <f>IF(AH274&lt;&gt;"",TRIM(UPPER(CONCATENATE(R274," ",T274," ",V274," ",X274," ",Z274," ",AB274," ","X"," ",Table43[[#This Row],[ISI/CTN]]," ",AH274," ",AD274," ",AF274," ",AJ274))),TRIM(UPPER(CONCATENATE(R274," ",T274," ",V274," ",X274," ",Z274," ",AB274," ","X"," ",Table43[[#This Row],[ISI/CTN]]," ",AD274," ",AF274," ",AJ274))))</f>
        <v>MITU BABY WIPES F&amp;C BLOSSOM BERRY 60S X 24 BTL</v>
      </c>
      <c r="Q274" s="11">
        <f t="shared" si="7"/>
        <v>46</v>
      </c>
      <c r="S274" s="7" t="s">
        <v>34</v>
      </c>
      <c r="T274" s="4" t="s">
        <v>2555</v>
      </c>
      <c r="U274" s="47" t="s">
        <v>2563</v>
      </c>
      <c r="V274" s="48" t="s">
        <v>2327</v>
      </c>
      <c r="W274" s="7">
        <v>2</v>
      </c>
      <c r="X274" s="48"/>
      <c r="Y274" s="47" t="s">
        <v>1116</v>
      </c>
      <c r="Z274" s="4" t="s">
        <v>2360</v>
      </c>
      <c r="AA274" s="49" t="s">
        <v>2459</v>
      </c>
      <c r="AB274" s="4" t="s">
        <v>2291</v>
      </c>
      <c r="AC274" s="49" t="s">
        <v>2633</v>
      </c>
      <c r="AD274" s="4" t="s">
        <v>647</v>
      </c>
      <c r="AE274" s="7">
        <v>2</v>
      </c>
      <c r="AG274" s="7">
        <v>0</v>
      </c>
      <c r="AK274" s="70">
        <f>Table43[[#This Row],[Column4]]</f>
        <v>30320020060010</v>
      </c>
      <c r="AN274" s="7">
        <f>Table43[[#This Row],[ISI/CTN]]</f>
        <v>24</v>
      </c>
      <c r="AO274" s="38">
        <f>Table43[[#This Row],[Harga Jual Pcs GT
(-PPN)]]-(Table43[[#This Row],[Harga Jual Pcs GT
(-PPN)]]*6.5%)</f>
        <v>13482.7</v>
      </c>
      <c r="AP274" s="38">
        <f>Table43[[#This Row],[Harga Beli Pcs
(-PPN)]]*Table43[[#This Row],[ISI/CTN]]</f>
        <v>323584.80000000005</v>
      </c>
      <c r="AQ274" s="38">
        <f>Table43[[#This Row],[Harga Beli Pcs
(-PPN)]]*1.11</f>
        <v>14965.797000000002</v>
      </c>
      <c r="AR274" s="38">
        <f>Table43[[#This Row],[Harga Beli Krt
(- PPN)]]*1.11</f>
        <v>359179.12800000008</v>
      </c>
      <c r="AS274" s="38">
        <v>14420</v>
      </c>
      <c r="AT274" s="38">
        <f>Table43[[#This Row],[Harga Jual Pcs GT
(-PPN)]]*Table43[[#This Row],[ISI/CTN]]</f>
        <v>346080</v>
      </c>
      <c r="AU274" s="38">
        <f>Table43[[#This Row],[Harga Jual Pcs GT
(-PPN)]]*1.11</f>
        <v>16006.2</v>
      </c>
      <c r="AV274" s="38">
        <f>Table43[[#This Row],[Harga Jual Krt GT
(- PPN)]]*1.11</f>
        <v>384148.80000000005</v>
      </c>
      <c r="AW274" s="38">
        <f>IFERROR(VLOOKUP(Table43[[#This Row],[Kode Pcpl]],'[1]FEB 2026'!$A$3:$X$312,24,0),0)</f>
        <v>0</v>
      </c>
      <c r="AX274" s="38">
        <f>Table43[[#This Row],[Harga Jual Pcs MT
(-PPN)]]*Table43[[#This Row],[ISI/CTN]]</f>
        <v>0</v>
      </c>
      <c r="AY274" s="38">
        <f>Table43[[#This Row],[Harga Jual Pcs MT
(-PPN)]]*1.11</f>
        <v>0</v>
      </c>
      <c r="AZ274" s="38">
        <f>Table43[[#This Row],[Harga Jual Pcs MT
(+PPN)]]*Table43[[#This Row],[ISI/CTN]]</f>
        <v>0</v>
      </c>
      <c r="BA274" s="46">
        <f>(Table43[[#This Row],[Harga Jual Pcs GT
(-PPN)]]-Table43[[#This Row],[Harga Beli Pcs
(-PPN)]])/Table43[[#This Row],[Harga Jual Pcs GT
(-PPN)]]</f>
        <v>6.4999999999999947E-2</v>
      </c>
      <c r="BB274" s="53">
        <f>Table43[[#This Row],[Harga Jual Pcs MT
(-PPN)]]-Table43[[#This Row],[Harga Beli Pcs
(-PPN)]]</f>
        <v>-13482.7</v>
      </c>
      <c r="BC274" s="54" t="e">
        <f>Table43[[#This Row],[Column1]]/Table43[[#This Row],[Harga Jual Pcs MT
(-PPN)]]</f>
        <v>#DIV/0!</v>
      </c>
      <c r="BD274" s="52"/>
      <c r="BE274" s="7"/>
      <c r="BF274" s="7" t="str">
        <f ca="1">IF(TODAY()-Table43[[#This Row],[Efektif
Pembuatan]]&gt;60,"Lama","Baru")</f>
        <v>Lama</v>
      </c>
      <c r="BG274" s="7" t="str">
        <f ca="1">IF(TODAY()-Table43[[#This Row],[Efektif Naik Harga]]&lt;30,"Naik","Sama")</f>
        <v>Sama</v>
      </c>
      <c r="BH274" s="7"/>
      <c r="BI274" s="7" t="str">
        <f>IF(Table43[[#This Row],[Kode BARANG Win2]]&lt;&gt;"","IDR","")</f>
        <v>IDR</v>
      </c>
      <c r="BJ274" s="7" t="str">
        <f>CONCATENATE(Table43[[#This Row],[kode  1 Digit
(Nomor)]],Table43[[#This Row],[kode  4 Digit                (Nomor)]])</f>
        <v>0060</v>
      </c>
      <c r="BK274" s="7" t="str">
        <f>Table43[[#This Row],[Nama            Gramasi atau Jumlah Pack per CTN]]</f>
        <v>60S</v>
      </c>
      <c r="BL274" s="7"/>
      <c r="BM274" s="7"/>
      <c r="BN274" s="4" t="str">
        <f>IF(Table43[[#This Row],[SATUAN Fix Win]]&lt;&gt;"","KRT")</f>
        <v>KRT</v>
      </c>
      <c r="BO274" s="4" t="str">
        <f>IF(Table43[[#This Row],[SATUAN Fix Win]]&lt;&gt;"","GD01")</f>
        <v>GD01</v>
      </c>
      <c r="BP274" s="4">
        <f>IF(Table43[[#This Row],[SATUAN Fix Win]]&lt;&gt;"",11611)</f>
        <v>11611</v>
      </c>
      <c r="BQ274" s="4">
        <f>IF(Table43[[#This Row],[SATUAN Fix Win]]&lt;&gt;"",11612)</f>
        <v>11612</v>
      </c>
      <c r="BS274" s="4">
        <f>IF(Table43[[#This Row],[SATUAN Fix Win]]&lt;&gt;"",1)</f>
        <v>1</v>
      </c>
      <c r="BU274" s="4">
        <f>Table43[[#This Row],[ISI/CTN]]</f>
        <v>24</v>
      </c>
    </row>
    <row r="275" spans="1:75">
      <c r="A275" s="4" t="str">
        <f>CONCATENATE(Table43[[#This Row],[Kode BARANG Win2]],Table43[[#This Row],[No. Urut
Item Sama]])</f>
        <v>G1172003001010</v>
      </c>
      <c r="B275" s="7"/>
      <c r="C275" s="31">
        <v>30321070045001</v>
      </c>
      <c r="D275" s="51">
        <v>40027232</v>
      </c>
      <c r="E275" s="27" t="s">
        <v>2000</v>
      </c>
      <c r="F275" s="51">
        <v>30320030010000</v>
      </c>
      <c r="G275" s="51">
        <v>0</v>
      </c>
      <c r="H275" s="27" t="s">
        <v>1285</v>
      </c>
      <c r="I275" s="27">
        <v>144</v>
      </c>
      <c r="J275" s="51" t="s">
        <v>1691</v>
      </c>
      <c r="K275" s="27" t="str">
        <f>Table43[[#This Row],[NamaJenisKemasan]]</f>
        <v>PCS</v>
      </c>
      <c r="L275" s="4" t="str">
        <f>TRIM(CONCATENATE(Table43[[#This Row],[Nama            KLP]]," ",Table43[[#This Row],[Nama            Sub KLP]]))</f>
        <v>MITU BABY WIPES F&amp;C</v>
      </c>
      <c r="M275" s="4" t="str">
        <f>CONCATENATE(Table43[[#This Row],[kode  2 Digit                (hrf+No)]],Table43[[#This Row],[kode  2 Digit                (Nomor)]],Table43[[#This Row],[kode  1 Digit                (Nomor)]])</f>
        <v>G1172</v>
      </c>
      <c r="N275" s="4" t="str">
        <f>IF(AI275="",CONCATENATE(S275,U275,W275,Y275,AA275,AC275,AE275,AG275,Table43[[#This Row],[Tanda Kode Revisi]]),CONCATENATE(S275,U275,W275,Y275,AA275,AC275,AE275,AI275))</f>
        <v>G1172003001010</v>
      </c>
      <c r="O275" s="11">
        <f t="shared" si="6"/>
        <v>14</v>
      </c>
      <c r="P275" s="14" t="str">
        <f>IF(AH275&lt;&gt;"",TRIM(UPPER(CONCATENATE(R275," ",T275," ",V275," ",X275," ",Z275," ",AB275," ","X"," ",Table43[[#This Row],[ISI/CTN]]," ",AH275," ",AD275," ",AF275," ",AJ275))),TRIM(UPPER(CONCATENATE(R275," ",T275," ",V275," ",X275," ",Z275," ",AB275," ","X"," ",Table43[[#This Row],[ISI/CTN]]," ",AD275," ",AF275," ",AJ275))))</f>
        <v>MITU BABY WIPES F&amp;C PINK CHERRY 10S X 144 PCS</v>
      </c>
      <c r="Q275" s="11">
        <f t="shared" si="7"/>
        <v>45</v>
      </c>
      <c r="S275" s="7" t="s">
        <v>34</v>
      </c>
      <c r="T275" s="4" t="s">
        <v>2555</v>
      </c>
      <c r="U275" s="47" t="s">
        <v>2563</v>
      </c>
      <c r="V275" s="48" t="s">
        <v>2327</v>
      </c>
      <c r="W275" s="7">
        <v>2</v>
      </c>
      <c r="X275" s="48"/>
      <c r="Y275" s="47" t="s">
        <v>1116</v>
      </c>
      <c r="Z275" s="4" t="s">
        <v>2332</v>
      </c>
      <c r="AA275" s="49" t="s">
        <v>2538</v>
      </c>
      <c r="AB275" s="4" t="s">
        <v>2284</v>
      </c>
      <c r="AC275" s="49" t="s">
        <v>2592</v>
      </c>
      <c r="AD275" s="4" t="s">
        <v>185</v>
      </c>
      <c r="AE275" s="7">
        <v>1</v>
      </c>
      <c r="AG275" s="7">
        <v>0</v>
      </c>
      <c r="AK275" s="70">
        <f>Table43[[#This Row],[Column4]]</f>
        <v>30320030010000</v>
      </c>
      <c r="AN275" s="7">
        <f>Table43[[#This Row],[ISI/CTN]]</f>
        <v>144</v>
      </c>
      <c r="AO275" s="61">
        <f>Table43[[#This Row],[Harga Jual Pcs GT
(-PPN)]]-(Table43[[#This Row],[Harga Jual Pcs GT
(-PPN)]]*6.5%)</f>
        <v>2627.35</v>
      </c>
      <c r="AP275" s="61">
        <f>Table43[[#This Row],[Harga Beli Pcs
(-PPN)]]*Table43[[#This Row],[ISI/CTN]]</f>
        <v>378338.39999999997</v>
      </c>
      <c r="AQ275" s="61">
        <f>Table43[[#This Row],[Harga Beli Pcs
(-PPN)]]*1.11</f>
        <v>2916.3585000000003</v>
      </c>
      <c r="AR275" s="61">
        <f>Table43[[#This Row],[Harga Beli Krt
(- PPN)]]*1.11</f>
        <v>419955.62400000001</v>
      </c>
      <c r="AS275" s="61">
        <v>2810</v>
      </c>
      <c r="AT275" s="61">
        <f>Table43[[#This Row],[Harga Jual Pcs GT
(-PPN)]]*Table43[[#This Row],[ISI/CTN]]</f>
        <v>404640</v>
      </c>
      <c r="AU275" s="61">
        <f>Table43[[#This Row],[Harga Jual Pcs GT
(-PPN)]]*1.11</f>
        <v>3119.1000000000004</v>
      </c>
      <c r="AV275" s="61">
        <f>Table43[[#This Row],[Harga Jual Krt GT
(- PPN)]]*1.11</f>
        <v>449150.4</v>
      </c>
      <c r="AW275" s="61">
        <f>IFERROR(VLOOKUP(Table43[[#This Row],[Kode Pcpl]],'[1]FEB 2026'!$A$3:$X$312,24,0),0)</f>
        <v>0</v>
      </c>
      <c r="AX275" s="61">
        <f>Table43[[#This Row],[Harga Jual Pcs MT
(-PPN)]]*Table43[[#This Row],[ISI/CTN]]</f>
        <v>0</v>
      </c>
      <c r="AY275" s="61">
        <f>Table43[[#This Row],[Harga Jual Pcs MT
(-PPN)]]*1.11</f>
        <v>0</v>
      </c>
      <c r="AZ275" s="61">
        <f>Table43[[#This Row],[Harga Jual Pcs MT
(+PPN)]]*Table43[[#This Row],[ISI/CTN]]</f>
        <v>0</v>
      </c>
      <c r="BA275" s="62">
        <f>(Table43[[#This Row],[Harga Jual Pcs GT
(-PPN)]]-Table43[[#This Row],[Harga Beli Pcs
(-PPN)]])/Table43[[#This Row],[Harga Jual Pcs GT
(-PPN)]]</f>
        <v>6.500000000000003E-2</v>
      </c>
      <c r="BB275" s="63">
        <f>Table43[[#This Row],[Harga Jual Pcs MT
(-PPN)]]-Table43[[#This Row],[Harga Beli Pcs
(-PPN)]]</f>
        <v>-2627.35</v>
      </c>
      <c r="BC275" s="64" t="e">
        <f>Table43[[#This Row],[Column1]]/Table43[[#This Row],[Harga Jual Pcs MT
(-PPN)]]</f>
        <v>#DIV/0!</v>
      </c>
      <c r="BD275" s="52"/>
      <c r="BE275" s="7"/>
      <c r="BF275" s="7" t="str">
        <f ca="1">IF(TODAY()-Table43[[#This Row],[Efektif
Pembuatan]]&gt;60,"Lama","Baru")</f>
        <v>Lama</v>
      </c>
      <c r="BG275" s="7" t="str">
        <f ca="1">IF(TODAY()-Table43[[#This Row],[Efektif Naik Harga]]&lt;30,"Naik","Sama")</f>
        <v>Sama</v>
      </c>
      <c r="BH275" s="7"/>
      <c r="BI275" s="7" t="str">
        <f>IF(Table43[[#This Row],[Kode BARANG Win2]]&lt;&gt;"","IDR","")</f>
        <v>IDR</v>
      </c>
      <c r="BJ275" s="7" t="str">
        <f>CONCATENATE(Table43[[#This Row],[kode  1 Digit
(Nomor)]],Table43[[#This Row],[kode  4 Digit                (Nomor)]])</f>
        <v>0010</v>
      </c>
      <c r="BK275" s="7" t="str">
        <f>Table43[[#This Row],[Nama            Gramasi atau Jumlah Pack per CTN]]</f>
        <v>10S</v>
      </c>
      <c r="BL275" s="7"/>
      <c r="BM275" s="7"/>
      <c r="BN275" s="4" t="str">
        <f>IF(Table43[[#This Row],[SATUAN Fix Win]]&lt;&gt;"","KRT")</f>
        <v>KRT</v>
      </c>
      <c r="BO275" s="4" t="str">
        <f>IF(Table43[[#This Row],[SATUAN Fix Win]]&lt;&gt;"","GD01")</f>
        <v>GD01</v>
      </c>
      <c r="BP275" s="4">
        <f>IF(Table43[[#This Row],[SATUAN Fix Win]]&lt;&gt;"",11611)</f>
        <v>11611</v>
      </c>
      <c r="BQ275" s="4">
        <f>IF(Table43[[#This Row],[SATUAN Fix Win]]&lt;&gt;"",11612)</f>
        <v>11612</v>
      </c>
      <c r="BS275" s="4">
        <f>IF(Table43[[#This Row],[SATUAN Fix Win]]&lt;&gt;"",1)</f>
        <v>1</v>
      </c>
      <c r="BU275" s="4">
        <f>Table43[[#This Row],[ISI/CTN]]</f>
        <v>144</v>
      </c>
    </row>
    <row r="276" spans="1:75">
      <c r="A276" s="4" t="str">
        <f>CONCATENATE(Table43[[#This Row],[Kode BARANG Win2]],Table43[[#This Row],[No. Urut
Item Sama]])</f>
        <v>G1172003002010</v>
      </c>
      <c r="B276" s="7"/>
      <c r="C276" s="31">
        <v>30320030020000</v>
      </c>
      <c r="D276" s="51">
        <v>40027234</v>
      </c>
      <c r="E276" s="66" t="s">
        <v>2490</v>
      </c>
      <c r="F276" s="68">
        <v>30320030020000</v>
      </c>
      <c r="G276" s="68">
        <v>0</v>
      </c>
      <c r="H276" s="27">
        <v>0</v>
      </c>
      <c r="I276" s="27">
        <v>72</v>
      </c>
      <c r="J276" s="51">
        <v>0</v>
      </c>
      <c r="K276" s="27" t="str">
        <f>Table43[[#This Row],[NamaJenisKemasan]]</f>
        <v>PCS</v>
      </c>
      <c r="L276" s="4" t="str">
        <f>TRIM(CONCATENATE(Table43[[#This Row],[Nama            KLP]]," ",Table43[[#This Row],[Nama            Sub KLP]]))</f>
        <v>MITU BABY WIPES F&amp;C</v>
      </c>
      <c r="M276" s="4" t="str">
        <f>CONCATENATE(Table43[[#This Row],[kode  2 Digit                (hrf+No)]],Table43[[#This Row],[kode  2 Digit                (Nomor)]],Table43[[#This Row],[kode  1 Digit                (Nomor)]])</f>
        <v>G1172</v>
      </c>
      <c r="N276" s="4" t="str">
        <f>IF(AI276="",CONCATENATE(S276,U276,W276,Y276,AA276,AC276,AE276,AG276,Table43[[#This Row],[Tanda Kode Revisi]]),CONCATENATE(S276,U276,W276,Y276,AA276,AC276,AE276,AI276))</f>
        <v>G1172003002010</v>
      </c>
      <c r="O276" s="11">
        <f t="shared" si="6"/>
        <v>14</v>
      </c>
      <c r="P276" s="14" t="str">
        <f>IF(AH276&lt;&gt;"",TRIM(UPPER(CONCATENATE(R276," ",T276," ",V276," ",X276," ",Z276," ",AB276," ","X"," ",Table43[[#This Row],[ISI/CTN]]," ",AH276," ",AD276," ",AF276," ",AJ276))),TRIM(UPPER(CONCATENATE(R276," ",T276," ",V276," ",X276," ",Z276," ",AB276," ","X"," ",Table43[[#This Row],[ISI/CTN]]," ",AD276," ",AF276," ",AJ276))))</f>
        <v>MITU BABY WIPES F&amp;C PINK CHERRY 20S X 72 PCS</v>
      </c>
      <c r="Q276" s="11">
        <f t="shared" si="7"/>
        <v>44</v>
      </c>
      <c r="S276" s="7" t="s">
        <v>34</v>
      </c>
      <c r="T276" s="4" t="s">
        <v>2555</v>
      </c>
      <c r="U276" s="47" t="s">
        <v>2563</v>
      </c>
      <c r="V276" s="48" t="s">
        <v>2327</v>
      </c>
      <c r="W276" s="7">
        <v>2</v>
      </c>
      <c r="X276" s="48"/>
      <c r="Y276" s="47" t="s">
        <v>1116</v>
      </c>
      <c r="Z276" s="4" t="s">
        <v>2332</v>
      </c>
      <c r="AA276" s="49" t="s">
        <v>2538</v>
      </c>
      <c r="AB276" s="4" t="s">
        <v>2357</v>
      </c>
      <c r="AC276" s="49" t="s">
        <v>2607</v>
      </c>
      <c r="AD276" s="4" t="s">
        <v>185</v>
      </c>
      <c r="AE276" s="7">
        <v>1</v>
      </c>
      <c r="AG276" s="7">
        <v>0</v>
      </c>
      <c r="AK276" s="70">
        <f>Table43[[#This Row],[Column4]]</f>
        <v>30320030020000</v>
      </c>
      <c r="AN276" s="7">
        <f>Table43[[#This Row],[ISI/CTN]]</f>
        <v>72</v>
      </c>
      <c r="AO276" s="38">
        <f>Table43[[#This Row],[Harga Jual Pcs GT
(-PPN)]]-(Table43[[#This Row],[Harga Jual Pcs GT
(-PPN)]]*6.5%)</f>
        <v>3833.5</v>
      </c>
      <c r="AP276" s="38">
        <f>Table43[[#This Row],[Harga Beli Pcs
(-PPN)]]*Table43[[#This Row],[ISI/CTN]]</f>
        <v>276012</v>
      </c>
      <c r="AQ276" s="38">
        <f>Table43[[#This Row],[Harga Beli Pcs
(-PPN)]]*1.11</f>
        <v>4255.1850000000004</v>
      </c>
      <c r="AR276" s="38">
        <f>Table43[[#This Row],[Harga Beli Krt
(- PPN)]]*1.11</f>
        <v>306373.32</v>
      </c>
      <c r="AS276" s="38">
        <v>4100</v>
      </c>
      <c r="AT276" s="38">
        <f>Table43[[#This Row],[Harga Jual Pcs GT
(-PPN)]]*Table43[[#This Row],[ISI/CTN]]</f>
        <v>295200</v>
      </c>
      <c r="AU276" s="38">
        <f>Table43[[#This Row],[Harga Jual Pcs GT
(-PPN)]]*1.11</f>
        <v>4551</v>
      </c>
      <c r="AV276" s="38">
        <f>Table43[[#This Row],[Harga Jual Krt GT
(- PPN)]]*1.11</f>
        <v>327672</v>
      </c>
      <c r="AW276" s="38">
        <f>IFERROR(VLOOKUP(Table43[[#This Row],[Kode Pcpl]],'[1]FEB 2026'!$A$3:$X$312,24,0),0)</f>
        <v>0</v>
      </c>
      <c r="AX276" s="38">
        <f>Table43[[#This Row],[Harga Jual Pcs MT
(-PPN)]]*Table43[[#This Row],[ISI/CTN]]</f>
        <v>0</v>
      </c>
      <c r="AY276" s="38">
        <f>Table43[[#This Row],[Harga Jual Pcs MT
(-PPN)]]*1.11</f>
        <v>0</v>
      </c>
      <c r="AZ276" s="38">
        <f>Table43[[#This Row],[Harga Jual Pcs MT
(+PPN)]]*Table43[[#This Row],[ISI/CTN]]</f>
        <v>0</v>
      </c>
      <c r="BA276" s="46">
        <f>(Table43[[#This Row],[Harga Jual Pcs GT
(-PPN)]]-Table43[[#This Row],[Harga Beli Pcs
(-PPN)]])/Table43[[#This Row],[Harga Jual Pcs GT
(-PPN)]]</f>
        <v>6.5000000000000002E-2</v>
      </c>
      <c r="BB276" s="53">
        <f>Table43[[#This Row],[Harga Jual Pcs MT
(-PPN)]]-Table43[[#This Row],[Harga Beli Pcs
(-PPN)]]</f>
        <v>-3833.5</v>
      </c>
      <c r="BC276" s="54" t="e">
        <f>Table43[[#This Row],[Column1]]/Table43[[#This Row],[Harga Jual Pcs MT
(-PPN)]]</f>
        <v>#DIV/0!</v>
      </c>
      <c r="BD276" s="52"/>
      <c r="BE276" s="7"/>
      <c r="BF276" s="7" t="str">
        <f ca="1">IF(TODAY()-Table43[[#This Row],[Efektif
Pembuatan]]&gt;60,"Lama","Baru")</f>
        <v>Lama</v>
      </c>
      <c r="BG276" s="7" t="str">
        <f ca="1">IF(TODAY()-Table43[[#This Row],[Efektif Naik Harga]]&lt;30,"Naik","Sama")</f>
        <v>Sama</v>
      </c>
      <c r="BH276" s="7"/>
      <c r="BI276" s="7" t="str">
        <f>IF(Table43[[#This Row],[Kode BARANG Win2]]&lt;&gt;"","IDR","")</f>
        <v>IDR</v>
      </c>
      <c r="BJ276" s="7" t="str">
        <f>CONCATENATE(Table43[[#This Row],[kode  1 Digit
(Nomor)]],Table43[[#This Row],[kode  4 Digit                (Nomor)]])</f>
        <v>0020</v>
      </c>
      <c r="BK276" s="7" t="str">
        <f>Table43[[#This Row],[Nama            Gramasi atau Jumlah Pack per CTN]]</f>
        <v>20S</v>
      </c>
      <c r="BL276" s="7"/>
      <c r="BM276" s="7"/>
      <c r="BN276" s="4" t="str">
        <f>IF(Table43[[#This Row],[SATUAN Fix Win]]&lt;&gt;"","KRT")</f>
        <v>KRT</v>
      </c>
      <c r="BO276" s="4" t="str">
        <f>IF(Table43[[#This Row],[SATUAN Fix Win]]&lt;&gt;"","GD01")</f>
        <v>GD01</v>
      </c>
      <c r="BP276" s="4">
        <f>IF(Table43[[#This Row],[SATUAN Fix Win]]&lt;&gt;"",11611)</f>
        <v>11611</v>
      </c>
      <c r="BQ276" s="4">
        <f>IF(Table43[[#This Row],[SATUAN Fix Win]]&lt;&gt;"",11612)</f>
        <v>11612</v>
      </c>
      <c r="BS276" s="4">
        <f>IF(Table43[[#This Row],[SATUAN Fix Win]]&lt;&gt;"",1)</f>
        <v>1</v>
      </c>
      <c r="BU276" s="4">
        <f>Table43[[#This Row],[ISI/CTN]]</f>
        <v>72</v>
      </c>
    </row>
    <row r="277" spans="1:75">
      <c r="A277" s="4" t="str">
        <f>CONCATENATE(Table43[[#This Row],[Kode BARANG Win2]],Table43[[#This Row],[No. Urut
Item Sama]])</f>
        <v>G1172003002410</v>
      </c>
      <c r="B277" s="7"/>
      <c r="C277" s="31">
        <v>30320030024000</v>
      </c>
      <c r="D277" s="51">
        <v>40027236</v>
      </c>
      <c r="E277" s="66" t="s">
        <v>2465</v>
      </c>
      <c r="F277" s="68">
        <v>30320030024000</v>
      </c>
      <c r="G277" s="68">
        <v>0</v>
      </c>
      <c r="H277" s="27">
        <v>0</v>
      </c>
      <c r="I277" s="27">
        <v>36</v>
      </c>
      <c r="J277" s="51">
        <v>0</v>
      </c>
      <c r="K277" s="27" t="str">
        <f>Table43[[#This Row],[NamaJenisKemasan]]</f>
        <v>PCS</v>
      </c>
      <c r="L277" s="4" t="str">
        <f>TRIM(CONCATENATE(Table43[[#This Row],[Nama            KLP]]," ",Table43[[#This Row],[Nama            Sub KLP]]))</f>
        <v>MITU BABY WIPES F&amp;C</v>
      </c>
      <c r="M277" s="4" t="str">
        <f>CONCATENATE(Table43[[#This Row],[kode  2 Digit                (hrf+No)]],Table43[[#This Row],[kode  2 Digit                (Nomor)]],Table43[[#This Row],[kode  1 Digit                (Nomor)]])</f>
        <v>G1172</v>
      </c>
      <c r="N277" s="4" t="str">
        <f>IF(AI277="",CONCATENATE(S277,U277,W277,Y277,AA277,AC277,AE277,AG277,Table43[[#This Row],[Tanda Kode Revisi]]),CONCATENATE(S277,U277,W277,Y277,AA277,AC277,AE277,AI277))</f>
        <v>G1172003002410</v>
      </c>
      <c r="O277" s="11">
        <f t="shared" si="6"/>
        <v>14</v>
      </c>
      <c r="P277" s="14" t="str">
        <f>IF(AH277&lt;&gt;"",TRIM(UPPER(CONCATENATE(R277," ",T277," ",V277," ",X277," ",Z277," ",AB277," ","X"," ",Table43[[#This Row],[ISI/CTN]]," ",AH277," ",AD277," ",AF277," ",AJ277))),TRIM(UPPER(CONCATENATE(R277," ",T277," ",V277," ",X277," ",Z277," ",AB277," ","X"," ",Table43[[#This Row],[ISI/CTN]]," ",AD277," ",AF277," ",AJ277))))</f>
        <v>MITU BABY WIPES F&amp;C PINK CHERRY 24S X 36 PCS</v>
      </c>
      <c r="Q277" s="11">
        <f t="shared" si="7"/>
        <v>44</v>
      </c>
      <c r="S277" s="7" t="s">
        <v>34</v>
      </c>
      <c r="T277" s="4" t="s">
        <v>2555</v>
      </c>
      <c r="U277" s="47" t="s">
        <v>2563</v>
      </c>
      <c r="V277" s="48" t="s">
        <v>2327</v>
      </c>
      <c r="W277" s="7">
        <v>2</v>
      </c>
      <c r="X277" s="48"/>
      <c r="Y277" s="47" t="s">
        <v>1116</v>
      </c>
      <c r="Z277" s="4" t="s">
        <v>2332</v>
      </c>
      <c r="AA277" s="49" t="s">
        <v>2538</v>
      </c>
      <c r="AB277" s="4" t="s">
        <v>2523</v>
      </c>
      <c r="AC277" s="49" t="s">
        <v>2612</v>
      </c>
      <c r="AD277" s="4" t="s">
        <v>185</v>
      </c>
      <c r="AE277" s="7">
        <v>1</v>
      </c>
      <c r="AG277" s="7">
        <v>0</v>
      </c>
      <c r="AK277" s="70">
        <f>Table43[[#This Row],[Column4]]</f>
        <v>30320030024000</v>
      </c>
      <c r="AN277" s="7">
        <f>Table43[[#This Row],[ISI/CTN]]</f>
        <v>36</v>
      </c>
      <c r="AO277" s="38">
        <f>Table43[[#This Row],[Harga Jual Pcs GT
(-PPN)]]-(Table43[[#This Row],[Harga Jual Pcs GT
(-PPN)]]*6.5%)</f>
        <v>3366</v>
      </c>
      <c r="AP277" s="38">
        <f>Table43[[#This Row],[Harga Beli Pcs
(-PPN)]]*Table43[[#This Row],[ISI/CTN]]</f>
        <v>121176</v>
      </c>
      <c r="AQ277" s="38">
        <f>Table43[[#This Row],[Harga Beli Pcs
(-PPN)]]*1.11</f>
        <v>3736.26</v>
      </c>
      <c r="AR277" s="38">
        <f>Table43[[#This Row],[Harga Beli Krt
(- PPN)]]*1.11</f>
        <v>134505.36000000002</v>
      </c>
      <c r="AS277" s="38">
        <v>3600</v>
      </c>
      <c r="AT277" s="38">
        <f>Table43[[#This Row],[Harga Jual Pcs GT
(-PPN)]]*Table43[[#This Row],[ISI/CTN]]</f>
        <v>129600</v>
      </c>
      <c r="AU277" s="38">
        <f>Table43[[#This Row],[Harga Jual Pcs GT
(-PPN)]]*1.11</f>
        <v>3996.0000000000005</v>
      </c>
      <c r="AV277" s="38">
        <f>Table43[[#This Row],[Harga Jual Krt GT
(- PPN)]]*1.11</f>
        <v>143856</v>
      </c>
      <c r="AW277" s="38">
        <f>IFERROR(VLOOKUP(Table43[[#This Row],[Kode Pcpl]],'[1]FEB 2026'!$A$3:$X$312,24,0),0)</f>
        <v>0</v>
      </c>
      <c r="AX277" s="38">
        <f>Table43[[#This Row],[Harga Jual Pcs MT
(-PPN)]]*Table43[[#This Row],[ISI/CTN]]</f>
        <v>0</v>
      </c>
      <c r="AY277" s="38">
        <f>Table43[[#This Row],[Harga Jual Pcs MT
(-PPN)]]*1.11</f>
        <v>0</v>
      </c>
      <c r="AZ277" s="38">
        <f>Table43[[#This Row],[Harga Jual Pcs MT
(+PPN)]]*Table43[[#This Row],[ISI/CTN]]</f>
        <v>0</v>
      </c>
      <c r="BA277" s="46">
        <f>(Table43[[#This Row],[Harga Jual Pcs GT
(-PPN)]]-Table43[[#This Row],[Harga Beli Pcs
(-PPN)]])/Table43[[#This Row],[Harga Jual Pcs GT
(-PPN)]]</f>
        <v>6.5000000000000002E-2</v>
      </c>
      <c r="BB277" s="53">
        <f>Table43[[#This Row],[Harga Jual Pcs MT
(-PPN)]]-Table43[[#This Row],[Harga Beli Pcs
(-PPN)]]</f>
        <v>-3366</v>
      </c>
      <c r="BC277" s="54" t="e">
        <f>Table43[[#This Row],[Column1]]/Table43[[#This Row],[Harga Jual Pcs MT
(-PPN)]]</f>
        <v>#DIV/0!</v>
      </c>
      <c r="BD277" s="52"/>
      <c r="BE277" s="7"/>
      <c r="BF277" s="7" t="str">
        <f ca="1">IF(TODAY()-Table43[[#This Row],[Efektif
Pembuatan]]&gt;60,"Lama","Baru")</f>
        <v>Lama</v>
      </c>
      <c r="BG277" s="7" t="str">
        <f ca="1">IF(TODAY()-Table43[[#This Row],[Efektif Naik Harga]]&lt;30,"Naik","Sama")</f>
        <v>Sama</v>
      </c>
      <c r="BH277" s="7"/>
      <c r="BI277" s="7" t="str">
        <f>IF(Table43[[#This Row],[Kode BARANG Win2]]&lt;&gt;"","IDR","")</f>
        <v>IDR</v>
      </c>
      <c r="BJ277" s="7" t="str">
        <f>CONCATENATE(Table43[[#This Row],[kode  1 Digit
(Nomor)]],Table43[[#This Row],[kode  4 Digit                (Nomor)]])</f>
        <v>0024</v>
      </c>
      <c r="BK277" s="7" t="str">
        <f>Table43[[#This Row],[Nama            Gramasi atau Jumlah Pack per CTN]]</f>
        <v>24S</v>
      </c>
      <c r="BL277" s="7"/>
      <c r="BM277" s="7"/>
      <c r="BN277" s="4" t="str">
        <f>IF(Table43[[#This Row],[SATUAN Fix Win]]&lt;&gt;"","KRT")</f>
        <v>KRT</v>
      </c>
      <c r="BO277" s="4" t="str">
        <f>IF(Table43[[#This Row],[SATUAN Fix Win]]&lt;&gt;"","GD01")</f>
        <v>GD01</v>
      </c>
      <c r="BP277" s="4">
        <f>IF(Table43[[#This Row],[SATUAN Fix Win]]&lt;&gt;"",11611)</f>
        <v>11611</v>
      </c>
      <c r="BQ277" s="4">
        <f>IF(Table43[[#This Row],[SATUAN Fix Win]]&lt;&gt;"",11612)</f>
        <v>11612</v>
      </c>
      <c r="BS277" s="4">
        <f>IF(Table43[[#This Row],[SATUAN Fix Win]]&lt;&gt;"",1)</f>
        <v>1</v>
      </c>
      <c r="BU277" s="4">
        <f>Table43[[#This Row],[ISI/CTN]]</f>
        <v>36</v>
      </c>
    </row>
    <row r="278" spans="1:75">
      <c r="A278" s="4" t="str">
        <f>CONCATENATE(Table43[[#This Row],[Kode BARANG Win2]],Table43[[#This Row],[No. Urut
Item Sama]])</f>
        <v>G1172003004011</v>
      </c>
      <c r="B278" s="7"/>
      <c r="C278" s="31">
        <v>30321060010001</v>
      </c>
      <c r="D278" s="51">
        <v>40031568</v>
      </c>
      <c r="E278" s="27" t="s">
        <v>2004</v>
      </c>
      <c r="F278" s="51">
        <v>30320040040002</v>
      </c>
      <c r="G278" s="51">
        <v>0</v>
      </c>
      <c r="H278" s="27" t="s">
        <v>1289</v>
      </c>
      <c r="I278" s="27">
        <v>24</v>
      </c>
      <c r="J278" s="51" t="s">
        <v>1695</v>
      </c>
      <c r="K278" s="27" t="str">
        <f>Table43[[#This Row],[NamaJenisKemasan]]</f>
        <v>PCS</v>
      </c>
      <c r="L278" s="4" t="str">
        <f>TRIM(CONCATENATE(Table43[[#This Row],[Nama            KLP]]," ",Table43[[#This Row],[Nama            Sub KLP]]))</f>
        <v>MITU BABY WIPES F&amp;C</v>
      </c>
      <c r="M278" s="4" t="str">
        <f>CONCATENATE(Table43[[#This Row],[kode  2 Digit                (hrf+No)]],Table43[[#This Row],[kode  2 Digit                (Nomor)]],Table43[[#This Row],[kode  1 Digit                (Nomor)]])</f>
        <v>G1172</v>
      </c>
      <c r="N278" s="4" t="str">
        <f>IF(AI278="",CONCATENATE(S278,U278,W278,Y278,AA278,AC278,AE278,AG278,Table43[[#This Row],[Tanda Kode Revisi]]),CONCATENATE(S278,U278,W278,Y278,AA278,AC278,AE278,AI278))</f>
        <v>G1172003004011</v>
      </c>
      <c r="O278" s="11">
        <f t="shared" si="6"/>
        <v>14</v>
      </c>
      <c r="P278" s="14" t="str">
        <f>IF(AH278&lt;&gt;"",TRIM(UPPER(CONCATENATE(R278," ",T278," ",V278," ",X278," ",Z278," ",AB278," ","X"," ",Table43[[#This Row],[ISI/CTN]]," ",AH278," ",AD278," ",AF278," ",AJ278))),TRIM(UPPER(CONCATENATE(R278," ",T278," ",V278," ",X278," ",Z278," ",AB278," ","X"," ",Table43[[#This Row],[ISI/CTN]]," ",AD278," ",AF278," ",AJ278))))</f>
        <v>MITU BABY WIPES F&amp;C PINK CHERRY 40S X 24 PCS BOGOF</v>
      </c>
      <c r="Q278" s="11">
        <f t="shared" si="7"/>
        <v>50</v>
      </c>
      <c r="S278" s="7" t="s">
        <v>34</v>
      </c>
      <c r="T278" s="4" t="s">
        <v>2555</v>
      </c>
      <c r="U278" s="47" t="s">
        <v>2563</v>
      </c>
      <c r="V278" s="48" t="s">
        <v>2327</v>
      </c>
      <c r="W278" s="7">
        <v>2</v>
      </c>
      <c r="X278" s="48"/>
      <c r="Y278" s="47" t="s">
        <v>1116</v>
      </c>
      <c r="Z278" s="4" t="s">
        <v>2332</v>
      </c>
      <c r="AA278" s="49" t="s">
        <v>2538</v>
      </c>
      <c r="AB278" s="4" t="s">
        <v>2355</v>
      </c>
      <c r="AC278" s="49" t="s">
        <v>2625</v>
      </c>
      <c r="AD278" s="4" t="s">
        <v>185</v>
      </c>
      <c r="AE278" s="7">
        <v>1</v>
      </c>
      <c r="AF278" s="4" t="s">
        <v>2338</v>
      </c>
      <c r="AG278" s="7">
        <v>1</v>
      </c>
      <c r="AK278" s="70">
        <f>Table43[[#This Row],[Column4]]</f>
        <v>30320040040002</v>
      </c>
      <c r="AN278" s="7">
        <f>Table43[[#This Row],[ISI/CTN]]</f>
        <v>24</v>
      </c>
      <c r="AO278" s="38">
        <f>Table43[[#This Row],[Harga Jual Pcs GT
(-PPN)]]-(Table43[[#This Row],[Harga Jual Pcs GT
(-PPN)]]*6.5%)</f>
        <v>9882.9500000000007</v>
      </c>
      <c r="AP278" s="38">
        <f>Table43[[#This Row],[Harga Beli Pcs
(-PPN)]]*Table43[[#This Row],[ISI/CTN]]</f>
        <v>237190.80000000002</v>
      </c>
      <c r="AQ278" s="38">
        <f>Table43[[#This Row],[Harga Beli Pcs
(-PPN)]]*1.11</f>
        <v>10970.074500000002</v>
      </c>
      <c r="AR278" s="38">
        <f>Table43[[#This Row],[Harga Beli Krt
(- PPN)]]*1.11</f>
        <v>263281.78800000006</v>
      </c>
      <c r="AS278" s="38">
        <v>10570</v>
      </c>
      <c r="AT278" s="38">
        <f>Table43[[#This Row],[Harga Jual Pcs GT
(-PPN)]]*Table43[[#This Row],[ISI/CTN]]</f>
        <v>253680</v>
      </c>
      <c r="AU278" s="38">
        <f>Table43[[#This Row],[Harga Jual Pcs GT
(-PPN)]]*1.11</f>
        <v>11732.7</v>
      </c>
      <c r="AV278" s="38">
        <f>Table43[[#This Row],[Harga Jual Krt GT
(- PPN)]]*1.11</f>
        <v>281584.80000000005</v>
      </c>
      <c r="AW278" s="38">
        <f>IFERROR(VLOOKUP(Table43[[#This Row],[Kode Pcpl]],'[1]FEB 2026'!$A$3:$X$312,24,0),0)</f>
        <v>0</v>
      </c>
      <c r="AX278" s="38">
        <f>Table43[[#This Row],[Harga Jual Pcs MT
(-PPN)]]*Table43[[#This Row],[ISI/CTN]]</f>
        <v>0</v>
      </c>
      <c r="AY278" s="38">
        <f>Table43[[#This Row],[Harga Jual Pcs MT
(-PPN)]]*1.11</f>
        <v>0</v>
      </c>
      <c r="AZ278" s="38">
        <f>Table43[[#This Row],[Harga Jual Pcs MT
(+PPN)]]*Table43[[#This Row],[ISI/CTN]]</f>
        <v>0</v>
      </c>
      <c r="BA278" s="46">
        <f>(Table43[[#This Row],[Harga Jual Pcs GT
(-PPN)]]-Table43[[#This Row],[Harga Beli Pcs
(-PPN)]])/Table43[[#This Row],[Harga Jual Pcs GT
(-PPN)]]</f>
        <v>6.4999999999999933E-2</v>
      </c>
      <c r="BB278" s="53">
        <f>Table43[[#This Row],[Harga Jual Pcs MT
(-PPN)]]-Table43[[#This Row],[Harga Beli Pcs
(-PPN)]]</f>
        <v>-9882.9500000000007</v>
      </c>
      <c r="BC278" s="54" t="e">
        <f>Table43[[#This Row],[Column1]]/Table43[[#This Row],[Harga Jual Pcs MT
(-PPN)]]</f>
        <v>#DIV/0!</v>
      </c>
      <c r="BD278" s="52"/>
      <c r="BE278" s="7"/>
      <c r="BF278" s="7" t="str">
        <f ca="1">IF(TODAY()-Table43[[#This Row],[Efektif
Pembuatan]]&gt;60,"Lama","Baru")</f>
        <v>Lama</v>
      </c>
      <c r="BG278" s="7" t="str">
        <f ca="1">IF(TODAY()-Table43[[#This Row],[Efektif Naik Harga]]&lt;30,"Naik","Sama")</f>
        <v>Sama</v>
      </c>
      <c r="BH278" s="7"/>
      <c r="BI278" s="7" t="str">
        <f>IF(Table43[[#This Row],[Kode BARANG Win2]]&lt;&gt;"","IDR","")</f>
        <v>IDR</v>
      </c>
      <c r="BJ278" s="7" t="str">
        <f>CONCATENATE(Table43[[#This Row],[kode  1 Digit
(Nomor)]],Table43[[#This Row],[kode  4 Digit                (Nomor)]])</f>
        <v>0040</v>
      </c>
      <c r="BK278" s="7" t="str">
        <f>Table43[[#This Row],[Nama            Gramasi atau Jumlah Pack per CTN]]</f>
        <v>40S</v>
      </c>
      <c r="BL278" s="7"/>
      <c r="BM278" s="7"/>
      <c r="BN278" s="4" t="str">
        <f>IF(Table43[[#This Row],[SATUAN Fix Win]]&lt;&gt;"","KRT")</f>
        <v>KRT</v>
      </c>
      <c r="BO278" s="4" t="str">
        <f>IF(Table43[[#This Row],[SATUAN Fix Win]]&lt;&gt;"","GD01")</f>
        <v>GD01</v>
      </c>
      <c r="BP278" s="4">
        <f>IF(Table43[[#This Row],[SATUAN Fix Win]]&lt;&gt;"",11611)</f>
        <v>11611</v>
      </c>
      <c r="BQ278" s="4">
        <f>IF(Table43[[#This Row],[SATUAN Fix Win]]&lt;&gt;"",11612)</f>
        <v>11612</v>
      </c>
      <c r="BS278" s="4">
        <f>IF(Table43[[#This Row],[SATUAN Fix Win]]&lt;&gt;"",1)</f>
        <v>1</v>
      </c>
      <c r="BU278" s="4">
        <f>Table43[[#This Row],[ISI/CTN]]</f>
        <v>24</v>
      </c>
    </row>
    <row r="279" spans="1:75">
      <c r="A279" s="4" t="str">
        <f>CONCATENATE(Table43[[#This Row],[Kode BARANG Win2]],Table43[[#This Row],[No. Urut
Item Sama]])</f>
        <v>G1172003006020</v>
      </c>
      <c r="B279" s="7"/>
      <c r="C279" s="31">
        <v>30340030090020</v>
      </c>
      <c r="D279" s="51">
        <v>40027240</v>
      </c>
      <c r="E279" s="27" t="s">
        <v>2001</v>
      </c>
      <c r="F279" s="51">
        <v>30320030060010</v>
      </c>
      <c r="G279" s="51">
        <v>0</v>
      </c>
      <c r="H279" s="27" t="s">
        <v>1286</v>
      </c>
      <c r="I279" s="27">
        <v>24</v>
      </c>
      <c r="J279" s="51" t="s">
        <v>1692</v>
      </c>
      <c r="K279" s="27" t="str">
        <f>Table43[[#This Row],[NamaJenisKemasan]]</f>
        <v>BTL</v>
      </c>
      <c r="L279" s="4" t="str">
        <f>TRIM(CONCATENATE(Table43[[#This Row],[Nama            KLP]]," ",Table43[[#This Row],[Nama            Sub KLP]]))</f>
        <v>MITU BABY WIPES F&amp;C</v>
      </c>
      <c r="M279" s="4" t="str">
        <f>CONCATENATE(Table43[[#This Row],[kode  2 Digit                (hrf+No)]],Table43[[#This Row],[kode  2 Digit                (Nomor)]],Table43[[#This Row],[kode  1 Digit                (Nomor)]])</f>
        <v>G1172</v>
      </c>
      <c r="N279" s="4" t="str">
        <f>IF(AI279="",CONCATENATE(S279,U279,W279,Y279,AA279,AC279,AE279,AG279,Table43[[#This Row],[Tanda Kode Revisi]]),CONCATENATE(S279,U279,W279,Y279,AA279,AC279,AE279,AI279))</f>
        <v>G1172003006020</v>
      </c>
      <c r="O279" s="11">
        <f t="shared" si="6"/>
        <v>14</v>
      </c>
      <c r="P279" s="14" t="str">
        <f>IF(AH279&lt;&gt;"",TRIM(UPPER(CONCATENATE(R279," ",T279," ",V279," ",X279," ",Z279," ",AB279," ","X"," ",Table43[[#This Row],[ISI/CTN]]," ",AH279," ",AD279," ",AF279," ",AJ279))),TRIM(UPPER(CONCATENATE(R279," ",T279," ",V279," ",X279," ",Z279," ",AB279," ","X"," ",Table43[[#This Row],[ISI/CTN]]," ",AD279," ",AF279," ",AJ279))))</f>
        <v>MITU BABY WIPES F&amp;C PINK CHERRY 60S X 24 BTL</v>
      </c>
      <c r="Q279" s="11">
        <f t="shared" si="7"/>
        <v>44</v>
      </c>
      <c r="S279" s="7" t="s">
        <v>34</v>
      </c>
      <c r="T279" s="4" t="s">
        <v>2555</v>
      </c>
      <c r="U279" s="47" t="s">
        <v>2563</v>
      </c>
      <c r="V279" s="48" t="s">
        <v>2327</v>
      </c>
      <c r="W279" s="7">
        <v>2</v>
      </c>
      <c r="X279" s="48"/>
      <c r="Y279" s="47" t="s">
        <v>1116</v>
      </c>
      <c r="Z279" s="4" t="s">
        <v>2332</v>
      </c>
      <c r="AA279" s="49" t="s">
        <v>2538</v>
      </c>
      <c r="AB279" s="4" t="s">
        <v>2291</v>
      </c>
      <c r="AC279" s="49" t="s">
        <v>2633</v>
      </c>
      <c r="AD279" s="4" t="s">
        <v>647</v>
      </c>
      <c r="AE279" s="7">
        <v>2</v>
      </c>
      <c r="AG279" s="7">
        <v>0</v>
      </c>
      <c r="AK279" s="70">
        <f>Table43[[#This Row],[Column4]]</f>
        <v>30320030060010</v>
      </c>
      <c r="AN279" s="7">
        <f>Table43[[#This Row],[ISI/CTN]]</f>
        <v>24</v>
      </c>
      <c r="AO279" s="38">
        <f>Table43[[#This Row],[Harga Jual Pcs GT
(-PPN)]]-(Table43[[#This Row],[Harga Jual Pcs GT
(-PPN)]]*6.5%)</f>
        <v>13482.7</v>
      </c>
      <c r="AP279" s="38">
        <f>Table43[[#This Row],[Harga Beli Pcs
(-PPN)]]*Table43[[#This Row],[ISI/CTN]]</f>
        <v>323584.80000000005</v>
      </c>
      <c r="AQ279" s="38">
        <f>Table43[[#This Row],[Harga Beli Pcs
(-PPN)]]*1.11</f>
        <v>14965.797000000002</v>
      </c>
      <c r="AR279" s="38">
        <f>Table43[[#This Row],[Harga Beli Krt
(- PPN)]]*1.11</f>
        <v>359179.12800000008</v>
      </c>
      <c r="AS279" s="38">
        <v>14420</v>
      </c>
      <c r="AT279" s="38">
        <f>Table43[[#This Row],[Harga Jual Pcs GT
(-PPN)]]*Table43[[#This Row],[ISI/CTN]]</f>
        <v>346080</v>
      </c>
      <c r="AU279" s="38">
        <f>Table43[[#This Row],[Harga Jual Pcs GT
(-PPN)]]*1.11</f>
        <v>16006.2</v>
      </c>
      <c r="AV279" s="38">
        <f>Table43[[#This Row],[Harga Jual Krt GT
(- PPN)]]*1.11</f>
        <v>384148.80000000005</v>
      </c>
      <c r="AW279" s="38">
        <f>IFERROR(VLOOKUP(Table43[[#This Row],[Kode Pcpl]],'[1]FEB 2026'!$A$3:$X$312,24,0),0)</f>
        <v>0</v>
      </c>
      <c r="AX279" s="38">
        <f>Table43[[#This Row],[Harga Jual Pcs MT
(-PPN)]]*Table43[[#This Row],[ISI/CTN]]</f>
        <v>0</v>
      </c>
      <c r="AY279" s="38">
        <f>Table43[[#This Row],[Harga Jual Pcs MT
(-PPN)]]*1.11</f>
        <v>0</v>
      </c>
      <c r="AZ279" s="38">
        <f>Table43[[#This Row],[Harga Jual Pcs MT
(+PPN)]]*Table43[[#This Row],[ISI/CTN]]</f>
        <v>0</v>
      </c>
      <c r="BA279" s="46">
        <f>(Table43[[#This Row],[Harga Jual Pcs GT
(-PPN)]]-Table43[[#This Row],[Harga Beli Pcs
(-PPN)]])/Table43[[#This Row],[Harga Jual Pcs GT
(-PPN)]]</f>
        <v>6.4999999999999947E-2</v>
      </c>
      <c r="BB279" s="53">
        <f>Table43[[#This Row],[Harga Jual Pcs MT
(-PPN)]]-Table43[[#This Row],[Harga Beli Pcs
(-PPN)]]</f>
        <v>-13482.7</v>
      </c>
      <c r="BC279" s="54" t="e">
        <f>Table43[[#This Row],[Column1]]/Table43[[#This Row],[Harga Jual Pcs MT
(-PPN)]]</f>
        <v>#DIV/0!</v>
      </c>
      <c r="BD279" s="52"/>
      <c r="BE279" s="7"/>
      <c r="BF279" s="7" t="str">
        <f ca="1">IF(TODAY()-Table43[[#This Row],[Efektif
Pembuatan]]&gt;60,"Lama","Baru")</f>
        <v>Lama</v>
      </c>
      <c r="BG279" s="7" t="str">
        <f ca="1">IF(TODAY()-Table43[[#This Row],[Efektif Naik Harga]]&lt;30,"Naik","Sama")</f>
        <v>Sama</v>
      </c>
      <c r="BH279" s="7"/>
      <c r="BI279" s="7" t="str">
        <f>IF(Table43[[#This Row],[Kode BARANG Win2]]&lt;&gt;"","IDR","")</f>
        <v>IDR</v>
      </c>
      <c r="BJ279" s="7" t="str">
        <f>CONCATENATE(Table43[[#This Row],[kode  1 Digit
(Nomor)]],Table43[[#This Row],[kode  4 Digit                (Nomor)]])</f>
        <v>0060</v>
      </c>
      <c r="BK279" s="7" t="str">
        <f>Table43[[#This Row],[Nama            Gramasi atau Jumlah Pack per CTN]]</f>
        <v>60S</v>
      </c>
      <c r="BL279" s="7"/>
      <c r="BM279" s="7"/>
      <c r="BN279" s="4" t="str">
        <f>IF(Table43[[#This Row],[SATUAN Fix Win]]&lt;&gt;"","KRT")</f>
        <v>KRT</v>
      </c>
      <c r="BO279" s="4" t="str">
        <f>IF(Table43[[#This Row],[SATUAN Fix Win]]&lt;&gt;"","GD01")</f>
        <v>GD01</v>
      </c>
      <c r="BP279" s="4">
        <f>IF(Table43[[#This Row],[SATUAN Fix Win]]&lt;&gt;"",11611)</f>
        <v>11611</v>
      </c>
      <c r="BQ279" s="4">
        <f>IF(Table43[[#This Row],[SATUAN Fix Win]]&lt;&gt;"",11612)</f>
        <v>11612</v>
      </c>
      <c r="BS279" s="4">
        <f>IF(Table43[[#This Row],[SATUAN Fix Win]]&lt;&gt;"",1)</f>
        <v>1</v>
      </c>
      <c r="BU279" s="4">
        <f>Table43[[#This Row],[ISI/CTN]]</f>
        <v>24</v>
      </c>
    </row>
    <row r="280" spans="1:75">
      <c r="A280" s="4" t="str">
        <f>CONCATENATE(Table43[[#This Row],[Kode BARANG Win2]],Table43[[#This Row],[No. Urut
Item Sama]])</f>
        <v>G1181000025010</v>
      </c>
      <c r="B280" s="7"/>
      <c r="C280" s="31">
        <v>30351020150000</v>
      </c>
      <c r="D280" s="51">
        <v>40018118</v>
      </c>
      <c r="E280" s="27" t="s">
        <v>2011</v>
      </c>
      <c r="F280" s="51">
        <v>30330010250000</v>
      </c>
      <c r="G280" s="51">
        <v>0</v>
      </c>
      <c r="H280" s="27" t="s">
        <v>1297</v>
      </c>
      <c r="I280" s="27">
        <v>36</v>
      </c>
      <c r="J280" s="51" t="s">
        <v>1702</v>
      </c>
      <c r="K280" s="27" t="str">
        <f>Table43[[#This Row],[NamaJenisKemasan]]</f>
        <v>PACK</v>
      </c>
      <c r="L280" s="4" t="str">
        <f>TRIM(CONCATENATE(Table43[[#This Row],[Nama            KLP]]," ",Table43[[#This Row],[Nama            Sub KLP]]))</f>
        <v>MITU MINI ZIPLOCK</v>
      </c>
      <c r="M280" s="4" t="str">
        <f>CONCATENATE(Table43[[#This Row],[kode  2 Digit                (hrf+No)]],Table43[[#This Row],[kode  2 Digit                (Nomor)]],Table43[[#This Row],[kode  1 Digit                (Nomor)]])</f>
        <v>G1181</v>
      </c>
      <c r="N280" s="4" t="str">
        <f>IF(AI280="",CONCATENATE(S280,U280,W280,Y280,AA280,AC280,AE280,AG280,Table43[[#This Row],[Tanda Kode Revisi]]),CONCATENATE(S280,U280,W280,Y280,AA280,AC280,AE280,AI280))</f>
        <v>G1181000025010</v>
      </c>
      <c r="O280" s="11">
        <f t="shared" si="6"/>
        <v>14</v>
      </c>
      <c r="P280" s="14" t="str">
        <f>IF(AH280&lt;&gt;"",TRIM(UPPER(CONCATENATE(R280," ",T280," ",V280," ",X280," ",Z280," ",AB280," ","X"," ",Table43[[#This Row],[ISI/CTN]]," ",AH280," ",AD280," ",AF280," ",AJ280))),TRIM(UPPER(CONCATENATE(R280," ",T280," ",V280," ",X280," ",Z280," ",AB280," ","X"," ",Table43[[#This Row],[ISI/CTN]]," ",AD280," ",AF280," ",AJ280))))</f>
        <v>MITU MINI ZIPLOCK 250GR X 36 PACK</v>
      </c>
      <c r="Q280" s="11">
        <f t="shared" si="7"/>
        <v>33</v>
      </c>
      <c r="S280" s="7" t="s">
        <v>34</v>
      </c>
      <c r="T280" s="4" t="s">
        <v>2318</v>
      </c>
      <c r="U280" s="47" t="s">
        <v>2564</v>
      </c>
      <c r="V280" s="48" t="s">
        <v>2320</v>
      </c>
      <c r="W280" s="7">
        <v>1</v>
      </c>
      <c r="X280" s="48"/>
      <c r="Y280" s="47" t="s">
        <v>1116</v>
      </c>
      <c r="AA280" s="49" t="s">
        <v>1117</v>
      </c>
      <c r="AB280" s="4" t="s">
        <v>2275</v>
      </c>
      <c r="AC280" s="49" t="s">
        <v>2613</v>
      </c>
      <c r="AD280" s="4" t="s">
        <v>663</v>
      </c>
      <c r="AE280" s="7">
        <v>1</v>
      </c>
      <c r="AG280" s="7">
        <v>0</v>
      </c>
      <c r="AK280" s="70">
        <f>Table43[[#This Row],[Column4]]</f>
        <v>30330010250000</v>
      </c>
      <c r="AN280" s="7">
        <f>Table43[[#This Row],[ISI/CTN]]</f>
        <v>36</v>
      </c>
      <c r="AO280" s="38">
        <f>Table43[[#This Row],[Harga Jual Pcs GT
(-PPN)]]-(Table43[[#This Row],[Harga Jual Pcs GT
(-PPN)]]*6.5%)</f>
        <v>18232.5</v>
      </c>
      <c r="AP280" s="38">
        <f>Table43[[#This Row],[Harga Beli Pcs
(-PPN)]]*Table43[[#This Row],[ISI/CTN]]</f>
        <v>656370</v>
      </c>
      <c r="AQ280" s="38">
        <f>Table43[[#This Row],[Harga Beli Pcs
(-PPN)]]*1.11</f>
        <v>20238.075000000001</v>
      </c>
      <c r="AR280" s="38">
        <f>Table43[[#This Row],[Harga Beli Krt
(- PPN)]]*1.11</f>
        <v>728570.70000000007</v>
      </c>
      <c r="AS280" s="38">
        <v>19500</v>
      </c>
      <c r="AT280" s="38">
        <f>Table43[[#This Row],[Harga Jual Pcs GT
(-PPN)]]*Table43[[#This Row],[ISI/CTN]]</f>
        <v>702000</v>
      </c>
      <c r="AU280" s="38">
        <f>Table43[[#This Row],[Harga Jual Pcs GT
(-PPN)]]*1.11</f>
        <v>21645.000000000004</v>
      </c>
      <c r="AV280" s="38">
        <f>Table43[[#This Row],[Harga Jual Krt GT
(- PPN)]]*1.11</f>
        <v>779220.00000000012</v>
      </c>
      <c r="AW280" s="38">
        <f>IFERROR(VLOOKUP(Table43[[#This Row],[Kode Pcpl]],'[1]FEB 2026'!$A$3:$X$312,24,0),0)</f>
        <v>0</v>
      </c>
      <c r="AX280" s="38">
        <f>Table43[[#This Row],[Harga Jual Pcs MT
(-PPN)]]*Table43[[#This Row],[ISI/CTN]]</f>
        <v>0</v>
      </c>
      <c r="AY280" s="38">
        <f>Table43[[#This Row],[Harga Jual Pcs MT
(-PPN)]]*1.11</f>
        <v>0</v>
      </c>
      <c r="AZ280" s="38">
        <f>Table43[[#This Row],[Harga Jual Pcs MT
(+PPN)]]*Table43[[#This Row],[ISI/CTN]]</f>
        <v>0</v>
      </c>
      <c r="BA280" s="46">
        <f>(Table43[[#This Row],[Harga Jual Pcs GT
(-PPN)]]-Table43[[#This Row],[Harga Beli Pcs
(-PPN)]])/Table43[[#This Row],[Harga Jual Pcs GT
(-PPN)]]</f>
        <v>6.5000000000000002E-2</v>
      </c>
      <c r="BB280" s="53">
        <f>Table43[[#This Row],[Harga Jual Pcs MT
(-PPN)]]-Table43[[#This Row],[Harga Beli Pcs
(-PPN)]]</f>
        <v>-18232.5</v>
      </c>
      <c r="BC280" s="54" t="e">
        <f>Table43[[#This Row],[Column1]]/Table43[[#This Row],[Harga Jual Pcs MT
(-PPN)]]</f>
        <v>#DIV/0!</v>
      </c>
      <c r="BD280" s="52"/>
      <c r="BE280" s="7"/>
      <c r="BF280" s="7" t="str">
        <f ca="1">IF(TODAY()-Table43[[#This Row],[Efektif
Pembuatan]]&gt;60,"Lama","Baru")</f>
        <v>Lama</v>
      </c>
      <c r="BG280" s="7" t="str">
        <f ca="1">IF(TODAY()-Table43[[#This Row],[Efektif Naik Harga]]&lt;30,"Naik","Sama")</f>
        <v>Sama</v>
      </c>
      <c r="BH280" s="7"/>
      <c r="BI280" s="7" t="str">
        <f>IF(Table43[[#This Row],[Kode BARANG Win2]]&lt;&gt;"","IDR","")</f>
        <v>IDR</v>
      </c>
      <c r="BJ280" s="7" t="str">
        <f>CONCATENATE(Table43[[#This Row],[kode  1 Digit
(Nomor)]],Table43[[#This Row],[kode  4 Digit                (Nomor)]])</f>
        <v>0250</v>
      </c>
      <c r="BK280" s="7" t="str">
        <f>Table43[[#This Row],[Nama            Gramasi atau Jumlah Pack per CTN]]</f>
        <v>250GR</v>
      </c>
      <c r="BL280" s="7"/>
      <c r="BM280" s="7"/>
      <c r="BN280" s="4" t="str">
        <f>IF(Table43[[#This Row],[SATUAN Fix Win]]&lt;&gt;"","KRT")</f>
        <v>KRT</v>
      </c>
      <c r="BO280" s="4" t="str">
        <f>IF(Table43[[#This Row],[SATUAN Fix Win]]&lt;&gt;"","GD01")</f>
        <v>GD01</v>
      </c>
      <c r="BP280" s="4">
        <f>IF(Table43[[#This Row],[SATUAN Fix Win]]&lt;&gt;"",11611)</f>
        <v>11611</v>
      </c>
      <c r="BQ280" s="4">
        <f>IF(Table43[[#This Row],[SATUAN Fix Win]]&lt;&gt;"",11612)</f>
        <v>11612</v>
      </c>
      <c r="BS280" s="4">
        <f>IF(Table43[[#This Row],[SATUAN Fix Win]]&lt;&gt;"",1)</f>
        <v>1</v>
      </c>
      <c r="BU280" s="4">
        <f>Table43[[#This Row],[ISI/CTN]]</f>
        <v>36</v>
      </c>
    </row>
    <row r="281" spans="1:75">
      <c r="A281" s="4" t="str">
        <f>CONCATENATE(Table43[[#This Row],[Kode BARANG Win2]],Table43[[#This Row],[No. Urut
Item Sama]])</f>
        <v>G1190001009020</v>
      </c>
      <c r="B281" s="7"/>
      <c r="C281" s="31">
        <v>30351030150000</v>
      </c>
      <c r="D281" s="51">
        <v>40012841</v>
      </c>
      <c r="E281" s="27" t="s">
        <v>2013</v>
      </c>
      <c r="F281" s="51">
        <v>30340030090020</v>
      </c>
      <c r="G281" s="51">
        <v>0</v>
      </c>
      <c r="H281" s="27" t="s">
        <v>1299</v>
      </c>
      <c r="I281" s="27">
        <v>24</v>
      </c>
      <c r="J281" s="51" t="s">
        <v>1704</v>
      </c>
      <c r="K281" s="27" t="str">
        <f>Table43[[#This Row],[NamaJenisKemasan]]</f>
        <v>BTL</v>
      </c>
      <c r="L281" s="4" t="str">
        <f>TRIM(CONCATENATE(Table43[[#This Row],[Nama            KLP]]," ",Table43[[#This Row],[Nama            Sub KLP]]))</f>
        <v>MITU WETTIES</v>
      </c>
      <c r="M281" s="4" t="str">
        <f>CONCATENATE(Table43[[#This Row],[kode  2 Digit                (hrf+No)]],Table43[[#This Row],[kode  2 Digit                (Nomor)]],Table43[[#This Row],[kode  1 Digit                (Nomor)]])</f>
        <v>G1190</v>
      </c>
      <c r="N281" s="4" t="str">
        <f>IF(AI281="",CONCATENATE(S281,U281,W281,Y281,AA281,AC281,AE281,AG281,Table43[[#This Row],[Tanda Kode Revisi]]),CONCATENATE(S281,U281,W281,Y281,AA281,AC281,AE281,AI281))</f>
        <v>G1190001009020</v>
      </c>
      <c r="O281" s="11">
        <f t="shared" si="6"/>
        <v>14</v>
      </c>
      <c r="P281" s="14" t="str">
        <f>IF(AH281&lt;&gt;"",TRIM(UPPER(CONCATENATE(R281," ",T281," ",V281," ",X281," ",Z281," ",AB281," ","X"," ",Table43[[#This Row],[ISI/CTN]]," ",AH281," ",AD281," ",AF281," ",AJ281))),TRIM(UPPER(CONCATENATE(R281," ",T281," ",V281," ",X281," ",Z281," ",AB281," ","X"," ",Table43[[#This Row],[ISI/CTN]]," ",AD281," ",AF281," ",AJ281))))</f>
        <v>MITU WETTIES LEMON 90S X 24 BTL</v>
      </c>
      <c r="Q281" s="11">
        <f t="shared" si="7"/>
        <v>31</v>
      </c>
      <c r="S281" s="7" t="s">
        <v>34</v>
      </c>
      <c r="T281" s="4" t="s">
        <v>2319</v>
      </c>
      <c r="U281" s="47" t="s">
        <v>2565</v>
      </c>
      <c r="V281" s="48"/>
      <c r="W281" s="7">
        <v>0</v>
      </c>
      <c r="X281" s="48"/>
      <c r="Y281" s="47" t="s">
        <v>1116</v>
      </c>
      <c r="Z281" s="4" t="s">
        <v>2321</v>
      </c>
      <c r="AA281" s="49" t="s">
        <v>1115</v>
      </c>
      <c r="AB281" s="4" t="s">
        <v>2324</v>
      </c>
      <c r="AC281" s="49" t="s">
        <v>2641</v>
      </c>
      <c r="AD281" s="4" t="s">
        <v>647</v>
      </c>
      <c r="AE281" s="7">
        <v>2</v>
      </c>
      <c r="AG281" s="7">
        <v>0</v>
      </c>
      <c r="AK281" s="70">
        <f>Table43[[#This Row],[Column4]]</f>
        <v>30340030090020</v>
      </c>
      <c r="AN281" s="7">
        <f>Table43[[#This Row],[ISI/CTN]]</f>
        <v>24</v>
      </c>
      <c r="AO281" s="38">
        <f>Table43[[#This Row],[Harga Jual Pcs GT
(-PPN)]]-(Table43[[#This Row],[Harga Jual Pcs GT
(-PPN)]]*6.5%)</f>
        <v>17045.05</v>
      </c>
      <c r="AP281" s="38">
        <f>Table43[[#This Row],[Harga Beli Pcs
(-PPN)]]*Table43[[#This Row],[ISI/CTN]]</f>
        <v>409081.19999999995</v>
      </c>
      <c r="AQ281" s="38">
        <f>Table43[[#This Row],[Harga Beli Pcs
(-PPN)]]*1.11</f>
        <v>18920.005499999999</v>
      </c>
      <c r="AR281" s="38">
        <f>Table43[[#This Row],[Harga Beli Krt
(- PPN)]]*1.11</f>
        <v>454080.13199999998</v>
      </c>
      <c r="AS281" s="38">
        <v>18230</v>
      </c>
      <c r="AT281" s="38">
        <f>Table43[[#This Row],[Harga Jual Pcs GT
(-PPN)]]*Table43[[#This Row],[ISI/CTN]]</f>
        <v>437520</v>
      </c>
      <c r="AU281" s="38">
        <f>Table43[[#This Row],[Harga Jual Pcs GT
(-PPN)]]*1.11</f>
        <v>20235.300000000003</v>
      </c>
      <c r="AV281" s="38">
        <f>Table43[[#This Row],[Harga Jual Krt GT
(- PPN)]]*1.11</f>
        <v>485647.20000000007</v>
      </c>
      <c r="AW281" s="38">
        <f>IFERROR(VLOOKUP(Table43[[#This Row],[Kode Pcpl]],'[1]FEB 2026'!$A$3:$X$312,24,0),0)</f>
        <v>0</v>
      </c>
      <c r="AX281" s="38">
        <f>Table43[[#This Row],[Harga Jual Pcs MT
(-PPN)]]*Table43[[#This Row],[ISI/CTN]]</f>
        <v>0</v>
      </c>
      <c r="AY281" s="38">
        <f>Table43[[#This Row],[Harga Jual Pcs MT
(-PPN)]]*1.11</f>
        <v>0</v>
      </c>
      <c r="AZ281" s="38">
        <f>Table43[[#This Row],[Harga Jual Pcs MT
(+PPN)]]*Table43[[#This Row],[ISI/CTN]]</f>
        <v>0</v>
      </c>
      <c r="BA281" s="46">
        <f>(Table43[[#This Row],[Harga Jual Pcs GT
(-PPN)]]-Table43[[#This Row],[Harga Beli Pcs
(-PPN)]])/Table43[[#This Row],[Harga Jual Pcs GT
(-PPN)]]</f>
        <v>6.5000000000000044E-2</v>
      </c>
      <c r="BB281" s="53">
        <f>Table43[[#This Row],[Harga Jual Pcs MT
(-PPN)]]-Table43[[#This Row],[Harga Beli Pcs
(-PPN)]]</f>
        <v>-17045.05</v>
      </c>
      <c r="BC281" s="54" t="e">
        <f>Table43[[#This Row],[Column1]]/Table43[[#This Row],[Harga Jual Pcs MT
(-PPN)]]</f>
        <v>#DIV/0!</v>
      </c>
      <c r="BD281" s="52"/>
      <c r="BE281" s="7"/>
      <c r="BF281" s="7" t="str">
        <f ca="1">IF(TODAY()-Table43[[#This Row],[Efektif
Pembuatan]]&gt;60,"Lama","Baru")</f>
        <v>Lama</v>
      </c>
      <c r="BG281" s="7" t="str">
        <f ca="1">IF(TODAY()-Table43[[#This Row],[Efektif Naik Harga]]&lt;30,"Naik","Sama")</f>
        <v>Sama</v>
      </c>
      <c r="BH281" s="7"/>
      <c r="BI281" s="7" t="str">
        <f>IF(Table43[[#This Row],[Kode BARANG Win2]]&lt;&gt;"","IDR","")</f>
        <v>IDR</v>
      </c>
      <c r="BJ281" s="7" t="str">
        <f>CONCATENATE(Table43[[#This Row],[kode  1 Digit
(Nomor)]],Table43[[#This Row],[kode  4 Digit                (Nomor)]])</f>
        <v>0090</v>
      </c>
      <c r="BK281" s="7" t="str">
        <f>Table43[[#This Row],[Nama            Gramasi atau Jumlah Pack per CTN]]</f>
        <v>90S</v>
      </c>
      <c r="BL281" s="7"/>
      <c r="BM281" s="7"/>
      <c r="BN281" s="4" t="str">
        <f>IF(Table43[[#This Row],[SATUAN Fix Win]]&lt;&gt;"","KRT")</f>
        <v>KRT</v>
      </c>
      <c r="BO281" s="4" t="str">
        <f>IF(Table43[[#This Row],[SATUAN Fix Win]]&lt;&gt;"","GD01")</f>
        <v>GD01</v>
      </c>
      <c r="BP281" s="4">
        <f>IF(Table43[[#This Row],[SATUAN Fix Win]]&lt;&gt;"",11611)</f>
        <v>11611</v>
      </c>
      <c r="BQ281" s="4">
        <f>IF(Table43[[#This Row],[SATUAN Fix Win]]&lt;&gt;"",11612)</f>
        <v>11612</v>
      </c>
      <c r="BS281" s="4">
        <f>IF(Table43[[#This Row],[SATUAN Fix Win]]&lt;&gt;"",1)</f>
        <v>1</v>
      </c>
      <c r="BU281" s="4">
        <f>Table43[[#This Row],[ISI/CTN]]</f>
        <v>24</v>
      </c>
    </row>
    <row r="282" spans="1:75">
      <c r="A282" s="4" t="str">
        <f>CONCATENATE(Table43[[#This Row],[Kode BARANG Win2]],Table43[[#This Row],[No. Urut
Item Sama]])</f>
        <v>G1190101009010</v>
      </c>
      <c r="B282" s="7"/>
      <c r="C282" s="31">
        <v>30351040150000</v>
      </c>
      <c r="D282" s="51">
        <v>40012843</v>
      </c>
      <c r="E282" s="27" t="s">
        <v>2016</v>
      </c>
      <c r="F282" s="51">
        <v>30342030090010</v>
      </c>
      <c r="G282" s="51">
        <v>0</v>
      </c>
      <c r="H282" s="27" t="s">
        <v>1302</v>
      </c>
      <c r="I282" s="27">
        <v>24</v>
      </c>
      <c r="J282" s="51" t="s">
        <v>1707</v>
      </c>
      <c r="K282" s="27" t="str">
        <f>Table43[[#This Row],[NamaJenisKemasan]]</f>
        <v>PCS</v>
      </c>
      <c r="L282" s="4" t="str">
        <f>TRIM(CONCATENATE(Table43[[#This Row],[Nama            KLP]]," ",Table43[[#This Row],[Nama            Sub KLP]]))</f>
        <v>MITU WETTIES</v>
      </c>
      <c r="M282" s="4" t="str">
        <f>CONCATENATE(Table43[[#This Row],[kode  2 Digit                (hrf+No)]],Table43[[#This Row],[kode  2 Digit                (Nomor)]],Table43[[#This Row],[kode  1 Digit                (Nomor)]])</f>
        <v>G1190</v>
      </c>
      <c r="N282" s="4" t="str">
        <f>IF(AI282="",CONCATENATE(S282,U282,W282,Y282,AA282,AC282,AE282,AG282,Table43[[#This Row],[Tanda Kode Revisi]]),CONCATENATE(S282,U282,W282,Y282,AA282,AC282,AE282,AI282))</f>
        <v>G1190101009010</v>
      </c>
      <c r="O282" s="11">
        <f t="shared" si="6"/>
        <v>14</v>
      </c>
      <c r="P282" s="14" t="str">
        <f>IF(AH282&lt;&gt;"",TRIM(UPPER(CONCATENATE(R282," ",T282," ",V282," ",X282," ",Z282," ",AB282," ","X"," ",Table43[[#This Row],[ISI/CTN]]," ",AH282," ",AD282," ",AF282," ",AJ282))),TRIM(UPPER(CONCATENATE(R282," ",T282," ",V282," ",X282," ",Z282," ",AB282," ","X"," ",Table43[[#This Row],[ISI/CTN]]," ",AD282," ",AF282," ",AJ282))))</f>
        <v>MITU WETTIES REFILL LEMON 90S X 24 PCS</v>
      </c>
      <c r="Q282" s="11">
        <f t="shared" si="7"/>
        <v>38</v>
      </c>
      <c r="S282" s="7" t="s">
        <v>34</v>
      </c>
      <c r="T282" s="4" t="s">
        <v>2319</v>
      </c>
      <c r="U282" s="47" t="s">
        <v>2565</v>
      </c>
      <c r="V282" s="48"/>
      <c r="W282" s="7">
        <v>0</v>
      </c>
      <c r="X282" s="48" t="s">
        <v>2231</v>
      </c>
      <c r="Y282" s="47" t="s">
        <v>2539</v>
      </c>
      <c r="Z282" s="4" t="s">
        <v>2321</v>
      </c>
      <c r="AA282" s="49" t="s">
        <v>1115</v>
      </c>
      <c r="AB282" s="4" t="s">
        <v>2324</v>
      </c>
      <c r="AC282" s="49" t="s">
        <v>2641</v>
      </c>
      <c r="AD282" s="4" t="s">
        <v>185</v>
      </c>
      <c r="AE282" s="7">
        <v>1</v>
      </c>
      <c r="AG282" s="7">
        <v>0</v>
      </c>
      <c r="AK282" s="70">
        <f>Table43[[#This Row],[Column4]]</f>
        <v>30342030090010</v>
      </c>
      <c r="AN282" s="7">
        <f>Table43[[#This Row],[ISI/CTN]]</f>
        <v>24</v>
      </c>
      <c r="AO282" s="38">
        <f>Table43[[#This Row],[Harga Jual Pcs GT
(-PPN)]]-(Table43[[#This Row],[Harga Jual Pcs GT
(-PPN)]]*6.5%)</f>
        <v>14520.55</v>
      </c>
      <c r="AP282" s="38">
        <f>Table43[[#This Row],[Harga Beli Pcs
(-PPN)]]*Table43[[#This Row],[ISI/CTN]]</f>
        <v>348493.19999999995</v>
      </c>
      <c r="AQ282" s="38">
        <f>Table43[[#This Row],[Harga Beli Pcs
(-PPN)]]*1.11</f>
        <v>16117.810500000001</v>
      </c>
      <c r="AR282" s="38">
        <f>Table43[[#This Row],[Harga Beli Krt
(- PPN)]]*1.11</f>
        <v>386827.45199999999</v>
      </c>
      <c r="AS282" s="38">
        <v>15530</v>
      </c>
      <c r="AT282" s="38">
        <f>Table43[[#This Row],[Harga Jual Pcs GT
(-PPN)]]*Table43[[#This Row],[ISI/CTN]]</f>
        <v>372720</v>
      </c>
      <c r="AU282" s="38">
        <f>Table43[[#This Row],[Harga Jual Pcs GT
(-PPN)]]*1.11</f>
        <v>17238.300000000003</v>
      </c>
      <c r="AV282" s="38">
        <f>Table43[[#This Row],[Harga Jual Krt GT
(- PPN)]]*1.11</f>
        <v>413719.2</v>
      </c>
      <c r="AW282" s="38">
        <f>IFERROR(VLOOKUP(Table43[[#This Row],[Kode Pcpl]],'[1]FEB 2026'!$A$3:$X$312,24,0),0)</f>
        <v>0</v>
      </c>
      <c r="AX282" s="38">
        <f>Table43[[#This Row],[Harga Jual Pcs MT
(-PPN)]]*Table43[[#This Row],[ISI/CTN]]</f>
        <v>0</v>
      </c>
      <c r="AY282" s="38">
        <f>Table43[[#This Row],[Harga Jual Pcs MT
(-PPN)]]*1.11</f>
        <v>0</v>
      </c>
      <c r="AZ282" s="38">
        <f>Table43[[#This Row],[Harga Jual Pcs MT
(+PPN)]]*Table43[[#This Row],[ISI/CTN]]</f>
        <v>0</v>
      </c>
      <c r="BA282" s="46">
        <f>(Table43[[#This Row],[Harga Jual Pcs GT
(-PPN)]]-Table43[[#This Row],[Harga Beli Pcs
(-PPN)]])/Table43[[#This Row],[Harga Jual Pcs GT
(-PPN)]]</f>
        <v>6.5000000000000044E-2</v>
      </c>
      <c r="BB282" s="53">
        <f>Table43[[#This Row],[Harga Jual Pcs MT
(-PPN)]]-Table43[[#This Row],[Harga Beli Pcs
(-PPN)]]</f>
        <v>-14520.55</v>
      </c>
      <c r="BC282" s="54" t="e">
        <f>Table43[[#This Row],[Column1]]/Table43[[#This Row],[Harga Jual Pcs MT
(-PPN)]]</f>
        <v>#DIV/0!</v>
      </c>
      <c r="BD282" s="52"/>
      <c r="BE282" s="7"/>
      <c r="BF282" s="7" t="str">
        <f ca="1">IF(TODAY()-Table43[[#This Row],[Efektif
Pembuatan]]&gt;60,"Lama","Baru")</f>
        <v>Lama</v>
      </c>
      <c r="BG282" s="7" t="str">
        <f ca="1">IF(TODAY()-Table43[[#This Row],[Efektif Naik Harga]]&lt;30,"Naik","Sama")</f>
        <v>Sama</v>
      </c>
      <c r="BH282" s="7"/>
      <c r="BI282" s="7" t="str">
        <f>IF(Table43[[#This Row],[Kode BARANG Win2]]&lt;&gt;"","IDR","")</f>
        <v>IDR</v>
      </c>
      <c r="BJ282" s="7" t="str">
        <f>CONCATENATE(Table43[[#This Row],[kode  1 Digit
(Nomor)]],Table43[[#This Row],[kode  4 Digit                (Nomor)]])</f>
        <v>0090</v>
      </c>
      <c r="BK282" s="7" t="str">
        <f>Table43[[#This Row],[Nama            Gramasi atau Jumlah Pack per CTN]]</f>
        <v>90S</v>
      </c>
      <c r="BL282" s="7"/>
      <c r="BM282" s="7"/>
      <c r="BN282" s="4" t="str">
        <f>IF(Table43[[#This Row],[SATUAN Fix Win]]&lt;&gt;"","KRT")</f>
        <v>KRT</v>
      </c>
      <c r="BO282" s="4" t="str">
        <f>IF(Table43[[#This Row],[SATUAN Fix Win]]&lt;&gt;"","GD01")</f>
        <v>GD01</v>
      </c>
      <c r="BP282" s="4">
        <f>IF(Table43[[#This Row],[SATUAN Fix Win]]&lt;&gt;"",11611)</f>
        <v>11611</v>
      </c>
      <c r="BQ282" s="4">
        <f>IF(Table43[[#This Row],[SATUAN Fix Win]]&lt;&gt;"",11612)</f>
        <v>11612</v>
      </c>
      <c r="BS282" s="4">
        <f>IF(Table43[[#This Row],[SATUAN Fix Win]]&lt;&gt;"",1)</f>
        <v>1</v>
      </c>
      <c r="BU282" s="4">
        <f>Table43[[#This Row],[ISI/CTN]]</f>
        <v>24</v>
      </c>
    </row>
    <row r="283" spans="1:75">
      <c r="A283" s="4" t="str">
        <f>CONCATENATE(Table43[[#This Row],[Kode BARANG Win2]],Table43[[#This Row],[No. Urut
Item Sama]])</f>
        <v>G1191000001020</v>
      </c>
      <c r="B283" s="7"/>
      <c r="C283" s="31">
        <v>30351020150002</v>
      </c>
      <c r="D283" s="51">
        <v>40012840</v>
      </c>
      <c r="E283" s="27" t="s">
        <v>2012</v>
      </c>
      <c r="F283" s="51">
        <v>30340010090020</v>
      </c>
      <c r="G283" s="51">
        <v>0</v>
      </c>
      <c r="H283" s="27" t="s">
        <v>1298</v>
      </c>
      <c r="I283" s="27">
        <v>24</v>
      </c>
      <c r="J283" s="51" t="s">
        <v>1703</v>
      </c>
      <c r="K283" s="27" t="str">
        <f>Table43[[#This Row],[NamaJenisKemasan]]</f>
        <v>BTL</v>
      </c>
      <c r="L283" s="4" t="str">
        <f>TRIM(CONCATENATE(Table43[[#This Row],[Nama            KLP]]," ",Table43[[#This Row],[Nama            Sub KLP]]))</f>
        <v>MITU WETTIES ANTISEPTIC</v>
      </c>
      <c r="M283" s="4" t="str">
        <f>CONCATENATE(Table43[[#This Row],[kode  2 Digit                (hrf+No)]],Table43[[#This Row],[kode  2 Digit                (Nomor)]],Table43[[#This Row],[kode  1 Digit                (Nomor)]])</f>
        <v>G1191</v>
      </c>
      <c r="N283" s="4" t="str">
        <f>IF(AI283="",CONCATENATE(S283,U283,W283,Y283,AA283,AC283,AE283,AG283,Table43[[#This Row],[Tanda Kode Revisi]]),CONCATENATE(S283,U283,W283,Y283,AA283,AC283,AE283,AI283))</f>
        <v>G1191000001020</v>
      </c>
      <c r="O283" s="11">
        <f t="shared" si="6"/>
        <v>14</v>
      </c>
      <c r="P283" s="14" t="str">
        <f>IF(AH283&lt;&gt;"",TRIM(UPPER(CONCATENATE(R283," ",T283," ",V283," ",X283," ",Z283," ",AB283," ","X"," ",Table43[[#This Row],[ISI/CTN]]," ",AH283," ",AD283," ",AF283," ",AJ283))),TRIM(UPPER(CONCATENATE(R283," ",T283," ",V283," ",X283," ",Z283," ",AB283," ","X"," ",Table43[[#This Row],[ISI/CTN]]," ",AD283," ",AF283," ",AJ283))))</f>
        <v>MITU WETTIES ANTISEPTIC 90S X 24 BTL</v>
      </c>
      <c r="Q283" s="11">
        <f t="shared" si="7"/>
        <v>36</v>
      </c>
      <c r="S283" s="7" t="s">
        <v>34</v>
      </c>
      <c r="T283" s="4" t="s">
        <v>2319</v>
      </c>
      <c r="U283" s="47" t="s">
        <v>2565</v>
      </c>
      <c r="V283" s="48" t="s">
        <v>2323</v>
      </c>
      <c r="W283" s="7">
        <v>1</v>
      </c>
      <c r="X283" s="48"/>
      <c r="Y283" s="47" t="s">
        <v>1116</v>
      </c>
      <c r="AA283" s="49" t="s">
        <v>1117</v>
      </c>
      <c r="AB283" s="4" t="s">
        <v>2324</v>
      </c>
      <c r="AC283" s="49" t="s">
        <v>2592</v>
      </c>
      <c r="AD283" s="4" t="s">
        <v>647</v>
      </c>
      <c r="AE283" s="7">
        <v>2</v>
      </c>
      <c r="AG283" s="7">
        <v>0</v>
      </c>
      <c r="AK283" s="70">
        <f>Table43[[#This Row],[Column4]]</f>
        <v>30340010090020</v>
      </c>
      <c r="AN283" s="7">
        <f>Table43[[#This Row],[ISI/CTN]]</f>
        <v>24</v>
      </c>
      <c r="AO283" s="38">
        <f>Table43[[#This Row],[Harga Jual Pcs GT
(-PPN)]]-(Table43[[#This Row],[Harga Jual Pcs GT
(-PPN)]]*6.5%)</f>
        <v>17045.05</v>
      </c>
      <c r="AP283" s="38">
        <f>Table43[[#This Row],[Harga Beli Pcs
(-PPN)]]*Table43[[#This Row],[ISI/CTN]]</f>
        <v>409081.19999999995</v>
      </c>
      <c r="AQ283" s="38">
        <f>Table43[[#This Row],[Harga Beli Pcs
(-PPN)]]*1.11</f>
        <v>18920.005499999999</v>
      </c>
      <c r="AR283" s="38">
        <f>Table43[[#This Row],[Harga Beli Krt
(- PPN)]]*1.11</f>
        <v>454080.13199999998</v>
      </c>
      <c r="AS283" s="38">
        <v>18230</v>
      </c>
      <c r="AT283" s="38">
        <f>Table43[[#This Row],[Harga Jual Pcs GT
(-PPN)]]*Table43[[#This Row],[ISI/CTN]]</f>
        <v>437520</v>
      </c>
      <c r="AU283" s="38">
        <f>Table43[[#This Row],[Harga Jual Pcs GT
(-PPN)]]*1.11</f>
        <v>20235.300000000003</v>
      </c>
      <c r="AV283" s="38">
        <f>Table43[[#This Row],[Harga Jual Krt GT
(- PPN)]]*1.11</f>
        <v>485647.20000000007</v>
      </c>
      <c r="AW283" s="38">
        <f>IFERROR(VLOOKUP(Table43[[#This Row],[Kode Pcpl]],'[1]FEB 2026'!$A$3:$X$312,24,0),0)</f>
        <v>0</v>
      </c>
      <c r="AX283" s="38">
        <f>Table43[[#This Row],[Harga Jual Pcs MT
(-PPN)]]*Table43[[#This Row],[ISI/CTN]]</f>
        <v>0</v>
      </c>
      <c r="AY283" s="38">
        <f>Table43[[#This Row],[Harga Jual Pcs MT
(-PPN)]]*1.11</f>
        <v>0</v>
      </c>
      <c r="AZ283" s="38">
        <f>Table43[[#This Row],[Harga Jual Pcs MT
(+PPN)]]*Table43[[#This Row],[ISI/CTN]]</f>
        <v>0</v>
      </c>
      <c r="BA283" s="46">
        <f>(Table43[[#This Row],[Harga Jual Pcs GT
(-PPN)]]-Table43[[#This Row],[Harga Beli Pcs
(-PPN)]])/Table43[[#This Row],[Harga Jual Pcs GT
(-PPN)]]</f>
        <v>6.5000000000000044E-2</v>
      </c>
      <c r="BB283" s="53">
        <f>Table43[[#This Row],[Harga Jual Pcs MT
(-PPN)]]-Table43[[#This Row],[Harga Beli Pcs
(-PPN)]]</f>
        <v>-17045.05</v>
      </c>
      <c r="BC283" s="54" t="e">
        <f>Table43[[#This Row],[Column1]]/Table43[[#This Row],[Harga Jual Pcs MT
(-PPN)]]</f>
        <v>#DIV/0!</v>
      </c>
      <c r="BD283" s="52"/>
      <c r="BE283" s="7"/>
      <c r="BF283" s="7" t="str">
        <f ca="1">IF(TODAY()-Table43[[#This Row],[Efektif
Pembuatan]]&gt;60,"Lama","Baru")</f>
        <v>Lama</v>
      </c>
      <c r="BG283" s="7" t="str">
        <f ca="1">IF(TODAY()-Table43[[#This Row],[Efektif Naik Harga]]&lt;30,"Naik","Sama")</f>
        <v>Sama</v>
      </c>
      <c r="BH283" s="7"/>
      <c r="BI283" s="7" t="str">
        <f>IF(Table43[[#This Row],[Kode BARANG Win2]]&lt;&gt;"","IDR","")</f>
        <v>IDR</v>
      </c>
      <c r="BJ283" s="7" t="str">
        <f>CONCATENATE(Table43[[#This Row],[kode  1 Digit
(Nomor)]],Table43[[#This Row],[kode  4 Digit                (Nomor)]])</f>
        <v>0010</v>
      </c>
      <c r="BK283" s="7" t="str">
        <f>Table43[[#This Row],[Nama            Gramasi atau Jumlah Pack per CTN]]</f>
        <v>90S</v>
      </c>
      <c r="BL283" s="7"/>
      <c r="BM283" s="7"/>
      <c r="BN283" s="4" t="str">
        <f>IF(Table43[[#This Row],[SATUAN Fix Win]]&lt;&gt;"","KRT")</f>
        <v>KRT</v>
      </c>
      <c r="BO283" s="4" t="str">
        <f>IF(Table43[[#This Row],[SATUAN Fix Win]]&lt;&gt;"","GD01")</f>
        <v>GD01</v>
      </c>
      <c r="BP283" s="4">
        <f>IF(Table43[[#This Row],[SATUAN Fix Win]]&lt;&gt;"",11611)</f>
        <v>11611</v>
      </c>
      <c r="BQ283" s="4">
        <f>IF(Table43[[#This Row],[SATUAN Fix Win]]&lt;&gt;"",11612)</f>
        <v>11612</v>
      </c>
      <c r="BS283" s="4">
        <f>IF(Table43[[#This Row],[SATUAN Fix Win]]&lt;&gt;"",1)</f>
        <v>1</v>
      </c>
      <c r="BU283" s="4">
        <f>Table43[[#This Row],[ISI/CTN]]</f>
        <v>24</v>
      </c>
    </row>
    <row r="284" spans="1:75">
      <c r="A284" s="4" t="str">
        <f>CONCATENATE(Table43[[#This Row],[Kode BARANG Win2]],Table43[[#This Row],[No. Urut
Item Sama]])</f>
        <v>G1191100009010</v>
      </c>
      <c r="B284" s="7"/>
      <c r="C284" s="31">
        <v>30351030150002</v>
      </c>
      <c r="D284" s="51">
        <v>40012842</v>
      </c>
      <c r="E284" s="27" t="s">
        <v>2015</v>
      </c>
      <c r="F284" s="51">
        <v>30342010090010</v>
      </c>
      <c r="G284" s="51">
        <v>0</v>
      </c>
      <c r="H284" s="27" t="s">
        <v>1301</v>
      </c>
      <c r="I284" s="27">
        <v>24</v>
      </c>
      <c r="J284" s="51" t="s">
        <v>1706</v>
      </c>
      <c r="K284" s="27" t="str">
        <f>Table43[[#This Row],[NamaJenisKemasan]]</f>
        <v>PCS</v>
      </c>
      <c r="L284" s="4" t="str">
        <f>TRIM(CONCATENATE(Table43[[#This Row],[Nama            KLP]]," ",Table43[[#This Row],[Nama            Sub KLP]]))</f>
        <v>MITU WETTIES ANTISEPTIC</v>
      </c>
      <c r="M284" s="4" t="str">
        <f>CONCATENATE(Table43[[#This Row],[kode  2 Digit                (hrf+No)]],Table43[[#This Row],[kode  2 Digit                (Nomor)]],Table43[[#This Row],[kode  1 Digit                (Nomor)]])</f>
        <v>G1191</v>
      </c>
      <c r="N284" s="4" t="str">
        <f>IF(AI284="",CONCATENATE(S284,U284,W284,Y284,AA284,AC284,AE284,AG284,Table43[[#This Row],[Tanda Kode Revisi]]),CONCATENATE(S284,U284,W284,Y284,AA284,AC284,AE284,AI284))</f>
        <v>G1191100009010</v>
      </c>
      <c r="O284" s="11">
        <f t="shared" si="6"/>
        <v>14</v>
      </c>
      <c r="P284" s="14" t="str">
        <f>IF(AH284&lt;&gt;"",TRIM(UPPER(CONCATENATE(R284," ",T284," ",V284," ",X284," ",Z284," ",AB284," ","X"," ",Table43[[#This Row],[ISI/CTN]]," ",AH284," ",AD284," ",AF284," ",AJ284))),TRIM(UPPER(CONCATENATE(R284," ",T284," ",V284," ",X284," ",Z284," ",AB284," ","X"," ",Table43[[#This Row],[ISI/CTN]]," ",AD284," ",AF284," ",AJ284))))</f>
        <v>MITU WETTIES ANTISEPTIC REFILL 90S X 24 PCS</v>
      </c>
      <c r="Q284" s="11">
        <f t="shared" si="7"/>
        <v>43</v>
      </c>
      <c r="S284" s="7" t="s">
        <v>34</v>
      </c>
      <c r="T284" s="4" t="s">
        <v>2319</v>
      </c>
      <c r="U284" s="47" t="s">
        <v>2565</v>
      </c>
      <c r="V284" s="48" t="s">
        <v>2323</v>
      </c>
      <c r="W284" s="7">
        <v>1</v>
      </c>
      <c r="X284" s="48" t="s">
        <v>2231</v>
      </c>
      <c r="Y284" s="47" t="s">
        <v>2539</v>
      </c>
      <c r="AA284" s="49" t="s">
        <v>1117</v>
      </c>
      <c r="AB284" s="4" t="s">
        <v>2324</v>
      </c>
      <c r="AC284" s="49" t="s">
        <v>2641</v>
      </c>
      <c r="AD284" s="4" t="s">
        <v>185</v>
      </c>
      <c r="AE284" s="7">
        <v>1</v>
      </c>
      <c r="AG284" s="7">
        <v>0</v>
      </c>
      <c r="AK284" s="70">
        <f>Table43[[#This Row],[Column4]]</f>
        <v>30342010090010</v>
      </c>
      <c r="AN284" s="7">
        <f>Table43[[#This Row],[ISI/CTN]]</f>
        <v>24</v>
      </c>
      <c r="AO284" s="38">
        <f>Table43[[#This Row],[Harga Jual Pcs GT
(-PPN)]]-(Table43[[#This Row],[Harga Jual Pcs GT
(-PPN)]]*6.5%)</f>
        <v>14520.55</v>
      </c>
      <c r="AP284" s="38">
        <f>Table43[[#This Row],[Harga Beli Pcs
(-PPN)]]*Table43[[#This Row],[ISI/CTN]]</f>
        <v>348493.19999999995</v>
      </c>
      <c r="AQ284" s="38">
        <f>Table43[[#This Row],[Harga Beli Pcs
(-PPN)]]*1.11</f>
        <v>16117.810500000001</v>
      </c>
      <c r="AR284" s="38">
        <f>Table43[[#This Row],[Harga Beli Krt
(- PPN)]]*1.11</f>
        <v>386827.45199999999</v>
      </c>
      <c r="AS284" s="38">
        <v>15530</v>
      </c>
      <c r="AT284" s="38">
        <f>Table43[[#This Row],[Harga Jual Pcs GT
(-PPN)]]*Table43[[#This Row],[ISI/CTN]]</f>
        <v>372720</v>
      </c>
      <c r="AU284" s="38">
        <f>Table43[[#This Row],[Harga Jual Pcs GT
(-PPN)]]*1.11</f>
        <v>17238.300000000003</v>
      </c>
      <c r="AV284" s="38">
        <f>Table43[[#This Row],[Harga Jual Krt GT
(- PPN)]]*1.11</f>
        <v>413719.2</v>
      </c>
      <c r="AW284" s="38">
        <f>IFERROR(VLOOKUP(Table43[[#This Row],[Kode Pcpl]],'[1]FEB 2026'!$A$3:$X$312,24,0),0)</f>
        <v>0</v>
      </c>
      <c r="AX284" s="38">
        <f>Table43[[#This Row],[Harga Jual Pcs MT
(-PPN)]]*Table43[[#This Row],[ISI/CTN]]</f>
        <v>0</v>
      </c>
      <c r="AY284" s="38">
        <f>Table43[[#This Row],[Harga Jual Pcs MT
(-PPN)]]*1.11</f>
        <v>0</v>
      </c>
      <c r="AZ284" s="38">
        <f>Table43[[#This Row],[Harga Jual Pcs MT
(+PPN)]]*Table43[[#This Row],[ISI/CTN]]</f>
        <v>0</v>
      </c>
      <c r="BA284" s="46">
        <f>(Table43[[#This Row],[Harga Jual Pcs GT
(-PPN)]]-Table43[[#This Row],[Harga Beli Pcs
(-PPN)]])/Table43[[#This Row],[Harga Jual Pcs GT
(-PPN)]]</f>
        <v>6.5000000000000044E-2</v>
      </c>
      <c r="BB284" s="53">
        <f>Table43[[#This Row],[Harga Jual Pcs MT
(-PPN)]]-Table43[[#This Row],[Harga Beli Pcs
(-PPN)]]</f>
        <v>-14520.55</v>
      </c>
      <c r="BC284" s="54" t="e">
        <f>Table43[[#This Row],[Column1]]/Table43[[#This Row],[Harga Jual Pcs MT
(-PPN)]]</f>
        <v>#DIV/0!</v>
      </c>
      <c r="BD284" s="52"/>
      <c r="BE284" s="7"/>
      <c r="BF284" s="7" t="str">
        <f ca="1">IF(TODAY()-Table43[[#This Row],[Efektif
Pembuatan]]&gt;60,"Lama","Baru")</f>
        <v>Lama</v>
      </c>
      <c r="BG284" s="7" t="str">
        <f ca="1">IF(TODAY()-Table43[[#This Row],[Efektif Naik Harga]]&lt;30,"Naik","Sama")</f>
        <v>Sama</v>
      </c>
      <c r="BH284" s="7"/>
      <c r="BI284" s="7" t="str">
        <f>IF(Table43[[#This Row],[Kode BARANG Win2]]&lt;&gt;"","IDR","")</f>
        <v>IDR</v>
      </c>
      <c r="BJ284" s="7" t="str">
        <f>CONCATENATE(Table43[[#This Row],[kode  1 Digit
(Nomor)]],Table43[[#This Row],[kode  4 Digit                (Nomor)]])</f>
        <v>0090</v>
      </c>
      <c r="BK284" s="7" t="str">
        <f>Table43[[#This Row],[Nama            Gramasi atau Jumlah Pack per CTN]]</f>
        <v>90S</v>
      </c>
      <c r="BL284" s="7"/>
      <c r="BM284" s="7"/>
      <c r="BN284" s="4" t="str">
        <f>IF(Table43[[#This Row],[SATUAN Fix Win]]&lt;&gt;"","KRT")</f>
        <v>KRT</v>
      </c>
      <c r="BO284" s="4" t="str">
        <f>IF(Table43[[#This Row],[SATUAN Fix Win]]&lt;&gt;"","GD01")</f>
        <v>GD01</v>
      </c>
      <c r="BP284" s="4">
        <f>IF(Table43[[#This Row],[SATUAN Fix Win]]&lt;&gt;"",11611)</f>
        <v>11611</v>
      </c>
      <c r="BQ284" s="4">
        <f>IF(Table43[[#This Row],[SATUAN Fix Win]]&lt;&gt;"",11612)</f>
        <v>11612</v>
      </c>
      <c r="BS284" s="4">
        <f>IF(Table43[[#This Row],[SATUAN Fix Win]]&lt;&gt;"",1)</f>
        <v>1</v>
      </c>
      <c r="BU284" s="4">
        <f>Table43[[#This Row],[ISI/CTN]]</f>
        <v>24</v>
      </c>
    </row>
    <row r="285" spans="1:75">
      <c r="A285" s="4" t="str">
        <f>CONCATENATE(Table43[[#This Row],[Kode BARANG Win2]],Table43[[#This Row],[No. Urut
Item Sama]])</f>
        <v>G1192000001010</v>
      </c>
      <c r="B285" s="7"/>
      <c r="C285" s="31">
        <v>30351040150002</v>
      </c>
      <c r="D285" s="59">
        <v>40008104</v>
      </c>
      <c r="E285" s="60" t="s">
        <v>2014</v>
      </c>
      <c r="F285" s="59">
        <v>30341010010000</v>
      </c>
      <c r="G285" s="59">
        <v>0</v>
      </c>
      <c r="H285" s="60" t="s">
        <v>1300</v>
      </c>
      <c r="I285" s="60">
        <v>144</v>
      </c>
      <c r="J285" s="59" t="s">
        <v>1705</v>
      </c>
      <c r="K285" s="60" t="str">
        <f>Table43[[#This Row],[NamaJenisKemasan]]</f>
        <v>PACK</v>
      </c>
      <c r="L285" s="4" t="str">
        <f>TRIM(CONCATENATE(Table43[[#This Row],[Nama            KLP]]," ",Table43[[#This Row],[Nama            Sub KLP]]))</f>
        <v>MITU WETTIES FAMILY TRAVEL</v>
      </c>
      <c r="M285" s="4" t="str">
        <f>CONCATENATE(Table43[[#This Row],[kode  2 Digit                (hrf+No)]],Table43[[#This Row],[kode  2 Digit                (Nomor)]],Table43[[#This Row],[kode  1 Digit                (Nomor)]])</f>
        <v>G1192</v>
      </c>
      <c r="N285" s="4" t="str">
        <f>IF(AI285="",CONCATENATE(S285,U285,W285,Y285,AA285,AC285,AE285,AG285,Table43[[#This Row],[Tanda Kode Revisi]]),CONCATENATE(S285,U285,W285,Y285,AA285,AC285,AE285,AI285))</f>
        <v>G1192000001010</v>
      </c>
      <c r="O285" s="11">
        <f t="shared" si="6"/>
        <v>14</v>
      </c>
      <c r="P285" s="14" t="str">
        <f>IF(AH285&lt;&gt;"",TRIM(UPPER(CONCATENATE(R285," ",T285," ",V285," ",X285," ",Z285," ",AB285," ","X"," ",Table43[[#This Row],[ISI/CTN]]," ",AH285," ",AD285," ",AF285," ",AJ285))),TRIM(UPPER(CONCATENATE(R285," ",T285," ",V285," ",X285," ",Z285," ",AB285," ","X"," ",Table43[[#This Row],[ISI/CTN]]," ",AD285," ",AF285," ",AJ285))))</f>
        <v>MITU WETTIES FAMILY TRAVEL 10S X 144 PACK</v>
      </c>
      <c r="Q285" s="11">
        <f t="shared" si="7"/>
        <v>41</v>
      </c>
      <c r="S285" s="7" t="s">
        <v>34</v>
      </c>
      <c r="T285" s="4" t="s">
        <v>2319</v>
      </c>
      <c r="U285" s="47" t="s">
        <v>2565</v>
      </c>
      <c r="V285" s="48" t="s">
        <v>2322</v>
      </c>
      <c r="W285" s="7">
        <v>2</v>
      </c>
      <c r="X285" s="48"/>
      <c r="Y285" s="47" t="s">
        <v>1116</v>
      </c>
      <c r="AA285" s="49" t="s">
        <v>1117</v>
      </c>
      <c r="AB285" s="4" t="s">
        <v>2284</v>
      </c>
      <c r="AC285" s="49" t="s">
        <v>2592</v>
      </c>
      <c r="AD285" s="4" t="s">
        <v>663</v>
      </c>
      <c r="AE285" s="7">
        <v>1</v>
      </c>
      <c r="AG285" s="7">
        <v>0</v>
      </c>
      <c r="AK285" s="70">
        <f>Table43[[#This Row],[Column4]]</f>
        <v>30341010010000</v>
      </c>
      <c r="AN285" s="7">
        <f>Table43[[#This Row],[ISI/CTN]]</f>
        <v>144</v>
      </c>
      <c r="AO285" s="61">
        <f>Table43[[#This Row],[Harga Jual Pcs GT
(-PPN)]]-(Table43[[#This Row],[Harga Jual Pcs GT
(-PPN)]]*6.5%)</f>
        <v>2870.45</v>
      </c>
      <c r="AP285" s="61">
        <f>Table43[[#This Row],[Harga Beli Pcs
(-PPN)]]*Table43[[#This Row],[ISI/CTN]]</f>
        <v>413344.8</v>
      </c>
      <c r="AQ285" s="61">
        <f>Table43[[#This Row],[Harga Beli Pcs
(-PPN)]]*1.11</f>
        <v>3186.1995000000002</v>
      </c>
      <c r="AR285" s="61">
        <f>Table43[[#This Row],[Harga Beli Krt
(- PPN)]]*1.11</f>
        <v>458812.728</v>
      </c>
      <c r="AS285" s="61">
        <v>3070</v>
      </c>
      <c r="AT285" s="61">
        <f>Table43[[#This Row],[Harga Jual Pcs GT
(-PPN)]]*Table43[[#This Row],[ISI/CTN]]</f>
        <v>442080</v>
      </c>
      <c r="AU285" s="61">
        <f>Table43[[#This Row],[Harga Jual Pcs GT
(-PPN)]]*1.11</f>
        <v>3407.7000000000003</v>
      </c>
      <c r="AV285" s="61">
        <f>Table43[[#This Row],[Harga Jual Krt GT
(- PPN)]]*1.11</f>
        <v>490708.80000000005</v>
      </c>
      <c r="AW285" s="61">
        <f>IFERROR(VLOOKUP(Table43[[#This Row],[Kode Pcpl]],'[1]FEB 2026'!$A$3:$X$312,24,0),0)</f>
        <v>0</v>
      </c>
      <c r="AX285" s="61">
        <f>Table43[[#This Row],[Harga Jual Pcs MT
(-PPN)]]*Table43[[#This Row],[ISI/CTN]]</f>
        <v>0</v>
      </c>
      <c r="AY285" s="61">
        <f>Table43[[#This Row],[Harga Jual Pcs MT
(-PPN)]]*1.11</f>
        <v>0</v>
      </c>
      <c r="AZ285" s="61">
        <f>Table43[[#This Row],[Harga Jual Pcs MT
(+PPN)]]*Table43[[#This Row],[ISI/CTN]]</f>
        <v>0</v>
      </c>
      <c r="BA285" s="62">
        <f>(Table43[[#This Row],[Harga Jual Pcs GT
(-PPN)]]-Table43[[#This Row],[Harga Beli Pcs
(-PPN)]])/Table43[[#This Row],[Harga Jual Pcs GT
(-PPN)]]</f>
        <v>6.5000000000000058E-2</v>
      </c>
      <c r="BB285" s="63">
        <f>Table43[[#This Row],[Harga Jual Pcs MT
(-PPN)]]-Table43[[#This Row],[Harga Beli Pcs
(-PPN)]]</f>
        <v>-2870.45</v>
      </c>
      <c r="BC285" s="64" t="e">
        <f>Table43[[#This Row],[Column1]]/Table43[[#This Row],[Harga Jual Pcs MT
(-PPN)]]</f>
        <v>#DIV/0!</v>
      </c>
      <c r="BD285" s="52"/>
      <c r="BE285" s="7"/>
      <c r="BF285" s="7" t="str">
        <f ca="1">IF(TODAY()-Table43[[#This Row],[Efektif
Pembuatan]]&gt;60,"Lama","Baru")</f>
        <v>Lama</v>
      </c>
      <c r="BG285" s="7" t="str">
        <f ca="1">IF(TODAY()-Table43[[#This Row],[Efektif Naik Harga]]&lt;30,"Naik","Sama")</f>
        <v>Sama</v>
      </c>
      <c r="BH285" s="7"/>
      <c r="BI285" s="7" t="str">
        <f>IF(Table43[[#This Row],[Kode BARANG Win2]]&lt;&gt;"","IDR","")</f>
        <v>IDR</v>
      </c>
      <c r="BJ285" s="7" t="str">
        <f>CONCATENATE(Table43[[#This Row],[kode  1 Digit
(Nomor)]],Table43[[#This Row],[kode  4 Digit                (Nomor)]])</f>
        <v>0010</v>
      </c>
      <c r="BK285" s="7" t="str">
        <f>Table43[[#This Row],[Nama            Gramasi atau Jumlah Pack per CTN]]</f>
        <v>10S</v>
      </c>
      <c r="BL285" s="7"/>
      <c r="BM285" s="7"/>
      <c r="BN285" s="4" t="str">
        <f>IF(Table43[[#This Row],[SATUAN Fix Win]]&lt;&gt;"","KRT")</f>
        <v>KRT</v>
      </c>
      <c r="BO285" s="4" t="str">
        <f>IF(Table43[[#This Row],[SATUAN Fix Win]]&lt;&gt;"","GD01")</f>
        <v>GD01</v>
      </c>
      <c r="BP285" s="4">
        <f>IF(Table43[[#This Row],[SATUAN Fix Win]]&lt;&gt;"",11611)</f>
        <v>11611</v>
      </c>
      <c r="BQ285" s="4">
        <f>IF(Table43[[#This Row],[SATUAN Fix Win]]&lt;&gt;"",11612)</f>
        <v>11612</v>
      </c>
      <c r="BS285" s="4">
        <f>IF(Table43[[#This Row],[SATUAN Fix Win]]&lt;&gt;"",1)</f>
        <v>1</v>
      </c>
      <c r="BU285" s="4">
        <f>Table43[[#This Row],[ISI/CTN]]</f>
        <v>144</v>
      </c>
    </row>
    <row r="286" spans="1:75">
      <c r="A286" s="4" t="str">
        <f>CONCATENATE(Table43[[#This Row],[Kode BARANG Win2]],Table43[[#This Row],[No. Urut
Item Sama]])</f>
        <v>G1192001001010</v>
      </c>
      <c r="B286" s="7"/>
      <c r="C286" s="31">
        <v>30341030010000</v>
      </c>
      <c r="D286" s="59">
        <v>40008106</v>
      </c>
      <c r="E286" s="67" t="s">
        <v>2491</v>
      </c>
      <c r="F286" s="69">
        <v>30341030010000</v>
      </c>
      <c r="G286" s="69">
        <v>0</v>
      </c>
      <c r="H286" s="60">
        <v>0</v>
      </c>
      <c r="I286" s="60">
        <v>144</v>
      </c>
      <c r="J286" s="59">
        <v>0</v>
      </c>
      <c r="K286" s="60" t="str">
        <f>Table43[[#This Row],[NamaJenisKemasan]]</f>
        <v>PACK</v>
      </c>
      <c r="L286" s="4" t="str">
        <f>TRIM(CONCATENATE(Table43[[#This Row],[Nama            KLP]]," ",Table43[[#This Row],[Nama            Sub KLP]]))</f>
        <v>MITU WETTIES FAMILY TRAVEL</v>
      </c>
      <c r="M286" s="4" t="str">
        <f>CONCATENATE(Table43[[#This Row],[kode  2 Digit                (hrf+No)]],Table43[[#This Row],[kode  2 Digit                (Nomor)]],Table43[[#This Row],[kode  1 Digit                (Nomor)]])</f>
        <v>G1192</v>
      </c>
      <c r="N286" s="4" t="str">
        <f>IF(AI286="",CONCATENATE(S286,U286,W286,Y286,AA286,AC286,AE286,AG286,Table43[[#This Row],[Tanda Kode Revisi]]),CONCATENATE(S286,U286,W286,Y286,AA286,AC286,AE286,AI286))</f>
        <v>G1192001001010</v>
      </c>
      <c r="O286" s="11">
        <f t="shared" si="6"/>
        <v>14</v>
      </c>
      <c r="P286" s="14" t="str">
        <f>IF(AH286&lt;&gt;"",TRIM(UPPER(CONCATENATE(R286," ",T286," ",V286," ",X286," ",Z286," ",AB286," ","X"," ",Table43[[#This Row],[ISI/CTN]]," ",AH286," ",AD286," ",AF286," ",AJ286))),TRIM(UPPER(CONCATENATE(R286," ",T286," ",V286," ",X286," ",Z286," ",AB286," ","X"," ",Table43[[#This Row],[ISI/CTN]]," ",AD286," ",AF286," ",AJ286))))</f>
        <v>MITU WETTIES FAMILY TRAVEL LEMON 10S X 144 PACK</v>
      </c>
      <c r="Q286" s="11">
        <f t="shared" si="7"/>
        <v>47</v>
      </c>
      <c r="S286" s="7" t="s">
        <v>34</v>
      </c>
      <c r="T286" s="4" t="s">
        <v>2319</v>
      </c>
      <c r="U286" s="47" t="s">
        <v>2565</v>
      </c>
      <c r="V286" s="48" t="s">
        <v>2322</v>
      </c>
      <c r="W286" s="7">
        <v>2</v>
      </c>
      <c r="X286" s="48"/>
      <c r="Y286" s="47" t="s">
        <v>1116</v>
      </c>
      <c r="Z286" s="4" t="s">
        <v>2321</v>
      </c>
      <c r="AA286" s="49" t="s">
        <v>1115</v>
      </c>
      <c r="AB286" s="4" t="s">
        <v>2284</v>
      </c>
      <c r="AC286" s="49" t="s">
        <v>2592</v>
      </c>
      <c r="AD286" s="4" t="s">
        <v>663</v>
      </c>
      <c r="AE286" s="7">
        <v>1</v>
      </c>
      <c r="AG286" s="7">
        <v>0</v>
      </c>
      <c r="AK286" s="70">
        <f>Table43[[#This Row],[Column4]]</f>
        <v>30341030010000</v>
      </c>
      <c r="AN286" s="7">
        <f>Table43[[#This Row],[ISI/CTN]]</f>
        <v>144</v>
      </c>
      <c r="AO286" s="38">
        <f>Table43[[#This Row],[Harga Jual Pcs GT
(-PPN)]]-(Table43[[#This Row],[Harga Jual Pcs GT
(-PPN)]]*6.5%)</f>
        <v>2711.5</v>
      </c>
      <c r="AP286" s="38">
        <f>Table43[[#This Row],[Harga Beli Pcs
(-PPN)]]*Table43[[#This Row],[ISI/CTN]]</f>
        <v>390456</v>
      </c>
      <c r="AQ286" s="38">
        <f>Table43[[#This Row],[Harga Beli Pcs
(-PPN)]]*1.11</f>
        <v>3009.7650000000003</v>
      </c>
      <c r="AR286" s="38">
        <f>Table43[[#This Row],[Harga Beli Krt
(- PPN)]]*1.11</f>
        <v>433406.16000000003</v>
      </c>
      <c r="AS286" s="38">
        <v>2900</v>
      </c>
      <c r="AT286" s="38">
        <f>Table43[[#This Row],[Harga Jual Pcs GT
(-PPN)]]*Table43[[#This Row],[ISI/CTN]]</f>
        <v>417600</v>
      </c>
      <c r="AU286" s="38">
        <f>Table43[[#This Row],[Harga Jual Pcs GT
(-PPN)]]*1.11</f>
        <v>3219.0000000000005</v>
      </c>
      <c r="AV286" s="38">
        <f>Table43[[#This Row],[Harga Jual Krt GT
(- PPN)]]*1.11</f>
        <v>463536.00000000006</v>
      </c>
      <c r="AW286" s="38">
        <f>IFERROR(VLOOKUP(Table43[[#This Row],[Kode Pcpl]],'[1]FEB 2026'!$A$3:$X$312,24,0),0)</f>
        <v>0</v>
      </c>
      <c r="AX286" s="38">
        <f>Table43[[#This Row],[Harga Jual Pcs MT
(-PPN)]]*Table43[[#This Row],[ISI/CTN]]</f>
        <v>0</v>
      </c>
      <c r="AY286" s="38">
        <f>Table43[[#This Row],[Harga Jual Pcs MT
(-PPN)]]*1.11</f>
        <v>0</v>
      </c>
      <c r="AZ286" s="38">
        <f>Table43[[#This Row],[Harga Jual Pcs MT
(+PPN)]]*Table43[[#This Row],[ISI/CTN]]</f>
        <v>0</v>
      </c>
      <c r="BA286" s="46">
        <f>(Table43[[#This Row],[Harga Jual Pcs GT
(-PPN)]]-Table43[[#This Row],[Harga Beli Pcs
(-PPN)]])/Table43[[#This Row],[Harga Jual Pcs GT
(-PPN)]]</f>
        <v>6.5000000000000002E-2</v>
      </c>
      <c r="BB286" s="53">
        <f>Table43[[#This Row],[Harga Jual Pcs MT
(-PPN)]]-Table43[[#This Row],[Harga Beli Pcs
(-PPN)]]</f>
        <v>-2711.5</v>
      </c>
      <c r="BC286" s="54" t="e">
        <f>Table43[[#This Row],[Column1]]/Table43[[#This Row],[Harga Jual Pcs MT
(-PPN)]]</f>
        <v>#DIV/0!</v>
      </c>
      <c r="BD286" s="52"/>
      <c r="BE286" s="7"/>
      <c r="BF286" s="7" t="str">
        <f ca="1">IF(TODAY()-Table43[[#This Row],[Efektif
Pembuatan]]&gt;60,"Lama","Baru")</f>
        <v>Lama</v>
      </c>
      <c r="BG286" s="7" t="str">
        <f ca="1">IF(TODAY()-Table43[[#This Row],[Efektif Naik Harga]]&lt;30,"Naik","Sama")</f>
        <v>Sama</v>
      </c>
      <c r="BH286" s="7"/>
      <c r="BI286" s="7" t="str">
        <f>IF(Table43[[#This Row],[Kode BARANG Win2]]&lt;&gt;"","IDR","")</f>
        <v>IDR</v>
      </c>
      <c r="BJ286" s="7" t="str">
        <f>CONCATENATE(Table43[[#This Row],[kode  1 Digit
(Nomor)]],Table43[[#This Row],[kode  4 Digit                (Nomor)]])</f>
        <v>0010</v>
      </c>
      <c r="BK286" s="7" t="str">
        <f>Table43[[#This Row],[Nama            Gramasi atau Jumlah Pack per CTN]]</f>
        <v>10S</v>
      </c>
      <c r="BL286" s="7"/>
      <c r="BM286" s="7"/>
      <c r="BN286" s="4" t="str">
        <f>IF(Table43[[#This Row],[SATUAN Fix Win]]&lt;&gt;"","KRT")</f>
        <v>KRT</v>
      </c>
      <c r="BO286" s="4" t="str">
        <f>IF(Table43[[#This Row],[SATUAN Fix Win]]&lt;&gt;"","GD01")</f>
        <v>GD01</v>
      </c>
      <c r="BP286" s="4">
        <f>IF(Table43[[#This Row],[SATUAN Fix Win]]&lt;&gt;"",11611)</f>
        <v>11611</v>
      </c>
      <c r="BQ286" s="4">
        <f>IF(Table43[[#This Row],[SATUAN Fix Win]]&lt;&gt;"",11612)</f>
        <v>11612</v>
      </c>
      <c r="BS286" s="4">
        <f>IF(Table43[[#This Row],[SATUAN Fix Win]]&lt;&gt;"",1)</f>
        <v>1</v>
      </c>
      <c r="BU286" s="4">
        <f>Table43[[#This Row],[ISI/CTN]]</f>
        <v>144</v>
      </c>
    </row>
    <row r="287" spans="1:75" s="87" customFormat="1">
      <c r="A287" s="71" t="str">
        <f>CONCATENATE(Table43[[#This Row],[Kode BARANG Win2]],Table43[[#This Row],[No. Urut
Item Sama]])</f>
        <v>G1192002001010</v>
      </c>
      <c r="B287" s="72"/>
      <c r="C287" s="73">
        <v>30341020010000</v>
      </c>
      <c r="D287" s="74">
        <v>40008107</v>
      </c>
      <c r="E287" s="75" t="s">
        <v>3445</v>
      </c>
      <c r="F287" s="74"/>
      <c r="G287" s="74"/>
      <c r="H287" s="75" t="s">
        <v>3445</v>
      </c>
      <c r="I287" s="75">
        <v>144</v>
      </c>
      <c r="J287" s="74"/>
      <c r="K287" s="75" t="str">
        <f>Table43[[#This Row],[NamaJenisKemasan]]</f>
        <v>PACK</v>
      </c>
      <c r="L287" s="71" t="str">
        <f>TRIM(CONCATENATE(Table43[[#This Row],[Nama            KLP]]," ",Table43[[#This Row],[Nama            Sub KLP]]))</f>
        <v>MITU WETTIES FAMILY TRAVEL</v>
      </c>
      <c r="M287" s="71" t="str">
        <f>CONCATENATE(Table43[[#This Row],[kode  2 Digit                (hrf+No)]],Table43[[#This Row],[kode  2 Digit                (Nomor)]],Table43[[#This Row],[kode  1 Digit                (Nomor)]])</f>
        <v>G1192</v>
      </c>
      <c r="N287" s="71" t="str">
        <f>IF(AI287="",CONCATENATE(S287,U287,W287,Y287,AA287,AC287,AE287,AG287,Table43[[#This Row],[Tanda Kode Revisi]]),CONCATENATE(S287,U287,W287,Y287,AA287,AC287,AE287,AI287))</f>
        <v>G1192002001010</v>
      </c>
      <c r="O287" s="76">
        <f>LEN(N287)</f>
        <v>14</v>
      </c>
      <c r="P287" s="77" t="str">
        <f>IF(AH287&lt;&gt;"",TRIM(UPPER(CONCATENATE(R287," ",T287," ",V287," ",X287," ",Z287," ",AB287," ","X"," ",Table43[[#This Row],[ISI/CTN]]," ",AH287," ",AD287," ",AF287," ",AJ287))),TRIM(UPPER(CONCATENATE(R287," ",T287," ",V287," ",X287," ",Z287," ",AB287," ","X"," ",Table43[[#This Row],[ISI/CTN]]," ",AD287," ",AF287," ",AJ287))))</f>
        <v>MITU WETTIES FAMILY TRAVEL COLGNE 10S X 144 PACK</v>
      </c>
      <c r="Q287" s="76">
        <f>LEN(P287)</f>
        <v>48</v>
      </c>
      <c r="R287" s="71"/>
      <c r="S287" s="72" t="s">
        <v>34</v>
      </c>
      <c r="T287" s="71" t="s">
        <v>2319</v>
      </c>
      <c r="U287" s="78" t="s">
        <v>2565</v>
      </c>
      <c r="V287" s="79" t="s">
        <v>2322</v>
      </c>
      <c r="W287" s="72">
        <v>2</v>
      </c>
      <c r="X287" s="79"/>
      <c r="Y287" s="78" t="s">
        <v>1116</v>
      </c>
      <c r="Z287" s="71" t="s">
        <v>3446</v>
      </c>
      <c r="AA287" s="80" t="s">
        <v>2459</v>
      </c>
      <c r="AB287" s="71" t="s">
        <v>2284</v>
      </c>
      <c r="AC287" s="80" t="s">
        <v>2592</v>
      </c>
      <c r="AD287" s="71" t="s">
        <v>663</v>
      </c>
      <c r="AE287" s="72">
        <v>1</v>
      </c>
      <c r="AF287" s="71"/>
      <c r="AG287" s="72">
        <v>0</v>
      </c>
      <c r="AH287" s="72"/>
      <c r="AI287" s="72"/>
      <c r="AJ287" s="72"/>
      <c r="AK287" s="81">
        <f>Table43[[#This Row],[Column4]]</f>
        <v>0</v>
      </c>
      <c r="AL287" s="72"/>
      <c r="AM287" s="72"/>
      <c r="AN287" s="72">
        <f>Table43[[#This Row],[ISI/CTN]]</f>
        <v>144</v>
      </c>
      <c r="AO287" s="88">
        <f>Table43[[#This Row],[Harga Jual Pcs GT
(-PPN)]]-(Table43[[#This Row],[Harga Jual Pcs GT
(-PPN)]]*6.5%)</f>
        <v>0</v>
      </c>
      <c r="AP287" s="88">
        <f>Table43[[#This Row],[Harga Beli Pcs
(-PPN)]]*Table43[[#This Row],[ISI/CTN]]</f>
        <v>0</v>
      </c>
      <c r="AQ287" s="88">
        <f>Table43[[#This Row],[Harga Beli Pcs
(-PPN)]]*1.11</f>
        <v>0</v>
      </c>
      <c r="AR287" s="88">
        <f>Table43[[#This Row],[Harga Beli Krt
(- PPN)]]*1.11</f>
        <v>0</v>
      </c>
      <c r="AS287" s="88"/>
      <c r="AT287" s="88">
        <f>Table43[[#This Row],[Harga Jual Pcs GT
(-PPN)]]*Table43[[#This Row],[ISI/CTN]]</f>
        <v>0</v>
      </c>
      <c r="AU287" s="88">
        <f>Table43[[#This Row],[Harga Jual Pcs GT
(-PPN)]]*1.11</f>
        <v>0</v>
      </c>
      <c r="AV287" s="88">
        <f>Table43[[#This Row],[Harga Jual Krt GT
(- PPN)]]*1.11</f>
        <v>0</v>
      </c>
      <c r="AW287" s="88">
        <f>IFERROR(VLOOKUP(Table43[[#This Row],[Kode Pcpl]],'[1]FEB 2026'!$A$3:$X$312,24,0),0)</f>
        <v>0</v>
      </c>
      <c r="AX287" s="88">
        <f>Table43[[#This Row],[Harga Jual Pcs MT
(-PPN)]]*Table43[[#This Row],[ISI/CTN]]</f>
        <v>0</v>
      </c>
      <c r="AY287" s="88">
        <f>Table43[[#This Row],[Harga Jual Pcs MT
(-PPN)]]*1.11</f>
        <v>0</v>
      </c>
      <c r="AZ287" s="88">
        <f>Table43[[#This Row],[Harga Jual Pcs MT
(+PPN)]]*Table43[[#This Row],[ISI/CTN]]</f>
        <v>0</v>
      </c>
      <c r="BA287" s="89" t="e">
        <f>(Table43[[#This Row],[Harga Jual Pcs GT
(-PPN)]]-Table43[[#This Row],[Harga Beli Pcs
(-PPN)]])/Table43[[#This Row],[Harga Jual Pcs GT
(-PPN)]]</f>
        <v>#DIV/0!</v>
      </c>
      <c r="BB287" s="90">
        <f>Table43[[#This Row],[Harga Jual Pcs MT
(-PPN)]]-Table43[[#This Row],[Harga Beli Pcs
(-PPN)]]</f>
        <v>0</v>
      </c>
      <c r="BC287" s="91" t="e">
        <f>Table43[[#This Row],[Column1]]/Table43[[#This Row],[Harga Jual Pcs MT
(-PPN)]]</f>
        <v>#DIV/0!</v>
      </c>
      <c r="BD287" s="86"/>
      <c r="BE287" s="72"/>
      <c r="BF287" s="72" t="str">
        <f ca="1">IF(TODAY()-Table43[[#This Row],[Efektif
Pembuatan]]&gt;60,"Lama","Baru")</f>
        <v>Lama</v>
      </c>
      <c r="BG287" s="72" t="str">
        <f ca="1">IF(TODAY()-Table43[[#This Row],[Efektif Naik Harga]]&lt;30,"Naik","Sama")</f>
        <v>Sama</v>
      </c>
      <c r="BH287" s="72"/>
      <c r="BI287" s="72" t="str">
        <f>IF(Table43[[#This Row],[Kode BARANG Win2]]&lt;&gt;"","IDR","")</f>
        <v>IDR</v>
      </c>
      <c r="BJ287" s="72" t="str">
        <f>CONCATENATE(Table43[[#This Row],[kode  1 Digit
(Nomor)]],Table43[[#This Row],[kode  4 Digit                (Nomor)]])</f>
        <v>0010</v>
      </c>
      <c r="BK287" s="72" t="str">
        <f>Table43[[#This Row],[Nama            Gramasi atau Jumlah Pack per CTN]]</f>
        <v>10S</v>
      </c>
      <c r="BL287" s="72"/>
      <c r="BM287" s="72"/>
      <c r="BN287" s="71" t="str">
        <f>IF(Table43[[#This Row],[SATUAN Fix Win]]&lt;&gt;"","KRT")</f>
        <v>KRT</v>
      </c>
      <c r="BO287" s="71" t="str">
        <f>IF(Table43[[#This Row],[SATUAN Fix Win]]&lt;&gt;"","GD01")</f>
        <v>GD01</v>
      </c>
      <c r="BP287" s="71">
        <f>IF(Table43[[#This Row],[SATUAN Fix Win]]&lt;&gt;"",11611)</f>
        <v>11611</v>
      </c>
      <c r="BQ287" s="71">
        <f>IF(Table43[[#This Row],[SATUAN Fix Win]]&lt;&gt;"",11612)</f>
        <v>11612</v>
      </c>
      <c r="BR287" s="71"/>
      <c r="BS287" s="71">
        <f>IF(Table43[[#This Row],[SATUAN Fix Win]]&lt;&gt;"",1)</f>
        <v>1</v>
      </c>
      <c r="BT287" s="71"/>
      <c r="BU287" s="71">
        <f>Table43[[#This Row],[ISI/CTN]]</f>
        <v>144</v>
      </c>
      <c r="BV287" s="71"/>
      <c r="BW287" s="71"/>
    </row>
    <row r="288" spans="1:75">
      <c r="A288" s="4" t="str">
        <f>CONCATENATE(Table43[[#This Row],[Kode BARANG Win2]],Table43[[#This Row],[No. Urut
Item Sama]])</f>
        <v>G1201001000010</v>
      </c>
      <c r="B288" s="7"/>
      <c r="C288" s="31">
        <v>30351050020010</v>
      </c>
      <c r="D288" s="51">
        <v>40059819</v>
      </c>
      <c r="E288" s="27" t="s">
        <v>2036</v>
      </c>
      <c r="F288" s="51">
        <v>30351120150000</v>
      </c>
      <c r="G288" s="51">
        <v>0</v>
      </c>
      <c r="H288" s="27" t="s">
        <v>1325</v>
      </c>
      <c r="I288" s="27">
        <v>24</v>
      </c>
      <c r="J288" s="51" t="s">
        <v>1723</v>
      </c>
      <c r="K288" s="27" t="str">
        <f>Table43[[#This Row],[NamaJenisKemasan]]</f>
        <v>BOX</v>
      </c>
      <c r="L288" s="4" t="str">
        <f>TRIM(CONCATENATE(Table43[[#This Row],[Nama            KLP]]," ",Table43[[#This Row],[Nama            Sub KLP]]))</f>
        <v>NYU CREME HAIR COLOUR</v>
      </c>
      <c r="M288" s="4" t="str">
        <f>CONCATENATE(Table43[[#This Row],[kode  2 Digit                (hrf+No)]],Table43[[#This Row],[kode  2 Digit                (Nomor)]],Table43[[#This Row],[kode  1 Digit                (Nomor)]])</f>
        <v>G1201</v>
      </c>
      <c r="N288" s="4" t="str">
        <f>IF(AI288="",CONCATENATE(S288,U288,W288,Y288,AA288,AC288,AE288,AG288,Table43[[#This Row],[Tanda Kode Revisi]]),CONCATENATE(S288,U288,W288,Y288,AA288,AC288,AE288,AI288))</f>
        <v>G1201001000010</v>
      </c>
      <c r="O288" s="11">
        <f t="shared" si="6"/>
        <v>14</v>
      </c>
      <c r="P288" s="14" t="str">
        <f>IF(AH288&lt;&gt;"",TRIM(UPPER(CONCATENATE(R288," ",T288," ",V288," ",X288," ",Z288," ",AB288," ","X"," ",Table43[[#This Row],[ISI/CTN]]," ",AH288," ",AD288," ",AF288," ",AJ288))),TRIM(UPPER(CONCATENATE(R288," ",T288," ",V288," ",X288," ",Z288," ",AB288," ","X"," ",Table43[[#This Row],[ISI/CTN]]," ",AD288," ",AF288," ",AJ288))))</f>
        <v>NYU CREME HAIR COLOUR ASH BLONDE X 24 BOX</v>
      </c>
      <c r="Q288" s="11">
        <f t="shared" si="7"/>
        <v>41</v>
      </c>
      <c r="S288" s="7" t="s">
        <v>34</v>
      </c>
      <c r="T288" s="4" t="s">
        <v>2333</v>
      </c>
      <c r="U288" s="47" t="s">
        <v>2566</v>
      </c>
      <c r="V288" s="48" t="s">
        <v>2379</v>
      </c>
      <c r="W288" s="7">
        <v>1</v>
      </c>
      <c r="X288" s="48"/>
      <c r="Y288" s="47" t="s">
        <v>1116</v>
      </c>
      <c r="Z288" s="4" t="s">
        <v>2349</v>
      </c>
      <c r="AA288" s="49" t="s">
        <v>1115</v>
      </c>
      <c r="AC288" s="49" t="s">
        <v>2460</v>
      </c>
      <c r="AD288" s="4" t="s">
        <v>662</v>
      </c>
      <c r="AE288" s="7">
        <v>1</v>
      </c>
      <c r="AG288" s="7">
        <v>0</v>
      </c>
      <c r="AK288" s="70">
        <f>Table43[[#This Row],[Column4]]</f>
        <v>30351120150000</v>
      </c>
      <c r="AN288" s="7">
        <f>Table43[[#This Row],[ISI/CTN]]</f>
        <v>24</v>
      </c>
      <c r="AO288" s="38">
        <f>Table43[[#This Row],[Harga Jual Pcs GT
(-PPN)]]-(Table43[[#This Row],[Harga Jual Pcs GT
(-PPN)]]*6.5%)</f>
        <v>12996.5</v>
      </c>
      <c r="AP288" s="38">
        <f>Table43[[#This Row],[Harga Beli Pcs
(-PPN)]]*Table43[[#This Row],[ISI/CTN]]</f>
        <v>311916</v>
      </c>
      <c r="AQ288" s="38">
        <f>Table43[[#This Row],[Harga Beli Pcs
(-PPN)]]*1.11</f>
        <v>14426.115000000002</v>
      </c>
      <c r="AR288" s="38">
        <f>Table43[[#This Row],[Harga Beli Krt
(- PPN)]]*1.11</f>
        <v>346226.76</v>
      </c>
      <c r="AS288" s="38">
        <v>13900</v>
      </c>
      <c r="AT288" s="38">
        <f>Table43[[#This Row],[Harga Jual Pcs GT
(-PPN)]]*Table43[[#This Row],[ISI/CTN]]</f>
        <v>333600</v>
      </c>
      <c r="AU288" s="38">
        <f>Table43[[#This Row],[Harga Jual Pcs GT
(-PPN)]]*1.11</f>
        <v>15429.000000000002</v>
      </c>
      <c r="AV288" s="38">
        <f>Table43[[#This Row],[Harga Jual Krt GT
(- PPN)]]*1.11</f>
        <v>370296.00000000006</v>
      </c>
      <c r="AW288" s="38">
        <f>IFERROR(VLOOKUP(Table43[[#This Row],[Kode Pcpl]],'[1]FEB 2026'!$A$3:$X$312,24,0),0)</f>
        <v>0</v>
      </c>
      <c r="AX288" s="38">
        <f>Table43[[#This Row],[Harga Jual Pcs MT
(-PPN)]]*Table43[[#This Row],[ISI/CTN]]</f>
        <v>0</v>
      </c>
      <c r="AY288" s="38">
        <f>Table43[[#This Row],[Harga Jual Pcs MT
(-PPN)]]*1.11</f>
        <v>0</v>
      </c>
      <c r="AZ288" s="38">
        <f>Table43[[#This Row],[Harga Jual Pcs MT
(+PPN)]]*Table43[[#This Row],[ISI/CTN]]</f>
        <v>0</v>
      </c>
      <c r="BA288" s="46">
        <f>(Table43[[#This Row],[Harga Jual Pcs GT
(-PPN)]]-Table43[[#This Row],[Harga Beli Pcs
(-PPN)]])/Table43[[#This Row],[Harga Jual Pcs GT
(-PPN)]]</f>
        <v>6.5000000000000002E-2</v>
      </c>
      <c r="BB288" s="53">
        <f>Table43[[#This Row],[Harga Jual Pcs MT
(-PPN)]]-Table43[[#This Row],[Harga Beli Pcs
(-PPN)]]</f>
        <v>-12996.5</v>
      </c>
      <c r="BC288" s="54" t="e">
        <f>Table43[[#This Row],[Column1]]/Table43[[#This Row],[Harga Jual Pcs MT
(-PPN)]]</f>
        <v>#DIV/0!</v>
      </c>
      <c r="BD288" s="52"/>
      <c r="BE288" s="7"/>
      <c r="BF288" s="7" t="str">
        <f ca="1">IF(TODAY()-Table43[[#This Row],[Efektif
Pembuatan]]&gt;60,"Lama","Baru")</f>
        <v>Lama</v>
      </c>
      <c r="BG288" s="7" t="str">
        <f ca="1">IF(TODAY()-Table43[[#This Row],[Efektif Naik Harga]]&lt;30,"Naik","Sama")</f>
        <v>Sama</v>
      </c>
      <c r="BH288" s="7"/>
      <c r="BI288" s="7" t="str">
        <f>IF(Table43[[#This Row],[Kode BARANG Win2]]&lt;&gt;"","IDR","")</f>
        <v>IDR</v>
      </c>
      <c r="BJ288" s="7" t="str">
        <f>CONCATENATE(Table43[[#This Row],[kode  1 Digit
(Nomor)]],Table43[[#This Row],[kode  4 Digit                (Nomor)]])</f>
        <v>0000</v>
      </c>
      <c r="BK288" s="7">
        <f>Table43[[#This Row],[Nama            Gramasi atau Jumlah Pack per CTN]]</f>
        <v>0</v>
      </c>
      <c r="BL288" s="7"/>
      <c r="BM288" s="7"/>
      <c r="BN288" s="4" t="str">
        <f>IF(Table43[[#This Row],[SATUAN Fix Win]]&lt;&gt;"","KRT")</f>
        <v>KRT</v>
      </c>
      <c r="BO288" s="4" t="str">
        <f>IF(Table43[[#This Row],[SATUAN Fix Win]]&lt;&gt;"","GD01")</f>
        <v>GD01</v>
      </c>
      <c r="BP288" s="4">
        <f>IF(Table43[[#This Row],[SATUAN Fix Win]]&lt;&gt;"",11611)</f>
        <v>11611</v>
      </c>
      <c r="BQ288" s="4">
        <f>IF(Table43[[#This Row],[SATUAN Fix Win]]&lt;&gt;"",11612)</f>
        <v>11612</v>
      </c>
      <c r="BS288" s="4">
        <f>IF(Table43[[#This Row],[SATUAN Fix Win]]&lt;&gt;"",1)</f>
        <v>1</v>
      </c>
      <c r="BU288" s="4">
        <f>Table43[[#This Row],[ISI/CTN]]</f>
        <v>24</v>
      </c>
    </row>
    <row r="289" spans="1:73">
      <c r="A289" s="4" t="str">
        <f>CONCATENATE(Table43[[#This Row],[Kode BARANG Win2]],Table43[[#This Row],[No. Urut
Item Sama]])</f>
        <v>G1201002000010</v>
      </c>
      <c r="B289" s="7"/>
      <c r="C289" s="31">
        <v>30351100021020</v>
      </c>
      <c r="D289" s="51">
        <v>40020677</v>
      </c>
      <c r="E289" s="27" t="s">
        <v>2018</v>
      </c>
      <c r="F289" s="51">
        <v>30351010150000</v>
      </c>
      <c r="G289" s="51">
        <v>0</v>
      </c>
      <c r="H289" s="27" t="s">
        <v>1304</v>
      </c>
      <c r="I289" s="27">
        <v>24</v>
      </c>
      <c r="J289" s="51" t="s">
        <v>1709</v>
      </c>
      <c r="K289" s="27" t="str">
        <f>Table43[[#This Row],[NamaJenisKemasan]]</f>
        <v>BOX</v>
      </c>
      <c r="L289" s="4" t="str">
        <f>TRIM(CONCATENATE(Table43[[#This Row],[Nama            KLP]]," ",Table43[[#This Row],[Nama            Sub KLP]]))</f>
        <v>NYU CREME HAIR COLOUR</v>
      </c>
      <c r="M289" s="4" t="str">
        <f>CONCATENATE(Table43[[#This Row],[kode  2 Digit                (hrf+No)]],Table43[[#This Row],[kode  2 Digit                (Nomor)]],Table43[[#This Row],[kode  1 Digit                (Nomor)]])</f>
        <v>G1201</v>
      </c>
      <c r="N289" s="4" t="str">
        <f>IF(AI289="",CONCATENATE(S289,U289,W289,Y289,AA289,AC289,AE289,AG289,Table43[[#This Row],[Tanda Kode Revisi]]),CONCATENATE(S289,U289,W289,Y289,AA289,AC289,AE289,AI289))</f>
        <v>G1201002000010</v>
      </c>
      <c r="O289" s="11">
        <f t="shared" si="6"/>
        <v>14</v>
      </c>
      <c r="P289" s="14" t="str">
        <f>IF(AH289&lt;&gt;"",TRIM(UPPER(CONCATENATE(R289," ",T289," ",V289," ",X289," ",Z289," ",AB289," ","X"," ",Table43[[#This Row],[ISI/CTN]]," ",AH289," ",AD289," ",AF289," ",AJ289))),TRIM(UPPER(CONCATENATE(R289," ",T289," ",V289," ",X289," ",Z289," ",AB289," ","X"," ",Table43[[#This Row],[ISI/CTN]]," ",AD289," ",AF289," ",AJ289))))</f>
        <v>NYU CREME HAIR COLOUR BLUE BLACK X 24 BOX</v>
      </c>
      <c r="Q289" s="11">
        <f t="shared" si="7"/>
        <v>41</v>
      </c>
      <c r="S289" s="7" t="s">
        <v>34</v>
      </c>
      <c r="T289" s="4" t="s">
        <v>2333</v>
      </c>
      <c r="U289" s="47" t="s">
        <v>2566</v>
      </c>
      <c r="V289" s="48" t="s">
        <v>2379</v>
      </c>
      <c r="W289" s="7">
        <v>1</v>
      </c>
      <c r="X289" s="48"/>
      <c r="Y289" s="47" t="s">
        <v>1116</v>
      </c>
      <c r="Z289" s="4" t="s">
        <v>2382</v>
      </c>
      <c r="AA289" s="49" t="s">
        <v>2459</v>
      </c>
      <c r="AC289" s="49" t="s">
        <v>2460</v>
      </c>
      <c r="AD289" s="4" t="s">
        <v>662</v>
      </c>
      <c r="AE289" s="7">
        <v>1</v>
      </c>
      <c r="AG289" s="7">
        <v>0</v>
      </c>
      <c r="AK289" s="70">
        <f>Table43[[#This Row],[Column4]]</f>
        <v>30351010150000</v>
      </c>
      <c r="AN289" s="7">
        <f>Table43[[#This Row],[ISI/CTN]]</f>
        <v>24</v>
      </c>
      <c r="AO289" s="61">
        <f>Table43[[#This Row],[Harga Jual Pcs GT
(-PPN)]]-(Table43[[#This Row],[Harga Jual Pcs GT
(-PPN)]]*6.5%)</f>
        <v>12996.5</v>
      </c>
      <c r="AP289" s="61">
        <f>Table43[[#This Row],[Harga Beli Pcs
(-PPN)]]*Table43[[#This Row],[ISI/CTN]]</f>
        <v>311916</v>
      </c>
      <c r="AQ289" s="61">
        <f>Table43[[#This Row],[Harga Beli Pcs
(-PPN)]]*1.11</f>
        <v>14426.115000000002</v>
      </c>
      <c r="AR289" s="61">
        <f>Table43[[#This Row],[Harga Beli Krt
(- PPN)]]*1.11</f>
        <v>346226.76</v>
      </c>
      <c r="AS289" s="61">
        <v>13900</v>
      </c>
      <c r="AT289" s="61">
        <f>Table43[[#This Row],[Harga Jual Pcs GT
(-PPN)]]*Table43[[#This Row],[ISI/CTN]]</f>
        <v>333600</v>
      </c>
      <c r="AU289" s="61">
        <f>Table43[[#This Row],[Harga Jual Pcs GT
(-PPN)]]*1.11</f>
        <v>15429.000000000002</v>
      </c>
      <c r="AV289" s="61">
        <f>Table43[[#This Row],[Harga Jual Krt GT
(- PPN)]]*1.11</f>
        <v>370296.00000000006</v>
      </c>
      <c r="AW289" s="61">
        <f>IFERROR(VLOOKUP(Table43[[#This Row],[Kode Pcpl]],'[1]FEB 2026'!$A$3:$X$312,24,0),0)</f>
        <v>0</v>
      </c>
      <c r="AX289" s="61">
        <f>Table43[[#This Row],[Harga Jual Pcs MT
(-PPN)]]*Table43[[#This Row],[ISI/CTN]]</f>
        <v>0</v>
      </c>
      <c r="AY289" s="61">
        <f>Table43[[#This Row],[Harga Jual Pcs MT
(-PPN)]]*1.11</f>
        <v>0</v>
      </c>
      <c r="AZ289" s="61">
        <f>Table43[[#This Row],[Harga Jual Pcs MT
(+PPN)]]*Table43[[#This Row],[ISI/CTN]]</f>
        <v>0</v>
      </c>
      <c r="BA289" s="62">
        <f>(Table43[[#This Row],[Harga Jual Pcs GT
(-PPN)]]-Table43[[#This Row],[Harga Beli Pcs
(-PPN)]])/Table43[[#This Row],[Harga Jual Pcs GT
(-PPN)]]</f>
        <v>6.5000000000000002E-2</v>
      </c>
      <c r="BB289" s="63">
        <f>Table43[[#This Row],[Harga Jual Pcs MT
(-PPN)]]-Table43[[#This Row],[Harga Beli Pcs
(-PPN)]]</f>
        <v>-12996.5</v>
      </c>
      <c r="BC289" s="64" t="e">
        <f>Table43[[#This Row],[Column1]]/Table43[[#This Row],[Harga Jual Pcs MT
(-PPN)]]</f>
        <v>#DIV/0!</v>
      </c>
      <c r="BD289" s="52"/>
      <c r="BE289" s="7"/>
      <c r="BF289" s="7" t="str">
        <f ca="1">IF(TODAY()-Table43[[#This Row],[Efektif
Pembuatan]]&gt;60,"Lama","Baru")</f>
        <v>Lama</v>
      </c>
      <c r="BG289" s="7" t="str">
        <f ca="1">IF(TODAY()-Table43[[#This Row],[Efektif Naik Harga]]&lt;30,"Naik","Sama")</f>
        <v>Sama</v>
      </c>
      <c r="BH289" s="7"/>
      <c r="BI289" s="7" t="str">
        <f>IF(Table43[[#This Row],[Kode BARANG Win2]]&lt;&gt;"","IDR","")</f>
        <v>IDR</v>
      </c>
      <c r="BJ289" s="7" t="str">
        <f>CONCATENATE(Table43[[#This Row],[kode  1 Digit
(Nomor)]],Table43[[#This Row],[kode  4 Digit                (Nomor)]])</f>
        <v>0000</v>
      </c>
      <c r="BK289" s="7">
        <f>Table43[[#This Row],[Nama            Gramasi atau Jumlah Pack per CTN]]</f>
        <v>0</v>
      </c>
      <c r="BL289" s="7"/>
      <c r="BM289" s="7"/>
      <c r="BN289" s="4" t="str">
        <f>IF(Table43[[#This Row],[SATUAN Fix Win]]&lt;&gt;"","KRT")</f>
        <v>KRT</v>
      </c>
      <c r="BO289" s="4" t="str">
        <f>IF(Table43[[#This Row],[SATUAN Fix Win]]&lt;&gt;"","GD01")</f>
        <v>GD01</v>
      </c>
      <c r="BP289" s="4">
        <f>IF(Table43[[#This Row],[SATUAN Fix Win]]&lt;&gt;"",11611)</f>
        <v>11611</v>
      </c>
      <c r="BQ289" s="4">
        <f>IF(Table43[[#This Row],[SATUAN Fix Win]]&lt;&gt;"",11612)</f>
        <v>11612</v>
      </c>
      <c r="BS289" s="4">
        <f>IF(Table43[[#This Row],[SATUAN Fix Win]]&lt;&gt;"",1)</f>
        <v>1</v>
      </c>
      <c r="BU289" s="4">
        <f>Table43[[#This Row],[ISI/CTN]]</f>
        <v>24</v>
      </c>
    </row>
    <row r="290" spans="1:73">
      <c r="A290" s="4" t="str">
        <f>CONCATENATE(Table43[[#This Row],[Kode BARANG Win2]],Table43[[#This Row],[No. Urut
Item Sama]])</f>
        <v>G1201002000020</v>
      </c>
      <c r="B290" s="7"/>
      <c r="C290" s="31">
        <v>30352020300020</v>
      </c>
      <c r="D290" s="51">
        <v>40060485</v>
      </c>
      <c r="E290" s="27" t="s">
        <v>2017</v>
      </c>
      <c r="F290" s="51">
        <v>30351010022022</v>
      </c>
      <c r="G290" s="51">
        <v>0</v>
      </c>
      <c r="H290" s="27" t="s">
        <v>1303</v>
      </c>
      <c r="I290" s="27">
        <v>144</v>
      </c>
      <c r="J290" s="51" t="s">
        <v>1708</v>
      </c>
      <c r="K290" s="27" t="str">
        <f>Table43[[#This Row],[NamaJenisKemasan]]</f>
        <v>SCH</v>
      </c>
      <c r="L290" s="4" t="str">
        <f>TRIM(CONCATENATE(Table43[[#This Row],[Nama            KLP]]," ",Table43[[#This Row],[Nama            Sub KLP]]))</f>
        <v>NYU CREME HAIR COLOUR</v>
      </c>
      <c r="M290" s="4" t="str">
        <f>CONCATENATE(Table43[[#This Row],[kode  2 Digit                (hrf+No)]],Table43[[#This Row],[kode  2 Digit                (Nomor)]],Table43[[#This Row],[kode  1 Digit                (Nomor)]])</f>
        <v>G1201</v>
      </c>
      <c r="N290" s="4" t="str">
        <f>IF(AI290="",CONCATENATE(S290,U290,W290,Y290,AA290,AC290,AE290,AG290,Table43[[#This Row],[Tanda Kode Revisi]]),CONCATENATE(S290,U290,W290,Y290,AA290,AC290,AE290,AI290))</f>
        <v>G1201002000020</v>
      </c>
      <c r="O290" s="11">
        <f t="shared" si="6"/>
        <v>14</v>
      </c>
      <c r="P290" s="14" t="str">
        <f>IF(AH290&lt;&gt;"",TRIM(UPPER(CONCATENATE(R290," ",T290," ",V290," ",X290," ",Z290," ",AB290," ","X"," ",Table43[[#This Row],[ISI/CTN]]," ",AH290," ",AD290," ",AF290," ",AJ290))),TRIM(UPPER(CONCATENATE(R290," ",T290," ",V290," ",X290," ",Z290," ",AB290," ","X"," ",Table43[[#This Row],[ISI/CTN]]," ",AD290," ",AF290," ",AJ290))))</f>
        <v>NYU CREME HAIR COLOUR BLUE BLACK X 144 SCH</v>
      </c>
      <c r="Q290" s="11">
        <f t="shared" si="7"/>
        <v>42</v>
      </c>
      <c r="S290" s="7" t="s">
        <v>34</v>
      </c>
      <c r="T290" s="4" t="s">
        <v>2333</v>
      </c>
      <c r="U290" s="47" t="s">
        <v>2566</v>
      </c>
      <c r="V290" s="48" t="s">
        <v>2379</v>
      </c>
      <c r="W290" s="7">
        <v>1</v>
      </c>
      <c r="X290" s="48"/>
      <c r="Y290" s="47" t="s">
        <v>1116</v>
      </c>
      <c r="Z290" s="4" t="s">
        <v>2382</v>
      </c>
      <c r="AA290" s="49" t="s">
        <v>2459</v>
      </c>
      <c r="AC290" s="49" t="s">
        <v>2460</v>
      </c>
      <c r="AD290" s="4" t="s">
        <v>664</v>
      </c>
      <c r="AE290" s="7">
        <v>2</v>
      </c>
      <c r="AG290" s="7">
        <v>0</v>
      </c>
      <c r="AK290" s="70">
        <f>Table43[[#This Row],[Column4]]</f>
        <v>30351010022022</v>
      </c>
      <c r="AN290" s="7">
        <f>Table43[[#This Row],[ISI/CTN]]</f>
        <v>144</v>
      </c>
      <c r="AO290" s="38">
        <f>Table43[[#This Row],[Harga Jual Pcs GT
(-PPN)]]-(Table43[[#This Row],[Harga Jual Pcs GT
(-PPN)]]*6.5%)</f>
        <v>5077.05</v>
      </c>
      <c r="AP290" s="38">
        <f>Table43[[#This Row],[Harga Beli Pcs
(-PPN)]]*Table43[[#This Row],[ISI/CTN]]</f>
        <v>731095.20000000007</v>
      </c>
      <c r="AQ290" s="38">
        <f>Table43[[#This Row],[Harga Beli Pcs
(-PPN)]]*1.11</f>
        <v>5635.5255000000006</v>
      </c>
      <c r="AR290" s="38">
        <f>Table43[[#This Row],[Harga Beli Krt
(- PPN)]]*1.11</f>
        <v>811515.67200000014</v>
      </c>
      <c r="AS290" s="38">
        <v>5430</v>
      </c>
      <c r="AT290" s="38">
        <f>Table43[[#This Row],[Harga Jual Pcs GT
(-PPN)]]*Table43[[#This Row],[ISI/CTN]]</f>
        <v>781920</v>
      </c>
      <c r="AU290" s="38">
        <f>Table43[[#This Row],[Harga Jual Pcs GT
(-PPN)]]*1.11</f>
        <v>6027.3</v>
      </c>
      <c r="AV290" s="38">
        <f>Table43[[#This Row],[Harga Jual Krt GT
(- PPN)]]*1.11</f>
        <v>867931.20000000007</v>
      </c>
      <c r="AW290" s="38">
        <f>IFERROR(VLOOKUP(Table43[[#This Row],[Kode Pcpl]],'[1]FEB 2026'!$A$3:$X$312,24,0),0)</f>
        <v>0</v>
      </c>
      <c r="AX290" s="38">
        <f>Table43[[#This Row],[Harga Jual Pcs MT
(-PPN)]]*Table43[[#This Row],[ISI/CTN]]</f>
        <v>0</v>
      </c>
      <c r="AY290" s="38">
        <f>Table43[[#This Row],[Harga Jual Pcs MT
(-PPN)]]*1.11</f>
        <v>0</v>
      </c>
      <c r="AZ290" s="38">
        <f>Table43[[#This Row],[Harga Jual Pcs MT
(+PPN)]]*Table43[[#This Row],[ISI/CTN]]</f>
        <v>0</v>
      </c>
      <c r="BA290" s="46">
        <f>(Table43[[#This Row],[Harga Jual Pcs GT
(-PPN)]]-Table43[[#This Row],[Harga Beli Pcs
(-PPN)]])/Table43[[#This Row],[Harga Jual Pcs GT
(-PPN)]]</f>
        <v>6.4999999999999961E-2</v>
      </c>
      <c r="BB290" s="53">
        <f>Table43[[#This Row],[Harga Jual Pcs MT
(-PPN)]]-Table43[[#This Row],[Harga Beli Pcs
(-PPN)]]</f>
        <v>-5077.05</v>
      </c>
      <c r="BC290" s="54" t="e">
        <f>Table43[[#This Row],[Column1]]/Table43[[#This Row],[Harga Jual Pcs MT
(-PPN)]]</f>
        <v>#DIV/0!</v>
      </c>
      <c r="BD290" s="52"/>
      <c r="BE290" s="7"/>
      <c r="BF290" s="7" t="str">
        <f ca="1">IF(TODAY()-Table43[[#This Row],[Efektif
Pembuatan]]&gt;60,"Lama","Baru")</f>
        <v>Lama</v>
      </c>
      <c r="BG290" s="7" t="str">
        <f ca="1">IF(TODAY()-Table43[[#This Row],[Efektif Naik Harga]]&lt;30,"Naik","Sama")</f>
        <v>Sama</v>
      </c>
      <c r="BH290" s="7"/>
      <c r="BI290" s="7" t="str">
        <f>IF(Table43[[#This Row],[Kode BARANG Win2]]&lt;&gt;"","IDR","")</f>
        <v>IDR</v>
      </c>
      <c r="BJ290" s="7" t="str">
        <f>CONCATENATE(Table43[[#This Row],[kode  1 Digit
(Nomor)]],Table43[[#This Row],[kode  4 Digit                (Nomor)]])</f>
        <v>0000</v>
      </c>
      <c r="BK290" s="7">
        <f>Table43[[#This Row],[Nama            Gramasi atau Jumlah Pack per CTN]]</f>
        <v>0</v>
      </c>
      <c r="BL290" s="7"/>
      <c r="BM290" s="7"/>
      <c r="BN290" s="4" t="str">
        <f>IF(Table43[[#This Row],[SATUAN Fix Win]]&lt;&gt;"","KRT")</f>
        <v>KRT</v>
      </c>
      <c r="BO290" s="4" t="str">
        <f>IF(Table43[[#This Row],[SATUAN Fix Win]]&lt;&gt;"","GD01")</f>
        <v>GD01</v>
      </c>
      <c r="BP290" s="4">
        <f>IF(Table43[[#This Row],[SATUAN Fix Win]]&lt;&gt;"",11611)</f>
        <v>11611</v>
      </c>
      <c r="BQ290" s="4">
        <f>IF(Table43[[#This Row],[SATUAN Fix Win]]&lt;&gt;"",11612)</f>
        <v>11612</v>
      </c>
      <c r="BS290" s="4">
        <f>IF(Table43[[#This Row],[SATUAN Fix Win]]&lt;&gt;"",1)</f>
        <v>1</v>
      </c>
      <c r="BU290" s="4">
        <f>Table43[[#This Row],[ISI/CTN]]</f>
        <v>144</v>
      </c>
    </row>
    <row r="291" spans="1:73">
      <c r="A291" s="4" t="str">
        <f>CONCATENATE(Table43[[#This Row],[Kode BARANG Win2]],Table43[[#This Row],[No. Urut
Item Sama]])</f>
        <v>G1201003000010</v>
      </c>
      <c r="B291" s="7"/>
      <c r="C291" s="31">
        <v>30351100150000</v>
      </c>
      <c r="D291" s="59">
        <v>40023335</v>
      </c>
      <c r="E291" s="60" t="s">
        <v>2019</v>
      </c>
      <c r="F291" s="59">
        <v>30351020150000</v>
      </c>
      <c r="G291" s="59">
        <v>0</v>
      </c>
      <c r="H291" s="60" t="s">
        <v>1305</v>
      </c>
      <c r="I291" s="60">
        <v>24</v>
      </c>
      <c r="J291" s="59" t="s">
        <v>1710</v>
      </c>
      <c r="K291" s="60" t="str">
        <f>Table43[[#This Row],[NamaJenisKemasan]]</f>
        <v>BOX</v>
      </c>
      <c r="L291" s="4" t="str">
        <f>TRIM(CONCATENATE(Table43[[#This Row],[Nama            KLP]]," ",Table43[[#This Row],[Nama            Sub KLP]]))</f>
        <v>NYU CREME HAIR COLOUR</v>
      </c>
      <c r="M291" s="4" t="str">
        <f>CONCATENATE(Table43[[#This Row],[kode  2 Digit                (hrf+No)]],Table43[[#This Row],[kode  2 Digit                (Nomor)]],Table43[[#This Row],[kode  1 Digit                (Nomor)]])</f>
        <v>G1201</v>
      </c>
      <c r="N291" s="4" t="str">
        <f>IF(AI291="",CONCATENATE(S291,U291,W291,Y291,AA291,AC291,AE291,AG291,Table43[[#This Row],[Tanda Kode Revisi]]),CONCATENATE(S291,U291,W291,Y291,AA291,AC291,AE291,AI291))</f>
        <v>G1201003000010</v>
      </c>
      <c r="O291" s="11">
        <f t="shared" si="6"/>
        <v>14</v>
      </c>
      <c r="P291" s="14" t="str">
        <f>IF(AH291&lt;&gt;"",TRIM(UPPER(CONCATENATE(R291," ",T291," ",V291," ",X291," ",Z291," ",AB291," ","X"," ",Table43[[#This Row],[ISI/CTN]]," ",AH291," ",AD291," ",AF291," ",AJ291))),TRIM(UPPER(CONCATENATE(R291," ",T291," ",V291," ",X291," ",Z291," ",AB291," ","X"," ",Table43[[#This Row],[ISI/CTN]]," ",AD291," ",AF291," ",AJ291))))</f>
        <v>NYU CREME HAIR COLOUR BURGUNDY X 24 BOX</v>
      </c>
      <c r="Q291" s="11">
        <f t="shared" si="7"/>
        <v>39</v>
      </c>
      <c r="S291" s="7" t="s">
        <v>34</v>
      </c>
      <c r="T291" s="4" t="s">
        <v>2333</v>
      </c>
      <c r="U291" s="47" t="s">
        <v>2566</v>
      </c>
      <c r="V291" s="48" t="s">
        <v>2379</v>
      </c>
      <c r="W291" s="7">
        <v>1</v>
      </c>
      <c r="X291" s="48"/>
      <c r="Y291" s="47" t="s">
        <v>1116</v>
      </c>
      <c r="Z291" s="4" t="s">
        <v>2328</v>
      </c>
      <c r="AA291" s="49" t="s">
        <v>2538</v>
      </c>
      <c r="AC291" s="49" t="s">
        <v>2460</v>
      </c>
      <c r="AD291" s="4" t="s">
        <v>662</v>
      </c>
      <c r="AE291" s="7">
        <v>1</v>
      </c>
      <c r="AG291" s="7">
        <v>0</v>
      </c>
      <c r="AK291" s="70">
        <f>Table43[[#This Row],[Column4]]</f>
        <v>30351020150000</v>
      </c>
      <c r="AN291" s="7">
        <f>Table43[[#This Row],[ISI/CTN]]</f>
        <v>24</v>
      </c>
      <c r="AO291" s="38">
        <f>Table43[[#This Row],[Harga Jual Pcs GT
(-PPN)]]-(Table43[[#This Row],[Harga Jual Pcs GT
(-PPN)]]*6.5%)</f>
        <v>12996.5</v>
      </c>
      <c r="AP291" s="38">
        <f>Table43[[#This Row],[Harga Beli Pcs
(-PPN)]]*Table43[[#This Row],[ISI/CTN]]</f>
        <v>311916</v>
      </c>
      <c r="AQ291" s="38">
        <f>Table43[[#This Row],[Harga Beli Pcs
(-PPN)]]*1.11</f>
        <v>14426.115000000002</v>
      </c>
      <c r="AR291" s="38">
        <f>Table43[[#This Row],[Harga Beli Krt
(- PPN)]]*1.11</f>
        <v>346226.76</v>
      </c>
      <c r="AS291" s="38">
        <v>13900</v>
      </c>
      <c r="AT291" s="38">
        <f>Table43[[#This Row],[Harga Jual Pcs GT
(-PPN)]]*Table43[[#This Row],[ISI/CTN]]</f>
        <v>333600</v>
      </c>
      <c r="AU291" s="38">
        <f>Table43[[#This Row],[Harga Jual Pcs GT
(-PPN)]]*1.11</f>
        <v>15429.000000000002</v>
      </c>
      <c r="AV291" s="38">
        <f>Table43[[#This Row],[Harga Jual Krt GT
(- PPN)]]*1.11</f>
        <v>370296.00000000006</v>
      </c>
      <c r="AW291" s="38">
        <f>IFERROR(VLOOKUP(Table43[[#This Row],[Kode Pcpl]],'[1]FEB 2026'!$A$3:$X$312,24,0),0)</f>
        <v>0</v>
      </c>
      <c r="AX291" s="38">
        <f>Table43[[#This Row],[Harga Jual Pcs MT
(-PPN)]]*Table43[[#This Row],[ISI/CTN]]</f>
        <v>0</v>
      </c>
      <c r="AY291" s="38">
        <f>Table43[[#This Row],[Harga Jual Pcs MT
(-PPN)]]*1.11</f>
        <v>0</v>
      </c>
      <c r="AZ291" s="38">
        <f>Table43[[#This Row],[Harga Jual Pcs MT
(+PPN)]]*Table43[[#This Row],[ISI/CTN]]</f>
        <v>0</v>
      </c>
      <c r="BA291" s="46">
        <f>(Table43[[#This Row],[Harga Jual Pcs GT
(-PPN)]]-Table43[[#This Row],[Harga Beli Pcs
(-PPN)]])/Table43[[#This Row],[Harga Jual Pcs GT
(-PPN)]]</f>
        <v>6.5000000000000002E-2</v>
      </c>
      <c r="BB291" s="53">
        <f>Table43[[#This Row],[Harga Jual Pcs MT
(-PPN)]]-Table43[[#This Row],[Harga Beli Pcs
(-PPN)]]</f>
        <v>-12996.5</v>
      </c>
      <c r="BC291" s="54" t="e">
        <f>Table43[[#This Row],[Column1]]/Table43[[#This Row],[Harga Jual Pcs MT
(-PPN)]]</f>
        <v>#DIV/0!</v>
      </c>
      <c r="BD291" s="52"/>
      <c r="BE291" s="7"/>
      <c r="BF291" s="7" t="str">
        <f ca="1">IF(TODAY()-Table43[[#This Row],[Efektif
Pembuatan]]&gt;60,"Lama","Baru")</f>
        <v>Lama</v>
      </c>
      <c r="BG291" s="7" t="str">
        <f ca="1">IF(TODAY()-Table43[[#This Row],[Efektif Naik Harga]]&lt;30,"Naik","Sama")</f>
        <v>Sama</v>
      </c>
      <c r="BH291" s="7"/>
      <c r="BI291" s="7" t="str">
        <f>IF(Table43[[#This Row],[Kode BARANG Win2]]&lt;&gt;"","IDR","")</f>
        <v>IDR</v>
      </c>
      <c r="BJ291" s="7" t="str">
        <f>CONCATENATE(Table43[[#This Row],[kode  1 Digit
(Nomor)]],Table43[[#This Row],[kode  4 Digit                (Nomor)]])</f>
        <v>0000</v>
      </c>
      <c r="BK291" s="7">
        <f>Table43[[#This Row],[Nama            Gramasi atau Jumlah Pack per CTN]]</f>
        <v>0</v>
      </c>
      <c r="BL291" s="7"/>
      <c r="BM291" s="7"/>
      <c r="BN291" s="4" t="str">
        <f>IF(Table43[[#This Row],[SATUAN Fix Win]]&lt;&gt;"","KRT")</f>
        <v>KRT</v>
      </c>
      <c r="BO291" s="4" t="str">
        <f>IF(Table43[[#This Row],[SATUAN Fix Win]]&lt;&gt;"","GD01")</f>
        <v>GD01</v>
      </c>
      <c r="BP291" s="4">
        <f>IF(Table43[[#This Row],[SATUAN Fix Win]]&lt;&gt;"",11611)</f>
        <v>11611</v>
      </c>
      <c r="BQ291" s="4">
        <f>IF(Table43[[#This Row],[SATUAN Fix Win]]&lt;&gt;"",11612)</f>
        <v>11612</v>
      </c>
      <c r="BS291" s="4">
        <f>IF(Table43[[#This Row],[SATUAN Fix Win]]&lt;&gt;"",1)</f>
        <v>1</v>
      </c>
      <c r="BU291" s="4">
        <f>Table43[[#This Row],[ISI/CTN]]</f>
        <v>24</v>
      </c>
    </row>
    <row r="292" spans="1:73">
      <c r="A292" s="4" t="str">
        <f>CONCATENATE(Table43[[#This Row],[Kode BARANG Win2]],Table43[[#This Row],[No. Urut
Item Sama]])</f>
        <v>G1201003000010</v>
      </c>
      <c r="B292" s="7"/>
      <c r="C292" s="31"/>
      <c r="D292" s="51">
        <v>40017289</v>
      </c>
      <c r="E292" s="27"/>
      <c r="F292" s="51"/>
      <c r="G292" s="51"/>
      <c r="H292" s="27"/>
      <c r="I292" s="27">
        <v>24</v>
      </c>
      <c r="J292" s="59" t="s">
        <v>1710</v>
      </c>
      <c r="K292" s="27" t="str">
        <f>Table43[[#This Row],[NamaJenisKemasan]]</f>
        <v>BOX</v>
      </c>
      <c r="L292" s="4" t="str">
        <f>TRIM(CONCATENATE(Table43[[#This Row],[Nama            KLP]]," ",Table43[[#This Row],[Nama            Sub KLP]]))</f>
        <v>NYU CREME HAIR COLOUR</v>
      </c>
      <c r="M292" s="4" t="str">
        <f>CONCATENATE(Table43[[#This Row],[kode  2 Digit                (hrf+No)]],Table43[[#This Row],[kode  2 Digit                (Nomor)]],Table43[[#This Row],[kode  1 Digit                (Nomor)]])</f>
        <v>G1201</v>
      </c>
      <c r="N292" s="4" t="str">
        <f>IF(AI292="",CONCATENATE(S292,U292,W292,Y292,AA292,AC292,AE292,AG292,Table43[[#This Row],[Tanda Kode Revisi]]),CONCATENATE(S292,U292,W292,Y292,AA292,AC292,AE292,AI292))</f>
        <v>G1201003000010</v>
      </c>
      <c r="O292" s="11">
        <f t="shared" si="6"/>
        <v>14</v>
      </c>
      <c r="P292" s="14" t="str">
        <f>IF(AH292&lt;&gt;"",TRIM(UPPER(CONCATENATE(R292," ",T292," ",V292," ",X292," ",Z292," ",AB292," ","X"," ",Table43[[#This Row],[ISI/CTN]]," ",AH292," ",AD292," ",AF292," ",AJ292))),TRIM(UPPER(CONCATENATE(R292," ",T292," ",V292," ",X292," ",Z292," ",AB292," ","X"," ",Table43[[#This Row],[ISI/CTN]]," ",AD292," ",AF292," ",AJ292))))</f>
        <v>NYU CREME HAIR COLOUR BURGUNDY X 24 BOX</v>
      </c>
      <c r="Q292" s="11">
        <f t="shared" si="7"/>
        <v>39</v>
      </c>
      <c r="S292" s="7" t="s">
        <v>34</v>
      </c>
      <c r="T292" s="4" t="s">
        <v>2333</v>
      </c>
      <c r="U292" s="47" t="s">
        <v>2566</v>
      </c>
      <c r="V292" s="48" t="s">
        <v>2379</v>
      </c>
      <c r="W292" s="7">
        <v>1</v>
      </c>
      <c r="X292" s="48"/>
      <c r="Y292" s="47" t="s">
        <v>1116</v>
      </c>
      <c r="Z292" s="4" t="s">
        <v>2328</v>
      </c>
      <c r="AA292" s="49" t="s">
        <v>2538</v>
      </c>
      <c r="AC292" s="49" t="s">
        <v>2460</v>
      </c>
      <c r="AD292" s="4" t="s">
        <v>662</v>
      </c>
      <c r="AE292" s="7">
        <v>1</v>
      </c>
      <c r="AG292" s="7">
        <v>0</v>
      </c>
      <c r="AK292" s="70">
        <f>Table43[[#This Row],[Column4]]</f>
        <v>0</v>
      </c>
      <c r="AN292" s="7">
        <f>Table43[[#This Row],[ISI/CTN]]</f>
        <v>24</v>
      </c>
      <c r="AO292" s="38">
        <f>Table43[[#This Row],[Harga Jual Pcs GT
(-PPN)]]-(Table43[[#This Row],[Harga Jual Pcs GT
(-PPN)]]*6.5%)</f>
        <v>12996.5</v>
      </c>
      <c r="AP292" s="38">
        <f>Table43[[#This Row],[Harga Beli Pcs
(-PPN)]]*Table43[[#This Row],[ISI/CTN]]</f>
        <v>311916</v>
      </c>
      <c r="AQ292" s="38">
        <f>Table43[[#This Row],[Harga Beli Pcs
(-PPN)]]*1.11</f>
        <v>14426.115000000002</v>
      </c>
      <c r="AR292" s="38">
        <f>Table43[[#This Row],[Harga Beli Krt
(- PPN)]]*1.11</f>
        <v>346226.76</v>
      </c>
      <c r="AS292" s="38">
        <v>13900</v>
      </c>
      <c r="AT292" s="38">
        <f>Table43[[#This Row],[Harga Jual Pcs GT
(-PPN)]]*Table43[[#This Row],[ISI/CTN]]</f>
        <v>333600</v>
      </c>
      <c r="AU292" s="38">
        <f>Table43[[#This Row],[Harga Jual Pcs GT
(-PPN)]]*1.11</f>
        <v>15429.000000000002</v>
      </c>
      <c r="AV292" s="38">
        <f>Table43[[#This Row],[Harga Jual Krt GT
(- PPN)]]*1.11</f>
        <v>370296.00000000006</v>
      </c>
      <c r="AW292" s="38">
        <f>IFERROR(VLOOKUP(Table43[[#This Row],[Kode Pcpl]],'[1]FEB 2026'!$A$3:$X$312,24,0),0)</f>
        <v>0</v>
      </c>
      <c r="AX292" s="38">
        <f>Table43[[#This Row],[Harga Jual Pcs MT
(-PPN)]]*Table43[[#This Row],[ISI/CTN]]</f>
        <v>0</v>
      </c>
      <c r="AY292" s="38">
        <f>Table43[[#This Row],[Harga Jual Pcs MT
(-PPN)]]*1.11</f>
        <v>0</v>
      </c>
      <c r="AZ292" s="38">
        <f>Table43[[#This Row],[Harga Jual Pcs MT
(+PPN)]]*Table43[[#This Row],[ISI/CTN]]</f>
        <v>0</v>
      </c>
      <c r="BA292" s="46">
        <f>(Table43[[#This Row],[Harga Jual Pcs GT
(-PPN)]]-Table43[[#This Row],[Harga Beli Pcs
(-PPN)]])/Table43[[#This Row],[Harga Jual Pcs GT
(-PPN)]]</f>
        <v>6.5000000000000002E-2</v>
      </c>
      <c r="BB292" s="53">
        <f>Table43[[#This Row],[Harga Jual Pcs MT
(-PPN)]]-Table43[[#This Row],[Harga Beli Pcs
(-PPN)]]</f>
        <v>-12996.5</v>
      </c>
      <c r="BC292" s="54" t="e">
        <f>Table43[[#This Row],[Column1]]/Table43[[#This Row],[Harga Jual Pcs MT
(-PPN)]]</f>
        <v>#DIV/0!</v>
      </c>
      <c r="BD292" s="52"/>
      <c r="BE292" s="7"/>
      <c r="BF292" s="7" t="str">
        <f ca="1">IF(TODAY()-Table43[[#This Row],[Efektif
Pembuatan]]&gt;60,"Lama","Baru")</f>
        <v>Lama</v>
      </c>
      <c r="BG292" s="7" t="str">
        <f ca="1">IF(TODAY()-Table43[[#This Row],[Efektif Naik Harga]]&lt;30,"Naik","Sama")</f>
        <v>Sama</v>
      </c>
      <c r="BH292" s="7"/>
      <c r="BI292" s="7" t="str">
        <f>IF(Table43[[#This Row],[Kode BARANG Win2]]&lt;&gt;"","IDR","")</f>
        <v>IDR</v>
      </c>
      <c r="BJ292" s="7" t="str">
        <f>CONCATENATE(Table43[[#This Row],[kode  1 Digit
(Nomor)]],Table43[[#This Row],[kode  4 Digit                (Nomor)]])</f>
        <v>0000</v>
      </c>
      <c r="BK292" s="7">
        <f>Table43[[#This Row],[Nama            Gramasi atau Jumlah Pack per CTN]]</f>
        <v>0</v>
      </c>
      <c r="BL292" s="7"/>
      <c r="BM292" s="7"/>
      <c r="BN292" s="4" t="str">
        <f>IF(Table43[[#This Row],[SATUAN Fix Win]]&lt;&gt;"","KRT")</f>
        <v>KRT</v>
      </c>
      <c r="BO292" s="4" t="str">
        <f>IF(Table43[[#This Row],[SATUAN Fix Win]]&lt;&gt;"","GD01")</f>
        <v>GD01</v>
      </c>
      <c r="BP292" s="4">
        <f>IF(Table43[[#This Row],[SATUAN Fix Win]]&lt;&gt;"",11611)</f>
        <v>11611</v>
      </c>
      <c r="BQ292" s="4">
        <f>IF(Table43[[#This Row],[SATUAN Fix Win]]&lt;&gt;"",11612)</f>
        <v>11612</v>
      </c>
      <c r="BS292" s="4">
        <f>IF(Table43[[#This Row],[SATUAN Fix Win]]&lt;&gt;"",1)</f>
        <v>1</v>
      </c>
      <c r="BU292" s="4">
        <f>Table43[[#This Row],[ISI/CTN]]</f>
        <v>24</v>
      </c>
    </row>
    <row r="293" spans="1:73">
      <c r="A293" s="4" t="str">
        <f>CONCATENATE(Table43[[#This Row],[Kode BARANG Win2]],Table43[[#This Row],[No. Urut
Item Sama]])</f>
        <v>G1201004000010</v>
      </c>
      <c r="B293" s="7"/>
      <c r="C293" s="31">
        <v>30351050020010</v>
      </c>
      <c r="D293" s="51">
        <v>40058723</v>
      </c>
      <c r="E293" s="27" t="s">
        <v>2020</v>
      </c>
      <c r="F293" s="51">
        <v>30351020150002</v>
      </c>
      <c r="G293" s="51">
        <v>0</v>
      </c>
      <c r="H293" s="27" t="s">
        <v>1306</v>
      </c>
      <c r="I293" s="27">
        <v>24</v>
      </c>
      <c r="J293" s="51" t="s">
        <v>1710</v>
      </c>
      <c r="K293" s="27" t="str">
        <f>Table43[[#This Row],[NamaJenisKemasan]]</f>
        <v>BOX</v>
      </c>
      <c r="L293" s="4" t="str">
        <f>TRIM(CONCATENATE(Table43[[#This Row],[Nama            KLP]]," ",Table43[[#This Row],[Nama            Sub KLP]]))</f>
        <v>NYU CREME HAIR COLOUR</v>
      </c>
      <c r="M293" s="4" t="str">
        <f>CONCATENATE(Table43[[#This Row],[kode  2 Digit                (hrf+No)]],Table43[[#This Row],[kode  2 Digit                (Nomor)]],Table43[[#This Row],[kode  1 Digit                (Nomor)]])</f>
        <v>G1201</v>
      </c>
      <c r="N293" s="4" t="str">
        <f>IF(AI293="",CONCATENATE(S293,U293,W293,Y293,AA293,AC293,AE293,AG293,Table43[[#This Row],[Tanda Kode Revisi]]),CONCATENATE(S293,U293,W293,Y293,AA293,AC293,AE293,AI293))</f>
        <v>G1201004000010</v>
      </c>
      <c r="O293" s="11">
        <f t="shared" si="6"/>
        <v>14</v>
      </c>
      <c r="P293" s="14" t="str">
        <f>IF(AH293&lt;&gt;"",TRIM(UPPER(CONCATENATE(R293," ",T293," ",V293," ",X293," ",Z293," ",AB293," ","X"," ",Table43[[#This Row],[ISI/CTN]]," ",AH293," ",AD293," ",AF293," ",AJ293))),TRIM(UPPER(CONCATENATE(R293," ",T293," ",V293," ",X293," ",Z293," ",AB293," ","X"," ",Table43[[#This Row],[ISI/CTN]]," ",AD293," ",AF293," ",AJ293))))</f>
        <v>NYU CREME HAIR COLOUR BURGUNDY + BLEACH X 24 BOX</v>
      </c>
      <c r="Q293" s="11">
        <f t="shared" si="7"/>
        <v>48</v>
      </c>
      <c r="S293" s="7" t="s">
        <v>34</v>
      </c>
      <c r="T293" s="4" t="s">
        <v>2333</v>
      </c>
      <c r="U293" s="47" t="s">
        <v>2566</v>
      </c>
      <c r="V293" s="48" t="s">
        <v>2379</v>
      </c>
      <c r="W293" s="7">
        <v>1</v>
      </c>
      <c r="X293" s="48"/>
      <c r="Y293" s="47" t="s">
        <v>1116</v>
      </c>
      <c r="Z293" s="4" t="s">
        <v>2329</v>
      </c>
      <c r="AA293" s="49" t="s">
        <v>2540</v>
      </c>
      <c r="AC293" s="49" t="s">
        <v>2460</v>
      </c>
      <c r="AD293" s="4" t="s">
        <v>662</v>
      </c>
      <c r="AE293" s="7">
        <v>1</v>
      </c>
      <c r="AG293" s="7">
        <v>0</v>
      </c>
      <c r="AK293" s="70">
        <f>Table43[[#This Row],[Column4]]</f>
        <v>30351020150002</v>
      </c>
      <c r="AN293" s="7">
        <f>Table43[[#This Row],[ISI/CTN]]</f>
        <v>24</v>
      </c>
      <c r="AO293" s="61">
        <f>Table43[[#This Row],[Harga Jual Pcs GT
(-PPN)]]-(Table43[[#This Row],[Harga Jual Pcs GT
(-PPN)]]*6.5%)</f>
        <v>12529</v>
      </c>
      <c r="AP293" s="61">
        <f>Table43[[#This Row],[Harga Beli Pcs
(-PPN)]]*Table43[[#This Row],[ISI/CTN]]</f>
        <v>300696</v>
      </c>
      <c r="AQ293" s="61">
        <f>Table43[[#This Row],[Harga Beli Pcs
(-PPN)]]*1.11</f>
        <v>13907.19</v>
      </c>
      <c r="AR293" s="61">
        <f>Table43[[#This Row],[Harga Beli Krt
(- PPN)]]*1.11</f>
        <v>333772.56000000006</v>
      </c>
      <c r="AS293" s="61">
        <v>13400</v>
      </c>
      <c r="AT293" s="61">
        <f>Table43[[#This Row],[Harga Jual Pcs GT
(-PPN)]]*Table43[[#This Row],[ISI/CTN]]</f>
        <v>321600</v>
      </c>
      <c r="AU293" s="61">
        <f>Table43[[#This Row],[Harga Jual Pcs GT
(-PPN)]]*1.11</f>
        <v>14874.000000000002</v>
      </c>
      <c r="AV293" s="61">
        <f>Table43[[#This Row],[Harga Jual Krt GT
(- PPN)]]*1.11</f>
        <v>356976.00000000006</v>
      </c>
      <c r="AW293" s="61">
        <f>IFERROR(VLOOKUP(Table43[[#This Row],[Kode Pcpl]],'[1]FEB 2026'!$A$3:$X$312,24,0),0)</f>
        <v>0</v>
      </c>
      <c r="AX293" s="61">
        <f>Table43[[#This Row],[Harga Jual Pcs MT
(-PPN)]]*Table43[[#This Row],[ISI/CTN]]</f>
        <v>0</v>
      </c>
      <c r="AY293" s="61">
        <f>Table43[[#This Row],[Harga Jual Pcs MT
(-PPN)]]*1.11</f>
        <v>0</v>
      </c>
      <c r="AZ293" s="61">
        <f>Table43[[#This Row],[Harga Jual Pcs MT
(+PPN)]]*Table43[[#This Row],[ISI/CTN]]</f>
        <v>0</v>
      </c>
      <c r="BA293" s="62">
        <f>(Table43[[#This Row],[Harga Jual Pcs GT
(-PPN)]]-Table43[[#This Row],[Harga Beli Pcs
(-PPN)]])/Table43[[#This Row],[Harga Jual Pcs GT
(-PPN)]]</f>
        <v>6.5000000000000002E-2</v>
      </c>
      <c r="BB293" s="63">
        <f>Table43[[#This Row],[Harga Jual Pcs MT
(-PPN)]]-Table43[[#This Row],[Harga Beli Pcs
(-PPN)]]</f>
        <v>-12529</v>
      </c>
      <c r="BC293" s="64" t="e">
        <f>Table43[[#This Row],[Column1]]/Table43[[#This Row],[Harga Jual Pcs MT
(-PPN)]]</f>
        <v>#DIV/0!</v>
      </c>
      <c r="BD293" s="52"/>
      <c r="BE293" s="7"/>
      <c r="BF293" s="7" t="str">
        <f ca="1">IF(TODAY()-Table43[[#This Row],[Efektif
Pembuatan]]&gt;60,"Lama","Baru")</f>
        <v>Lama</v>
      </c>
      <c r="BG293" s="7" t="str">
        <f ca="1">IF(TODAY()-Table43[[#This Row],[Efektif Naik Harga]]&lt;30,"Naik","Sama")</f>
        <v>Sama</v>
      </c>
      <c r="BH293" s="7"/>
      <c r="BI293" s="7" t="str">
        <f>IF(Table43[[#This Row],[Kode BARANG Win2]]&lt;&gt;"","IDR","")</f>
        <v>IDR</v>
      </c>
      <c r="BJ293" s="7" t="str">
        <f>CONCATENATE(Table43[[#This Row],[kode  1 Digit
(Nomor)]],Table43[[#This Row],[kode  4 Digit                (Nomor)]])</f>
        <v>0000</v>
      </c>
      <c r="BK293" s="7">
        <f>Table43[[#This Row],[Nama            Gramasi atau Jumlah Pack per CTN]]</f>
        <v>0</v>
      </c>
      <c r="BL293" s="7"/>
      <c r="BM293" s="7"/>
      <c r="BN293" s="4" t="str">
        <f>IF(Table43[[#This Row],[SATUAN Fix Win]]&lt;&gt;"","KRT")</f>
        <v>KRT</v>
      </c>
      <c r="BO293" s="4" t="str">
        <f>IF(Table43[[#This Row],[SATUAN Fix Win]]&lt;&gt;"","GD01")</f>
        <v>GD01</v>
      </c>
      <c r="BP293" s="4">
        <f>IF(Table43[[#This Row],[SATUAN Fix Win]]&lt;&gt;"",11611)</f>
        <v>11611</v>
      </c>
      <c r="BQ293" s="4">
        <f>IF(Table43[[#This Row],[SATUAN Fix Win]]&lt;&gt;"",11612)</f>
        <v>11612</v>
      </c>
      <c r="BS293" s="4">
        <f>IF(Table43[[#This Row],[SATUAN Fix Win]]&lt;&gt;"",1)</f>
        <v>1</v>
      </c>
      <c r="BU293" s="4">
        <f>Table43[[#This Row],[ISI/CTN]]</f>
        <v>24</v>
      </c>
    </row>
    <row r="294" spans="1:73">
      <c r="A294" s="4" t="str">
        <f>CONCATENATE(Table43[[#This Row],[Kode BARANG Win2]],Table43[[#This Row],[No. Urut
Item Sama]])</f>
        <v>G1201005000010</v>
      </c>
      <c r="B294" s="7"/>
      <c r="C294" s="31">
        <v>30351100150002</v>
      </c>
      <c r="D294" s="51">
        <v>40023337</v>
      </c>
      <c r="E294" s="27" t="s">
        <v>2021</v>
      </c>
      <c r="F294" s="51">
        <v>30351030150000</v>
      </c>
      <c r="G294" s="51">
        <v>0</v>
      </c>
      <c r="H294" s="27" t="s">
        <v>1307</v>
      </c>
      <c r="I294" s="27">
        <v>24</v>
      </c>
      <c r="J294" s="51" t="s">
        <v>1711</v>
      </c>
      <c r="K294" s="27" t="str">
        <f>Table43[[#This Row],[NamaJenisKemasan]]</f>
        <v>BOX</v>
      </c>
      <c r="L294" s="4" t="str">
        <f>TRIM(CONCATENATE(Table43[[#This Row],[Nama            KLP]]," ",Table43[[#This Row],[Nama            Sub KLP]]))</f>
        <v>NYU CREME HAIR COLOUR</v>
      </c>
      <c r="M294" s="4" t="str">
        <f>CONCATENATE(Table43[[#This Row],[kode  2 Digit                (hrf+No)]],Table43[[#This Row],[kode  2 Digit                (Nomor)]],Table43[[#This Row],[kode  1 Digit                (Nomor)]])</f>
        <v>G1201</v>
      </c>
      <c r="N294" s="4" t="str">
        <f>IF(AI294="",CONCATENATE(S294,U294,W294,Y294,AA294,AC294,AE294,AG294,Table43[[#This Row],[Tanda Kode Revisi]]),CONCATENATE(S294,U294,W294,Y294,AA294,AC294,AE294,AI294))</f>
        <v>G1201005000010</v>
      </c>
      <c r="O294" s="11">
        <f t="shared" si="6"/>
        <v>14</v>
      </c>
      <c r="P294" s="14" t="str">
        <f>IF(AH294&lt;&gt;"",TRIM(UPPER(CONCATENATE(R294," ",T294," ",V294," ",X294," ",Z294," ",AB294," ","X"," ",Table43[[#This Row],[ISI/CTN]]," ",AH294," ",AD294," ",AF294," ",AJ294))),TRIM(UPPER(CONCATENATE(R294," ",T294," ",V294," ",X294," ",Z294," ",AB294," ","X"," ",Table43[[#This Row],[ISI/CTN]]," ",AD294," ",AF294," ",AJ294))))</f>
        <v>NYU CREME HAIR COLOUR CARAMEL X 24 BOX</v>
      </c>
      <c r="Q294" s="11">
        <f t="shared" si="7"/>
        <v>38</v>
      </c>
      <c r="S294" s="7" t="s">
        <v>34</v>
      </c>
      <c r="T294" s="4" t="s">
        <v>2333</v>
      </c>
      <c r="U294" s="47" t="s">
        <v>2566</v>
      </c>
      <c r="V294" s="48" t="s">
        <v>2379</v>
      </c>
      <c r="W294" s="7">
        <v>1</v>
      </c>
      <c r="X294" s="48"/>
      <c r="Y294" s="47" t="s">
        <v>1116</v>
      </c>
      <c r="Z294" s="4" t="s">
        <v>2351</v>
      </c>
      <c r="AA294" s="49" t="s">
        <v>2541</v>
      </c>
      <c r="AC294" s="49" t="s">
        <v>2460</v>
      </c>
      <c r="AD294" s="4" t="s">
        <v>662</v>
      </c>
      <c r="AE294" s="7">
        <v>1</v>
      </c>
      <c r="AG294" s="7">
        <v>0</v>
      </c>
      <c r="AK294" s="70">
        <f>Table43[[#This Row],[Column4]]</f>
        <v>30351030150000</v>
      </c>
      <c r="AN294" s="7">
        <f>Table43[[#This Row],[ISI/CTN]]</f>
        <v>24</v>
      </c>
      <c r="AO294" s="38">
        <f>Table43[[#This Row],[Harga Jual Pcs GT
(-PPN)]]-(Table43[[#This Row],[Harga Jual Pcs GT
(-PPN)]]*6.5%)</f>
        <v>12996.5</v>
      </c>
      <c r="AP294" s="38">
        <f>Table43[[#This Row],[Harga Beli Pcs
(-PPN)]]*Table43[[#This Row],[ISI/CTN]]</f>
        <v>311916</v>
      </c>
      <c r="AQ294" s="38">
        <f>Table43[[#This Row],[Harga Beli Pcs
(-PPN)]]*1.11</f>
        <v>14426.115000000002</v>
      </c>
      <c r="AR294" s="38">
        <f>Table43[[#This Row],[Harga Beli Krt
(- PPN)]]*1.11</f>
        <v>346226.76</v>
      </c>
      <c r="AS294" s="38">
        <v>13900</v>
      </c>
      <c r="AT294" s="38">
        <f>Table43[[#This Row],[Harga Jual Pcs GT
(-PPN)]]*Table43[[#This Row],[ISI/CTN]]</f>
        <v>333600</v>
      </c>
      <c r="AU294" s="38">
        <f>Table43[[#This Row],[Harga Jual Pcs GT
(-PPN)]]*1.11</f>
        <v>15429.000000000002</v>
      </c>
      <c r="AV294" s="38">
        <f>Table43[[#This Row],[Harga Jual Krt GT
(- PPN)]]*1.11</f>
        <v>370296.00000000006</v>
      </c>
      <c r="AW294" s="38">
        <f>IFERROR(VLOOKUP(Table43[[#This Row],[Kode Pcpl]],'[1]FEB 2026'!$A$3:$X$312,24,0),0)</f>
        <v>0</v>
      </c>
      <c r="AX294" s="38">
        <f>Table43[[#This Row],[Harga Jual Pcs MT
(-PPN)]]*Table43[[#This Row],[ISI/CTN]]</f>
        <v>0</v>
      </c>
      <c r="AY294" s="38">
        <f>Table43[[#This Row],[Harga Jual Pcs MT
(-PPN)]]*1.11</f>
        <v>0</v>
      </c>
      <c r="AZ294" s="38">
        <f>Table43[[#This Row],[Harga Jual Pcs MT
(+PPN)]]*Table43[[#This Row],[ISI/CTN]]</f>
        <v>0</v>
      </c>
      <c r="BA294" s="46">
        <f>(Table43[[#This Row],[Harga Jual Pcs GT
(-PPN)]]-Table43[[#This Row],[Harga Beli Pcs
(-PPN)]])/Table43[[#This Row],[Harga Jual Pcs GT
(-PPN)]]</f>
        <v>6.5000000000000002E-2</v>
      </c>
      <c r="BB294" s="53">
        <f>Table43[[#This Row],[Harga Jual Pcs MT
(-PPN)]]-Table43[[#This Row],[Harga Beli Pcs
(-PPN)]]</f>
        <v>-12996.5</v>
      </c>
      <c r="BC294" s="54" t="e">
        <f>Table43[[#This Row],[Column1]]/Table43[[#This Row],[Harga Jual Pcs MT
(-PPN)]]</f>
        <v>#DIV/0!</v>
      </c>
      <c r="BD294" s="52"/>
      <c r="BE294" s="7"/>
      <c r="BF294" s="7" t="str">
        <f ca="1">IF(TODAY()-Table43[[#This Row],[Efektif
Pembuatan]]&gt;60,"Lama","Baru")</f>
        <v>Lama</v>
      </c>
      <c r="BG294" s="7" t="str">
        <f ca="1">IF(TODAY()-Table43[[#This Row],[Efektif Naik Harga]]&lt;30,"Naik","Sama")</f>
        <v>Sama</v>
      </c>
      <c r="BH294" s="7"/>
      <c r="BI294" s="7" t="str">
        <f>IF(Table43[[#This Row],[Kode BARANG Win2]]&lt;&gt;"","IDR","")</f>
        <v>IDR</v>
      </c>
      <c r="BJ294" s="7" t="str">
        <f>CONCATENATE(Table43[[#This Row],[kode  1 Digit
(Nomor)]],Table43[[#This Row],[kode  4 Digit                (Nomor)]])</f>
        <v>0000</v>
      </c>
      <c r="BK294" s="7">
        <f>Table43[[#This Row],[Nama            Gramasi atau Jumlah Pack per CTN]]</f>
        <v>0</v>
      </c>
      <c r="BL294" s="7"/>
      <c r="BM294" s="7"/>
      <c r="BN294" s="4" t="str">
        <f>IF(Table43[[#This Row],[SATUAN Fix Win]]&lt;&gt;"","KRT")</f>
        <v>KRT</v>
      </c>
      <c r="BO294" s="4" t="str">
        <f>IF(Table43[[#This Row],[SATUAN Fix Win]]&lt;&gt;"","GD01")</f>
        <v>GD01</v>
      </c>
      <c r="BP294" s="4">
        <f>IF(Table43[[#This Row],[SATUAN Fix Win]]&lt;&gt;"",11611)</f>
        <v>11611</v>
      </c>
      <c r="BQ294" s="4">
        <f>IF(Table43[[#This Row],[SATUAN Fix Win]]&lt;&gt;"",11612)</f>
        <v>11612</v>
      </c>
      <c r="BS294" s="4">
        <f>IF(Table43[[#This Row],[SATUAN Fix Win]]&lt;&gt;"",1)</f>
        <v>1</v>
      </c>
      <c r="BU294" s="4">
        <f>Table43[[#This Row],[ISI/CTN]]</f>
        <v>24</v>
      </c>
    </row>
    <row r="295" spans="1:73">
      <c r="A295" s="4" t="str">
        <f>CONCATENATE(Table43[[#This Row],[Kode BARANG Win2]],Table43[[#This Row],[No. Urut
Item Sama]])</f>
        <v>G1201005000010</v>
      </c>
      <c r="B295" s="7"/>
      <c r="C295" s="31"/>
      <c r="D295" s="51">
        <v>40017268</v>
      </c>
      <c r="E295" s="27"/>
      <c r="F295" s="51"/>
      <c r="G295" s="51"/>
      <c r="H295" s="27"/>
      <c r="I295" s="27">
        <v>24</v>
      </c>
      <c r="J295" s="51" t="s">
        <v>1711</v>
      </c>
      <c r="K295" s="27" t="str">
        <f>Table43[[#This Row],[NamaJenisKemasan]]</f>
        <v>BOX</v>
      </c>
      <c r="L295" s="4" t="str">
        <f>TRIM(CONCATENATE(Table43[[#This Row],[Nama            KLP]]," ",Table43[[#This Row],[Nama            Sub KLP]]))</f>
        <v>NYU CREME HAIR COLOUR</v>
      </c>
      <c r="M295" s="4" t="str">
        <f>CONCATENATE(Table43[[#This Row],[kode  2 Digit                (hrf+No)]],Table43[[#This Row],[kode  2 Digit                (Nomor)]],Table43[[#This Row],[kode  1 Digit                (Nomor)]])</f>
        <v>G1201</v>
      </c>
      <c r="N295" s="4" t="str">
        <f>IF(AI295="",CONCATENATE(S295,U295,W295,Y295,AA295,AC295,AE295,AG295,Table43[[#This Row],[Tanda Kode Revisi]]),CONCATENATE(S295,U295,W295,Y295,AA295,AC295,AE295,AI295))</f>
        <v>G1201005000010</v>
      </c>
      <c r="O295" s="11">
        <f t="shared" si="6"/>
        <v>14</v>
      </c>
      <c r="P295" s="14" t="str">
        <f>IF(AH295&lt;&gt;"",TRIM(UPPER(CONCATENATE(R295," ",T295," ",V295," ",X295," ",Z295," ",AB295," ","X"," ",Table43[[#This Row],[ISI/CTN]]," ",AH295," ",AD295," ",AF295," ",AJ295))),TRIM(UPPER(CONCATENATE(R295," ",T295," ",V295," ",X295," ",Z295," ",AB295," ","X"," ",Table43[[#This Row],[ISI/CTN]]," ",AD295," ",AF295," ",AJ295))))</f>
        <v>NYU CREME HAIR COLOUR CARAMEL X 24 BOX</v>
      </c>
      <c r="Q295" s="11">
        <f t="shared" si="7"/>
        <v>38</v>
      </c>
      <c r="S295" s="7" t="s">
        <v>34</v>
      </c>
      <c r="T295" s="4" t="s">
        <v>2333</v>
      </c>
      <c r="U295" s="47" t="s">
        <v>2566</v>
      </c>
      <c r="V295" s="48" t="s">
        <v>2379</v>
      </c>
      <c r="W295" s="7">
        <v>1</v>
      </c>
      <c r="X295" s="48"/>
      <c r="Y295" s="47" t="s">
        <v>1116</v>
      </c>
      <c r="Z295" s="4" t="s">
        <v>2351</v>
      </c>
      <c r="AA295" s="49" t="s">
        <v>2541</v>
      </c>
      <c r="AC295" s="49" t="s">
        <v>2460</v>
      </c>
      <c r="AD295" s="4" t="s">
        <v>662</v>
      </c>
      <c r="AE295" s="7">
        <v>1</v>
      </c>
      <c r="AG295" s="7">
        <v>0</v>
      </c>
      <c r="AK295" s="70">
        <f>Table43[[#This Row],[Column4]]</f>
        <v>0</v>
      </c>
      <c r="AN295" s="7">
        <f>Table43[[#This Row],[ISI/CTN]]</f>
        <v>24</v>
      </c>
      <c r="AO295" s="38">
        <f>Table43[[#This Row],[Harga Jual Pcs GT
(-PPN)]]-(Table43[[#This Row],[Harga Jual Pcs GT
(-PPN)]]*6.5%)</f>
        <v>12996.5</v>
      </c>
      <c r="AP295" s="38">
        <f>Table43[[#This Row],[Harga Beli Pcs
(-PPN)]]*Table43[[#This Row],[ISI/CTN]]</f>
        <v>311916</v>
      </c>
      <c r="AQ295" s="38">
        <f>Table43[[#This Row],[Harga Beli Pcs
(-PPN)]]*1.11</f>
        <v>14426.115000000002</v>
      </c>
      <c r="AR295" s="38">
        <f>Table43[[#This Row],[Harga Beli Krt
(- PPN)]]*1.11</f>
        <v>346226.76</v>
      </c>
      <c r="AS295" s="38">
        <v>13900</v>
      </c>
      <c r="AT295" s="38">
        <f>Table43[[#This Row],[Harga Jual Pcs GT
(-PPN)]]*Table43[[#This Row],[ISI/CTN]]</f>
        <v>333600</v>
      </c>
      <c r="AU295" s="38">
        <f>Table43[[#This Row],[Harga Jual Pcs GT
(-PPN)]]*1.11</f>
        <v>15429.000000000002</v>
      </c>
      <c r="AV295" s="38">
        <f>Table43[[#This Row],[Harga Jual Krt GT
(- PPN)]]*1.11</f>
        <v>370296.00000000006</v>
      </c>
      <c r="AW295" s="38">
        <f>IFERROR(VLOOKUP(Table43[[#This Row],[Kode Pcpl]],'[1]FEB 2026'!$A$3:$X$312,24,0),0)</f>
        <v>0</v>
      </c>
      <c r="AX295" s="38">
        <f>Table43[[#This Row],[Harga Jual Pcs MT
(-PPN)]]*Table43[[#This Row],[ISI/CTN]]</f>
        <v>0</v>
      </c>
      <c r="AY295" s="38">
        <f>Table43[[#This Row],[Harga Jual Pcs MT
(-PPN)]]*1.11</f>
        <v>0</v>
      </c>
      <c r="AZ295" s="38">
        <f>Table43[[#This Row],[Harga Jual Pcs MT
(+PPN)]]*Table43[[#This Row],[ISI/CTN]]</f>
        <v>0</v>
      </c>
      <c r="BA295" s="46">
        <f>(Table43[[#This Row],[Harga Jual Pcs GT
(-PPN)]]-Table43[[#This Row],[Harga Beli Pcs
(-PPN)]])/Table43[[#This Row],[Harga Jual Pcs GT
(-PPN)]]</f>
        <v>6.5000000000000002E-2</v>
      </c>
      <c r="BB295" s="53">
        <f>Table43[[#This Row],[Harga Jual Pcs MT
(-PPN)]]-Table43[[#This Row],[Harga Beli Pcs
(-PPN)]]</f>
        <v>-12996.5</v>
      </c>
      <c r="BC295" s="54" t="e">
        <f>Table43[[#This Row],[Column1]]/Table43[[#This Row],[Harga Jual Pcs MT
(-PPN)]]</f>
        <v>#DIV/0!</v>
      </c>
      <c r="BD295" s="52"/>
      <c r="BE295" s="7"/>
      <c r="BF295" s="7" t="str">
        <f ca="1">IF(TODAY()-Table43[[#This Row],[Efektif
Pembuatan]]&gt;60,"Lama","Baru")</f>
        <v>Lama</v>
      </c>
      <c r="BG295" s="7" t="str">
        <f ca="1">IF(TODAY()-Table43[[#This Row],[Efektif Naik Harga]]&lt;30,"Naik","Sama")</f>
        <v>Sama</v>
      </c>
      <c r="BH295" s="7"/>
      <c r="BI295" s="7" t="str">
        <f>IF(Table43[[#This Row],[Kode BARANG Win2]]&lt;&gt;"","IDR","")</f>
        <v>IDR</v>
      </c>
      <c r="BJ295" s="7" t="str">
        <f>CONCATENATE(Table43[[#This Row],[kode  1 Digit
(Nomor)]],Table43[[#This Row],[kode  4 Digit                (Nomor)]])</f>
        <v>0000</v>
      </c>
      <c r="BK295" s="7">
        <f>Table43[[#This Row],[Nama            Gramasi atau Jumlah Pack per CTN]]</f>
        <v>0</v>
      </c>
      <c r="BL295" s="7"/>
      <c r="BM295" s="7"/>
      <c r="BN295" s="4" t="str">
        <f>IF(Table43[[#This Row],[SATUAN Fix Win]]&lt;&gt;"","KRT")</f>
        <v>KRT</v>
      </c>
      <c r="BO295" s="4" t="str">
        <f>IF(Table43[[#This Row],[SATUAN Fix Win]]&lt;&gt;"","GD01")</f>
        <v>GD01</v>
      </c>
      <c r="BP295" s="4">
        <f>IF(Table43[[#This Row],[SATUAN Fix Win]]&lt;&gt;"",11611)</f>
        <v>11611</v>
      </c>
      <c r="BQ295" s="4">
        <f>IF(Table43[[#This Row],[SATUAN Fix Win]]&lt;&gt;"",11612)</f>
        <v>11612</v>
      </c>
      <c r="BS295" s="4">
        <f>IF(Table43[[#This Row],[SATUAN Fix Win]]&lt;&gt;"",1)</f>
        <v>1</v>
      </c>
      <c r="BU295" s="4">
        <f>Table43[[#This Row],[ISI/CTN]]</f>
        <v>24</v>
      </c>
    </row>
    <row r="296" spans="1:73">
      <c r="A296" s="4" t="str">
        <f>CONCATENATE(Table43[[#This Row],[Kode BARANG Win2]],Table43[[#This Row],[No. Urut
Item Sama]])</f>
        <v>G1201006000010</v>
      </c>
      <c r="B296" s="7"/>
      <c r="C296" s="31">
        <v>30351050060001</v>
      </c>
      <c r="D296" s="51">
        <v>40058724</v>
      </c>
      <c r="E296" s="27" t="s">
        <v>2022</v>
      </c>
      <c r="F296" s="51">
        <v>30351030150002</v>
      </c>
      <c r="G296" s="51">
        <v>0</v>
      </c>
      <c r="H296" s="27" t="s">
        <v>1308</v>
      </c>
      <c r="I296" s="27">
        <v>24</v>
      </c>
      <c r="J296" s="51" t="s">
        <v>1711</v>
      </c>
      <c r="K296" s="27" t="str">
        <f>Table43[[#This Row],[NamaJenisKemasan]]</f>
        <v>BOX</v>
      </c>
      <c r="L296" s="4" t="str">
        <f>TRIM(CONCATENATE(Table43[[#This Row],[Nama            KLP]]," ",Table43[[#This Row],[Nama            Sub KLP]]))</f>
        <v>NYU CREME HAIR COLOUR</v>
      </c>
      <c r="M296" s="4" t="str">
        <f>CONCATENATE(Table43[[#This Row],[kode  2 Digit                (hrf+No)]],Table43[[#This Row],[kode  2 Digit                (Nomor)]],Table43[[#This Row],[kode  1 Digit                (Nomor)]])</f>
        <v>G1201</v>
      </c>
      <c r="N296" s="4" t="str">
        <f>IF(AI296="",CONCATENATE(S296,U296,W296,Y296,AA296,AC296,AE296,AG296,Table43[[#This Row],[Tanda Kode Revisi]]),CONCATENATE(S296,U296,W296,Y296,AA296,AC296,AE296,AI296))</f>
        <v>G1201006000010</v>
      </c>
      <c r="O296" s="11">
        <f t="shared" si="6"/>
        <v>14</v>
      </c>
      <c r="P296" s="14" t="str">
        <f>IF(AH296&lt;&gt;"",TRIM(UPPER(CONCATENATE(R296," ",T296," ",V296," ",X296," ",Z296," ",AB296," ","X"," ",Table43[[#This Row],[ISI/CTN]]," ",AH296," ",AD296," ",AF296," ",AJ296))),TRIM(UPPER(CONCATENATE(R296," ",T296," ",V296," ",X296," ",Z296," ",AB296," ","X"," ",Table43[[#This Row],[ISI/CTN]]," ",AD296," ",AF296," ",AJ296))))</f>
        <v>NYU CREME HAIR COLOUR CARAMEL + BLEACH X 24 BOX</v>
      </c>
      <c r="Q296" s="11">
        <f t="shared" si="7"/>
        <v>47</v>
      </c>
      <c r="S296" s="7" t="s">
        <v>34</v>
      </c>
      <c r="T296" s="4" t="s">
        <v>2333</v>
      </c>
      <c r="U296" s="47" t="s">
        <v>2566</v>
      </c>
      <c r="V296" s="48" t="s">
        <v>2379</v>
      </c>
      <c r="W296" s="7">
        <v>1</v>
      </c>
      <c r="X296" s="48"/>
      <c r="Y296" s="47" t="s">
        <v>1116</v>
      </c>
      <c r="Z296" s="4" t="s">
        <v>2350</v>
      </c>
      <c r="AA296" s="49" t="s">
        <v>2542</v>
      </c>
      <c r="AC296" s="49" t="s">
        <v>2460</v>
      </c>
      <c r="AD296" s="4" t="s">
        <v>662</v>
      </c>
      <c r="AE296" s="7">
        <v>1</v>
      </c>
      <c r="AG296" s="7">
        <v>0</v>
      </c>
      <c r="AK296" s="70">
        <f>Table43[[#This Row],[Column4]]</f>
        <v>30351030150002</v>
      </c>
      <c r="AN296" s="7">
        <f>Table43[[#This Row],[ISI/CTN]]</f>
        <v>24</v>
      </c>
      <c r="AO296" s="61">
        <f>Table43[[#This Row],[Harga Jual Pcs GT
(-PPN)]]-(Table43[[#This Row],[Harga Jual Pcs GT
(-PPN)]]*6.5%)</f>
        <v>12529</v>
      </c>
      <c r="AP296" s="61">
        <f>Table43[[#This Row],[Harga Beli Pcs
(-PPN)]]*Table43[[#This Row],[ISI/CTN]]</f>
        <v>300696</v>
      </c>
      <c r="AQ296" s="61">
        <f>Table43[[#This Row],[Harga Beli Pcs
(-PPN)]]*1.11</f>
        <v>13907.19</v>
      </c>
      <c r="AR296" s="61">
        <f>Table43[[#This Row],[Harga Beli Krt
(- PPN)]]*1.11</f>
        <v>333772.56000000006</v>
      </c>
      <c r="AS296" s="61">
        <v>13400</v>
      </c>
      <c r="AT296" s="61">
        <f>Table43[[#This Row],[Harga Jual Pcs GT
(-PPN)]]*Table43[[#This Row],[ISI/CTN]]</f>
        <v>321600</v>
      </c>
      <c r="AU296" s="61">
        <f>Table43[[#This Row],[Harga Jual Pcs GT
(-PPN)]]*1.11</f>
        <v>14874.000000000002</v>
      </c>
      <c r="AV296" s="61">
        <f>Table43[[#This Row],[Harga Jual Krt GT
(- PPN)]]*1.11</f>
        <v>356976.00000000006</v>
      </c>
      <c r="AW296" s="61">
        <f>IFERROR(VLOOKUP(Table43[[#This Row],[Kode Pcpl]],'[1]FEB 2026'!$A$3:$X$312,24,0),0)</f>
        <v>0</v>
      </c>
      <c r="AX296" s="61">
        <f>Table43[[#This Row],[Harga Jual Pcs MT
(-PPN)]]*Table43[[#This Row],[ISI/CTN]]</f>
        <v>0</v>
      </c>
      <c r="AY296" s="61">
        <f>Table43[[#This Row],[Harga Jual Pcs MT
(-PPN)]]*1.11</f>
        <v>0</v>
      </c>
      <c r="AZ296" s="61">
        <f>Table43[[#This Row],[Harga Jual Pcs MT
(+PPN)]]*Table43[[#This Row],[ISI/CTN]]</f>
        <v>0</v>
      </c>
      <c r="BA296" s="62">
        <f>(Table43[[#This Row],[Harga Jual Pcs GT
(-PPN)]]-Table43[[#This Row],[Harga Beli Pcs
(-PPN)]])/Table43[[#This Row],[Harga Jual Pcs GT
(-PPN)]]</f>
        <v>6.5000000000000002E-2</v>
      </c>
      <c r="BB296" s="63">
        <f>Table43[[#This Row],[Harga Jual Pcs MT
(-PPN)]]-Table43[[#This Row],[Harga Beli Pcs
(-PPN)]]</f>
        <v>-12529</v>
      </c>
      <c r="BC296" s="64" t="e">
        <f>Table43[[#This Row],[Column1]]/Table43[[#This Row],[Harga Jual Pcs MT
(-PPN)]]</f>
        <v>#DIV/0!</v>
      </c>
      <c r="BD296" s="52"/>
      <c r="BE296" s="7"/>
      <c r="BF296" s="7" t="str">
        <f ca="1">IF(TODAY()-Table43[[#This Row],[Efektif
Pembuatan]]&gt;60,"Lama","Baru")</f>
        <v>Lama</v>
      </c>
      <c r="BG296" s="7" t="str">
        <f ca="1">IF(TODAY()-Table43[[#This Row],[Efektif Naik Harga]]&lt;30,"Naik","Sama")</f>
        <v>Sama</v>
      </c>
      <c r="BH296" s="7"/>
      <c r="BI296" s="7" t="str">
        <f>IF(Table43[[#This Row],[Kode BARANG Win2]]&lt;&gt;"","IDR","")</f>
        <v>IDR</v>
      </c>
      <c r="BJ296" s="7" t="str">
        <f>CONCATENATE(Table43[[#This Row],[kode  1 Digit
(Nomor)]],Table43[[#This Row],[kode  4 Digit                (Nomor)]])</f>
        <v>0000</v>
      </c>
      <c r="BK296" s="7">
        <f>Table43[[#This Row],[Nama            Gramasi atau Jumlah Pack per CTN]]</f>
        <v>0</v>
      </c>
      <c r="BL296" s="7"/>
      <c r="BM296" s="7"/>
      <c r="BN296" s="4" t="str">
        <f>IF(Table43[[#This Row],[SATUAN Fix Win]]&lt;&gt;"","KRT")</f>
        <v>KRT</v>
      </c>
      <c r="BO296" s="4" t="str">
        <f>IF(Table43[[#This Row],[SATUAN Fix Win]]&lt;&gt;"","GD01")</f>
        <v>GD01</v>
      </c>
      <c r="BP296" s="4">
        <f>IF(Table43[[#This Row],[SATUAN Fix Win]]&lt;&gt;"",11611)</f>
        <v>11611</v>
      </c>
      <c r="BQ296" s="4">
        <f>IF(Table43[[#This Row],[SATUAN Fix Win]]&lt;&gt;"",11612)</f>
        <v>11612</v>
      </c>
      <c r="BS296" s="4">
        <f>IF(Table43[[#This Row],[SATUAN Fix Win]]&lt;&gt;"",1)</f>
        <v>1</v>
      </c>
      <c r="BU296" s="4">
        <f>Table43[[#This Row],[ISI/CTN]]</f>
        <v>24</v>
      </c>
    </row>
    <row r="297" spans="1:73">
      <c r="A297" s="4" t="str">
        <f>CONCATENATE(Table43[[#This Row],[Kode BARANG Win2]],Table43[[#This Row],[No. Urut
Item Sama]])</f>
        <v>G1201007000010</v>
      </c>
      <c r="B297" s="7"/>
      <c r="C297" s="31">
        <v>30351110150000</v>
      </c>
      <c r="D297" s="51">
        <v>40027283</v>
      </c>
      <c r="E297" s="27" t="s">
        <v>2035</v>
      </c>
      <c r="F297" s="51">
        <v>30351080150000</v>
      </c>
      <c r="G297" s="51">
        <v>0</v>
      </c>
      <c r="H297" s="27" t="s">
        <v>1322</v>
      </c>
      <c r="I297" s="27">
        <v>24</v>
      </c>
      <c r="J297" s="51" t="s">
        <v>1722</v>
      </c>
      <c r="K297" s="27" t="str">
        <f>Table43[[#This Row],[NamaJenisKemasan]]</f>
        <v>BOX</v>
      </c>
      <c r="L297" s="4" t="str">
        <f>TRIM(CONCATENATE(Table43[[#This Row],[Nama            KLP]]," ",Table43[[#This Row],[Nama            Sub KLP]]))</f>
        <v>NYU CREME HAIR COLOUR</v>
      </c>
      <c r="M297" s="4" t="str">
        <f>CONCATENATE(Table43[[#This Row],[kode  2 Digit                (hrf+No)]],Table43[[#This Row],[kode  2 Digit                (Nomor)]],Table43[[#This Row],[kode  1 Digit                (Nomor)]])</f>
        <v>G1201</v>
      </c>
      <c r="N297" s="4" t="str">
        <f>IF(AI297="",CONCATENATE(S297,U297,W297,Y297,AA297,AC297,AE297,AG297,Table43[[#This Row],[Tanda Kode Revisi]]),CONCATENATE(S297,U297,W297,Y297,AA297,AC297,AE297,AI297))</f>
        <v>G1201007000010</v>
      </c>
      <c r="O297" s="11">
        <f t="shared" si="6"/>
        <v>14</v>
      </c>
      <c r="P297" s="14" t="str">
        <f>IF(AH297&lt;&gt;"",TRIM(UPPER(CONCATENATE(R297," ",T297," ",V297," ",X297," ",Z297," ",AB297," ","X"," ",Table43[[#This Row],[ISI/CTN]]," ",AH297," ",AD297," ",AF297," ",AJ297))),TRIM(UPPER(CONCATENATE(R297," ",T297," ",V297," ",X297," ",Z297," ",AB297," ","X"," ",Table43[[#This Row],[ISI/CTN]]," ",AD297," ",AF297," ",AJ297))))</f>
        <v>NYU CREME HAIR COLOUR CHERRY RED X 24 BOX</v>
      </c>
      <c r="Q297" s="11">
        <f t="shared" si="7"/>
        <v>41</v>
      </c>
      <c r="S297" s="7" t="s">
        <v>34</v>
      </c>
      <c r="T297" s="4" t="s">
        <v>2333</v>
      </c>
      <c r="U297" s="47" t="s">
        <v>2566</v>
      </c>
      <c r="V297" s="48" t="s">
        <v>2379</v>
      </c>
      <c r="W297" s="7">
        <v>1</v>
      </c>
      <c r="X297" s="48"/>
      <c r="Y297" s="47" t="s">
        <v>1116</v>
      </c>
      <c r="Z297" s="4" t="s">
        <v>2353</v>
      </c>
      <c r="AA297" s="49" t="s">
        <v>2544</v>
      </c>
      <c r="AC297" s="49" t="s">
        <v>2460</v>
      </c>
      <c r="AD297" s="4" t="s">
        <v>662</v>
      </c>
      <c r="AE297" s="7">
        <v>1</v>
      </c>
      <c r="AG297" s="7">
        <v>0</v>
      </c>
      <c r="AK297" s="70">
        <f>Table43[[#This Row],[Column4]]</f>
        <v>30351080150000</v>
      </c>
      <c r="AN297" s="7">
        <f>Table43[[#This Row],[ISI/CTN]]</f>
        <v>24</v>
      </c>
      <c r="AO297" s="38">
        <f>Table43[[#This Row],[Harga Jual Pcs GT
(-PPN)]]-(Table43[[#This Row],[Harga Jual Pcs GT
(-PPN)]]*6.5%)</f>
        <v>12996.5</v>
      </c>
      <c r="AP297" s="38">
        <f>Table43[[#This Row],[Harga Beli Pcs
(-PPN)]]*Table43[[#This Row],[ISI/CTN]]</f>
        <v>311916</v>
      </c>
      <c r="AQ297" s="38">
        <f>Table43[[#This Row],[Harga Beli Pcs
(-PPN)]]*1.11</f>
        <v>14426.115000000002</v>
      </c>
      <c r="AR297" s="38">
        <f>Table43[[#This Row],[Harga Beli Krt
(- PPN)]]*1.11</f>
        <v>346226.76</v>
      </c>
      <c r="AS297" s="38">
        <v>13900</v>
      </c>
      <c r="AT297" s="38">
        <f>Table43[[#This Row],[Harga Jual Pcs GT
(-PPN)]]*Table43[[#This Row],[ISI/CTN]]</f>
        <v>333600</v>
      </c>
      <c r="AU297" s="38">
        <f>Table43[[#This Row],[Harga Jual Pcs GT
(-PPN)]]*1.11</f>
        <v>15429.000000000002</v>
      </c>
      <c r="AV297" s="38">
        <f>Table43[[#This Row],[Harga Jual Krt GT
(- PPN)]]*1.11</f>
        <v>370296.00000000006</v>
      </c>
      <c r="AW297" s="38">
        <f>IFERROR(VLOOKUP(Table43[[#This Row],[Kode Pcpl]],'[1]FEB 2026'!$A$3:$X$312,24,0),0)</f>
        <v>0</v>
      </c>
      <c r="AX297" s="38">
        <f>Table43[[#This Row],[Harga Jual Pcs MT
(-PPN)]]*Table43[[#This Row],[ISI/CTN]]</f>
        <v>0</v>
      </c>
      <c r="AY297" s="38">
        <f>Table43[[#This Row],[Harga Jual Pcs MT
(-PPN)]]*1.11</f>
        <v>0</v>
      </c>
      <c r="AZ297" s="38">
        <f>Table43[[#This Row],[Harga Jual Pcs MT
(+PPN)]]*Table43[[#This Row],[ISI/CTN]]</f>
        <v>0</v>
      </c>
      <c r="BA297" s="46">
        <f>(Table43[[#This Row],[Harga Jual Pcs GT
(-PPN)]]-Table43[[#This Row],[Harga Beli Pcs
(-PPN)]])/Table43[[#This Row],[Harga Jual Pcs GT
(-PPN)]]</f>
        <v>6.5000000000000002E-2</v>
      </c>
      <c r="BB297" s="53">
        <f>Table43[[#This Row],[Harga Jual Pcs MT
(-PPN)]]-Table43[[#This Row],[Harga Beli Pcs
(-PPN)]]</f>
        <v>-12996.5</v>
      </c>
      <c r="BC297" s="54" t="e">
        <f>Table43[[#This Row],[Column1]]/Table43[[#This Row],[Harga Jual Pcs MT
(-PPN)]]</f>
        <v>#DIV/0!</v>
      </c>
      <c r="BD297" s="52"/>
      <c r="BE297" s="7"/>
      <c r="BF297" s="7" t="str">
        <f ca="1">IF(TODAY()-Table43[[#This Row],[Efektif
Pembuatan]]&gt;60,"Lama","Baru")</f>
        <v>Lama</v>
      </c>
      <c r="BG297" s="7" t="str">
        <f ca="1">IF(TODAY()-Table43[[#This Row],[Efektif Naik Harga]]&lt;30,"Naik","Sama")</f>
        <v>Sama</v>
      </c>
      <c r="BH297" s="7"/>
      <c r="BI297" s="7" t="str">
        <f>IF(Table43[[#This Row],[Kode BARANG Win2]]&lt;&gt;"","IDR","")</f>
        <v>IDR</v>
      </c>
      <c r="BJ297" s="7" t="str">
        <f>CONCATENATE(Table43[[#This Row],[kode  1 Digit
(Nomor)]],Table43[[#This Row],[kode  4 Digit                (Nomor)]])</f>
        <v>0000</v>
      </c>
      <c r="BK297" s="7">
        <f>Table43[[#This Row],[Nama            Gramasi atau Jumlah Pack per CTN]]</f>
        <v>0</v>
      </c>
      <c r="BL297" s="7"/>
      <c r="BM297" s="7"/>
      <c r="BN297" s="4" t="str">
        <f>IF(Table43[[#This Row],[SATUAN Fix Win]]&lt;&gt;"","KRT")</f>
        <v>KRT</v>
      </c>
      <c r="BO297" s="4" t="str">
        <f>IF(Table43[[#This Row],[SATUAN Fix Win]]&lt;&gt;"","GD01")</f>
        <v>GD01</v>
      </c>
      <c r="BP297" s="4">
        <f>IF(Table43[[#This Row],[SATUAN Fix Win]]&lt;&gt;"",11611)</f>
        <v>11611</v>
      </c>
      <c r="BQ297" s="4">
        <f>IF(Table43[[#This Row],[SATUAN Fix Win]]&lt;&gt;"",11612)</f>
        <v>11612</v>
      </c>
      <c r="BS297" s="4">
        <f>IF(Table43[[#This Row],[SATUAN Fix Win]]&lt;&gt;"",1)</f>
        <v>1</v>
      </c>
      <c r="BU297" s="4">
        <f>Table43[[#This Row],[ISI/CTN]]</f>
        <v>24</v>
      </c>
    </row>
    <row r="298" spans="1:73">
      <c r="A298" s="4" t="str">
        <f>CONCATENATE(Table43[[#This Row],[Kode BARANG Win2]],Table43[[#This Row],[No. Urut
Item Sama]])</f>
        <v>G1201007000010</v>
      </c>
      <c r="B298" s="7"/>
      <c r="C298" s="31">
        <v>30351080150000</v>
      </c>
      <c r="D298" s="51">
        <v>40027283</v>
      </c>
      <c r="E298" s="66" t="s">
        <v>2493</v>
      </c>
      <c r="F298" s="68">
        <v>30351080150000</v>
      </c>
      <c r="G298" s="68">
        <v>0</v>
      </c>
      <c r="H298" s="27" t="s">
        <v>1322</v>
      </c>
      <c r="I298" s="27">
        <v>24</v>
      </c>
      <c r="J298" s="51" t="s">
        <v>1722</v>
      </c>
      <c r="K298" s="27" t="str">
        <f>Table43[[#This Row],[NamaJenisKemasan]]</f>
        <v>BOX</v>
      </c>
      <c r="L298" s="4" t="str">
        <f>TRIM(CONCATENATE(Table43[[#This Row],[Nama            KLP]]," ",Table43[[#This Row],[Nama            Sub KLP]]))</f>
        <v>NYU CREME HAIR COLOUR</v>
      </c>
      <c r="M298" s="4" t="str">
        <f>CONCATENATE(Table43[[#This Row],[kode  2 Digit                (hrf+No)]],Table43[[#This Row],[kode  2 Digit                (Nomor)]],Table43[[#This Row],[kode  1 Digit                (Nomor)]])</f>
        <v>G1201</v>
      </c>
      <c r="N298" s="4" t="str">
        <f>IF(AI298="",CONCATENATE(S298,U298,W298,Y298,AA298,AC298,AE298,AG298,Table43[[#This Row],[Tanda Kode Revisi]]),CONCATENATE(S298,U298,W298,Y298,AA298,AC298,AE298,AI298))</f>
        <v>G1201007000010</v>
      </c>
      <c r="O298" s="11">
        <f t="shared" si="6"/>
        <v>14</v>
      </c>
      <c r="P298" s="14" t="str">
        <f>IF(AH298&lt;&gt;"",TRIM(UPPER(CONCATENATE(R298," ",T298," ",V298," ",X298," ",Z298," ",AB298," ","X"," ",Table43[[#This Row],[ISI/CTN]]," ",AH298," ",AD298," ",AF298," ",AJ298))),TRIM(UPPER(CONCATENATE(R298," ",T298," ",V298," ",X298," ",Z298," ",AB298," ","X"," ",Table43[[#This Row],[ISI/CTN]]," ",AD298," ",AF298," ",AJ298))))</f>
        <v>NYU CREME HAIR COLOUR CHERRY RED X 24 BOX</v>
      </c>
      <c r="Q298" s="11">
        <f t="shared" si="7"/>
        <v>41</v>
      </c>
      <c r="S298" s="7" t="s">
        <v>34</v>
      </c>
      <c r="T298" s="4" t="s">
        <v>2333</v>
      </c>
      <c r="U298" s="47" t="s">
        <v>2566</v>
      </c>
      <c r="V298" s="48" t="s">
        <v>2379</v>
      </c>
      <c r="W298" s="7">
        <v>1</v>
      </c>
      <c r="X298" s="48"/>
      <c r="Y298" s="47" t="s">
        <v>1116</v>
      </c>
      <c r="Z298" s="4" t="s">
        <v>2353</v>
      </c>
      <c r="AA298" s="49" t="s">
        <v>2544</v>
      </c>
      <c r="AC298" s="49" t="s">
        <v>2460</v>
      </c>
      <c r="AD298" s="4" t="s">
        <v>662</v>
      </c>
      <c r="AE298" s="7">
        <v>1</v>
      </c>
      <c r="AG298" s="7">
        <v>0</v>
      </c>
      <c r="AK298" s="70">
        <f>Table43[[#This Row],[Column4]]</f>
        <v>30351080150000</v>
      </c>
      <c r="AN298" s="7">
        <f>Table43[[#This Row],[ISI/CTN]]</f>
        <v>24</v>
      </c>
      <c r="AO298" s="38">
        <f>Table43[[#This Row],[Harga Jual Pcs GT
(-PPN)]]-(Table43[[#This Row],[Harga Jual Pcs GT
(-PPN)]]*6.5%)</f>
        <v>12996.5</v>
      </c>
      <c r="AP298" s="38">
        <f>Table43[[#This Row],[Harga Beli Pcs
(-PPN)]]*Table43[[#This Row],[ISI/CTN]]</f>
        <v>311916</v>
      </c>
      <c r="AQ298" s="38">
        <f>Table43[[#This Row],[Harga Beli Pcs
(-PPN)]]*1.11</f>
        <v>14426.115000000002</v>
      </c>
      <c r="AR298" s="38">
        <f>Table43[[#This Row],[Harga Beli Krt
(- PPN)]]*1.11</f>
        <v>346226.76</v>
      </c>
      <c r="AS298" s="38">
        <v>13900</v>
      </c>
      <c r="AT298" s="38">
        <f>Table43[[#This Row],[Harga Jual Pcs GT
(-PPN)]]*Table43[[#This Row],[ISI/CTN]]</f>
        <v>333600</v>
      </c>
      <c r="AU298" s="38">
        <f>Table43[[#This Row],[Harga Jual Pcs GT
(-PPN)]]*1.11</f>
        <v>15429.000000000002</v>
      </c>
      <c r="AV298" s="38">
        <f>Table43[[#This Row],[Harga Jual Krt GT
(- PPN)]]*1.11</f>
        <v>370296.00000000006</v>
      </c>
      <c r="AW298" s="38">
        <f>IFERROR(VLOOKUP(Table43[[#This Row],[Kode Pcpl]],'[1]FEB 2026'!$A$3:$X$312,24,0),0)</f>
        <v>0</v>
      </c>
      <c r="AX298" s="38">
        <f>Table43[[#This Row],[Harga Jual Pcs MT
(-PPN)]]*Table43[[#This Row],[ISI/CTN]]</f>
        <v>0</v>
      </c>
      <c r="AY298" s="38">
        <f>Table43[[#This Row],[Harga Jual Pcs MT
(-PPN)]]*1.11</f>
        <v>0</v>
      </c>
      <c r="AZ298" s="38">
        <f>Table43[[#This Row],[Harga Jual Pcs MT
(+PPN)]]*Table43[[#This Row],[ISI/CTN]]</f>
        <v>0</v>
      </c>
      <c r="BA298" s="46">
        <f>(Table43[[#This Row],[Harga Jual Pcs GT
(-PPN)]]-Table43[[#This Row],[Harga Beli Pcs
(-PPN)]])/Table43[[#This Row],[Harga Jual Pcs GT
(-PPN)]]</f>
        <v>6.5000000000000002E-2</v>
      </c>
      <c r="BB298" s="53">
        <f>Table43[[#This Row],[Harga Jual Pcs MT
(-PPN)]]-Table43[[#This Row],[Harga Beli Pcs
(-PPN)]]</f>
        <v>-12996.5</v>
      </c>
      <c r="BC298" s="54" t="e">
        <f>Table43[[#This Row],[Column1]]/Table43[[#This Row],[Harga Jual Pcs MT
(-PPN)]]</f>
        <v>#DIV/0!</v>
      </c>
      <c r="BD298" s="52"/>
      <c r="BE298" s="7"/>
      <c r="BF298" s="7" t="str">
        <f ca="1">IF(TODAY()-Table43[[#This Row],[Efektif
Pembuatan]]&gt;60,"Lama","Baru")</f>
        <v>Lama</v>
      </c>
      <c r="BG298" s="7" t="str">
        <f ca="1">IF(TODAY()-Table43[[#This Row],[Efektif Naik Harga]]&lt;30,"Naik","Sama")</f>
        <v>Sama</v>
      </c>
      <c r="BH298" s="7"/>
      <c r="BI298" s="7" t="str">
        <f>IF(Table43[[#This Row],[Kode BARANG Win2]]&lt;&gt;"","IDR","")</f>
        <v>IDR</v>
      </c>
      <c r="BJ298" s="7" t="str">
        <f>CONCATENATE(Table43[[#This Row],[kode  1 Digit
(Nomor)]],Table43[[#This Row],[kode  4 Digit                (Nomor)]])</f>
        <v>0000</v>
      </c>
      <c r="BK298" s="7">
        <f>Table43[[#This Row],[Nama            Gramasi atau Jumlah Pack per CTN]]</f>
        <v>0</v>
      </c>
      <c r="BL298" s="7"/>
      <c r="BM298" s="7"/>
      <c r="BN298" s="4" t="str">
        <f>IF(Table43[[#This Row],[SATUAN Fix Win]]&lt;&gt;"","KRT")</f>
        <v>KRT</v>
      </c>
      <c r="BO298" s="4" t="str">
        <f>IF(Table43[[#This Row],[SATUAN Fix Win]]&lt;&gt;"","GD01")</f>
        <v>GD01</v>
      </c>
      <c r="BP298" s="4">
        <f>IF(Table43[[#This Row],[SATUAN Fix Win]]&lt;&gt;"",11611)</f>
        <v>11611</v>
      </c>
      <c r="BQ298" s="4">
        <f>IF(Table43[[#This Row],[SATUAN Fix Win]]&lt;&gt;"",11612)</f>
        <v>11612</v>
      </c>
      <c r="BS298" s="4">
        <f>IF(Table43[[#This Row],[SATUAN Fix Win]]&lt;&gt;"",1)</f>
        <v>1</v>
      </c>
      <c r="BU298" s="4">
        <f>Table43[[#This Row],[ISI/CTN]]</f>
        <v>24</v>
      </c>
    </row>
    <row r="299" spans="1:73">
      <c r="A299" s="4" t="str">
        <f>CONCATENATE(Table43[[#This Row],[Kode BARANG Win2]],Table43[[#This Row],[No. Urut
Item Sama]])</f>
        <v>G1201007000011</v>
      </c>
      <c r="B299" s="7"/>
      <c r="C299" s="31">
        <v>30351110150000</v>
      </c>
      <c r="D299" s="51">
        <v>40061151</v>
      </c>
      <c r="E299" s="27" t="s">
        <v>2035</v>
      </c>
      <c r="F299" s="51">
        <v>30351110150000</v>
      </c>
      <c r="G299" s="51">
        <v>0</v>
      </c>
      <c r="H299" s="27" t="s">
        <v>1324</v>
      </c>
      <c r="I299" s="27">
        <v>24</v>
      </c>
      <c r="J299" s="51" t="s">
        <v>1722</v>
      </c>
      <c r="K299" s="27" t="str">
        <f>Table43[[#This Row],[NamaJenisKemasan]]</f>
        <v>BOX</v>
      </c>
      <c r="L299" s="4" t="str">
        <f>TRIM(CONCATENATE(Table43[[#This Row],[Nama            KLP]]," ",Table43[[#This Row],[Nama            Sub KLP]]))</f>
        <v>NYU CREME HAIR COLOUR</v>
      </c>
      <c r="M299" s="4" t="str">
        <f>CONCATENATE(Table43[[#This Row],[kode  2 Digit                (hrf+No)]],Table43[[#This Row],[kode  2 Digit                (Nomor)]],Table43[[#This Row],[kode  1 Digit                (Nomor)]])</f>
        <v>G1201</v>
      </c>
      <c r="N299" s="4" t="str">
        <f>IF(AI299="",CONCATENATE(S299,U299,W299,Y299,AA299,AC299,AE299,AG299,Table43[[#This Row],[Tanda Kode Revisi]]),CONCATENATE(S299,U299,W299,Y299,AA299,AC299,AE299,AI299))</f>
        <v>G1201007000011</v>
      </c>
      <c r="O299" s="11">
        <f t="shared" ref="O299:O368" si="8">LEN(N299)</f>
        <v>14</v>
      </c>
      <c r="P299" s="14" t="str">
        <f>IF(AH299&lt;&gt;"",TRIM(UPPER(CONCATENATE(R299," ",T299," ",V299," ",X299," ",Z299," ",AB299," ","X"," ",Table43[[#This Row],[ISI/CTN]]," ",AH299," ",AD299," ",AF299," ",AJ299))),TRIM(UPPER(CONCATENATE(R299," ",T299," ",V299," ",X299," ",Z299," ",AB299," ","X"," ",Table43[[#This Row],[ISI/CTN]]," ",AD299," ",AF299," ",AJ299))))</f>
        <v>NYU CREME HAIR COLOUR CHERRY RED X 24 BOX BANDED</v>
      </c>
      <c r="Q299" s="11">
        <f t="shared" ref="Q299:Q368" si="9">LEN(P299)</f>
        <v>48</v>
      </c>
      <c r="S299" s="7" t="s">
        <v>34</v>
      </c>
      <c r="T299" s="4" t="s">
        <v>2333</v>
      </c>
      <c r="U299" s="47" t="s">
        <v>2566</v>
      </c>
      <c r="V299" s="48" t="s">
        <v>2379</v>
      </c>
      <c r="W299" s="7">
        <v>1</v>
      </c>
      <c r="X299" s="48"/>
      <c r="Y299" s="47" t="s">
        <v>1116</v>
      </c>
      <c r="Z299" s="4" t="s">
        <v>2353</v>
      </c>
      <c r="AA299" s="49" t="s">
        <v>2544</v>
      </c>
      <c r="AC299" s="49" t="s">
        <v>2460</v>
      </c>
      <c r="AD299" s="4" t="s">
        <v>662</v>
      </c>
      <c r="AE299" s="7">
        <v>1</v>
      </c>
      <c r="AF299" s="4" t="s">
        <v>2269</v>
      </c>
      <c r="AG299" s="7">
        <v>1</v>
      </c>
      <c r="AK299" s="70">
        <f>Table43[[#This Row],[Column4]]</f>
        <v>30351110150000</v>
      </c>
      <c r="AN299" s="7">
        <f>Table43[[#This Row],[ISI/CTN]]</f>
        <v>24</v>
      </c>
      <c r="AO299" s="38">
        <f>Table43[[#This Row],[Harga Jual Pcs GT
(-PPN)]]-(Table43[[#This Row],[Harga Jual Pcs GT
(-PPN)]]*6.5%)</f>
        <v>12996.5</v>
      </c>
      <c r="AP299" s="38">
        <f>Table43[[#This Row],[Harga Beli Pcs
(-PPN)]]*Table43[[#This Row],[ISI/CTN]]</f>
        <v>311916</v>
      </c>
      <c r="AQ299" s="38">
        <f>Table43[[#This Row],[Harga Beli Pcs
(-PPN)]]*1.11</f>
        <v>14426.115000000002</v>
      </c>
      <c r="AR299" s="38">
        <f>Table43[[#This Row],[Harga Beli Krt
(- PPN)]]*1.11</f>
        <v>346226.76</v>
      </c>
      <c r="AS299" s="38">
        <v>13900</v>
      </c>
      <c r="AT299" s="38">
        <f>Table43[[#This Row],[Harga Jual Pcs GT
(-PPN)]]*Table43[[#This Row],[ISI/CTN]]</f>
        <v>333600</v>
      </c>
      <c r="AU299" s="38">
        <f>Table43[[#This Row],[Harga Jual Pcs GT
(-PPN)]]*1.11</f>
        <v>15429.000000000002</v>
      </c>
      <c r="AV299" s="38">
        <f>Table43[[#This Row],[Harga Jual Krt GT
(- PPN)]]*1.11</f>
        <v>370296.00000000006</v>
      </c>
      <c r="AW299" s="38">
        <f>IFERROR(VLOOKUP(Table43[[#This Row],[Kode Pcpl]],'[1]FEB 2026'!$A$3:$X$312,24,0),0)</f>
        <v>0</v>
      </c>
      <c r="AX299" s="38">
        <f>Table43[[#This Row],[Harga Jual Pcs MT
(-PPN)]]*Table43[[#This Row],[ISI/CTN]]</f>
        <v>0</v>
      </c>
      <c r="AY299" s="38">
        <f>Table43[[#This Row],[Harga Jual Pcs MT
(-PPN)]]*1.11</f>
        <v>0</v>
      </c>
      <c r="AZ299" s="38">
        <f>Table43[[#This Row],[Harga Jual Pcs MT
(+PPN)]]*Table43[[#This Row],[ISI/CTN]]</f>
        <v>0</v>
      </c>
      <c r="BA299" s="46">
        <f>(Table43[[#This Row],[Harga Jual Pcs GT
(-PPN)]]-Table43[[#This Row],[Harga Beli Pcs
(-PPN)]])/Table43[[#This Row],[Harga Jual Pcs GT
(-PPN)]]</f>
        <v>6.5000000000000002E-2</v>
      </c>
      <c r="BB299" s="53">
        <f>Table43[[#This Row],[Harga Jual Pcs MT
(-PPN)]]-Table43[[#This Row],[Harga Beli Pcs
(-PPN)]]</f>
        <v>-12996.5</v>
      </c>
      <c r="BC299" s="54" t="e">
        <f>Table43[[#This Row],[Column1]]/Table43[[#This Row],[Harga Jual Pcs MT
(-PPN)]]</f>
        <v>#DIV/0!</v>
      </c>
      <c r="BD299" s="52"/>
      <c r="BE299" s="7"/>
      <c r="BF299" s="7" t="str">
        <f ca="1">IF(TODAY()-Table43[[#This Row],[Efektif
Pembuatan]]&gt;60,"Lama","Baru")</f>
        <v>Lama</v>
      </c>
      <c r="BG299" s="7" t="str">
        <f ca="1">IF(TODAY()-Table43[[#This Row],[Efektif Naik Harga]]&lt;30,"Naik","Sama")</f>
        <v>Sama</v>
      </c>
      <c r="BH299" s="7"/>
      <c r="BI299" s="7" t="str">
        <f>IF(Table43[[#This Row],[Kode BARANG Win2]]&lt;&gt;"","IDR","")</f>
        <v>IDR</v>
      </c>
      <c r="BJ299" s="7" t="str">
        <f>CONCATENATE(Table43[[#This Row],[kode  1 Digit
(Nomor)]],Table43[[#This Row],[kode  4 Digit                (Nomor)]])</f>
        <v>0000</v>
      </c>
      <c r="BK299" s="7">
        <f>Table43[[#This Row],[Nama            Gramasi atau Jumlah Pack per CTN]]</f>
        <v>0</v>
      </c>
      <c r="BL299" s="7"/>
      <c r="BM299" s="7"/>
      <c r="BN299" s="4" t="str">
        <f>IF(Table43[[#This Row],[SATUAN Fix Win]]&lt;&gt;"","KRT")</f>
        <v>KRT</v>
      </c>
      <c r="BO299" s="4" t="str">
        <f>IF(Table43[[#This Row],[SATUAN Fix Win]]&lt;&gt;"","GD01")</f>
        <v>GD01</v>
      </c>
      <c r="BP299" s="4">
        <f>IF(Table43[[#This Row],[SATUAN Fix Win]]&lt;&gt;"",11611)</f>
        <v>11611</v>
      </c>
      <c r="BQ299" s="4">
        <f>IF(Table43[[#This Row],[SATUAN Fix Win]]&lt;&gt;"",11612)</f>
        <v>11612</v>
      </c>
      <c r="BS299" s="4">
        <f>IF(Table43[[#This Row],[SATUAN Fix Win]]&lt;&gt;"",1)</f>
        <v>1</v>
      </c>
      <c r="BU299" s="4">
        <f>Table43[[#This Row],[ISI/CTN]]</f>
        <v>24</v>
      </c>
    </row>
    <row r="300" spans="1:73">
      <c r="A300" s="4" t="str">
        <f>CONCATENATE(Table43[[#This Row],[Kode BARANG Win2]],Table43[[#This Row],[No. Urut
Item Sama]])</f>
        <v>G1201008000010</v>
      </c>
      <c r="B300" s="7"/>
      <c r="C300" s="31">
        <v>30351050150000</v>
      </c>
      <c r="D300" s="51">
        <v>40058722</v>
      </c>
      <c r="E300" s="27" t="s">
        <v>2035</v>
      </c>
      <c r="F300" s="51">
        <v>30351110150000</v>
      </c>
      <c r="G300" s="51">
        <v>0</v>
      </c>
      <c r="H300" s="27" t="s">
        <v>1323</v>
      </c>
      <c r="I300" s="27">
        <v>24</v>
      </c>
      <c r="J300" s="51" t="s">
        <v>1722</v>
      </c>
      <c r="K300" s="27" t="str">
        <f>Table43[[#This Row],[NamaJenisKemasan]]</f>
        <v>BOX</v>
      </c>
      <c r="L300" s="4" t="str">
        <f>TRIM(CONCATENATE(Table43[[#This Row],[Nama            KLP]]," ",Table43[[#This Row],[Nama            Sub KLP]]))</f>
        <v>NYU CREME HAIR COLOUR</v>
      </c>
      <c r="M300" s="4" t="str">
        <f>CONCATENATE(Table43[[#This Row],[kode  2 Digit                (hrf+No)]],Table43[[#This Row],[kode  2 Digit                (Nomor)]],Table43[[#This Row],[kode  1 Digit                (Nomor)]])</f>
        <v>G1201</v>
      </c>
      <c r="N300" s="4" t="str">
        <f>IF(AI300="",CONCATENATE(S300,U300,W300,Y300,AA300,AC300,AE300,AG300,Table43[[#This Row],[Tanda Kode Revisi]]),CONCATENATE(S300,U300,W300,Y300,AA300,AC300,AE300,AI300))</f>
        <v>G1201008000010</v>
      </c>
      <c r="O300" s="11">
        <f t="shared" si="8"/>
        <v>14</v>
      </c>
      <c r="P300" s="14" t="str">
        <f>IF(AH300&lt;&gt;"",TRIM(UPPER(CONCATENATE(R300," ",T300," ",V300," ",X300," ",Z300," ",AB300," ","X"," ",Table43[[#This Row],[ISI/CTN]]," ",AH300," ",AD300," ",AF300," ",AJ300))),TRIM(UPPER(CONCATENATE(R300," ",T300," ",V300," ",X300," ",Z300," ",AB300," ","X"," ",Table43[[#This Row],[ISI/CTN]]," ",AD300," ",AF300," ",AJ300))))</f>
        <v>NYU CREME HAIR COLOUR CHERRY RED + BLEACH X 24 BOX</v>
      </c>
      <c r="Q300" s="11">
        <f t="shared" si="9"/>
        <v>50</v>
      </c>
      <c r="S300" s="7" t="s">
        <v>34</v>
      </c>
      <c r="T300" s="4" t="s">
        <v>2333</v>
      </c>
      <c r="U300" s="47" t="s">
        <v>2566</v>
      </c>
      <c r="V300" s="48" t="s">
        <v>2379</v>
      </c>
      <c r="W300" s="7">
        <v>1</v>
      </c>
      <c r="X300" s="48"/>
      <c r="Y300" s="47" t="s">
        <v>1116</v>
      </c>
      <c r="Z300" s="4" t="s">
        <v>2381</v>
      </c>
      <c r="AA300" s="49" t="s">
        <v>2545</v>
      </c>
      <c r="AC300" s="49" t="s">
        <v>2460</v>
      </c>
      <c r="AD300" s="4" t="s">
        <v>662</v>
      </c>
      <c r="AE300" s="7">
        <v>1</v>
      </c>
      <c r="AG300" s="7">
        <v>0</v>
      </c>
      <c r="AK300" s="70">
        <f>Table43[[#This Row],[Column4]]</f>
        <v>30351110150000</v>
      </c>
      <c r="AN300" s="7">
        <f>Table43[[#This Row],[ISI/CTN]]</f>
        <v>24</v>
      </c>
      <c r="AO300" s="38">
        <f>Table43[[#This Row],[Harga Jual Pcs GT
(-PPN)]]-(Table43[[#This Row],[Harga Jual Pcs GT
(-PPN)]]*6.5%)</f>
        <v>12996.5</v>
      </c>
      <c r="AP300" s="38">
        <f>Table43[[#This Row],[Harga Beli Pcs
(-PPN)]]*Table43[[#This Row],[ISI/CTN]]</f>
        <v>311916</v>
      </c>
      <c r="AQ300" s="38">
        <f>Table43[[#This Row],[Harga Beli Pcs
(-PPN)]]*1.11</f>
        <v>14426.115000000002</v>
      </c>
      <c r="AR300" s="38">
        <f>Table43[[#This Row],[Harga Beli Krt
(- PPN)]]*1.11</f>
        <v>346226.76</v>
      </c>
      <c r="AS300" s="38">
        <v>13900</v>
      </c>
      <c r="AT300" s="38">
        <f>Table43[[#This Row],[Harga Jual Pcs GT
(-PPN)]]*Table43[[#This Row],[ISI/CTN]]</f>
        <v>333600</v>
      </c>
      <c r="AU300" s="38">
        <f>Table43[[#This Row],[Harga Jual Pcs GT
(-PPN)]]*1.11</f>
        <v>15429.000000000002</v>
      </c>
      <c r="AV300" s="38">
        <f>Table43[[#This Row],[Harga Jual Krt GT
(- PPN)]]*1.11</f>
        <v>370296.00000000006</v>
      </c>
      <c r="AW300" s="38">
        <f>IFERROR(VLOOKUP(Table43[[#This Row],[Kode Pcpl]],'[1]FEB 2026'!$A$3:$X$312,24,0),0)</f>
        <v>0</v>
      </c>
      <c r="AX300" s="38">
        <f>Table43[[#This Row],[Harga Jual Pcs MT
(-PPN)]]*Table43[[#This Row],[ISI/CTN]]</f>
        <v>0</v>
      </c>
      <c r="AY300" s="38">
        <f>Table43[[#This Row],[Harga Jual Pcs MT
(-PPN)]]*1.11</f>
        <v>0</v>
      </c>
      <c r="AZ300" s="38">
        <f>Table43[[#This Row],[Harga Jual Pcs MT
(+PPN)]]*Table43[[#This Row],[ISI/CTN]]</f>
        <v>0</v>
      </c>
      <c r="BA300" s="46">
        <f>(Table43[[#This Row],[Harga Jual Pcs GT
(-PPN)]]-Table43[[#This Row],[Harga Beli Pcs
(-PPN)]])/Table43[[#This Row],[Harga Jual Pcs GT
(-PPN)]]</f>
        <v>6.5000000000000002E-2</v>
      </c>
      <c r="BB300" s="53">
        <f>Table43[[#This Row],[Harga Jual Pcs MT
(-PPN)]]-Table43[[#This Row],[Harga Beli Pcs
(-PPN)]]</f>
        <v>-12996.5</v>
      </c>
      <c r="BC300" s="54" t="e">
        <f>Table43[[#This Row],[Column1]]/Table43[[#This Row],[Harga Jual Pcs MT
(-PPN)]]</f>
        <v>#DIV/0!</v>
      </c>
      <c r="BD300" s="52"/>
      <c r="BE300" s="7"/>
      <c r="BF300" s="7" t="str">
        <f ca="1">IF(TODAY()-Table43[[#This Row],[Efektif
Pembuatan]]&gt;60,"Lama","Baru")</f>
        <v>Lama</v>
      </c>
      <c r="BG300" s="7" t="str">
        <f ca="1">IF(TODAY()-Table43[[#This Row],[Efektif Naik Harga]]&lt;30,"Naik","Sama")</f>
        <v>Sama</v>
      </c>
      <c r="BH300" s="7"/>
      <c r="BI300" s="7" t="str">
        <f>IF(Table43[[#This Row],[Kode BARANG Win2]]&lt;&gt;"","IDR","")</f>
        <v>IDR</v>
      </c>
      <c r="BJ300" s="7" t="str">
        <f>CONCATENATE(Table43[[#This Row],[kode  1 Digit
(Nomor)]],Table43[[#This Row],[kode  4 Digit                (Nomor)]])</f>
        <v>0000</v>
      </c>
      <c r="BK300" s="7">
        <f>Table43[[#This Row],[Nama            Gramasi atau Jumlah Pack per CTN]]</f>
        <v>0</v>
      </c>
      <c r="BL300" s="7"/>
      <c r="BM300" s="7"/>
      <c r="BN300" s="4" t="str">
        <f>IF(Table43[[#This Row],[SATUAN Fix Win]]&lt;&gt;"","KRT")</f>
        <v>KRT</v>
      </c>
      <c r="BO300" s="4" t="str">
        <f>IF(Table43[[#This Row],[SATUAN Fix Win]]&lt;&gt;"","GD01")</f>
        <v>GD01</v>
      </c>
      <c r="BP300" s="4">
        <f>IF(Table43[[#This Row],[SATUAN Fix Win]]&lt;&gt;"",11611)</f>
        <v>11611</v>
      </c>
      <c r="BQ300" s="4">
        <f>IF(Table43[[#This Row],[SATUAN Fix Win]]&lt;&gt;"",11612)</f>
        <v>11612</v>
      </c>
      <c r="BS300" s="4">
        <f>IF(Table43[[#This Row],[SATUAN Fix Win]]&lt;&gt;"",1)</f>
        <v>1</v>
      </c>
      <c r="BU300" s="4">
        <f>Table43[[#This Row],[ISI/CTN]]</f>
        <v>24</v>
      </c>
    </row>
    <row r="301" spans="1:73">
      <c r="A301" s="4" t="str">
        <f>CONCATENATE(Table43[[#This Row],[Kode BARANG Win2]],Table43[[#This Row],[No. Urut
Item Sama]])</f>
        <v>G1201009000010</v>
      </c>
      <c r="B301" s="7"/>
      <c r="C301" s="31">
        <v>30351110150000</v>
      </c>
      <c r="D301" s="59">
        <v>40023336</v>
      </c>
      <c r="E301" s="60" t="s">
        <v>2023</v>
      </c>
      <c r="F301" s="59">
        <v>30351040150000</v>
      </c>
      <c r="G301" s="59">
        <v>0</v>
      </c>
      <c r="H301" s="60" t="s">
        <v>1309</v>
      </c>
      <c r="I301" s="60">
        <v>24</v>
      </c>
      <c r="J301" s="59" t="s">
        <v>1712</v>
      </c>
      <c r="K301" s="60" t="str">
        <f>Table43[[#This Row],[NamaJenisKemasan]]</f>
        <v>BOX</v>
      </c>
      <c r="L301" s="4" t="str">
        <f>TRIM(CONCATENATE(Table43[[#This Row],[Nama            KLP]]," ",Table43[[#This Row],[Nama            Sub KLP]]))</f>
        <v>NYU CREME HAIR COLOUR</v>
      </c>
      <c r="M301" s="4" t="str">
        <f>CONCATENATE(Table43[[#This Row],[kode  2 Digit                (hrf+No)]],Table43[[#This Row],[kode  2 Digit                (Nomor)]],Table43[[#This Row],[kode  1 Digit                (Nomor)]])</f>
        <v>G1201</v>
      </c>
      <c r="N301" s="4" t="str">
        <f>IF(AI301="",CONCATENATE(S301,U301,W301,Y301,AA301,AC301,AE301,AG301,Table43[[#This Row],[Tanda Kode Revisi]]),CONCATENATE(S301,U301,W301,Y301,AA301,AC301,AE301,AI301))</f>
        <v>G1201009000010</v>
      </c>
      <c r="O301" s="11">
        <f t="shared" si="8"/>
        <v>14</v>
      </c>
      <c r="P301" s="14" t="str">
        <f>IF(AH301&lt;&gt;"",TRIM(UPPER(CONCATENATE(R301," ",T301," ",V301," ",X301," ",Z301," ",AB301," ","X"," ",Table43[[#This Row],[ISI/CTN]]," ",AH301," ",AD301," ",AF301," ",AJ301))),TRIM(UPPER(CONCATENATE(R301," ",T301," ",V301," ",X301," ",Z301," ",AB301," ","X"," ",Table43[[#This Row],[ISI/CTN]]," ",AD301," ",AF301," ",AJ301))))</f>
        <v>NYU CREME HAIR COLOUR COPPERY BROWN X 24 BOX</v>
      </c>
      <c r="Q301" s="11">
        <f t="shared" si="9"/>
        <v>44</v>
      </c>
      <c r="S301" s="7" t="s">
        <v>34</v>
      </c>
      <c r="T301" s="4" t="s">
        <v>2333</v>
      </c>
      <c r="U301" s="47" t="s">
        <v>2566</v>
      </c>
      <c r="V301" s="48" t="s">
        <v>2379</v>
      </c>
      <c r="W301" s="7">
        <v>1</v>
      </c>
      <c r="X301" s="48"/>
      <c r="Y301" s="47" t="s">
        <v>1116</v>
      </c>
      <c r="Z301" s="4" t="s">
        <v>2352</v>
      </c>
      <c r="AA301" s="49" t="s">
        <v>2546</v>
      </c>
      <c r="AC301" s="49" t="s">
        <v>2460</v>
      </c>
      <c r="AD301" s="4" t="s">
        <v>662</v>
      </c>
      <c r="AE301" s="7">
        <v>1</v>
      </c>
      <c r="AG301" s="7">
        <v>0</v>
      </c>
      <c r="AK301" s="70">
        <f>Table43[[#This Row],[Column4]]</f>
        <v>30351040150000</v>
      </c>
      <c r="AN301" s="7">
        <f>Table43[[#This Row],[ISI/CTN]]</f>
        <v>24</v>
      </c>
      <c r="AO301" s="38">
        <f>Table43[[#This Row],[Harga Jual Pcs GT
(-PPN)]]-(Table43[[#This Row],[Harga Jual Pcs GT
(-PPN)]]*6.5%)</f>
        <v>12996.5</v>
      </c>
      <c r="AP301" s="38">
        <f>Table43[[#This Row],[Harga Beli Pcs
(-PPN)]]*Table43[[#This Row],[ISI/CTN]]</f>
        <v>311916</v>
      </c>
      <c r="AQ301" s="38">
        <f>Table43[[#This Row],[Harga Beli Pcs
(-PPN)]]*1.11</f>
        <v>14426.115000000002</v>
      </c>
      <c r="AR301" s="38">
        <f>Table43[[#This Row],[Harga Beli Krt
(- PPN)]]*1.11</f>
        <v>346226.76</v>
      </c>
      <c r="AS301" s="38">
        <v>13900</v>
      </c>
      <c r="AT301" s="38">
        <f>Table43[[#This Row],[Harga Jual Pcs GT
(-PPN)]]*Table43[[#This Row],[ISI/CTN]]</f>
        <v>333600</v>
      </c>
      <c r="AU301" s="38">
        <f>Table43[[#This Row],[Harga Jual Pcs GT
(-PPN)]]*1.11</f>
        <v>15429.000000000002</v>
      </c>
      <c r="AV301" s="38">
        <f>Table43[[#This Row],[Harga Jual Krt GT
(- PPN)]]*1.11</f>
        <v>370296.00000000006</v>
      </c>
      <c r="AW301" s="38">
        <f>IFERROR(VLOOKUP(Table43[[#This Row],[Kode Pcpl]],'[1]FEB 2026'!$A$3:$X$312,24,0),0)</f>
        <v>0</v>
      </c>
      <c r="AX301" s="38">
        <f>Table43[[#This Row],[Harga Jual Pcs MT
(-PPN)]]*Table43[[#This Row],[ISI/CTN]]</f>
        <v>0</v>
      </c>
      <c r="AY301" s="38">
        <f>Table43[[#This Row],[Harga Jual Pcs MT
(-PPN)]]*1.11</f>
        <v>0</v>
      </c>
      <c r="AZ301" s="38">
        <f>Table43[[#This Row],[Harga Jual Pcs MT
(+PPN)]]*Table43[[#This Row],[ISI/CTN]]</f>
        <v>0</v>
      </c>
      <c r="BA301" s="46">
        <f>(Table43[[#This Row],[Harga Jual Pcs GT
(-PPN)]]-Table43[[#This Row],[Harga Beli Pcs
(-PPN)]])/Table43[[#This Row],[Harga Jual Pcs GT
(-PPN)]]</f>
        <v>6.5000000000000002E-2</v>
      </c>
      <c r="BB301" s="53">
        <f>Table43[[#This Row],[Harga Jual Pcs MT
(-PPN)]]-Table43[[#This Row],[Harga Beli Pcs
(-PPN)]]</f>
        <v>-12996.5</v>
      </c>
      <c r="BC301" s="54" t="e">
        <f>Table43[[#This Row],[Column1]]/Table43[[#This Row],[Harga Jual Pcs MT
(-PPN)]]</f>
        <v>#DIV/0!</v>
      </c>
      <c r="BD301" s="52"/>
      <c r="BE301" s="7"/>
      <c r="BF301" s="7" t="str">
        <f ca="1">IF(TODAY()-Table43[[#This Row],[Efektif
Pembuatan]]&gt;60,"Lama","Baru")</f>
        <v>Lama</v>
      </c>
      <c r="BG301" s="7" t="str">
        <f ca="1">IF(TODAY()-Table43[[#This Row],[Efektif Naik Harga]]&lt;30,"Naik","Sama")</f>
        <v>Sama</v>
      </c>
      <c r="BH301" s="7"/>
      <c r="BI301" s="7" t="str">
        <f>IF(Table43[[#This Row],[Kode BARANG Win2]]&lt;&gt;"","IDR","")</f>
        <v>IDR</v>
      </c>
      <c r="BJ301" s="7" t="str">
        <f>CONCATENATE(Table43[[#This Row],[kode  1 Digit
(Nomor)]],Table43[[#This Row],[kode  4 Digit                (Nomor)]])</f>
        <v>0000</v>
      </c>
      <c r="BK301" s="7">
        <f>Table43[[#This Row],[Nama            Gramasi atau Jumlah Pack per CTN]]</f>
        <v>0</v>
      </c>
      <c r="BL301" s="7"/>
      <c r="BM301" s="7"/>
      <c r="BN301" s="4" t="str">
        <f>IF(Table43[[#This Row],[SATUAN Fix Win]]&lt;&gt;"","KRT")</f>
        <v>KRT</v>
      </c>
      <c r="BO301" s="4" t="str">
        <f>IF(Table43[[#This Row],[SATUAN Fix Win]]&lt;&gt;"","GD01")</f>
        <v>GD01</v>
      </c>
      <c r="BP301" s="4">
        <f>IF(Table43[[#This Row],[SATUAN Fix Win]]&lt;&gt;"",11611)</f>
        <v>11611</v>
      </c>
      <c r="BQ301" s="4">
        <f>IF(Table43[[#This Row],[SATUAN Fix Win]]&lt;&gt;"",11612)</f>
        <v>11612</v>
      </c>
      <c r="BS301" s="4">
        <f>IF(Table43[[#This Row],[SATUAN Fix Win]]&lt;&gt;"",1)</f>
        <v>1</v>
      </c>
      <c r="BU301" s="4">
        <f>Table43[[#This Row],[ISI/CTN]]</f>
        <v>24</v>
      </c>
    </row>
    <row r="302" spans="1:73">
      <c r="A302" s="4" t="str">
        <f>CONCATENATE(Table43[[#This Row],[Kode BARANG Win2]],Table43[[#This Row],[No. Urut
Item Sama]])</f>
        <v>G1201009000010</v>
      </c>
      <c r="B302" s="7"/>
      <c r="C302" s="31"/>
      <c r="D302" s="51">
        <v>40017267</v>
      </c>
      <c r="E302" s="27"/>
      <c r="F302" s="51"/>
      <c r="G302" s="51"/>
      <c r="H302" s="27"/>
      <c r="I302" s="27">
        <v>24</v>
      </c>
      <c r="J302" s="59" t="s">
        <v>1712</v>
      </c>
      <c r="K302" s="27" t="str">
        <f>Table43[[#This Row],[NamaJenisKemasan]]</f>
        <v>BOX</v>
      </c>
      <c r="L302" s="4" t="str">
        <f>TRIM(CONCATENATE(Table43[[#This Row],[Nama            KLP]]," ",Table43[[#This Row],[Nama            Sub KLP]]))</f>
        <v>NYU CREME HAIR COLOUR</v>
      </c>
      <c r="M302" s="4" t="str">
        <f>CONCATENATE(Table43[[#This Row],[kode  2 Digit                (hrf+No)]],Table43[[#This Row],[kode  2 Digit                (Nomor)]],Table43[[#This Row],[kode  1 Digit                (Nomor)]])</f>
        <v>G1201</v>
      </c>
      <c r="N302" s="4" t="str">
        <f>IF(AI302="",CONCATENATE(S302,U302,W302,Y302,AA302,AC302,AE302,AG302,Table43[[#This Row],[Tanda Kode Revisi]]),CONCATENATE(S302,U302,W302,Y302,AA302,AC302,AE302,AI302))</f>
        <v>G1201009000010</v>
      </c>
      <c r="O302" s="11">
        <f>LEN(N302)</f>
        <v>14</v>
      </c>
      <c r="P302" s="14" t="str">
        <f>IF(AH302&lt;&gt;"",TRIM(UPPER(CONCATENATE(R302," ",T302," ",V302," ",X302," ",Z302," ",AB302," ","X"," ",Table43[[#This Row],[ISI/CTN]]," ",AH302," ",AD302," ",AF302," ",AJ302))),TRIM(UPPER(CONCATENATE(R302," ",T302," ",V302," ",X302," ",Z302," ",AB302," ","X"," ",Table43[[#This Row],[ISI/CTN]]," ",AD302," ",AF302," ",AJ302))))</f>
        <v>NYU CREME HAIR COLOUR COPPERY BROWN X 24 BOX</v>
      </c>
      <c r="Q302" s="11">
        <f>LEN(P302)</f>
        <v>44</v>
      </c>
      <c r="S302" s="7" t="s">
        <v>34</v>
      </c>
      <c r="T302" s="4" t="s">
        <v>2333</v>
      </c>
      <c r="U302" s="47" t="s">
        <v>2566</v>
      </c>
      <c r="V302" s="48" t="s">
        <v>2379</v>
      </c>
      <c r="W302" s="7">
        <v>1</v>
      </c>
      <c r="X302" s="48"/>
      <c r="Y302" s="47" t="s">
        <v>1116</v>
      </c>
      <c r="Z302" s="4" t="s">
        <v>2352</v>
      </c>
      <c r="AA302" s="49" t="s">
        <v>2546</v>
      </c>
      <c r="AC302" s="49" t="s">
        <v>2460</v>
      </c>
      <c r="AD302" s="4" t="s">
        <v>662</v>
      </c>
      <c r="AE302" s="7">
        <v>1</v>
      </c>
      <c r="AG302" s="7">
        <v>0</v>
      </c>
      <c r="AK302" s="70">
        <f>Table43[[#This Row],[Column4]]</f>
        <v>0</v>
      </c>
      <c r="AN302" s="7">
        <f>Table43[[#This Row],[ISI/CTN]]</f>
        <v>24</v>
      </c>
      <c r="AO302" s="38">
        <f>Table43[[#This Row],[Harga Jual Pcs GT
(-PPN)]]-(Table43[[#This Row],[Harga Jual Pcs GT
(-PPN)]]*6.5%)</f>
        <v>0</v>
      </c>
      <c r="AP302" s="38">
        <f>Table43[[#This Row],[Harga Beli Pcs
(-PPN)]]*Table43[[#This Row],[ISI/CTN]]</f>
        <v>0</v>
      </c>
      <c r="AQ302" s="38">
        <f>Table43[[#This Row],[Harga Beli Pcs
(-PPN)]]*1.11</f>
        <v>0</v>
      </c>
      <c r="AR302" s="38">
        <f>Table43[[#This Row],[Harga Beli Krt
(- PPN)]]*1.11</f>
        <v>0</v>
      </c>
      <c r="AS302" s="38"/>
      <c r="AT302" s="38">
        <f>Table43[[#This Row],[Harga Jual Pcs GT
(-PPN)]]*Table43[[#This Row],[ISI/CTN]]</f>
        <v>0</v>
      </c>
      <c r="AU302" s="38">
        <f>Table43[[#This Row],[Harga Jual Pcs GT
(-PPN)]]*1.11</f>
        <v>0</v>
      </c>
      <c r="AV302" s="38">
        <f>Table43[[#This Row],[Harga Jual Krt GT
(- PPN)]]*1.11</f>
        <v>0</v>
      </c>
      <c r="AW302" s="38">
        <f>IFERROR(VLOOKUP(Table43[[#This Row],[Kode Pcpl]],'[1]FEB 2026'!$A$3:$X$312,24,0),0)</f>
        <v>0</v>
      </c>
      <c r="AX302" s="38">
        <f>Table43[[#This Row],[Harga Jual Pcs MT
(-PPN)]]*Table43[[#This Row],[ISI/CTN]]</f>
        <v>0</v>
      </c>
      <c r="AY302" s="38">
        <f>Table43[[#This Row],[Harga Jual Pcs MT
(-PPN)]]*1.11</f>
        <v>0</v>
      </c>
      <c r="AZ302" s="38">
        <f>Table43[[#This Row],[Harga Jual Pcs MT
(+PPN)]]*Table43[[#This Row],[ISI/CTN]]</f>
        <v>0</v>
      </c>
      <c r="BA302" s="46" t="e">
        <f>(Table43[[#This Row],[Harga Jual Pcs GT
(-PPN)]]-Table43[[#This Row],[Harga Beli Pcs
(-PPN)]])/Table43[[#This Row],[Harga Jual Pcs GT
(-PPN)]]</f>
        <v>#DIV/0!</v>
      </c>
      <c r="BB302" s="53">
        <f>Table43[[#This Row],[Harga Jual Pcs MT
(-PPN)]]-Table43[[#This Row],[Harga Beli Pcs
(-PPN)]]</f>
        <v>0</v>
      </c>
      <c r="BC302" s="54" t="e">
        <f>Table43[[#This Row],[Column1]]/Table43[[#This Row],[Harga Jual Pcs MT
(-PPN)]]</f>
        <v>#DIV/0!</v>
      </c>
      <c r="BD302" s="52"/>
      <c r="BE302" s="7"/>
      <c r="BF302" s="7" t="str">
        <f ca="1">IF(TODAY()-Table43[[#This Row],[Efektif
Pembuatan]]&gt;60,"Lama","Baru")</f>
        <v>Lama</v>
      </c>
      <c r="BG302" s="7" t="str">
        <f ca="1">IF(TODAY()-Table43[[#This Row],[Efektif Naik Harga]]&lt;30,"Naik","Sama")</f>
        <v>Sama</v>
      </c>
      <c r="BH302" s="7"/>
      <c r="BI302" s="7" t="str">
        <f>IF(Table43[[#This Row],[Kode BARANG Win2]]&lt;&gt;"","IDR","")</f>
        <v>IDR</v>
      </c>
      <c r="BJ302" s="7" t="str">
        <f>CONCATENATE(Table43[[#This Row],[kode  1 Digit
(Nomor)]],Table43[[#This Row],[kode  4 Digit                (Nomor)]])</f>
        <v>0000</v>
      </c>
      <c r="BK302" s="7">
        <f>Table43[[#This Row],[Nama            Gramasi atau Jumlah Pack per CTN]]</f>
        <v>0</v>
      </c>
      <c r="BL302" s="7"/>
      <c r="BM302" s="7"/>
      <c r="BN302" s="4" t="str">
        <f>IF(Table43[[#This Row],[SATUAN Fix Win]]&lt;&gt;"","KRT")</f>
        <v>KRT</v>
      </c>
      <c r="BO302" s="4" t="str">
        <f>IF(Table43[[#This Row],[SATUAN Fix Win]]&lt;&gt;"","GD01")</f>
        <v>GD01</v>
      </c>
      <c r="BP302" s="4">
        <f>IF(Table43[[#This Row],[SATUAN Fix Win]]&lt;&gt;"",11611)</f>
        <v>11611</v>
      </c>
      <c r="BQ302" s="4">
        <f>IF(Table43[[#This Row],[SATUAN Fix Win]]&lt;&gt;"",11612)</f>
        <v>11612</v>
      </c>
      <c r="BS302" s="4">
        <f>IF(Table43[[#This Row],[SATUAN Fix Win]]&lt;&gt;"",1)</f>
        <v>1</v>
      </c>
      <c r="BU302" s="4">
        <f>Table43[[#This Row],[ISI/CTN]]</f>
        <v>24</v>
      </c>
    </row>
    <row r="303" spans="1:73">
      <c r="A303" s="4" t="str">
        <f>CONCATENATE(Table43[[#This Row],[Kode BARANG Win2]],Table43[[#This Row],[No. Urut
Item Sama]])</f>
        <v>G1201009000020</v>
      </c>
      <c r="B303" s="7"/>
      <c r="C303" s="31">
        <v>30351040085010</v>
      </c>
      <c r="D303" s="59">
        <v>40020112</v>
      </c>
      <c r="E303" s="67" t="s">
        <v>2492</v>
      </c>
      <c r="F303" s="69">
        <v>30351040085010</v>
      </c>
      <c r="G303" s="69">
        <v>0</v>
      </c>
      <c r="H303" s="60">
        <v>0</v>
      </c>
      <c r="I303" s="60">
        <v>144</v>
      </c>
      <c r="J303" s="59">
        <v>0</v>
      </c>
      <c r="K303" s="60" t="str">
        <f>Table43[[#This Row],[NamaJenisKemasan]]</f>
        <v>SCH</v>
      </c>
      <c r="L303" s="4" t="str">
        <f>TRIM(CONCATENATE(Table43[[#This Row],[Nama            KLP]]," ",Table43[[#This Row],[Nama            Sub KLP]]))</f>
        <v>NYU CREME HAIR COLOUR</v>
      </c>
      <c r="M303" s="4" t="str">
        <f>CONCATENATE(Table43[[#This Row],[kode  2 Digit                (hrf+No)]],Table43[[#This Row],[kode  2 Digit                (Nomor)]],Table43[[#This Row],[kode  1 Digit                (Nomor)]])</f>
        <v>G1201</v>
      </c>
      <c r="N303" s="4" t="str">
        <f>IF(AI303="",CONCATENATE(S303,U303,W303,Y303,AA303,AC303,AE303,AG303,Table43[[#This Row],[Tanda Kode Revisi]]),CONCATENATE(S303,U303,W303,Y303,AA303,AC303,AE303,AI303))</f>
        <v>G1201009000020</v>
      </c>
      <c r="O303" s="11">
        <f t="shared" si="8"/>
        <v>14</v>
      </c>
      <c r="P303" s="14" t="str">
        <f>IF(AH303&lt;&gt;"",TRIM(UPPER(CONCATENATE(R303," ",T303," ",V303," ",X303," ",Z303," ",AB303," ","X"," ",Table43[[#This Row],[ISI/CTN]]," ",AH303," ",AD303," ",AF303," ",AJ303))),TRIM(UPPER(CONCATENATE(R303," ",T303," ",V303," ",X303," ",Z303," ",AB303," ","X"," ",Table43[[#This Row],[ISI/CTN]]," ",AD303," ",AF303," ",AJ303))))</f>
        <v>NYU CREME HAIR COLOUR COPPERY BROWN X 144 SCH</v>
      </c>
      <c r="Q303" s="11">
        <f t="shared" si="9"/>
        <v>45</v>
      </c>
      <c r="S303" s="7" t="s">
        <v>34</v>
      </c>
      <c r="T303" s="4" t="s">
        <v>2333</v>
      </c>
      <c r="U303" s="47" t="s">
        <v>2566</v>
      </c>
      <c r="V303" s="48" t="s">
        <v>2379</v>
      </c>
      <c r="W303" s="7">
        <v>1</v>
      </c>
      <c r="X303" s="48"/>
      <c r="Y303" s="47" t="s">
        <v>1116</v>
      </c>
      <c r="Z303" s="4" t="s">
        <v>2352</v>
      </c>
      <c r="AA303" s="49" t="s">
        <v>2546</v>
      </c>
      <c r="AC303" s="49" t="s">
        <v>2460</v>
      </c>
      <c r="AD303" s="4" t="s">
        <v>664</v>
      </c>
      <c r="AE303" s="7">
        <v>2</v>
      </c>
      <c r="AG303" s="7">
        <v>0</v>
      </c>
      <c r="AK303" s="70">
        <f>Table43[[#This Row],[Column4]]</f>
        <v>30351040085010</v>
      </c>
      <c r="AN303" s="7">
        <f>Table43[[#This Row],[ISI/CTN]]</f>
        <v>144</v>
      </c>
      <c r="AO303" s="38">
        <f>Table43[[#This Row],[Harga Jual Pcs GT
(-PPN)]]-(Table43[[#This Row],[Harga Jual Pcs GT
(-PPN)]]*6.5%)</f>
        <v>11594</v>
      </c>
      <c r="AP303" s="38">
        <f>Table43[[#This Row],[Harga Beli Pcs
(-PPN)]]*Table43[[#This Row],[ISI/CTN]]</f>
        <v>1669536</v>
      </c>
      <c r="AQ303" s="38">
        <f>Table43[[#This Row],[Harga Beli Pcs
(-PPN)]]*1.11</f>
        <v>12869.340000000002</v>
      </c>
      <c r="AR303" s="38">
        <f>Table43[[#This Row],[Harga Beli Krt
(- PPN)]]*1.11</f>
        <v>1853184.9600000002</v>
      </c>
      <c r="AS303" s="38">
        <v>12400</v>
      </c>
      <c r="AT303" s="38">
        <f>Table43[[#This Row],[Harga Jual Pcs GT
(-PPN)]]*Table43[[#This Row],[ISI/CTN]]</f>
        <v>1785600</v>
      </c>
      <c r="AU303" s="38">
        <f>Table43[[#This Row],[Harga Jual Pcs GT
(-PPN)]]*1.11</f>
        <v>13764.000000000002</v>
      </c>
      <c r="AV303" s="38">
        <f>Table43[[#This Row],[Harga Jual Krt GT
(- PPN)]]*1.11</f>
        <v>1982016.0000000002</v>
      </c>
      <c r="AW303" s="38">
        <f>IFERROR(VLOOKUP(Table43[[#This Row],[Kode Pcpl]],'[1]FEB 2026'!$A$3:$X$312,24,0),0)</f>
        <v>0</v>
      </c>
      <c r="AX303" s="38">
        <f>Table43[[#This Row],[Harga Jual Pcs MT
(-PPN)]]*Table43[[#This Row],[ISI/CTN]]</f>
        <v>0</v>
      </c>
      <c r="AY303" s="38">
        <f>Table43[[#This Row],[Harga Jual Pcs MT
(-PPN)]]*1.11</f>
        <v>0</v>
      </c>
      <c r="AZ303" s="38">
        <f>Table43[[#This Row],[Harga Jual Pcs MT
(+PPN)]]*Table43[[#This Row],[ISI/CTN]]</f>
        <v>0</v>
      </c>
      <c r="BA303" s="46">
        <f>(Table43[[#This Row],[Harga Jual Pcs GT
(-PPN)]]-Table43[[#This Row],[Harga Beli Pcs
(-PPN)]])/Table43[[#This Row],[Harga Jual Pcs GT
(-PPN)]]</f>
        <v>6.5000000000000002E-2</v>
      </c>
      <c r="BB303" s="53">
        <f>Table43[[#This Row],[Harga Jual Pcs MT
(-PPN)]]-Table43[[#This Row],[Harga Beli Pcs
(-PPN)]]</f>
        <v>-11594</v>
      </c>
      <c r="BC303" s="54" t="e">
        <f>Table43[[#This Row],[Column1]]/Table43[[#This Row],[Harga Jual Pcs MT
(-PPN)]]</f>
        <v>#DIV/0!</v>
      </c>
      <c r="BD303" s="52"/>
      <c r="BE303" s="7"/>
      <c r="BF303" s="7" t="str">
        <f ca="1">IF(TODAY()-Table43[[#This Row],[Efektif
Pembuatan]]&gt;60,"Lama","Baru")</f>
        <v>Lama</v>
      </c>
      <c r="BG303" s="7" t="str">
        <f ca="1">IF(TODAY()-Table43[[#This Row],[Efektif Naik Harga]]&lt;30,"Naik","Sama")</f>
        <v>Sama</v>
      </c>
      <c r="BH303" s="7"/>
      <c r="BI303" s="7" t="str">
        <f>IF(Table43[[#This Row],[Kode BARANG Win2]]&lt;&gt;"","IDR","")</f>
        <v>IDR</v>
      </c>
      <c r="BJ303" s="7" t="str">
        <f>CONCATENATE(Table43[[#This Row],[kode  1 Digit
(Nomor)]],Table43[[#This Row],[kode  4 Digit                (Nomor)]])</f>
        <v>0000</v>
      </c>
      <c r="BK303" s="7">
        <f>Table43[[#This Row],[Nama            Gramasi atau Jumlah Pack per CTN]]</f>
        <v>0</v>
      </c>
      <c r="BL303" s="7"/>
      <c r="BM303" s="7"/>
      <c r="BN303" s="4" t="str">
        <f>IF(Table43[[#This Row],[SATUAN Fix Win]]&lt;&gt;"","KRT")</f>
        <v>KRT</v>
      </c>
      <c r="BO303" s="4" t="str">
        <f>IF(Table43[[#This Row],[SATUAN Fix Win]]&lt;&gt;"","GD01")</f>
        <v>GD01</v>
      </c>
      <c r="BP303" s="4">
        <f>IF(Table43[[#This Row],[SATUAN Fix Win]]&lt;&gt;"",11611)</f>
        <v>11611</v>
      </c>
      <c r="BQ303" s="4">
        <f>IF(Table43[[#This Row],[SATUAN Fix Win]]&lt;&gt;"",11612)</f>
        <v>11612</v>
      </c>
      <c r="BS303" s="4">
        <f>IF(Table43[[#This Row],[SATUAN Fix Win]]&lt;&gt;"",1)</f>
        <v>1</v>
      </c>
      <c r="BU303" s="4">
        <f>Table43[[#This Row],[ISI/CTN]]</f>
        <v>144</v>
      </c>
    </row>
    <row r="304" spans="1:73">
      <c r="A304" s="4" t="str">
        <f>CONCATENATE(Table43[[#This Row],[Kode BARANG Win2]],Table43[[#This Row],[No. Urut
Item Sama]])</f>
        <v>G1201010000010</v>
      </c>
      <c r="B304" s="7"/>
      <c r="C304" s="31">
        <v>30351060020010</v>
      </c>
      <c r="D304" s="59">
        <v>40058765</v>
      </c>
      <c r="E304" s="60" t="s">
        <v>2024</v>
      </c>
      <c r="F304" s="59">
        <v>30351040150002</v>
      </c>
      <c r="G304" s="59">
        <v>0</v>
      </c>
      <c r="H304" s="60" t="s">
        <v>1310</v>
      </c>
      <c r="I304" s="60">
        <v>24</v>
      </c>
      <c r="J304" s="59" t="s">
        <v>1712</v>
      </c>
      <c r="K304" s="60" t="str">
        <f>Table43[[#This Row],[NamaJenisKemasan]]</f>
        <v>BOX</v>
      </c>
      <c r="L304" s="4" t="str">
        <f>TRIM(CONCATENATE(Table43[[#This Row],[Nama            KLP]]," ",Table43[[#This Row],[Nama            Sub KLP]]))</f>
        <v>NYU CREME HAIR COLOUR</v>
      </c>
      <c r="M304" s="4" t="str">
        <f>CONCATENATE(Table43[[#This Row],[kode  2 Digit                (hrf+No)]],Table43[[#This Row],[kode  2 Digit                (Nomor)]],Table43[[#This Row],[kode  1 Digit                (Nomor)]])</f>
        <v>G1201</v>
      </c>
      <c r="N304" s="4" t="str">
        <f>IF(AI304="",CONCATENATE(S304,U304,W304,Y304,AA304,AC304,AE304,AG304,Table43[[#This Row],[Tanda Kode Revisi]]),CONCATENATE(S304,U304,W304,Y304,AA304,AC304,AE304,AI304))</f>
        <v>G1201010000010</v>
      </c>
      <c r="O304" s="11">
        <f t="shared" si="8"/>
        <v>14</v>
      </c>
      <c r="P304" s="14" t="str">
        <f>IF(AH304&lt;&gt;"",TRIM(UPPER(CONCATENATE(R304," ",T304," ",V304," ",X304," ",Z304," ",AB304," ","X"," ",Table43[[#This Row],[ISI/CTN]]," ",AH304," ",AD304," ",AF304," ",AJ304))),TRIM(UPPER(CONCATENATE(R304," ",T304," ",V304," ",X304," ",Z304," ",AB304," ","X"," ",Table43[[#This Row],[ISI/CTN]]," ",AD304," ",AF304," ",AJ304))))</f>
        <v>NYU CREME HAIR COLOUR COPPERY BROWN + BLEACH X 24 BOX</v>
      </c>
      <c r="Q304" s="11">
        <f t="shared" si="9"/>
        <v>53</v>
      </c>
      <c r="S304" s="7" t="s">
        <v>34</v>
      </c>
      <c r="T304" s="4" t="s">
        <v>2333</v>
      </c>
      <c r="U304" s="47" t="s">
        <v>2566</v>
      </c>
      <c r="V304" s="48" t="s">
        <v>2379</v>
      </c>
      <c r="W304" s="7">
        <v>1</v>
      </c>
      <c r="X304" s="48"/>
      <c r="Y304" s="47" t="s">
        <v>1116</v>
      </c>
      <c r="Z304" s="4" t="s">
        <v>2380</v>
      </c>
      <c r="AA304" s="49" t="s">
        <v>2556</v>
      </c>
      <c r="AC304" s="49" t="s">
        <v>2460</v>
      </c>
      <c r="AD304" s="4" t="s">
        <v>662</v>
      </c>
      <c r="AE304" s="7">
        <v>1</v>
      </c>
      <c r="AG304" s="7">
        <v>0</v>
      </c>
      <c r="AK304" s="70">
        <f>Table43[[#This Row],[Column4]]</f>
        <v>30351040150002</v>
      </c>
      <c r="AN304" s="7">
        <f>Table43[[#This Row],[ISI/CTN]]</f>
        <v>24</v>
      </c>
      <c r="AO304" s="38">
        <f>Table43[[#This Row],[Harga Jual Pcs GT
(-PPN)]]-(Table43[[#This Row],[Harga Jual Pcs GT
(-PPN)]]*6.5%)</f>
        <v>12529</v>
      </c>
      <c r="AP304" s="38">
        <f>Table43[[#This Row],[Harga Beli Pcs
(-PPN)]]*Table43[[#This Row],[ISI/CTN]]</f>
        <v>300696</v>
      </c>
      <c r="AQ304" s="38">
        <f>Table43[[#This Row],[Harga Beli Pcs
(-PPN)]]*1.11</f>
        <v>13907.19</v>
      </c>
      <c r="AR304" s="38">
        <f>Table43[[#This Row],[Harga Beli Krt
(- PPN)]]*1.11</f>
        <v>333772.56000000006</v>
      </c>
      <c r="AS304" s="38">
        <v>13400</v>
      </c>
      <c r="AT304" s="38">
        <f>Table43[[#This Row],[Harga Jual Pcs GT
(-PPN)]]*Table43[[#This Row],[ISI/CTN]]</f>
        <v>321600</v>
      </c>
      <c r="AU304" s="38">
        <f>Table43[[#This Row],[Harga Jual Pcs GT
(-PPN)]]*1.11</f>
        <v>14874.000000000002</v>
      </c>
      <c r="AV304" s="38">
        <f>Table43[[#This Row],[Harga Jual Krt GT
(- PPN)]]*1.11</f>
        <v>356976.00000000006</v>
      </c>
      <c r="AW304" s="38">
        <f>IFERROR(VLOOKUP(Table43[[#This Row],[Kode Pcpl]],'[1]FEB 2026'!$A$3:$X$312,24,0),0)</f>
        <v>0</v>
      </c>
      <c r="AX304" s="38">
        <f>Table43[[#This Row],[Harga Jual Pcs MT
(-PPN)]]*Table43[[#This Row],[ISI/CTN]]</f>
        <v>0</v>
      </c>
      <c r="AY304" s="38">
        <f>Table43[[#This Row],[Harga Jual Pcs MT
(-PPN)]]*1.11</f>
        <v>0</v>
      </c>
      <c r="AZ304" s="38">
        <f>Table43[[#This Row],[Harga Jual Pcs MT
(+PPN)]]*Table43[[#This Row],[ISI/CTN]]</f>
        <v>0</v>
      </c>
      <c r="BA304" s="46">
        <f>(Table43[[#This Row],[Harga Jual Pcs GT
(-PPN)]]-Table43[[#This Row],[Harga Beli Pcs
(-PPN)]])/Table43[[#This Row],[Harga Jual Pcs GT
(-PPN)]]</f>
        <v>6.5000000000000002E-2</v>
      </c>
      <c r="BB304" s="53">
        <f>Table43[[#This Row],[Harga Jual Pcs MT
(-PPN)]]-Table43[[#This Row],[Harga Beli Pcs
(-PPN)]]</f>
        <v>-12529</v>
      </c>
      <c r="BC304" s="54" t="e">
        <f>Table43[[#This Row],[Column1]]/Table43[[#This Row],[Harga Jual Pcs MT
(-PPN)]]</f>
        <v>#DIV/0!</v>
      </c>
      <c r="BD304" s="52"/>
      <c r="BE304" s="7"/>
      <c r="BF304" s="7" t="str">
        <f ca="1">IF(TODAY()-Table43[[#This Row],[Efektif
Pembuatan]]&gt;60,"Lama","Baru")</f>
        <v>Lama</v>
      </c>
      <c r="BG304" s="7" t="str">
        <f ca="1">IF(TODAY()-Table43[[#This Row],[Efektif Naik Harga]]&lt;30,"Naik","Sama")</f>
        <v>Sama</v>
      </c>
      <c r="BH304" s="7"/>
      <c r="BI304" s="7" t="str">
        <f>IF(Table43[[#This Row],[Kode BARANG Win2]]&lt;&gt;"","IDR","")</f>
        <v>IDR</v>
      </c>
      <c r="BJ304" s="7" t="str">
        <f>CONCATENATE(Table43[[#This Row],[kode  1 Digit
(Nomor)]],Table43[[#This Row],[kode  4 Digit                (Nomor)]])</f>
        <v>0000</v>
      </c>
      <c r="BK304" s="7">
        <f>Table43[[#This Row],[Nama            Gramasi atau Jumlah Pack per CTN]]</f>
        <v>0</v>
      </c>
      <c r="BL304" s="7"/>
      <c r="BM304" s="7"/>
      <c r="BN304" s="4" t="str">
        <f>IF(Table43[[#This Row],[SATUAN Fix Win]]&lt;&gt;"","KRT")</f>
        <v>KRT</v>
      </c>
      <c r="BO304" s="4" t="str">
        <f>IF(Table43[[#This Row],[SATUAN Fix Win]]&lt;&gt;"","GD01")</f>
        <v>GD01</v>
      </c>
      <c r="BP304" s="4">
        <f>IF(Table43[[#This Row],[SATUAN Fix Win]]&lt;&gt;"",11611)</f>
        <v>11611</v>
      </c>
      <c r="BQ304" s="4">
        <f>IF(Table43[[#This Row],[SATUAN Fix Win]]&lt;&gt;"",11612)</f>
        <v>11612</v>
      </c>
      <c r="BS304" s="4">
        <f>IF(Table43[[#This Row],[SATUAN Fix Win]]&lt;&gt;"",1)</f>
        <v>1</v>
      </c>
      <c r="BU304" s="4">
        <f>Table43[[#This Row],[ISI/CTN]]</f>
        <v>24</v>
      </c>
    </row>
    <row r="305" spans="1:75">
      <c r="A305" s="4" t="str">
        <f>CONCATENATE(Table43[[#This Row],[Kode BARANG Win2]],Table43[[#This Row],[No. Urut
Item Sama]])</f>
        <v>G1201011000010</v>
      </c>
      <c r="B305" s="7"/>
      <c r="C305" s="31">
        <v>30351120150000</v>
      </c>
      <c r="D305" s="59">
        <v>40033215</v>
      </c>
      <c r="E305" s="60" t="s">
        <v>2030</v>
      </c>
      <c r="F305" s="59">
        <v>30351070150000</v>
      </c>
      <c r="G305" s="59">
        <v>0</v>
      </c>
      <c r="H305" s="60" t="s">
        <v>1317</v>
      </c>
      <c r="I305" s="60">
        <v>24</v>
      </c>
      <c r="J305" s="59" t="s">
        <v>1718</v>
      </c>
      <c r="K305" s="60" t="str">
        <f>Table43[[#This Row],[NamaJenisKemasan]]</f>
        <v>BOX</v>
      </c>
      <c r="L305" s="4" t="str">
        <f>TRIM(CONCATENATE(Table43[[#This Row],[Nama            KLP]]," ",Table43[[#This Row],[Nama            Sub KLP]]))</f>
        <v>NYU CREME HAIR COLOUR</v>
      </c>
      <c r="M305" s="4" t="str">
        <f>CONCATENATE(Table43[[#This Row],[kode  2 Digit                (hrf+No)]],Table43[[#This Row],[kode  2 Digit                (Nomor)]],Table43[[#This Row],[kode  1 Digit                (Nomor)]])</f>
        <v>G1201</v>
      </c>
      <c r="N305" s="4" t="str">
        <f>IF(AI305="",CONCATENATE(S305,U305,W305,Y305,AA305,AC305,AE305,AG305,Table43[[#This Row],[Tanda Kode Revisi]]),CONCATENATE(S305,U305,W305,Y305,AA305,AC305,AE305,AI305))</f>
        <v>G1201011000010</v>
      </c>
      <c r="O305" s="11">
        <f t="shared" si="8"/>
        <v>14</v>
      </c>
      <c r="P305" s="14" t="str">
        <f>IF(AH305&lt;&gt;"",TRIM(UPPER(CONCATENATE(R305," ",T305," ",V305," ",X305," ",Z305," ",AB305," ","X"," ",Table43[[#This Row],[ISI/CTN]]," ",AH305," ",AD305," ",AF305," ",AJ305))),TRIM(UPPER(CONCATENATE(R305," ",T305," ",V305," ",X305," ",Z305," ",AB305," ","X"," ",Table43[[#This Row],[ISI/CTN]]," ",AD305," ",AF305," ",AJ305))))</f>
        <v>NYU CREME HAIR COLOUR FLAMING ORANGE X 24 BOX</v>
      </c>
      <c r="Q305" s="11">
        <f t="shared" si="9"/>
        <v>45</v>
      </c>
      <c r="S305" s="7" t="s">
        <v>34</v>
      </c>
      <c r="T305" s="4" t="s">
        <v>2333</v>
      </c>
      <c r="U305" s="47" t="s">
        <v>2566</v>
      </c>
      <c r="V305" s="48" t="s">
        <v>2379</v>
      </c>
      <c r="W305" s="7">
        <v>1</v>
      </c>
      <c r="X305" s="48"/>
      <c r="Y305" s="47" t="s">
        <v>1116</v>
      </c>
      <c r="Z305" s="4" t="s">
        <v>2391</v>
      </c>
      <c r="AA305" s="49" t="s">
        <v>2557</v>
      </c>
      <c r="AC305" s="49" t="s">
        <v>2460</v>
      </c>
      <c r="AD305" s="4" t="s">
        <v>662</v>
      </c>
      <c r="AE305" s="7">
        <v>1</v>
      </c>
      <c r="AG305" s="7">
        <v>0</v>
      </c>
      <c r="AK305" s="70">
        <f>Table43[[#This Row],[Column4]]</f>
        <v>30351070150000</v>
      </c>
      <c r="AN305" s="7">
        <f>Table43[[#This Row],[ISI/CTN]]</f>
        <v>24</v>
      </c>
      <c r="AO305" s="38">
        <f>Table43[[#This Row],[Harga Jual Pcs GT
(-PPN)]]-(Table43[[#This Row],[Harga Jual Pcs GT
(-PPN)]]*6.5%)</f>
        <v>12529</v>
      </c>
      <c r="AP305" s="38">
        <f>Table43[[#This Row],[Harga Beli Pcs
(-PPN)]]*Table43[[#This Row],[ISI/CTN]]</f>
        <v>300696</v>
      </c>
      <c r="AQ305" s="38">
        <f>Table43[[#This Row],[Harga Beli Pcs
(-PPN)]]*1.11</f>
        <v>13907.19</v>
      </c>
      <c r="AR305" s="38">
        <f>Table43[[#This Row],[Harga Beli Krt
(- PPN)]]*1.11</f>
        <v>333772.56000000006</v>
      </c>
      <c r="AS305" s="38">
        <v>13400</v>
      </c>
      <c r="AT305" s="38">
        <f>Table43[[#This Row],[Harga Jual Pcs GT
(-PPN)]]*Table43[[#This Row],[ISI/CTN]]</f>
        <v>321600</v>
      </c>
      <c r="AU305" s="38">
        <f>Table43[[#This Row],[Harga Jual Pcs GT
(-PPN)]]*1.11</f>
        <v>14874.000000000002</v>
      </c>
      <c r="AV305" s="38">
        <f>Table43[[#This Row],[Harga Jual Krt GT
(- PPN)]]*1.11</f>
        <v>356976.00000000006</v>
      </c>
      <c r="AW305" s="38">
        <f>IFERROR(VLOOKUP(Table43[[#This Row],[Kode Pcpl]],'[1]FEB 2026'!$A$3:$X$312,24,0),0)</f>
        <v>0</v>
      </c>
      <c r="AX305" s="38">
        <f>Table43[[#This Row],[Harga Jual Pcs MT
(-PPN)]]*Table43[[#This Row],[ISI/CTN]]</f>
        <v>0</v>
      </c>
      <c r="AY305" s="38">
        <f>Table43[[#This Row],[Harga Jual Pcs MT
(-PPN)]]*1.11</f>
        <v>0</v>
      </c>
      <c r="AZ305" s="38">
        <f>Table43[[#This Row],[Harga Jual Pcs MT
(+PPN)]]*Table43[[#This Row],[ISI/CTN]]</f>
        <v>0</v>
      </c>
      <c r="BA305" s="46">
        <f>(Table43[[#This Row],[Harga Jual Pcs GT
(-PPN)]]-Table43[[#This Row],[Harga Beli Pcs
(-PPN)]])/Table43[[#This Row],[Harga Jual Pcs GT
(-PPN)]]</f>
        <v>6.5000000000000002E-2</v>
      </c>
      <c r="BB305" s="53">
        <f>Table43[[#This Row],[Harga Jual Pcs MT
(-PPN)]]-Table43[[#This Row],[Harga Beli Pcs
(-PPN)]]</f>
        <v>-12529</v>
      </c>
      <c r="BC305" s="54" t="e">
        <f>Table43[[#This Row],[Column1]]/Table43[[#This Row],[Harga Jual Pcs MT
(-PPN)]]</f>
        <v>#DIV/0!</v>
      </c>
      <c r="BD305" s="52"/>
      <c r="BE305" s="7"/>
      <c r="BF305" s="7" t="str">
        <f ca="1">IF(TODAY()-Table43[[#This Row],[Efektif
Pembuatan]]&gt;60,"Lama","Baru")</f>
        <v>Lama</v>
      </c>
      <c r="BG305" s="7" t="str">
        <f ca="1">IF(TODAY()-Table43[[#This Row],[Efektif Naik Harga]]&lt;30,"Naik","Sama")</f>
        <v>Sama</v>
      </c>
      <c r="BH305" s="7"/>
      <c r="BI305" s="7" t="str">
        <f>IF(Table43[[#This Row],[Kode BARANG Win2]]&lt;&gt;"","IDR","")</f>
        <v>IDR</v>
      </c>
      <c r="BJ305" s="7" t="str">
        <f>CONCATENATE(Table43[[#This Row],[kode  1 Digit
(Nomor)]],Table43[[#This Row],[kode  4 Digit                (Nomor)]])</f>
        <v>0000</v>
      </c>
      <c r="BK305" s="7">
        <f>Table43[[#This Row],[Nama            Gramasi atau Jumlah Pack per CTN]]</f>
        <v>0</v>
      </c>
      <c r="BL305" s="7"/>
      <c r="BM305" s="7"/>
      <c r="BN305" s="4" t="str">
        <f>IF(Table43[[#This Row],[SATUAN Fix Win]]&lt;&gt;"","KRT")</f>
        <v>KRT</v>
      </c>
      <c r="BO305" s="4" t="str">
        <f>IF(Table43[[#This Row],[SATUAN Fix Win]]&lt;&gt;"","GD01")</f>
        <v>GD01</v>
      </c>
      <c r="BP305" s="4">
        <f>IF(Table43[[#This Row],[SATUAN Fix Win]]&lt;&gt;"",11611)</f>
        <v>11611</v>
      </c>
      <c r="BQ305" s="4">
        <f>IF(Table43[[#This Row],[SATUAN Fix Win]]&lt;&gt;"",11612)</f>
        <v>11612</v>
      </c>
      <c r="BS305" s="4">
        <f>IF(Table43[[#This Row],[SATUAN Fix Win]]&lt;&gt;"",1)</f>
        <v>1</v>
      </c>
      <c r="BU305" s="4">
        <f>Table43[[#This Row],[ISI/CTN]]</f>
        <v>24</v>
      </c>
    </row>
    <row r="306" spans="1:75">
      <c r="A306" s="4" t="str">
        <f>CONCATENATE(Table43[[#This Row],[Kode BARANG Win2]],Table43[[#This Row],[No. Urut
Item Sama]])</f>
        <v>G1201012000010</v>
      </c>
      <c r="B306" s="7"/>
      <c r="C306" s="31">
        <v>30351060150000</v>
      </c>
      <c r="D306" s="51">
        <v>40056280</v>
      </c>
      <c r="E306" s="27" t="s">
        <v>2033</v>
      </c>
      <c r="F306" s="51">
        <v>30351100150000</v>
      </c>
      <c r="G306" s="51">
        <v>0</v>
      </c>
      <c r="H306" s="27" t="s">
        <v>1320</v>
      </c>
      <c r="I306" s="27">
        <v>24</v>
      </c>
      <c r="J306" s="51" t="s">
        <v>1721</v>
      </c>
      <c r="K306" s="27" t="str">
        <f>Table43[[#This Row],[NamaJenisKemasan]]</f>
        <v>BOX</v>
      </c>
      <c r="L306" s="4" t="str">
        <f>TRIM(CONCATENATE(Table43[[#This Row],[Nama            KLP]]," ",Table43[[#This Row],[Nama            Sub KLP]]))</f>
        <v>NYU CREME HAIR COLOUR</v>
      </c>
      <c r="M306" s="4" t="str">
        <f>CONCATENATE(Table43[[#This Row],[kode  2 Digit                (hrf+No)]],Table43[[#This Row],[kode  2 Digit                (Nomor)]],Table43[[#This Row],[kode  1 Digit                (Nomor)]])</f>
        <v>G1201</v>
      </c>
      <c r="N306" s="4" t="str">
        <f>IF(AI306="",CONCATENATE(S306,U306,W306,Y306,AA306,AC306,AE306,AG306,Table43[[#This Row],[Tanda Kode Revisi]]),CONCATENATE(S306,U306,W306,Y306,AA306,AC306,AE306,AI306))</f>
        <v>G1201012000010</v>
      </c>
      <c r="O306" s="11">
        <f t="shared" si="8"/>
        <v>14</v>
      </c>
      <c r="P306" s="14" t="str">
        <f>IF(AH306&lt;&gt;"",TRIM(UPPER(CONCATENATE(R306," ",T306," ",V306," ",X306," ",Z306," ",AB306," ","X"," ",Table43[[#This Row],[ISI/CTN]]," ",AH306," ",AD306," ",AF306," ",AJ306))),TRIM(UPPER(CONCATENATE(R306," ",T306," ",V306," ",X306," ",Z306," ",AB306," ","X"," ",Table43[[#This Row],[ISI/CTN]]," ",AD306," ",AF306," ",AJ306))))</f>
        <v>NYU CREME HAIR COLOUR GOLDEN BROWN X 24 BOX</v>
      </c>
      <c r="Q306" s="11">
        <f t="shared" si="9"/>
        <v>43</v>
      </c>
      <c r="S306" s="7" t="s">
        <v>34</v>
      </c>
      <c r="T306" s="4" t="s">
        <v>2333</v>
      </c>
      <c r="U306" s="47" t="s">
        <v>2566</v>
      </c>
      <c r="V306" s="48" t="s">
        <v>2379</v>
      </c>
      <c r="W306" s="7">
        <v>1</v>
      </c>
      <c r="X306" s="48"/>
      <c r="Y306" s="47" t="s">
        <v>1116</v>
      </c>
      <c r="Z306" s="4" t="s">
        <v>2384</v>
      </c>
      <c r="AA306" s="49" t="s">
        <v>2558</v>
      </c>
      <c r="AC306" s="49" t="s">
        <v>2460</v>
      </c>
      <c r="AD306" s="4" t="s">
        <v>662</v>
      </c>
      <c r="AE306" s="7">
        <v>1</v>
      </c>
      <c r="AG306" s="7">
        <v>0</v>
      </c>
      <c r="AK306" s="70">
        <f>Table43[[#This Row],[Column4]]</f>
        <v>30351100150000</v>
      </c>
      <c r="AN306" s="7">
        <f>Table43[[#This Row],[ISI/CTN]]</f>
        <v>24</v>
      </c>
      <c r="AO306" s="38">
        <f>Table43[[#This Row],[Harga Jual Pcs GT
(-PPN)]]-(Table43[[#This Row],[Harga Jual Pcs GT
(-PPN)]]*6.5%)</f>
        <v>12529</v>
      </c>
      <c r="AP306" s="38">
        <f>Table43[[#This Row],[Harga Beli Pcs
(-PPN)]]*Table43[[#This Row],[ISI/CTN]]</f>
        <v>300696</v>
      </c>
      <c r="AQ306" s="38">
        <f>Table43[[#This Row],[Harga Beli Pcs
(-PPN)]]*1.11</f>
        <v>13907.19</v>
      </c>
      <c r="AR306" s="38">
        <f>Table43[[#This Row],[Harga Beli Krt
(- PPN)]]*1.11</f>
        <v>333772.56000000006</v>
      </c>
      <c r="AS306" s="38">
        <v>13400</v>
      </c>
      <c r="AT306" s="38">
        <f>Table43[[#This Row],[Harga Jual Pcs GT
(-PPN)]]*Table43[[#This Row],[ISI/CTN]]</f>
        <v>321600</v>
      </c>
      <c r="AU306" s="38">
        <f>Table43[[#This Row],[Harga Jual Pcs GT
(-PPN)]]*1.11</f>
        <v>14874.000000000002</v>
      </c>
      <c r="AV306" s="38">
        <f>Table43[[#This Row],[Harga Jual Krt GT
(- PPN)]]*1.11</f>
        <v>356976.00000000006</v>
      </c>
      <c r="AW306" s="38">
        <f>IFERROR(VLOOKUP(Table43[[#This Row],[Kode Pcpl]],'[1]FEB 2026'!$A$3:$X$312,24,0),0)</f>
        <v>0</v>
      </c>
      <c r="AX306" s="38">
        <f>Table43[[#This Row],[Harga Jual Pcs MT
(-PPN)]]*Table43[[#This Row],[ISI/CTN]]</f>
        <v>0</v>
      </c>
      <c r="AY306" s="38">
        <f>Table43[[#This Row],[Harga Jual Pcs MT
(-PPN)]]*1.11</f>
        <v>0</v>
      </c>
      <c r="AZ306" s="38">
        <f>Table43[[#This Row],[Harga Jual Pcs MT
(+PPN)]]*Table43[[#This Row],[ISI/CTN]]</f>
        <v>0</v>
      </c>
      <c r="BA306" s="46">
        <f>(Table43[[#This Row],[Harga Jual Pcs GT
(-PPN)]]-Table43[[#This Row],[Harga Beli Pcs
(-PPN)]])/Table43[[#This Row],[Harga Jual Pcs GT
(-PPN)]]</f>
        <v>6.5000000000000002E-2</v>
      </c>
      <c r="BB306" s="53">
        <f>Table43[[#This Row],[Harga Jual Pcs MT
(-PPN)]]-Table43[[#This Row],[Harga Beli Pcs
(-PPN)]]</f>
        <v>-12529</v>
      </c>
      <c r="BC306" s="54" t="e">
        <f>Table43[[#This Row],[Column1]]/Table43[[#This Row],[Harga Jual Pcs MT
(-PPN)]]</f>
        <v>#DIV/0!</v>
      </c>
      <c r="BD306" s="52"/>
      <c r="BE306" s="7"/>
      <c r="BF306" s="7" t="str">
        <f ca="1">IF(TODAY()-Table43[[#This Row],[Efektif
Pembuatan]]&gt;60,"Lama","Baru")</f>
        <v>Lama</v>
      </c>
      <c r="BG306" s="7" t="str">
        <f ca="1">IF(TODAY()-Table43[[#This Row],[Efektif Naik Harga]]&lt;30,"Naik","Sama")</f>
        <v>Sama</v>
      </c>
      <c r="BH306" s="7"/>
      <c r="BI306" s="7" t="str">
        <f>IF(Table43[[#This Row],[Kode BARANG Win2]]&lt;&gt;"","IDR","")</f>
        <v>IDR</v>
      </c>
      <c r="BJ306" s="7" t="str">
        <f>CONCATENATE(Table43[[#This Row],[kode  1 Digit
(Nomor)]],Table43[[#This Row],[kode  4 Digit                (Nomor)]])</f>
        <v>0000</v>
      </c>
      <c r="BK306" s="7">
        <f>Table43[[#This Row],[Nama            Gramasi atau Jumlah Pack per CTN]]</f>
        <v>0</v>
      </c>
      <c r="BL306" s="7"/>
      <c r="BM306" s="7"/>
      <c r="BN306" s="4" t="str">
        <f>IF(Table43[[#This Row],[SATUAN Fix Win]]&lt;&gt;"","KRT")</f>
        <v>KRT</v>
      </c>
      <c r="BO306" s="4" t="str">
        <f>IF(Table43[[#This Row],[SATUAN Fix Win]]&lt;&gt;"","GD01")</f>
        <v>GD01</v>
      </c>
      <c r="BP306" s="4">
        <f>IF(Table43[[#This Row],[SATUAN Fix Win]]&lt;&gt;"",11611)</f>
        <v>11611</v>
      </c>
      <c r="BQ306" s="4">
        <f>IF(Table43[[#This Row],[SATUAN Fix Win]]&lt;&gt;"",11612)</f>
        <v>11612</v>
      </c>
      <c r="BS306" s="4">
        <f>IF(Table43[[#This Row],[SATUAN Fix Win]]&lt;&gt;"",1)</f>
        <v>1</v>
      </c>
      <c r="BU306" s="4">
        <f>Table43[[#This Row],[ISI/CTN]]</f>
        <v>24</v>
      </c>
    </row>
    <row r="307" spans="1:75">
      <c r="A307" s="4" t="str">
        <f>CONCATENATE(Table43[[#This Row],[Kode BARANG Win2]],Table43[[#This Row],[No. Urut
Item Sama]])</f>
        <v>G1201012000020</v>
      </c>
      <c r="B307" s="7"/>
      <c r="C307" s="31">
        <v>30352050300020</v>
      </c>
      <c r="D307" s="51">
        <v>40060394</v>
      </c>
      <c r="E307" s="27" t="s">
        <v>2032</v>
      </c>
      <c r="F307" s="51">
        <v>30351100021020</v>
      </c>
      <c r="G307" s="51">
        <v>0</v>
      </c>
      <c r="H307" s="27" t="s">
        <v>1319</v>
      </c>
      <c r="I307" s="27">
        <v>144</v>
      </c>
      <c r="J307" s="51" t="s">
        <v>1720</v>
      </c>
      <c r="K307" s="27" t="str">
        <f>Table43[[#This Row],[NamaJenisKemasan]]</f>
        <v>SCH</v>
      </c>
      <c r="L307" s="4" t="str">
        <f>TRIM(CONCATENATE(Table43[[#This Row],[Nama            KLP]]," ",Table43[[#This Row],[Nama            Sub KLP]]))</f>
        <v>NYU CREME HAIR COLOUR</v>
      </c>
      <c r="M307" s="4" t="str">
        <f>CONCATENATE(Table43[[#This Row],[kode  2 Digit                (hrf+No)]],Table43[[#This Row],[kode  2 Digit                (Nomor)]],Table43[[#This Row],[kode  1 Digit                (Nomor)]])</f>
        <v>G1201</v>
      </c>
      <c r="N307" s="4" t="str">
        <f>IF(AI307="",CONCATENATE(S307,U307,W307,Y307,AA307,AC307,AE307,AG307,Table43[[#This Row],[Tanda Kode Revisi]]),CONCATENATE(S307,U307,W307,Y307,AA307,AC307,AE307,AI307))</f>
        <v>G1201012000020</v>
      </c>
      <c r="O307" s="11">
        <f t="shared" si="8"/>
        <v>14</v>
      </c>
      <c r="P307" s="14" t="str">
        <f>IF(AH307&lt;&gt;"",TRIM(UPPER(CONCATENATE(R307," ",T307," ",V307," ",X307," ",Z307," ",AB307," ","X"," ",Table43[[#This Row],[ISI/CTN]]," ",AH307," ",AD307," ",AF307," ",AJ307))),TRIM(UPPER(CONCATENATE(R307," ",T307," ",V307," ",X307," ",Z307," ",AB307," ","X"," ",Table43[[#This Row],[ISI/CTN]]," ",AD307," ",AF307," ",AJ307))))</f>
        <v>NYU CREME HAIR COLOUR GOLDEN BROWN X 144 SCH</v>
      </c>
      <c r="Q307" s="11">
        <f t="shared" si="9"/>
        <v>44</v>
      </c>
      <c r="S307" s="7" t="s">
        <v>34</v>
      </c>
      <c r="T307" s="4" t="s">
        <v>2333</v>
      </c>
      <c r="U307" s="47" t="s">
        <v>2566</v>
      </c>
      <c r="V307" s="48" t="s">
        <v>2379</v>
      </c>
      <c r="W307" s="7">
        <v>1</v>
      </c>
      <c r="X307" s="48"/>
      <c r="Y307" s="47" t="s">
        <v>1116</v>
      </c>
      <c r="Z307" s="4" t="s">
        <v>2384</v>
      </c>
      <c r="AA307" s="49" t="s">
        <v>2558</v>
      </c>
      <c r="AC307" s="49" t="s">
        <v>2460</v>
      </c>
      <c r="AD307" s="4" t="s">
        <v>664</v>
      </c>
      <c r="AE307" s="7">
        <v>2</v>
      </c>
      <c r="AG307" s="7">
        <v>0</v>
      </c>
      <c r="AK307" s="70">
        <f>Table43[[#This Row],[Column4]]</f>
        <v>30351100021020</v>
      </c>
      <c r="AN307" s="7">
        <f>Table43[[#This Row],[ISI/CTN]]</f>
        <v>144</v>
      </c>
      <c r="AO307" s="38">
        <f>Table43[[#This Row],[Harga Jual Pcs GT
(-PPN)]]-(Table43[[#This Row],[Harga Jual Pcs GT
(-PPN)]]*6.5%)</f>
        <v>5077.05</v>
      </c>
      <c r="AP307" s="38">
        <f>Table43[[#This Row],[Harga Beli Pcs
(-PPN)]]*Table43[[#This Row],[ISI/CTN]]</f>
        <v>731095.20000000007</v>
      </c>
      <c r="AQ307" s="38">
        <f>Table43[[#This Row],[Harga Beli Pcs
(-PPN)]]*1.11</f>
        <v>5635.5255000000006</v>
      </c>
      <c r="AR307" s="38">
        <f>Table43[[#This Row],[Harga Beli Krt
(- PPN)]]*1.11</f>
        <v>811515.67200000014</v>
      </c>
      <c r="AS307" s="38">
        <v>5430</v>
      </c>
      <c r="AT307" s="38">
        <f>Table43[[#This Row],[Harga Jual Pcs GT
(-PPN)]]*Table43[[#This Row],[ISI/CTN]]</f>
        <v>781920</v>
      </c>
      <c r="AU307" s="38">
        <f>Table43[[#This Row],[Harga Jual Pcs GT
(-PPN)]]*1.11</f>
        <v>6027.3</v>
      </c>
      <c r="AV307" s="38">
        <f>Table43[[#This Row],[Harga Jual Krt GT
(- PPN)]]*1.11</f>
        <v>867931.20000000007</v>
      </c>
      <c r="AW307" s="38">
        <f>IFERROR(VLOOKUP(Table43[[#This Row],[Kode Pcpl]],'[1]FEB 2026'!$A$3:$X$312,24,0),0)</f>
        <v>0</v>
      </c>
      <c r="AX307" s="38">
        <f>Table43[[#This Row],[Harga Jual Pcs MT
(-PPN)]]*Table43[[#This Row],[ISI/CTN]]</f>
        <v>0</v>
      </c>
      <c r="AY307" s="38">
        <f>Table43[[#This Row],[Harga Jual Pcs MT
(-PPN)]]*1.11</f>
        <v>0</v>
      </c>
      <c r="AZ307" s="38">
        <f>Table43[[#This Row],[Harga Jual Pcs MT
(+PPN)]]*Table43[[#This Row],[ISI/CTN]]</f>
        <v>0</v>
      </c>
      <c r="BA307" s="46">
        <f>(Table43[[#This Row],[Harga Jual Pcs GT
(-PPN)]]-Table43[[#This Row],[Harga Beli Pcs
(-PPN)]])/Table43[[#This Row],[Harga Jual Pcs GT
(-PPN)]]</f>
        <v>6.4999999999999961E-2</v>
      </c>
      <c r="BB307" s="53">
        <f>Table43[[#This Row],[Harga Jual Pcs MT
(-PPN)]]-Table43[[#This Row],[Harga Beli Pcs
(-PPN)]]</f>
        <v>-5077.05</v>
      </c>
      <c r="BC307" s="54" t="e">
        <f>Table43[[#This Row],[Column1]]/Table43[[#This Row],[Harga Jual Pcs MT
(-PPN)]]</f>
        <v>#DIV/0!</v>
      </c>
      <c r="BD307" s="52"/>
      <c r="BE307" s="7"/>
      <c r="BF307" s="7" t="str">
        <f ca="1">IF(TODAY()-Table43[[#This Row],[Efektif
Pembuatan]]&gt;60,"Lama","Baru")</f>
        <v>Lama</v>
      </c>
      <c r="BG307" s="7" t="str">
        <f ca="1">IF(TODAY()-Table43[[#This Row],[Efektif Naik Harga]]&lt;30,"Naik","Sama")</f>
        <v>Sama</v>
      </c>
      <c r="BH307" s="7"/>
      <c r="BI307" s="7" t="str">
        <f>IF(Table43[[#This Row],[Kode BARANG Win2]]&lt;&gt;"","IDR","")</f>
        <v>IDR</v>
      </c>
      <c r="BJ307" s="7" t="str">
        <f>CONCATENATE(Table43[[#This Row],[kode  1 Digit
(Nomor)]],Table43[[#This Row],[kode  4 Digit                (Nomor)]])</f>
        <v>0000</v>
      </c>
      <c r="BK307" s="7">
        <f>Table43[[#This Row],[Nama            Gramasi atau Jumlah Pack per CTN]]</f>
        <v>0</v>
      </c>
      <c r="BL307" s="7"/>
      <c r="BM307" s="7"/>
      <c r="BN307" s="4" t="str">
        <f>IF(Table43[[#This Row],[SATUAN Fix Win]]&lt;&gt;"","KRT")</f>
        <v>KRT</v>
      </c>
      <c r="BO307" s="4" t="str">
        <f>IF(Table43[[#This Row],[SATUAN Fix Win]]&lt;&gt;"","GD01")</f>
        <v>GD01</v>
      </c>
      <c r="BP307" s="4">
        <f>IF(Table43[[#This Row],[SATUAN Fix Win]]&lt;&gt;"",11611)</f>
        <v>11611</v>
      </c>
      <c r="BQ307" s="4">
        <f>IF(Table43[[#This Row],[SATUAN Fix Win]]&lt;&gt;"",11612)</f>
        <v>11612</v>
      </c>
      <c r="BS307" s="4">
        <f>IF(Table43[[#This Row],[SATUAN Fix Win]]&lt;&gt;"",1)</f>
        <v>1</v>
      </c>
      <c r="BU307" s="4">
        <f>Table43[[#This Row],[ISI/CTN]]</f>
        <v>144</v>
      </c>
    </row>
    <row r="308" spans="1:75">
      <c r="A308" s="4" t="str">
        <f>CONCATENATE(Table43[[#This Row],[Kode BARANG Win2]],Table43[[#This Row],[No. Urut
Item Sama]])</f>
        <v>G1201013000010</v>
      </c>
      <c r="B308" s="7"/>
      <c r="C308" s="31">
        <v>30351070150000</v>
      </c>
      <c r="D308" s="59">
        <v>40058766</v>
      </c>
      <c r="E308" s="60" t="s">
        <v>2034</v>
      </c>
      <c r="F308" s="59">
        <v>30351100150002</v>
      </c>
      <c r="G308" s="59">
        <v>0</v>
      </c>
      <c r="H308" s="60" t="s">
        <v>1321</v>
      </c>
      <c r="I308" s="60">
        <v>24</v>
      </c>
      <c r="J308" s="59" t="s">
        <v>1721</v>
      </c>
      <c r="K308" s="60" t="str">
        <f>Table43[[#This Row],[NamaJenisKemasan]]</f>
        <v>BOX</v>
      </c>
      <c r="L308" s="4" t="str">
        <f>TRIM(CONCATENATE(Table43[[#This Row],[Nama            KLP]]," ",Table43[[#This Row],[Nama            Sub KLP]]))</f>
        <v>NYU CREME HAIR COLOUR</v>
      </c>
      <c r="M308" s="4" t="str">
        <f>CONCATENATE(Table43[[#This Row],[kode  2 Digit                (hrf+No)]],Table43[[#This Row],[kode  2 Digit                (Nomor)]],Table43[[#This Row],[kode  1 Digit                (Nomor)]])</f>
        <v>G1201</v>
      </c>
      <c r="N308" s="4" t="str">
        <f>IF(AI308="",CONCATENATE(S308,U308,W308,Y308,AA308,AC308,AE308,AG308,Table43[[#This Row],[Tanda Kode Revisi]]),CONCATENATE(S308,U308,W308,Y308,AA308,AC308,AE308,AI308))</f>
        <v>G1201013000010</v>
      </c>
      <c r="O308" s="11">
        <f t="shared" si="8"/>
        <v>14</v>
      </c>
      <c r="P308" s="14" t="str">
        <f>IF(AH308&lt;&gt;"",TRIM(UPPER(CONCATENATE(R308," ",T308," ",V308," ",X308," ",Z308," ",AB308," ","X"," ",Table43[[#This Row],[ISI/CTN]]," ",AH308," ",AD308," ",AF308," ",AJ308))),TRIM(UPPER(CONCATENATE(R308," ",T308," ",V308," ",X308," ",Z308," ",AB308," ","X"," ",Table43[[#This Row],[ISI/CTN]]," ",AD308," ",AF308," ",AJ308))))</f>
        <v>NYU CREME HAIR COLOUR GOLDEN BROWN + BLEACH X 24 BOX</v>
      </c>
      <c r="Q308" s="11">
        <f t="shared" si="9"/>
        <v>52</v>
      </c>
      <c r="S308" s="7" t="s">
        <v>34</v>
      </c>
      <c r="T308" s="4" t="s">
        <v>2333</v>
      </c>
      <c r="U308" s="47" t="s">
        <v>2566</v>
      </c>
      <c r="V308" s="48" t="s">
        <v>2379</v>
      </c>
      <c r="W308" s="7">
        <v>1</v>
      </c>
      <c r="X308" s="48"/>
      <c r="Y308" s="47" t="s">
        <v>1116</v>
      </c>
      <c r="Z308" s="4" t="s">
        <v>2383</v>
      </c>
      <c r="AA308" s="49" t="s">
        <v>2559</v>
      </c>
      <c r="AC308" s="49" t="s">
        <v>2460</v>
      </c>
      <c r="AD308" s="4" t="s">
        <v>662</v>
      </c>
      <c r="AE308" s="7">
        <v>1</v>
      </c>
      <c r="AG308" s="7">
        <v>0</v>
      </c>
      <c r="AK308" s="70">
        <f>Table43[[#This Row],[Column4]]</f>
        <v>30351100150002</v>
      </c>
      <c r="AN308" s="7">
        <f>Table43[[#This Row],[ISI/CTN]]</f>
        <v>24</v>
      </c>
      <c r="AO308" s="38">
        <f>Table43[[#This Row],[Harga Jual Pcs GT
(-PPN)]]-(Table43[[#This Row],[Harga Jual Pcs GT
(-PPN)]]*6.5%)</f>
        <v>12529</v>
      </c>
      <c r="AP308" s="38">
        <f>Table43[[#This Row],[Harga Beli Pcs
(-PPN)]]*Table43[[#This Row],[ISI/CTN]]</f>
        <v>300696</v>
      </c>
      <c r="AQ308" s="38">
        <f>Table43[[#This Row],[Harga Beli Pcs
(-PPN)]]*1.11</f>
        <v>13907.19</v>
      </c>
      <c r="AR308" s="38">
        <f>Table43[[#This Row],[Harga Beli Krt
(- PPN)]]*1.11</f>
        <v>333772.56000000006</v>
      </c>
      <c r="AS308" s="38">
        <v>13400</v>
      </c>
      <c r="AT308" s="38">
        <f>Table43[[#This Row],[Harga Jual Pcs GT
(-PPN)]]*Table43[[#This Row],[ISI/CTN]]</f>
        <v>321600</v>
      </c>
      <c r="AU308" s="38">
        <f>Table43[[#This Row],[Harga Jual Pcs GT
(-PPN)]]*1.11</f>
        <v>14874.000000000002</v>
      </c>
      <c r="AV308" s="38">
        <f>Table43[[#This Row],[Harga Jual Krt GT
(- PPN)]]*1.11</f>
        <v>356976.00000000006</v>
      </c>
      <c r="AW308" s="38">
        <f>IFERROR(VLOOKUP(Table43[[#This Row],[Kode Pcpl]],'[1]FEB 2026'!$A$3:$X$312,24,0),0)</f>
        <v>0</v>
      </c>
      <c r="AX308" s="38">
        <f>Table43[[#This Row],[Harga Jual Pcs MT
(-PPN)]]*Table43[[#This Row],[ISI/CTN]]</f>
        <v>0</v>
      </c>
      <c r="AY308" s="38">
        <f>Table43[[#This Row],[Harga Jual Pcs MT
(-PPN)]]*1.11</f>
        <v>0</v>
      </c>
      <c r="AZ308" s="38">
        <f>Table43[[#This Row],[Harga Jual Pcs MT
(+PPN)]]*Table43[[#This Row],[ISI/CTN]]</f>
        <v>0</v>
      </c>
      <c r="BA308" s="46">
        <f>(Table43[[#This Row],[Harga Jual Pcs GT
(-PPN)]]-Table43[[#This Row],[Harga Beli Pcs
(-PPN)]])/Table43[[#This Row],[Harga Jual Pcs GT
(-PPN)]]</f>
        <v>6.5000000000000002E-2</v>
      </c>
      <c r="BB308" s="53">
        <f>Table43[[#This Row],[Harga Jual Pcs MT
(-PPN)]]-Table43[[#This Row],[Harga Beli Pcs
(-PPN)]]</f>
        <v>-12529</v>
      </c>
      <c r="BC308" s="54" t="e">
        <f>Table43[[#This Row],[Column1]]/Table43[[#This Row],[Harga Jual Pcs MT
(-PPN)]]</f>
        <v>#DIV/0!</v>
      </c>
      <c r="BD308" s="52"/>
      <c r="BE308" s="7"/>
      <c r="BF308" s="7" t="str">
        <f ca="1">IF(TODAY()-Table43[[#This Row],[Efektif
Pembuatan]]&gt;60,"Lama","Baru")</f>
        <v>Lama</v>
      </c>
      <c r="BG308" s="7" t="str">
        <f ca="1">IF(TODAY()-Table43[[#This Row],[Efektif Naik Harga]]&lt;30,"Naik","Sama")</f>
        <v>Sama</v>
      </c>
      <c r="BH308" s="7"/>
      <c r="BI308" s="7" t="str">
        <f>IF(Table43[[#This Row],[Kode BARANG Win2]]&lt;&gt;"","IDR","")</f>
        <v>IDR</v>
      </c>
      <c r="BJ308" s="7" t="str">
        <f>CONCATENATE(Table43[[#This Row],[kode  1 Digit
(Nomor)]],Table43[[#This Row],[kode  4 Digit                (Nomor)]])</f>
        <v>0000</v>
      </c>
      <c r="BK308" s="7">
        <f>Table43[[#This Row],[Nama            Gramasi atau Jumlah Pack per CTN]]</f>
        <v>0</v>
      </c>
      <c r="BL308" s="7"/>
      <c r="BM308" s="7"/>
      <c r="BN308" s="4" t="str">
        <f>IF(Table43[[#This Row],[SATUAN Fix Win]]&lt;&gt;"","KRT")</f>
        <v>KRT</v>
      </c>
      <c r="BO308" s="4" t="str">
        <f>IF(Table43[[#This Row],[SATUAN Fix Win]]&lt;&gt;"","GD01")</f>
        <v>GD01</v>
      </c>
      <c r="BP308" s="4">
        <f>IF(Table43[[#This Row],[SATUAN Fix Win]]&lt;&gt;"",11611)</f>
        <v>11611</v>
      </c>
      <c r="BQ308" s="4">
        <f>IF(Table43[[#This Row],[SATUAN Fix Win]]&lt;&gt;"",11612)</f>
        <v>11612</v>
      </c>
      <c r="BS308" s="4">
        <f>IF(Table43[[#This Row],[SATUAN Fix Win]]&lt;&gt;"",1)</f>
        <v>1</v>
      </c>
      <c r="BU308" s="4">
        <f>Table43[[#This Row],[ISI/CTN]]</f>
        <v>24</v>
      </c>
    </row>
    <row r="309" spans="1:75">
      <c r="A309" s="4" t="str">
        <f>CONCATENATE(Table43[[#This Row],[Kode BARANG Win2]],Table43[[#This Row],[No. Urut
Item Sama]])</f>
        <v>G1201014000010</v>
      </c>
      <c r="B309" s="7"/>
      <c r="C309" s="31">
        <v>30352010300020</v>
      </c>
      <c r="D309" s="51">
        <v>40023333</v>
      </c>
      <c r="E309" s="27" t="s">
        <v>2027</v>
      </c>
      <c r="F309" s="51">
        <v>30351050150000</v>
      </c>
      <c r="G309" s="51">
        <v>0</v>
      </c>
      <c r="H309" s="27" t="s">
        <v>1314</v>
      </c>
      <c r="I309" s="27">
        <v>24</v>
      </c>
      <c r="J309" s="51" t="s">
        <v>1715</v>
      </c>
      <c r="K309" s="27" t="str">
        <f>Table43[[#This Row],[NamaJenisKemasan]]</f>
        <v>BOX</v>
      </c>
      <c r="L309" s="4" t="str">
        <f>TRIM(CONCATENATE(Table43[[#This Row],[Nama            KLP]]," ",Table43[[#This Row],[Nama            Sub KLP]]))</f>
        <v>NYU CREME HAIR COLOUR</v>
      </c>
      <c r="M309" s="4" t="str">
        <f>CONCATENATE(Table43[[#This Row],[kode  2 Digit                (hrf+No)]],Table43[[#This Row],[kode  2 Digit                (Nomor)]],Table43[[#This Row],[kode  1 Digit                (Nomor)]])</f>
        <v>G1201</v>
      </c>
      <c r="N309" s="4" t="str">
        <f>IF(AI309="",CONCATENATE(S309,U309,W309,Y309,AA309,AC309,AE309,AG309,Table43[[#This Row],[Tanda Kode Revisi]]),CONCATENATE(S309,U309,W309,Y309,AA309,AC309,AE309,AI309))</f>
        <v>G1201014000010</v>
      </c>
      <c r="O309" s="11">
        <f t="shared" si="8"/>
        <v>14</v>
      </c>
      <c r="P309" s="14" t="str">
        <f>IF(AH309&lt;&gt;"",TRIM(UPPER(CONCATENATE(R309," ",T309," ",V309," ",X309," ",Z309," ",AB309," ","X"," ",Table43[[#This Row],[ISI/CTN]]," ",AH309," ",AD309," ",AF309," ",AJ309))),TRIM(UPPER(CONCATENATE(R309," ",T309," ",V309," ",X309," ",Z309," ",AB309," ","X"," ",Table43[[#This Row],[ISI/CTN]]," ",AD309," ",AF309," ",AJ309))))</f>
        <v>NYU CREME HAIR COLOUR NATURAL BLACK X 24 BOX</v>
      </c>
      <c r="Q309" s="11">
        <f t="shared" si="9"/>
        <v>44</v>
      </c>
      <c r="S309" s="7" t="s">
        <v>34</v>
      </c>
      <c r="T309" s="4" t="s">
        <v>2333</v>
      </c>
      <c r="U309" s="47" t="s">
        <v>2566</v>
      </c>
      <c r="V309" s="48" t="s">
        <v>2379</v>
      </c>
      <c r="W309" s="7">
        <v>1</v>
      </c>
      <c r="X309" s="48"/>
      <c r="Y309" s="47" t="s">
        <v>1116</v>
      </c>
      <c r="Z309" s="4" t="s">
        <v>2392</v>
      </c>
      <c r="AA309" s="49" t="s">
        <v>2560</v>
      </c>
      <c r="AC309" s="49" t="s">
        <v>2460</v>
      </c>
      <c r="AD309" s="4" t="s">
        <v>662</v>
      </c>
      <c r="AE309" s="7">
        <v>1</v>
      </c>
      <c r="AG309" s="7">
        <v>0</v>
      </c>
      <c r="AK309" s="70">
        <f>Table43[[#This Row],[Column4]]</f>
        <v>30351050150000</v>
      </c>
      <c r="AN309" s="7">
        <f>Table43[[#This Row],[ISI/CTN]]</f>
        <v>24</v>
      </c>
      <c r="AO309" s="38">
        <f>Table43[[#This Row],[Harga Jual Pcs GT
(-PPN)]]-(Table43[[#This Row],[Harga Jual Pcs GT
(-PPN)]]*6.5%)</f>
        <v>12996.5</v>
      </c>
      <c r="AP309" s="38">
        <f>Table43[[#This Row],[Harga Beli Pcs
(-PPN)]]*Table43[[#This Row],[ISI/CTN]]</f>
        <v>311916</v>
      </c>
      <c r="AQ309" s="38">
        <f>Table43[[#This Row],[Harga Beli Pcs
(-PPN)]]*1.11</f>
        <v>14426.115000000002</v>
      </c>
      <c r="AR309" s="38">
        <f>Table43[[#This Row],[Harga Beli Krt
(- PPN)]]*1.11</f>
        <v>346226.76</v>
      </c>
      <c r="AS309" s="38">
        <v>13900</v>
      </c>
      <c r="AT309" s="38">
        <f>Table43[[#This Row],[Harga Jual Pcs GT
(-PPN)]]*Table43[[#This Row],[ISI/CTN]]</f>
        <v>333600</v>
      </c>
      <c r="AU309" s="38">
        <f>Table43[[#This Row],[Harga Jual Pcs GT
(-PPN)]]*1.11</f>
        <v>15429.000000000002</v>
      </c>
      <c r="AV309" s="38">
        <f>Table43[[#This Row],[Harga Jual Krt GT
(- PPN)]]*1.11</f>
        <v>370296.00000000006</v>
      </c>
      <c r="AW309" s="38">
        <f>IFERROR(VLOOKUP(Table43[[#This Row],[Kode Pcpl]],'[1]FEB 2026'!$A$3:$X$312,24,0),0)</f>
        <v>0</v>
      </c>
      <c r="AX309" s="38">
        <f>Table43[[#This Row],[Harga Jual Pcs MT
(-PPN)]]*Table43[[#This Row],[ISI/CTN]]</f>
        <v>0</v>
      </c>
      <c r="AY309" s="38">
        <f>Table43[[#This Row],[Harga Jual Pcs MT
(-PPN)]]*1.11</f>
        <v>0</v>
      </c>
      <c r="AZ309" s="38">
        <f>Table43[[#This Row],[Harga Jual Pcs MT
(+PPN)]]*Table43[[#This Row],[ISI/CTN]]</f>
        <v>0</v>
      </c>
      <c r="BA309" s="46">
        <f>(Table43[[#This Row],[Harga Jual Pcs GT
(-PPN)]]-Table43[[#This Row],[Harga Beli Pcs
(-PPN)]])/Table43[[#This Row],[Harga Jual Pcs GT
(-PPN)]]</f>
        <v>6.5000000000000002E-2</v>
      </c>
      <c r="BB309" s="53">
        <f>Table43[[#This Row],[Harga Jual Pcs MT
(-PPN)]]-Table43[[#This Row],[Harga Beli Pcs
(-PPN)]]</f>
        <v>-12996.5</v>
      </c>
      <c r="BC309" s="54" t="e">
        <f>Table43[[#This Row],[Column1]]/Table43[[#This Row],[Harga Jual Pcs MT
(-PPN)]]</f>
        <v>#DIV/0!</v>
      </c>
      <c r="BD309" s="52"/>
      <c r="BE309" s="7"/>
      <c r="BF309" s="7" t="str">
        <f ca="1">IF(TODAY()-Table43[[#This Row],[Efektif
Pembuatan]]&gt;60,"Lama","Baru")</f>
        <v>Lama</v>
      </c>
      <c r="BG309" s="7" t="str">
        <f ca="1">IF(TODAY()-Table43[[#This Row],[Efektif Naik Harga]]&lt;30,"Naik","Sama")</f>
        <v>Sama</v>
      </c>
      <c r="BH309" s="7"/>
      <c r="BI309" s="7" t="str">
        <f>IF(Table43[[#This Row],[Kode BARANG Win2]]&lt;&gt;"","IDR","")</f>
        <v>IDR</v>
      </c>
      <c r="BJ309" s="7" t="str">
        <f>CONCATENATE(Table43[[#This Row],[kode  1 Digit
(Nomor)]],Table43[[#This Row],[kode  4 Digit                (Nomor)]])</f>
        <v>0000</v>
      </c>
      <c r="BK309" s="7">
        <f>Table43[[#This Row],[Nama            Gramasi atau Jumlah Pack per CTN]]</f>
        <v>0</v>
      </c>
      <c r="BL309" s="7"/>
      <c r="BM309" s="7"/>
      <c r="BN309" s="4" t="str">
        <f>IF(Table43[[#This Row],[SATUAN Fix Win]]&lt;&gt;"","KRT")</f>
        <v>KRT</v>
      </c>
      <c r="BO309" s="4" t="str">
        <f>IF(Table43[[#This Row],[SATUAN Fix Win]]&lt;&gt;"","GD01")</f>
        <v>GD01</v>
      </c>
      <c r="BP309" s="4">
        <f>IF(Table43[[#This Row],[SATUAN Fix Win]]&lt;&gt;"",11611)</f>
        <v>11611</v>
      </c>
      <c r="BQ309" s="4">
        <f>IF(Table43[[#This Row],[SATUAN Fix Win]]&lt;&gt;"",11612)</f>
        <v>11612</v>
      </c>
      <c r="BS309" s="4">
        <f>IF(Table43[[#This Row],[SATUAN Fix Win]]&lt;&gt;"",1)</f>
        <v>1</v>
      </c>
      <c r="BU309" s="4">
        <f>Table43[[#This Row],[ISI/CTN]]</f>
        <v>24</v>
      </c>
    </row>
    <row r="310" spans="1:75">
      <c r="A310" s="4" t="str">
        <f>CONCATENATE(Table43[[#This Row],[Kode BARANG Win2]],Table43[[#This Row],[No. Urut
Item Sama]])</f>
        <v>G1201014000010</v>
      </c>
      <c r="B310" s="7"/>
      <c r="C310" s="31"/>
      <c r="D310" s="51">
        <v>40017265</v>
      </c>
      <c r="E310" s="27"/>
      <c r="F310" s="51"/>
      <c r="G310" s="51"/>
      <c r="H310" s="27"/>
      <c r="I310" s="27">
        <v>24</v>
      </c>
      <c r="J310" s="51" t="s">
        <v>1715</v>
      </c>
      <c r="K310" s="27" t="str">
        <f>Table43[[#This Row],[NamaJenisKemasan]]</f>
        <v>BOX</v>
      </c>
      <c r="L310" s="4" t="str">
        <f>TRIM(CONCATENATE(Table43[[#This Row],[Nama            KLP]]," ",Table43[[#This Row],[Nama            Sub KLP]]))</f>
        <v>NYU CREME HAIR COLOUR</v>
      </c>
      <c r="M310" s="4" t="str">
        <f>CONCATENATE(Table43[[#This Row],[kode  2 Digit                (hrf+No)]],Table43[[#This Row],[kode  2 Digit                (Nomor)]],Table43[[#This Row],[kode  1 Digit                (Nomor)]])</f>
        <v>G1201</v>
      </c>
      <c r="N310" s="4" t="str">
        <f>IF(AI310="",CONCATENATE(S310,U310,W310,Y310,AA310,AC310,AE310,AG310,Table43[[#This Row],[Tanda Kode Revisi]]),CONCATENATE(S310,U310,W310,Y310,AA310,AC310,AE310,AI310))</f>
        <v>G1201014000010</v>
      </c>
      <c r="O310" s="11">
        <f>LEN(N310)</f>
        <v>14</v>
      </c>
      <c r="P310" s="14" t="str">
        <f>IF(AH310&lt;&gt;"",TRIM(UPPER(CONCATENATE(R310," ",T310," ",V310," ",X310," ",Z310," ",AB310," ","X"," ",Table43[[#This Row],[ISI/CTN]]," ",AH310," ",AD310," ",AF310," ",AJ310))),TRIM(UPPER(CONCATENATE(R310," ",T310," ",V310," ",X310," ",Z310," ",AB310," ","X"," ",Table43[[#This Row],[ISI/CTN]]," ",AD310," ",AF310," ",AJ310))))</f>
        <v>NYU CREME HAIR COLOUR NATURAL BLACK X 24 BOX</v>
      </c>
      <c r="Q310" s="11">
        <f>LEN(P310)</f>
        <v>44</v>
      </c>
      <c r="S310" s="7" t="s">
        <v>34</v>
      </c>
      <c r="T310" s="4" t="s">
        <v>2333</v>
      </c>
      <c r="U310" s="47" t="s">
        <v>2566</v>
      </c>
      <c r="V310" s="48" t="s">
        <v>2379</v>
      </c>
      <c r="W310" s="7">
        <v>1</v>
      </c>
      <c r="X310" s="48"/>
      <c r="Y310" s="47" t="s">
        <v>1116</v>
      </c>
      <c r="Z310" s="4" t="s">
        <v>2392</v>
      </c>
      <c r="AA310" s="49" t="s">
        <v>2560</v>
      </c>
      <c r="AC310" s="49" t="s">
        <v>2460</v>
      </c>
      <c r="AD310" s="4" t="s">
        <v>662</v>
      </c>
      <c r="AE310" s="7">
        <v>1</v>
      </c>
      <c r="AG310" s="7">
        <v>0</v>
      </c>
      <c r="AK310" s="70">
        <f>Table43[[#This Row],[Column4]]</f>
        <v>0</v>
      </c>
      <c r="AN310" s="7">
        <f>Table43[[#This Row],[ISI/CTN]]</f>
        <v>24</v>
      </c>
      <c r="AO310" s="38">
        <f>Table43[[#This Row],[Harga Jual Pcs GT
(-PPN)]]-(Table43[[#This Row],[Harga Jual Pcs GT
(-PPN)]]*6.5%)</f>
        <v>0</v>
      </c>
      <c r="AP310" s="38">
        <f>Table43[[#This Row],[Harga Beli Pcs
(-PPN)]]*Table43[[#This Row],[ISI/CTN]]</f>
        <v>0</v>
      </c>
      <c r="AQ310" s="38">
        <f>Table43[[#This Row],[Harga Beli Pcs
(-PPN)]]*1.11</f>
        <v>0</v>
      </c>
      <c r="AR310" s="38">
        <f>Table43[[#This Row],[Harga Beli Krt
(- PPN)]]*1.11</f>
        <v>0</v>
      </c>
      <c r="AS310" s="38"/>
      <c r="AT310" s="38">
        <f>Table43[[#This Row],[Harga Jual Pcs GT
(-PPN)]]*Table43[[#This Row],[ISI/CTN]]</f>
        <v>0</v>
      </c>
      <c r="AU310" s="38">
        <f>Table43[[#This Row],[Harga Jual Pcs GT
(-PPN)]]*1.11</f>
        <v>0</v>
      </c>
      <c r="AV310" s="38">
        <f>Table43[[#This Row],[Harga Jual Krt GT
(- PPN)]]*1.11</f>
        <v>0</v>
      </c>
      <c r="AW310" s="38">
        <f>IFERROR(VLOOKUP(Table43[[#This Row],[Kode Pcpl]],'[1]FEB 2026'!$A$3:$X$312,24,0),0)</f>
        <v>0</v>
      </c>
      <c r="AX310" s="38">
        <f>Table43[[#This Row],[Harga Jual Pcs MT
(-PPN)]]*Table43[[#This Row],[ISI/CTN]]</f>
        <v>0</v>
      </c>
      <c r="AY310" s="38">
        <f>Table43[[#This Row],[Harga Jual Pcs MT
(-PPN)]]*1.11</f>
        <v>0</v>
      </c>
      <c r="AZ310" s="38">
        <f>Table43[[#This Row],[Harga Jual Pcs MT
(+PPN)]]*Table43[[#This Row],[ISI/CTN]]</f>
        <v>0</v>
      </c>
      <c r="BA310" s="46" t="e">
        <f>(Table43[[#This Row],[Harga Jual Pcs GT
(-PPN)]]-Table43[[#This Row],[Harga Beli Pcs
(-PPN)]])/Table43[[#This Row],[Harga Jual Pcs GT
(-PPN)]]</f>
        <v>#DIV/0!</v>
      </c>
      <c r="BB310" s="53">
        <f>Table43[[#This Row],[Harga Jual Pcs MT
(-PPN)]]-Table43[[#This Row],[Harga Beli Pcs
(-PPN)]]</f>
        <v>0</v>
      </c>
      <c r="BC310" s="54" t="e">
        <f>Table43[[#This Row],[Column1]]/Table43[[#This Row],[Harga Jual Pcs MT
(-PPN)]]</f>
        <v>#DIV/0!</v>
      </c>
      <c r="BD310" s="52"/>
      <c r="BE310" s="7"/>
      <c r="BF310" s="7" t="str">
        <f ca="1">IF(TODAY()-Table43[[#This Row],[Efektif
Pembuatan]]&gt;60,"Lama","Baru")</f>
        <v>Lama</v>
      </c>
      <c r="BG310" s="7" t="str">
        <f ca="1">IF(TODAY()-Table43[[#This Row],[Efektif Naik Harga]]&lt;30,"Naik","Sama")</f>
        <v>Sama</v>
      </c>
      <c r="BH310" s="7"/>
      <c r="BI310" s="7" t="str">
        <f>IF(Table43[[#This Row],[Kode BARANG Win2]]&lt;&gt;"","IDR","")</f>
        <v>IDR</v>
      </c>
      <c r="BJ310" s="7" t="str">
        <f>CONCATENATE(Table43[[#This Row],[kode  1 Digit
(Nomor)]],Table43[[#This Row],[kode  4 Digit                (Nomor)]])</f>
        <v>0000</v>
      </c>
      <c r="BK310" s="7">
        <f>Table43[[#This Row],[Nama            Gramasi atau Jumlah Pack per CTN]]</f>
        <v>0</v>
      </c>
      <c r="BL310" s="7"/>
      <c r="BM310" s="7"/>
      <c r="BN310" s="4" t="str">
        <f>IF(Table43[[#This Row],[SATUAN Fix Win]]&lt;&gt;"","KRT")</f>
        <v>KRT</v>
      </c>
      <c r="BO310" s="4" t="str">
        <f>IF(Table43[[#This Row],[SATUAN Fix Win]]&lt;&gt;"","GD01")</f>
        <v>GD01</v>
      </c>
      <c r="BP310" s="4">
        <f>IF(Table43[[#This Row],[SATUAN Fix Win]]&lt;&gt;"",11611)</f>
        <v>11611</v>
      </c>
      <c r="BQ310" s="4">
        <f>IF(Table43[[#This Row],[SATUAN Fix Win]]&lt;&gt;"",11612)</f>
        <v>11612</v>
      </c>
      <c r="BS310" s="4">
        <f>IF(Table43[[#This Row],[SATUAN Fix Win]]&lt;&gt;"",1)</f>
        <v>1</v>
      </c>
      <c r="BU310" s="4">
        <f>Table43[[#This Row],[ISI/CTN]]</f>
        <v>24</v>
      </c>
    </row>
    <row r="311" spans="1:75">
      <c r="A311" s="4" t="str">
        <f>CONCATENATE(Table43[[#This Row],[Kode BARANG Win2]],Table43[[#This Row],[No. Urut
Item Sama]])</f>
        <v>G1201014000020</v>
      </c>
      <c r="B311" s="7"/>
      <c r="C311" s="31">
        <v>30352050300020</v>
      </c>
      <c r="D311" s="59">
        <v>40037720</v>
      </c>
      <c r="E311" s="60" t="s">
        <v>2025</v>
      </c>
      <c r="F311" s="59">
        <v>30351050020010</v>
      </c>
      <c r="G311" s="59">
        <v>0</v>
      </c>
      <c r="H311" s="60" t="s">
        <v>1311</v>
      </c>
      <c r="I311" s="60">
        <v>144</v>
      </c>
      <c r="J311" s="59" t="s">
        <v>1713</v>
      </c>
      <c r="K311" s="60" t="str">
        <f>Table43[[#This Row],[NamaJenisKemasan]]</f>
        <v>SCH</v>
      </c>
      <c r="L311" s="4" t="str">
        <f>TRIM(CONCATENATE(Table43[[#This Row],[Nama            KLP]]," ",Table43[[#This Row],[Nama            Sub KLP]]))</f>
        <v>NYU CREME HAIR COLOUR</v>
      </c>
      <c r="M311" s="4" t="str">
        <f>CONCATENATE(Table43[[#This Row],[kode  2 Digit                (hrf+No)]],Table43[[#This Row],[kode  2 Digit                (Nomor)]],Table43[[#This Row],[kode  1 Digit                (Nomor)]])</f>
        <v>G1201</v>
      </c>
      <c r="N311" s="4" t="str">
        <f>IF(AI311="",CONCATENATE(S311,U311,W311,Y311,AA311,AC311,AE311,AG311,Table43[[#This Row],[Tanda Kode Revisi]]),CONCATENATE(S311,U311,W311,Y311,AA311,AC311,AE311,AI311))</f>
        <v>G1201014000020</v>
      </c>
      <c r="O311" s="11">
        <f t="shared" si="8"/>
        <v>14</v>
      </c>
      <c r="P311" s="14" t="str">
        <f>IF(AH311&lt;&gt;"",TRIM(UPPER(CONCATENATE(R311," ",T311," ",V311," ",X311," ",Z311," ",AB311," ","X"," ",Table43[[#This Row],[ISI/CTN]]," ",AH311," ",AD311," ",AF311," ",AJ311))),TRIM(UPPER(CONCATENATE(R311," ",T311," ",V311," ",X311," ",Z311," ",AB311," ","X"," ",Table43[[#This Row],[ISI/CTN]]," ",AD311," ",AF311," ",AJ311))))</f>
        <v>NYU CREME HAIR COLOUR NATURAL BLACK X 144 SCH</v>
      </c>
      <c r="Q311" s="11">
        <f t="shared" si="9"/>
        <v>45</v>
      </c>
      <c r="S311" s="7" t="s">
        <v>34</v>
      </c>
      <c r="T311" s="4" t="s">
        <v>2333</v>
      </c>
      <c r="U311" s="47" t="s">
        <v>2566</v>
      </c>
      <c r="V311" s="48" t="s">
        <v>2379</v>
      </c>
      <c r="W311" s="7">
        <v>1</v>
      </c>
      <c r="X311" s="48"/>
      <c r="Y311" s="47" t="s">
        <v>1116</v>
      </c>
      <c r="Z311" s="4" t="s">
        <v>2392</v>
      </c>
      <c r="AA311" s="49" t="s">
        <v>2560</v>
      </c>
      <c r="AC311" s="49" t="s">
        <v>2460</v>
      </c>
      <c r="AD311" s="4" t="s">
        <v>664</v>
      </c>
      <c r="AE311" s="7">
        <v>2</v>
      </c>
      <c r="AG311" s="7">
        <v>0</v>
      </c>
      <c r="AK311" s="70">
        <f>Table43[[#This Row],[Column4]]</f>
        <v>30351050020010</v>
      </c>
      <c r="AN311" s="7">
        <f>Table43[[#This Row],[ISI/CTN]]</f>
        <v>144</v>
      </c>
      <c r="AO311" s="38">
        <f>Table43[[#This Row],[Harga Jual Pcs GT
(-PPN)]]-(Table43[[#This Row],[Harga Jual Pcs GT
(-PPN)]]*6.5%)</f>
        <v>5077.05</v>
      </c>
      <c r="AP311" s="38">
        <f>Table43[[#This Row],[Harga Beli Pcs
(-PPN)]]*Table43[[#This Row],[ISI/CTN]]</f>
        <v>731095.20000000007</v>
      </c>
      <c r="AQ311" s="38">
        <f>Table43[[#This Row],[Harga Beli Pcs
(-PPN)]]*1.11</f>
        <v>5635.5255000000006</v>
      </c>
      <c r="AR311" s="38">
        <f>Table43[[#This Row],[Harga Beli Krt
(- PPN)]]*1.11</f>
        <v>811515.67200000014</v>
      </c>
      <c r="AS311" s="38">
        <v>5430</v>
      </c>
      <c r="AT311" s="38">
        <f>Table43[[#This Row],[Harga Jual Pcs GT
(-PPN)]]*Table43[[#This Row],[ISI/CTN]]</f>
        <v>781920</v>
      </c>
      <c r="AU311" s="38">
        <f>Table43[[#This Row],[Harga Jual Pcs GT
(-PPN)]]*1.11</f>
        <v>6027.3</v>
      </c>
      <c r="AV311" s="38">
        <f>Table43[[#This Row],[Harga Jual Krt GT
(- PPN)]]*1.11</f>
        <v>867931.20000000007</v>
      </c>
      <c r="AW311" s="38">
        <f>IFERROR(VLOOKUP(Table43[[#This Row],[Kode Pcpl]],'[1]FEB 2026'!$A$3:$X$312,24,0),0)</f>
        <v>0</v>
      </c>
      <c r="AX311" s="38">
        <f>Table43[[#This Row],[Harga Jual Pcs MT
(-PPN)]]*Table43[[#This Row],[ISI/CTN]]</f>
        <v>0</v>
      </c>
      <c r="AY311" s="38">
        <f>Table43[[#This Row],[Harga Jual Pcs MT
(-PPN)]]*1.11</f>
        <v>0</v>
      </c>
      <c r="AZ311" s="38">
        <f>Table43[[#This Row],[Harga Jual Pcs MT
(+PPN)]]*Table43[[#This Row],[ISI/CTN]]</f>
        <v>0</v>
      </c>
      <c r="BA311" s="46">
        <f>(Table43[[#This Row],[Harga Jual Pcs GT
(-PPN)]]-Table43[[#This Row],[Harga Beli Pcs
(-PPN)]])/Table43[[#This Row],[Harga Jual Pcs GT
(-PPN)]]</f>
        <v>6.4999999999999961E-2</v>
      </c>
      <c r="BB311" s="53">
        <f>Table43[[#This Row],[Harga Jual Pcs MT
(-PPN)]]-Table43[[#This Row],[Harga Beli Pcs
(-PPN)]]</f>
        <v>-5077.05</v>
      </c>
      <c r="BC311" s="54" t="e">
        <f>Table43[[#This Row],[Column1]]/Table43[[#This Row],[Harga Jual Pcs MT
(-PPN)]]</f>
        <v>#DIV/0!</v>
      </c>
      <c r="BD311" s="52"/>
      <c r="BE311" s="7"/>
      <c r="BF311" s="7" t="str">
        <f ca="1">IF(TODAY()-Table43[[#This Row],[Efektif
Pembuatan]]&gt;60,"Lama","Baru")</f>
        <v>Lama</v>
      </c>
      <c r="BG311" s="7" t="str">
        <f ca="1">IF(TODAY()-Table43[[#This Row],[Efektif Naik Harga]]&lt;30,"Naik","Sama")</f>
        <v>Sama</v>
      </c>
      <c r="BH311" s="7"/>
      <c r="BI311" s="7" t="str">
        <f>IF(Table43[[#This Row],[Kode BARANG Win2]]&lt;&gt;"","IDR","")</f>
        <v>IDR</v>
      </c>
      <c r="BJ311" s="7" t="str">
        <f>CONCATENATE(Table43[[#This Row],[kode  1 Digit
(Nomor)]],Table43[[#This Row],[kode  4 Digit                (Nomor)]])</f>
        <v>0000</v>
      </c>
      <c r="BK311" s="7">
        <f>Table43[[#This Row],[Nama            Gramasi atau Jumlah Pack per CTN]]</f>
        <v>0</v>
      </c>
      <c r="BL311" s="7"/>
      <c r="BM311" s="7"/>
      <c r="BN311" s="4" t="str">
        <f>IF(Table43[[#This Row],[SATUAN Fix Win]]&lt;&gt;"","KRT")</f>
        <v>KRT</v>
      </c>
      <c r="BO311" s="4" t="str">
        <f>IF(Table43[[#This Row],[SATUAN Fix Win]]&lt;&gt;"","GD01")</f>
        <v>GD01</v>
      </c>
      <c r="BP311" s="4">
        <f>IF(Table43[[#This Row],[SATUAN Fix Win]]&lt;&gt;"",11611)</f>
        <v>11611</v>
      </c>
      <c r="BQ311" s="4">
        <f>IF(Table43[[#This Row],[SATUAN Fix Win]]&lt;&gt;"",11612)</f>
        <v>11612</v>
      </c>
      <c r="BS311" s="4">
        <f>IF(Table43[[#This Row],[SATUAN Fix Win]]&lt;&gt;"",1)</f>
        <v>1</v>
      </c>
      <c r="BU311" s="4">
        <f>Table43[[#This Row],[ISI/CTN]]</f>
        <v>144</v>
      </c>
    </row>
    <row r="312" spans="1:75" s="87" customFormat="1">
      <c r="A312" s="4" t="str">
        <f>CONCATENATE(Table43[[#This Row],[Kode BARANG Win2]],Table43[[#This Row],[No. Urut
Item Sama]])</f>
        <v>G1201014000020</v>
      </c>
      <c r="B312" s="7"/>
      <c r="C312" s="31">
        <v>30352060300020</v>
      </c>
      <c r="D312" s="51">
        <v>40060392</v>
      </c>
      <c r="E312" s="27" t="s">
        <v>2025</v>
      </c>
      <c r="F312" s="51">
        <v>30351050020020</v>
      </c>
      <c r="G312" s="51">
        <v>0</v>
      </c>
      <c r="H312" s="27" t="s">
        <v>1312</v>
      </c>
      <c r="I312" s="27">
        <v>144</v>
      </c>
      <c r="J312" s="51" t="s">
        <v>1713</v>
      </c>
      <c r="K312" s="60" t="str">
        <f>Table43[[#This Row],[NamaJenisKemasan]]</f>
        <v>SCH</v>
      </c>
      <c r="L312" s="4" t="str">
        <f>TRIM(CONCATENATE(Table43[[#This Row],[Nama            KLP]]," ",Table43[[#This Row],[Nama            Sub KLP]]))</f>
        <v>NYU CREME HAIR COLOUR</v>
      </c>
      <c r="M312" s="4" t="str">
        <f>CONCATENATE(Table43[[#This Row],[kode  2 Digit                (hrf+No)]],Table43[[#This Row],[kode  2 Digit                (Nomor)]],Table43[[#This Row],[kode  1 Digit                (Nomor)]])</f>
        <v>G1201</v>
      </c>
      <c r="N312" s="4" t="str">
        <f>IF(AI312="",CONCATENATE(S312,U312,W312,Y312,AA312,AC312,AE312,AG312,Table43[[#This Row],[Tanda Kode Revisi]]),CONCATENATE(S312,U312,W312,Y312,AA312,AC312,AE312,AI312))</f>
        <v>G1201014000020</v>
      </c>
      <c r="O312" s="11">
        <f t="shared" si="8"/>
        <v>14</v>
      </c>
      <c r="P312" s="14" t="str">
        <f>IF(AH312&lt;&gt;"",TRIM(UPPER(CONCATENATE(R312," ",T312," ",V312," ",X312," ",Z312," ",AB312," ","X"," ",Table43[[#This Row],[ISI/CTN]]," ",AH312," ",AD312," ",AF312," ",AJ312))),TRIM(UPPER(CONCATENATE(R312," ",T312," ",V312," ",X312," ",Z312," ",AB312," ","X"," ",Table43[[#This Row],[ISI/CTN]]," ",AD312," ",AF312," ",AJ312))))</f>
        <v>NYU CREME HAIR COLOUR NATURAL BLACK X 144 SCH</v>
      </c>
      <c r="Q312" s="11">
        <f t="shared" si="9"/>
        <v>45</v>
      </c>
      <c r="R312" s="4"/>
      <c r="S312" s="7" t="s">
        <v>34</v>
      </c>
      <c r="T312" s="4" t="s">
        <v>2333</v>
      </c>
      <c r="U312" s="47" t="s">
        <v>2566</v>
      </c>
      <c r="V312" s="48" t="s">
        <v>2379</v>
      </c>
      <c r="W312" s="7">
        <v>1</v>
      </c>
      <c r="X312" s="48"/>
      <c r="Y312" s="47" t="s">
        <v>1116</v>
      </c>
      <c r="Z312" s="4" t="s">
        <v>2392</v>
      </c>
      <c r="AA312" s="49" t="s">
        <v>2560</v>
      </c>
      <c r="AB312" s="4"/>
      <c r="AC312" s="49" t="s">
        <v>2460</v>
      </c>
      <c r="AD312" s="4" t="s">
        <v>664</v>
      </c>
      <c r="AE312" s="7">
        <v>2</v>
      </c>
      <c r="AF312" s="4"/>
      <c r="AG312" s="7">
        <v>0</v>
      </c>
      <c r="AH312" s="7"/>
      <c r="AI312" s="7"/>
      <c r="AJ312" s="7"/>
      <c r="AK312" s="70">
        <f>Table43[[#This Row],[Column4]]</f>
        <v>30351050020020</v>
      </c>
      <c r="AL312" s="7"/>
      <c r="AM312" s="7"/>
      <c r="AN312" s="7">
        <f>Table43[[#This Row],[ISI/CTN]]</f>
        <v>144</v>
      </c>
      <c r="AO312" s="38">
        <f>Table43[[#This Row],[Harga Jual Pcs GT
(-PPN)]]-(Table43[[#This Row],[Harga Jual Pcs GT
(-PPN)]]*6.5%)</f>
        <v>5077.05</v>
      </c>
      <c r="AP312" s="38">
        <f>Table43[[#This Row],[Harga Beli Pcs
(-PPN)]]*Table43[[#This Row],[ISI/CTN]]</f>
        <v>731095.20000000007</v>
      </c>
      <c r="AQ312" s="38">
        <f>Table43[[#This Row],[Harga Beli Pcs
(-PPN)]]*1.11</f>
        <v>5635.5255000000006</v>
      </c>
      <c r="AR312" s="38">
        <f>Table43[[#This Row],[Harga Beli Krt
(- PPN)]]*1.11</f>
        <v>811515.67200000014</v>
      </c>
      <c r="AS312" s="38">
        <v>5430</v>
      </c>
      <c r="AT312" s="38">
        <f>Table43[[#This Row],[Harga Jual Pcs GT
(-PPN)]]*Table43[[#This Row],[ISI/CTN]]</f>
        <v>781920</v>
      </c>
      <c r="AU312" s="38">
        <f>Table43[[#This Row],[Harga Jual Pcs GT
(-PPN)]]*1.11</f>
        <v>6027.3</v>
      </c>
      <c r="AV312" s="38">
        <f>Table43[[#This Row],[Harga Jual Krt GT
(- PPN)]]*1.11</f>
        <v>867931.20000000007</v>
      </c>
      <c r="AW312" s="38">
        <f>IFERROR(VLOOKUP(Table43[[#This Row],[Kode Pcpl]],'[1]FEB 2026'!$A$3:$X$312,24,0),0)</f>
        <v>0</v>
      </c>
      <c r="AX312" s="38">
        <f>Table43[[#This Row],[Harga Jual Pcs MT
(-PPN)]]*Table43[[#This Row],[ISI/CTN]]</f>
        <v>0</v>
      </c>
      <c r="AY312" s="38">
        <f>Table43[[#This Row],[Harga Jual Pcs MT
(-PPN)]]*1.11</f>
        <v>0</v>
      </c>
      <c r="AZ312" s="38">
        <f>Table43[[#This Row],[Harga Jual Pcs MT
(+PPN)]]*Table43[[#This Row],[ISI/CTN]]</f>
        <v>0</v>
      </c>
      <c r="BA312" s="46">
        <f>(Table43[[#This Row],[Harga Jual Pcs GT
(-PPN)]]-Table43[[#This Row],[Harga Beli Pcs
(-PPN)]])/Table43[[#This Row],[Harga Jual Pcs GT
(-PPN)]]</f>
        <v>6.4999999999999961E-2</v>
      </c>
      <c r="BB312" s="53">
        <f>Table43[[#This Row],[Harga Jual Pcs MT
(-PPN)]]-Table43[[#This Row],[Harga Beli Pcs
(-PPN)]]</f>
        <v>-5077.05</v>
      </c>
      <c r="BC312" s="54" t="e">
        <f>Table43[[#This Row],[Column1]]/Table43[[#This Row],[Harga Jual Pcs MT
(-PPN)]]</f>
        <v>#DIV/0!</v>
      </c>
      <c r="BD312" s="52"/>
      <c r="BE312" s="7"/>
      <c r="BF312" s="7" t="str">
        <f ca="1">IF(TODAY()-Table43[[#This Row],[Efektif
Pembuatan]]&gt;60,"Lama","Baru")</f>
        <v>Lama</v>
      </c>
      <c r="BG312" s="7" t="str">
        <f ca="1">IF(TODAY()-Table43[[#This Row],[Efektif Naik Harga]]&lt;30,"Naik","Sama")</f>
        <v>Sama</v>
      </c>
      <c r="BH312" s="7"/>
      <c r="BI312" s="7" t="str">
        <f>IF(Table43[[#This Row],[Kode BARANG Win2]]&lt;&gt;"","IDR","")</f>
        <v>IDR</v>
      </c>
      <c r="BJ312" s="7" t="str">
        <f>CONCATENATE(Table43[[#This Row],[kode  1 Digit
(Nomor)]],Table43[[#This Row],[kode  4 Digit                (Nomor)]])</f>
        <v>0000</v>
      </c>
      <c r="BK312" s="7">
        <f>Table43[[#This Row],[Nama            Gramasi atau Jumlah Pack per CTN]]</f>
        <v>0</v>
      </c>
      <c r="BL312" s="7"/>
      <c r="BM312" s="7"/>
      <c r="BN312" s="4" t="str">
        <f>IF(Table43[[#This Row],[SATUAN Fix Win]]&lt;&gt;"","KRT")</f>
        <v>KRT</v>
      </c>
      <c r="BO312" s="4" t="str">
        <f>IF(Table43[[#This Row],[SATUAN Fix Win]]&lt;&gt;"","GD01")</f>
        <v>GD01</v>
      </c>
      <c r="BP312" s="4">
        <f>IF(Table43[[#This Row],[SATUAN Fix Win]]&lt;&gt;"",11611)</f>
        <v>11611</v>
      </c>
      <c r="BQ312" s="4">
        <f>IF(Table43[[#This Row],[SATUAN Fix Win]]&lt;&gt;"",11612)</f>
        <v>11612</v>
      </c>
      <c r="BR312" s="4"/>
      <c r="BS312" s="4">
        <f>IF(Table43[[#This Row],[SATUAN Fix Win]]&lt;&gt;"",1)</f>
        <v>1</v>
      </c>
      <c r="BT312" s="4"/>
      <c r="BU312" s="4">
        <f>Table43[[#This Row],[ISI/CTN]]</f>
        <v>144</v>
      </c>
      <c r="BV312" s="71"/>
      <c r="BW312" s="71"/>
    </row>
    <row r="313" spans="1:75">
      <c r="A313" s="4" t="str">
        <f>CONCATENATE(Table43[[#This Row],[Kode BARANG Win2]],Table43[[#This Row],[No. Urut
Item Sama]])</f>
        <v>G1201015000010</v>
      </c>
      <c r="B313" s="7"/>
      <c r="C313" s="31">
        <v>30360080000000</v>
      </c>
      <c r="D313" s="51">
        <v>40028482</v>
      </c>
      <c r="E313" s="27" t="s">
        <v>2031</v>
      </c>
      <c r="F313" s="51">
        <v>30351090150000</v>
      </c>
      <c r="G313" s="51">
        <v>0</v>
      </c>
      <c r="H313" s="27" t="s">
        <v>1318</v>
      </c>
      <c r="I313" s="27">
        <v>24</v>
      </c>
      <c r="J313" s="51" t="s">
        <v>1719</v>
      </c>
      <c r="K313" s="27" t="str">
        <f>Table43[[#This Row],[NamaJenisKemasan]]</f>
        <v>BOX</v>
      </c>
      <c r="L313" s="4" t="str">
        <f>TRIM(CONCATENATE(Table43[[#This Row],[Nama            KLP]]," ",Table43[[#This Row],[Nama            Sub KLP]]))</f>
        <v>NYU CREME HAIR COLOUR</v>
      </c>
      <c r="M313" s="4" t="str">
        <f>CONCATENATE(Table43[[#This Row],[kode  2 Digit                (hrf+No)]],Table43[[#This Row],[kode  2 Digit                (Nomor)]],Table43[[#This Row],[kode  1 Digit                (Nomor)]])</f>
        <v>G1201</v>
      </c>
      <c r="N313" s="4" t="str">
        <f>IF(AI313="",CONCATENATE(S313,U313,W313,Y313,AA313,AC313,AE313,AG313,Table43[[#This Row],[Tanda Kode Revisi]]),CONCATENATE(S313,U313,W313,Y313,AA313,AC313,AE313,AI313))</f>
        <v>G1201015000010</v>
      </c>
      <c r="O313" s="11">
        <f t="shared" si="8"/>
        <v>14</v>
      </c>
      <c r="P313" s="14" t="str">
        <f>IF(AH313&lt;&gt;"",TRIM(UPPER(CONCATENATE(R313," ",T313," ",V313," ",X313," ",Z313," ",AB313," ","X"," ",Table43[[#This Row],[ISI/CTN]]," ",AH313," ",AD313," ",AF313," ",AJ313))),TRIM(UPPER(CONCATENATE(R313," ",T313," ",V313," ",X313," ",Z313," ",AB313," ","X"," ",Table43[[#This Row],[ISI/CTN]]," ",AD313," ",AF313," ",AJ313))))</f>
        <v>NYU CREME HAIR COLOUR NATURAL BLEACH X 24 BOX</v>
      </c>
      <c r="Q313" s="11">
        <f t="shared" si="9"/>
        <v>45</v>
      </c>
      <c r="S313" s="7" t="s">
        <v>34</v>
      </c>
      <c r="T313" s="4" t="s">
        <v>2333</v>
      </c>
      <c r="U313" s="47" t="s">
        <v>2566</v>
      </c>
      <c r="V313" s="48" t="s">
        <v>2379</v>
      </c>
      <c r="W313" s="7">
        <v>1</v>
      </c>
      <c r="X313" s="48"/>
      <c r="Y313" s="47" t="s">
        <v>1116</v>
      </c>
      <c r="Z313" s="4" t="s">
        <v>2400</v>
      </c>
      <c r="AA313" s="49" t="s">
        <v>2561</v>
      </c>
      <c r="AC313" s="49" t="s">
        <v>2460</v>
      </c>
      <c r="AD313" s="4" t="s">
        <v>662</v>
      </c>
      <c r="AE313" s="7">
        <v>1</v>
      </c>
      <c r="AG313" s="7">
        <v>0</v>
      </c>
      <c r="AK313" s="70">
        <f>Table43[[#This Row],[Column4]]</f>
        <v>30351090150000</v>
      </c>
      <c r="AN313" s="7">
        <f>Table43[[#This Row],[ISI/CTN]]</f>
        <v>24</v>
      </c>
      <c r="AO313" s="38">
        <f>Table43[[#This Row],[Harga Jual Pcs GT
(-PPN)]]-(Table43[[#This Row],[Harga Jual Pcs GT
(-PPN)]]*6.5%)</f>
        <v>12996.5</v>
      </c>
      <c r="AP313" s="38">
        <f>Table43[[#This Row],[Harga Beli Pcs
(-PPN)]]*Table43[[#This Row],[ISI/CTN]]</f>
        <v>311916</v>
      </c>
      <c r="AQ313" s="38">
        <f>Table43[[#This Row],[Harga Beli Pcs
(-PPN)]]*1.11</f>
        <v>14426.115000000002</v>
      </c>
      <c r="AR313" s="38">
        <f>Table43[[#This Row],[Harga Beli Krt
(- PPN)]]*1.11</f>
        <v>346226.76</v>
      </c>
      <c r="AS313" s="38">
        <v>13900</v>
      </c>
      <c r="AT313" s="38">
        <f>Table43[[#This Row],[Harga Jual Pcs GT
(-PPN)]]*Table43[[#This Row],[ISI/CTN]]</f>
        <v>333600</v>
      </c>
      <c r="AU313" s="38">
        <f>Table43[[#This Row],[Harga Jual Pcs GT
(-PPN)]]*1.11</f>
        <v>15429.000000000002</v>
      </c>
      <c r="AV313" s="38">
        <f>Table43[[#This Row],[Harga Jual Krt GT
(- PPN)]]*1.11</f>
        <v>370296.00000000006</v>
      </c>
      <c r="AW313" s="38">
        <f>IFERROR(VLOOKUP(Table43[[#This Row],[Kode Pcpl]],'[1]FEB 2026'!$A$3:$X$312,24,0),0)</f>
        <v>0</v>
      </c>
      <c r="AX313" s="38">
        <f>Table43[[#This Row],[Harga Jual Pcs MT
(-PPN)]]*Table43[[#This Row],[ISI/CTN]]</f>
        <v>0</v>
      </c>
      <c r="AY313" s="38">
        <f>Table43[[#This Row],[Harga Jual Pcs MT
(-PPN)]]*1.11</f>
        <v>0</v>
      </c>
      <c r="AZ313" s="38">
        <f>Table43[[#This Row],[Harga Jual Pcs MT
(+PPN)]]*Table43[[#This Row],[ISI/CTN]]</f>
        <v>0</v>
      </c>
      <c r="BA313" s="46">
        <f>(Table43[[#This Row],[Harga Jual Pcs GT
(-PPN)]]-Table43[[#This Row],[Harga Beli Pcs
(-PPN)]])/Table43[[#This Row],[Harga Jual Pcs GT
(-PPN)]]</f>
        <v>6.5000000000000002E-2</v>
      </c>
      <c r="BB313" s="53">
        <f>Table43[[#This Row],[Harga Jual Pcs MT
(-PPN)]]-Table43[[#This Row],[Harga Beli Pcs
(-PPN)]]</f>
        <v>-12996.5</v>
      </c>
      <c r="BC313" s="54" t="e">
        <f>Table43[[#This Row],[Column1]]/Table43[[#This Row],[Harga Jual Pcs MT
(-PPN)]]</f>
        <v>#DIV/0!</v>
      </c>
      <c r="BD313" s="52"/>
      <c r="BE313" s="7"/>
      <c r="BF313" s="7" t="str">
        <f ca="1">IF(TODAY()-Table43[[#This Row],[Efektif
Pembuatan]]&gt;60,"Lama","Baru")</f>
        <v>Lama</v>
      </c>
      <c r="BG313" s="7" t="str">
        <f ca="1">IF(TODAY()-Table43[[#This Row],[Efektif Naik Harga]]&lt;30,"Naik","Sama")</f>
        <v>Sama</v>
      </c>
      <c r="BH313" s="7"/>
      <c r="BI313" s="7" t="str">
        <f>IF(Table43[[#This Row],[Kode BARANG Win2]]&lt;&gt;"","IDR","")</f>
        <v>IDR</v>
      </c>
      <c r="BJ313" s="7" t="str">
        <f>CONCATENATE(Table43[[#This Row],[kode  1 Digit
(Nomor)]],Table43[[#This Row],[kode  4 Digit                (Nomor)]])</f>
        <v>0000</v>
      </c>
      <c r="BK313" s="7">
        <f>Table43[[#This Row],[Nama            Gramasi atau Jumlah Pack per CTN]]</f>
        <v>0</v>
      </c>
      <c r="BL313" s="7"/>
      <c r="BM313" s="7"/>
      <c r="BN313" s="4" t="str">
        <f>IF(Table43[[#This Row],[SATUAN Fix Win]]&lt;&gt;"","KRT")</f>
        <v>KRT</v>
      </c>
      <c r="BO313" s="4" t="str">
        <f>IF(Table43[[#This Row],[SATUAN Fix Win]]&lt;&gt;"","GD01")</f>
        <v>GD01</v>
      </c>
      <c r="BP313" s="4">
        <f>IF(Table43[[#This Row],[SATUAN Fix Win]]&lt;&gt;"",11611)</f>
        <v>11611</v>
      </c>
      <c r="BQ313" s="4">
        <f>IF(Table43[[#This Row],[SATUAN Fix Win]]&lt;&gt;"",11612)</f>
        <v>11612</v>
      </c>
      <c r="BS313" s="4">
        <f>IF(Table43[[#This Row],[SATUAN Fix Win]]&lt;&gt;"",1)</f>
        <v>1</v>
      </c>
      <c r="BU313" s="4">
        <f>Table43[[#This Row],[ISI/CTN]]</f>
        <v>24</v>
      </c>
    </row>
    <row r="314" spans="1:75">
      <c r="A314" s="4" t="str">
        <f>CONCATENATE(Table43[[#This Row],[Kode BARANG Win2]],Table43[[#This Row],[No. Urut
Item Sama]])</f>
        <v>G1201016000010</v>
      </c>
      <c r="B314" s="7"/>
      <c r="C314" s="31">
        <v>30352020300020</v>
      </c>
      <c r="D314" s="51">
        <v>40023334</v>
      </c>
      <c r="E314" s="27" t="s">
        <v>2029</v>
      </c>
      <c r="F314" s="51">
        <v>30351060150000</v>
      </c>
      <c r="G314" s="51">
        <v>0</v>
      </c>
      <c r="H314" s="27" t="s">
        <v>1316</v>
      </c>
      <c r="I314" s="27">
        <v>24</v>
      </c>
      <c r="J314" s="51" t="s">
        <v>1717</v>
      </c>
      <c r="K314" s="27" t="str">
        <f>Table43[[#This Row],[NamaJenisKemasan]]</f>
        <v>BOX</v>
      </c>
      <c r="L314" s="4" t="str">
        <f>TRIM(CONCATENATE(Table43[[#This Row],[Nama            KLP]]," ",Table43[[#This Row],[Nama            Sub KLP]]))</f>
        <v>NYU CREME HAIR COLOUR</v>
      </c>
      <c r="M314" s="4" t="str">
        <f>CONCATENATE(Table43[[#This Row],[kode  2 Digit                (hrf+No)]],Table43[[#This Row],[kode  2 Digit                (Nomor)]],Table43[[#This Row],[kode  1 Digit                (Nomor)]])</f>
        <v>G1201</v>
      </c>
      <c r="N314" s="4" t="str">
        <f>IF(AI314="",CONCATENATE(S314,U314,W314,Y314,AA314,AC314,AE314,AG314,Table43[[#This Row],[Tanda Kode Revisi]]),CONCATENATE(S314,U314,W314,Y314,AA314,AC314,AE314,AI314))</f>
        <v>G1201016000010</v>
      </c>
      <c r="O314" s="11">
        <f t="shared" si="8"/>
        <v>14</v>
      </c>
      <c r="P314" s="14" t="str">
        <f>IF(AH314&lt;&gt;"",TRIM(UPPER(CONCATENATE(R314," ",T314," ",V314," ",X314," ",Z314," ",AB314," ","X"," ",Table43[[#This Row],[ISI/CTN]]," ",AH314," ",AD314," ",AF314," ",AJ314))),TRIM(UPPER(CONCATENATE(R314," ",T314," ",V314," ",X314," ",Z314," ",AB314," ","X"," ",Table43[[#This Row],[ISI/CTN]]," ",AD314," ",AF314," ",AJ314))))</f>
        <v>NYU CREME HAIR COLOUR NATURAL BROWN X 24 BOX</v>
      </c>
      <c r="Q314" s="11">
        <f t="shared" si="9"/>
        <v>44</v>
      </c>
      <c r="S314" s="7" t="s">
        <v>34</v>
      </c>
      <c r="T314" s="4" t="s">
        <v>2333</v>
      </c>
      <c r="U314" s="47" t="s">
        <v>2566</v>
      </c>
      <c r="V314" s="48" t="s">
        <v>2379</v>
      </c>
      <c r="W314" s="7">
        <v>1</v>
      </c>
      <c r="X314" s="48"/>
      <c r="Y314" s="47" t="s">
        <v>1116</v>
      </c>
      <c r="Z314" s="4" t="s">
        <v>2393</v>
      </c>
      <c r="AA314" s="49" t="s">
        <v>2562</v>
      </c>
      <c r="AC314" s="49" t="s">
        <v>2460</v>
      </c>
      <c r="AD314" s="4" t="s">
        <v>662</v>
      </c>
      <c r="AE314" s="7">
        <v>1</v>
      </c>
      <c r="AG314" s="7">
        <v>0</v>
      </c>
      <c r="AK314" s="70">
        <f>Table43[[#This Row],[Column4]]</f>
        <v>30351060150000</v>
      </c>
      <c r="AN314" s="7">
        <f>Table43[[#This Row],[ISI/CTN]]</f>
        <v>24</v>
      </c>
      <c r="AO314" s="38">
        <f>Table43[[#This Row],[Harga Jual Pcs GT
(-PPN)]]-(Table43[[#This Row],[Harga Jual Pcs GT
(-PPN)]]*6.5%)</f>
        <v>12996.5</v>
      </c>
      <c r="AP314" s="38">
        <f>Table43[[#This Row],[Harga Beli Pcs
(-PPN)]]*Table43[[#This Row],[ISI/CTN]]</f>
        <v>311916</v>
      </c>
      <c r="AQ314" s="38">
        <f>Table43[[#This Row],[Harga Beli Pcs
(-PPN)]]*1.11</f>
        <v>14426.115000000002</v>
      </c>
      <c r="AR314" s="38">
        <f>Table43[[#This Row],[Harga Beli Krt
(- PPN)]]*1.11</f>
        <v>346226.76</v>
      </c>
      <c r="AS314" s="38">
        <v>13900</v>
      </c>
      <c r="AT314" s="38">
        <f>Table43[[#This Row],[Harga Jual Pcs GT
(-PPN)]]*Table43[[#This Row],[ISI/CTN]]</f>
        <v>333600</v>
      </c>
      <c r="AU314" s="38">
        <f>Table43[[#This Row],[Harga Jual Pcs GT
(-PPN)]]*1.11</f>
        <v>15429.000000000002</v>
      </c>
      <c r="AV314" s="38">
        <f>Table43[[#This Row],[Harga Jual Krt GT
(- PPN)]]*1.11</f>
        <v>370296.00000000006</v>
      </c>
      <c r="AW314" s="38">
        <f>IFERROR(VLOOKUP(Table43[[#This Row],[Kode Pcpl]],'[1]FEB 2026'!$A$3:$X$312,24,0),0)</f>
        <v>0</v>
      </c>
      <c r="AX314" s="38">
        <f>Table43[[#This Row],[Harga Jual Pcs MT
(-PPN)]]*Table43[[#This Row],[ISI/CTN]]</f>
        <v>0</v>
      </c>
      <c r="AY314" s="38">
        <f>Table43[[#This Row],[Harga Jual Pcs MT
(-PPN)]]*1.11</f>
        <v>0</v>
      </c>
      <c r="AZ314" s="38">
        <f>Table43[[#This Row],[Harga Jual Pcs MT
(+PPN)]]*Table43[[#This Row],[ISI/CTN]]</f>
        <v>0</v>
      </c>
      <c r="BA314" s="46">
        <f>(Table43[[#This Row],[Harga Jual Pcs GT
(-PPN)]]-Table43[[#This Row],[Harga Beli Pcs
(-PPN)]])/Table43[[#This Row],[Harga Jual Pcs GT
(-PPN)]]</f>
        <v>6.5000000000000002E-2</v>
      </c>
      <c r="BB314" s="53">
        <f>Table43[[#This Row],[Harga Jual Pcs MT
(-PPN)]]-Table43[[#This Row],[Harga Beli Pcs
(-PPN)]]</f>
        <v>-12996.5</v>
      </c>
      <c r="BC314" s="54" t="e">
        <f>Table43[[#This Row],[Column1]]/Table43[[#This Row],[Harga Jual Pcs MT
(-PPN)]]</f>
        <v>#DIV/0!</v>
      </c>
      <c r="BD314" s="52"/>
      <c r="BE314" s="7"/>
      <c r="BF314" s="7" t="str">
        <f ca="1">IF(TODAY()-Table43[[#This Row],[Efektif
Pembuatan]]&gt;60,"Lama","Baru")</f>
        <v>Lama</v>
      </c>
      <c r="BG314" s="7" t="str">
        <f ca="1">IF(TODAY()-Table43[[#This Row],[Efektif Naik Harga]]&lt;30,"Naik","Sama")</f>
        <v>Sama</v>
      </c>
      <c r="BH314" s="7"/>
      <c r="BI314" s="7" t="str">
        <f>IF(Table43[[#This Row],[Kode BARANG Win2]]&lt;&gt;"","IDR","")</f>
        <v>IDR</v>
      </c>
      <c r="BJ314" s="7" t="str">
        <f>CONCATENATE(Table43[[#This Row],[kode  1 Digit
(Nomor)]],Table43[[#This Row],[kode  4 Digit                (Nomor)]])</f>
        <v>0000</v>
      </c>
      <c r="BK314" s="7">
        <f>Table43[[#This Row],[Nama            Gramasi atau Jumlah Pack per CTN]]</f>
        <v>0</v>
      </c>
      <c r="BL314" s="7"/>
      <c r="BM314" s="7"/>
      <c r="BN314" s="4" t="str">
        <f>IF(Table43[[#This Row],[SATUAN Fix Win]]&lt;&gt;"","KRT")</f>
        <v>KRT</v>
      </c>
      <c r="BO314" s="4" t="str">
        <f>IF(Table43[[#This Row],[SATUAN Fix Win]]&lt;&gt;"","GD01")</f>
        <v>GD01</v>
      </c>
      <c r="BP314" s="4">
        <f>IF(Table43[[#This Row],[SATUAN Fix Win]]&lt;&gt;"",11611)</f>
        <v>11611</v>
      </c>
      <c r="BQ314" s="4">
        <f>IF(Table43[[#This Row],[SATUAN Fix Win]]&lt;&gt;"",11612)</f>
        <v>11612</v>
      </c>
      <c r="BS314" s="4">
        <f>IF(Table43[[#This Row],[SATUAN Fix Win]]&lt;&gt;"",1)</f>
        <v>1</v>
      </c>
      <c r="BU314" s="4">
        <f>Table43[[#This Row],[ISI/CTN]]</f>
        <v>24</v>
      </c>
    </row>
    <row r="315" spans="1:75">
      <c r="A315" s="4" t="str">
        <f>CONCATENATE(Table43[[#This Row],[Kode BARANG Win2]],Table43[[#This Row],[No. Urut
Item Sama]])</f>
        <v>G1201016000010</v>
      </c>
      <c r="B315" s="7"/>
      <c r="C315" s="31"/>
      <c r="D315" s="51">
        <v>40017266</v>
      </c>
      <c r="E315" s="27"/>
      <c r="F315" s="51"/>
      <c r="G315" s="51"/>
      <c r="H315" s="27"/>
      <c r="I315" s="27">
        <v>24</v>
      </c>
      <c r="J315" s="51"/>
      <c r="K315" s="27" t="str">
        <f>Table43[[#This Row],[NamaJenisKemasan]]</f>
        <v>BOX</v>
      </c>
      <c r="L315" s="4" t="str">
        <f>TRIM(CONCATENATE(Table43[[#This Row],[Nama            KLP]]," ",Table43[[#This Row],[Nama            Sub KLP]]))</f>
        <v>NYU CREME HAIR COLOUR</v>
      </c>
      <c r="M315" s="4" t="str">
        <f>CONCATENATE(Table43[[#This Row],[kode  2 Digit                (hrf+No)]],Table43[[#This Row],[kode  2 Digit                (Nomor)]],Table43[[#This Row],[kode  1 Digit                (Nomor)]])</f>
        <v>G1201</v>
      </c>
      <c r="N315" s="4" t="str">
        <f>IF(AI315="",CONCATENATE(S315,U315,W315,Y315,AA315,AC315,AE315,AG315,Table43[[#This Row],[Tanda Kode Revisi]]),CONCATENATE(S315,U315,W315,Y315,AA315,AC315,AE315,AI315))</f>
        <v>G1201016000010</v>
      </c>
      <c r="O315" s="11">
        <f t="shared" si="8"/>
        <v>14</v>
      </c>
      <c r="P315" s="14" t="str">
        <f>IF(AH315&lt;&gt;"",TRIM(UPPER(CONCATENATE(R315," ",T315," ",V315," ",X315," ",Z315," ",AB315," ","X"," ",Table43[[#This Row],[ISI/CTN]]," ",AH315," ",AD315," ",AF315," ",AJ315))),TRIM(UPPER(CONCATENATE(R315," ",T315," ",V315," ",X315," ",Z315," ",AB315," ","X"," ",Table43[[#This Row],[ISI/CTN]]," ",AD315," ",AF315," ",AJ315))))</f>
        <v>NYU CREME HAIR COLOUR NATURAL BROWN X 24 BOX</v>
      </c>
      <c r="Q315" s="11">
        <f t="shared" si="9"/>
        <v>44</v>
      </c>
      <c r="S315" s="7" t="s">
        <v>34</v>
      </c>
      <c r="T315" s="4" t="s">
        <v>2333</v>
      </c>
      <c r="U315" s="47" t="s">
        <v>2566</v>
      </c>
      <c r="V315" s="48" t="s">
        <v>2379</v>
      </c>
      <c r="W315" s="7">
        <v>1</v>
      </c>
      <c r="X315" s="48"/>
      <c r="Y315" s="47" t="s">
        <v>1116</v>
      </c>
      <c r="Z315" s="4" t="s">
        <v>2393</v>
      </c>
      <c r="AA315" s="49" t="s">
        <v>2562</v>
      </c>
      <c r="AC315" s="49" t="s">
        <v>2460</v>
      </c>
      <c r="AD315" s="4" t="s">
        <v>662</v>
      </c>
      <c r="AE315" s="7">
        <v>1</v>
      </c>
      <c r="AG315" s="7">
        <v>0</v>
      </c>
      <c r="AK315" s="70">
        <f>Table43[[#This Row],[Column4]]</f>
        <v>0</v>
      </c>
      <c r="AN315" s="7">
        <f>Table43[[#This Row],[ISI/CTN]]</f>
        <v>24</v>
      </c>
      <c r="AO315" s="38">
        <f>Table43[[#This Row],[Harga Jual Pcs GT
(-PPN)]]-(Table43[[#This Row],[Harga Jual Pcs GT
(-PPN)]]*6.5%)</f>
        <v>12996.5</v>
      </c>
      <c r="AP315" s="38">
        <f>Table43[[#This Row],[Harga Beli Pcs
(-PPN)]]*Table43[[#This Row],[ISI/CTN]]</f>
        <v>311916</v>
      </c>
      <c r="AQ315" s="38">
        <f>Table43[[#This Row],[Harga Beli Pcs
(-PPN)]]*1.11</f>
        <v>14426.115000000002</v>
      </c>
      <c r="AR315" s="38">
        <f>Table43[[#This Row],[Harga Beli Krt
(- PPN)]]*1.11</f>
        <v>346226.76</v>
      </c>
      <c r="AS315" s="38">
        <v>13900</v>
      </c>
      <c r="AT315" s="38">
        <f>Table43[[#This Row],[Harga Jual Pcs GT
(-PPN)]]*Table43[[#This Row],[ISI/CTN]]</f>
        <v>333600</v>
      </c>
      <c r="AU315" s="38">
        <f>Table43[[#This Row],[Harga Jual Pcs GT
(-PPN)]]*1.11</f>
        <v>15429.000000000002</v>
      </c>
      <c r="AV315" s="38">
        <f>Table43[[#This Row],[Harga Jual Krt GT
(- PPN)]]*1.11</f>
        <v>370296.00000000006</v>
      </c>
      <c r="AW315" s="38">
        <f>IFERROR(VLOOKUP(Table43[[#This Row],[Kode Pcpl]],'[1]FEB 2026'!$A$3:$X$312,24,0),0)</f>
        <v>0</v>
      </c>
      <c r="AX315" s="38">
        <f>Table43[[#This Row],[Harga Jual Pcs MT
(-PPN)]]*Table43[[#This Row],[ISI/CTN]]</f>
        <v>0</v>
      </c>
      <c r="AY315" s="38">
        <f>Table43[[#This Row],[Harga Jual Pcs MT
(-PPN)]]*1.11</f>
        <v>0</v>
      </c>
      <c r="AZ315" s="38">
        <f>Table43[[#This Row],[Harga Jual Pcs MT
(+PPN)]]*Table43[[#This Row],[ISI/CTN]]</f>
        <v>0</v>
      </c>
      <c r="BA315" s="46">
        <f>(Table43[[#This Row],[Harga Jual Pcs GT
(-PPN)]]-Table43[[#This Row],[Harga Beli Pcs
(-PPN)]])/Table43[[#This Row],[Harga Jual Pcs GT
(-PPN)]]</f>
        <v>6.5000000000000002E-2</v>
      </c>
      <c r="BB315" s="53">
        <f>Table43[[#This Row],[Harga Jual Pcs MT
(-PPN)]]-Table43[[#This Row],[Harga Beli Pcs
(-PPN)]]</f>
        <v>-12996.5</v>
      </c>
      <c r="BC315" s="54" t="e">
        <f>Table43[[#This Row],[Column1]]/Table43[[#This Row],[Harga Jual Pcs MT
(-PPN)]]</f>
        <v>#DIV/0!</v>
      </c>
      <c r="BD315" s="52"/>
      <c r="BE315" s="7"/>
      <c r="BF315" s="7" t="str">
        <f ca="1">IF(TODAY()-Table43[[#This Row],[Efektif
Pembuatan]]&gt;60,"Lama","Baru")</f>
        <v>Lama</v>
      </c>
      <c r="BG315" s="7" t="str">
        <f ca="1">IF(TODAY()-Table43[[#This Row],[Efektif Naik Harga]]&lt;30,"Naik","Sama")</f>
        <v>Sama</v>
      </c>
      <c r="BH315" s="7"/>
      <c r="BI315" s="7" t="str">
        <f>IF(Table43[[#This Row],[Kode BARANG Win2]]&lt;&gt;"","IDR","")</f>
        <v>IDR</v>
      </c>
      <c r="BJ315" s="7" t="str">
        <f>CONCATENATE(Table43[[#This Row],[kode  1 Digit
(Nomor)]],Table43[[#This Row],[kode  4 Digit                (Nomor)]])</f>
        <v>0000</v>
      </c>
      <c r="BK315" s="7">
        <f>Table43[[#This Row],[Nama            Gramasi atau Jumlah Pack per CTN]]</f>
        <v>0</v>
      </c>
      <c r="BL315" s="7"/>
      <c r="BM315" s="7"/>
      <c r="BN315" s="4" t="str">
        <f>IF(Table43[[#This Row],[SATUAN Fix Win]]&lt;&gt;"","KRT")</f>
        <v>KRT</v>
      </c>
      <c r="BO315" s="4" t="str">
        <f>IF(Table43[[#This Row],[SATUAN Fix Win]]&lt;&gt;"","GD01")</f>
        <v>GD01</v>
      </c>
      <c r="BP315" s="4">
        <f>IF(Table43[[#This Row],[SATUAN Fix Win]]&lt;&gt;"",11611)</f>
        <v>11611</v>
      </c>
      <c r="BQ315" s="4">
        <f>IF(Table43[[#This Row],[SATUAN Fix Win]]&lt;&gt;"",11612)</f>
        <v>11612</v>
      </c>
      <c r="BS315" s="4">
        <f>IF(Table43[[#This Row],[SATUAN Fix Win]]&lt;&gt;"",1)</f>
        <v>1</v>
      </c>
      <c r="BU315" s="4">
        <f>Table43[[#This Row],[ISI/CTN]]</f>
        <v>24</v>
      </c>
    </row>
    <row r="316" spans="1:75">
      <c r="A316" s="4" t="str">
        <f>CONCATENATE(Table43[[#This Row],[Kode BARANG Win2]],Table43[[#This Row],[No. Urut
Item Sama]])</f>
        <v>G1201016000020</v>
      </c>
      <c r="B316" s="7"/>
      <c r="C316" s="31">
        <v>30352060300020</v>
      </c>
      <c r="D316" s="59">
        <v>40037721</v>
      </c>
      <c r="E316" s="60" t="s">
        <v>2028</v>
      </c>
      <c r="F316" s="59">
        <v>30351060020010</v>
      </c>
      <c r="G316" s="59">
        <v>0</v>
      </c>
      <c r="H316" s="60" t="s">
        <v>1315</v>
      </c>
      <c r="I316" s="60">
        <v>144</v>
      </c>
      <c r="J316" s="59" t="s">
        <v>1716</v>
      </c>
      <c r="K316" s="60" t="str">
        <f>Table43[[#This Row],[NamaJenisKemasan]]</f>
        <v>SCH</v>
      </c>
      <c r="L316" s="4" t="str">
        <f>TRIM(CONCATENATE(Table43[[#This Row],[Nama            KLP]]," ",Table43[[#This Row],[Nama            Sub KLP]]))</f>
        <v>NYU CREME HAIR COLOUR</v>
      </c>
      <c r="M316" s="4" t="str">
        <f>CONCATENATE(Table43[[#This Row],[kode  2 Digit                (hrf+No)]],Table43[[#This Row],[kode  2 Digit                (Nomor)]],Table43[[#This Row],[kode  1 Digit                (Nomor)]])</f>
        <v>G1201</v>
      </c>
      <c r="N316" s="4" t="str">
        <f>IF(AI316="",CONCATENATE(S316,U316,W316,Y316,AA316,AC316,AE316,AG316,Table43[[#This Row],[Tanda Kode Revisi]]),CONCATENATE(S316,U316,W316,Y316,AA316,AC316,AE316,AI316))</f>
        <v>G1201016000020</v>
      </c>
      <c r="O316" s="11">
        <f t="shared" si="8"/>
        <v>14</v>
      </c>
      <c r="P316" s="14" t="str">
        <f>IF(AH316&lt;&gt;"",TRIM(UPPER(CONCATENATE(R316," ",T316," ",V316," ",X316," ",Z316," ",AB316," ","X"," ",Table43[[#This Row],[ISI/CTN]]," ",AH316," ",AD316," ",AF316," ",AJ316))),TRIM(UPPER(CONCATENATE(R316," ",T316," ",V316," ",X316," ",Z316," ",AB316," ","X"," ",Table43[[#This Row],[ISI/CTN]]," ",AD316," ",AF316," ",AJ316))))</f>
        <v>NYU CREME HAIR COLOUR NATURAL BROWN X 144 SCH</v>
      </c>
      <c r="Q316" s="11">
        <f t="shared" si="9"/>
        <v>45</v>
      </c>
      <c r="S316" s="7" t="s">
        <v>34</v>
      </c>
      <c r="T316" s="4" t="s">
        <v>2333</v>
      </c>
      <c r="U316" s="47" t="s">
        <v>2566</v>
      </c>
      <c r="V316" s="48" t="s">
        <v>2379</v>
      </c>
      <c r="W316" s="7">
        <v>1</v>
      </c>
      <c r="X316" s="48"/>
      <c r="Y316" s="47" t="s">
        <v>1116</v>
      </c>
      <c r="Z316" s="4" t="s">
        <v>2393</v>
      </c>
      <c r="AA316" s="49" t="s">
        <v>2562</v>
      </c>
      <c r="AC316" s="49" t="s">
        <v>2460</v>
      </c>
      <c r="AD316" s="4" t="s">
        <v>664</v>
      </c>
      <c r="AE316" s="7">
        <v>2</v>
      </c>
      <c r="AG316" s="7">
        <v>0</v>
      </c>
      <c r="AK316" s="70">
        <f>Table43[[#This Row],[Column4]]</f>
        <v>30351060020010</v>
      </c>
      <c r="AN316" s="7">
        <f>Table43[[#This Row],[ISI/CTN]]</f>
        <v>144</v>
      </c>
      <c r="AO316" s="61">
        <f>Table43[[#This Row],[Harga Jual Pcs GT
(-PPN)]]-(Table43[[#This Row],[Harga Jual Pcs GT
(-PPN)]]*6.5%)</f>
        <v>5077.05</v>
      </c>
      <c r="AP316" s="61">
        <f>Table43[[#This Row],[Harga Beli Pcs
(-PPN)]]*Table43[[#This Row],[ISI/CTN]]</f>
        <v>731095.20000000007</v>
      </c>
      <c r="AQ316" s="61">
        <f>Table43[[#This Row],[Harga Beli Pcs
(-PPN)]]*1.11</f>
        <v>5635.5255000000006</v>
      </c>
      <c r="AR316" s="61">
        <f>Table43[[#This Row],[Harga Beli Krt
(- PPN)]]*1.11</f>
        <v>811515.67200000014</v>
      </c>
      <c r="AS316" s="61">
        <v>5430</v>
      </c>
      <c r="AT316" s="61">
        <f>Table43[[#This Row],[Harga Jual Pcs GT
(-PPN)]]*Table43[[#This Row],[ISI/CTN]]</f>
        <v>781920</v>
      </c>
      <c r="AU316" s="61">
        <f>Table43[[#This Row],[Harga Jual Pcs GT
(-PPN)]]*1.11</f>
        <v>6027.3</v>
      </c>
      <c r="AV316" s="61">
        <f>Table43[[#This Row],[Harga Jual Krt GT
(- PPN)]]*1.11</f>
        <v>867931.20000000007</v>
      </c>
      <c r="AW316" s="61">
        <f>IFERROR(VLOOKUP(Table43[[#This Row],[Kode Pcpl]],'[1]FEB 2026'!$A$3:$X$312,24,0),0)</f>
        <v>0</v>
      </c>
      <c r="AX316" s="61">
        <f>Table43[[#This Row],[Harga Jual Pcs MT
(-PPN)]]*Table43[[#This Row],[ISI/CTN]]</f>
        <v>0</v>
      </c>
      <c r="AY316" s="61">
        <f>Table43[[#This Row],[Harga Jual Pcs MT
(-PPN)]]*1.11</f>
        <v>0</v>
      </c>
      <c r="AZ316" s="61">
        <f>Table43[[#This Row],[Harga Jual Pcs MT
(+PPN)]]*Table43[[#This Row],[ISI/CTN]]</f>
        <v>0</v>
      </c>
      <c r="BA316" s="62">
        <f>(Table43[[#This Row],[Harga Jual Pcs GT
(-PPN)]]-Table43[[#This Row],[Harga Beli Pcs
(-PPN)]])/Table43[[#This Row],[Harga Jual Pcs GT
(-PPN)]]</f>
        <v>6.4999999999999961E-2</v>
      </c>
      <c r="BB316" s="63">
        <f>Table43[[#This Row],[Harga Jual Pcs MT
(-PPN)]]-Table43[[#This Row],[Harga Beli Pcs
(-PPN)]]</f>
        <v>-5077.05</v>
      </c>
      <c r="BC316" s="64" t="e">
        <f>Table43[[#This Row],[Column1]]/Table43[[#This Row],[Harga Jual Pcs MT
(-PPN)]]</f>
        <v>#DIV/0!</v>
      </c>
      <c r="BD316" s="52"/>
      <c r="BE316" s="7"/>
      <c r="BF316" s="7" t="str">
        <f ca="1">IF(TODAY()-Table43[[#This Row],[Efektif
Pembuatan]]&gt;60,"Lama","Baru")</f>
        <v>Lama</v>
      </c>
      <c r="BG316" s="7" t="str">
        <f ca="1">IF(TODAY()-Table43[[#This Row],[Efektif Naik Harga]]&lt;30,"Naik","Sama")</f>
        <v>Sama</v>
      </c>
      <c r="BH316" s="7"/>
      <c r="BI316" s="7" t="str">
        <f>IF(Table43[[#This Row],[Kode BARANG Win2]]&lt;&gt;"","IDR","")</f>
        <v>IDR</v>
      </c>
      <c r="BJ316" s="7" t="str">
        <f>CONCATENATE(Table43[[#This Row],[kode  1 Digit
(Nomor)]],Table43[[#This Row],[kode  4 Digit                (Nomor)]])</f>
        <v>0000</v>
      </c>
      <c r="BK316" s="7">
        <f>Table43[[#This Row],[Nama            Gramasi atau Jumlah Pack per CTN]]</f>
        <v>0</v>
      </c>
      <c r="BL316" s="7"/>
      <c r="BM316" s="7"/>
      <c r="BN316" s="4" t="str">
        <f>IF(Table43[[#This Row],[SATUAN Fix Win]]&lt;&gt;"","KRT")</f>
        <v>KRT</v>
      </c>
      <c r="BO316" s="4" t="str">
        <f>IF(Table43[[#This Row],[SATUAN Fix Win]]&lt;&gt;"","GD01")</f>
        <v>GD01</v>
      </c>
      <c r="BP316" s="4">
        <f>IF(Table43[[#This Row],[SATUAN Fix Win]]&lt;&gt;"",11611)</f>
        <v>11611</v>
      </c>
      <c r="BQ316" s="4">
        <f>IF(Table43[[#This Row],[SATUAN Fix Win]]&lt;&gt;"",11612)</f>
        <v>11612</v>
      </c>
      <c r="BS316" s="4">
        <f>IF(Table43[[#This Row],[SATUAN Fix Win]]&lt;&gt;"",1)</f>
        <v>1</v>
      </c>
      <c r="BU316" s="4">
        <f>Table43[[#This Row],[ISI/CTN]]</f>
        <v>144</v>
      </c>
    </row>
    <row r="317" spans="1:75">
      <c r="A317" s="71" t="str">
        <f>CONCATENATE(Table43[[#This Row],[Kode BARANG Win2]],Table43[[#This Row],[No. Urut
Item Sama]])</f>
        <v>G1201016002020</v>
      </c>
      <c r="B317" s="72"/>
      <c r="C317" s="73"/>
      <c r="D317" s="74">
        <v>40060393</v>
      </c>
      <c r="E317" s="75" t="s">
        <v>3399</v>
      </c>
      <c r="F317" s="74"/>
      <c r="G317" s="74">
        <v>0</v>
      </c>
      <c r="H317" s="75" t="s">
        <v>3398</v>
      </c>
      <c r="I317" s="75">
        <v>144</v>
      </c>
      <c r="J317" s="74"/>
      <c r="K317" s="75" t="str">
        <f>Table43[[#This Row],[NamaJenisKemasan]]</f>
        <v>SCH</v>
      </c>
      <c r="L317" s="71" t="str">
        <f>TRIM(CONCATENATE(Table43[[#This Row],[Nama            KLP]]," ",Table43[[#This Row],[Nama            Sub KLP]]))</f>
        <v>NYU CREME HAIR COLOUR</v>
      </c>
      <c r="M317" s="71" t="str">
        <f>CONCATENATE(Table43[[#This Row],[kode  2 Digit                (hrf+No)]],Table43[[#This Row],[kode  2 Digit                (Nomor)]],Table43[[#This Row],[kode  1 Digit                (Nomor)]])</f>
        <v>G1201</v>
      </c>
      <c r="N317" s="71" t="str">
        <f>IF(AI317="",CONCATENATE(S317,U317,W317,Y317,AA317,AC317,AE317,AG317,Table43[[#This Row],[Tanda Kode Revisi]]),CONCATENATE(S317,U317,W317,Y317,AA317,AC317,AE317,AI317))</f>
        <v>G1201016002020</v>
      </c>
      <c r="O317" s="76">
        <f t="shared" si="8"/>
        <v>14</v>
      </c>
      <c r="P317" s="77" t="str">
        <f>IF(AH317&lt;&gt;"",TRIM(UPPER(CONCATENATE(R317," ",T317," ",V317," ",X317," ",Z317," ",AB317," ","X"," ",Table43[[#This Row],[ISI/CTN]]," ",AH317," ",AD317," ",AF317," ",AJ317))),TRIM(UPPER(CONCATENATE(R317," ",T317," ",V317," ",X317," ",Z317," ",AB317," ","X"," ",Table43[[#This Row],[ISI/CTN]]," ",AD317," ",AF317," ",AJ317))))</f>
        <v>NYU CREME HAIR COLOUR NATURAL BROWN 20GR X 144 SCH</v>
      </c>
      <c r="Q317" s="76">
        <f t="shared" si="9"/>
        <v>50</v>
      </c>
      <c r="R317" s="71"/>
      <c r="S317" s="72" t="s">
        <v>34</v>
      </c>
      <c r="T317" s="71" t="s">
        <v>2333</v>
      </c>
      <c r="U317" s="78" t="s">
        <v>2566</v>
      </c>
      <c r="V317" s="79" t="s">
        <v>2379</v>
      </c>
      <c r="W317" s="72">
        <v>1</v>
      </c>
      <c r="X317" s="79"/>
      <c r="Y317" s="78" t="s">
        <v>1116</v>
      </c>
      <c r="Z317" s="71" t="s">
        <v>2393</v>
      </c>
      <c r="AA317" s="80" t="s">
        <v>2562</v>
      </c>
      <c r="AB317" s="71" t="s">
        <v>2267</v>
      </c>
      <c r="AC317" s="80" t="s">
        <v>2607</v>
      </c>
      <c r="AD317" s="71" t="s">
        <v>664</v>
      </c>
      <c r="AE317" s="72">
        <v>2</v>
      </c>
      <c r="AF317" s="71"/>
      <c r="AG317" s="72">
        <v>0</v>
      </c>
      <c r="AH317" s="72"/>
      <c r="AI317" s="72"/>
      <c r="AJ317" s="72"/>
      <c r="AK317" s="81">
        <f>Table43[[#This Row],[Column4]]</f>
        <v>0</v>
      </c>
      <c r="AL317" s="72"/>
      <c r="AM317" s="72"/>
      <c r="AN317" s="72">
        <f>Table43[[#This Row],[ISI/CTN]]</f>
        <v>144</v>
      </c>
      <c r="AO317" s="88">
        <f>Table43[[#This Row],[Harga Jual Pcs GT
(-PPN)]]-(Table43[[#This Row],[Harga Jual Pcs GT
(-PPN)]]*6.5%)</f>
        <v>5077.05</v>
      </c>
      <c r="AP317" s="88">
        <f>Table43[[#This Row],[Harga Beli Pcs
(-PPN)]]*Table43[[#This Row],[ISI/CTN]]</f>
        <v>731095.20000000007</v>
      </c>
      <c r="AQ317" s="88">
        <f>Table43[[#This Row],[Harga Beli Pcs
(-PPN)]]*1.11</f>
        <v>5635.5255000000006</v>
      </c>
      <c r="AR317" s="88">
        <f>Table43[[#This Row],[Harga Beli Krt
(- PPN)]]*1.11</f>
        <v>811515.67200000014</v>
      </c>
      <c r="AS317" s="88">
        <v>5430</v>
      </c>
      <c r="AT317" s="88">
        <f>Table43[[#This Row],[Harga Jual Pcs GT
(-PPN)]]*Table43[[#This Row],[ISI/CTN]]</f>
        <v>781920</v>
      </c>
      <c r="AU317" s="88">
        <f>Table43[[#This Row],[Harga Jual Pcs GT
(-PPN)]]*1.11</f>
        <v>6027.3</v>
      </c>
      <c r="AV317" s="88">
        <f>Table43[[#This Row],[Harga Jual Krt GT
(- PPN)]]*1.11</f>
        <v>867931.20000000007</v>
      </c>
      <c r="AW317" s="88">
        <f>IFERROR(VLOOKUP(Table43[[#This Row],[Kode Pcpl]],'[1]FEB 2026'!$A$3:$X$312,24,0),0)</f>
        <v>0</v>
      </c>
      <c r="AX317" s="88">
        <f>Table43[[#This Row],[Harga Jual Pcs MT
(-PPN)]]*Table43[[#This Row],[ISI/CTN]]</f>
        <v>0</v>
      </c>
      <c r="AY317" s="88">
        <f>Table43[[#This Row],[Harga Jual Pcs MT
(-PPN)]]*1.11</f>
        <v>0</v>
      </c>
      <c r="AZ317" s="88">
        <f>Table43[[#This Row],[Harga Jual Pcs MT
(+PPN)]]*Table43[[#This Row],[ISI/CTN]]</f>
        <v>0</v>
      </c>
      <c r="BA317" s="89">
        <f>(Table43[[#This Row],[Harga Jual Pcs GT
(-PPN)]]-Table43[[#This Row],[Harga Beli Pcs
(-PPN)]])/Table43[[#This Row],[Harga Jual Pcs GT
(-PPN)]]</f>
        <v>6.4999999999999961E-2</v>
      </c>
      <c r="BB317" s="90">
        <f>Table43[[#This Row],[Harga Jual Pcs MT
(-PPN)]]-Table43[[#This Row],[Harga Beli Pcs
(-PPN)]]</f>
        <v>-5077.05</v>
      </c>
      <c r="BC317" s="91" t="e">
        <f>Table43[[#This Row],[Column1]]/Table43[[#This Row],[Harga Jual Pcs MT
(-PPN)]]</f>
        <v>#DIV/0!</v>
      </c>
      <c r="BD317" s="86"/>
      <c r="BE317" s="72"/>
      <c r="BF317" s="72" t="str">
        <f ca="1">IF(TODAY()-Table43[[#This Row],[Efektif
Pembuatan]]&gt;60,"Lama","Baru")</f>
        <v>Lama</v>
      </c>
      <c r="BG317" s="72" t="str">
        <f ca="1">IF(TODAY()-Table43[[#This Row],[Efektif Naik Harga]]&lt;30,"Naik","Sama")</f>
        <v>Sama</v>
      </c>
      <c r="BH317" s="72"/>
      <c r="BI317" s="72" t="str">
        <f>IF(Table43[[#This Row],[Kode BARANG Win2]]&lt;&gt;"","IDR","")</f>
        <v>IDR</v>
      </c>
      <c r="BJ317" s="72" t="str">
        <f>CONCATENATE(Table43[[#This Row],[kode  1 Digit
(Nomor)]],Table43[[#This Row],[kode  4 Digit                (Nomor)]])</f>
        <v>0020</v>
      </c>
      <c r="BK317" s="72" t="str">
        <f>Table43[[#This Row],[Nama            Gramasi atau Jumlah Pack per CTN]]</f>
        <v>20GR</v>
      </c>
      <c r="BL317" s="72"/>
      <c r="BM317" s="72"/>
      <c r="BN317" s="71" t="str">
        <f>IF(Table43[[#This Row],[SATUAN Fix Win]]&lt;&gt;"","KRT")</f>
        <v>KRT</v>
      </c>
      <c r="BO317" s="71" t="str">
        <f>IF(Table43[[#This Row],[SATUAN Fix Win]]&lt;&gt;"","GD01")</f>
        <v>GD01</v>
      </c>
      <c r="BP317" s="71">
        <f>IF(Table43[[#This Row],[SATUAN Fix Win]]&lt;&gt;"",11611)</f>
        <v>11611</v>
      </c>
      <c r="BQ317" s="71">
        <f>IF(Table43[[#This Row],[SATUAN Fix Win]]&lt;&gt;"",11612)</f>
        <v>11612</v>
      </c>
      <c r="BR317" s="71"/>
      <c r="BS317" s="71">
        <f>IF(Table43[[#This Row],[SATUAN Fix Win]]&lt;&gt;"",1)</f>
        <v>1</v>
      </c>
      <c r="BT317" s="71"/>
      <c r="BU317" s="71">
        <f>Table43[[#This Row],[ISI/CTN]]</f>
        <v>144</v>
      </c>
    </row>
    <row r="318" spans="1:75">
      <c r="A318" s="4" t="str">
        <f>CONCATENATE(Table43[[#This Row],[Kode BARANG Win2]],Table43[[#This Row],[No. Urut
Item Sama]])</f>
        <v>G1201101006010</v>
      </c>
      <c r="B318" s="7"/>
      <c r="C318" s="31">
        <v>30351090150000</v>
      </c>
      <c r="D318" s="51">
        <v>40049695</v>
      </c>
      <c r="E318" s="27" t="s">
        <v>2026</v>
      </c>
      <c r="F318" s="51">
        <v>30351050060001</v>
      </c>
      <c r="G318" s="51">
        <v>0</v>
      </c>
      <c r="H318" s="27" t="s">
        <v>1313</v>
      </c>
      <c r="I318" s="27">
        <v>24</v>
      </c>
      <c r="J318" s="51" t="s">
        <v>1714</v>
      </c>
      <c r="K318" s="27" t="str">
        <f>Table43[[#This Row],[NamaJenisKemasan]]</f>
        <v>BOX</v>
      </c>
      <c r="L318" s="4" t="str">
        <f>TRIM(CONCATENATE(Table43[[#This Row],[Nama            KLP]]," ",Table43[[#This Row],[Nama            Sub KLP]]))</f>
        <v>NYU CREME HAIR COLOUR</v>
      </c>
      <c r="M318" s="4" t="str">
        <f>CONCATENATE(Table43[[#This Row],[kode  2 Digit                (hrf+No)]],Table43[[#This Row],[kode  2 Digit                (Nomor)]],Table43[[#This Row],[kode  1 Digit                (Nomor)]])</f>
        <v>G1201</v>
      </c>
      <c r="N318" s="4" t="str">
        <f>IF(AI318="",CONCATENATE(S318,U318,W318,Y318,AA318,AC318,AE318,AG318,Table43[[#This Row],[Tanda Kode Revisi]]),CONCATENATE(S318,U318,W318,Y318,AA318,AC318,AE318,AI318))</f>
        <v>G1201101006010</v>
      </c>
      <c r="O318" s="11">
        <f t="shared" si="8"/>
        <v>14</v>
      </c>
      <c r="P318" s="14" t="str">
        <f>IF(AH318&lt;&gt;"",TRIM(UPPER(CONCATENATE(R318," ",T318," ",V318," ",X318," ",Z318," ",AB318," ","X"," ",Table43[[#This Row],[ISI/CTN]]," ",AH318," ",AD318," ",AF318," ",AJ318))),TRIM(UPPER(CONCATENATE(R318," ",T318," ",V318," ",X318," ",Z318," ",AB318," ","X"," ",Table43[[#This Row],[ISI/CTN]]," ",AD318," ",AF318," ",AJ318))))</f>
        <v>NYU CREME HAIR COLOUR MULTI PACK NATURAL BLACK 60ML X 24 BOX</v>
      </c>
      <c r="Q318" s="11">
        <f t="shared" si="9"/>
        <v>60</v>
      </c>
      <c r="S318" s="7" t="s">
        <v>34</v>
      </c>
      <c r="T318" s="4" t="s">
        <v>2333</v>
      </c>
      <c r="U318" s="47" t="s">
        <v>2566</v>
      </c>
      <c r="V318" s="48" t="s">
        <v>2379</v>
      </c>
      <c r="W318" s="7">
        <v>1</v>
      </c>
      <c r="X318" s="48" t="s">
        <v>2399</v>
      </c>
      <c r="Y318" s="47" t="s">
        <v>2539</v>
      </c>
      <c r="Z318" s="4" t="s">
        <v>2392</v>
      </c>
      <c r="AA318" s="49" t="s">
        <v>1115</v>
      </c>
      <c r="AB318" s="4" t="s">
        <v>2369</v>
      </c>
      <c r="AC318" s="49" t="s">
        <v>2633</v>
      </c>
      <c r="AD318" s="4" t="s">
        <v>662</v>
      </c>
      <c r="AE318" s="7">
        <v>1</v>
      </c>
      <c r="AG318" s="7">
        <v>0</v>
      </c>
      <c r="AK318" s="70">
        <f>Table43[[#This Row],[Column4]]</f>
        <v>30351050060001</v>
      </c>
      <c r="AN318" s="7">
        <f>Table43[[#This Row],[ISI/CTN]]</f>
        <v>24</v>
      </c>
      <c r="AO318" s="61">
        <f>Table43[[#This Row],[Harga Jual Pcs GT
(-PPN)]]-(Table43[[#This Row],[Harga Jual Pcs GT
(-PPN)]]*6.5%)</f>
        <v>18606.5</v>
      </c>
      <c r="AP318" s="61">
        <f>Table43[[#This Row],[Harga Beli Pcs
(-PPN)]]*Table43[[#This Row],[ISI/CTN]]</f>
        <v>446556</v>
      </c>
      <c r="AQ318" s="61">
        <f>Table43[[#This Row],[Harga Beli Pcs
(-PPN)]]*1.11</f>
        <v>20653.215</v>
      </c>
      <c r="AR318" s="61">
        <f>Table43[[#This Row],[Harga Beli Krt
(- PPN)]]*1.11</f>
        <v>495677.16000000003</v>
      </c>
      <c r="AS318" s="61">
        <v>19900</v>
      </c>
      <c r="AT318" s="61">
        <f>Table43[[#This Row],[Harga Jual Pcs GT
(-PPN)]]*Table43[[#This Row],[ISI/CTN]]</f>
        <v>477600</v>
      </c>
      <c r="AU318" s="61">
        <f>Table43[[#This Row],[Harga Jual Pcs GT
(-PPN)]]*1.11</f>
        <v>22089.000000000004</v>
      </c>
      <c r="AV318" s="61">
        <f>Table43[[#This Row],[Harga Jual Krt GT
(- PPN)]]*1.11</f>
        <v>530136</v>
      </c>
      <c r="AW318" s="61">
        <f>IFERROR(VLOOKUP(Table43[[#This Row],[Kode Pcpl]],'[1]FEB 2026'!$A$3:$X$312,24,0),0)</f>
        <v>0</v>
      </c>
      <c r="AX318" s="61">
        <f>Table43[[#This Row],[Harga Jual Pcs MT
(-PPN)]]*Table43[[#This Row],[ISI/CTN]]</f>
        <v>0</v>
      </c>
      <c r="AY318" s="61">
        <f>Table43[[#This Row],[Harga Jual Pcs MT
(-PPN)]]*1.11</f>
        <v>0</v>
      </c>
      <c r="AZ318" s="61">
        <f>Table43[[#This Row],[Harga Jual Pcs MT
(+PPN)]]*Table43[[#This Row],[ISI/CTN]]</f>
        <v>0</v>
      </c>
      <c r="BA318" s="62">
        <f>(Table43[[#This Row],[Harga Jual Pcs GT
(-PPN)]]-Table43[[#This Row],[Harga Beli Pcs
(-PPN)]])/Table43[[#This Row],[Harga Jual Pcs GT
(-PPN)]]</f>
        <v>6.5000000000000002E-2</v>
      </c>
      <c r="BB318" s="63">
        <f>Table43[[#This Row],[Harga Jual Pcs MT
(-PPN)]]-Table43[[#This Row],[Harga Beli Pcs
(-PPN)]]</f>
        <v>-18606.5</v>
      </c>
      <c r="BC318" s="64" t="e">
        <f>Table43[[#This Row],[Column1]]/Table43[[#This Row],[Harga Jual Pcs MT
(-PPN)]]</f>
        <v>#DIV/0!</v>
      </c>
      <c r="BD318" s="52"/>
      <c r="BE318" s="7"/>
      <c r="BF318" s="7" t="str">
        <f ca="1">IF(TODAY()-Table43[[#This Row],[Efektif
Pembuatan]]&gt;60,"Lama","Baru")</f>
        <v>Lama</v>
      </c>
      <c r="BG318" s="7" t="str">
        <f ca="1">IF(TODAY()-Table43[[#This Row],[Efektif Naik Harga]]&lt;30,"Naik","Sama")</f>
        <v>Sama</v>
      </c>
      <c r="BH318" s="7"/>
      <c r="BI318" s="7" t="str">
        <f>IF(Table43[[#This Row],[Kode BARANG Win2]]&lt;&gt;"","IDR","")</f>
        <v>IDR</v>
      </c>
      <c r="BJ318" s="7" t="str">
        <f>CONCATENATE(Table43[[#This Row],[kode  1 Digit
(Nomor)]],Table43[[#This Row],[kode  4 Digit                (Nomor)]])</f>
        <v>0060</v>
      </c>
      <c r="BK318" s="7" t="str">
        <f>Table43[[#This Row],[Nama            Gramasi atau Jumlah Pack per CTN]]</f>
        <v>60ML</v>
      </c>
      <c r="BL318" s="7"/>
      <c r="BM318" s="7"/>
      <c r="BN318" s="4" t="str">
        <f>IF(Table43[[#This Row],[SATUAN Fix Win]]&lt;&gt;"","KRT")</f>
        <v>KRT</v>
      </c>
      <c r="BO318" s="4" t="str">
        <f>IF(Table43[[#This Row],[SATUAN Fix Win]]&lt;&gt;"","GD01")</f>
        <v>GD01</v>
      </c>
      <c r="BP318" s="4">
        <f>IF(Table43[[#This Row],[SATUAN Fix Win]]&lt;&gt;"",11611)</f>
        <v>11611</v>
      </c>
      <c r="BQ318" s="4">
        <f>IF(Table43[[#This Row],[SATUAN Fix Win]]&lt;&gt;"",11612)</f>
        <v>11612</v>
      </c>
      <c r="BS318" s="4">
        <f>IF(Table43[[#This Row],[SATUAN Fix Win]]&lt;&gt;"",1)</f>
        <v>1</v>
      </c>
      <c r="BU318" s="4">
        <f>Table43[[#This Row],[ISI/CTN]]</f>
        <v>24</v>
      </c>
    </row>
    <row r="319" spans="1:75">
      <c r="A319" s="4" t="str">
        <f>CONCATENATE(Table43[[#This Row],[Kode BARANG Win2]],Table43[[#This Row],[No. Urut
Item Sama]])</f>
        <v>G1211001000010</v>
      </c>
      <c r="B319" s="7"/>
      <c r="C319" s="31">
        <v>30360080080000</v>
      </c>
      <c r="D319" s="51">
        <v>40049694</v>
      </c>
      <c r="E319" s="27" t="s">
        <v>2037</v>
      </c>
      <c r="F319" s="51">
        <v>30352010300020</v>
      </c>
      <c r="G319" s="51">
        <v>0</v>
      </c>
      <c r="H319" s="27" t="s">
        <v>1326</v>
      </c>
      <c r="I319" s="27">
        <v>72</v>
      </c>
      <c r="J319" s="51" t="s">
        <v>1724</v>
      </c>
      <c r="K319" s="27" t="str">
        <f>Table43[[#This Row],[NamaJenisKemasan]]</f>
        <v>PCS</v>
      </c>
      <c r="L319" s="4" t="str">
        <f>TRIM(CONCATENATE(Table43[[#This Row],[Nama            KLP]]," ",Table43[[#This Row],[Nama            Sub KLP]]))</f>
        <v>NYU HENNA SHAMPOO</v>
      </c>
      <c r="M319" s="4" t="str">
        <f>CONCATENATE(Table43[[#This Row],[kode  2 Digit                (hrf+No)]],Table43[[#This Row],[kode  2 Digit                (Nomor)]],Table43[[#This Row],[kode  1 Digit                (Nomor)]])</f>
        <v>G1211</v>
      </c>
      <c r="N319" s="4" t="str">
        <f>IF(AI319="",CONCATENATE(S319,U319,W319,Y319,AA319,AC319,AE319,AG319,Table43[[#This Row],[Tanda Kode Revisi]]),CONCATENATE(S319,U319,W319,Y319,AA319,AC319,AE319,AI319))</f>
        <v>G1211001000010</v>
      </c>
      <c r="O319" s="11">
        <f t="shared" si="8"/>
        <v>14</v>
      </c>
      <c r="P319" s="14" t="str">
        <f>IF(AH319&lt;&gt;"",TRIM(UPPER(CONCATENATE(R319," ",T319," ",V319," ",X319," ",Z319," ",AB319," ","X"," ",Table43[[#This Row],[ISI/CTN]]," ",AH319," ",AD319," ",AF319," ",AJ319))),TRIM(UPPER(CONCATENATE(R319," ",T319," ",V319," ",X319," ",Z319," ",AB319," ","X"," ",Table43[[#This Row],[ISI/CTN]]," ",AD319," ",AF319," ",AJ319))))</f>
        <v>NYU HENNA SHAMPOO BLUE BLACK X 72 PCS</v>
      </c>
      <c r="Q319" s="11">
        <f t="shared" si="9"/>
        <v>37</v>
      </c>
      <c r="S319" s="7" t="s">
        <v>34</v>
      </c>
      <c r="T319" s="4" t="s">
        <v>2358</v>
      </c>
      <c r="U319" s="47" t="s">
        <v>2567</v>
      </c>
      <c r="V319" s="48" t="s">
        <v>2228</v>
      </c>
      <c r="W319" s="7">
        <v>1</v>
      </c>
      <c r="X319" s="48"/>
      <c r="Y319" s="47" t="s">
        <v>1116</v>
      </c>
      <c r="Z319" s="4" t="s">
        <v>2382</v>
      </c>
      <c r="AA319" s="49" t="s">
        <v>1115</v>
      </c>
      <c r="AC319" s="49" t="s">
        <v>2460</v>
      </c>
      <c r="AD319" s="4" t="s">
        <v>185</v>
      </c>
      <c r="AE319" s="7">
        <v>1</v>
      </c>
      <c r="AG319" s="7">
        <v>0</v>
      </c>
      <c r="AK319" s="70">
        <f>Table43[[#This Row],[Column4]]</f>
        <v>30352010300020</v>
      </c>
      <c r="AN319" s="7">
        <f>Table43[[#This Row],[ISI/CTN]]</f>
        <v>72</v>
      </c>
      <c r="AO319" s="38">
        <f>Table43[[#This Row],[Harga Jual Pcs GT
(-PPN)]]-(Table43[[#This Row],[Harga Jual Pcs GT
(-PPN)]]*6.5%)</f>
        <v>8177.51</v>
      </c>
      <c r="AP319" s="38">
        <f>Table43[[#This Row],[Harga Beli Pcs
(-PPN)]]*Table43[[#This Row],[ISI/CTN]]</f>
        <v>588780.72</v>
      </c>
      <c r="AQ319" s="38">
        <f>Table43[[#This Row],[Harga Beli Pcs
(-PPN)]]*1.11</f>
        <v>9077.0361000000012</v>
      </c>
      <c r="AR319" s="38">
        <f>Table43[[#This Row],[Harga Beli Krt
(- PPN)]]*1.11</f>
        <v>653546.59920000006</v>
      </c>
      <c r="AS319" s="38">
        <v>8746</v>
      </c>
      <c r="AT319" s="38">
        <f>Table43[[#This Row],[Harga Jual Pcs GT
(-PPN)]]*Table43[[#This Row],[ISI/CTN]]</f>
        <v>629712</v>
      </c>
      <c r="AU319" s="38">
        <f>Table43[[#This Row],[Harga Jual Pcs GT
(-PPN)]]*1.11</f>
        <v>9708.0600000000013</v>
      </c>
      <c r="AV319" s="38">
        <f>Table43[[#This Row],[Harga Jual Krt GT
(- PPN)]]*1.11</f>
        <v>698980.32000000007</v>
      </c>
      <c r="AW319" s="38">
        <f>IFERROR(VLOOKUP(Table43[[#This Row],[Kode Pcpl]],'[1]FEB 2026'!$A$3:$X$312,24,0),0)</f>
        <v>0</v>
      </c>
      <c r="AX319" s="38">
        <f>Table43[[#This Row],[Harga Jual Pcs MT
(-PPN)]]*Table43[[#This Row],[ISI/CTN]]</f>
        <v>0</v>
      </c>
      <c r="AY319" s="38">
        <f>Table43[[#This Row],[Harga Jual Pcs MT
(-PPN)]]*1.11</f>
        <v>0</v>
      </c>
      <c r="AZ319" s="38">
        <f>Table43[[#This Row],[Harga Jual Pcs MT
(+PPN)]]*Table43[[#This Row],[ISI/CTN]]</f>
        <v>0</v>
      </c>
      <c r="BA319" s="46">
        <f>(Table43[[#This Row],[Harga Jual Pcs GT
(-PPN)]]-Table43[[#This Row],[Harga Beli Pcs
(-PPN)]])/Table43[[#This Row],[Harga Jual Pcs GT
(-PPN)]]</f>
        <v>6.4999999999999974E-2</v>
      </c>
      <c r="BB319" s="53">
        <f>Table43[[#This Row],[Harga Jual Pcs MT
(-PPN)]]-Table43[[#This Row],[Harga Beli Pcs
(-PPN)]]</f>
        <v>-8177.51</v>
      </c>
      <c r="BC319" s="54" t="e">
        <f>Table43[[#This Row],[Column1]]/Table43[[#This Row],[Harga Jual Pcs MT
(-PPN)]]</f>
        <v>#DIV/0!</v>
      </c>
      <c r="BD319" s="52"/>
      <c r="BE319" s="7"/>
      <c r="BF319" s="7" t="str">
        <f ca="1">IF(TODAY()-Table43[[#This Row],[Efektif
Pembuatan]]&gt;60,"Lama","Baru")</f>
        <v>Lama</v>
      </c>
      <c r="BG319" s="7" t="str">
        <f ca="1">IF(TODAY()-Table43[[#This Row],[Efektif Naik Harga]]&lt;30,"Naik","Sama")</f>
        <v>Sama</v>
      </c>
      <c r="BH319" s="7"/>
      <c r="BI319" s="7" t="str">
        <f>IF(Table43[[#This Row],[Kode BARANG Win2]]&lt;&gt;"","IDR","")</f>
        <v>IDR</v>
      </c>
      <c r="BJ319" s="7" t="str">
        <f>CONCATENATE(Table43[[#This Row],[kode  1 Digit
(Nomor)]],Table43[[#This Row],[kode  4 Digit                (Nomor)]])</f>
        <v>0000</v>
      </c>
      <c r="BK319" s="7">
        <f>Table43[[#This Row],[Nama            Gramasi atau Jumlah Pack per CTN]]</f>
        <v>0</v>
      </c>
      <c r="BL319" s="7"/>
      <c r="BM319" s="7"/>
      <c r="BN319" s="4" t="str">
        <f>IF(Table43[[#This Row],[SATUAN Fix Win]]&lt;&gt;"","KRT")</f>
        <v>KRT</v>
      </c>
      <c r="BO319" s="4" t="str">
        <f>IF(Table43[[#This Row],[SATUAN Fix Win]]&lt;&gt;"","GD01")</f>
        <v>GD01</v>
      </c>
      <c r="BP319" s="4">
        <f>IF(Table43[[#This Row],[SATUAN Fix Win]]&lt;&gt;"",11611)</f>
        <v>11611</v>
      </c>
      <c r="BQ319" s="4">
        <f>IF(Table43[[#This Row],[SATUAN Fix Win]]&lt;&gt;"",11612)</f>
        <v>11612</v>
      </c>
      <c r="BS319" s="4">
        <f>IF(Table43[[#This Row],[SATUAN Fix Win]]&lt;&gt;"",1)</f>
        <v>1</v>
      </c>
      <c r="BU319" s="4">
        <f>Table43[[#This Row],[ISI/CTN]]</f>
        <v>72</v>
      </c>
    </row>
    <row r="320" spans="1:75">
      <c r="A320" s="4" t="str">
        <f>CONCATENATE(Table43[[#This Row],[Kode BARANG Win2]],Table43[[#This Row],[No. Urut
Item Sama]])</f>
        <v>G1211002000010</v>
      </c>
      <c r="B320" s="7"/>
      <c r="C320" s="31">
        <v>30360090100000</v>
      </c>
      <c r="D320" s="51">
        <v>40035898</v>
      </c>
      <c r="E320" s="27" t="s">
        <v>2038</v>
      </c>
      <c r="F320" s="51">
        <v>30352020300020</v>
      </c>
      <c r="G320" s="51">
        <v>0</v>
      </c>
      <c r="H320" s="27" t="s">
        <v>1327</v>
      </c>
      <c r="I320" s="27">
        <v>72</v>
      </c>
      <c r="J320" s="51" t="s">
        <v>1725</v>
      </c>
      <c r="K320" s="27" t="str">
        <f>Table43[[#This Row],[NamaJenisKemasan]]</f>
        <v>PCS</v>
      </c>
      <c r="L320" s="4" t="str">
        <f>TRIM(CONCATENATE(Table43[[#This Row],[Nama            KLP]]," ",Table43[[#This Row],[Nama            Sub KLP]]))</f>
        <v>NYU HENNA SHAMPOO</v>
      </c>
      <c r="M320" s="4" t="str">
        <f>CONCATENATE(Table43[[#This Row],[kode  2 Digit                (hrf+No)]],Table43[[#This Row],[kode  2 Digit                (Nomor)]],Table43[[#This Row],[kode  1 Digit                (Nomor)]])</f>
        <v>G1211</v>
      </c>
      <c r="N320" s="4" t="str">
        <f>IF(AI320="",CONCATENATE(S320,U320,W320,Y320,AA320,AC320,AE320,AG320,Table43[[#This Row],[Tanda Kode Revisi]]),CONCATENATE(S320,U320,W320,Y320,AA320,AC320,AE320,AI320))</f>
        <v>G1211002000010</v>
      </c>
      <c r="O320" s="11">
        <f t="shared" si="8"/>
        <v>14</v>
      </c>
      <c r="P320" s="14" t="str">
        <f>IF(AH320&lt;&gt;"",TRIM(UPPER(CONCATENATE(R320," ",T320," ",V320," ",X320," ",Z320," ",AB320," ","X"," ",Table43[[#This Row],[ISI/CTN]]," ",AH320," ",AD320," ",AF320," ",AJ320))),TRIM(UPPER(CONCATENATE(R320," ",T320," ",V320," ",X320," ",Z320," ",AB320," ","X"," ",Table43[[#This Row],[ISI/CTN]]," ",AD320," ",AF320," ",AJ320))))</f>
        <v>NYU HENNA SHAMPOO BURGUNDY X 72 PCS</v>
      </c>
      <c r="Q320" s="11">
        <f t="shared" si="9"/>
        <v>35</v>
      </c>
      <c r="S320" s="7" t="s">
        <v>34</v>
      </c>
      <c r="T320" s="4" t="s">
        <v>2358</v>
      </c>
      <c r="U320" s="47" t="s">
        <v>2567</v>
      </c>
      <c r="V320" s="48" t="s">
        <v>2228</v>
      </c>
      <c r="W320" s="7">
        <v>1</v>
      </c>
      <c r="X320" s="48"/>
      <c r="Y320" s="47" t="s">
        <v>1116</v>
      </c>
      <c r="Z320" s="4" t="s">
        <v>2328</v>
      </c>
      <c r="AA320" s="49" t="s">
        <v>2459</v>
      </c>
      <c r="AC320" s="49" t="s">
        <v>2460</v>
      </c>
      <c r="AD320" s="4" t="s">
        <v>185</v>
      </c>
      <c r="AE320" s="7">
        <v>1</v>
      </c>
      <c r="AG320" s="7">
        <v>0</v>
      </c>
      <c r="AK320" s="70">
        <f>Table43[[#This Row],[Column4]]</f>
        <v>30352020300020</v>
      </c>
      <c r="AN320" s="7">
        <f>Table43[[#This Row],[ISI/CTN]]</f>
        <v>72</v>
      </c>
      <c r="AO320" s="38">
        <f>Table43[[#This Row],[Harga Jual Pcs GT
(-PPN)]]-(Table43[[#This Row],[Harga Jual Pcs GT
(-PPN)]]*6.5%)</f>
        <v>8177.51</v>
      </c>
      <c r="AP320" s="38">
        <f>Table43[[#This Row],[Harga Beli Pcs
(-PPN)]]*Table43[[#This Row],[ISI/CTN]]</f>
        <v>588780.72</v>
      </c>
      <c r="AQ320" s="38">
        <f>Table43[[#This Row],[Harga Beli Pcs
(-PPN)]]*1.11</f>
        <v>9077.0361000000012</v>
      </c>
      <c r="AR320" s="38">
        <f>Table43[[#This Row],[Harga Beli Krt
(- PPN)]]*1.11</f>
        <v>653546.59920000006</v>
      </c>
      <c r="AS320" s="38">
        <v>8746</v>
      </c>
      <c r="AT320" s="38">
        <f>Table43[[#This Row],[Harga Jual Pcs GT
(-PPN)]]*Table43[[#This Row],[ISI/CTN]]</f>
        <v>629712</v>
      </c>
      <c r="AU320" s="38">
        <f>Table43[[#This Row],[Harga Jual Pcs GT
(-PPN)]]*1.11</f>
        <v>9708.0600000000013</v>
      </c>
      <c r="AV320" s="38">
        <f>Table43[[#This Row],[Harga Jual Krt GT
(- PPN)]]*1.11</f>
        <v>698980.32000000007</v>
      </c>
      <c r="AW320" s="38">
        <f>IFERROR(VLOOKUP(Table43[[#This Row],[Kode Pcpl]],'[1]FEB 2026'!$A$3:$X$312,24,0),0)</f>
        <v>0</v>
      </c>
      <c r="AX320" s="38">
        <f>Table43[[#This Row],[Harga Jual Pcs MT
(-PPN)]]*Table43[[#This Row],[ISI/CTN]]</f>
        <v>0</v>
      </c>
      <c r="AY320" s="38">
        <f>Table43[[#This Row],[Harga Jual Pcs MT
(-PPN)]]*1.11</f>
        <v>0</v>
      </c>
      <c r="AZ320" s="38">
        <f>Table43[[#This Row],[Harga Jual Pcs MT
(+PPN)]]*Table43[[#This Row],[ISI/CTN]]</f>
        <v>0</v>
      </c>
      <c r="BA320" s="46">
        <f>(Table43[[#This Row],[Harga Jual Pcs GT
(-PPN)]]-Table43[[#This Row],[Harga Beli Pcs
(-PPN)]])/Table43[[#This Row],[Harga Jual Pcs GT
(-PPN)]]</f>
        <v>6.4999999999999974E-2</v>
      </c>
      <c r="BB320" s="53">
        <f>Table43[[#This Row],[Harga Jual Pcs MT
(-PPN)]]-Table43[[#This Row],[Harga Beli Pcs
(-PPN)]]</f>
        <v>-8177.51</v>
      </c>
      <c r="BC320" s="54" t="e">
        <f>Table43[[#This Row],[Column1]]/Table43[[#This Row],[Harga Jual Pcs MT
(-PPN)]]</f>
        <v>#DIV/0!</v>
      </c>
      <c r="BD320" s="52"/>
      <c r="BE320" s="7"/>
      <c r="BF320" s="7" t="str">
        <f ca="1">IF(TODAY()-Table43[[#This Row],[Efektif
Pembuatan]]&gt;60,"Lama","Baru")</f>
        <v>Lama</v>
      </c>
      <c r="BG320" s="7" t="str">
        <f ca="1">IF(TODAY()-Table43[[#This Row],[Efektif Naik Harga]]&lt;30,"Naik","Sama")</f>
        <v>Sama</v>
      </c>
      <c r="BH320" s="7"/>
      <c r="BI320" s="7" t="str">
        <f>IF(Table43[[#This Row],[Kode BARANG Win2]]&lt;&gt;"","IDR","")</f>
        <v>IDR</v>
      </c>
      <c r="BJ320" s="7" t="str">
        <f>CONCATENATE(Table43[[#This Row],[kode  1 Digit
(Nomor)]],Table43[[#This Row],[kode  4 Digit                (Nomor)]])</f>
        <v>0000</v>
      </c>
      <c r="BK320" s="7">
        <f>Table43[[#This Row],[Nama            Gramasi atau Jumlah Pack per CTN]]</f>
        <v>0</v>
      </c>
      <c r="BL320" s="7"/>
      <c r="BM320" s="7"/>
      <c r="BN320" s="4" t="str">
        <f>IF(Table43[[#This Row],[SATUAN Fix Win]]&lt;&gt;"","KRT")</f>
        <v>KRT</v>
      </c>
      <c r="BO320" s="4" t="str">
        <f>IF(Table43[[#This Row],[SATUAN Fix Win]]&lt;&gt;"","GD01")</f>
        <v>GD01</v>
      </c>
      <c r="BP320" s="4">
        <f>IF(Table43[[#This Row],[SATUAN Fix Win]]&lt;&gt;"",11611)</f>
        <v>11611</v>
      </c>
      <c r="BQ320" s="4">
        <f>IF(Table43[[#This Row],[SATUAN Fix Win]]&lt;&gt;"",11612)</f>
        <v>11612</v>
      </c>
      <c r="BS320" s="4">
        <f>IF(Table43[[#This Row],[SATUAN Fix Win]]&lt;&gt;"",1)</f>
        <v>1</v>
      </c>
      <c r="BU320" s="4">
        <f>Table43[[#This Row],[ISI/CTN]]</f>
        <v>72</v>
      </c>
    </row>
    <row r="321" spans="1:73">
      <c r="A321" s="4" t="str">
        <f>CONCATENATE(Table43[[#This Row],[Kode BARANG Win2]],Table43[[#This Row],[No. Urut
Item Sama]])</f>
        <v>G1211002000010</v>
      </c>
      <c r="B321" s="7"/>
      <c r="C321" s="31">
        <v>30360100120000</v>
      </c>
      <c r="D321" s="59">
        <v>40057115</v>
      </c>
      <c r="E321" s="60" t="s">
        <v>2038</v>
      </c>
      <c r="F321" s="59">
        <v>30352020300020</v>
      </c>
      <c r="G321" s="59">
        <v>0</v>
      </c>
      <c r="H321" s="60" t="s">
        <v>1328</v>
      </c>
      <c r="I321" s="60">
        <v>72</v>
      </c>
      <c r="J321" s="59" t="s">
        <v>1725</v>
      </c>
      <c r="K321" s="60" t="str">
        <f>Table43[[#This Row],[NamaJenisKemasan]]</f>
        <v>PCS</v>
      </c>
      <c r="L321" s="4" t="str">
        <f>TRIM(CONCATENATE(Table43[[#This Row],[Nama            KLP]]," ",Table43[[#This Row],[Nama            Sub KLP]]))</f>
        <v>NYU HENNA SHAMPOO</v>
      </c>
      <c r="M321" s="4" t="str">
        <f>CONCATENATE(Table43[[#This Row],[kode  2 Digit                (hrf+No)]],Table43[[#This Row],[kode  2 Digit                (Nomor)]],Table43[[#This Row],[kode  1 Digit                (Nomor)]])</f>
        <v>G1211</v>
      </c>
      <c r="N321" s="4" t="str">
        <f>IF(AI321="",CONCATENATE(S321,U321,W321,Y321,AA321,AC321,AE321,AG321,Table43[[#This Row],[Tanda Kode Revisi]]),CONCATENATE(S321,U321,W321,Y321,AA321,AC321,AE321,AI321))</f>
        <v>G1211002000010</v>
      </c>
      <c r="O321" s="11">
        <f t="shared" si="8"/>
        <v>14</v>
      </c>
      <c r="P321" s="14" t="str">
        <f>IF(AH321&lt;&gt;"",TRIM(UPPER(CONCATENATE(R321," ",T321," ",V321," ",X321," ",Z321," ",AB321," ","X"," ",Table43[[#This Row],[ISI/CTN]]," ",AH321," ",AD321," ",AF321," ",AJ321))),TRIM(UPPER(CONCATENATE(R321," ",T321," ",V321," ",X321," ",Z321," ",AB321," ","X"," ",Table43[[#This Row],[ISI/CTN]]," ",AD321," ",AF321," ",AJ321))))</f>
        <v>NYU HENNA SHAMPOO BURGUNDY X 72 PCS</v>
      </c>
      <c r="Q321" s="11">
        <f t="shared" si="9"/>
        <v>35</v>
      </c>
      <c r="S321" s="7" t="s">
        <v>34</v>
      </c>
      <c r="T321" s="4" t="s">
        <v>2358</v>
      </c>
      <c r="U321" s="47" t="s">
        <v>2567</v>
      </c>
      <c r="V321" s="48" t="s">
        <v>2228</v>
      </c>
      <c r="W321" s="7">
        <v>1</v>
      </c>
      <c r="X321" s="48"/>
      <c r="Y321" s="47" t="s">
        <v>1116</v>
      </c>
      <c r="Z321" s="4" t="s">
        <v>2328</v>
      </c>
      <c r="AA321" s="49" t="s">
        <v>2459</v>
      </c>
      <c r="AC321" s="49" t="s">
        <v>2460</v>
      </c>
      <c r="AD321" s="4" t="s">
        <v>185</v>
      </c>
      <c r="AE321" s="7">
        <v>1</v>
      </c>
      <c r="AG321" s="7">
        <v>0</v>
      </c>
      <c r="AK321" s="70">
        <f>Table43[[#This Row],[Column4]]</f>
        <v>30352020300020</v>
      </c>
      <c r="AN321" s="7">
        <f>Table43[[#This Row],[ISI/CTN]]</f>
        <v>72</v>
      </c>
      <c r="AO321" s="38">
        <f>Table43[[#This Row],[Harga Jual Pcs GT
(-PPN)]]-(Table43[[#This Row],[Harga Jual Pcs GT
(-PPN)]]*6.5%)</f>
        <v>8177.51</v>
      </c>
      <c r="AP321" s="38">
        <f>Table43[[#This Row],[Harga Beli Pcs
(-PPN)]]*Table43[[#This Row],[ISI/CTN]]</f>
        <v>588780.72</v>
      </c>
      <c r="AQ321" s="38">
        <f>Table43[[#This Row],[Harga Beli Pcs
(-PPN)]]*1.11</f>
        <v>9077.0361000000012</v>
      </c>
      <c r="AR321" s="38">
        <f>Table43[[#This Row],[Harga Beli Krt
(- PPN)]]*1.11</f>
        <v>653546.59920000006</v>
      </c>
      <c r="AS321" s="38">
        <v>8746</v>
      </c>
      <c r="AT321" s="38">
        <f>Table43[[#This Row],[Harga Jual Pcs GT
(-PPN)]]*Table43[[#This Row],[ISI/CTN]]</f>
        <v>629712</v>
      </c>
      <c r="AU321" s="38">
        <f>Table43[[#This Row],[Harga Jual Pcs GT
(-PPN)]]*1.11</f>
        <v>9708.0600000000013</v>
      </c>
      <c r="AV321" s="38">
        <f>Table43[[#This Row],[Harga Jual Krt GT
(- PPN)]]*1.11</f>
        <v>698980.32000000007</v>
      </c>
      <c r="AW321" s="38">
        <f>IFERROR(VLOOKUP(Table43[[#This Row],[Kode Pcpl]],'[1]FEB 2026'!$A$3:$X$312,24,0),0)</f>
        <v>0</v>
      </c>
      <c r="AX321" s="38">
        <f>Table43[[#This Row],[Harga Jual Pcs MT
(-PPN)]]*Table43[[#This Row],[ISI/CTN]]</f>
        <v>0</v>
      </c>
      <c r="AY321" s="38">
        <f>Table43[[#This Row],[Harga Jual Pcs MT
(-PPN)]]*1.11</f>
        <v>0</v>
      </c>
      <c r="AZ321" s="38">
        <f>Table43[[#This Row],[Harga Jual Pcs MT
(+PPN)]]*Table43[[#This Row],[ISI/CTN]]</f>
        <v>0</v>
      </c>
      <c r="BA321" s="46">
        <f>(Table43[[#This Row],[Harga Jual Pcs GT
(-PPN)]]-Table43[[#This Row],[Harga Beli Pcs
(-PPN)]])/Table43[[#This Row],[Harga Jual Pcs GT
(-PPN)]]</f>
        <v>6.4999999999999974E-2</v>
      </c>
      <c r="BB321" s="53">
        <f>Table43[[#This Row],[Harga Jual Pcs MT
(-PPN)]]-Table43[[#This Row],[Harga Beli Pcs
(-PPN)]]</f>
        <v>-8177.51</v>
      </c>
      <c r="BC321" s="54" t="e">
        <f>Table43[[#This Row],[Column1]]/Table43[[#This Row],[Harga Jual Pcs MT
(-PPN)]]</f>
        <v>#DIV/0!</v>
      </c>
      <c r="BD321" s="52"/>
      <c r="BE321" s="7"/>
      <c r="BF321" s="7" t="str">
        <f ca="1">IF(TODAY()-Table43[[#This Row],[Efektif
Pembuatan]]&gt;60,"Lama","Baru")</f>
        <v>Lama</v>
      </c>
      <c r="BG321" s="7" t="str">
        <f ca="1">IF(TODAY()-Table43[[#This Row],[Efektif Naik Harga]]&lt;30,"Naik","Sama")</f>
        <v>Sama</v>
      </c>
      <c r="BH321" s="7"/>
      <c r="BI321" s="7" t="str">
        <f>IF(Table43[[#This Row],[Kode BARANG Win2]]&lt;&gt;"","IDR","")</f>
        <v>IDR</v>
      </c>
      <c r="BJ321" s="7" t="str">
        <f>CONCATENATE(Table43[[#This Row],[kode  1 Digit
(Nomor)]],Table43[[#This Row],[kode  4 Digit                (Nomor)]])</f>
        <v>0000</v>
      </c>
      <c r="BK321" s="7">
        <f>Table43[[#This Row],[Nama            Gramasi atau Jumlah Pack per CTN]]</f>
        <v>0</v>
      </c>
      <c r="BL321" s="7"/>
      <c r="BM321" s="7"/>
      <c r="BN321" s="4" t="str">
        <f>IF(Table43[[#This Row],[SATUAN Fix Win]]&lt;&gt;"","KRT")</f>
        <v>KRT</v>
      </c>
      <c r="BO321" s="4" t="str">
        <f>IF(Table43[[#This Row],[SATUAN Fix Win]]&lt;&gt;"","GD01")</f>
        <v>GD01</v>
      </c>
      <c r="BP321" s="4">
        <f>IF(Table43[[#This Row],[SATUAN Fix Win]]&lt;&gt;"",11611)</f>
        <v>11611</v>
      </c>
      <c r="BQ321" s="4">
        <f>IF(Table43[[#This Row],[SATUAN Fix Win]]&lt;&gt;"",11612)</f>
        <v>11612</v>
      </c>
      <c r="BS321" s="4">
        <f>IF(Table43[[#This Row],[SATUAN Fix Win]]&lt;&gt;"",1)</f>
        <v>1</v>
      </c>
      <c r="BU321" s="4">
        <f>Table43[[#This Row],[ISI/CTN]]</f>
        <v>72</v>
      </c>
    </row>
    <row r="322" spans="1:73">
      <c r="A322" s="4" t="str">
        <f>CONCATENATE(Table43[[#This Row],[Kode BARANG Win2]],Table43[[#This Row],[No. Urut
Item Sama]])</f>
        <v>G1211002000010</v>
      </c>
      <c r="B322" s="7"/>
      <c r="C322" s="31"/>
      <c r="D322" s="51">
        <v>40031265</v>
      </c>
      <c r="E322" s="27"/>
      <c r="F322" s="51"/>
      <c r="G322" s="51"/>
      <c r="H322" s="27"/>
      <c r="I322" s="27">
        <v>72</v>
      </c>
      <c r="J322" s="59" t="s">
        <v>1725</v>
      </c>
      <c r="K322" s="27" t="str">
        <f>Table43[[#This Row],[NamaJenisKemasan]]</f>
        <v>PCS</v>
      </c>
      <c r="L322" s="4" t="str">
        <f>TRIM(CONCATENATE(Table43[[#This Row],[Nama            KLP]]," ",Table43[[#This Row],[Nama            Sub KLP]]))</f>
        <v>NYU HENNA SHAMPOO</v>
      </c>
      <c r="M322" s="4" t="str">
        <f>CONCATENATE(Table43[[#This Row],[kode  2 Digit                (hrf+No)]],Table43[[#This Row],[kode  2 Digit                (Nomor)]],Table43[[#This Row],[kode  1 Digit                (Nomor)]])</f>
        <v>G1211</v>
      </c>
      <c r="N322" s="4" t="str">
        <f>IF(AI322="",CONCATENATE(S322,U322,W322,Y322,AA322,AC322,AE322,AG322,Table43[[#This Row],[Tanda Kode Revisi]]),CONCATENATE(S322,U322,W322,Y322,AA322,AC322,AE322,AI322))</f>
        <v>G1211002000010</v>
      </c>
      <c r="O322" s="11">
        <f>LEN(N322)</f>
        <v>14</v>
      </c>
      <c r="P322" s="14" t="str">
        <f>IF(AH322&lt;&gt;"",TRIM(UPPER(CONCATENATE(R322," ",T322," ",V322," ",X322," ",Z322," ",AB322," ","X"," ",Table43[[#This Row],[ISI/CTN]]," ",AH322," ",AD322," ",AF322," ",AJ322))),TRIM(UPPER(CONCATENATE(R322," ",T322," ",V322," ",X322," ",Z322," ",AB322," ","X"," ",Table43[[#This Row],[ISI/CTN]]," ",AD322," ",AF322," ",AJ322))))</f>
        <v>NYU HENNA SHAMPOO BURGUNDY X 72 PCS</v>
      </c>
      <c r="Q322" s="11">
        <f>LEN(P322)</f>
        <v>35</v>
      </c>
      <c r="S322" s="7" t="s">
        <v>34</v>
      </c>
      <c r="T322" s="4" t="s">
        <v>2358</v>
      </c>
      <c r="U322" s="47" t="s">
        <v>2567</v>
      </c>
      <c r="V322" s="48" t="s">
        <v>2228</v>
      </c>
      <c r="W322" s="7">
        <v>1</v>
      </c>
      <c r="X322" s="48"/>
      <c r="Y322" s="47" t="s">
        <v>1116</v>
      </c>
      <c r="Z322" s="4" t="s">
        <v>2328</v>
      </c>
      <c r="AA322" s="49" t="s">
        <v>2459</v>
      </c>
      <c r="AC322" s="49" t="s">
        <v>2460</v>
      </c>
      <c r="AD322" s="4" t="s">
        <v>185</v>
      </c>
      <c r="AE322" s="7">
        <v>1</v>
      </c>
      <c r="AG322" s="7">
        <v>0</v>
      </c>
      <c r="AK322" s="70">
        <f>Table43[[#This Row],[Column4]]</f>
        <v>0</v>
      </c>
      <c r="AN322" s="7">
        <f>Table43[[#This Row],[ISI/CTN]]</f>
        <v>72</v>
      </c>
      <c r="AO322" s="38">
        <f>Table43[[#This Row],[Harga Jual Pcs GT
(-PPN)]]-(Table43[[#This Row],[Harga Jual Pcs GT
(-PPN)]]*6.5%)</f>
        <v>0</v>
      </c>
      <c r="AP322" s="38">
        <f>Table43[[#This Row],[Harga Beli Pcs
(-PPN)]]*Table43[[#This Row],[ISI/CTN]]</f>
        <v>0</v>
      </c>
      <c r="AQ322" s="38">
        <f>Table43[[#This Row],[Harga Beli Pcs
(-PPN)]]*1.11</f>
        <v>0</v>
      </c>
      <c r="AR322" s="38">
        <f>Table43[[#This Row],[Harga Beli Krt
(- PPN)]]*1.11</f>
        <v>0</v>
      </c>
      <c r="AS322" s="38"/>
      <c r="AT322" s="38">
        <f>Table43[[#This Row],[Harga Jual Pcs GT
(-PPN)]]*Table43[[#This Row],[ISI/CTN]]</f>
        <v>0</v>
      </c>
      <c r="AU322" s="38">
        <f>Table43[[#This Row],[Harga Jual Pcs GT
(-PPN)]]*1.11</f>
        <v>0</v>
      </c>
      <c r="AV322" s="38">
        <f>Table43[[#This Row],[Harga Jual Krt GT
(- PPN)]]*1.11</f>
        <v>0</v>
      </c>
      <c r="AW322" s="38">
        <f>IFERROR(VLOOKUP(Table43[[#This Row],[Kode Pcpl]],'[1]FEB 2026'!$A$3:$X$312,24,0),0)</f>
        <v>0</v>
      </c>
      <c r="AX322" s="38">
        <f>Table43[[#This Row],[Harga Jual Pcs MT
(-PPN)]]*Table43[[#This Row],[ISI/CTN]]</f>
        <v>0</v>
      </c>
      <c r="AY322" s="38">
        <f>Table43[[#This Row],[Harga Jual Pcs MT
(-PPN)]]*1.11</f>
        <v>0</v>
      </c>
      <c r="AZ322" s="38">
        <f>Table43[[#This Row],[Harga Jual Pcs MT
(+PPN)]]*Table43[[#This Row],[ISI/CTN]]</f>
        <v>0</v>
      </c>
      <c r="BA322" s="46" t="e">
        <f>(Table43[[#This Row],[Harga Jual Pcs GT
(-PPN)]]-Table43[[#This Row],[Harga Beli Pcs
(-PPN)]])/Table43[[#This Row],[Harga Jual Pcs GT
(-PPN)]]</f>
        <v>#DIV/0!</v>
      </c>
      <c r="BB322" s="53">
        <f>Table43[[#This Row],[Harga Jual Pcs MT
(-PPN)]]-Table43[[#This Row],[Harga Beli Pcs
(-PPN)]]</f>
        <v>0</v>
      </c>
      <c r="BC322" s="54" t="e">
        <f>Table43[[#This Row],[Column1]]/Table43[[#This Row],[Harga Jual Pcs MT
(-PPN)]]</f>
        <v>#DIV/0!</v>
      </c>
      <c r="BD322" s="52"/>
      <c r="BE322" s="7"/>
      <c r="BF322" s="7" t="str">
        <f ca="1">IF(TODAY()-Table43[[#This Row],[Efektif
Pembuatan]]&gt;60,"Lama","Baru")</f>
        <v>Lama</v>
      </c>
      <c r="BG322" s="7" t="str">
        <f ca="1">IF(TODAY()-Table43[[#This Row],[Efektif Naik Harga]]&lt;30,"Naik","Sama")</f>
        <v>Sama</v>
      </c>
      <c r="BH322" s="7"/>
      <c r="BI322" s="7" t="str">
        <f>IF(Table43[[#This Row],[Kode BARANG Win2]]&lt;&gt;"","IDR","")</f>
        <v>IDR</v>
      </c>
      <c r="BJ322" s="7" t="str">
        <f>CONCATENATE(Table43[[#This Row],[kode  1 Digit
(Nomor)]],Table43[[#This Row],[kode  4 Digit                (Nomor)]])</f>
        <v>0000</v>
      </c>
      <c r="BK322" s="7">
        <f>Table43[[#This Row],[Nama            Gramasi atau Jumlah Pack per CTN]]</f>
        <v>0</v>
      </c>
      <c r="BL322" s="7"/>
      <c r="BM322" s="7"/>
      <c r="BN322" s="4" t="str">
        <f>IF(Table43[[#This Row],[SATUAN Fix Win]]&lt;&gt;"","KRT")</f>
        <v>KRT</v>
      </c>
      <c r="BO322" s="4" t="str">
        <f>IF(Table43[[#This Row],[SATUAN Fix Win]]&lt;&gt;"","GD01")</f>
        <v>GD01</v>
      </c>
      <c r="BP322" s="4">
        <f>IF(Table43[[#This Row],[SATUAN Fix Win]]&lt;&gt;"",11611)</f>
        <v>11611</v>
      </c>
      <c r="BQ322" s="4">
        <f>IF(Table43[[#This Row],[SATUAN Fix Win]]&lt;&gt;"",11612)</f>
        <v>11612</v>
      </c>
      <c r="BS322" s="4">
        <f>IF(Table43[[#This Row],[SATUAN Fix Win]]&lt;&gt;"",1)</f>
        <v>1</v>
      </c>
      <c r="BU322" s="4">
        <f>Table43[[#This Row],[ISI/CTN]]</f>
        <v>72</v>
      </c>
    </row>
    <row r="323" spans="1:73">
      <c r="A323" s="4" t="str">
        <f>CONCATENATE(Table43[[#This Row],[Kode BARANG Win2]],Table43[[#This Row],[No. Urut
Item Sama]])</f>
        <v>G1211003000010</v>
      </c>
      <c r="B323" s="7"/>
      <c r="C323" s="31">
        <v>30361000030000</v>
      </c>
      <c r="D323" s="51">
        <v>40057116</v>
      </c>
      <c r="E323" s="27" t="s">
        <v>2039</v>
      </c>
      <c r="F323" s="59">
        <v>30352050300020</v>
      </c>
      <c r="G323" s="51">
        <v>0</v>
      </c>
      <c r="H323" s="27" t="s">
        <v>1330</v>
      </c>
      <c r="I323" s="27">
        <v>72</v>
      </c>
      <c r="J323" s="51" t="s">
        <v>1726</v>
      </c>
      <c r="K323" s="27" t="str">
        <f>Table43[[#This Row],[NamaJenisKemasan]]</f>
        <v>PCS</v>
      </c>
      <c r="L323" s="4" t="str">
        <f>TRIM(CONCATENATE(Table43[[#This Row],[Nama            KLP]]," ",Table43[[#This Row],[Nama            Sub KLP]]))</f>
        <v>NYU HENNA SHAMPOO</v>
      </c>
      <c r="M323" s="4" t="str">
        <f>CONCATENATE(Table43[[#This Row],[kode  2 Digit                (hrf+No)]],Table43[[#This Row],[kode  2 Digit                (Nomor)]],Table43[[#This Row],[kode  1 Digit                (Nomor)]])</f>
        <v>G1211</v>
      </c>
      <c r="N323" s="4" t="str">
        <f>IF(AI323="",CONCATENATE(S323,U323,W323,Y323,AA323,AC323,AE323,AG323,Table43[[#This Row],[Tanda Kode Revisi]]),CONCATENATE(S323,U323,W323,Y323,AA323,AC323,AE323,AI323))</f>
        <v>G1211003000010</v>
      </c>
      <c r="O323" s="11">
        <f t="shared" si="8"/>
        <v>14</v>
      </c>
      <c r="P323" s="14" t="str">
        <f>IF(AH323&lt;&gt;"",TRIM(UPPER(CONCATENATE(R323," ",T323," ",V323," ",X323," ",Z323," ",AB323," ","X"," ",Table43[[#This Row],[ISI/CTN]]," ",AH323," ",AD323," ",AF323," ",AJ323))),TRIM(UPPER(CONCATENATE(R323," ",T323," ",V323," ",X323," ",Z323," ",AB323," ","X"," ",Table43[[#This Row],[ISI/CTN]]," ",AD323," ",AF323," ",AJ323))))</f>
        <v>NYU HENNA SHAMPOO NATURAL BLACK X 72 PCS</v>
      </c>
      <c r="Q323" s="11">
        <f t="shared" si="9"/>
        <v>40</v>
      </c>
      <c r="S323" s="7" t="s">
        <v>34</v>
      </c>
      <c r="T323" s="4" t="s">
        <v>2358</v>
      </c>
      <c r="U323" s="47" t="s">
        <v>2567</v>
      </c>
      <c r="V323" s="48" t="s">
        <v>2228</v>
      </c>
      <c r="W323" s="7">
        <v>1</v>
      </c>
      <c r="X323" s="48"/>
      <c r="Y323" s="47" t="s">
        <v>1116</v>
      </c>
      <c r="Z323" s="4" t="s">
        <v>2392</v>
      </c>
      <c r="AA323" s="49" t="s">
        <v>2538</v>
      </c>
      <c r="AC323" s="49" t="s">
        <v>2460</v>
      </c>
      <c r="AD323" s="4" t="s">
        <v>185</v>
      </c>
      <c r="AE323" s="7">
        <v>1</v>
      </c>
      <c r="AG323" s="7">
        <v>0</v>
      </c>
      <c r="AK323" s="70">
        <f>Table43[[#This Row],[Column4]]</f>
        <v>30352050300020</v>
      </c>
      <c r="AN323" s="7">
        <f>Table43[[#This Row],[ISI/CTN]]</f>
        <v>72</v>
      </c>
      <c r="AO323" s="38">
        <f>Table43[[#This Row],[Harga Jual Pcs GT
(-PPN)]]-(Table43[[#This Row],[Harga Jual Pcs GT
(-PPN)]]*6.5%)</f>
        <v>8177.51</v>
      </c>
      <c r="AP323" s="38">
        <f>Table43[[#This Row],[Harga Beli Pcs
(-PPN)]]*Table43[[#This Row],[ISI/CTN]]</f>
        <v>588780.72</v>
      </c>
      <c r="AQ323" s="38">
        <f>Table43[[#This Row],[Harga Beli Pcs
(-PPN)]]*1.11</f>
        <v>9077.0361000000012</v>
      </c>
      <c r="AR323" s="38">
        <f>Table43[[#This Row],[Harga Beli Krt
(- PPN)]]*1.11</f>
        <v>653546.59920000006</v>
      </c>
      <c r="AS323" s="38">
        <v>8746</v>
      </c>
      <c r="AT323" s="38">
        <f>Table43[[#This Row],[Harga Jual Pcs GT
(-PPN)]]*Table43[[#This Row],[ISI/CTN]]</f>
        <v>629712</v>
      </c>
      <c r="AU323" s="38">
        <f>Table43[[#This Row],[Harga Jual Pcs GT
(-PPN)]]*1.11</f>
        <v>9708.0600000000013</v>
      </c>
      <c r="AV323" s="38">
        <f>Table43[[#This Row],[Harga Jual Krt GT
(- PPN)]]*1.11</f>
        <v>698980.32000000007</v>
      </c>
      <c r="AW323" s="38">
        <f>IFERROR(VLOOKUP(Table43[[#This Row],[Kode Pcpl]],'[1]FEB 2026'!$A$3:$X$312,24,0),0)</f>
        <v>0</v>
      </c>
      <c r="AX323" s="38">
        <f>Table43[[#This Row],[Harga Jual Pcs MT
(-PPN)]]*Table43[[#This Row],[ISI/CTN]]</f>
        <v>0</v>
      </c>
      <c r="AY323" s="38">
        <f>Table43[[#This Row],[Harga Jual Pcs MT
(-PPN)]]*1.11</f>
        <v>0</v>
      </c>
      <c r="AZ323" s="38">
        <f>Table43[[#This Row],[Harga Jual Pcs MT
(+PPN)]]*Table43[[#This Row],[ISI/CTN]]</f>
        <v>0</v>
      </c>
      <c r="BA323" s="46">
        <f>(Table43[[#This Row],[Harga Jual Pcs GT
(-PPN)]]-Table43[[#This Row],[Harga Beli Pcs
(-PPN)]])/Table43[[#This Row],[Harga Jual Pcs GT
(-PPN)]]</f>
        <v>6.4999999999999974E-2</v>
      </c>
      <c r="BB323" s="53">
        <f>Table43[[#This Row],[Harga Jual Pcs MT
(-PPN)]]-Table43[[#This Row],[Harga Beli Pcs
(-PPN)]]</f>
        <v>-8177.51</v>
      </c>
      <c r="BC323" s="54" t="e">
        <f>Table43[[#This Row],[Column1]]/Table43[[#This Row],[Harga Jual Pcs MT
(-PPN)]]</f>
        <v>#DIV/0!</v>
      </c>
      <c r="BD323" s="52"/>
      <c r="BE323" s="7"/>
      <c r="BF323" s="7" t="str">
        <f ca="1">IF(TODAY()-Table43[[#This Row],[Efektif
Pembuatan]]&gt;60,"Lama","Baru")</f>
        <v>Lama</v>
      </c>
      <c r="BG323" s="7" t="str">
        <f ca="1">IF(TODAY()-Table43[[#This Row],[Efektif Naik Harga]]&lt;30,"Naik","Sama")</f>
        <v>Sama</v>
      </c>
      <c r="BH323" s="7"/>
      <c r="BI323" s="7" t="str">
        <f>IF(Table43[[#This Row],[Kode BARANG Win2]]&lt;&gt;"","IDR","")</f>
        <v>IDR</v>
      </c>
      <c r="BJ323" s="7" t="str">
        <f>CONCATENATE(Table43[[#This Row],[kode  1 Digit
(Nomor)]],Table43[[#This Row],[kode  4 Digit                (Nomor)]])</f>
        <v>0000</v>
      </c>
      <c r="BK323" s="7">
        <f>Table43[[#This Row],[Nama            Gramasi atau Jumlah Pack per CTN]]</f>
        <v>0</v>
      </c>
      <c r="BL323" s="7"/>
      <c r="BM323" s="7"/>
      <c r="BN323" s="4" t="str">
        <f>IF(Table43[[#This Row],[SATUAN Fix Win]]&lt;&gt;"","KRT")</f>
        <v>KRT</v>
      </c>
      <c r="BO323" s="4" t="str">
        <f>IF(Table43[[#This Row],[SATUAN Fix Win]]&lt;&gt;"","GD01")</f>
        <v>GD01</v>
      </c>
      <c r="BP323" s="4">
        <f>IF(Table43[[#This Row],[SATUAN Fix Win]]&lt;&gt;"",11611)</f>
        <v>11611</v>
      </c>
      <c r="BQ323" s="4">
        <f>IF(Table43[[#This Row],[SATUAN Fix Win]]&lt;&gt;"",11612)</f>
        <v>11612</v>
      </c>
      <c r="BS323" s="4">
        <f>IF(Table43[[#This Row],[SATUAN Fix Win]]&lt;&gt;"",1)</f>
        <v>1</v>
      </c>
      <c r="BU323" s="4">
        <f>Table43[[#This Row],[ISI/CTN]]</f>
        <v>72</v>
      </c>
    </row>
    <row r="324" spans="1:73">
      <c r="A324" s="4" t="str">
        <f>CONCATENATE(Table43[[#This Row],[Kode BARANG Win2]],Table43[[#This Row],[No. Urut
Item Sama]])</f>
        <v>G1211003000010</v>
      </c>
      <c r="B324" s="7"/>
      <c r="C324" s="31">
        <v>30363010200000</v>
      </c>
      <c r="D324" s="59">
        <v>40035899</v>
      </c>
      <c r="E324" s="60" t="s">
        <v>2039</v>
      </c>
      <c r="F324" s="59">
        <v>30352050300020</v>
      </c>
      <c r="G324" s="59">
        <v>0</v>
      </c>
      <c r="H324" s="60" t="s">
        <v>1329</v>
      </c>
      <c r="I324" s="60">
        <v>72</v>
      </c>
      <c r="J324" s="59" t="s">
        <v>1726</v>
      </c>
      <c r="K324" s="60" t="str">
        <f>Table43[[#This Row],[NamaJenisKemasan]]</f>
        <v>PCS</v>
      </c>
      <c r="L324" s="4" t="str">
        <f>TRIM(CONCATENATE(Table43[[#This Row],[Nama            KLP]]," ",Table43[[#This Row],[Nama            Sub KLP]]))</f>
        <v>NYU HENNA SHAMPOO</v>
      </c>
      <c r="M324" s="4" t="str">
        <f>CONCATENATE(Table43[[#This Row],[kode  2 Digit                (hrf+No)]],Table43[[#This Row],[kode  2 Digit                (Nomor)]],Table43[[#This Row],[kode  1 Digit                (Nomor)]])</f>
        <v>G1211</v>
      </c>
      <c r="N324" s="4" t="str">
        <f>IF(AI324="",CONCATENATE(S324,U324,W324,Y324,AA324,AC324,AE324,AG324,Table43[[#This Row],[Tanda Kode Revisi]]),CONCATENATE(S324,U324,W324,Y324,AA324,AC324,AE324,AI324))</f>
        <v>G1211003000010</v>
      </c>
      <c r="O324" s="11">
        <f t="shared" si="8"/>
        <v>14</v>
      </c>
      <c r="P324" s="14" t="str">
        <f>IF(AH324&lt;&gt;"",TRIM(UPPER(CONCATENATE(R324," ",T324," ",V324," ",X324," ",Z324," ",AB324," ","X"," ",Table43[[#This Row],[ISI/CTN]]," ",AH324," ",AD324," ",AF324," ",AJ324))),TRIM(UPPER(CONCATENATE(R324," ",T324," ",V324," ",X324," ",Z324," ",AB324," ","X"," ",Table43[[#This Row],[ISI/CTN]]," ",AD324," ",AF324," ",AJ324))))</f>
        <v>NYU HENNA SHAMPOO NATURAL BLACK X 72 PCS</v>
      </c>
      <c r="Q324" s="11">
        <f t="shared" si="9"/>
        <v>40</v>
      </c>
      <c r="S324" s="7" t="s">
        <v>34</v>
      </c>
      <c r="T324" s="4" t="s">
        <v>2358</v>
      </c>
      <c r="U324" s="47" t="s">
        <v>2567</v>
      </c>
      <c r="V324" s="48" t="s">
        <v>2228</v>
      </c>
      <c r="W324" s="7">
        <v>1</v>
      </c>
      <c r="X324" s="48"/>
      <c r="Y324" s="47" t="s">
        <v>1116</v>
      </c>
      <c r="Z324" s="4" t="s">
        <v>2392</v>
      </c>
      <c r="AA324" s="49" t="s">
        <v>2538</v>
      </c>
      <c r="AC324" s="49" t="s">
        <v>2460</v>
      </c>
      <c r="AD324" s="4" t="s">
        <v>185</v>
      </c>
      <c r="AE324" s="7">
        <v>1</v>
      </c>
      <c r="AG324" s="7">
        <v>0</v>
      </c>
      <c r="AK324" s="70">
        <f>Table43[[#This Row],[Column4]]</f>
        <v>30352050300020</v>
      </c>
      <c r="AN324" s="7">
        <f>Table43[[#This Row],[ISI/CTN]]</f>
        <v>72</v>
      </c>
      <c r="AO324" s="38">
        <f>Table43[[#This Row],[Harga Jual Pcs GT
(-PPN)]]-(Table43[[#This Row],[Harga Jual Pcs GT
(-PPN)]]*6.5%)</f>
        <v>8177.51</v>
      </c>
      <c r="AP324" s="38">
        <f>Table43[[#This Row],[Harga Beli Pcs
(-PPN)]]*Table43[[#This Row],[ISI/CTN]]</f>
        <v>588780.72</v>
      </c>
      <c r="AQ324" s="38">
        <f>Table43[[#This Row],[Harga Beli Pcs
(-PPN)]]*1.11</f>
        <v>9077.0361000000012</v>
      </c>
      <c r="AR324" s="38">
        <f>Table43[[#This Row],[Harga Beli Krt
(- PPN)]]*1.11</f>
        <v>653546.59920000006</v>
      </c>
      <c r="AS324" s="38">
        <v>8746</v>
      </c>
      <c r="AT324" s="38">
        <f>Table43[[#This Row],[Harga Jual Pcs GT
(-PPN)]]*Table43[[#This Row],[ISI/CTN]]</f>
        <v>629712</v>
      </c>
      <c r="AU324" s="38">
        <f>Table43[[#This Row],[Harga Jual Pcs GT
(-PPN)]]*1.11</f>
        <v>9708.0600000000013</v>
      </c>
      <c r="AV324" s="38">
        <f>Table43[[#This Row],[Harga Jual Krt GT
(- PPN)]]*1.11</f>
        <v>698980.32000000007</v>
      </c>
      <c r="AW324" s="38">
        <f>IFERROR(VLOOKUP(Table43[[#This Row],[Kode Pcpl]],'[1]FEB 2026'!$A$3:$X$312,24,0),0)</f>
        <v>0</v>
      </c>
      <c r="AX324" s="38">
        <f>Table43[[#This Row],[Harga Jual Pcs MT
(-PPN)]]*Table43[[#This Row],[ISI/CTN]]</f>
        <v>0</v>
      </c>
      <c r="AY324" s="38">
        <f>Table43[[#This Row],[Harga Jual Pcs MT
(-PPN)]]*1.11</f>
        <v>0</v>
      </c>
      <c r="AZ324" s="38">
        <f>Table43[[#This Row],[Harga Jual Pcs MT
(+PPN)]]*Table43[[#This Row],[ISI/CTN]]</f>
        <v>0</v>
      </c>
      <c r="BA324" s="46">
        <f>(Table43[[#This Row],[Harga Jual Pcs GT
(-PPN)]]-Table43[[#This Row],[Harga Beli Pcs
(-PPN)]])/Table43[[#This Row],[Harga Jual Pcs GT
(-PPN)]]</f>
        <v>6.4999999999999974E-2</v>
      </c>
      <c r="BB324" s="53">
        <f>Table43[[#This Row],[Harga Jual Pcs MT
(-PPN)]]-Table43[[#This Row],[Harga Beli Pcs
(-PPN)]]</f>
        <v>-8177.51</v>
      </c>
      <c r="BC324" s="54" t="e">
        <f>Table43[[#This Row],[Column1]]/Table43[[#This Row],[Harga Jual Pcs MT
(-PPN)]]</f>
        <v>#DIV/0!</v>
      </c>
      <c r="BD324" s="52"/>
      <c r="BE324" s="7"/>
      <c r="BF324" s="7" t="str">
        <f ca="1">IF(TODAY()-Table43[[#This Row],[Efektif
Pembuatan]]&gt;60,"Lama","Baru")</f>
        <v>Lama</v>
      </c>
      <c r="BG324" s="7" t="str">
        <f ca="1">IF(TODAY()-Table43[[#This Row],[Efektif Naik Harga]]&lt;30,"Naik","Sama")</f>
        <v>Sama</v>
      </c>
      <c r="BH324" s="7"/>
      <c r="BI324" s="7" t="str">
        <f>IF(Table43[[#This Row],[Kode BARANG Win2]]&lt;&gt;"","IDR","")</f>
        <v>IDR</v>
      </c>
      <c r="BJ324" s="7" t="str">
        <f>CONCATENATE(Table43[[#This Row],[kode  1 Digit
(Nomor)]],Table43[[#This Row],[kode  4 Digit                (Nomor)]])</f>
        <v>0000</v>
      </c>
      <c r="BK324" s="7">
        <f>Table43[[#This Row],[Nama            Gramasi atau Jumlah Pack per CTN]]</f>
        <v>0</v>
      </c>
      <c r="BL324" s="7"/>
      <c r="BM324" s="7"/>
      <c r="BN324" s="4" t="str">
        <f>IF(Table43[[#This Row],[SATUAN Fix Win]]&lt;&gt;"","KRT")</f>
        <v>KRT</v>
      </c>
      <c r="BO324" s="4" t="str">
        <f>IF(Table43[[#This Row],[SATUAN Fix Win]]&lt;&gt;"","GD01")</f>
        <v>GD01</v>
      </c>
      <c r="BP324" s="4">
        <f>IF(Table43[[#This Row],[SATUAN Fix Win]]&lt;&gt;"",11611)</f>
        <v>11611</v>
      </c>
      <c r="BQ324" s="4">
        <f>IF(Table43[[#This Row],[SATUAN Fix Win]]&lt;&gt;"",11612)</f>
        <v>11612</v>
      </c>
      <c r="BS324" s="4">
        <f>IF(Table43[[#This Row],[SATUAN Fix Win]]&lt;&gt;"",1)</f>
        <v>1</v>
      </c>
      <c r="BU324" s="4">
        <f>Table43[[#This Row],[ISI/CTN]]</f>
        <v>72</v>
      </c>
    </row>
    <row r="325" spans="1:73">
      <c r="A325" s="4" t="str">
        <f>CONCATENATE(Table43[[#This Row],[Kode BARANG Win2]],Table43[[#This Row],[No. Urut
Item Sama]])</f>
        <v>G1211003000010</v>
      </c>
      <c r="B325" s="7"/>
      <c r="C325" s="31"/>
      <c r="D325" s="51">
        <v>40031266</v>
      </c>
      <c r="E325" s="27"/>
      <c r="F325" s="51"/>
      <c r="G325" s="51"/>
      <c r="H325" s="27"/>
      <c r="I325" s="27">
        <v>72</v>
      </c>
      <c r="J325" s="59" t="s">
        <v>1726</v>
      </c>
      <c r="K325" s="27" t="str">
        <f>Table43[[#This Row],[NamaJenisKemasan]]</f>
        <v>PCS</v>
      </c>
      <c r="L325" s="4" t="str">
        <f>TRIM(CONCATENATE(Table43[[#This Row],[Nama            KLP]]," ",Table43[[#This Row],[Nama            Sub KLP]]))</f>
        <v>NYU HENNA SHAMPOO</v>
      </c>
      <c r="M325" s="4" t="str">
        <f>CONCATENATE(Table43[[#This Row],[kode  2 Digit                (hrf+No)]],Table43[[#This Row],[kode  2 Digit                (Nomor)]],Table43[[#This Row],[kode  1 Digit                (Nomor)]])</f>
        <v>G1211</v>
      </c>
      <c r="N325" s="4" t="str">
        <f>IF(AI325="",CONCATENATE(S325,U325,W325,Y325,AA325,AC325,AE325,AG325,Table43[[#This Row],[Tanda Kode Revisi]]),CONCATENATE(S325,U325,W325,Y325,AA325,AC325,AE325,AI325))</f>
        <v>G1211003000010</v>
      </c>
      <c r="O325" s="11">
        <f>LEN(N325)</f>
        <v>14</v>
      </c>
      <c r="P325" s="14" t="str">
        <f>IF(AH325&lt;&gt;"",TRIM(UPPER(CONCATENATE(R325," ",T325," ",V325," ",X325," ",Z325," ",AB325," ","X"," ",Table43[[#This Row],[ISI/CTN]]," ",AH325," ",AD325," ",AF325," ",AJ325))),TRIM(UPPER(CONCATENATE(R325," ",T325," ",V325," ",X325," ",Z325," ",AB325," ","X"," ",Table43[[#This Row],[ISI/CTN]]," ",AD325," ",AF325," ",AJ325))))</f>
        <v>NYU HENNA SHAMPOO NATURAL BLACK X 72 PCS</v>
      </c>
      <c r="Q325" s="11">
        <f>LEN(P325)</f>
        <v>40</v>
      </c>
      <c r="S325" s="7" t="s">
        <v>34</v>
      </c>
      <c r="T325" s="4" t="s">
        <v>2358</v>
      </c>
      <c r="U325" s="47" t="s">
        <v>2567</v>
      </c>
      <c r="V325" s="48" t="s">
        <v>2228</v>
      </c>
      <c r="W325" s="7">
        <v>1</v>
      </c>
      <c r="X325" s="48"/>
      <c r="Y325" s="47" t="s">
        <v>1116</v>
      </c>
      <c r="Z325" s="4" t="s">
        <v>2392</v>
      </c>
      <c r="AA325" s="49" t="s">
        <v>2538</v>
      </c>
      <c r="AC325" s="49" t="s">
        <v>2460</v>
      </c>
      <c r="AD325" s="4" t="s">
        <v>185</v>
      </c>
      <c r="AE325" s="7">
        <v>1</v>
      </c>
      <c r="AG325" s="7">
        <v>0</v>
      </c>
      <c r="AK325" s="70">
        <f>Table43[[#This Row],[Column4]]</f>
        <v>0</v>
      </c>
      <c r="AN325" s="7">
        <f>Table43[[#This Row],[ISI/CTN]]</f>
        <v>72</v>
      </c>
      <c r="AO325" s="38">
        <f>Table43[[#This Row],[Harga Jual Pcs GT
(-PPN)]]-(Table43[[#This Row],[Harga Jual Pcs GT
(-PPN)]]*6.5%)</f>
        <v>0</v>
      </c>
      <c r="AP325" s="38">
        <f>Table43[[#This Row],[Harga Beli Pcs
(-PPN)]]*Table43[[#This Row],[ISI/CTN]]</f>
        <v>0</v>
      </c>
      <c r="AQ325" s="38">
        <f>Table43[[#This Row],[Harga Beli Pcs
(-PPN)]]*1.11</f>
        <v>0</v>
      </c>
      <c r="AR325" s="38">
        <f>Table43[[#This Row],[Harga Beli Krt
(- PPN)]]*1.11</f>
        <v>0</v>
      </c>
      <c r="AS325" s="38"/>
      <c r="AT325" s="38">
        <f>Table43[[#This Row],[Harga Jual Pcs GT
(-PPN)]]*Table43[[#This Row],[ISI/CTN]]</f>
        <v>0</v>
      </c>
      <c r="AU325" s="38">
        <f>Table43[[#This Row],[Harga Jual Pcs GT
(-PPN)]]*1.11</f>
        <v>0</v>
      </c>
      <c r="AV325" s="38">
        <f>Table43[[#This Row],[Harga Jual Krt GT
(- PPN)]]*1.11</f>
        <v>0</v>
      </c>
      <c r="AW325" s="38">
        <f>IFERROR(VLOOKUP(Table43[[#This Row],[Kode Pcpl]],'[1]FEB 2026'!$A$3:$X$312,24,0),0)</f>
        <v>0</v>
      </c>
      <c r="AX325" s="38">
        <f>Table43[[#This Row],[Harga Jual Pcs MT
(-PPN)]]*Table43[[#This Row],[ISI/CTN]]</f>
        <v>0</v>
      </c>
      <c r="AY325" s="38">
        <f>Table43[[#This Row],[Harga Jual Pcs MT
(-PPN)]]*1.11</f>
        <v>0</v>
      </c>
      <c r="AZ325" s="38">
        <f>Table43[[#This Row],[Harga Jual Pcs MT
(+PPN)]]*Table43[[#This Row],[ISI/CTN]]</f>
        <v>0</v>
      </c>
      <c r="BA325" s="46" t="e">
        <f>(Table43[[#This Row],[Harga Jual Pcs GT
(-PPN)]]-Table43[[#This Row],[Harga Beli Pcs
(-PPN)]])/Table43[[#This Row],[Harga Jual Pcs GT
(-PPN)]]</f>
        <v>#DIV/0!</v>
      </c>
      <c r="BB325" s="53">
        <f>Table43[[#This Row],[Harga Jual Pcs MT
(-PPN)]]-Table43[[#This Row],[Harga Beli Pcs
(-PPN)]]</f>
        <v>0</v>
      </c>
      <c r="BC325" s="54" t="e">
        <f>Table43[[#This Row],[Column1]]/Table43[[#This Row],[Harga Jual Pcs MT
(-PPN)]]</f>
        <v>#DIV/0!</v>
      </c>
      <c r="BD325" s="52"/>
      <c r="BE325" s="7"/>
      <c r="BF325" s="7" t="str">
        <f ca="1">IF(TODAY()-Table43[[#This Row],[Efektif
Pembuatan]]&gt;60,"Lama","Baru")</f>
        <v>Lama</v>
      </c>
      <c r="BG325" s="7" t="str">
        <f ca="1">IF(TODAY()-Table43[[#This Row],[Efektif Naik Harga]]&lt;30,"Naik","Sama")</f>
        <v>Sama</v>
      </c>
      <c r="BH325" s="7"/>
      <c r="BI325" s="7" t="str">
        <f>IF(Table43[[#This Row],[Kode BARANG Win2]]&lt;&gt;"","IDR","")</f>
        <v>IDR</v>
      </c>
      <c r="BJ325" s="7" t="str">
        <f>CONCATENATE(Table43[[#This Row],[kode  1 Digit
(Nomor)]],Table43[[#This Row],[kode  4 Digit                (Nomor)]])</f>
        <v>0000</v>
      </c>
      <c r="BK325" s="7">
        <f>Table43[[#This Row],[Nama            Gramasi atau Jumlah Pack per CTN]]</f>
        <v>0</v>
      </c>
      <c r="BL325" s="7"/>
      <c r="BM325" s="7"/>
      <c r="BN325" s="4" t="str">
        <f>IF(Table43[[#This Row],[SATUAN Fix Win]]&lt;&gt;"","KRT")</f>
        <v>KRT</v>
      </c>
      <c r="BO325" s="4" t="str">
        <f>IF(Table43[[#This Row],[SATUAN Fix Win]]&lt;&gt;"","GD01")</f>
        <v>GD01</v>
      </c>
      <c r="BP325" s="4">
        <f>IF(Table43[[#This Row],[SATUAN Fix Win]]&lt;&gt;"",11611)</f>
        <v>11611</v>
      </c>
      <c r="BQ325" s="4">
        <f>IF(Table43[[#This Row],[SATUAN Fix Win]]&lt;&gt;"",11612)</f>
        <v>11612</v>
      </c>
      <c r="BS325" s="4">
        <f>IF(Table43[[#This Row],[SATUAN Fix Win]]&lt;&gt;"",1)</f>
        <v>1</v>
      </c>
      <c r="BU325" s="4">
        <f>Table43[[#This Row],[ISI/CTN]]</f>
        <v>72</v>
      </c>
    </row>
    <row r="326" spans="1:73">
      <c r="A326" s="4" t="str">
        <f>CONCATENATE(Table43[[#This Row],[Kode BARANG Win2]],Table43[[#This Row],[No. Urut
Item Sama]])</f>
        <v>G1211004000010</v>
      </c>
      <c r="B326" s="7"/>
      <c r="C326" s="31">
        <v>30363010000000</v>
      </c>
      <c r="D326" s="59">
        <v>40057117</v>
      </c>
      <c r="E326" s="60" t="s">
        <v>2040</v>
      </c>
      <c r="F326" s="59">
        <v>30352060300020</v>
      </c>
      <c r="G326" s="59">
        <v>0</v>
      </c>
      <c r="H326" s="60" t="s">
        <v>1332</v>
      </c>
      <c r="I326" s="60">
        <v>72</v>
      </c>
      <c r="J326" s="59" t="s">
        <v>1727</v>
      </c>
      <c r="K326" s="60" t="str">
        <f>Table43[[#This Row],[NamaJenisKemasan]]</f>
        <v>PCS</v>
      </c>
      <c r="L326" s="4" t="str">
        <f>TRIM(CONCATENATE(Table43[[#This Row],[Nama            KLP]]," ",Table43[[#This Row],[Nama            Sub KLP]]))</f>
        <v>NYU HENNA SHAMPOO</v>
      </c>
      <c r="M326" s="4" t="str">
        <f>CONCATENATE(Table43[[#This Row],[kode  2 Digit                (hrf+No)]],Table43[[#This Row],[kode  2 Digit                (Nomor)]],Table43[[#This Row],[kode  1 Digit                (Nomor)]])</f>
        <v>G1211</v>
      </c>
      <c r="N326" s="4" t="str">
        <f>IF(AI326="",CONCATENATE(S326,U326,W326,Y326,AA326,AC326,AE326,AG326,Table43[[#This Row],[Tanda Kode Revisi]]),CONCATENATE(S326,U326,W326,Y326,AA326,AC326,AE326,AI326))</f>
        <v>G1211004000010</v>
      </c>
      <c r="O326" s="11">
        <f t="shared" si="8"/>
        <v>14</v>
      </c>
      <c r="P326" s="14" t="str">
        <f>IF(AH326&lt;&gt;"",TRIM(UPPER(CONCATENATE(R326," ",T326," ",V326," ",X326," ",Z326," ",AB326," ","X"," ",Table43[[#This Row],[ISI/CTN]]," ",AH326," ",AD326," ",AF326," ",AJ326))),TRIM(UPPER(CONCATENATE(R326," ",T326," ",V326," ",X326," ",Z326," ",AB326," ","X"," ",Table43[[#This Row],[ISI/CTN]]," ",AD326," ",AF326," ",AJ326))))</f>
        <v>NYU HENNA SHAMPOO NATURAL BROWN X 72 PCS</v>
      </c>
      <c r="Q326" s="11">
        <f t="shared" si="9"/>
        <v>40</v>
      </c>
      <c r="S326" s="7" t="s">
        <v>34</v>
      </c>
      <c r="T326" s="4" t="s">
        <v>2358</v>
      </c>
      <c r="U326" s="47" t="s">
        <v>2567</v>
      </c>
      <c r="V326" s="48" t="s">
        <v>2228</v>
      </c>
      <c r="W326" s="7">
        <v>1</v>
      </c>
      <c r="X326" s="48"/>
      <c r="Y326" s="47" t="s">
        <v>1116</v>
      </c>
      <c r="Z326" s="4" t="s">
        <v>2393</v>
      </c>
      <c r="AA326" s="49" t="s">
        <v>2540</v>
      </c>
      <c r="AC326" s="49" t="s">
        <v>2460</v>
      </c>
      <c r="AD326" s="4" t="s">
        <v>185</v>
      </c>
      <c r="AE326" s="7">
        <v>1</v>
      </c>
      <c r="AG326" s="7">
        <v>0</v>
      </c>
      <c r="AK326" s="70">
        <f>Table43[[#This Row],[Column4]]</f>
        <v>30352060300020</v>
      </c>
      <c r="AN326" s="7">
        <f>Table43[[#This Row],[ISI/CTN]]</f>
        <v>72</v>
      </c>
      <c r="AO326" s="38">
        <f>Table43[[#This Row],[Harga Jual Pcs GT
(-PPN)]]-(Table43[[#This Row],[Harga Jual Pcs GT
(-PPN)]]*6.5%)</f>
        <v>8177.51</v>
      </c>
      <c r="AP326" s="38">
        <f>Table43[[#This Row],[Harga Beli Pcs
(-PPN)]]*Table43[[#This Row],[ISI/CTN]]</f>
        <v>588780.72</v>
      </c>
      <c r="AQ326" s="38">
        <f>Table43[[#This Row],[Harga Beli Pcs
(-PPN)]]*1.11</f>
        <v>9077.0361000000012</v>
      </c>
      <c r="AR326" s="38">
        <f>Table43[[#This Row],[Harga Beli Krt
(- PPN)]]*1.11</f>
        <v>653546.59920000006</v>
      </c>
      <c r="AS326" s="38">
        <v>8746</v>
      </c>
      <c r="AT326" s="38">
        <f>Table43[[#This Row],[Harga Jual Pcs GT
(-PPN)]]*Table43[[#This Row],[ISI/CTN]]</f>
        <v>629712</v>
      </c>
      <c r="AU326" s="38">
        <f>Table43[[#This Row],[Harga Jual Pcs GT
(-PPN)]]*1.11</f>
        <v>9708.0600000000013</v>
      </c>
      <c r="AV326" s="38">
        <f>Table43[[#This Row],[Harga Jual Krt GT
(- PPN)]]*1.11</f>
        <v>698980.32000000007</v>
      </c>
      <c r="AW326" s="38">
        <f>IFERROR(VLOOKUP(Table43[[#This Row],[Kode Pcpl]],'[1]FEB 2026'!$A$3:$X$312,24,0),0)</f>
        <v>0</v>
      </c>
      <c r="AX326" s="38">
        <f>Table43[[#This Row],[Harga Jual Pcs MT
(-PPN)]]*Table43[[#This Row],[ISI/CTN]]</f>
        <v>0</v>
      </c>
      <c r="AY326" s="38">
        <f>Table43[[#This Row],[Harga Jual Pcs MT
(-PPN)]]*1.11</f>
        <v>0</v>
      </c>
      <c r="AZ326" s="38">
        <f>Table43[[#This Row],[Harga Jual Pcs MT
(+PPN)]]*Table43[[#This Row],[ISI/CTN]]</f>
        <v>0</v>
      </c>
      <c r="BA326" s="46">
        <f>(Table43[[#This Row],[Harga Jual Pcs GT
(-PPN)]]-Table43[[#This Row],[Harga Beli Pcs
(-PPN)]])/Table43[[#This Row],[Harga Jual Pcs GT
(-PPN)]]</f>
        <v>6.4999999999999974E-2</v>
      </c>
      <c r="BB326" s="53">
        <f>Table43[[#This Row],[Harga Jual Pcs MT
(-PPN)]]-Table43[[#This Row],[Harga Beli Pcs
(-PPN)]]</f>
        <v>-8177.51</v>
      </c>
      <c r="BC326" s="54" t="e">
        <f>Table43[[#This Row],[Column1]]/Table43[[#This Row],[Harga Jual Pcs MT
(-PPN)]]</f>
        <v>#DIV/0!</v>
      </c>
      <c r="BD326" s="52"/>
      <c r="BE326" s="7"/>
      <c r="BF326" s="7" t="str">
        <f ca="1">IF(TODAY()-Table43[[#This Row],[Efektif
Pembuatan]]&gt;60,"Lama","Baru")</f>
        <v>Lama</v>
      </c>
      <c r="BG326" s="7" t="str">
        <f ca="1">IF(TODAY()-Table43[[#This Row],[Efektif Naik Harga]]&lt;30,"Naik","Sama")</f>
        <v>Sama</v>
      </c>
      <c r="BH326" s="7"/>
      <c r="BI326" s="7" t="str">
        <f>IF(Table43[[#This Row],[Kode BARANG Win2]]&lt;&gt;"","IDR","")</f>
        <v>IDR</v>
      </c>
      <c r="BJ326" s="7" t="str">
        <f>CONCATENATE(Table43[[#This Row],[kode  1 Digit
(Nomor)]],Table43[[#This Row],[kode  4 Digit                (Nomor)]])</f>
        <v>0000</v>
      </c>
      <c r="BK326" s="7">
        <f>Table43[[#This Row],[Nama            Gramasi atau Jumlah Pack per CTN]]</f>
        <v>0</v>
      </c>
      <c r="BL326" s="7"/>
      <c r="BM326" s="7"/>
      <c r="BN326" s="4" t="str">
        <f>IF(Table43[[#This Row],[SATUAN Fix Win]]&lt;&gt;"","KRT")</f>
        <v>KRT</v>
      </c>
      <c r="BO326" s="4" t="str">
        <f>IF(Table43[[#This Row],[SATUAN Fix Win]]&lt;&gt;"","GD01")</f>
        <v>GD01</v>
      </c>
      <c r="BP326" s="4">
        <f>IF(Table43[[#This Row],[SATUAN Fix Win]]&lt;&gt;"",11611)</f>
        <v>11611</v>
      </c>
      <c r="BQ326" s="4">
        <f>IF(Table43[[#This Row],[SATUAN Fix Win]]&lt;&gt;"",11612)</f>
        <v>11612</v>
      </c>
      <c r="BS326" s="4">
        <f>IF(Table43[[#This Row],[SATUAN Fix Win]]&lt;&gt;"",1)</f>
        <v>1</v>
      </c>
      <c r="BU326" s="4">
        <f>Table43[[#This Row],[ISI/CTN]]</f>
        <v>72</v>
      </c>
    </row>
    <row r="327" spans="1:73">
      <c r="A327" s="4" t="str">
        <f>CONCATENATE(Table43[[#This Row],[Kode BARANG Win2]],Table43[[#This Row],[No. Urut
Item Sama]])</f>
        <v>G1211004000010</v>
      </c>
      <c r="B327" s="7"/>
      <c r="C327" s="31">
        <v>30364010100000</v>
      </c>
      <c r="D327" s="51">
        <v>40035900</v>
      </c>
      <c r="E327" s="27" t="s">
        <v>2040</v>
      </c>
      <c r="F327" s="51">
        <v>30352060300020</v>
      </c>
      <c r="G327" s="51">
        <v>0</v>
      </c>
      <c r="H327" s="27" t="s">
        <v>1331</v>
      </c>
      <c r="I327" s="27">
        <v>72</v>
      </c>
      <c r="J327" s="51" t="s">
        <v>1727</v>
      </c>
      <c r="K327" s="27" t="str">
        <f>Table43[[#This Row],[NamaJenisKemasan]]</f>
        <v>PCS</v>
      </c>
      <c r="L327" s="4" t="str">
        <f>TRIM(CONCATENATE(Table43[[#This Row],[Nama            KLP]]," ",Table43[[#This Row],[Nama            Sub KLP]]))</f>
        <v>NYU HENNA SHAMPOO</v>
      </c>
      <c r="M327" s="4" t="str">
        <f>CONCATENATE(Table43[[#This Row],[kode  2 Digit                (hrf+No)]],Table43[[#This Row],[kode  2 Digit                (Nomor)]],Table43[[#This Row],[kode  1 Digit                (Nomor)]])</f>
        <v>G1211</v>
      </c>
      <c r="N327" s="4" t="str">
        <f>IF(AI327="",CONCATENATE(S327,U327,W327,Y327,AA327,AC327,AE327,AG327,Table43[[#This Row],[Tanda Kode Revisi]]),CONCATENATE(S327,U327,W327,Y327,AA327,AC327,AE327,AI327))</f>
        <v>G1211004000010</v>
      </c>
      <c r="O327" s="11">
        <f t="shared" si="8"/>
        <v>14</v>
      </c>
      <c r="P327" s="14" t="str">
        <f>IF(AH327&lt;&gt;"",TRIM(UPPER(CONCATENATE(R327," ",T327," ",V327," ",X327," ",Z327," ",AB327," ","X"," ",Table43[[#This Row],[ISI/CTN]]," ",AH327," ",AD327," ",AF327," ",AJ327))),TRIM(UPPER(CONCATENATE(R327," ",T327," ",V327," ",X327," ",Z327," ",AB327," ","X"," ",Table43[[#This Row],[ISI/CTN]]," ",AD327," ",AF327," ",AJ327))))</f>
        <v>NYU HENNA SHAMPOO NATURAL BROWN X 72 PCS</v>
      </c>
      <c r="Q327" s="11">
        <f t="shared" si="9"/>
        <v>40</v>
      </c>
      <c r="S327" s="7" t="s">
        <v>34</v>
      </c>
      <c r="T327" s="4" t="s">
        <v>2358</v>
      </c>
      <c r="U327" s="47" t="s">
        <v>2567</v>
      </c>
      <c r="V327" s="48" t="s">
        <v>2228</v>
      </c>
      <c r="W327" s="7">
        <v>1</v>
      </c>
      <c r="X327" s="48"/>
      <c r="Y327" s="47" t="s">
        <v>1116</v>
      </c>
      <c r="Z327" s="4" t="s">
        <v>2393</v>
      </c>
      <c r="AA327" s="49" t="s">
        <v>2540</v>
      </c>
      <c r="AC327" s="49" t="s">
        <v>2460</v>
      </c>
      <c r="AD327" s="4" t="s">
        <v>185</v>
      </c>
      <c r="AE327" s="7">
        <v>1</v>
      </c>
      <c r="AG327" s="7">
        <v>0</v>
      </c>
      <c r="AK327" s="70">
        <f>Table43[[#This Row],[Column4]]</f>
        <v>30352060300020</v>
      </c>
      <c r="AN327" s="7">
        <f>Table43[[#This Row],[ISI/CTN]]</f>
        <v>72</v>
      </c>
      <c r="AO327" s="38">
        <f>Table43[[#This Row],[Harga Jual Pcs GT
(-PPN)]]-(Table43[[#This Row],[Harga Jual Pcs GT
(-PPN)]]*6.5%)</f>
        <v>8177.51</v>
      </c>
      <c r="AP327" s="38">
        <f>Table43[[#This Row],[Harga Beli Pcs
(-PPN)]]*Table43[[#This Row],[ISI/CTN]]</f>
        <v>588780.72</v>
      </c>
      <c r="AQ327" s="38">
        <f>Table43[[#This Row],[Harga Beli Pcs
(-PPN)]]*1.11</f>
        <v>9077.0361000000012</v>
      </c>
      <c r="AR327" s="38">
        <f>Table43[[#This Row],[Harga Beli Krt
(- PPN)]]*1.11</f>
        <v>653546.59920000006</v>
      </c>
      <c r="AS327" s="38">
        <v>8746</v>
      </c>
      <c r="AT327" s="38">
        <f>Table43[[#This Row],[Harga Jual Pcs GT
(-PPN)]]*Table43[[#This Row],[ISI/CTN]]</f>
        <v>629712</v>
      </c>
      <c r="AU327" s="38">
        <f>Table43[[#This Row],[Harga Jual Pcs GT
(-PPN)]]*1.11</f>
        <v>9708.0600000000013</v>
      </c>
      <c r="AV327" s="38">
        <f>Table43[[#This Row],[Harga Jual Krt GT
(- PPN)]]*1.11</f>
        <v>698980.32000000007</v>
      </c>
      <c r="AW327" s="38">
        <f>IFERROR(VLOOKUP(Table43[[#This Row],[Kode Pcpl]],'[1]FEB 2026'!$A$3:$X$312,24,0),0)</f>
        <v>0</v>
      </c>
      <c r="AX327" s="38">
        <f>Table43[[#This Row],[Harga Jual Pcs MT
(-PPN)]]*Table43[[#This Row],[ISI/CTN]]</f>
        <v>0</v>
      </c>
      <c r="AY327" s="38">
        <f>Table43[[#This Row],[Harga Jual Pcs MT
(-PPN)]]*1.11</f>
        <v>0</v>
      </c>
      <c r="AZ327" s="38">
        <f>Table43[[#This Row],[Harga Jual Pcs MT
(+PPN)]]*Table43[[#This Row],[ISI/CTN]]</f>
        <v>0</v>
      </c>
      <c r="BA327" s="46">
        <f>(Table43[[#This Row],[Harga Jual Pcs GT
(-PPN)]]-Table43[[#This Row],[Harga Beli Pcs
(-PPN)]])/Table43[[#This Row],[Harga Jual Pcs GT
(-PPN)]]</f>
        <v>6.4999999999999974E-2</v>
      </c>
      <c r="BB327" s="53">
        <f>Table43[[#This Row],[Harga Jual Pcs MT
(-PPN)]]-Table43[[#This Row],[Harga Beli Pcs
(-PPN)]]</f>
        <v>-8177.51</v>
      </c>
      <c r="BC327" s="54" t="e">
        <f>Table43[[#This Row],[Column1]]/Table43[[#This Row],[Harga Jual Pcs MT
(-PPN)]]</f>
        <v>#DIV/0!</v>
      </c>
      <c r="BD327" s="52"/>
      <c r="BE327" s="7"/>
      <c r="BF327" s="7" t="str">
        <f ca="1">IF(TODAY()-Table43[[#This Row],[Efektif
Pembuatan]]&gt;60,"Lama","Baru")</f>
        <v>Lama</v>
      </c>
      <c r="BG327" s="7" t="str">
        <f ca="1">IF(TODAY()-Table43[[#This Row],[Efektif Naik Harga]]&lt;30,"Naik","Sama")</f>
        <v>Sama</v>
      </c>
      <c r="BH327" s="7"/>
      <c r="BI327" s="7" t="str">
        <f>IF(Table43[[#This Row],[Kode BARANG Win2]]&lt;&gt;"","IDR","")</f>
        <v>IDR</v>
      </c>
      <c r="BJ327" s="7" t="str">
        <f>CONCATENATE(Table43[[#This Row],[kode  1 Digit
(Nomor)]],Table43[[#This Row],[kode  4 Digit                (Nomor)]])</f>
        <v>0000</v>
      </c>
      <c r="BK327" s="7">
        <f>Table43[[#This Row],[Nama            Gramasi atau Jumlah Pack per CTN]]</f>
        <v>0</v>
      </c>
      <c r="BL327" s="7"/>
      <c r="BM327" s="7"/>
      <c r="BN327" s="4" t="str">
        <f>IF(Table43[[#This Row],[SATUAN Fix Win]]&lt;&gt;"","KRT")</f>
        <v>KRT</v>
      </c>
      <c r="BO327" s="4" t="str">
        <f>IF(Table43[[#This Row],[SATUAN Fix Win]]&lt;&gt;"","GD01")</f>
        <v>GD01</v>
      </c>
      <c r="BP327" s="4">
        <f>IF(Table43[[#This Row],[SATUAN Fix Win]]&lt;&gt;"",11611)</f>
        <v>11611</v>
      </c>
      <c r="BQ327" s="4">
        <f>IF(Table43[[#This Row],[SATUAN Fix Win]]&lt;&gt;"",11612)</f>
        <v>11612</v>
      </c>
      <c r="BS327" s="4">
        <f>IF(Table43[[#This Row],[SATUAN Fix Win]]&lt;&gt;"",1)</f>
        <v>1</v>
      </c>
      <c r="BU327" s="4">
        <f>Table43[[#This Row],[ISI/CTN]]</f>
        <v>72</v>
      </c>
    </row>
    <row r="328" spans="1:73">
      <c r="A328" s="4" t="str">
        <f>CONCATENATE(Table43[[#This Row],[Kode BARANG Win2]],Table43[[#This Row],[No. Urut
Item Sama]])</f>
        <v>G1211004000010</v>
      </c>
      <c r="B328" s="7"/>
      <c r="C328" s="31"/>
      <c r="D328" s="51">
        <v>40031267</v>
      </c>
      <c r="E328" s="27"/>
      <c r="F328" s="51"/>
      <c r="G328" s="51"/>
      <c r="H328" s="27"/>
      <c r="I328" s="27">
        <v>72</v>
      </c>
      <c r="J328" s="51" t="s">
        <v>1727</v>
      </c>
      <c r="K328" s="27" t="str">
        <f>Table43[[#This Row],[NamaJenisKemasan]]</f>
        <v>PCS</v>
      </c>
      <c r="L328" s="4" t="str">
        <f>TRIM(CONCATENATE(Table43[[#This Row],[Nama            KLP]]," ",Table43[[#This Row],[Nama            Sub KLP]]))</f>
        <v>NYU HENNA SHAMPOO</v>
      </c>
      <c r="M328" s="4" t="str">
        <f>CONCATENATE(Table43[[#This Row],[kode  2 Digit                (hrf+No)]],Table43[[#This Row],[kode  2 Digit                (Nomor)]],Table43[[#This Row],[kode  1 Digit                (Nomor)]])</f>
        <v>G1211</v>
      </c>
      <c r="N328" s="4" t="str">
        <f>IF(AI328="",CONCATENATE(S328,U328,W328,Y328,AA328,AC328,AE328,AG328,Table43[[#This Row],[Tanda Kode Revisi]]),CONCATENATE(S328,U328,W328,Y328,AA328,AC328,AE328,AI328))</f>
        <v>G1211004000010</v>
      </c>
      <c r="O328" s="11">
        <f>LEN(N328)</f>
        <v>14</v>
      </c>
      <c r="P328" s="14" t="str">
        <f>IF(AH328&lt;&gt;"",TRIM(UPPER(CONCATENATE(R328," ",T328," ",V328," ",X328," ",Z328," ",AB328," ","X"," ",Table43[[#This Row],[ISI/CTN]]," ",AH328," ",AD328," ",AF328," ",AJ328))),TRIM(UPPER(CONCATENATE(R328," ",T328," ",V328," ",X328," ",Z328," ",AB328," ","X"," ",Table43[[#This Row],[ISI/CTN]]," ",AD328," ",AF328," ",AJ328))))</f>
        <v>NYU HENNA SHAMPOO NATURAL BROWN X 72 PCS</v>
      </c>
      <c r="Q328" s="11">
        <f>LEN(P328)</f>
        <v>40</v>
      </c>
      <c r="S328" s="7" t="s">
        <v>34</v>
      </c>
      <c r="T328" s="4" t="s">
        <v>2358</v>
      </c>
      <c r="U328" s="47" t="s">
        <v>2567</v>
      </c>
      <c r="V328" s="48" t="s">
        <v>2228</v>
      </c>
      <c r="W328" s="7">
        <v>1</v>
      </c>
      <c r="X328" s="48"/>
      <c r="Y328" s="47" t="s">
        <v>1116</v>
      </c>
      <c r="Z328" s="4" t="s">
        <v>2393</v>
      </c>
      <c r="AA328" s="49" t="s">
        <v>2540</v>
      </c>
      <c r="AC328" s="49" t="s">
        <v>2460</v>
      </c>
      <c r="AD328" s="4" t="s">
        <v>185</v>
      </c>
      <c r="AE328" s="7">
        <v>1</v>
      </c>
      <c r="AG328" s="7">
        <v>0</v>
      </c>
      <c r="AK328" s="70">
        <f>Table43[[#This Row],[Column4]]</f>
        <v>0</v>
      </c>
      <c r="AN328" s="7">
        <f>Table43[[#This Row],[ISI/CTN]]</f>
        <v>72</v>
      </c>
      <c r="AO328" s="38">
        <f>Table43[[#This Row],[Harga Jual Pcs GT
(-PPN)]]-(Table43[[#This Row],[Harga Jual Pcs GT
(-PPN)]]*6.5%)</f>
        <v>0</v>
      </c>
      <c r="AP328" s="38">
        <f>Table43[[#This Row],[Harga Beli Pcs
(-PPN)]]*Table43[[#This Row],[ISI/CTN]]</f>
        <v>0</v>
      </c>
      <c r="AQ328" s="38">
        <f>Table43[[#This Row],[Harga Beli Pcs
(-PPN)]]*1.11</f>
        <v>0</v>
      </c>
      <c r="AR328" s="38">
        <f>Table43[[#This Row],[Harga Beli Krt
(- PPN)]]*1.11</f>
        <v>0</v>
      </c>
      <c r="AS328" s="38"/>
      <c r="AT328" s="38">
        <f>Table43[[#This Row],[Harga Jual Pcs GT
(-PPN)]]*Table43[[#This Row],[ISI/CTN]]</f>
        <v>0</v>
      </c>
      <c r="AU328" s="38">
        <f>Table43[[#This Row],[Harga Jual Pcs GT
(-PPN)]]*1.11</f>
        <v>0</v>
      </c>
      <c r="AV328" s="38">
        <f>Table43[[#This Row],[Harga Jual Krt GT
(- PPN)]]*1.11</f>
        <v>0</v>
      </c>
      <c r="AW328" s="38">
        <f>IFERROR(VLOOKUP(Table43[[#This Row],[Kode Pcpl]],'[1]FEB 2026'!$A$3:$X$312,24,0),0)</f>
        <v>0</v>
      </c>
      <c r="AX328" s="38">
        <f>Table43[[#This Row],[Harga Jual Pcs MT
(-PPN)]]*Table43[[#This Row],[ISI/CTN]]</f>
        <v>0</v>
      </c>
      <c r="AY328" s="38">
        <f>Table43[[#This Row],[Harga Jual Pcs MT
(-PPN)]]*1.11</f>
        <v>0</v>
      </c>
      <c r="AZ328" s="38">
        <f>Table43[[#This Row],[Harga Jual Pcs MT
(+PPN)]]*Table43[[#This Row],[ISI/CTN]]</f>
        <v>0</v>
      </c>
      <c r="BA328" s="46" t="e">
        <f>(Table43[[#This Row],[Harga Jual Pcs GT
(-PPN)]]-Table43[[#This Row],[Harga Beli Pcs
(-PPN)]])/Table43[[#This Row],[Harga Jual Pcs GT
(-PPN)]]</f>
        <v>#DIV/0!</v>
      </c>
      <c r="BB328" s="53">
        <f>Table43[[#This Row],[Harga Jual Pcs MT
(-PPN)]]-Table43[[#This Row],[Harga Beli Pcs
(-PPN)]]</f>
        <v>0</v>
      </c>
      <c r="BC328" s="54" t="e">
        <f>Table43[[#This Row],[Column1]]/Table43[[#This Row],[Harga Jual Pcs MT
(-PPN)]]</f>
        <v>#DIV/0!</v>
      </c>
      <c r="BD328" s="52"/>
      <c r="BE328" s="7"/>
      <c r="BF328" s="7" t="str">
        <f ca="1">IF(TODAY()-Table43[[#This Row],[Efektif
Pembuatan]]&gt;60,"Lama","Baru")</f>
        <v>Lama</v>
      </c>
      <c r="BG328" s="7" t="str">
        <f ca="1">IF(TODAY()-Table43[[#This Row],[Efektif Naik Harga]]&lt;30,"Naik","Sama")</f>
        <v>Sama</v>
      </c>
      <c r="BH328" s="7"/>
      <c r="BI328" s="7" t="str">
        <f>IF(Table43[[#This Row],[Kode BARANG Win2]]&lt;&gt;"","IDR","")</f>
        <v>IDR</v>
      </c>
      <c r="BJ328" s="7" t="str">
        <f>CONCATENATE(Table43[[#This Row],[kode  1 Digit
(Nomor)]],Table43[[#This Row],[kode  4 Digit                (Nomor)]])</f>
        <v>0000</v>
      </c>
      <c r="BK328" s="7">
        <f>Table43[[#This Row],[Nama            Gramasi atau Jumlah Pack per CTN]]</f>
        <v>0</v>
      </c>
      <c r="BL328" s="7"/>
      <c r="BM328" s="7"/>
      <c r="BN328" s="4" t="str">
        <f>IF(Table43[[#This Row],[SATUAN Fix Win]]&lt;&gt;"","KRT")</f>
        <v>KRT</v>
      </c>
      <c r="BO328" s="4" t="str">
        <f>IF(Table43[[#This Row],[SATUAN Fix Win]]&lt;&gt;"","GD01")</f>
        <v>GD01</v>
      </c>
      <c r="BP328" s="4">
        <f>IF(Table43[[#This Row],[SATUAN Fix Win]]&lt;&gt;"",11611)</f>
        <v>11611</v>
      </c>
      <c r="BQ328" s="4">
        <f>IF(Table43[[#This Row],[SATUAN Fix Win]]&lt;&gt;"",11612)</f>
        <v>11612</v>
      </c>
      <c r="BS328" s="4">
        <f>IF(Table43[[#This Row],[SATUAN Fix Win]]&lt;&gt;"",1)</f>
        <v>1</v>
      </c>
      <c r="BU328" s="4">
        <f>Table43[[#This Row],[ISI/CTN]]</f>
        <v>72</v>
      </c>
    </row>
    <row r="329" spans="1:73">
      <c r="A329" s="4" t="str">
        <f>CONCATENATE(Table43[[#This Row],[Kode BARANG Win2]],Table43[[#This Row],[No. Urut
Item Sama]])</f>
        <v>G1221001010010</v>
      </c>
      <c r="B329" s="7"/>
      <c r="C329" s="31">
        <v>30364020100000</v>
      </c>
      <c r="D329" s="51">
        <v>40039309</v>
      </c>
      <c r="E329" s="27" t="s">
        <v>2043</v>
      </c>
      <c r="F329" s="51">
        <v>30360090100000</v>
      </c>
      <c r="G329" s="51">
        <v>0</v>
      </c>
      <c r="H329" s="27" t="s">
        <v>1335</v>
      </c>
      <c r="I329" s="27">
        <v>24</v>
      </c>
      <c r="J329" s="51" t="s">
        <v>1730</v>
      </c>
      <c r="K329" s="27" t="str">
        <f>Table43[[#This Row],[NamaJenisKemasan]]</f>
        <v>PCS</v>
      </c>
      <c r="L329" s="4" t="str">
        <f>TRIM(CONCATENATE(Table43[[#This Row],[Nama            KLP]]," ",Table43[[#This Row],[Nama            Sub KLP]]))</f>
        <v>POLYTEX KANTONG SAMPAH</v>
      </c>
      <c r="M329" s="4" t="str">
        <f>CONCATENATE(Table43[[#This Row],[kode  2 Digit                (hrf+No)]],Table43[[#This Row],[kode  2 Digit                (Nomor)]],Table43[[#This Row],[kode  1 Digit                (Nomor)]])</f>
        <v>G1221</v>
      </c>
      <c r="N329" s="4" t="str">
        <f>IF(AI329="",CONCATENATE(S329,U329,W329,Y329,AA329,AC329,AE329,AG329,Table43[[#This Row],[Tanda Kode Revisi]]),CONCATENATE(S329,U329,W329,Y329,AA329,AC329,AE329,AI329))</f>
        <v>G1221001010010</v>
      </c>
      <c r="O329" s="11">
        <f t="shared" si="8"/>
        <v>14</v>
      </c>
      <c r="P329" s="14" t="str">
        <f>IF(AH329&lt;&gt;"",TRIM(UPPER(CONCATENATE(R329," ",T329," ",V329," ",X329," ",Z329," ",AB329," ","X"," ",Table43[[#This Row],[ISI/CTN]]," ",AH329," ",AD329," ",AF329," ",AJ329))),TRIM(UPPER(CONCATENATE(R329," ",T329," ",V329," ",X329," ",Z329," ",AB329," ","X"," ",Table43[[#This Row],[ISI/CTN]]," ",AD329," ",AF329," ",AJ329))))</f>
        <v>POLYTEX KANTONG SAMPAH L 100CM X 24 PCS</v>
      </c>
      <c r="Q329" s="11">
        <f t="shared" si="9"/>
        <v>39</v>
      </c>
      <c r="S329" s="7" t="s">
        <v>34</v>
      </c>
      <c r="T329" s="4" t="s">
        <v>2402</v>
      </c>
      <c r="U329" s="47" t="s">
        <v>2568</v>
      </c>
      <c r="V329" s="48" t="s">
        <v>2310</v>
      </c>
      <c r="W329" s="7">
        <v>1</v>
      </c>
      <c r="X329" s="48"/>
      <c r="Y329" s="47" t="s">
        <v>1116</v>
      </c>
      <c r="Z329" s="4" t="s">
        <v>2387</v>
      </c>
      <c r="AA329" s="49" t="s">
        <v>1115</v>
      </c>
      <c r="AB329" s="4" t="s">
        <v>2312</v>
      </c>
      <c r="AC329" s="49" t="s">
        <v>1118</v>
      </c>
      <c r="AD329" s="4" t="s">
        <v>185</v>
      </c>
      <c r="AE329" s="7">
        <v>1</v>
      </c>
      <c r="AG329" s="7">
        <v>0</v>
      </c>
      <c r="AK329" s="70">
        <f>Table43[[#This Row],[Column4]]</f>
        <v>30360090100000</v>
      </c>
      <c r="AN329" s="7">
        <f>Table43[[#This Row],[ISI/CTN]]</f>
        <v>24</v>
      </c>
      <c r="AO329" s="38">
        <f>Table43[[#This Row],[Harga Jual Pcs GT
(-PPN)]]-(Table43[[#This Row],[Harga Jual Pcs GT
(-PPN)]]*6.5%)</f>
        <v>16502.75</v>
      </c>
      <c r="AP329" s="38">
        <f>Table43[[#This Row],[Harga Beli Pcs
(-PPN)]]*Table43[[#This Row],[ISI/CTN]]</f>
        <v>396066</v>
      </c>
      <c r="AQ329" s="38">
        <f>Table43[[#This Row],[Harga Beli Pcs
(-PPN)]]*1.11</f>
        <v>18318.052500000002</v>
      </c>
      <c r="AR329" s="38">
        <f>Table43[[#This Row],[Harga Beli Krt
(- PPN)]]*1.11</f>
        <v>439633.26000000007</v>
      </c>
      <c r="AS329" s="38">
        <v>17650</v>
      </c>
      <c r="AT329" s="38">
        <f>Table43[[#This Row],[Harga Jual Pcs GT
(-PPN)]]*Table43[[#This Row],[ISI/CTN]]</f>
        <v>423600</v>
      </c>
      <c r="AU329" s="38">
        <f>Table43[[#This Row],[Harga Jual Pcs GT
(-PPN)]]*1.11</f>
        <v>19591.5</v>
      </c>
      <c r="AV329" s="38">
        <f>Table43[[#This Row],[Harga Jual Krt GT
(- PPN)]]*1.11</f>
        <v>470196.00000000006</v>
      </c>
      <c r="AW329" s="38">
        <f>IFERROR(VLOOKUP(Table43[[#This Row],[Kode Pcpl]],'[1]FEB 2026'!$A$3:$X$312,24,0),0)</f>
        <v>0</v>
      </c>
      <c r="AX329" s="38">
        <f>Table43[[#This Row],[Harga Jual Pcs MT
(-PPN)]]*Table43[[#This Row],[ISI/CTN]]</f>
        <v>0</v>
      </c>
      <c r="AY329" s="38">
        <f>Table43[[#This Row],[Harga Jual Pcs MT
(-PPN)]]*1.11</f>
        <v>0</v>
      </c>
      <c r="AZ329" s="38">
        <f>Table43[[#This Row],[Harga Jual Pcs MT
(+PPN)]]*Table43[[#This Row],[ISI/CTN]]</f>
        <v>0</v>
      </c>
      <c r="BA329" s="46">
        <f>(Table43[[#This Row],[Harga Jual Pcs GT
(-PPN)]]-Table43[[#This Row],[Harga Beli Pcs
(-PPN)]])/Table43[[#This Row],[Harga Jual Pcs GT
(-PPN)]]</f>
        <v>6.5000000000000002E-2</v>
      </c>
      <c r="BB329" s="53">
        <f>Table43[[#This Row],[Harga Jual Pcs MT
(-PPN)]]-Table43[[#This Row],[Harga Beli Pcs
(-PPN)]]</f>
        <v>-16502.75</v>
      </c>
      <c r="BC329" s="54" t="e">
        <f>Table43[[#This Row],[Column1]]/Table43[[#This Row],[Harga Jual Pcs MT
(-PPN)]]</f>
        <v>#DIV/0!</v>
      </c>
      <c r="BD329" s="52"/>
      <c r="BE329" s="7"/>
      <c r="BF329" s="7" t="str">
        <f ca="1">IF(TODAY()-Table43[[#This Row],[Efektif
Pembuatan]]&gt;60,"Lama","Baru")</f>
        <v>Lama</v>
      </c>
      <c r="BG329" s="7" t="str">
        <f ca="1">IF(TODAY()-Table43[[#This Row],[Efektif Naik Harga]]&lt;30,"Naik","Sama")</f>
        <v>Sama</v>
      </c>
      <c r="BH329" s="7"/>
      <c r="BI329" s="7" t="str">
        <f>IF(Table43[[#This Row],[Kode BARANG Win2]]&lt;&gt;"","IDR","")</f>
        <v>IDR</v>
      </c>
      <c r="BJ329" s="7" t="str">
        <f>CONCATENATE(Table43[[#This Row],[kode  1 Digit
(Nomor)]],Table43[[#This Row],[kode  4 Digit                (Nomor)]])</f>
        <v>0100</v>
      </c>
      <c r="BK329" s="7" t="str">
        <f>Table43[[#This Row],[Nama            Gramasi atau Jumlah Pack per CTN]]</f>
        <v>100CM</v>
      </c>
      <c r="BL329" s="7"/>
      <c r="BM329" s="7"/>
      <c r="BN329" s="4" t="str">
        <f>IF(Table43[[#This Row],[SATUAN Fix Win]]&lt;&gt;"","KRT")</f>
        <v>KRT</v>
      </c>
      <c r="BO329" s="4" t="str">
        <f>IF(Table43[[#This Row],[SATUAN Fix Win]]&lt;&gt;"","GD01")</f>
        <v>GD01</v>
      </c>
      <c r="BP329" s="4">
        <f>IF(Table43[[#This Row],[SATUAN Fix Win]]&lt;&gt;"",11611)</f>
        <v>11611</v>
      </c>
      <c r="BQ329" s="4">
        <f>IF(Table43[[#This Row],[SATUAN Fix Win]]&lt;&gt;"",11612)</f>
        <v>11612</v>
      </c>
      <c r="BS329" s="4">
        <f>IF(Table43[[#This Row],[SATUAN Fix Win]]&lt;&gt;"",1)</f>
        <v>1</v>
      </c>
      <c r="BU329" s="4">
        <f>Table43[[#This Row],[ISI/CTN]]</f>
        <v>24</v>
      </c>
    </row>
    <row r="330" spans="1:73">
      <c r="A330" s="4" t="str">
        <f>CONCATENATE(Table43[[#This Row],[Kode BARANG Win2]],Table43[[#This Row],[No. Urut
Item Sama]])</f>
        <v>G1221002008010</v>
      </c>
      <c r="B330" s="7"/>
      <c r="C330" s="31">
        <v>30364020500001</v>
      </c>
      <c r="D330" s="51">
        <v>40039308</v>
      </c>
      <c r="E330" s="27" t="s">
        <v>2042</v>
      </c>
      <c r="F330" s="51">
        <v>30360080080000</v>
      </c>
      <c r="G330" s="51">
        <v>0</v>
      </c>
      <c r="H330" s="27" t="s">
        <v>1334</v>
      </c>
      <c r="I330" s="27">
        <v>24</v>
      </c>
      <c r="J330" s="51" t="s">
        <v>1729</v>
      </c>
      <c r="K330" s="27" t="str">
        <f>Table43[[#This Row],[NamaJenisKemasan]]</f>
        <v>PCS</v>
      </c>
      <c r="L330" s="4" t="str">
        <f>TRIM(CONCATENATE(Table43[[#This Row],[Nama            KLP]]," ",Table43[[#This Row],[Nama            Sub KLP]]))</f>
        <v>POLYTEX KANTONG SAMPAH</v>
      </c>
      <c r="M330" s="4" t="str">
        <f>CONCATENATE(Table43[[#This Row],[kode  2 Digit                (hrf+No)]],Table43[[#This Row],[kode  2 Digit                (Nomor)]],Table43[[#This Row],[kode  1 Digit                (Nomor)]])</f>
        <v>G1221</v>
      </c>
      <c r="N330" s="4" t="str">
        <f>IF(AI330="",CONCATENATE(S330,U330,W330,Y330,AA330,AC330,AE330,AG330,Table43[[#This Row],[Tanda Kode Revisi]]),CONCATENATE(S330,U330,W330,Y330,AA330,AC330,AE330,AI330))</f>
        <v>G1221002008010</v>
      </c>
      <c r="O330" s="11">
        <f t="shared" si="8"/>
        <v>14</v>
      </c>
      <c r="P330" s="14" t="str">
        <f>IF(AH330&lt;&gt;"",TRIM(UPPER(CONCATENATE(R330," ",T330," ",V330," ",X330," ",Z330," ",AB330," ","X"," ",Table43[[#This Row],[ISI/CTN]]," ",AH330," ",AD330," ",AF330," ",AJ330))),TRIM(UPPER(CONCATENATE(R330," ",T330," ",V330," ",X330," ",Z330," ",AB330," ","X"," ",Table43[[#This Row],[ISI/CTN]]," ",AD330," ",AF330," ",AJ330))))</f>
        <v>POLYTEX KANTONG SAMPAH M 80CM X 24 PCS</v>
      </c>
      <c r="Q330" s="11">
        <f t="shared" si="9"/>
        <v>38</v>
      </c>
      <c r="S330" s="7" t="s">
        <v>34</v>
      </c>
      <c r="T330" s="4" t="s">
        <v>2402</v>
      </c>
      <c r="U330" s="47" t="s">
        <v>2568</v>
      </c>
      <c r="V330" s="48" t="s">
        <v>2310</v>
      </c>
      <c r="W330" s="7">
        <v>1</v>
      </c>
      <c r="X330" s="48"/>
      <c r="Y330" s="47" t="s">
        <v>1116</v>
      </c>
      <c r="Z330" s="4" t="s">
        <v>2388</v>
      </c>
      <c r="AA330" s="49" t="s">
        <v>2459</v>
      </c>
      <c r="AB330" s="4" t="s">
        <v>2316</v>
      </c>
      <c r="AC330" s="49" t="s">
        <v>2639</v>
      </c>
      <c r="AD330" s="4" t="s">
        <v>185</v>
      </c>
      <c r="AE330" s="7">
        <v>1</v>
      </c>
      <c r="AG330" s="7">
        <v>0</v>
      </c>
      <c r="AK330" s="70">
        <f>Table43[[#This Row],[Column4]]</f>
        <v>30360080080000</v>
      </c>
      <c r="AN330" s="7">
        <f>Table43[[#This Row],[ISI/CTN]]</f>
        <v>24</v>
      </c>
      <c r="AO330" s="38">
        <f>Table43[[#This Row],[Harga Jual Pcs GT
(-PPN)]]-(Table43[[#This Row],[Harga Jual Pcs GT
(-PPN)]]*6.5%)</f>
        <v>12772.1</v>
      </c>
      <c r="AP330" s="38">
        <f>Table43[[#This Row],[Harga Beli Pcs
(-PPN)]]*Table43[[#This Row],[ISI/CTN]]</f>
        <v>306530.40000000002</v>
      </c>
      <c r="AQ330" s="38">
        <f>Table43[[#This Row],[Harga Beli Pcs
(-PPN)]]*1.11</f>
        <v>14177.031000000001</v>
      </c>
      <c r="AR330" s="38">
        <f>Table43[[#This Row],[Harga Beli Krt
(- PPN)]]*1.11</f>
        <v>340248.74400000006</v>
      </c>
      <c r="AS330" s="38">
        <v>13660</v>
      </c>
      <c r="AT330" s="38">
        <f>Table43[[#This Row],[Harga Jual Pcs GT
(-PPN)]]*Table43[[#This Row],[ISI/CTN]]</f>
        <v>327840</v>
      </c>
      <c r="AU330" s="38">
        <f>Table43[[#This Row],[Harga Jual Pcs GT
(-PPN)]]*1.11</f>
        <v>15162.600000000002</v>
      </c>
      <c r="AV330" s="38">
        <f>Table43[[#This Row],[Harga Jual Krt GT
(- PPN)]]*1.11</f>
        <v>363902.4</v>
      </c>
      <c r="AW330" s="38">
        <f>IFERROR(VLOOKUP(Table43[[#This Row],[Kode Pcpl]],'[1]FEB 2026'!$A$3:$X$312,24,0),0)</f>
        <v>0</v>
      </c>
      <c r="AX330" s="38">
        <f>Table43[[#This Row],[Harga Jual Pcs MT
(-PPN)]]*Table43[[#This Row],[ISI/CTN]]</f>
        <v>0</v>
      </c>
      <c r="AY330" s="38">
        <f>Table43[[#This Row],[Harga Jual Pcs MT
(-PPN)]]*1.11</f>
        <v>0</v>
      </c>
      <c r="AZ330" s="38">
        <f>Table43[[#This Row],[Harga Jual Pcs MT
(+PPN)]]*Table43[[#This Row],[ISI/CTN]]</f>
        <v>0</v>
      </c>
      <c r="BA330" s="46">
        <f>(Table43[[#This Row],[Harga Jual Pcs GT
(-PPN)]]-Table43[[#This Row],[Harga Beli Pcs
(-PPN)]])/Table43[[#This Row],[Harga Jual Pcs GT
(-PPN)]]</f>
        <v>6.4999999999999974E-2</v>
      </c>
      <c r="BB330" s="53">
        <f>Table43[[#This Row],[Harga Jual Pcs MT
(-PPN)]]-Table43[[#This Row],[Harga Beli Pcs
(-PPN)]]</f>
        <v>-12772.1</v>
      </c>
      <c r="BC330" s="54" t="e">
        <f>Table43[[#This Row],[Column1]]/Table43[[#This Row],[Harga Jual Pcs MT
(-PPN)]]</f>
        <v>#DIV/0!</v>
      </c>
      <c r="BD330" s="52"/>
      <c r="BE330" s="7"/>
      <c r="BF330" s="7" t="str">
        <f ca="1">IF(TODAY()-Table43[[#This Row],[Efektif
Pembuatan]]&gt;60,"Lama","Baru")</f>
        <v>Lama</v>
      </c>
      <c r="BG330" s="7" t="str">
        <f ca="1">IF(TODAY()-Table43[[#This Row],[Efektif Naik Harga]]&lt;30,"Naik","Sama")</f>
        <v>Sama</v>
      </c>
      <c r="BH330" s="7"/>
      <c r="BI330" s="7" t="str">
        <f>IF(Table43[[#This Row],[Kode BARANG Win2]]&lt;&gt;"","IDR","")</f>
        <v>IDR</v>
      </c>
      <c r="BJ330" s="7" t="str">
        <f>CONCATENATE(Table43[[#This Row],[kode  1 Digit
(Nomor)]],Table43[[#This Row],[kode  4 Digit                (Nomor)]])</f>
        <v>0080</v>
      </c>
      <c r="BK330" s="7" t="str">
        <f>Table43[[#This Row],[Nama            Gramasi atau Jumlah Pack per CTN]]</f>
        <v>80CM</v>
      </c>
      <c r="BL330" s="7"/>
      <c r="BM330" s="7"/>
      <c r="BN330" s="4" t="str">
        <f>IF(Table43[[#This Row],[SATUAN Fix Win]]&lt;&gt;"","KRT")</f>
        <v>KRT</v>
      </c>
      <c r="BO330" s="4" t="str">
        <f>IF(Table43[[#This Row],[SATUAN Fix Win]]&lt;&gt;"","GD01")</f>
        <v>GD01</v>
      </c>
      <c r="BP330" s="4">
        <f>IF(Table43[[#This Row],[SATUAN Fix Win]]&lt;&gt;"",11611)</f>
        <v>11611</v>
      </c>
      <c r="BQ330" s="4">
        <f>IF(Table43[[#This Row],[SATUAN Fix Win]]&lt;&gt;"",11612)</f>
        <v>11612</v>
      </c>
      <c r="BS330" s="4">
        <f>IF(Table43[[#This Row],[SATUAN Fix Win]]&lt;&gt;"",1)</f>
        <v>1</v>
      </c>
      <c r="BU330" s="4">
        <f>Table43[[#This Row],[ISI/CTN]]</f>
        <v>24</v>
      </c>
    </row>
    <row r="331" spans="1:73">
      <c r="A331" s="4" t="str">
        <f>CONCATENATE(Table43[[#This Row],[Kode BARANG Win2]],Table43[[#This Row],[No. Urut
Item Sama]])</f>
        <v>G1221003012010</v>
      </c>
      <c r="B331" s="7"/>
      <c r="C331" s="31">
        <v>30364020500001</v>
      </c>
      <c r="D331" s="59">
        <v>40039310</v>
      </c>
      <c r="E331" s="60" t="s">
        <v>2044</v>
      </c>
      <c r="F331" s="59">
        <v>30360100120000</v>
      </c>
      <c r="G331" s="59">
        <v>0</v>
      </c>
      <c r="H331" s="60" t="s">
        <v>1336</v>
      </c>
      <c r="I331" s="60">
        <v>24</v>
      </c>
      <c r="J331" s="59" t="s">
        <v>1731</v>
      </c>
      <c r="K331" s="60" t="str">
        <f>Table43[[#This Row],[NamaJenisKemasan]]</f>
        <v>PCS</v>
      </c>
      <c r="L331" s="4" t="str">
        <f>TRIM(CONCATENATE(Table43[[#This Row],[Nama            KLP]]," ",Table43[[#This Row],[Nama            Sub KLP]]))</f>
        <v>POLYTEX KANTONG SAMPAH</v>
      </c>
      <c r="M331" s="4" t="str">
        <f>CONCATENATE(Table43[[#This Row],[kode  2 Digit                (hrf+No)]],Table43[[#This Row],[kode  2 Digit                (Nomor)]],Table43[[#This Row],[kode  1 Digit                (Nomor)]])</f>
        <v>G1221</v>
      </c>
      <c r="N331" s="4" t="str">
        <f>IF(AI331="",CONCATENATE(S331,U331,W331,Y331,AA331,AC331,AE331,AG331,Table43[[#This Row],[Tanda Kode Revisi]]),CONCATENATE(S331,U331,W331,Y331,AA331,AC331,AE331,AI331))</f>
        <v>G1221003012010</v>
      </c>
      <c r="O331" s="11">
        <f t="shared" si="8"/>
        <v>14</v>
      </c>
      <c r="P331" s="14" t="str">
        <f>IF(AH331&lt;&gt;"",TRIM(UPPER(CONCATENATE(R331," ",T331," ",V331," ",X331," ",Z331," ",AB331," ","X"," ",Table43[[#This Row],[ISI/CTN]]," ",AH331," ",AD331," ",AF331," ",AJ331))),TRIM(UPPER(CONCATENATE(R331," ",T331," ",V331," ",X331," ",Z331," ",AB331," ","X"," ",Table43[[#This Row],[ISI/CTN]]," ",AD331," ",AF331," ",AJ331))))</f>
        <v>POLYTEX KANTONG SAMPAH XL 120CM X 24 PCS</v>
      </c>
      <c r="Q331" s="11">
        <f t="shared" si="9"/>
        <v>40</v>
      </c>
      <c r="S331" s="7" t="s">
        <v>34</v>
      </c>
      <c r="T331" s="4" t="s">
        <v>2402</v>
      </c>
      <c r="U331" s="47" t="s">
        <v>2568</v>
      </c>
      <c r="V331" s="48" t="s">
        <v>2310</v>
      </c>
      <c r="W331" s="7">
        <v>1</v>
      </c>
      <c r="X331" s="48"/>
      <c r="Y331" s="47" t="s">
        <v>1116</v>
      </c>
      <c r="Z331" s="4" t="s">
        <v>2389</v>
      </c>
      <c r="AA331" s="49" t="s">
        <v>2538</v>
      </c>
      <c r="AB331" s="4" t="s">
        <v>2314</v>
      </c>
      <c r="AC331" s="49" t="s">
        <v>2595</v>
      </c>
      <c r="AD331" s="4" t="s">
        <v>185</v>
      </c>
      <c r="AE331" s="7">
        <v>1</v>
      </c>
      <c r="AG331" s="7">
        <v>0</v>
      </c>
      <c r="AK331" s="70">
        <f>Table43[[#This Row],[Column4]]</f>
        <v>30360100120000</v>
      </c>
      <c r="AN331" s="7">
        <f>Table43[[#This Row],[ISI/CTN]]</f>
        <v>24</v>
      </c>
      <c r="AO331" s="61">
        <f>Table43[[#This Row],[Harga Jual Pcs GT
(-PPN)]]-(Table43[[#This Row],[Harga Jual Pcs GT
(-PPN)]]*6.5%)</f>
        <v>16502.75</v>
      </c>
      <c r="AP331" s="61">
        <f>Table43[[#This Row],[Harga Beli Pcs
(-PPN)]]*Table43[[#This Row],[ISI/CTN]]</f>
        <v>396066</v>
      </c>
      <c r="AQ331" s="61">
        <f>Table43[[#This Row],[Harga Beli Pcs
(-PPN)]]*1.11</f>
        <v>18318.052500000002</v>
      </c>
      <c r="AR331" s="61">
        <f>Table43[[#This Row],[Harga Beli Krt
(- PPN)]]*1.11</f>
        <v>439633.26000000007</v>
      </c>
      <c r="AS331" s="61">
        <v>17650</v>
      </c>
      <c r="AT331" s="61">
        <f>Table43[[#This Row],[Harga Jual Pcs GT
(-PPN)]]*Table43[[#This Row],[ISI/CTN]]</f>
        <v>423600</v>
      </c>
      <c r="AU331" s="61">
        <f>Table43[[#This Row],[Harga Jual Pcs GT
(-PPN)]]*1.11</f>
        <v>19591.5</v>
      </c>
      <c r="AV331" s="61">
        <f>Table43[[#This Row],[Harga Jual Krt GT
(- PPN)]]*1.11</f>
        <v>470196.00000000006</v>
      </c>
      <c r="AW331" s="61">
        <f>IFERROR(VLOOKUP(Table43[[#This Row],[Kode Pcpl]],'[1]FEB 2026'!$A$3:$X$312,24,0),0)</f>
        <v>0</v>
      </c>
      <c r="AX331" s="61">
        <f>Table43[[#This Row],[Harga Jual Pcs MT
(-PPN)]]*Table43[[#This Row],[ISI/CTN]]</f>
        <v>0</v>
      </c>
      <c r="AY331" s="61">
        <f>Table43[[#This Row],[Harga Jual Pcs MT
(-PPN)]]*1.11</f>
        <v>0</v>
      </c>
      <c r="AZ331" s="61">
        <f>Table43[[#This Row],[Harga Jual Pcs MT
(+PPN)]]*Table43[[#This Row],[ISI/CTN]]</f>
        <v>0</v>
      </c>
      <c r="BA331" s="62">
        <f>(Table43[[#This Row],[Harga Jual Pcs GT
(-PPN)]]-Table43[[#This Row],[Harga Beli Pcs
(-PPN)]])/Table43[[#This Row],[Harga Jual Pcs GT
(-PPN)]]</f>
        <v>6.5000000000000002E-2</v>
      </c>
      <c r="BB331" s="63">
        <f>Table43[[#This Row],[Harga Jual Pcs MT
(-PPN)]]-Table43[[#This Row],[Harga Beli Pcs
(-PPN)]]</f>
        <v>-16502.75</v>
      </c>
      <c r="BC331" s="64" t="e">
        <f>Table43[[#This Row],[Column1]]/Table43[[#This Row],[Harga Jual Pcs MT
(-PPN)]]</f>
        <v>#DIV/0!</v>
      </c>
      <c r="BD331" s="52"/>
      <c r="BE331" s="7"/>
      <c r="BF331" s="7" t="str">
        <f ca="1">IF(TODAY()-Table43[[#This Row],[Efektif
Pembuatan]]&gt;60,"Lama","Baru")</f>
        <v>Lama</v>
      </c>
      <c r="BG331" s="7" t="str">
        <f ca="1">IF(TODAY()-Table43[[#This Row],[Efektif Naik Harga]]&lt;30,"Naik","Sama")</f>
        <v>Sama</v>
      </c>
      <c r="BH331" s="7"/>
      <c r="BI331" s="7" t="str">
        <f>IF(Table43[[#This Row],[Kode BARANG Win2]]&lt;&gt;"","IDR","")</f>
        <v>IDR</v>
      </c>
      <c r="BJ331" s="7" t="str">
        <f>CONCATENATE(Table43[[#This Row],[kode  1 Digit
(Nomor)]],Table43[[#This Row],[kode  4 Digit                (Nomor)]])</f>
        <v>0120</v>
      </c>
      <c r="BK331" s="7" t="str">
        <f>Table43[[#This Row],[Nama            Gramasi atau Jumlah Pack per CTN]]</f>
        <v>120CM</v>
      </c>
      <c r="BL331" s="7"/>
      <c r="BM331" s="7"/>
      <c r="BN331" s="4" t="str">
        <f>IF(Table43[[#This Row],[SATUAN Fix Win]]&lt;&gt;"","KRT")</f>
        <v>KRT</v>
      </c>
      <c r="BO331" s="4" t="str">
        <f>IF(Table43[[#This Row],[SATUAN Fix Win]]&lt;&gt;"","GD01")</f>
        <v>GD01</v>
      </c>
      <c r="BP331" s="4">
        <f>IF(Table43[[#This Row],[SATUAN Fix Win]]&lt;&gt;"",11611)</f>
        <v>11611</v>
      </c>
      <c r="BQ331" s="4">
        <f>IF(Table43[[#This Row],[SATUAN Fix Win]]&lt;&gt;"",11612)</f>
        <v>11612</v>
      </c>
      <c r="BS331" s="4">
        <f>IF(Table43[[#This Row],[SATUAN Fix Win]]&lt;&gt;"",1)</f>
        <v>1</v>
      </c>
      <c r="BU331" s="4">
        <f>Table43[[#This Row],[ISI/CTN]]</f>
        <v>24</v>
      </c>
    </row>
    <row r="332" spans="1:73">
      <c r="A332" s="4" t="str">
        <f>CONCATENATE(Table43[[#This Row],[Kode BARANG Win2]],Table43[[#This Row],[No. Urut
Item Sama]])</f>
        <v>G1222101000010</v>
      </c>
      <c r="B332" s="7"/>
      <c r="C332" s="31">
        <v>30364030100000</v>
      </c>
      <c r="D332" s="51">
        <v>40031382</v>
      </c>
      <c r="E332" s="27" t="s">
        <v>2045</v>
      </c>
      <c r="F332" s="51">
        <v>30361000030000</v>
      </c>
      <c r="G332" s="51">
        <v>0</v>
      </c>
      <c r="H332" s="27" t="s">
        <v>1337</v>
      </c>
      <c r="I332" s="27">
        <v>72</v>
      </c>
      <c r="J332" s="51" t="s">
        <v>1732</v>
      </c>
      <c r="K332" s="27" t="str">
        <f>Table43[[#This Row],[NamaJenisKemasan]]</f>
        <v>PCS</v>
      </c>
      <c r="L332" s="4" t="str">
        <f>TRIM(CONCATENATE(Table43[[#This Row],[Nama            KLP]]," ",Table43[[#This Row],[Nama            Sub KLP]]))</f>
        <v>POLYTEX LAP</v>
      </c>
      <c r="M332" s="4" t="str">
        <f>CONCATENATE(Table43[[#This Row],[kode  2 Digit                (hrf+No)]],Table43[[#This Row],[kode  2 Digit                (Nomor)]],Table43[[#This Row],[kode  1 Digit                (Nomor)]])</f>
        <v>G1222</v>
      </c>
      <c r="N332" s="4" t="str">
        <f>IF(AI332="",CONCATENATE(S332,U332,W332,Y332,AA332,AC332,AE332,AG332,Table43[[#This Row],[Tanda Kode Revisi]]),CONCATENATE(S332,U332,W332,Y332,AA332,AC332,AE332,AI332))</f>
        <v>G1222101000010</v>
      </c>
      <c r="O332" s="11">
        <f t="shared" si="8"/>
        <v>14</v>
      </c>
      <c r="P332" s="14" t="str">
        <f>IF(AH332&lt;&gt;"",TRIM(UPPER(CONCATENATE(R332," ",T332," ",V332," ",X332," ",Z332," ",AB332," ","X"," ",Table43[[#This Row],[ISI/CTN]]," ",AH332," ",AD332," ",AF332," ",AJ332))),TRIM(UPPER(CONCATENATE(R332," ",T332," ",V332," ",X332," ",Z332," ",AB332," ","X"," ",Table43[[#This Row],[ISI/CTN]]," ",AD332," ",AF332," ",AJ332))))</f>
        <v>POLYTEX LAP KAIN MICROFIBER X 72 PCS</v>
      </c>
      <c r="Q332" s="11">
        <f t="shared" si="9"/>
        <v>36</v>
      </c>
      <c r="S332" s="7" t="s">
        <v>34</v>
      </c>
      <c r="T332" s="4" t="s">
        <v>2402</v>
      </c>
      <c r="U332" s="47" t="s">
        <v>2568</v>
      </c>
      <c r="V332" s="48" t="s">
        <v>2569</v>
      </c>
      <c r="W332" s="7">
        <v>2</v>
      </c>
      <c r="X332" s="48" t="s">
        <v>2401</v>
      </c>
      <c r="Y332" s="47" t="s">
        <v>2539</v>
      </c>
      <c r="Z332" s="4" t="s">
        <v>2403</v>
      </c>
      <c r="AA332" s="49" t="s">
        <v>1115</v>
      </c>
      <c r="AC332" s="49" t="s">
        <v>2460</v>
      </c>
      <c r="AD332" s="4" t="s">
        <v>185</v>
      </c>
      <c r="AE332" s="7">
        <v>1</v>
      </c>
      <c r="AG332" s="7">
        <v>0</v>
      </c>
      <c r="AK332" s="70">
        <f>Table43[[#This Row],[Column4]]</f>
        <v>30361000030000</v>
      </c>
      <c r="AN332" s="7">
        <f>Table43[[#This Row],[ISI/CTN]]</f>
        <v>72</v>
      </c>
      <c r="AO332" s="61">
        <f>Table43[[#This Row],[Harga Jual Pcs GT
(-PPN)]]-(Table43[[#This Row],[Harga Jual Pcs GT
(-PPN)]]*6.5%)</f>
        <v>13193.785</v>
      </c>
      <c r="AP332" s="61">
        <f>Table43[[#This Row],[Harga Beli Pcs
(-PPN)]]*Table43[[#This Row],[ISI/CTN]]</f>
        <v>949952.52</v>
      </c>
      <c r="AQ332" s="61">
        <f>Table43[[#This Row],[Harga Beli Pcs
(-PPN)]]*1.11</f>
        <v>14645.101350000001</v>
      </c>
      <c r="AR332" s="61">
        <f>Table43[[#This Row],[Harga Beli Krt
(- PPN)]]*1.11</f>
        <v>1054447.2972000001</v>
      </c>
      <c r="AS332" s="61">
        <v>14111</v>
      </c>
      <c r="AT332" s="61">
        <f>Table43[[#This Row],[Harga Jual Pcs GT
(-PPN)]]*Table43[[#This Row],[ISI/CTN]]</f>
        <v>1015992</v>
      </c>
      <c r="AU332" s="61">
        <f>Table43[[#This Row],[Harga Jual Pcs GT
(-PPN)]]*1.11</f>
        <v>15663.210000000001</v>
      </c>
      <c r="AV332" s="61">
        <f>Table43[[#This Row],[Harga Jual Krt GT
(- PPN)]]*1.11</f>
        <v>1127751.1200000001</v>
      </c>
      <c r="AW332" s="61">
        <f>IFERROR(VLOOKUP(Table43[[#This Row],[Kode Pcpl]],'[1]FEB 2026'!$A$3:$X$312,24,0),0)</f>
        <v>0</v>
      </c>
      <c r="AX332" s="61">
        <f>Table43[[#This Row],[Harga Jual Pcs MT
(-PPN)]]*Table43[[#This Row],[ISI/CTN]]</f>
        <v>0</v>
      </c>
      <c r="AY332" s="61">
        <f>Table43[[#This Row],[Harga Jual Pcs MT
(-PPN)]]*1.11</f>
        <v>0</v>
      </c>
      <c r="AZ332" s="61">
        <f>Table43[[#This Row],[Harga Jual Pcs MT
(+PPN)]]*Table43[[#This Row],[ISI/CTN]]</f>
        <v>0</v>
      </c>
      <c r="BA332" s="62">
        <f>(Table43[[#This Row],[Harga Jual Pcs GT
(-PPN)]]-Table43[[#This Row],[Harga Beli Pcs
(-PPN)]])/Table43[[#This Row],[Harga Jual Pcs GT
(-PPN)]]</f>
        <v>6.5000000000000016E-2</v>
      </c>
      <c r="BB332" s="63">
        <f>Table43[[#This Row],[Harga Jual Pcs MT
(-PPN)]]-Table43[[#This Row],[Harga Beli Pcs
(-PPN)]]</f>
        <v>-13193.785</v>
      </c>
      <c r="BC332" s="64" t="e">
        <f>Table43[[#This Row],[Column1]]/Table43[[#This Row],[Harga Jual Pcs MT
(-PPN)]]</f>
        <v>#DIV/0!</v>
      </c>
      <c r="BD332" s="52"/>
      <c r="BE332" s="7"/>
      <c r="BF332" s="7" t="str">
        <f ca="1">IF(TODAY()-Table43[[#This Row],[Efektif
Pembuatan]]&gt;60,"Lama","Baru")</f>
        <v>Lama</v>
      </c>
      <c r="BG332" s="7" t="str">
        <f ca="1">IF(TODAY()-Table43[[#This Row],[Efektif Naik Harga]]&lt;30,"Naik","Sama")</f>
        <v>Sama</v>
      </c>
      <c r="BH332" s="7"/>
      <c r="BI332" s="7" t="str">
        <f>IF(Table43[[#This Row],[Kode BARANG Win2]]&lt;&gt;"","IDR","")</f>
        <v>IDR</v>
      </c>
      <c r="BJ332" s="7" t="str">
        <f>CONCATENATE(Table43[[#This Row],[kode  1 Digit
(Nomor)]],Table43[[#This Row],[kode  4 Digit                (Nomor)]])</f>
        <v>0000</v>
      </c>
      <c r="BK332" s="7">
        <f>Table43[[#This Row],[Nama            Gramasi atau Jumlah Pack per CTN]]</f>
        <v>0</v>
      </c>
      <c r="BL332" s="7"/>
      <c r="BM332" s="7"/>
      <c r="BN332" s="4" t="str">
        <f>IF(Table43[[#This Row],[SATUAN Fix Win]]&lt;&gt;"","KRT")</f>
        <v>KRT</v>
      </c>
      <c r="BO332" s="4" t="str">
        <f>IF(Table43[[#This Row],[SATUAN Fix Win]]&lt;&gt;"","GD01")</f>
        <v>GD01</v>
      </c>
      <c r="BP332" s="4">
        <f>IF(Table43[[#This Row],[SATUAN Fix Win]]&lt;&gt;"",11611)</f>
        <v>11611</v>
      </c>
      <c r="BQ332" s="4">
        <f>IF(Table43[[#This Row],[SATUAN Fix Win]]&lt;&gt;"",11612)</f>
        <v>11612</v>
      </c>
      <c r="BS332" s="4">
        <f>IF(Table43[[#This Row],[SATUAN Fix Win]]&lt;&gt;"",1)</f>
        <v>1</v>
      </c>
      <c r="BU332" s="4">
        <f>Table43[[#This Row],[ISI/CTN]]</f>
        <v>72</v>
      </c>
    </row>
    <row r="333" spans="1:73">
      <c r="A333" s="4" t="str">
        <f>CONCATENATE(Table43[[#This Row],[Kode BARANG Win2]],Table43[[#This Row],[No. Urut
Item Sama]])</f>
        <v>G1222201000010</v>
      </c>
      <c r="B333" s="7"/>
      <c r="C333" s="31">
        <v>30361070000003</v>
      </c>
      <c r="D333" s="59">
        <v>40031383</v>
      </c>
      <c r="E333" s="67" t="s">
        <v>2466</v>
      </c>
      <c r="F333" s="69">
        <v>30361070000003</v>
      </c>
      <c r="G333" s="69">
        <v>0</v>
      </c>
      <c r="H333" s="60">
        <v>0</v>
      </c>
      <c r="I333" s="60">
        <v>72</v>
      </c>
      <c r="J333" s="59">
        <v>0</v>
      </c>
      <c r="K333" s="60" t="str">
        <f>Table43[[#This Row],[NamaJenisKemasan]]</f>
        <v>PCS</v>
      </c>
      <c r="L333" s="4" t="str">
        <f>TRIM(CONCATENATE(Table43[[#This Row],[Nama            KLP]]," ",Table43[[#This Row],[Nama            Sub KLP]]))</f>
        <v>POLYTEX LAP</v>
      </c>
      <c r="M333" s="4" t="str">
        <f>CONCATENATE(Table43[[#This Row],[kode  2 Digit                (hrf+No)]],Table43[[#This Row],[kode  2 Digit                (Nomor)]],Table43[[#This Row],[kode  1 Digit                (Nomor)]])</f>
        <v>G1222</v>
      </c>
      <c r="N333" s="4" t="str">
        <f>IF(AI333="",CONCATENATE(S333,U333,W333,Y333,AA333,AC333,AE333,AG333,Table43[[#This Row],[Tanda Kode Revisi]]),CONCATENATE(S333,U333,W333,Y333,AA333,AC333,AE333,AI333))</f>
        <v>G1222201000010</v>
      </c>
      <c r="O333" s="11">
        <f t="shared" si="8"/>
        <v>14</v>
      </c>
      <c r="P333" s="14" t="str">
        <f>IF(AH333&lt;&gt;"",TRIM(UPPER(CONCATENATE(R333," ",T333," ",V333," ",X333," ",Z333," ",AB333," ","X"," ",Table43[[#This Row],[ISI/CTN]]," ",AH333," ",AD333," ",AF333," ",AJ333))),TRIM(UPPER(CONCATENATE(R333," ",T333," ",V333," ",X333," ",Z333," ",AB333," ","X"," ",Table43[[#This Row],[ISI/CTN]]," ",AD333," ",AF333," ",AJ333))))</f>
        <v>POLYTEX LAP PENYERAP CHAMOIS X 72 PCS</v>
      </c>
      <c r="Q333" s="11">
        <f t="shared" si="9"/>
        <v>37</v>
      </c>
      <c r="S333" s="7" t="s">
        <v>34</v>
      </c>
      <c r="T333" s="4" t="s">
        <v>2402</v>
      </c>
      <c r="U333" s="47" t="s">
        <v>2568</v>
      </c>
      <c r="V333" s="48" t="s">
        <v>2569</v>
      </c>
      <c r="W333" s="7">
        <v>2</v>
      </c>
      <c r="X333" s="48" t="s">
        <v>2570</v>
      </c>
      <c r="Y333" s="47" t="s">
        <v>2572</v>
      </c>
      <c r="Z333" s="4" t="s">
        <v>2524</v>
      </c>
      <c r="AA333" s="49" t="s">
        <v>1115</v>
      </c>
      <c r="AC333" s="49" t="s">
        <v>2460</v>
      </c>
      <c r="AD333" s="4" t="s">
        <v>185</v>
      </c>
      <c r="AE333" s="7">
        <v>1</v>
      </c>
      <c r="AG333" s="7">
        <v>0</v>
      </c>
      <c r="AK333" s="70">
        <f>Table43[[#This Row],[Column4]]</f>
        <v>30361070000003</v>
      </c>
      <c r="AN333" s="7">
        <f>Table43[[#This Row],[ISI/CTN]]</f>
        <v>72</v>
      </c>
      <c r="AO333" s="38">
        <f>Table43[[#This Row],[Harga Jual Pcs GT
(-PPN)]]-(Table43[[#This Row],[Harga Jual Pcs GT
(-PPN)]]*6.5%)</f>
        <v>18700</v>
      </c>
      <c r="AP333" s="38">
        <f>Table43[[#This Row],[Harga Beli Pcs
(-PPN)]]*Table43[[#This Row],[ISI/CTN]]</f>
        <v>1346400</v>
      </c>
      <c r="AQ333" s="38">
        <f>Table43[[#This Row],[Harga Beli Pcs
(-PPN)]]*1.11</f>
        <v>20757.000000000004</v>
      </c>
      <c r="AR333" s="38">
        <f>Table43[[#This Row],[Harga Beli Krt
(- PPN)]]*1.11</f>
        <v>1494504.0000000002</v>
      </c>
      <c r="AS333" s="38">
        <v>20000</v>
      </c>
      <c r="AT333" s="38">
        <f>Table43[[#This Row],[Harga Jual Pcs GT
(-PPN)]]*Table43[[#This Row],[ISI/CTN]]</f>
        <v>1440000</v>
      </c>
      <c r="AU333" s="38">
        <f>Table43[[#This Row],[Harga Jual Pcs GT
(-PPN)]]*1.11</f>
        <v>22200.000000000004</v>
      </c>
      <c r="AV333" s="38">
        <f>Table43[[#This Row],[Harga Jual Krt GT
(- PPN)]]*1.11</f>
        <v>1598400.0000000002</v>
      </c>
      <c r="AW333" s="38">
        <f>IFERROR(VLOOKUP(Table43[[#This Row],[Kode Pcpl]],'[1]FEB 2026'!$A$3:$X$312,24,0),0)</f>
        <v>0</v>
      </c>
      <c r="AX333" s="38">
        <f>Table43[[#This Row],[Harga Jual Pcs MT
(-PPN)]]*Table43[[#This Row],[ISI/CTN]]</f>
        <v>0</v>
      </c>
      <c r="AY333" s="38">
        <f>Table43[[#This Row],[Harga Jual Pcs MT
(-PPN)]]*1.11</f>
        <v>0</v>
      </c>
      <c r="AZ333" s="38">
        <f>Table43[[#This Row],[Harga Jual Pcs MT
(+PPN)]]*Table43[[#This Row],[ISI/CTN]]</f>
        <v>0</v>
      </c>
      <c r="BA333" s="46">
        <f>(Table43[[#This Row],[Harga Jual Pcs GT
(-PPN)]]-Table43[[#This Row],[Harga Beli Pcs
(-PPN)]])/Table43[[#This Row],[Harga Jual Pcs GT
(-PPN)]]</f>
        <v>6.5000000000000002E-2</v>
      </c>
      <c r="BB333" s="53">
        <f>Table43[[#This Row],[Harga Jual Pcs MT
(-PPN)]]-Table43[[#This Row],[Harga Beli Pcs
(-PPN)]]</f>
        <v>-18700</v>
      </c>
      <c r="BC333" s="54" t="e">
        <f>Table43[[#This Row],[Column1]]/Table43[[#This Row],[Harga Jual Pcs MT
(-PPN)]]</f>
        <v>#DIV/0!</v>
      </c>
      <c r="BD333" s="52"/>
      <c r="BE333" s="7"/>
      <c r="BF333" s="7" t="str">
        <f ca="1">IF(TODAY()-Table43[[#This Row],[Efektif
Pembuatan]]&gt;60,"Lama","Baru")</f>
        <v>Lama</v>
      </c>
      <c r="BG333" s="7" t="str">
        <f ca="1">IF(TODAY()-Table43[[#This Row],[Efektif Naik Harga]]&lt;30,"Naik","Sama")</f>
        <v>Sama</v>
      </c>
      <c r="BH333" s="7"/>
      <c r="BI333" s="7" t="str">
        <f>IF(Table43[[#This Row],[Kode BARANG Win2]]&lt;&gt;"","IDR","")</f>
        <v>IDR</v>
      </c>
      <c r="BJ333" s="7" t="str">
        <f>CONCATENATE(Table43[[#This Row],[kode  1 Digit
(Nomor)]],Table43[[#This Row],[kode  4 Digit                (Nomor)]])</f>
        <v>0000</v>
      </c>
      <c r="BK333" s="7">
        <f>Table43[[#This Row],[Nama            Gramasi atau Jumlah Pack per CTN]]</f>
        <v>0</v>
      </c>
      <c r="BL333" s="7"/>
      <c r="BM333" s="7"/>
      <c r="BN333" s="4" t="str">
        <f>IF(Table43[[#This Row],[SATUAN Fix Win]]&lt;&gt;"","KRT")</f>
        <v>KRT</v>
      </c>
      <c r="BO333" s="4" t="str">
        <f>IF(Table43[[#This Row],[SATUAN Fix Win]]&lt;&gt;"","GD01")</f>
        <v>GD01</v>
      </c>
      <c r="BP333" s="4">
        <f>IF(Table43[[#This Row],[SATUAN Fix Win]]&lt;&gt;"",11611)</f>
        <v>11611</v>
      </c>
      <c r="BQ333" s="4">
        <f>IF(Table43[[#This Row],[SATUAN Fix Win]]&lt;&gt;"",11612)</f>
        <v>11612</v>
      </c>
      <c r="BS333" s="4">
        <f>IF(Table43[[#This Row],[SATUAN Fix Win]]&lt;&gt;"",1)</f>
        <v>1</v>
      </c>
      <c r="BU333" s="4">
        <f>Table43[[#This Row],[ISI/CTN]]</f>
        <v>72</v>
      </c>
    </row>
    <row r="334" spans="1:73">
      <c r="A334" s="4" t="str">
        <f>CONCATENATE(Table43[[#This Row],[Kode BARANG Win2]],Table43[[#This Row],[No. Urut
Item Sama]])</f>
        <v>G1223001000010</v>
      </c>
      <c r="B334" s="7"/>
      <c r="C334" s="31">
        <v>30371000025030</v>
      </c>
      <c r="D334" s="51">
        <v>40031392</v>
      </c>
      <c r="E334" s="27" t="s">
        <v>2063</v>
      </c>
      <c r="F334" s="51">
        <v>30369060020000</v>
      </c>
      <c r="G334" s="51">
        <v>0</v>
      </c>
      <c r="H334" s="27" t="s">
        <v>1357</v>
      </c>
      <c r="I334" s="27">
        <v>72</v>
      </c>
      <c r="J334" s="51" t="s">
        <v>1748</v>
      </c>
      <c r="K334" s="27" t="str">
        <f>Table43[[#This Row],[NamaJenisKemasan]]</f>
        <v>PCS</v>
      </c>
      <c r="L334" s="4" t="str">
        <f>TRIM(CONCATENATE(Table43[[#This Row],[Nama            KLP]]," ",Table43[[#This Row],[Nama            Sub KLP]]))</f>
        <v>POLYTEX S.STEEL</v>
      </c>
      <c r="M334" s="4" t="str">
        <f>CONCATENATE(Table43[[#This Row],[kode  2 Digit                (hrf+No)]],Table43[[#This Row],[kode  2 Digit                (Nomor)]],Table43[[#This Row],[kode  1 Digit                (Nomor)]])</f>
        <v>G1223</v>
      </c>
      <c r="N334" s="4" t="str">
        <f>IF(AI334="",CONCATENATE(S334,U334,W334,Y334,AA334,AC334,AE334,AG334,Table43[[#This Row],[Tanda Kode Revisi]]),CONCATENATE(S334,U334,W334,Y334,AA334,AC334,AE334,AI334))</f>
        <v>G1223001000010</v>
      </c>
      <c r="O334" s="11">
        <f t="shared" si="8"/>
        <v>14</v>
      </c>
      <c r="P334" s="14" t="str">
        <f>IF(AH334&lt;&gt;"",TRIM(UPPER(CONCATENATE(R334," ",T334," ",V334," ",X334," ",Z334," ",AB334," ","X"," ",Table43[[#This Row],[ISI/CTN]]," ",AH334," ",AD334," ",AF334," ",AJ334))),TRIM(UPPER(CONCATENATE(R334," ",T334," ",V334," ",X334," ",Z334," ",AB334," ","X"," ",Table43[[#This Row],[ISI/CTN]]," ",AD334," ",AF334," ",AJ334))))</f>
        <v>POLYTEX S.STEEL EXTRA BERSIH &amp; TAHAN LAMA X 72 PCS</v>
      </c>
      <c r="Q334" s="11">
        <f t="shared" si="9"/>
        <v>50</v>
      </c>
      <c r="S334" s="7" t="s">
        <v>34</v>
      </c>
      <c r="T334" s="4" t="s">
        <v>2402</v>
      </c>
      <c r="U334" s="47" t="s">
        <v>2568</v>
      </c>
      <c r="V334" s="48" t="s">
        <v>2411</v>
      </c>
      <c r="W334" s="7">
        <v>3</v>
      </c>
      <c r="X334" s="48"/>
      <c r="Y334" s="47" t="s">
        <v>1116</v>
      </c>
      <c r="Z334" s="4" t="s">
        <v>2406</v>
      </c>
      <c r="AA334" s="49" t="s">
        <v>1115</v>
      </c>
      <c r="AC334" s="49" t="s">
        <v>2460</v>
      </c>
      <c r="AD334" s="4" t="s">
        <v>185</v>
      </c>
      <c r="AE334" s="7">
        <v>1</v>
      </c>
      <c r="AG334" s="7">
        <v>0</v>
      </c>
      <c r="AK334" s="70">
        <f>Table43[[#This Row],[Column4]]</f>
        <v>30369060020000</v>
      </c>
      <c r="AN334" s="7">
        <f>Table43[[#This Row],[ISI/CTN]]</f>
        <v>72</v>
      </c>
      <c r="AO334" s="38">
        <f>Table43[[#This Row],[Harga Jual Pcs GT
(-PPN)]]-(Table43[[#This Row],[Harga Jual Pcs GT
(-PPN)]]*6.5%)</f>
        <v>4618.8999999999996</v>
      </c>
      <c r="AP334" s="38">
        <f>Table43[[#This Row],[Harga Beli Pcs
(-PPN)]]*Table43[[#This Row],[ISI/CTN]]</f>
        <v>332560.8</v>
      </c>
      <c r="AQ334" s="38">
        <f>Table43[[#This Row],[Harga Beli Pcs
(-PPN)]]*1.11</f>
        <v>5126.9790000000003</v>
      </c>
      <c r="AR334" s="38">
        <f>Table43[[#This Row],[Harga Beli Krt
(- PPN)]]*1.11</f>
        <v>369142.48800000001</v>
      </c>
      <c r="AS334" s="38">
        <v>4940</v>
      </c>
      <c r="AT334" s="38">
        <f>Table43[[#This Row],[Harga Jual Pcs GT
(-PPN)]]*Table43[[#This Row],[ISI/CTN]]</f>
        <v>355680</v>
      </c>
      <c r="AU334" s="38">
        <f>Table43[[#This Row],[Harga Jual Pcs GT
(-PPN)]]*1.11</f>
        <v>5483.4000000000005</v>
      </c>
      <c r="AV334" s="38">
        <f>Table43[[#This Row],[Harga Jual Krt GT
(- PPN)]]*1.11</f>
        <v>394804.80000000005</v>
      </c>
      <c r="AW334" s="38">
        <f>IFERROR(VLOOKUP(Table43[[#This Row],[Kode Pcpl]],'[1]FEB 2026'!$A$3:$X$312,24,0),0)</f>
        <v>0</v>
      </c>
      <c r="AX334" s="38">
        <f>Table43[[#This Row],[Harga Jual Pcs MT
(-PPN)]]*Table43[[#This Row],[ISI/CTN]]</f>
        <v>0</v>
      </c>
      <c r="AY334" s="38">
        <f>Table43[[#This Row],[Harga Jual Pcs MT
(-PPN)]]*1.11</f>
        <v>0</v>
      </c>
      <c r="AZ334" s="38">
        <f>Table43[[#This Row],[Harga Jual Pcs MT
(+PPN)]]*Table43[[#This Row],[ISI/CTN]]</f>
        <v>0</v>
      </c>
      <c r="BA334" s="46">
        <f>(Table43[[#This Row],[Harga Jual Pcs GT
(-PPN)]]-Table43[[#This Row],[Harga Beli Pcs
(-PPN)]])/Table43[[#This Row],[Harga Jual Pcs GT
(-PPN)]]</f>
        <v>6.5000000000000072E-2</v>
      </c>
      <c r="BB334" s="53">
        <f>Table43[[#This Row],[Harga Jual Pcs MT
(-PPN)]]-Table43[[#This Row],[Harga Beli Pcs
(-PPN)]]</f>
        <v>-4618.8999999999996</v>
      </c>
      <c r="BC334" s="54" t="e">
        <f>Table43[[#This Row],[Column1]]/Table43[[#This Row],[Harga Jual Pcs MT
(-PPN)]]</f>
        <v>#DIV/0!</v>
      </c>
      <c r="BD334" s="52"/>
      <c r="BE334" s="7"/>
      <c r="BF334" s="7" t="str">
        <f ca="1">IF(TODAY()-Table43[[#This Row],[Efektif
Pembuatan]]&gt;60,"Lama","Baru")</f>
        <v>Lama</v>
      </c>
      <c r="BG334" s="7" t="str">
        <f ca="1">IF(TODAY()-Table43[[#This Row],[Efektif Naik Harga]]&lt;30,"Naik","Sama")</f>
        <v>Sama</v>
      </c>
      <c r="BH334" s="7"/>
      <c r="BI334" s="7" t="str">
        <f>IF(Table43[[#This Row],[Kode BARANG Win2]]&lt;&gt;"","IDR","")</f>
        <v>IDR</v>
      </c>
      <c r="BJ334" s="7" t="str">
        <f>CONCATENATE(Table43[[#This Row],[kode  1 Digit
(Nomor)]],Table43[[#This Row],[kode  4 Digit                (Nomor)]])</f>
        <v>0000</v>
      </c>
      <c r="BK334" s="7">
        <f>Table43[[#This Row],[Nama            Gramasi atau Jumlah Pack per CTN]]</f>
        <v>0</v>
      </c>
      <c r="BL334" s="7"/>
      <c r="BM334" s="7"/>
      <c r="BN334" s="4" t="str">
        <f>IF(Table43[[#This Row],[SATUAN Fix Win]]&lt;&gt;"","KRT")</f>
        <v>KRT</v>
      </c>
      <c r="BO334" s="4" t="str">
        <f>IF(Table43[[#This Row],[SATUAN Fix Win]]&lt;&gt;"","GD01")</f>
        <v>GD01</v>
      </c>
      <c r="BP334" s="4">
        <f>IF(Table43[[#This Row],[SATUAN Fix Win]]&lt;&gt;"",11611)</f>
        <v>11611</v>
      </c>
      <c r="BQ334" s="4">
        <f>IF(Table43[[#This Row],[SATUAN Fix Win]]&lt;&gt;"",11612)</f>
        <v>11612</v>
      </c>
      <c r="BS334" s="4">
        <f>IF(Table43[[#This Row],[SATUAN Fix Win]]&lt;&gt;"",1)</f>
        <v>1</v>
      </c>
      <c r="BU334" s="4">
        <f>Table43[[#This Row],[ISI/CTN]]</f>
        <v>72</v>
      </c>
    </row>
    <row r="335" spans="1:73">
      <c r="A335" s="4" t="str">
        <f>CONCATENATE(Table43[[#This Row],[Kode BARANG Win2]],Table43[[#This Row],[No. Urut
Item Sama]])</f>
        <v>G1223001000010</v>
      </c>
      <c r="B335" s="7"/>
      <c r="C335" s="31"/>
      <c r="D335" s="51">
        <v>40008524</v>
      </c>
      <c r="E335" s="27"/>
      <c r="F335" s="51"/>
      <c r="G335" s="51"/>
      <c r="H335" s="27"/>
      <c r="I335" s="27">
        <v>72</v>
      </c>
      <c r="J335" s="51" t="s">
        <v>1748</v>
      </c>
      <c r="K335" s="27" t="str">
        <f>Table43[[#This Row],[NamaJenisKemasan]]</f>
        <v>PCS</v>
      </c>
      <c r="L335" s="4" t="str">
        <f>TRIM(CONCATENATE(Table43[[#This Row],[Nama            KLP]]," ",Table43[[#This Row],[Nama            Sub KLP]]))</f>
        <v>POLYTEX S.STEEL</v>
      </c>
      <c r="M335" s="4" t="str">
        <f>CONCATENATE(Table43[[#This Row],[kode  2 Digit                (hrf+No)]],Table43[[#This Row],[kode  2 Digit                (Nomor)]],Table43[[#This Row],[kode  1 Digit                (Nomor)]])</f>
        <v>G1223</v>
      </c>
      <c r="N335" s="4" t="str">
        <f>IF(AI335="",CONCATENATE(S335,U335,W335,Y335,AA335,AC335,AE335,AG335,Table43[[#This Row],[Tanda Kode Revisi]]),CONCATENATE(S335,U335,W335,Y335,AA335,AC335,AE335,AI335))</f>
        <v>G1223001000010</v>
      </c>
      <c r="O335" s="11">
        <f t="shared" si="8"/>
        <v>14</v>
      </c>
      <c r="P335" s="14" t="str">
        <f>IF(AH335&lt;&gt;"",TRIM(UPPER(CONCATENATE(R335," ",T335," ",V335," ",X335," ",Z335," ",AB335," ","X"," ",Table43[[#This Row],[ISI/CTN]]," ",AH335," ",AD335," ",AF335," ",AJ335))),TRIM(UPPER(CONCATENATE(R335," ",T335," ",V335," ",X335," ",Z335," ",AB335," ","X"," ",Table43[[#This Row],[ISI/CTN]]," ",AD335," ",AF335," ",AJ335))))</f>
        <v>POLYTEX S.STEEL EXTRA BERSIH &amp; TAHAN LAMA X 72 PCS</v>
      </c>
      <c r="Q335" s="11">
        <f t="shared" si="9"/>
        <v>50</v>
      </c>
      <c r="S335" s="7" t="s">
        <v>34</v>
      </c>
      <c r="T335" s="4" t="s">
        <v>2402</v>
      </c>
      <c r="U335" s="47" t="s">
        <v>2568</v>
      </c>
      <c r="V335" s="48" t="s">
        <v>2411</v>
      </c>
      <c r="W335" s="7">
        <v>3</v>
      </c>
      <c r="X335" s="48"/>
      <c r="Y335" s="47" t="s">
        <v>1116</v>
      </c>
      <c r="Z335" s="4" t="s">
        <v>2406</v>
      </c>
      <c r="AA335" s="49" t="s">
        <v>1115</v>
      </c>
      <c r="AC335" s="49" t="s">
        <v>2460</v>
      </c>
      <c r="AD335" s="4" t="s">
        <v>185</v>
      </c>
      <c r="AE335" s="7">
        <v>1</v>
      </c>
      <c r="AG335" s="7">
        <v>0</v>
      </c>
      <c r="AK335" s="70">
        <f>Table43[[#This Row],[Column4]]</f>
        <v>0</v>
      </c>
      <c r="AN335" s="7">
        <f>Table43[[#This Row],[ISI/CTN]]</f>
        <v>72</v>
      </c>
      <c r="AO335" s="38">
        <f>Table43[[#This Row],[Harga Jual Pcs GT
(-PPN)]]-(Table43[[#This Row],[Harga Jual Pcs GT
(-PPN)]]*6.5%)</f>
        <v>4618.8999999999996</v>
      </c>
      <c r="AP335" s="38">
        <f>Table43[[#This Row],[Harga Beli Pcs
(-PPN)]]*Table43[[#This Row],[ISI/CTN]]</f>
        <v>332560.8</v>
      </c>
      <c r="AQ335" s="38">
        <f>Table43[[#This Row],[Harga Beli Pcs
(-PPN)]]*1.11</f>
        <v>5126.9790000000003</v>
      </c>
      <c r="AR335" s="38">
        <f>Table43[[#This Row],[Harga Beli Krt
(- PPN)]]*1.11</f>
        <v>369142.48800000001</v>
      </c>
      <c r="AS335" s="38">
        <v>4940</v>
      </c>
      <c r="AT335" s="38">
        <f>Table43[[#This Row],[Harga Jual Pcs GT
(-PPN)]]*Table43[[#This Row],[ISI/CTN]]</f>
        <v>355680</v>
      </c>
      <c r="AU335" s="38">
        <f>Table43[[#This Row],[Harga Jual Pcs GT
(-PPN)]]*1.11</f>
        <v>5483.4000000000005</v>
      </c>
      <c r="AV335" s="38">
        <f>Table43[[#This Row],[Harga Jual Krt GT
(- PPN)]]*1.11</f>
        <v>394804.80000000005</v>
      </c>
      <c r="AW335" s="38">
        <f>IFERROR(VLOOKUP(Table43[[#This Row],[Kode Pcpl]],'[1]FEB 2026'!$A$3:$X$312,24,0),0)</f>
        <v>0</v>
      </c>
      <c r="AX335" s="38">
        <f>Table43[[#This Row],[Harga Jual Pcs MT
(-PPN)]]*Table43[[#This Row],[ISI/CTN]]</f>
        <v>0</v>
      </c>
      <c r="AY335" s="38">
        <f>Table43[[#This Row],[Harga Jual Pcs MT
(-PPN)]]*1.11</f>
        <v>0</v>
      </c>
      <c r="AZ335" s="38">
        <f>Table43[[#This Row],[Harga Jual Pcs MT
(+PPN)]]*Table43[[#This Row],[ISI/CTN]]</f>
        <v>0</v>
      </c>
      <c r="BA335" s="46">
        <f>(Table43[[#This Row],[Harga Jual Pcs GT
(-PPN)]]-Table43[[#This Row],[Harga Beli Pcs
(-PPN)]])/Table43[[#This Row],[Harga Jual Pcs GT
(-PPN)]]</f>
        <v>6.5000000000000072E-2</v>
      </c>
      <c r="BB335" s="53">
        <f>Table43[[#This Row],[Harga Jual Pcs MT
(-PPN)]]-Table43[[#This Row],[Harga Beli Pcs
(-PPN)]]</f>
        <v>-4618.8999999999996</v>
      </c>
      <c r="BC335" s="54" t="e">
        <f>Table43[[#This Row],[Column1]]/Table43[[#This Row],[Harga Jual Pcs MT
(-PPN)]]</f>
        <v>#DIV/0!</v>
      </c>
      <c r="BD335" s="52"/>
      <c r="BE335" s="7"/>
      <c r="BF335" s="7" t="str">
        <f ca="1">IF(TODAY()-Table43[[#This Row],[Efektif
Pembuatan]]&gt;60,"Lama","Baru")</f>
        <v>Lama</v>
      </c>
      <c r="BG335" s="7" t="str">
        <f ca="1">IF(TODAY()-Table43[[#This Row],[Efektif Naik Harga]]&lt;30,"Naik","Sama")</f>
        <v>Sama</v>
      </c>
      <c r="BH335" s="7"/>
      <c r="BI335" s="7" t="str">
        <f>IF(Table43[[#This Row],[Kode BARANG Win2]]&lt;&gt;"","IDR","")</f>
        <v>IDR</v>
      </c>
      <c r="BJ335" s="7" t="str">
        <f>CONCATENATE(Table43[[#This Row],[kode  1 Digit
(Nomor)]],Table43[[#This Row],[kode  4 Digit                (Nomor)]])</f>
        <v>0000</v>
      </c>
      <c r="BK335" s="7">
        <f>Table43[[#This Row],[Nama            Gramasi atau Jumlah Pack per CTN]]</f>
        <v>0</v>
      </c>
      <c r="BL335" s="7"/>
      <c r="BM335" s="7"/>
      <c r="BN335" s="4" t="str">
        <f>IF(Table43[[#This Row],[SATUAN Fix Win]]&lt;&gt;"","KRT")</f>
        <v>KRT</v>
      </c>
      <c r="BO335" s="4" t="str">
        <f>IF(Table43[[#This Row],[SATUAN Fix Win]]&lt;&gt;"","GD01")</f>
        <v>GD01</v>
      </c>
      <c r="BP335" s="4">
        <f>IF(Table43[[#This Row],[SATUAN Fix Win]]&lt;&gt;"",11611)</f>
        <v>11611</v>
      </c>
      <c r="BQ335" s="4">
        <f>IF(Table43[[#This Row],[SATUAN Fix Win]]&lt;&gt;"",11612)</f>
        <v>11612</v>
      </c>
      <c r="BS335" s="4">
        <f>IF(Table43[[#This Row],[SATUAN Fix Win]]&lt;&gt;"",1)</f>
        <v>1</v>
      </c>
      <c r="BU335" s="4">
        <f>Table43[[#This Row],[ISI/CTN]]</f>
        <v>72</v>
      </c>
    </row>
    <row r="336" spans="1:73">
      <c r="A336" s="4" t="str">
        <f>CONCATENATE(Table43[[#This Row],[Kode BARANG Win2]],Table43[[#This Row],[No. Urut
Item Sama]])</f>
        <v>G1223001000210</v>
      </c>
      <c r="B336" s="7"/>
      <c r="C336" s="31">
        <v>30370001003010</v>
      </c>
      <c r="D336" s="59">
        <v>40058057</v>
      </c>
      <c r="E336" s="60" t="s">
        <v>2064</v>
      </c>
      <c r="F336" s="51">
        <v>30369060020001</v>
      </c>
      <c r="G336" s="59">
        <v>0</v>
      </c>
      <c r="H336" s="60" t="s">
        <v>1359</v>
      </c>
      <c r="I336" s="60">
        <v>48</v>
      </c>
      <c r="J336" s="59" t="s">
        <v>1749</v>
      </c>
      <c r="K336" s="60" t="str">
        <f>Table43[[#This Row],[NamaJenisKemasan]]</f>
        <v>PCS</v>
      </c>
      <c r="L336" s="4" t="str">
        <f>TRIM(CONCATENATE(Table43[[#This Row],[Nama            KLP]]," ",Table43[[#This Row],[Nama            Sub KLP]]))</f>
        <v>POLYTEX S.STEEL</v>
      </c>
      <c r="M336" s="4" t="str">
        <f>CONCATENATE(Table43[[#This Row],[kode  2 Digit                (hrf+No)]],Table43[[#This Row],[kode  2 Digit                (Nomor)]],Table43[[#This Row],[kode  1 Digit                (Nomor)]])</f>
        <v>G1223</v>
      </c>
      <c r="N336" s="4" t="str">
        <f>IF(AI336="",CONCATENATE(S336,U336,W336,Y336,AA336,AC336,AE336,AG336,Table43[[#This Row],[Tanda Kode Revisi]]),CONCATENATE(S336,U336,W336,Y336,AA336,AC336,AE336,AI336))</f>
        <v>G1223001000210</v>
      </c>
      <c r="O336" s="11">
        <f t="shared" si="8"/>
        <v>14</v>
      </c>
      <c r="P336" s="14" t="str">
        <f>IF(AH336&lt;&gt;"",TRIM(UPPER(CONCATENATE(R336," ",T336," ",V336," ",X336," ",Z336," ",AB336," ","X"," ",Table43[[#This Row],[ISI/CTN]]," ",AH336," ",AD336," ",AF336," ",AJ336))),TRIM(UPPER(CONCATENATE(R336," ",T336," ",V336," ",X336," ",Z336," ",AB336," ","X"," ",Table43[[#This Row],[ISI/CTN]]," ",AD336," ",AF336," ",AJ336))))</f>
        <v>POLYTEX S.STEEL EXTRA BERSIH &amp; TAHAN LAMA 2S X 48 PCS</v>
      </c>
      <c r="Q336" s="11">
        <f t="shared" si="9"/>
        <v>53</v>
      </c>
      <c r="S336" s="7" t="s">
        <v>34</v>
      </c>
      <c r="T336" s="4" t="s">
        <v>2402</v>
      </c>
      <c r="U336" s="47" t="s">
        <v>2568</v>
      </c>
      <c r="V336" s="48" t="s">
        <v>2411</v>
      </c>
      <c r="W336" s="7">
        <v>3</v>
      </c>
      <c r="X336" s="48"/>
      <c r="Y336" s="47" t="s">
        <v>1116</v>
      </c>
      <c r="Z336" s="4" t="s">
        <v>2406</v>
      </c>
      <c r="AA336" s="49" t="s">
        <v>1115</v>
      </c>
      <c r="AB336" s="4" t="s">
        <v>2362</v>
      </c>
      <c r="AC336" s="49" t="s">
        <v>2615</v>
      </c>
      <c r="AD336" s="4" t="s">
        <v>185</v>
      </c>
      <c r="AE336" s="7">
        <v>1</v>
      </c>
      <c r="AG336" s="7">
        <v>0</v>
      </c>
      <c r="AK336" s="70">
        <f>Table43[[#This Row],[Column4]]</f>
        <v>30369060020001</v>
      </c>
      <c r="AN336" s="7">
        <f>Table43[[#This Row],[ISI/CTN]]</f>
        <v>48</v>
      </c>
      <c r="AO336" s="38">
        <f>Table43[[#This Row],[Harga Jual Pcs GT
(-PPN)]]-(Table43[[#This Row],[Harga Jual Pcs GT
(-PPN)]]*6.5%)</f>
        <v>9920.35</v>
      </c>
      <c r="AP336" s="38">
        <f>Table43[[#This Row],[Harga Beli Pcs
(-PPN)]]*Table43[[#This Row],[ISI/CTN]]</f>
        <v>476176.80000000005</v>
      </c>
      <c r="AQ336" s="38">
        <f>Table43[[#This Row],[Harga Beli Pcs
(-PPN)]]*1.11</f>
        <v>11011.588500000002</v>
      </c>
      <c r="AR336" s="38">
        <f>Table43[[#This Row],[Harga Beli Krt
(- PPN)]]*1.11</f>
        <v>528556.24800000014</v>
      </c>
      <c r="AS336" s="38">
        <v>10610</v>
      </c>
      <c r="AT336" s="38">
        <f>Table43[[#This Row],[Harga Jual Pcs GT
(-PPN)]]*Table43[[#This Row],[ISI/CTN]]</f>
        <v>509280</v>
      </c>
      <c r="AU336" s="38">
        <f>Table43[[#This Row],[Harga Jual Pcs GT
(-PPN)]]*1.11</f>
        <v>11777.1</v>
      </c>
      <c r="AV336" s="38">
        <f>Table43[[#This Row],[Harga Jual Krt GT
(- PPN)]]*1.11</f>
        <v>565300.80000000005</v>
      </c>
      <c r="AW336" s="38">
        <f>IFERROR(VLOOKUP(Table43[[#This Row],[Kode Pcpl]],'[1]FEB 2026'!$A$3:$X$312,24,0),0)</f>
        <v>0</v>
      </c>
      <c r="AX336" s="38">
        <f>Table43[[#This Row],[Harga Jual Pcs MT
(-PPN)]]*Table43[[#This Row],[ISI/CTN]]</f>
        <v>0</v>
      </c>
      <c r="AY336" s="38">
        <f>Table43[[#This Row],[Harga Jual Pcs MT
(-PPN)]]*1.11</f>
        <v>0</v>
      </c>
      <c r="AZ336" s="38">
        <f>Table43[[#This Row],[Harga Jual Pcs MT
(+PPN)]]*Table43[[#This Row],[ISI/CTN]]</f>
        <v>0</v>
      </c>
      <c r="BA336" s="46">
        <f>(Table43[[#This Row],[Harga Jual Pcs GT
(-PPN)]]-Table43[[#This Row],[Harga Beli Pcs
(-PPN)]])/Table43[[#This Row],[Harga Jual Pcs GT
(-PPN)]]</f>
        <v>6.4999999999999961E-2</v>
      </c>
      <c r="BB336" s="53">
        <f>Table43[[#This Row],[Harga Jual Pcs MT
(-PPN)]]-Table43[[#This Row],[Harga Beli Pcs
(-PPN)]]</f>
        <v>-9920.35</v>
      </c>
      <c r="BC336" s="54" t="e">
        <f>Table43[[#This Row],[Column1]]/Table43[[#This Row],[Harga Jual Pcs MT
(-PPN)]]</f>
        <v>#DIV/0!</v>
      </c>
      <c r="BD336" s="52"/>
      <c r="BE336" s="7"/>
      <c r="BF336" s="7" t="str">
        <f ca="1">IF(TODAY()-Table43[[#This Row],[Efektif
Pembuatan]]&gt;60,"Lama","Baru")</f>
        <v>Lama</v>
      </c>
      <c r="BG336" s="7" t="str">
        <f ca="1">IF(TODAY()-Table43[[#This Row],[Efektif Naik Harga]]&lt;30,"Naik","Sama")</f>
        <v>Sama</v>
      </c>
      <c r="BH336" s="7"/>
      <c r="BI336" s="7" t="str">
        <f>IF(Table43[[#This Row],[Kode BARANG Win2]]&lt;&gt;"","IDR","")</f>
        <v>IDR</v>
      </c>
      <c r="BJ336" s="7" t="str">
        <f>CONCATENATE(Table43[[#This Row],[kode  1 Digit
(Nomor)]],Table43[[#This Row],[kode  4 Digit                (Nomor)]])</f>
        <v>0002</v>
      </c>
      <c r="BK336" s="7" t="str">
        <f>Table43[[#This Row],[Nama            Gramasi atau Jumlah Pack per CTN]]</f>
        <v>2S</v>
      </c>
      <c r="BL336" s="7"/>
      <c r="BM336" s="7"/>
      <c r="BN336" s="4" t="str">
        <f>IF(Table43[[#This Row],[SATUAN Fix Win]]&lt;&gt;"","KRT")</f>
        <v>KRT</v>
      </c>
      <c r="BO336" s="4" t="str">
        <f>IF(Table43[[#This Row],[SATUAN Fix Win]]&lt;&gt;"","GD01")</f>
        <v>GD01</v>
      </c>
      <c r="BP336" s="4">
        <f>IF(Table43[[#This Row],[SATUAN Fix Win]]&lt;&gt;"",11611)</f>
        <v>11611</v>
      </c>
      <c r="BQ336" s="4">
        <f>IF(Table43[[#This Row],[SATUAN Fix Win]]&lt;&gt;"",11612)</f>
        <v>11612</v>
      </c>
      <c r="BS336" s="4">
        <f>IF(Table43[[#This Row],[SATUAN Fix Win]]&lt;&gt;"",1)</f>
        <v>1</v>
      </c>
      <c r="BU336" s="4">
        <f>Table43[[#This Row],[ISI/CTN]]</f>
        <v>48</v>
      </c>
    </row>
    <row r="337" spans="1:75">
      <c r="A337" s="4" t="str">
        <f>CONCATENATE(Table43[[#This Row],[Kode BARANG Win2]],Table43[[#This Row],[No. Urut
Item Sama]])</f>
        <v>G1223001000210</v>
      </c>
      <c r="B337" s="7"/>
      <c r="C337" s="31">
        <v>30371000025030</v>
      </c>
      <c r="D337" s="59">
        <v>40031391</v>
      </c>
      <c r="E337" s="60" t="s">
        <v>2064</v>
      </c>
      <c r="F337" s="59">
        <v>30369060020001</v>
      </c>
      <c r="G337" s="59">
        <v>0</v>
      </c>
      <c r="H337" s="60" t="s">
        <v>1358</v>
      </c>
      <c r="I337" s="60">
        <v>48</v>
      </c>
      <c r="J337" s="59" t="s">
        <v>1749</v>
      </c>
      <c r="K337" s="60" t="str">
        <f>Table43[[#This Row],[NamaJenisKemasan]]</f>
        <v>PCS</v>
      </c>
      <c r="L337" s="4" t="str">
        <f>TRIM(CONCATENATE(Table43[[#This Row],[Nama            KLP]]," ",Table43[[#This Row],[Nama            Sub KLP]]))</f>
        <v>POLYTEX S.STEEL</v>
      </c>
      <c r="M337" s="4" t="str">
        <f>CONCATENATE(Table43[[#This Row],[kode  2 Digit                (hrf+No)]],Table43[[#This Row],[kode  2 Digit                (Nomor)]],Table43[[#This Row],[kode  1 Digit                (Nomor)]])</f>
        <v>G1223</v>
      </c>
      <c r="N337" s="4" t="str">
        <f>IF(AI337="",CONCATENATE(S337,U337,W337,Y337,AA337,AC337,AE337,AG337,Table43[[#This Row],[Tanda Kode Revisi]]),CONCATENATE(S337,U337,W337,Y337,AA337,AC337,AE337,AI337))</f>
        <v>G1223001000210</v>
      </c>
      <c r="O337" s="11">
        <f t="shared" si="8"/>
        <v>14</v>
      </c>
      <c r="P337" s="14" t="str">
        <f>IF(AH337&lt;&gt;"",TRIM(UPPER(CONCATENATE(R337," ",T337," ",V337," ",X337," ",Z337," ",AB337," ","X"," ",Table43[[#This Row],[ISI/CTN]]," ",AH337," ",AD337," ",AF337," ",AJ337))),TRIM(UPPER(CONCATENATE(R337," ",T337," ",V337," ",X337," ",Z337," ",AB337," ","X"," ",Table43[[#This Row],[ISI/CTN]]," ",AD337," ",AF337," ",AJ337))))</f>
        <v>POLYTEX S.STEEL EXTRA BERSIH &amp; TAHAN LAMA 2S X 48 PCS</v>
      </c>
      <c r="Q337" s="11">
        <f t="shared" si="9"/>
        <v>53</v>
      </c>
      <c r="S337" s="7" t="s">
        <v>34</v>
      </c>
      <c r="T337" s="4" t="s">
        <v>2402</v>
      </c>
      <c r="U337" s="47" t="s">
        <v>2568</v>
      </c>
      <c r="V337" s="48" t="s">
        <v>2411</v>
      </c>
      <c r="W337" s="7">
        <v>3</v>
      </c>
      <c r="X337" s="48"/>
      <c r="Y337" s="47" t="s">
        <v>1116</v>
      </c>
      <c r="Z337" s="4" t="s">
        <v>2406</v>
      </c>
      <c r="AA337" s="49" t="s">
        <v>1115</v>
      </c>
      <c r="AB337" s="4" t="s">
        <v>2362</v>
      </c>
      <c r="AC337" s="49" t="s">
        <v>2615</v>
      </c>
      <c r="AD337" s="4" t="s">
        <v>185</v>
      </c>
      <c r="AE337" s="7">
        <v>1</v>
      </c>
      <c r="AG337" s="7">
        <v>0</v>
      </c>
      <c r="AK337" s="70">
        <f>Table43[[#This Row],[Column4]]</f>
        <v>30369060020001</v>
      </c>
      <c r="AN337" s="7">
        <f>Table43[[#This Row],[ISI/CTN]]</f>
        <v>48</v>
      </c>
      <c r="AO337" s="38">
        <f>Table43[[#This Row],[Harga Jual Pcs GT
(-PPN)]]-(Table43[[#This Row],[Harga Jual Pcs GT
(-PPN)]]*6.5%)</f>
        <v>9920.35</v>
      </c>
      <c r="AP337" s="38">
        <f>Table43[[#This Row],[Harga Beli Pcs
(-PPN)]]*Table43[[#This Row],[ISI/CTN]]</f>
        <v>476176.80000000005</v>
      </c>
      <c r="AQ337" s="38">
        <f>Table43[[#This Row],[Harga Beli Pcs
(-PPN)]]*1.11</f>
        <v>11011.588500000002</v>
      </c>
      <c r="AR337" s="38">
        <f>Table43[[#This Row],[Harga Beli Krt
(- PPN)]]*1.11</f>
        <v>528556.24800000014</v>
      </c>
      <c r="AS337" s="38">
        <v>10610</v>
      </c>
      <c r="AT337" s="38">
        <f>Table43[[#This Row],[Harga Jual Pcs GT
(-PPN)]]*Table43[[#This Row],[ISI/CTN]]</f>
        <v>509280</v>
      </c>
      <c r="AU337" s="38">
        <f>Table43[[#This Row],[Harga Jual Pcs GT
(-PPN)]]*1.11</f>
        <v>11777.1</v>
      </c>
      <c r="AV337" s="38">
        <f>Table43[[#This Row],[Harga Jual Krt GT
(- PPN)]]*1.11</f>
        <v>565300.80000000005</v>
      </c>
      <c r="AW337" s="38">
        <f>IFERROR(VLOOKUP(Table43[[#This Row],[Kode Pcpl]],'[1]FEB 2026'!$A$3:$X$312,24,0),0)</f>
        <v>0</v>
      </c>
      <c r="AX337" s="38">
        <f>Table43[[#This Row],[Harga Jual Pcs MT
(-PPN)]]*Table43[[#This Row],[ISI/CTN]]</f>
        <v>0</v>
      </c>
      <c r="AY337" s="38">
        <f>Table43[[#This Row],[Harga Jual Pcs MT
(-PPN)]]*1.11</f>
        <v>0</v>
      </c>
      <c r="AZ337" s="38">
        <f>Table43[[#This Row],[Harga Jual Pcs MT
(+PPN)]]*Table43[[#This Row],[ISI/CTN]]</f>
        <v>0</v>
      </c>
      <c r="BA337" s="46">
        <f>(Table43[[#This Row],[Harga Jual Pcs GT
(-PPN)]]-Table43[[#This Row],[Harga Beli Pcs
(-PPN)]])/Table43[[#This Row],[Harga Jual Pcs GT
(-PPN)]]</f>
        <v>6.4999999999999961E-2</v>
      </c>
      <c r="BB337" s="53">
        <f>Table43[[#This Row],[Harga Jual Pcs MT
(-PPN)]]-Table43[[#This Row],[Harga Beli Pcs
(-PPN)]]</f>
        <v>-9920.35</v>
      </c>
      <c r="BC337" s="54" t="e">
        <f>Table43[[#This Row],[Column1]]/Table43[[#This Row],[Harga Jual Pcs MT
(-PPN)]]</f>
        <v>#DIV/0!</v>
      </c>
      <c r="BD337" s="52"/>
      <c r="BE337" s="7"/>
      <c r="BF337" s="7" t="str">
        <f ca="1">IF(TODAY()-Table43[[#This Row],[Efektif
Pembuatan]]&gt;60,"Lama","Baru")</f>
        <v>Lama</v>
      </c>
      <c r="BG337" s="7" t="str">
        <f ca="1">IF(TODAY()-Table43[[#This Row],[Efektif Naik Harga]]&lt;30,"Naik","Sama")</f>
        <v>Sama</v>
      </c>
      <c r="BH337" s="7"/>
      <c r="BI337" s="7" t="str">
        <f>IF(Table43[[#This Row],[Kode BARANG Win2]]&lt;&gt;"","IDR","")</f>
        <v>IDR</v>
      </c>
      <c r="BJ337" s="7" t="str">
        <f>CONCATENATE(Table43[[#This Row],[kode  1 Digit
(Nomor)]],Table43[[#This Row],[kode  4 Digit                (Nomor)]])</f>
        <v>0002</v>
      </c>
      <c r="BK337" s="7" t="str">
        <f>Table43[[#This Row],[Nama            Gramasi atau Jumlah Pack per CTN]]</f>
        <v>2S</v>
      </c>
      <c r="BL337" s="7"/>
      <c r="BM337" s="7"/>
      <c r="BN337" s="4" t="str">
        <f>IF(Table43[[#This Row],[SATUAN Fix Win]]&lt;&gt;"","KRT")</f>
        <v>KRT</v>
      </c>
      <c r="BO337" s="4" t="str">
        <f>IF(Table43[[#This Row],[SATUAN Fix Win]]&lt;&gt;"","GD01")</f>
        <v>GD01</v>
      </c>
      <c r="BP337" s="4">
        <f>IF(Table43[[#This Row],[SATUAN Fix Win]]&lt;&gt;"",11611)</f>
        <v>11611</v>
      </c>
      <c r="BQ337" s="4">
        <f>IF(Table43[[#This Row],[SATUAN Fix Win]]&lt;&gt;"",11612)</f>
        <v>11612</v>
      </c>
      <c r="BS337" s="4">
        <f>IF(Table43[[#This Row],[SATUAN Fix Win]]&lt;&gt;"",1)</f>
        <v>1</v>
      </c>
      <c r="BU337" s="4">
        <f>Table43[[#This Row],[ISI/CTN]]</f>
        <v>48</v>
      </c>
    </row>
    <row r="338" spans="1:75">
      <c r="A338" s="4" t="str">
        <f>CONCATENATE(Table43[[#This Row],[Kode BARANG Win2]],Table43[[#This Row],[No. Urut
Item Sama]])</f>
        <v>G1223001001210</v>
      </c>
      <c r="B338" s="7"/>
      <c r="C338" s="31">
        <v>30371000400020</v>
      </c>
      <c r="D338" s="51">
        <v>40031385</v>
      </c>
      <c r="E338" s="27" t="s">
        <v>2058</v>
      </c>
      <c r="F338" s="51">
        <v>30369030012000</v>
      </c>
      <c r="G338" s="51">
        <v>0</v>
      </c>
      <c r="H338" s="27" t="s">
        <v>1352</v>
      </c>
      <c r="I338" s="27">
        <v>72</v>
      </c>
      <c r="J338" s="59" t="s">
        <v>1745</v>
      </c>
      <c r="K338" s="27" t="str">
        <f>Table43[[#This Row],[NamaJenisKemasan]]</f>
        <v>PCS</v>
      </c>
      <c r="L338" s="4" t="str">
        <f>TRIM(CONCATENATE(Table43[[#This Row],[Nama            KLP]]," ",Table43[[#This Row],[Nama            Sub KLP]]))</f>
        <v>POLYTEX S.STEEL</v>
      </c>
      <c r="M338" s="4" t="str">
        <f>CONCATENATE(Table43[[#This Row],[kode  2 Digit                (hrf+No)]],Table43[[#This Row],[kode  2 Digit                (Nomor)]],Table43[[#This Row],[kode  1 Digit                (Nomor)]])</f>
        <v>G1223</v>
      </c>
      <c r="N338" s="4" t="str">
        <f>IF(AI338="",CONCATENATE(S338,U338,W338,Y338,AA338,AC338,AE338,AG338,Table43[[#This Row],[Tanda Kode Revisi]]),CONCATENATE(S338,U338,W338,Y338,AA338,AC338,AE338,AI338))</f>
        <v>G1223001001210</v>
      </c>
      <c r="O338" s="11">
        <f t="shared" si="8"/>
        <v>14</v>
      </c>
      <c r="P338" s="14" t="str">
        <f>IF(AH338&lt;&gt;"",TRIM(UPPER(CONCATENATE(R338," ",T338," ",V338," ",X338," ",Z338," ",AB338," ","X"," ",Table43[[#This Row],[ISI/CTN]]," ",AH338," ",AD338," ",AF338," ",AJ338))),TRIM(UPPER(CONCATENATE(R338," ",T338," ",V338," ",X338," ",Z338," ",AB338," ","X"," ",Table43[[#This Row],[ISI/CTN]]," ",AD338," ",AF338," ",AJ338))))</f>
        <v>POLYTEX S.STEEL REGULAR 12.5G X 72 PCS</v>
      </c>
      <c r="Q338" s="11">
        <f t="shared" si="9"/>
        <v>38</v>
      </c>
      <c r="S338" s="7" t="s">
        <v>34</v>
      </c>
      <c r="T338" s="4" t="s">
        <v>2402</v>
      </c>
      <c r="U338" s="47" t="s">
        <v>2568</v>
      </c>
      <c r="V338" s="48" t="s">
        <v>2411</v>
      </c>
      <c r="W338" s="7">
        <v>3</v>
      </c>
      <c r="X338" s="48"/>
      <c r="Y338" s="47" t="s">
        <v>1116</v>
      </c>
      <c r="Z338" s="4" t="s">
        <v>2407</v>
      </c>
      <c r="AA338" s="49" t="s">
        <v>1115</v>
      </c>
      <c r="AB338" s="4" t="s">
        <v>2409</v>
      </c>
      <c r="AC338" s="49" t="s">
        <v>2594</v>
      </c>
      <c r="AD338" s="4" t="s">
        <v>185</v>
      </c>
      <c r="AE338" s="7">
        <v>1</v>
      </c>
      <c r="AG338" s="7">
        <v>0</v>
      </c>
      <c r="AK338" s="70">
        <f>Table43[[#This Row],[Column4]]</f>
        <v>30369030012000</v>
      </c>
      <c r="AN338" s="7">
        <f>Table43[[#This Row],[ISI/CTN]]</f>
        <v>72</v>
      </c>
      <c r="AO338" s="38">
        <f>Table43[[#This Row],[Harga Jual Pcs GT
(-PPN)]]-(Table43[[#This Row],[Harga Jual Pcs GT
(-PPN)]]*6.5%)</f>
        <v>3534.3</v>
      </c>
      <c r="AP338" s="38">
        <f>Table43[[#This Row],[Harga Beli Pcs
(-PPN)]]*Table43[[#This Row],[ISI/CTN]]</f>
        <v>254469.6</v>
      </c>
      <c r="AQ338" s="38">
        <f>Table43[[#This Row],[Harga Beli Pcs
(-PPN)]]*1.11</f>
        <v>3923.0730000000003</v>
      </c>
      <c r="AR338" s="38">
        <f>Table43[[#This Row],[Harga Beli Krt
(- PPN)]]*1.11</f>
        <v>282461.25600000005</v>
      </c>
      <c r="AS338" s="38">
        <v>3780</v>
      </c>
      <c r="AT338" s="38">
        <f>Table43[[#This Row],[Harga Jual Pcs GT
(-PPN)]]*Table43[[#This Row],[ISI/CTN]]</f>
        <v>272160</v>
      </c>
      <c r="AU338" s="38">
        <f>Table43[[#This Row],[Harga Jual Pcs GT
(-PPN)]]*1.11</f>
        <v>4195.8</v>
      </c>
      <c r="AV338" s="38">
        <f>Table43[[#This Row],[Harga Jual Krt GT
(- PPN)]]*1.11</f>
        <v>302097.60000000003</v>
      </c>
      <c r="AW338" s="38">
        <f>IFERROR(VLOOKUP(Table43[[#This Row],[Kode Pcpl]],'[1]FEB 2026'!$A$3:$X$312,24,0),0)</f>
        <v>0</v>
      </c>
      <c r="AX338" s="38">
        <f>Table43[[#This Row],[Harga Jual Pcs MT
(-PPN)]]*Table43[[#This Row],[ISI/CTN]]</f>
        <v>0</v>
      </c>
      <c r="AY338" s="38">
        <f>Table43[[#This Row],[Harga Jual Pcs MT
(-PPN)]]*1.11</f>
        <v>0</v>
      </c>
      <c r="AZ338" s="38">
        <f>Table43[[#This Row],[Harga Jual Pcs MT
(+PPN)]]*Table43[[#This Row],[ISI/CTN]]</f>
        <v>0</v>
      </c>
      <c r="BA338" s="46">
        <f>(Table43[[#This Row],[Harga Jual Pcs GT
(-PPN)]]-Table43[[#This Row],[Harga Beli Pcs
(-PPN)]])/Table43[[#This Row],[Harga Jual Pcs GT
(-PPN)]]</f>
        <v>6.4999999999999947E-2</v>
      </c>
      <c r="BB338" s="53">
        <f>Table43[[#This Row],[Harga Jual Pcs MT
(-PPN)]]-Table43[[#This Row],[Harga Beli Pcs
(-PPN)]]</f>
        <v>-3534.3</v>
      </c>
      <c r="BC338" s="54" t="e">
        <f>Table43[[#This Row],[Column1]]/Table43[[#This Row],[Harga Jual Pcs MT
(-PPN)]]</f>
        <v>#DIV/0!</v>
      </c>
      <c r="BD338" s="52"/>
      <c r="BE338" s="7"/>
      <c r="BF338" s="7" t="str">
        <f ca="1">IF(TODAY()-Table43[[#This Row],[Efektif
Pembuatan]]&gt;60,"Lama","Baru")</f>
        <v>Lama</v>
      </c>
      <c r="BG338" s="7" t="str">
        <f ca="1">IF(TODAY()-Table43[[#This Row],[Efektif Naik Harga]]&lt;30,"Naik","Sama")</f>
        <v>Sama</v>
      </c>
      <c r="BH338" s="7"/>
      <c r="BI338" s="7" t="str">
        <f>IF(Table43[[#This Row],[Kode BARANG Win2]]&lt;&gt;"","IDR","")</f>
        <v>IDR</v>
      </c>
      <c r="BJ338" s="7" t="str">
        <f>CONCATENATE(Table43[[#This Row],[kode  1 Digit
(Nomor)]],Table43[[#This Row],[kode  4 Digit                (Nomor)]])</f>
        <v>0012</v>
      </c>
      <c r="BK338" s="7" t="str">
        <f>Table43[[#This Row],[Nama            Gramasi atau Jumlah Pack per CTN]]</f>
        <v>12.5G</v>
      </c>
      <c r="BL338" s="7"/>
      <c r="BM338" s="7"/>
      <c r="BN338" s="4" t="str">
        <f>IF(Table43[[#This Row],[SATUAN Fix Win]]&lt;&gt;"","KRT")</f>
        <v>KRT</v>
      </c>
      <c r="BO338" s="4" t="str">
        <f>IF(Table43[[#This Row],[SATUAN Fix Win]]&lt;&gt;"","GD01")</f>
        <v>GD01</v>
      </c>
      <c r="BP338" s="4">
        <f>IF(Table43[[#This Row],[SATUAN Fix Win]]&lt;&gt;"",11611)</f>
        <v>11611</v>
      </c>
      <c r="BQ338" s="4">
        <f>IF(Table43[[#This Row],[SATUAN Fix Win]]&lt;&gt;"",11612)</f>
        <v>11612</v>
      </c>
      <c r="BS338" s="4">
        <f>IF(Table43[[#This Row],[SATUAN Fix Win]]&lt;&gt;"",1)</f>
        <v>1</v>
      </c>
      <c r="BU338" s="4">
        <f>Table43[[#This Row],[ISI/CTN]]</f>
        <v>72</v>
      </c>
    </row>
    <row r="339" spans="1:75">
      <c r="A339" s="4" t="str">
        <f>CONCATENATE(Table43[[#This Row],[Kode BARANG Win2]],Table43[[#This Row],[No. Urut
Item Sama]])</f>
        <v>G1223101000310</v>
      </c>
      <c r="B339" s="7"/>
      <c r="C339" s="31">
        <v>30364040000003</v>
      </c>
      <c r="D339" s="51">
        <v>40059999</v>
      </c>
      <c r="E339" s="27" t="s">
        <v>2065</v>
      </c>
      <c r="F339" s="51">
        <v>30369060000013</v>
      </c>
      <c r="G339" s="51">
        <v>0</v>
      </c>
      <c r="H339" s="27" t="s">
        <v>1360</v>
      </c>
      <c r="I339" s="27">
        <v>24</v>
      </c>
      <c r="J339" s="51" t="s">
        <v>1747</v>
      </c>
      <c r="K339" s="27" t="str">
        <f>Table43[[#This Row],[NamaJenisKemasan]]</f>
        <v>PCS</v>
      </c>
      <c r="L339" s="4" t="str">
        <f>TRIM(CONCATENATE(Table43[[#This Row],[Nama            KLP]]," ",Table43[[#This Row],[Nama            Sub KLP]]))</f>
        <v>POLYTEX S.STEEL</v>
      </c>
      <c r="M339" s="4" t="str">
        <f>CONCATENATE(Table43[[#This Row],[kode  2 Digit                (hrf+No)]],Table43[[#This Row],[kode  2 Digit                (Nomor)]],Table43[[#This Row],[kode  1 Digit                (Nomor)]])</f>
        <v>G1223</v>
      </c>
      <c r="N339" s="4" t="str">
        <f>IF(AI339="",CONCATENATE(S339,U339,W339,Y339,AA339,AC339,AE339,AG339,Table43[[#This Row],[Tanda Kode Revisi]]),CONCATENATE(S339,U339,W339,Y339,AA339,AC339,AE339,AI339))</f>
        <v>G1223101000310</v>
      </c>
      <c r="O339" s="11">
        <f t="shared" si="8"/>
        <v>14</v>
      </c>
      <c r="P339" s="14" t="str">
        <f>IF(AH339&lt;&gt;"",TRIM(UPPER(CONCATENATE(R339," ",T339," ",V339," ",X339," ",Z339," ",AB339," ","X"," ",Table43[[#This Row],[ISI/CTN]]," ",AH339," ",AD339," ",AF339," ",AJ339))),TRIM(UPPER(CONCATENATE(R339," ",T339," ",V339," ",X339," ",Z339," ",AB339," ","X"," ",Table43[[#This Row],[ISI/CTN]]," ",AD339," ",AF339," ",AJ339))))</f>
        <v>POLYTEX S.STEEL MULTI PACK EXTRA BERSIH &amp; TAHAN LAMA 3S X 24 PCS</v>
      </c>
      <c r="Q339" s="11">
        <f t="shared" si="9"/>
        <v>64</v>
      </c>
      <c r="S339" s="7" t="s">
        <v>34</v>
      </c>
      <c r="T339" s="4" t="s">
        <v>2402</v>
      </c>
      <c r="U339" s="47" t="s">
        <v>2568</v>
      </c>
      <c r="V339" s="48" t="s">
        <v>2411</v>
      </c>
      <c r="W339" s="7">
        <v>3</v>
      </c>
      <c r="X339" s="48" t="s">
        <v>2399</v>
      </c>
      <c r="Y339" s="47" t="s">
        <v>2539</v>
      </c>
      <c r="Z339" s="4" t="s">
        <v>2406</v>
      </c>
      <c r="AA339" s="49" t="s">
        <v>1115</v>
      </c>
      <c r="AB339" s="4" t="s">
        <v>2257</v>
      </c>
      <c r="AC339" s="49" t="s">
        <v>2623</v>
      </c>
      <c r="AD339" s="4" t="s">
        <v>185</v>
      </c>
      <c r="AE339" s="7">
        <v>1</v>
      </c>
      <c r="AG339" s="7">
        <v>0</v>
      </c>
      <c r="AK339" s="70">
        <f>Table43[[#This Row],[Column4]]</f>
        <v>30369060000013</v>
      </c>
      <c r="AN339" s="7">
        <f>Table43[[#This Row],[ISI/CTN]]</f>
        <v>24</v>
      </c>
      <c r="AO339" s="61">
        <f>Table43[[#This Row],[Harga Jual Pcs GT
(-PPN)]]-(Table43[[#This Row],[Harga Jual Pcs GT
(-PPN)]]*6.5%)</f>
        <v>11363.99</v>
      </c>
      <c r="AP339" s="61">
        <f>Table43[[#This Row],[Harga Beli Pcs
(-PPN)]]*Table43[[#This Row],[ISI/CTN]]</f>
        <v>272735.76</v>
      </c>
      <c r="AQ339" s="61">
        <f>Table43[[#This Row],[Harga Beli Pcs
(-PPN)]]*1.11</f>
        <v>12614.028900000001</v>
      </c>
      <c r="AR339" s="61">
        <f>Table43[[#This Row],[Harga Beli Krt
(- PPN)]]*1.11</f>
        <v>302736.69360000006</v>
      </c>
      <c r="AS339" s="61">
        <v>12154</v>
      </c>
      <c r="AT339" s="61">
        <f>Table43[[#This Row],[Harga Jual Pcs GT
(-PPN)]]*Table43[[#This Row],[ISI/CTN]]</f>
        <v>291696</v>
      </c>
      <c r="AU339" s="61">
        <f>Table43[[#This Row],[Harga Jual Pcs GT
(-PPN)]]*1.11</f>
        <v>13490.94</v>
      </c>
      <c r="AV339" s="61">
        <f>Table43[[#This Row],[Harga Jual Krt GT
(- PPN)]]*1.11</f>
        <v>323782.56000000006</v>
      </c>
      <c r="AW339" s="61">
        <f>IFERROR(VLOOKUP(Table43[[#This Row],[Kode Pcpl]],'[1]FEB 2026'!$A$3:$X$312,24,0),0)</f>
        <v>0</v>
      </c>
      <c r="AX339" s="61">
        <f>Table43[[#This Row],[Harga Jual Pcs MT
(-PPN)]]*Table43[[#This Row],[ISI/CTN]]</f>
        <v>0</v>
      </c>
      <c r="AY339" s="61">
        <f>Table43[[#This Row],[Harga Jual Pcs MT
(-PPN)]]*1.11</f>
        <v>0</v>
      </c>
      <c r="AZ339" s="61">
        <f>Table43[[#This Row],[Harga Jual Pcs MT
(+PPN)]]*Table43[[#This Row],[ISI/CTN]]</f>
        <v>0</v>
      </c>
      <c r="BA339" s="62">
        <f>(Table43[[#This Row],[Harga Jual Pcs GT
(-PPN)]]-Table43[[#This Row],[Harga Beli Pcs
(-PPN)]])/Table43[[#This Row],[Harga Jual Pcs GT
(-PPN)]]</f>
        <v>6.5000000000000016E-2</v>
      </c>
      <c r="BB339" s="63">
        <f>Table43[[#This Row],[Harga Jual Pcs MT
(-PPN)]]-Table43[[#This Row],[Harga Beli Pcs
(-PPN)]]</f>
        <v>-11363.99</v>
      </c>
      <c r="BC339" s="64" t="e">
        <f>Table43[[#This Row],[Column1]]/Table43[[#This Row],[Harga Jual Pcs MT
(-PPN)]]</f>
        <v>#DIV/0!</v>
      </c>
      <c r="BD339" s="52"/>
      <c r="BE339" s="7"/>
      <c r="BF339" s="7" t="str">
        <f ca="1">IF(TODAY()-Table43[[#This Row],[Efektif
Pembuatan]]&gt;60,"Lama","Baru")</f>
        <v>Lama</v>
      </c>
      <c r="BG339" s="7" t="str">
        <f ca="1">IF(TODAY()-Table43[[#This Row],[Efektif Naik Harga]]&lt;30,"Naik","Sama")</f>
        <v>Sama</v>
      </c>
      <c r="BH339" s="7"/>
      <c r="BI339" s="7" t="str">
        <f>IF(Table43[[#This Row],[Kode BARANG Win2]]&lt;&gt;"","IDR","")</f>
        <v>IDR</v>
      </c>
      <c r="BJ339" s="7" t="str">
        <f>CONCATENATE(Table43[[#This Row],[kode  1 Digit
(Nomor)]],Table43[[#This Row],[kode  4 Digit                (Nomor)]])</f>
        <v>0003</v>
      </c>
      <c r="BK339" s="7" t="str">
        <f>Table43[[#This Row],[Nama            Gramasi atau Jumlah Pack per CTN]]</f>
        <v>3S</v>
      </c>
      <c r="BL339" s="7"/>
      <c r="BM339" s="7"/>
      <c r="BN339" s="4" t="str">
        <f>IF(Table43[[#This Row],[SATUAN Fix Win]]&lt;&gt;"","KRT")</f>
        <v>KRT</v>
      </c>
      <c r="BO339" s="4" t="str">
        <f>IF(Table43[[#This Row],[SATUAN Fix Win]]&lt;&gt;"","GD01")</f>
        <v>GD01</v>
      </c>
      <c r="BP339" s="4">
        <f>IF(Table43[[#This Row],[SATUAN Fix Win]]&lt;&gt;"",11611)</f>
        <v>11611</v>
      </c>
      <c r="BQ339" s="4">
        <f>IF(Table43[[#This Row],[SATUAN Fix Win]]&lt;&gt;"",11612)</f>
        <v>11612</v>
      </c>
      <c r="BS339" s="4">
        <f>IF(Table43[[#This Row],[SATUAN Fix Win]]&lt;&gt;"",1)</f>
        <v>1</v>
      </c>
      <c r="BU339" s="4">
        <f>Table43[[#This Row],[ISI/CTN]]</f>
        <v>24</v>
      </c>
    </row>
    <row r="340" spans="1:75">
      <c r="A340" s="4" t="str">
        <f>CONCATENATE(Table43[[#This Row],[Kode BARANG Win2]],Table43[[#This Row],[No. Urut
Item Sama]])</f>
        <v>G1223101000310</v>
      </c>
      <c r="B340" s="7"/>
      <c r="C340" s="31">
        <v>30364030500001</v>
      </c>
      <c r="D340" s="51">
        <v>40050348</v>
      </c>
      <c r="E340" s="27" t="s">
        <v>2062</v>
      </c>
      <c r="F340" s="51">
        <v>30369060000013</v>
      </c>
      <c r="G340" s="51">
        <v>0</v>
      </c>
      <c r="H340" s="27" t="s">
        <v>1356</v>
      </c>
      <c r="I340" s="27">
        <v>24</v>
      </c>
      <c r="J340" s="51" t="s">
        <v>1747</v>
      </c>
      <c r="K340" s="27" t="str">
        <f>Table43[[#This Row],[NamaJenisKemasan]]</f>
        <v>PCS</v>
      </c>
      <c r="L340" s="4" t="str">
        <f>TRIM(CONCATENATE(Table43[[#This Row],[Nama            KLP]]," ",Table43[[#This Row],[Nama            Sub KLP]]))</f>
        <v>POLYTEX S.STEEL</v>
      </c>
      <c r="M340" s="4" t="str">
        <f>CONCATENATE(Table43[[#This Row],[kode  2 Digit                (hrf+No)]],Table43[[#This Row],[kode  2 Digit                (Nomor)]],Table43[[#This Row],[kode  1 Digit                (Nomor)]])</f>
        <v>G1223</v>
      </c>
      <c r="N340" s="4" t="str">
        <f>IF(AI340="",CONCATENATE(S340,U340,W340,Y340,AA340,AC340,AE340,AG340,Table43[[#This Row],[Tanda Kode Revisi]]),CONCATENATE(S340,U340,W340,Y340,AA340,AC340,AE340,AI340))</f>
        <v>G1223101000310</v>
      </c>
      <c r="O340" s="11">
        <f t="shared" si="8"/>
        <v>14</v>
      </c>
      <c r="P340" s="14" t="str">
        <f>IF(AH340&lt;&gt;"",TRIM(UPPER(CONCATENATE(R340," ",T340," ",V340," ",X340," ",Z340," ",AB340," ","X"," ",Table43[[#This Row],[ISI/CTN]]," ",AH340," ",AD340," ",AF340," ",AJ340))),TRIM(UPPER(CONCATENATE(R340," ",T340," ",V340," ",X340," ",Z340," ",AB340," ","X"," ",Table43[[#This Row],[ISI/CTN]]," ",AD340," ",AF340," ",AJ340))))</f>
        <v>POLYTEX S.STEEL MULTI PACK EXTRA BERSIH &amp; TAHAN LAMA 3S X 24 PCS</v>
      </c>
      <c r="Q340" s="11">
        <f t="shared" si="9"/>
        <v>64</v>
      </c>
      <c r="S340" s="7" t="s">
        <v>34</v>
      </c>
      <c r="T340" s="4" t="s">
        <v>2402</v>
      </c>
      <c r="U340" s="47" t="s">
        <v>2568</v>
      </c>
      <c r="V340" s="48" t="s">
        <v>2411</v>
      </c>
      <c r="W340" s="7">
        <v>3</v>
      </c>
      <c r="X340" s="48" t="s">
        <v>2399</v>
      </c>
      <c r="Y340" s="47" t="s">
        <v>2539</v>
      </c>
      <c r="Z340" s="4" t="s">
        <v>2406</v>
      </c>
      <c r="AA340" s="49" t="s">
        <v>1115</v>
      </c>
      <c r="AB340" s="4" t="s">
        <v>2257</v>
      </c>
      <c r="AC340" s="49" t="s">
        <v>2623</v>
      </c>
      <c r="AD340" s="4" t="s">
        <v>185</v>
      </c>
      <c r="AE340" s="7">
        <v>1</v>
      </c>
      <c r="AG340" s="7">
        <v>0</v>
      </c>
      <c r="AK340" s="70">
        <f>Table43[[#This Row],[Column4]]</f>
        <v>30369060000013</v>
      </c>
      <c r="AN340" s="7">
        <f>Table43[[#This Row],[ISI/CTN]]</f>
        <v>24</v>
      </c>
      <c r="AO340" s="61">
        <f>Table43[[#This Row],[Harga Jual Pcs GT
(-PPN)]]-(Table43[[#This Row],[Harga Jual Pcs GT
(-PPN)]]*6.5%)</f>
        <v>11363.99</v>
      </c>
      <c r="AP340" s="61">
        <f>Table43[[#This Row],[Harga Beli Pcs
(-PPN)]]*Table43[[#This Row],[ISI/CTN]]</f>
        <v>272735.76</v>
      </c>
      <c r="AQ340" s="61">
        <f>Table43[[#This Row],[Harga Beli Pcs
(-PPN)]]*1.11</f>
        <v>12614.028900000001</v>
      </c>
      <c r="AR340" s="61">
        <f>Table43[[#This Row],[Harga Beli Krt
(- PPN)]]*1.11</f>
        <v>302736.69360000006</v>
      </c>
      <c r="AS340" s="61">
        <v>12154</v>
      </c>
      <c r="AT340" s="61">
        <f>Table43[[#This Row],[Harga Jual Pcs GT
(-PPN)]]*Table43[[#This Row],[ISI/CTN]]</f>
        <v>291696</v>
      </c>
      <c r="AU340" s="61">
        <f>Table43[[#This Row],[Harga Jual Pcs GT
(-PPN)]]*1.11</f>
        <v>13490.94</v>
      </c>
      <c r="AV340" s="61">
        <f>Table43[[#This Row],[Harga Jual Krt GT
(- PPN)]]*1.11</f>
        <v>323782.56000000006</v>
      </c>
      <c r="AW340" s="61">
        <f>IFERROR(VLOOKUP(Table43[[#This Row],[Kode Pcpl]],'[1]FEB 2026'!$A$3:$X$312,24,0),0)</f>
        <v>0</v>
      </c>
      <c r="AX340" s="61">
        <f>Table43[[#This Row],[Harga Jual Pcs MT
(-PPN)]]*Table43[[#This Row],[ISI/CTN]]</f>
        <v>0</v>
      </c>
      <c r="AY340" s="61">
        <f>Table43[[#This Row],[Harga Jual Pcs MT
(-PPN)]]*1.11</f>
        <v>0</v>
      </c>
      <c r="AZ340" s="61">
        <f>Table43[[#This Row],[Harga Jual Pcs MT
(+PPN)]]*Table43[[#This Row],[ISI/CTN]]</f>
        <v>0</v>
      </c>
      <c r="BA340" s="62">
        <f>(Table43[[#This Row],[Harga Jual Pcs GT
(-PPN)]]-Table43[[#This Row],[Harga Beli Pcs
(-PPN)]])/Table43[[#This Row],[Harga Jual Pcs GT
(-PPN)]]</f>
        <v>6.5000000000000016E-2</v>
      </c>
      <c r="BB340" s="63">
        <f>Table43[[#This Row],[Harga Jual Pcs MT
(-PPN)]]-Table43[[#This Row],[Harga Beli Pcs
(-PPN)]]</f>
        <v>-11363.99</v>
      </c>
      <c r="BC340" s="64" t="e">
        <f>Table43[[#This Row],[Column1]]/Table43[[#This Row],[Harga Jual Pcs MT
(-PPN)]]</f>
        <v>#DIV/0!</v>
      </c>
      <c r="BD340" s="52"/>
      <c r="BE340" s="7"/>
      <c r="BF340" s="7" t="str">
        <f ca="1">IF(TODAY()-Table43[[#This Row],[Efektif
Pembuatan]]&gt;60,"Lama","Baru")</f>
        <v>Lama</v>
      </c>
      <c r="BG340" s="7" t="str">
        <f ca="1">IF(TODAY()-Table43[[#This Row],[Efektif Naik Harga]]&lt;30,"Naik","Sama")</f>
        <v>Sama</v>
      </c>
      <c r="BH340" s="7"/>
      <c r="BI340" s="7" t="str">
        <f>IF(Table43[[#This Row],[Kode BARANG Win2]]&lt;&gt;"","IDR","")</f>
        <v>IDR</v>
      </c>
      <c r="BJ340" s="7" t="str">
        <f>CONCATENATE(Table43[[#This Row],[kode  1 Digit
(Nomor)]],Table43[[#This Row],[kode  4 Digit                (Nomor)]])</f>
        <v>0003</v>
      </c>
      <c r="BK340" s="7" t="str">
        <f>Table43[[#This Row],[Nama            Gramasi atau Jumlah Pack per CTN]]</f>
        <v>3S</v>
      </c>
      <c r="BL340" s="7"/>
      <c r="BM340" s="7"/>
      <c r="BN340" s="4" t="str">
        <f>IF(Table43[[#This Row],[SATUAN Fix Win]]&lt;&gt;"","KRT")</f>
        <v>KRT</v>
      </c>
      <c r="BO340" s="4" t="str">
        <f>IF(Table43[[#This Row],[SATUAN Fix Win]]&lt;&gt;"","GD01")</f>
        <v>GD01</v>
      </c>
      <c r="BP340" s="4">
        <f>IF(Table43[[#This Row],[SATUAN Fix Win]]&lt;&gt;"",11611)</f>
        <v>11611</v>
      </c>
      <c r="BQ340" s="4">
        <f>IF(Table43[[#This Row],[SATUAN Fix Win]]&lt;&gt;"",11612)</f>
        <v>11612</v>
      </c>
      <c r="BS340" s="4">
        <f>IF(Table43[[#This Row],[SATUAN Fix Win]]&lt;&gt;"",1)</f>
        <v>1</v>
      </c>
      <c r="BU340" s="4">
        <f>Table43[[#This Row],[ISI/CTN]]</f>
        <v>24</v>
      </c>
    </row>
    <row r="341" spans="1:75">
      <c r="A341" s="4" t="str">
        <f>CONCATENATE(Table43[[#This Row],[Kode BARANG Win2]],Table43[[#This Row],[No. Urut
Item Sama]])</f>
        <v>G1223201001210</v>
      </c>
      <c r="B341" s="7"/>
      <c r="C341" s="31">
        <v>30371000400020</v>
      </c>
      <c r="D341" s="51">
        <v>40031623</v>
      </c>
      <c r="E341" s="27" t="s">
        <v>2060</v>
      </c>
      <c r="F341" s="51">
        <v>30369050012002</v>
      </c>
      <c r="G341" s="51">
        <v>0</v>
      </c>
      <c r="H341" s="27" t="s">
        <v>1354</v>
      </c>
      <c r="I341" s="27">
        <v>72</v>
      </c>
      <c r="J341" s="51" t="s">
        <v>1745</v>
      </c>
      <c r="K341" s="27" t="str">
        <f>Table43[[#This Row],[NamaJenisKemasan]]</f>
        <v>PCS</v>
      </c>
      <c r="L341" s="4" t="str">
        <f>TRIM(CONCATENATE(Table43[[#This Row],[Nama            KLP]]," ",Table43[[#This Row],[Nama            Sub KLP]]))</f>
        <v>POLYTEX S.STEEL</v>
      </c>
      <c r="M341" s="4" t="str">
        <f>CONCATENATE(Table43[[#This Row],[kode  2 Digit                (hrf+No)]],Table43[[#This Row],[kode  2 Digit                (Nomor)]],Table43[[#This Row],[kode  1 Digit                (Nomor)]])</f>
        <v>G1223</v>
      </c>
      <c r="N341" s="4" t="str">
        <f>IF(AI341="",CONCATENATE(S341,U341,W341,Y341,AA341,AC341,AE341,AG341,Table43[[#This Row],[Tanda Kode Revisi]]),CONCATENATE(S341,U341,W341,Y341,AA341,AC341,AE341,AI341))</f>
        <v>G1223201001210</v>
      </c>
      <c r="O341" s="11">
        <f t="shared" si="8"/>
        <v>14</v>
      </c>
      <c r="P341" s="14" t="str">
        <f>IF(AH341&lt;&gt;"",TRIM(UPPER(CONCATENATE(R341," ",T341," ",V341," ",X341," ",Z341," ",AB341," ","X"," ",Table43[[#This Row],[ISI/CTN]]," ",AH341," ",AD341," ",AF341," ",AJ341))),TRIM(UPPER(CONCATENATE(R341," ",T341," ",V341," ",X341," ",Z341," ",AB341," ","X"," ",Table43[[#This Row],[ISI/CTN]]," ",AD341," ",AF341," ",AJ341))))</f>
        <v>POLYTEX S.STEEL PAPAN REGULAR 12.5G X 72 PCS</v>
      </c>
      <c r="Q341" s="11">
        <f t="shared" si="9"/>
        <v>44</v>
      </c>
      <c r="S341" s="7" t="s">
        <v>34</v>
      </c>
      <c r="T341" s="4" t="s">
        <v>2402</v>
      </c>
      <c r="U341" s="47" t="s">
        <v>2568</v>
      </c>
      <c r="V341" s="48" t="s">
        <v>2411</v>
      </c>
      <c r="W341" s="7">
        <v>3</v>
      </c>
      <c r="X341" s="48" t="s">
        <v>2650</v>
      </c>
      <c r="Y341" s="47" t="s">
        <v>2572</v>
      </c>
      <c r="Z341" s="4" t="s">
        <v>2407</v>
      </c>
      <c r="AA341" s="49" t="s">
        <v>1115</v>
      </c>
      <c r="AB341" s="4" t="s">
        <v>2409</v>
      </c>
      <c r="AC341" s="49" t="s">
        <v>2594</v>
      </c>
      <c r="AD341" s="4" t="s">
        <v>185</v>
      </c>
      <c r="AE341" s="7">
        <v>1</v>
      </c>
      <c r="AG341" s="7">
        <v>0</v>
      </c>
      <c r="AK341" s="70">
        <f>Table43[[#This Row],[Column4]]</f>
        <v>30369050012002</v>
      </c>
      <c r="AN341" s="7">
        <f>Table43[[#This Row],[ISI/CTN]]</f>
        <v>72</v>
      </c>
      <c r="AO341" s="61">
        <f>Table43[[#This Row],[Harga Jual Pcs GT
(-PPN)]]-(Table43[[#This Row],[Harga Jual Pcs GT
(-PPN)]]*6.5%)</f>
        <v>1878.415</v>
      </c>
      <c r="AP341" s="61">
        <f>Table43[[#This Row],[Harga Beli Pcs
(-PPN)]]*Table43[[#This Row],[ISI/CTN]]</f>
        <v>135245.88</v>
      </c>
      <c r="AQ341" s="61">
        <f>Table43[[#This Row],[Harga Beli Pcs
(-PPN)]]*1.11</f>
        <v>2085.0406500000004</v>
      </c>
      <c r="AR341" s="61">
        <f>Table43[[#This Row],[Harga Beli Krt
(- PPN)]]*1.11</f>
        <v>150122.92680000002</v>
      </c>
      <c r="AS341" s="61">
        <v>2009</v>
      </c>
      <c r="AT341" s="61">
        <f>Table43[[#This Row],[Harga Jual Pcs GT
(-PPN)]]*Table43[[#This Row],[ISI/CTN]]</f>
        <v>144648</v>
      </c>
      <c r="AU341" s="61">
        <f>Table43[[#This Row],[Harga Jual Pcs GT
(-PPN)]]*1.11</f>
        <v>2229.9900000000002</v>
      </c>
      <c r="AV341" s="61">
        <f>Table43[[#This Row],[Harga Jual Krt GT
(- PPN)]]*1.11</f>
        <v>160559.28000000003</v>
      </c>
      <c r="AW341" s="61">
        <f>IFERROR(VLOOKUP(Table43[[#This Row],[Kode Pcpl]],'[1]FEB 2026'!$A$3:$X$312,24,0),0)</f>
        <v>0</v>
      </c>
      <c r="AX341" s="61">
        <f>Table43[[#This Row],[Harga Jual Pcs MT
(-PPN)]]*Table43[[#This Row],[ISI/CTN]]</f>
        <v>0</v>
      </c>
      <c r="AY341" s="61">
        <f>Table43[[#This Row],[Harga Jual Pcs MT
(-PPN)]]*1.11</f>
        <v>0</v>
      </c>
      <c r="AZ341" s="61">
        <f>Table43[[#This Row],[Harga Jual Pcs MT
(+PPN)]]*Table43[[#This Row],[ISI/CTN]]</f>
        <v>0</v>
      </c>
      <c r="BA341" s="62">
        <f>(Table43[[#This Row],[Harga Jual Pcs GT
(-PPN)]]-Table43[[#This Row],[Harga Beli Pcs
(-PPN)]])/Table43[[#This Row],[Harga Jual Pcs GT
(-PPN)]]</f>
        <v>6.5000000000000016E-2</v>
      </c>
      <c r="BB341" s="63">
        <f>Table43[[#This Row],[Harga Jual Pcs MT
(-PPN)]]-Table43[[#This Row],[Harga Beli Pcs
(-PPN)]]</f>
        <v>-1878.415</v>
      </c>
      <c r="BC341" s="64" t="e">
        <f>Table43[[#This Row],[Column1]]/Table43[[#This Row],[Harga Jual Pcs MT
(-PPN)]]</f>
        <v>#DIV/0!</v>
      </c>
      <c r="BD341" s="52"/>
      <c r="BE341" s="7"/>
      <c r="BF341" s="7" t="str">
        <f ca="1">IF(TODAY()-Table43[[#This Row],[Efektif
Pembuatan]]&gt;60,"Lama","Baru")</f>
        <v>Lama</v>
      </c>
      <c r="BG341" s="7" t="str">
        <f ca="1">IF(TODAY()-Table43[[#This Row],[Efektif Naik Harga]]&lt;30,"Naik","Sama")</f>
        <v>Sama</v>
      </c>
      <c r="BH341" s="7"/>
      <c r="BI341" s="7" t="str">
        <f>IF(Table43[[#This Row],[Kode BARANG Win2]]&lt;&gt;"","IDR","")</f>
        <v>IDR</v>
      </c>
      <c r="BJ341" s="7" t="str">
        <f>CONCATENATE(Table43[[#This Row],[kode  1 Digit
(Nomor)]],Table43[[#This Row],[kode  4 Digit                (Nomor)]])</f>
        <v>0012</v>
      </c>
      <c r="BK341" s="7" t="str">
        <f>Table43[[#This Row],[Nama            Gramasi atau Jumlah Pack per CTN]]</f>
        <v>12.5G</v>
      </c>
      <c r="BL341" s="7"/>
      <c r="BM341" s="7"/>
      <c r="BN341" s="4" t="str">
        <f>IF(Table43[[#This Row],[SATUAN Fix Win]]&lt;&gt;"","KRT")</f>
        <v>KRT</v>
      </c>
      <c r="BO341" s="4" t="str">
        <f>IF(Table43[[#This Row],[SATUAN Fix Win]]&lt;&gt;"","GD01")</f>
        <v>GD01</v>
      </c>
      <c r="BP341" s="4">
        <f>IF(Table43[[#This Row],[SATUAN Fix Win]]&lt;&gt;"",11611)</f>
        <v>11611</v>
      </c>
      <c r="BQ341" s="4">
        <f>IF(Table43[[#This Row],[SATUAN Fix Win]]&lt;&gt;"",11612)</f>
        <v>11612</v>
      </c>
      <c r="BS341" s="4">
        <f>IF(Table43[[#This Row],[SATUAN Fix Win]]&lt;&gt;"",1)</f>
        <v>1</v>
      </c>
      <c r="BU341" s="4">
        <f>Table43[[#This Row],[ISI/CTN]]</f>
        <v>72</v>
      </c>
    </row>
    <row r="342" spans="1:75">
      <c r="A342" s="4" t="str">
        <f>CONCATENATE(Table43[[#This Row],[Kode BARANG Win2]],Table43[[#This Row],[No. Urut
Item Sama]])</f>
        <v>G1223201001210</v>
      </c>
      <c r="B342" s="7"/>
      <c r="C342" s="31">
        <v>30371000125022</v>
      </c>
      <c r="D342" s="51">
        <v>40060134</v>
      </c>
      <c r="E342" s="27" t="s">
        <v>2061</v>
      </c>
      <c r="F342" s="51">
        <v>30369050012002</v>
      </c>
      <c r="G342" s="51">
        <v>0</v>
      </c>
      <c r="H342" s="27" t="s">
        <v>1355</v>
      </c>
      <c r="I342" s="27">
        <v>72</v>
      </c>
      <c r="J342" s="51" t="s">
        <v>1745</v>
      </c>
      <c r="K342" s="27" t="str">
        <f>Table43[[#This Row],[NamaJenisKemasan]]</f>
        <v>PCS</v>
      </c>
      <c r="L342" s="4" t="str">
        <f>TRIM(CONCATENATE(Table43[[#This Row],[Nama            KLP]]," ",Table43[[#This Row],[Nama            Sub KLP]]))</f>
        <v>POLYTEX S.STEEL</v>
      </c>
      <c r="M342" s="4" t="str">
        <f>CONCATENATE(Table43[[#This Row],[kode  2 Digit                (hrf+No)]],Table43[[#This Row],[kode  2 Digit                (Nomor)]],Table43[[#This Row],[kode  1 Digit                (Nomor)]])</f>
        <v>G1223</v>
      </c>
      <c r="N342" s="4" t="str">
        <f>IF(AI342="",CONCATENATE(S342,U342,W342,Y342,AA342,AC342,AE342,AG342,Table43[[#This Row],[Tanda Kode Revisi]]),CONCATENATE(S342,U342,W342,Y342,AA342,AC342,AE342,AI342))</f>
        <v>G1223201001210</v>
      </c>
      <c r="O342" s="11">
        <f t="shared" si="8"/>
        <v>14</v>
      </c>
      <c r="P342" s="14" t="str">
        <f>IF(AH342&lt;&gt;"",TRIM(UPPER(CONCATENATE(R342," ",T342," ",V342," ",X342," ",Z342," ",AB342," ","X"," ",Table43[[#This Row],[ISI/CTN]]," ",AH342," ",AD342," ",AF342," ",AJ342))),TRIM(UPPER(CONCATENATE(R342," ",T342," ",V342," ",X342," ",Z342," ",AB342," ","X"," ",Table43[[#This Row],[ISI/CTN]]," ",AD342," ",AF342," ",AJ342))))</f>
        <v>POLYTEX S.STEEL PAPAN REGULAR 12.5G X 72 PCS</v>
      </c>
      <c r="Q342" s="11">
        <f t="shared" si="9"/>
        <v>44</v>
      </c>
      <c r="S342" s="7" t="s">
        <v>34</v>
      </c>
      <c r="T342" s="4" t="s">
        <v>2402</v>
      </c>
      <c r="U342" s="47" t="s">
        <v>2568</v>
      </c>
      <c r="V342" s="48" t="s">
        <v>2411</v>
      </c>
      <c r="W342" s="7">
        <v>3</v>
      </c>
      <c r="X342" s="48" t="s">
        <v>2650</v>
      </c>
      <c r="Y342" s="47" t="s">
        <v>2572</v>
      </c>
      <c r="Z342" s="4" t="s">
        <v>2407</v>
      </c>
      <c r="AA342" s="49" t="s">
        <v>1115</v>
      </c>
      <c r="AB342" s="4" t="s">
        <v>2409</v>
      </c>
      <c r="AC342" s="49" t="s">
        <v>2594</v>
      </c>
      <c r="AD342" s="4" t="s">
        <v>185</v>
      </c>
      <c r="AE342" s="7">
        <v>1</v>
      </c>
      <c r="AG342" s="7">
        <v>0</v>
      </c>
      <c r="AK342" s="70">
        <f>Table43[[#This Row],[Column4]]</f>
        <v>30369050012002</v>
      </c>
      <c r="AN342" s="7">
        <f>Table43[[#This Row],[ISI/CTN]]</f>
        <v>72</v>
      </c>
      <c r="AO342" s="38">
        <f>Table43[[#This Row],[Harga Jual Pcs GT
(-PPN)]]-(Table43[[#This Row],[Harga Jual Pcs GT
(-PPN)]]*6.5%)</f>
        <v>1878.415</v>
      </c>
      <c r="AP342" s="38">
        <f>Table43[[#This Row],[Harga Beli Pcs
(-PPN)]]*Table43[[#This Row],[ISI/CTN]]</f>
        <v>135245.88</v>
      </c>
      <c r="AQ342" s="38">
        <f>Table43[[#This Row],[Harga Beli Pcs
(-PPN)]]*1.11</f>
        <v>2085.0406500000004</v>
      </c>
      <c r="AR342" s="38">
        <f>Table43[[#This Row],[Harga Beli Krt
(- PPN)]]*1.11</f>
        <v>150122.92680000002</v>
      </c>
      <c r="AS342" s="38">
        <v>2009</v>
      </c>
      <c r="AT342" s="38">
        <f>Table43[[#This Row],[Harga Jual Pcs GT
(-PPN)]]*Table43[[#This Row],[ISI/CTN]]</f>
        <v>144648</v>
      </c>
      <c r="AU342" s="38">
        <f>Table43[[#This Row],[Harga Jual Pcs GT
(-PPN)]]*1.11</f>
        <v>2229.9900000000002</v>
      </c>
      <c r="AV342" s="38">
        <f>Table43[[#This Row],[Harga Jual Krt GT
(- PPN)]]*1.11</f>
        <v>160559.28000000003</v>
      </c>
      <c r="AW342" s="38">
        <f>IFERROR(VLOOKUP(Table43[[#This Row],[Kode Pcpl]],'[1]FEB 2026'!$A$3:$X$312,24,0),0)</f>
        <v>0</v>
      </c>
      <c r="AX342" s="38">
        <f>Table43[[#This Row],[Harga Jual Pcs MT
(-PPN)]]*Table43[[#This Row],[ISI/CTN]]</f>
        <v>0</v>
      </c>
      <c r="AY342" s="38">
        <f>Table43[[#This Row],[Harga Jual Pcs MT
(-PPN)]]*1.11</f>
        <v>0</v>
      </c>
      <c r="AZ342" s="38">
        <f>Table43[[#This Row],[Harga Jual Pcs MT
(+PPN)]]*Table43[[#This Row],[ISI/CTN]]</f>
        <v>0</v>
      </c>
      <c r="BA342" s="46">
        <f>(Table43[[#This Row],[Harga Jual Pcs GT
(-PPN)]]-Table43[[#This Row],[Harga Beli Pcs
(-PPN)]])/Table43[[#This Row],[Harga Jual Pcs GT
(-PPN)]]</f>
        <v>6.5000000000000016E-2</v>
      </c>
      <c r="BB342" s="53">
        <f>Table43[[#This Row],[Harga Jual Pcs MT
(-PPN)]]-Table43[[#This Row],[Harga Beli Pcs
(-PPN)]]</f>
        <v>-1878.415</v>
      </c>
      <c r="BC342" s="54" t="e">
        <f>Table43[[#This Row],[Column1]]/Table43[[#This Row],[Harga Jual Pcs MT
(-PPN)]]</f>
        <v>#DIV/0!</v>
      </c>
      <c r="BD342" s="52"/>
      <c r="BE342" s="7"/>
      <c r="BF342" s="7" t="str">
        <f ca="1">IF(TODAY()-Table43[[#This Row],[Efektif
Pembuatan]]&gt;60,"Lama","Baru")</f>
        <v>Lama</v>
      </c>
      <c r="BG342" s="7" t="str">
        <f ca="1">IF(TODAY()-Table43[[#This Row],[Efektif Naik Harga]]&lt;30,"Naik","Sama")</f>
        <v>Sama</v>
      </c>
      <c r="BH342" s="7"/>
      <c r="BI342" s="7" t="str">
        <f>IF(Table43[[#This Row],[Kode BARANG Win2]]&lt;&gt;"","IDR","")</f>
        <v>IDR</v>
      </c>
      <c r="BJ342" s="7" t="str">
        <f>CONCATENATE(Table43[[#This Row],[kode  1 Digit
(Nomor)]],Table43[[#This Row],[kode  4 Digit                (Nomor)]])</f>
        <v>0012</v>
      </c>
      <c r="BK342" s="7" t="str">
        <f>Table43[[#This Row],[Nama            Gramasi atau Jumlah Pack per CTN]]</f>
        <v>12.5G</v>
      </c>
      <c r="BL342" s="7"/>
      <c r="BM342" s="7"/>
      <c r="BN342" s="4" t="str">
        <f>IF(Table43[[#This Row],[SATUAN Fix Win]]&lt;&gt;"","KRT")</f>
        <v>KRT</v>
      </c>
      <c r="BO342" s="4" t="str">
        <f>IF(Table43[[#This Row],[SATUAN Fix Win]]&lt;&gt;"","GD01")</f>
        <v>GD01</v>
      </c>
      <c r="BP342" s="4">
        <f>IF(Table43[[#This Row],[SATUAN Fix Win]]&lt;&gt;"",11611)</f>
        <v>11611</v>
      </c>
      <c r="BQ342" s="4">
        <f>IF(Table43[[#This Row],[SATUAN Fix Win]]&lt;&gt;"",11612)</f>
        <v>11612</v>
      </c>
      <c r="BS342" s="4">
        <f>IF(Table43[[#This Row],[SATUAN Fix Win]]&lt;&gt;"",1)</f>
        <v>1</v>
      </c>
      <c r="BU342" s="4">
        <f>Table43[[#This Row],[ISI/CTN]]</f>
        <v>72</v>
      </c>
    </row>
    <row r="343" spans="1:75" s="87" customFormat="1">
      <c r="A343" s="4" t="str">
        <f>CONCATENATE(Table43[[#This Row],[Kode BARANG Win2]],Table43[[#This Row],[No. Urut
Item Sama]])</f>
        <v>G1224101000010</v>
      </c>
      <c r="B343" s="7"/>
      <c r="C343" s="31">
        <v>30369030012000</v>
      </c>
      <c r="D343" s="51">
        <v>40050292</v>
      </c>
      <c r="E343" s="27" t="s">
        <v>2046</v>
      </c>
      <c r="F343" s="51">
        <v>30363010000000</v>
      </c>
      <c r="G343" s="51">
        <v>0</v>
      </c>
      <c r="H343" s="27" t="s">
        <v>1338</v>
      </c>
      <c r="I343" s="27">
        <v>72</v>
      </c>
      <c r="J343" s="51" t="s">
        <v>1733</v>
      </c>
      <c r="K343" s="27" t="str">
        <f>Table43[[#This Row],[NamaJenisKemasan]]</f>
        <v>PCS</v>
      </c>
      <c r="L343" s="4" t="str">
        <f>TRIM(CONCATENATE(Table43[[#This Row],[Nama            KLP]]," ",Table43[[#This Row],[Nama            Sub KLP]]))</f>
        <v>POLYTEX SABUT</v>
      </c>
      <c r="M343" s="4" t="str">
        <f>CONCATENATE(Table43[[#This Row],[kode  2 Digit                (hrf+No)]],Table43[[#This Row],[kode  2 Digit                (Nomor)]],Table43[[#This Row],[kode  1 Digit                (Nomor)]])</f>
        <v>G1224</v>
      </c>
      <c r="N343" s="4" t="str">
        <f>IF(AI343="",CONCATENATE(S343,U343,W343,Y343,AA343,AC343,AE343,AG343,Table43[[#This Row],[Tanda Kode Revisi]]),CONCATENATE(S343,U343,W343,Y343,AA343,AC343,AE343,AI343))</f>
        <v>G1224101000010</v>
      </c>
      <c r="O343" s="11">
        <f t="shared" si="8"/>
        <v>14</v>
      </c>
      <c r="P343" s="14" t="str">
        <f>IF(AH343&lt;&gt;"",TRIM(UPPER(CONCATENATE(R343," ",T343," ",V343," ",X343," ",Z343," ",AB343," ","X"," ",Table43[[#This Row],[ISI/CTN]]," ",AH343," ",AD343," ",AF343," ",AJ343))),TRIM(UPPER(CONCATENATE(R343," ",T343," ",V343," ",X343," ",Z343," ",AB343," ","X"," ",Table43[[#This Row],[ISI/CTN]]," ",AD343," ",AF343," ",AJ343))))</f>
        <v>POLYTEX SABUT JARING ANTI GORES X 72 PCS</v>
      </c>
      <c r="Q343" s="11">
        <f t="shared" si="9"/>
        <v>40</v>
      </c>
      <c r="R343" s="4"/>
      <c r="S343" s="7" t="s">
        <v>34</v>
      </c>
      <c r="T343" s="4" t="s">
        <v>2402</v>
      </c>
      <c r="U343" s="47" t="s">
        <v>2568</v>
      </c>
      <c r="V343" s="48" t="s">
        <v>2405</v>
      </c>
      <c r="W343" s="7">
        <v>4</v>
      </c>
      <c r="X343" s="48" t="s">
        <v>2408</v>
      </c>
      <c r="Y343" s="47" t="s">
        <v>2539</v>
      </c>
      <c r="Z343" s="4" t="s">
        <v>2385</v>
      </c>
      <c r="AA343" s="49" t="s">
        <v>1115</v>
      </c>
      <c r="AB343" s="4"/>
      <c r="AC343" s="49" t="s">
        <v>2460</v>
      </c>
      <c r="AD343" s="4" t="s">
        <v>185</v>
      </c>
      <c r="AE343" s="7">
        <v>1</v>
      </c>
      <c r="AF343" s="4"/>
      <c r="AG343" s="7">
        <v>0</v>
      </c>
      <c r="AH343" s="7"/>
      <c r="AI343" s="7"/>
      <c r="AJ343" s="7"/>
      <c r="AK343" s="70">
        <f>Table43[[#This Row],[Column4]]</f>
        <v>30363010000000</v>
      </c>
      <c r="AL343" s="7"/>
      <c r="AM343" s="7"/>
      <c r="AN343" s="7">
        <f>Table43[[#This Row],[ISI/CTN]]</f>
        <v>72</v>
      </c>
      <c r="AO343" s="38">
        <f>Table43[[#This Row],[Harga Jual Pcs GT
(-PPN)]]-(Table43[[#This Row],[Harga Jual Pcs GT
(-PPN)]]*6.5%)</f>
        <v>2992</v>
      </c>
      <c r="AP343" s="38">
        <f>Table43[[#This Row],[Harga Beli Pcs
(-PPN)]]*Table43[[#This Row],[ISI/CTN]]</f>
        <v>215424</v>
      </c>
      <c r="AQ343" s="38">
        <f>Table43[[#This Row],[Harga Beli Pcs
(-PPN)]]*1.11</f>
        <v>3321.1200000000003</v>
      </c>
      <c r="AR343" s="38">
        <f>Table43[[#This Row],[Harga Beli Krt
(- PPN)]]*1.11</f>
        <v>239120.64000000001</v>
      </c>
      <c r="AS343" s="38">
        <v>3200</v>
      </c>
      <c r="AT343" s="38">
        <f>Table43[[#This Row],[Harga Jual Pcs GT
(-PPN)]]*Table43[[#This Row],[ISI/CTN]]</f>
        <v>230400</v>
      </c>
      <c r="AU343" s="38">
        <f>Table43[[#This Row],[Harga Jual Pcs GT
(-PPN)]]*1.11</f>
        <v>3552.0000000000005</v>
      </c>
      <c r="AV343" s="38">
        <f>Table43[[#This Row],[Harga Jual Krt GT
(- PPN)]]*1.11</f>
        <v>255744.00000000003</v>
      </c>
      <c r="AW343" s="38">
        <f>IFERROR(VLOOKUP(Table43[[#This Row],[Kode Pcpl]],'[1]FEB 2026'!$A$3:$X$312,24,0),0)</f>
        <v>0</v>
      </c>
      <c r="AX343" s="38">
        <f>Table43[[#This Row],[Harga Jual Pcs MT
(-PPN)]]*Table43[[#This Row],[ISI/CTN]]</f>
        <v>0</v>
      </c>
      <c r="AY343" s="38">
        <f>Table43[[#This Row],[Harga Jual Pcs MT
(-PPN)]]*1.11</f>
        <v>0</v>
      </c>
      <c r="AZ343" s="38">
        <f>Table43[[#This Row],[Harga Jual Pcs MT
(+PPN)]]*Table43[[#This Row],[ISI/CTN]]</f>
        <v>0</v>
      </c>
      <c r="BA343" s="46">
        <f>(Table43[[#This Row],[Harga Jual Pcs GT
(-PPN)]]-Table43[[#This Row],[Harga Beli Pcs
(-PPN)]])/Table43[[#This Row],[Harga Jual Pcs GT
(-PPN)]]</f>
        <v>6.5000000000000002E-2</v>
      </c>
      <c r="BB343" s="53">
        <f>Table43[[#This Row],[Harga Jual Pcs MT
(-PPN)]]-Table43[[#This Row],[Harga Beli Pcs
(-PPN)]]</f>
        <v>-2992</v>
      </c>
      <c r="BC343" s="54" t="e">
        <f>Table43[[#This Row],[Column1]]/Table43[[#This Row],[Harga Jual Pcs MT
(-PPN)]]</f>
        <v>#DIV/0!</v>
      </c>
      <c r="BD343" s="52"/>
      <c r="BE343" s="7"/>
      <c r="BF343" s="7" t="str">
        <f ca="1">IF(TODAY()-Table43[[#This Row],[Efektif
Pembuatan]]&gt;60,"Lama","Baru")</f>
        <v>Lama</v>
      </c>
      <c r="BG343" s="7" t="str">
        <f ca="1">IF(TODAY()-Table43[[#This Row],[Efektif Naik Harga]]&lt;30,"Naik","Sama")</f>
        <v>Sama</v>
      </c>
      <c r="BH343" s="7"/>
      <c r="BI343" s="7" t="str">
        <f>IF(Table43[[#This Row],[Kode BARANG Win2]]&lt;&gt;"","IDR","")</f>
        <v>IDR</v>
      </c>
      <c r="BJ343" s="7" t="str">
        <f>CONCATENATE(Table43[[#This Row],[kode  1 Digit
(Nomor)]],Table43[[#This Row],[kode  4 Digit                (Nomor)]])</f>
        <v>0000</v>
      </c>
      <c r="BK343" s="7">
        <f>Table43[[#This Row],[Nama            Gramasi atau Jumlah Pack per CTN]]</f>
        <v>0</v>
      </c>
      <c r="BL343" s="7"/>
      <c r="BM343" s="7"/>
      <c r="BN343" s="4" t="str">
        <f>IF(Table43[[#This Row],[SATUAN Fix Win]]&lt;&gt;"","KRT")</f>
        <v>KRT</v>
      </c>
      <c r="BO343" s="4" t="str">
        <f>IF(Table43[[#This Row],[SATUAN Fix Win]]&lt;&gt;"","GD01")</f>
        <v>GD01</v>
      </c>
      <c r="BP343" s="4">
        <f>IF(Table43[[#This Row],[SATUAN Fix Win]]&lt;&gt;"",11611)</f>
        <v>11611</v>
      </c>
      <c r="BQ343" s="4">
        <f>IF(Table43[[#This Row],[SATUAN Fix Win]]&lt;&gt;"",11612)</f>
        <v>11612</v>
      </c>
      <c r="BR343" s="4"/>
      <c r="BS343" s="4">
        <f>IF(Table43[[#This Row],[SATUAN Fix Win]]&lt;&gt;"",1)</f>
        <v>1</v>
      </c>
      <c r="BT343" s="4"/>
      <c r="BU343" s="4">
        <f>Table43[[#This Row],[ISI/CTN]]</f>
        <v>72</v>
      </c>
      <c r="BV343" s="71"/>
      <c r="BW343" s="71"/>
    </row>
    <row r="344" spans="1:75">
      <c r="A344" s="4" t="str">
        <f>CONCATENATE(Table43[[#This Row],[Kode BARANG Win2]],Table43[[#This Row],[No. Urut
Item Sama]])</f>
        <v>G1224201000010</v>
      </c>
      <c r="B344" s="7"/>
      <c r="C344" s="31">
        <v>30369060020000</v>
      </c>
      <c r="D344" s="59">
        <v>40031393</v>
      </c>
      <c r="E344" s="60" t="s">
        <v>2055</v>
      </c>
      <c r="F344" s="59">
        <v>30365000100000</v>
      </c>
      <c r="G344" s="59">
        <v>0</v>
      </c>
      <c r="H344" s="60" t="s">
        <v>1349</v>
      </c>
      <c r="I344" s="60">
        <v>576</v>
      </c>
      <c r="J344" s="59" t="s">
        <v>1742</v>
      </c>
      <c r="K344" s="60" t="str">
        <f>Table43[[#This Row],[NamaJenisKemasan]]</f>
        <v>PCS</v>
      </c>
      <c r="L344" s="4" t="str">
        <f>TRIM(CONCATENATE(Table43[[#This Row],[Nama            KLP]]," ",Table43[[#This Row],[Nama            Sub KLP]]))</f>
        <v>POLYTEX SABUT</v>
      </c>
      <c r="M344" s="4" t="str">
        <f>CONCATENATE(Table43[[#This Row],[kode  2 Digit                (hrf+No)]],Table43[[#This Row],[kode  2 Digit                (Nomor)]],Table43[[#This Row],[kode  1 Digit                (Nomor)]])</f>
        <v>G1224</v>
      </c>
      <c r="N344" s="4" t="str">
        <f>IF(AI344="",CONCATENATE(S344,U344,W344,Y344,AA344,AC344,AE344,AG344,Table43[[#This Row],[Tanda Kode Revisi]]),CONCATENATE(S344,U344,W344,Y344,AA344,AC344,AE344,AI344))</f>
        <v>G1224201000010</v>
      </c>
      <c r="O344" s="11">
        <f t="shared" si="8"/>
        <v>14</v>
      </c>
      <c r="P344" s="14" t="str">
        <f>IF(AH344&lt;&gt;"",TRIM(UPPER(CONCATENATE(R344," ",T344," ",V344," ",X344," ",Z344," ",AB344," ","X"," ",Table43[[#This Row],[ISI/CTN]]," ",AH344," ",AD344," ",AF344," ",AJ344))),TRIM(UPPER(CONCATENATE(R344," ",T344," ",V344," ",X344," ",Z344," ",AB344," ","X"," ",Table43[[#This Row],[ISI/CTN]]," ",AD344," ",AF344," ",AJ344))))</f>
        <v>POLYTEX SABUT NILON EXTRA BERSIH &amp; TAHAN LAMA X 576 PCS</v>
      </c>
      <c r="Q344" s="11">
        <f t="shared" si="9"/>
        <v>55</v>
      </c>
      <c r="S344" s="7" t="s">
        <v>34</v>
      </c>
      <c r="T344" s="4" t="s">
        <v>2402</v>
      </c>
      <c r="U344" s="47" t="s">
        <v>2568</v>
      </c>
      <c r="V344" s="48" t="s">
        <v>2405</v>
      </c>
      <c r="W344" s="7">
        <v>4</v>
      </c>
      <c r="X344" s="48" t="s">
        <v>2571</v>
      </c>
      <c r="Y344" s="47" t="s">
        <v>2572</v>
      </c>
      <c r="Z344" s="4" t="s">
        <v>2406</v>
      </c>
      <c r="AA344" s="49" t="s">
        <v>1115</v>
      </c>
      <c r="AC344" s="49" t="s">
        <v>2460</v>
      </c>
      <c r="AD344" s="4" t="s">
        <v>185</v>
      </c>
      <c r="AE344" s="7">
        <v>1</v>
      </c>
      <c r="AG344" s="7">
        <v>0</v>
      </c>
      <c r="AK344" s="70">
        <f>Table43[[#This Row],[Column4]]</f>
        <v>30365000100000</v>
      </c>
      <c r="AN344" s="7">
        <f>Table43[[#This Row],[ISI/CTN]]</f>
        <v>576</v>
      </c>
      <c r="AO344" s="61">
        <f>Table43[[#This Row],[Harga Jual Pcs GT
(-PPN)]]-(Table43[[#This Row],[Harga Jual Pcs GT
(-PPN)]]*6.5%)</f>
        <v>2262.6999999999998</v>
      </c>
      <c r="AP344" s="61">
        <f>Table43[[#This Row],[Harga Beli Pcs
(-PPN)]]*Table43[[#This Row],[ISI/CTN]]</f>
        <v>1303315.2</v>
      </c>
      <c r="AQ344" s="61">
        <f>Table43[[#This Row],[Harga Beli Pcs
(-PPN)]]*1.11</f>
        <v>2511.5970000000002</v>
      </c>
      <c r="AR344" s="61">
        <f>Table43[[#This Row],[Harga Beli Krt
(- PPN)]]*1.11</f>
        <v>1446679.872</v>
      </c>
      <c r="AS344" s="61">
        <v>2420</v>
      </c>
      <c r="AT344" s="61">
        <f>Table43[[#This Row],[Harga Jual Pcs GT
(-PPN)]]*Table43[[#This Row],[ISI/CTN]]</f>
        <v>1393920</v>
      </c>
      <c r="AU344" s="61">
        <f>Table43[[#This Row],[Harga Jual Pcs GT
(-PPN)]]*1.11</f>
        <v>2686.2000000000003</v>
      </c>
      <c r="AV344" s="61">
        <f>Table43[[#This Row],[Harga Jual Krt GT
(- PPN)]]*1.11</f>
        <v>1547251.2000000002</v>
      </c>
      <c r="AW344" s="61">
        <f>IFERROR(VLOOKUP(Table43[[#This Row],[Kode Pcpl]],'[1]FEB 2026'!$A$3:$X$312,24,0),0)</f>
        <v>0</v>
      </c>
      <c r="AX344" s="61">
        <f>Table43[[#This Row],[Harga Jual Pcs MT
(-PPN)]]*Table43[[#This Row],[ISI/CTN]]</f>
        <v>0</v>
      </c>
      <c r="AY344" s="61">
        <f>Table43[[#This Row],[Harga Jual Pcs MT
(-PPN)]]*1.11</f>
        <v>0</v>
      </c>
      <c r="AZ344" s="61">
        <f>Table43[[#This Row],[Harga Jual Pcs MT
(+PPN)]]*Table43[[#This Row],[ISI/CTN]]</f>
        <v>0</v>
      </c>
      <c r="BA344" s="62">
        <f>(Table43[[#This Row],[Harga Jual Pcs GT
(-PPN)]]-Table43[[#This Row],[Harga Beli Pcs
(-PPN)]])/Table43[[#This Row],[Harga Jual Pcs GT
(-PPN)]]</f>
        <v>6.5000000000000072E-2</v>
      </c>
      <c r="BB344" s="63">
        <f>Table43[[#This Row],[Harga Jual Pcs MT
(-PPN)]]-Table43[[#This Row],[Harga Beli Pcs
(-PPN)]]</f>
        <v>-2262.6999999999998</v>
      </c>
      <c r="BC344" s="64" t="e">
        <f>Table43[[#This Row],[Column1]]/Table43[[#This Row],[Harga Jual Pcs MT
(-PPN)]]</f>
        <v>#DIV/0!</v>
      </c>
      <c r="BD344" s="52"/>
      <c r="BE344" s="7"/>
      <c r="BF344" s="7" t="str">
        <f ca="1">IF(TODAY()-Table43[[#This Row],[Efektif
Pembuatan]]&gt;60,"Lama","Baru")</f>
        <v>Lama</v>
      </c>
      <c r="BG344" s="7" t="str">
        <f ca="1">IF(TODAY()-Table43[[#This Row],[Efektif Naik Harga]]&lt;30,"Naik","Sama")</f>
        <v>Sama</v>
      </c>
      <c r="BH344" s="7"/>
      <c r="BI344" s="7" t="str">
        <f>IF(Table43[[#This Row],[Kode BARANG Win2]]&lt;&gt;"","IDR","")</f>
        <v>IDR</v>
      </c>
      <c r="BJ344" s="7" t="str">
        <f>CONCATENATE(Table43[[#This Row],[kode  1 Digit
(Nomor)]],Table43[[#This Row],[kode  4 Digit                (Nomor)]])</f>
        <v>0000</v>
      </c>
      <c r="BK344" s="7">
        <f>Table43[[#This Row],[Nama            Gramasi atau Jumlah Pack per CTN]]</f>
        <v>0</v>
      </c>
      <c r="BL344" s="7"/>
      <c r="BM344" s="7"/>
      <c r="BN344" s="4" t="str">
        <f>IF(Table43[[#This Row],[SATUAN Fix Win]]&lt;&gt;"","KRT")</f>
        <v>KRT</v>
      </c>
      <c r="BO344" s="4" t="str">
        <f>IF(Table43[[#This Row],[SATUAN Fix Win]]&lt;&gt;"","GD01")</f>
        <v>GD01</v>
      </c>
      <c r="BP344" s="4">
        <f>IF(Table43[[#This Row],[SATUAN Fix Win]]&lt;&gt;"",11611)</f>
        <v>11611</v>
      </c>
      <c r="BQ344" s="4">
        <f>IF(Table43[[#This Row],[SATUAN Fix Win]]&lt;&gt;"",11612)</f>
        <v>11612</v>
      </c>
      <c r="BS344" s="4">
        <f>IF(Table43[[#This Row],[SATUAN Fix Win]]&lt;&gt;"",1)</f>
        <v>1</v>
      </c>
      <c r="BU344" s="4">
        <f>Table43[[#This Row],[ISI/CTN]]</f>
        <v>576</v>
      </c>
    </row>
    <row r="345" spans="1:75">
      <c r="A345" s="4" t="str">
        <f>CONCATENATE(Table43[[#This Row],[Kode BARANG Win2]],Table43[[#This Row],[No. Urut
Item Sama]])</f>
        <v>G1224201000010</v>
      </c>
      <c r="B345" s="7"/>
      <c r="C345" s="31"/>
      <c r="D345" s="51">
        <v>40008448</v>
      </c>
      <c r="E345" s="27"/>
      <c r="F345" s="51"/>
      <c r="G345" s="51"/>
      <c r="H345" s="27"/>
      <c r="I345" s="27">
        <v>576</v>
      </c>
      <c r="J345" s="59" t="s">
        <v>1742</v>
      </c>
      <c r="K345" s="27" t="str">
        <f>Table43[[#This Row],[NamaJenisKemasan]]</f>
        <v>PCS</v>
      </c>
      <c r="L345" s="4" t="str">
        <f>TRIM(CONCATENATE(Table43[[#This Row],[Nama            KLP]]," ",Table43[[#This Row],[Nama            Sub KLP]]))</f>
        <v>POLYTEX SABUT</v>
      </c>
      <c r="M345" s="4" t="str">
        <f>CONCATENATE(Table43[[#This Row],[kode  2 Digit                (hrf+No)]],Table43[[#This Row],[kode  2 Digit                (Nomor)]],Table43[[#This Row],[kode  1 Digit                (Nomor)]])</f>
        <v>G1224</v>
      </c>
      <c r="N345" s="4" t="str">
        <f>IF(AI345="",CONCATENATE(S345,U345,W345,Y345,AA345,AC345,AE345,AG345,Table43[[#This Row],[Tanda Kode Revisi]]),CONCATENATE(S345,U345,W345,Y345,AA345,AC345,AE345,AI345))</f>
        <v>G1224201000010</v>
      </c>
      <c r="O345" s="11">
        <f t="shared" si="8"/>
        <v>14</v>
      </c>
      <c r="P345" s="14" t="str">
        <f>IF(AH345&lt;&gt;"",TRIM(UPPER(CONCATENATE(R345," ",T345," ",V345," ",X345," ",Z345," ",AB345," ","X"," ",Table43[[#This Row],[ISI/CTN]]," ",AH345," ",AD345," ",AF345," ",AJ345))),TRIM(UPPER(CONCATENATE(R345," ",T345," ",V345," ",X345," ",Z345," ",AB345," ","X"," ",Table43[[#This Row],[ISI/CTN]]," ",AD345," ",AF345," ",AJ345))))</f>
        <v>POLYTEX SABUT NILON EXTRA BERSIH &amp; TAHAN LAMA X 576 PCS</v>
      </c>
      <c r="Q345" s="11">
        <f t="shared" si="9"/>
        <v>55</v>
      </c>
      <c r="S345" s="7" t="s">
        <v>34</v>
      </c>
      <c r="T345" s="4" t="s">
        <v>2402</v>
      </c>
      <c r="U345" s="47" t="s">
        <v>2568</v>
      </c>
      <c r="V345" s="48" t="s">
        <v>2405</v>
      </c>
      <c r="W345" s="7">
        <v>4</v>
      </c>
      <c r="X345" s="48" t="s">
        <v>2571</v>
      </c>
      <c r="Y345" s="47" t="s">
        <v>2572</v>
      </c>
      <c r="Z345" s="4" t="s">
        <v>2406</v>
      </c>
      <c r="AA345" s="49" t="s">
        <v>1115</v>
      </c>
      <c r="AC345" s="49" t="s">
        <v>2460</v>
      </c>
      <c r="AD345" s="4" t="s">
        <v>185</v>
      </c>
      <c r="AE345" s="7">
        <v>1</v>
      </c>
      <c r="AG345" s="7">
        <v>0</v>
      </c>
      <c r="AK345" s="70">
        <f>Table43[[#This Row],[Column4]]</f>
        <v>0</v>
      </c>
      <c r="AN345" s="7">
        <f>Table43[[#This Row],[ISI/CTN]]</f>
        <v>576</v>
      </c>
      <c r="AO345" s="61">
        <f>Table43[[#This Row],[Harga Jual Pcs GT
(-PPN)]]-(Table43[[#This Row],[Harga Jual Pcs GT
(-PPN)]]*6.5%)</f>
        <v>2262.6999999999998</v>
      </c>
      <c r="AP345" s="61">
        <f>Table43[[#This Row],[Harga Beli Pcs
(-PPN)]]*Table43[[#This Row],[ISI/CTN]]</f>
        <v>1303315.2</v>
      </c>
      <c r="AQ345" s="61">
        <f>Table43[[#This Row],[Harga Beli Pcs
(-PPN)]]*1.11</f>
        <v>2511.5970000000002</v>
      </c>
      <c r="AR345" s="61">
        <f>Table43[[#This Row],[Harga Beli Krt
(- PPN)]]*1.11</f>
        <v>1446679.872</v>
      </c>
      <c r="AS345" s="61">
        <v>2420</v>
      </c>
      <c r="AT345" s="61">
        <f>Table43[[#This Row],[Harga Jual Pcs GT
(-PPN)]]*Table43[[#This Row],[ISI/CTN]]</f>
        <v>1393920</v>
      </c>
      <c r="AU345" s="61">
        <f>Table43[[#This Row],[Harga Jual Pcs GT
(-PPN)]]*1.11</f>
        <v>2686.2000000000003</v>
      </c>
      <c r="AV345" s="61">
        <f>Table43[[#This Row],[Harga Jual Krt GT
(- PPN)]]*1.11</f>
        <v>1547251.2000000002</v>
      </c>
      <c r="AW345" s="61">
        <f>IFERROR(VLOOKUP(Table43[[#This Row],[Kode Pcpl]],'[1]FEB 2026'!$A$3:$X$312,24,0),0)</f>
        <v>0</v>
      </c>
      <c r="AX345" s="61">
        <f>Table43[[#This Row],[Harga Jual Pcs MT
(-PPN)]]*Table43[[#This Row],[ISI/CTN]]</f>
        <v>0</v>
      </c>
      <c r="AY345" s="61">
        <f>Table43[[#This Row],[Harga Jual Pcs MT
(-PPN)]]*1.11</f>
        <v>0</v>
      </c>
      <c r="AZ345" s="61">
        <f>Table43[[#This Row],[Harga Jual Pcs MT
(+PPN)]]*Table43[[#This Row],[ISI/CTN]]</f>
        <v>0</v>
      </c>
      <c r="BA345" s="62">
        <f>(Table43[[#This Row],[Harga Jual Pcs GT
(-PPN)]]-Table43[[#This Row],[Harga Beli Pcs
(-PPN)]])/Table43[[#This Row],[Harga Jual Pcs GT
(-PPN)]]</f>
        <v>6.5000000000000072E-2</v>
      </c>
      <c r="BB345" s="63">
        <f>Table43[[#This Row],[Harga Jual Pcs MT
(-PPN)]]-Table43[[#This Row],[Harga Beli Pcs
(-PPN)]]</f>
        <v>-2262.6999999999998</v>
      </c>
      <c r="BC345" s="64" t="e">
        <f>Table43[[#This Row],[Column1]]/Table43[[#This Row],[Harga Jual Pcs MT
(-PPN)]]</f>
        <v>#DIV/0!</v>
      </c>
      <c r="BD345" s="52"/>
      <c r="BE345" s="7"/>
      <c r="BF345" s="7" t="str">
        <f ca="1">IF(TODAY()-Table43[[#This Row],[Efektif
Pembuatan]]&gt;60,"Lama","Baru")</f>
        <v>Lama</v>
      </c>
      <c r="BG345" s="7" t="str">
        <f ca="1">IF(TODAY()-Table43[[#This Row],[Efektif Naik Harga]]&lt;30,"Naik","Sama")</f>
        <v>Sama</v>
      </c>
      <c r="BH345" s="7"/>
      <c r="BI345" s="7" t="str">
        <f>IF(Table43[[#This Row],[Kode BARANG Win2]]&lt;&gt;"","IDR","")</f>
        <v>IDR</v>
      </c>
      <c r="BJ345" s="7" t="str">
        <f>CONCATENATE(Table43[[#This Row],[kode  1 Digit
(Nomor)]],Table43[[#This Row],[kode  4 Digit                (Nomor)]])</f>
        <v>0000</v>
      </c>
      <c r="BK345" s="7">
        <f>Table43[[#This Row],[Nama            Gramasi atau Jumlah Pack per CTN]]</f>
        <v>0</v>
      </c>
      <c r="BL345" s="7"/>
      <c r="BM345" s="7"/>
      <c r="BN345" s="4" t="str">
        <f>IF(Table43[[#This Row],[SATUAN Fix Win]]&lt;&gt;"","KRT")</f>
        <v>KRT</v>
      </c>
      <c r="BO345" s="4" t="str">
        <f>IF(Table43[[#This Row],[SATUAN Fix Win]]&lt;&gt;"","GD01")</f>
        <v>GD01</v>
      </c>
      <c r="BP345" s="4">
        <f>IF(Table43[[#This Row],[SATUAN Fix Win]]&lt;&gt;"",11611)</f>
        <v>11611</v>
      </c>
      <c r="BQ345" s="4">
        <f>IF(Table43[[#This Row],[SATUAN Fix Win]]&lt;&gt;"",11612)</f>
        <v>11612</v>
      </c>
      <c r="BS345" s="4">
        <f>IF(Table43[[#This Row],[SATUAN Fix Win]]&lt;&gt;"",1)</f>
        <v>1</v>
      </c>
      <c r="BU345" s="4">
        <f>Table43[[#This Row],[ISI/CTN]]</f>
        <v>576</v>
      </c>
    </row>
    <row r="346" spans="1:75">
      <c r="A346" s="4" t="str">
        <f>CONCATENATE(Table43[[#This Row],[Kode BARANG Win2]],Table43[[#This Row],[No. Urut
Item Sama]])</f>
        <v>G1224301000010</v>
      </c>
      <c r="B346" s="7"/>
      <c r="C346" s="31">
        <v>30369050012002</v>
      </c>
      <c r="D346" s="59">
        <v>40031387</v>
      </c>
      <c r="E346" s="60" t="s">
        <v>2048</v>
      </c>
      <c r="F346" s="59">
        <v>30364010100000</v>
      </c>
      <c r="G346" s="59">
        <v>0</v>
      </c>
      <c r="H346" s="60" t="s">
        <v>1340</v>
      </c>
      <c r="I346" s="60">
        <v>288</v>
      </c>
      <c r="J346" s="59" t="s">
        <v>1735</v>
      </c>
      <c r="K346" s="60" t="str">
        <f>Table43[[#This Row],[NamaJenisKemasan]]</f>
        <v>PCS</v>
      </c>
      <c r="L346" s="4" t="str">
        <f>TRIM(CONCATENATE(Table43[[#This Row],[Nama            KLP]]," ",Table43[[#This Row],[Nama            Sub KLP]]))</f>
        <v>POLYTEX SABUT</v>
      </c>
      <c r="M346" s="4" t="str">
        <f>CONCATENATE(Table43[[#This Row],[kode  2 Digit                (hrf+No)]],Table43[[#This Row],[kode  2 Digit                (Nomor)]],Table43[[#This Row],[kode  1 Digit                (Nomor)]])</f>
        <v>G1224</v>
      </c>
      <c r="N346" s="4" t="str">
        <f>IF(AI346="",CONCATENATE(S346,U346,W346,Y346,AA346,AC346,AE346,AG346,Table43[[#This Row],[Tanda Kode Revisi]]),CONCATENATE(S346,U346,W346,Y346,AA346,AC346,AE346,AI346))</f>
        <v>G1224301000010</v>
      </c>
      <c r="O346" s="11">
        <f t="shared" si="8"/>
        <v>14</v>
      </c>
      <c r="P346" s="14" t="str">
        <f>IF(AH346&lt;&gt;"",TRIM(UPPER(CONCATENATE(R346," ",T346," ",V346," ",X346," ",Z346," ",AB346," ","X"," ",Table43[[#This Row],[ISI/CTN]]," ",AH346," ",AD346," ",AF346," ",AJ346))),TRIM(UPPER(CONCATENATE(R346," ",T346," ",V346," ",X346," ",Z346," ",AB346," ","X"," ",Table43[[#This Row],[ISI/CTN]]," ",AD346," ",AF346," ",AJ346))))</f>
        <v>POLYTEX SABUT SPON ANTI GORES X 288 PCS</v>
      </c>
      <c r="Q346" s="11">
        <f t="shared" si="9"/>
        <v>39</v>
      </c>
      <c r="S346" s="7" t="s">
        <v>34</v>
      </c>
      <c r="T346" s="4" t="s">
        <v>2402</v>
      </c>
      <c r="U346" s="47" t="s">
        <v>2568</v>
      </c>
      <c r="V346" s="48" t="s">
        <v>2405</v>
      </c>
      <c r="W346" s="7">
        <v>4</v>
      </c>
      <c r="X346" s="48" t="s">
        <v>2218</v>
      </c>
      <c r="Y346" s="47" t="s">
        <v>2576</v>
      </c>
      <c r="Z346" s="4" t="s">
        <v>2385</v>
      </c>
      <c r="AA346" s="49" t="s">
        <v>1115</v>
      </c>
      <c r="AC346" s="49" t="s">
        <v>2460</v>
      </c>
      <c r="AD346" s="4" t="s">
        <v>185</v>
      </c>
      <c r="AE346" s="7">
        <v>1</v>
      </c>
      <c r="AG346" s="7">
        <v>0</v>
      </c>
      <c r="AK346" s="70">
        <f>Table43[[#This Row],[Column4]]</f>
        <v>30364010100000</v>
      </c>
      <c r="AN346" s="7">
        <f>Table43[[#This Row],[ISI/CTN]]</f>
        <v>288</v>
      </c>
      <c r="AO346" s="38">
        <f>Table43[[#This Row],[Harga Jual Pcs GT
(-PPN)]]-(Table43[[#This Row],[Harga Jual Pcs GT
(-PPN)]]*6.5%)</f>
        <v>5694.15</v>
      </c>
      <c r="AP346" s="38">
        <f>Table43[[#This Row],[Harga Beli Pcs
(-PPN)]]*Table43[[#This Row],[ISI/CTN]]</f>
        <v>1639915.2</v>
      </c>
      <c r="AQ346" s="38">
        <f>Table43[[#This Row],[Harga Beli Pcs
(-PPN)]]*1.11</f>
        <v>6320.5065000000004</v>
      </c>
      <c r="AR346" s="38">
        <f>Table43[[#This Row],[Harga Beli Krt
(- PPN)]]*1.11</f>
        <v>1820305.8720000002</v>
      </c>
      <c r="AS346" s="38">
        <v>6090</v>
      </c>
      <c r="AT346" s="38">
        <f>Table43[[#This Row],[Harga Jual Pcs GT
(-PPN)]]*Table43[[#This Row],[ISI/CTN]]</f>
        <v>1753920</v>
      </c>
      <c r="AU346" s="38">
        <f>Table43[[#This Row],[Harga Jual Pcs GT
(-PPN)]]*1.11</f>
        <v>6759.9000000000005</v>
      </c>
      <c r="AV346" s="38">
        <f>Table43[[#This Row],[Harga Jual Krt GT
(- PPN)]]*1.11</f>
        <v>1946851.2000000002</v>
      </c>
      <c r="AW346" s="38">
        <f>IFERROR(VLOOKUP(Table43[[#This Row],[Kode Pcpl]],'[1]FEB 2026'!$A$3:$X$312,24,0),0)</f>
        <v>0</v>
      </c>
      <c r="AX346" s="38">
        <f>Table43[[#This Row],[Harga Jual Pcs MT
(-PPN)]]*Table43[[#This Row],[ISI/CTN]]</f>
        <v>0</v>
      </c>
      <c r="AY346" s="38">
        <f>Table43[[#This Row],[Harga Jual Pcs MT
(-PPN)]]*1.11</f>
        <v>0</v>
      </c>
      <c r="AZ346" s="38">
        <f>Table43[[#This Row],[Harga Jual Pcs MT
(+PPN)]]*Table43[[#This Row],[ISI/CTN]]</f>
        <v>0</v>
      </c>
      <c r="BA346" s="46">
        <f>(Table43[[#This Row],[Harga Jual Pcs GT
(-PPN)]]-Table43[[#This Row],[Harga Beli Pcs
(-PPN)]])/Table43[[#This Row],[Harga Jual Pcs GT
(-PPN)]]</f>
        <v>6.5000000000000058E-2</v>
      </c>
      <c r="BB346" s="53">
        <f>Table43[[#This Row],[Harga Jual Pcs MT
(-PPN)]]-Table43[[#This Row],[Harga Beli Pcs
(-PPN)]]</f>
        <v>-5694.15</v>
      </c>
      <c r="BC346" s="54" t="e">
        <f>Table43[[#This Row],[Column1]]/Table43[[#This Row],[Harga Jual Pcs MT
(-PPN)]]</f>
        <v>#DIV/0!</v>
      </c>
      <c r="BD346" s="52"/>
      <c r="BE346" s="7"/>
      <c r="BF346" s="7" t="str">
        <f ca="1">IF(TODAY()-Table43[[#This Row],[Efektif
Pembuatan]]&gt;60,"Lama","Baru")</f>
        <v>Lama</v>
      </c>
      <c r="BG346" s="7" t="str">
        <f ca="1">IF(TODAY()-Table43[[#This Row],[Efektif Naik Harga]]&lt;30,"Naik","Sama")</f>
        <v>Sama</v>
      </c>
      <c r="BH346" s="7"/>
      <c r="BI346" s="7" t="str">
        <f>IF(Table43[[#This Row],[Kode BARANG Win2]]&lt;&gt;"","IDR","")</f>
        <v>IDR</v>
      </c>
      <c r="BJ346" s="7" t="str">
        <f>CONCATENATE(Table43[[#This Row],[kode  1 Digit
(Nomor)]],Table43[[#This Row],[kode  4 Digit                (Nomor)]])</f>
        <v>0000</v>
      </c>
      <c r="BK346" s="7">
        <f>Table43[[#This Row],[Nama            Gramasi atau Jumlah Pack per CTN]]</f>
        <v>0</v>
      </c>
      <c r="BL346" s="7"/>
      <c r="BM346" s="7"/>
      <c r="BN346" s="4" t="str">
        <f>IF(Table43[[#This Row],[SATUAN Fix Win]]&lt;&gt;"","KRT")</f>
        <v>KRT</v>
      </c>
      <c r="BO346" s="4" t="str">
        <f>IF(Table43[[#This Row],[SATUAN Fix Win]]&lt;&gt;"","GD01")</f>
        <v>GD01</v>
      </c>
      <c r="BP346" s="4">
        <f>IF(Table43[[#This Row],[SATUAN Fix Win]]&lt;&gt;"",11611)</f>
        <v>11611</v>
      </c>
      <c r="BQ346" s="4">
        <f>IF(Table43[[#This Row],[SATUAN Fix Win]]&lt;&gt;"",11612)</f>
        <v>11612</v>
      </c>
      <c r="BS346" s="4">
        <f>IF(Table43[[#This Row],[SATUAN Fix Win]]&lt;&gt;"",1)</f>
        <v>1</v>
      </c>
      <c r="BU346" s="4">
        <f>Table43[[#This Row],[ISI/CTN]]</f>
        <v>288</v>
      </c>
    </row>
    <row r="347" spans="1:75">
      <c r="A347" s="4" t="str">
        <f>CONCATENATE(Table43[[#This Row],[Kode BARANG Win2]],Table43[[#This Row],[No. Urut
Item Sama]])</f>
        <v>G1224302000010</v>
      </c>
      <c r="B347" s="7"/>
      <c r="C347" s="31">
        <v>30369060020001</v>
      </c>
      <c r="D347" s="51">
        <v>40031386</v>
      </c>
      <c r="E347" s="27" t="s">
        <v>2049</v>
      </c>
      <c r="F347" s="51">
        <v>30364020100000</v>
      </c>
      <c r="G347" s="51">
        <v>0</v>
      </c>
      <c r="H347" s="27" t="s">
        <v>1341</v>
      </c>
      <c r="I347" s="27">
        <v>288</v>
      </c>
      <c r="J347" s="51" t="s">
        <v>1736</v>
      </c>
      <c r="K347" s="27" t="str">
        <f>Table43[[#This Row],[NamaJenisKemasan]]</f>
        <v>PCS</v>
      </c>
      <c r="L347" s="4" t="str">
        <f>TRIM(CONCATENATE(Table43[[#This Row],[Nama            KLP]]," ",Table43[[#This Row],[Nama            Sub KLP]]))</f>
        <v>POLYTEX SABUT</v>
      </c>
      <c r="M347" s="4" t="str">
        <f>CONCATENATE(Table43[[#This Row],[kode  2 Digit                (hrf+No)]],Table43[[#This Row],[kode  2 Digit                (Nomor)]],Table43[[#This Row],[kode  1 Digit                (Nomor)]])</f>
        <v>G1224</v>
      </c>
      <c r="N347" s="4" t="str">
        <f>IF(AI347="",CONCATENATE(S347,U347,W347,Y347,AA347,AC347,AE347,AG347,Table43[[#This Row],[Tanda Kode Revisi]]),CONCATENATE(S347,U347,W347,Y347,AA347,AC347,AE347,AI347))</f>
        <v>G1224302000010</v>
      </c>
      <c r="O347" s="11">
        <f t="shared" si="8"/>
        <v>14</v>
      </c>
      <c r="P347" s="14" t="str">
        <f>IF(AH347&lt;&gt;"",TRIM(UPPER(CONCATENATE(R347," ",T347," ",V347," ",X347," ",Z347," ",AB347," ","X"," ",Table43[[#This Row],[ISI/CTN]]," ",AH347," ",AD347," ",AF347," ",AJ347))),TRIM(UPPER(CONCATENATE(R347," ",T347," ",V347," ",X347," ",Z347," ",AB347," ","X"," ",Table43[[#This Row],[ISI/CTN]]," ",AD347," ",AF347," ",AJ347))))</f>
        <v>POLYTEX SABUT SPON EXTRA BERSIH &amp; TAHAN LAMA X 288 PCS</v>
      </c>
      <c r="Q347" s="11">
        <f t="shared" si="9"/>
        <v>54</v>
      </c>
      <c r="S347" s="7" t="s">
        <v>34</v>
      </c>
      <c r="T347" s="4" t="s">
        <v>2402</v>
      </c>
      <c r="U347" s="47" t="s">
        <v>2568</v>
      </c>
      <c r="V347" s="48" t="s">
        <v>2405</v>
      </c>
      <c r="W347" s="7">
        <v>4</v>
      </c>
      <c r="X347" s="48" t="s">
        <v>2218</v>
      </c>
      <c r="Y347" s="47" t="s">
        <v>2576</v>
      </c>
      <c r="Z347" s="4" t="s">
        <v>2406</v>
      </c>
      <c r="AA347" s="49" t="s">
        <v>2459</v>
      </c>
      <c r="AC347" s="49" t="s">
        <v>2460</v>
      </c>
      <c r="AD347" s="4" t="s">
        <v>185</v>
      </c>
      <c r="AE347" s="7">
        <v>1</v>
      </c>
      <c r="AG347" s="7">
        <v>0</v>
      </c>
      <c r="AK347" s="70">
        <f>Table43[[#This Row],[Column4]]</f>
        <v>30364020100000</v>
      </c>
      <c r="AN347" s="7">
        <f>Table43[[#This Row],[ISI/CTN]]</f>
        <v>288</v>
      </c>
      <c r="AO347" s="61">
        <f>Table43[[#This Row],[Harga Jual Pcs GT
(-PPN)]]-(Table43[[#This Row],[Harga Jual Pcs GT
(-PPN)]]*6.5%)</f>
        <v>5020.95</v>
      </c>
      <c r="AP347" s="61">
        <f>Table43[[#This Row],[Harga Beli Pcs
(-PPN)]]*Table43[[#This Row],[ISI/CTN]]</f>
        <v>1446033.5999999999</v>
      </c>
      <c r="AQ347" s="61">
        <f>Table43[[#This Row],[Harga Beli Pcs
(-PPN)]]*1.11</f>
        <v>5573.2545</v>
      </c>
      <c r="AR347" s="61">
        <f>Table43[[#This Row],[Harga Beli Krt
(- PPN)]]*1.11</f>
        <v>1605097.2960000001</v>
      </c>
      <c r="AS347" s="61">
        <v>5370</v>
      </c>
      <c r="AT347" s="61">
        <f>Table43[[#This Row],[Harga Jual Pcs GT
(-PPN)]]*Table43[[#This Row],[ISI/CTN]]</f>
        <v>1546560</v>
      </c>
      <c r="AU347" s="61">
        <f>Table43[[#This Row],[Harga Jual Pcs GT
(-PPN)]]*1.11</f>
        <v>5960.7000000000007</v>
      </c>
      <c r="AV347" s="61">
        <f>Table43[[#This Row],[Harga Jual Krt GT
(- PPN)]]*1.11</f>
        <v>1716681.6</v>
      </c>
      <c r="AW347" s="61">
        <f>IFERROR(VLOOKUP(Table43[[#This Row],[Kode Pcpl]],'[1]FEB 2026'!$A$3:$X$312,24,0),0)</f>
        <v>0</v>
      </c>
      <c r="AX347" s="61">
        <f>Table43[[#This Row],[Harga Jual Pcs MT
(-PPN)]]*Table43[[#This Row],[ISI/CTN]]</f>
        <v>0</v>
      </c>
      <c r="AY347" s="61">
        <f>Table43[[#This Row],[Harga Jual Pcs MT
(-PPN)]]*1.11</f>
        <v>0</v>
      </c>
      <c r="AZ347" s="61">
        <f>Table43[[#This Row],[Harga Jual Pcs MT
(+PPN)]]*Table43[[#This Row],[ISI/CTN]]</f>
        <v>0</v>
      </c>
      <c r="BA347" s="62">
        <f>(Table43[[#This Row],[Harga Jual Pcs GT
(-PPN)]]-Table43[[#This Row],[Harga Beli Pcs
(-PPN)]])/Table43[[#This Row],[Harga Jual Pcs GT
(-PPN)]]</f>
        <v>6.500000000000003E-2</v>
      </c>
      <c r="BB347" s="63">
        <f>Table43[[#This Row],[Harga Jual Pcs MT
(-PPN)]]-Table43[[#This Row],[Harga Beli Pcs
(-PPN)]]</f>
        <v>-5020.95</v>
      </c>
      <c r="BC347" s="64" t="e">
        <f>Table43[[#This Row],[Column1]]/Table43[[#This Row],[Harga Jual Pcs MT
(-PPN)]]</f>
        <v>#DIV/0!</v>
      </c>
      <c r="BD347" s="52"/>
      <c r="BE347" s="7"/>
      <c r="BF347" s="7" t="str">
        <f ca="1">IF(TODAY()-Table43[[#This Row],[Efektif
Pembuatan]]&gt;60,"Lama","Baru")</f>
        <v>Lama</v>
      </c>
      <c r="BG347" s="7" t="str">
        <f ca="1">IF(TODAY()-Table43[[#This Row],[Efektif Naik Harga]]&lt;30,"Naik","Sama")</f>
        <v>Sama</v>
      </c>
      <c r="BH347" s="7"/>
      <c r="BI347" s="7" t="str">
        <f>IF(Table43[[#This Row],[Kode BARANG Win2]]&lt;&gt;"","IDR","")</f>
        <v>IDR</v>
      </c>
      <c r="BJ347" s="7" t="str">
        <f>CONCATENATE(Table43[[#This Row],[kode  1 Digit
(Nomor)]],Table43[[#This Row],[kode  4 Digit                (Nomor)]])</f>
        <v>0000</v>
      </c>
      <c r="BK347" s="7">
        <f>Table43[[#This Row],[Nama            Gramasi atau Jumlah Pack per CTN]]</f>
        <v>0</v>
      </c>
      <c r="BL347" s="7"/>
      <c r="BM347" s="7"/>
      <c r="BN347" s="4" t="str">
        <f>IF(Table43[[#This Row],[SATUAN Fix Win]]&lt;&gt;"","KRT")</f>
        <v>KRT</v>
      </c>
      <c r="BO347" s="4" t="str">
        <f>IF(Table43[[#This Row],[SATUAN Fix Win]]&lt;&gt;"","GD01")</f>
        <v>GD01</v>
      </c>
      <c r="BP347" s="4">
        <f>IF(Table43[[#This Row],[SATUAN Fix Win]]&lt;&gt;"",11611)</f>
        <v>11611</v>
      </c>
      <c r="BQ347" s="4">
        <f>IF(Table43[[#This Row],[SATUAN Fix Win]]&lt;&gt;"",11612)</f>
        <v>11612</v>
      </c>
      <c r="BS347" s="4">
        <f>IF(Table43[[#This Row],[SATUAN Fix Win]]&lt;&gt;"",1)</f>
        <v>1</v>
      </c>
      <c r="BU347" s="4">
        <f>Table43[[#This Row],[ISI/CTN]]</f>
        <v>288</v>
      </c>
    </row>
    <row r="348" spans="1:75">
      <c r="A348" s="4" t="str">
        <f>CONCATENATE(Table43[[#This Row],[Kode BARANG Win2]],Table43[[#This Row],[No. Urut
Item Sama]])</f>
        <v>G1224303000010</v>
      </c>
      <c r="B348" s="7"/>
      <c r="C348" s="31">
        <v>30370000200000</v>
      </c>
      <c r="D348" s="51">
        <v>40057615</v>
      </c>
      <c r="E348" s="27" t="s">
        <v>2051</v>
      </c>
      <c r="F348" s="51">
        <v>30364030100000</v>
      </c>
      <c r="G348" s="51">
        <v>0</v>
      </c>
      <c r="H348" s="27" t="s">
        <v>1345</v>
      </c>
      <c r="I348" s="27">
        <v>288</v>
      </c>
      <c r="J348" s="51" t="s">
        <v>1738</v>
      </c>
      <c r="K348" s="27" t="str">
        <f>Table43[[#This Row],[NamaJenisKemasan]]</f>
        <v>PCS</v>
      </c>
      <c r="L348" s="4" t="str">
        <f>TRIM(CONCATENATE(Table43[[#This Row],[Nama            KLP]]," ",Table43[[#This Row],[Nama            Sub KLP]]))</f>
        <v>POLYTEX SABUT</v>
      </c>
      <c r="M348" s="4" t="str">
        <f>CONCATENATE(Table43[[#This Row],[kode  2 Digit                (hrf+No)]],Table43[[#This Row],[kode  2 Digit                (Nomor)]],Table43[[#This Row],[kode  1 Digit                (Nomor)]])</f>
        <v>G1224</v>
      </c>
      <c r="N348" s="4" t="str">
        <f>IF(AI348="",CONCATENATE(S348,U348,W348,Y348,AA348,AC348,AE348,AG348,Table43[[#This Row],[Tanda Kode Revisi]]),CONCATENATE(S348,U348,W348,Y348,AA348,AC348,AE348,AI348))</f>
        <v>G1224303000010</v>
      </c>
      <c r="O348" s="11">
        <f t="shared" si="8"/>
        <v>14</v>
      </c>
      <c r="P348" s="14" t="str">
        <f>IF(AH348&lt;&gt;"",TRIM(UPPER(CONCATENATE(R348," ",T348," ",V348," ",X348," ",Z348," ",AB348," ","X"," ",Table43[[#This Row],[ISI/CTN]]," ",AH348," ",AD348," ",AF348," ",AJ348))),TRIM(UPPER(CONCATENATE(R348," ",T348," ",V348," ",X348," ",Z348," ",AB348," ","X"," ",Table43[[#This Row],[ISI/CTN]]," ",AD348," ",AF348," ",AJ348))))</f>
        <v>POLYTEX SABUT SPON REGULAR X 288 PCS</v>
      </c>
      <c r="Q348" s="11">
        <f t="shared" si="9"/>
        <v>36</v>
      </c>
      <c r="S348" s="7" t="s">
        <v>34</v>
      </c>
      <c r="T348" s="4" t="s">
        <v>2402</v>
      </c>
      <c r="U348" s="47" t="s">
        <v>2568</v>
      </c>
      <c r="V348" s="48" t="s">
        <v>2405</v>
      </c>
      <c r="W348" s="7">
        <v>4</v>
      </c>
      <c r="X348" s="48" t="s">
        <v>2218</v>
      </c>
      <c r="Y348" s="47" t="s">
        <v>2576</v>
      </c>
      <c r="Z348" s="4" t="s">
        <v>2407</v>
      </c>
      <c r="AA348" s="49" t="s">
        <v>2538</v>
      </c>
      <c r="AC348" s="49" t="s">
        <v>2460</v>
      </c>
      <c r="AD348" s="4" t="s">
        <v>185</v>
      </c>
      <c r="AE348" s="7">
        <v>1</v>
      </c>
      <c r="AG348" s="7">
        <v>0</v>
      </c>
      <c r="AK348" s="70">
        <f>Table43[[#This Row],[Column4]]</f>
        <v>30364030100000</v>
      </c>
      <c r="AN348" s="7">
        <f>Table43[[#This Row],[ISI/CTN]]</f>
        <v>288</v>
      </c>
      <c r="AO348" s="38">
        <f>Table43[[#This Row],[Harga Jual Pcs GT
(-PPN)]]-(Table43[[#This Row],[Harga Jual Pcs GT
(-PPN)]]*6.5%)</f>
        <v>2291.6849999999999</v>
      </c>
      <c r="AP348" s="38">
        <f>Table43[[#This Row],[Harga Beli Pcs
(-PPN)]]*Table43[[#This Row],[ISI/CTN]]</f>
        <v>660005.28</v>
      </c>
      <c r="AQ348" s="38">
        <f>Table43[[#This Row],[Harga Beli Pcs
(-PPN)]]*1.11</f>
        <v>2543.7703500000002</v>
      </c>
      <c r="AR348" s="38">
        <f>Table43[[#This Row],[Harga Beli Krt
(- PPN)]]*1.11</f>
        <v>732605.86080000014</v>
      </c>
      <c r="AS348" s="38">
        <v>2451</v>
      </c>
      <c r="AT348" s="38">
        <f>Table43[[#This Row],[Harga Jual Pcs GT
(-PPN)]]*Table43[[#This Row],[ISI/CTN]]</f>
        <v>705888</v>
      </c>
      <c r="AU348" s="38">
        <f>Table43[[#This Row],[Harga Jual Pcs GT
(-PPN)]]*1.11</f>
        <v>2720.61</v>
      </c>
      <c r="AV348" s="38">
        <f>Table43[[#This Row],[Harga Jual Krt GT
(- PPN)]]*1.11</f>
        <v>783535.68</v>
      </c>
      <c r="AW348" s="38">
        <f>IFERROR(VLOOKUP(Table43[[#This Row],[Kode Pcpl]],'[1]FEB 2026'!$A$3:$X$312,24,0),0)</f>
        <v>0</v>
      </c>
      <c r="AX348" s="38">
        <f>Table43[[#This Row],[Harga Jual Pcs MT
(-PPN)]]*Table43[[#This Row],[ISI/CTN]]</f>
        <v>0</v>
      </c>
      <c r="AY348" s="38">
        <f>Table43[[#This Row],[Harga Jual Pcs MT
(-PPN)]]*1.11</f>
        <v>0</v>
      </c>
      <c r="AZ348" s="38">
        <f>Table43[[#This Row],[Harga Jual Pcs MT
(+PPN)]]*Table43[[#This Row],[ISI/CTN]]</f>
        <v>0</v>
      </c>
      <c r="BA348" s="46">
        <f>(Table43[[#This Row],[Harga Jual Pcs GT
(-PPN)]]-Table43[[#This Row],[Harga Beli Pcs
(-PPN)]])/Table43[[#This Row],[Harga Jual Pcs GT
(-PPN)]]</f>
        <v>6.5000000000000016E-2</v>
      </c>
      <c r="BB348" s="53">
        <f>Table43[[#This Row],[Harga Jual Pcs MT
(-PPN)]]-Table43[[#This Row],[Harga Beli Pcs
(-PPN)]]</f>
        <v>-2291.6849999999999</v>
      </c>
      <c r="BC348" s="54" t="e">
        <f>Table43[[#This Row],[Column1]]/Table43[[#This Row],[Harga Jual Pcs MT
(-PPN)]]</f>
        <v>#DIV/0!</v>
      </c>
      <c r="BD348" s="52"/>
      <c r="BE348" s="7"/>
      <c r="BF348" s="7" t="str">
        <f ca="1">IF(TODAY()-Table43[[#This Row],[Efektif
Pembuatan]]&gt;60,"Lama","Baru")</f>
        <v>Lama</v>
      </c>
      <c r="BG348" s="7" t="str">
        <f ca="1">IF(TODAY()-Table43[[#This Row],[Efektif Naik Harga]]&lt;30,"Naik","Sama")</f>
        <v>Sama</v>
      </c>
      <c r="BH348" s="7"/>
      <c r="BI348" s="7" t="str">
        <f>IF(Table43[[#This Row],[Kode BARANG Win2]]&lt;&gt;"","IDR","")</f>
        <v>IDR</v>
      </c>
      <c r="BJ348" s="7" t="str">
        <f>CONCATENATE(Table43[[#This Row],[kode  1 Digit
(Nomor)]],Table43[[#This Row],[kode  4 Digit                (Nomor)]])</f>
        <v>0000</v>
      </c>
      <c r="BK348" s="7">
        <f>Table43[[#This Row],[Nama            Gramasi atau Jumlah Pack per CTN]]</f>
        <v>0</v>
      </c>
      <c r="BL348" s="7"/>
      <c r="BM348" s="7"/>
      <c r="BN348" s="4" t="str">
        <f>IF(Table43[[#This Row],[SATUAN Fix Win]]&lt;&gt;"","KRT")</f>
        <v>KRT</v>
      </c>
      <c r="BO348" s="4" t="str">
        <f>IF(Table43[[#This Row],[SATUAN Fix Win]]&lt;&gt;"","GD01")</f>
        <v>GD01</v>
      </c>
      <c r="BP348" s="4">
        <f>IF(Table43[[#This Row],[SATUAN Fix Win]]&lt;&gt;"",11611)</f>
        <v>11611</v>
      </c>
      <c r="BQ348" s="4">
        <f>IF(Table43[[#This Row],[SATUAN Fix Win]]&lt;&gt;"",11612)</f>
        <v>11612</v>
      </c>
      <c r="BS348" s="4">
        <f>IF(Table43[[#This Row],[SATUAN Fix Win]]&lt;&gt;"",1)</f>
        <v>1</v>
      </c>
      <c r="BU348" s="4">
        <f>Table43[[#This Row],[ISI/CTN]]</f>
        <v>288</v>
      </c>
    </row>
    <row r="349" spans="1:75">
      <c r="A349" s="4" t="str">
        <f>CONCATENATE(Table43[[#This Row],[Kode BARANG Win2]],Table43[[#This Row],[No. Urut
Item Sama]])</f>
        <v>G1224303000010</v>
      </c>
      <c r="B349" s="7"/>
      <c r="C349" s="31">
        <v>30370000500000</v>
      </c>
      <c r="D349" s="59">
        <v>40059659</v>
      </c>
      <c r="E349" s="60" t="s">
        <v>2076</v>
      </c>
      <c r="F349" s="59">
        <v>30375040100002</v>
      </c>
      <c r="G349" s="59">
        <v>0</v>
      </c>
      <c r="H349" s="60" t="s">
        <v>1376</v>
      </c>
      <c r="I349" s="60">
        <v>288</v>
      </c>
      <c r="J349" s="59" t="s">
        <v>1738</v>
      </c>
      <c r="K349" s="60" t="str">
        <f>Table43[[#This Row],[NamaJenisKemasan]]</f>
        <v>PCS</v>
      </c>
      <c r="L349" s="4" t="str">
        <f>TRIM(CONCATENATE(Table43[[#This Row],[Nama            KLP]]," ",Table43[[#This Row],[Nama            Sub KLP]]))</f>
        <v>POLYTEX SABUT</v>
      </c>
      <c r="M349" s="4" t="str">
        <f>CONCATENATE(Table43[[#This Row],[kode  2 Digit                (hrf+No)]],Table43[[#This Row],[kode  2 Digit                (Nomor)]],Table43[[#This Row],[kode  1 Digit                (Nomor)]])</f>
        <v>G1224</v>
      </c>
      <c r="N349" s="4" t="str">
        <f>IF(AI349="",CONCATENATE(S349,U349,W349,Y349,AA349,AC349,AE349,AG349,Table43[[#This Row],[Tanda Kode Revisi]]),CONCATENATE(S349,U349,W349,Y349,AA349,AC349,AE349,AI349))</f>
        <v>G1224303000010</v>
      </c>
      <c r="O349" s="11">
        <f t="shared" si="8"/>
        <v>14</v>
      </c>
      <c r="P349" s="14" t="str">
        <f>IF(AH349&lt;&gt;"",TRIM(UPPER(CONCATENATE(R349," ",T349," ",V349," ",X349," ",Z349," ",AB349," ","X"," ",Table43[[#This Row],[ISI/CTN]]," ",AH349," ",AD349," ",AF349," ",AJ349))),TRIM(UPPER(CONCATENATE(R349," ",T349," ",V349," ",X349," ",Z349," ",AB349," ","X"," ",Table43[[#This Row],[ISI/CTN]]," ",AD349," ",AF349," ",AJ349))))</f>
        <v>POLYTEX SABUT SPON REGULAR X 288 PCS</v>
      </c>
      <c r="Q349" s="11">
        <f t="shared" si="9"/>
        <v>36</v>
      </c>
      <c r="S349" s="7" t="s">
        <v>34</v>
      </c>
      <c r="T349" s="4" t="s">
        <v>2402</v>
      </c>
      <c r="U349" s="47" t="s">
        <v>2568</v>
      </c>
      <c r="V349" s="48" t="s">
        <v>2405</v>
      </c>
      <c r="W349" s="7">
        <v>4</v>
      </c>
      <c r="X349" s="48" t="s">
        <v>2218</v>
      </c>
      <c r="Y349" s="47" t="s">
        <v>2576</v>
      </c>
      <c r="Z349" s="4" t="s">
        <v>2407</v>
      </c>
      <c r="AA349" s="49" t="s">
        <v>2538</v>
      </c>
      <c r="AC349" s="49" t="s">
        <v>2460</v>
      </c>
      <c r="AD349" s="4" t="s">
        <v>185</v>
      </c>
      <c r="AE349" s="7">
        <v>1</v>
      </c>
      <c r="AG349" s="7">
        <v>0</v>
      </c>
      <c r="AK349" s="70">
        <f>Table43[[#This Row],[Column4]]</f>
        <v>30375040100002</v>
      </c>
      <c r="AN349" s="7">
        <f>Table43[[#This Row],[ISI/CTN]]</f>
        <v>288</v>
      </c>
      <c r="AO349" s="61">
        <f>Table43[[#This Row],[Harga Jual Pcs GT
(-PPN)]]-(Table43[[#This Row],[Harga Jual Pcs GT
(-PPN)]]*6.5%)</f>
        <v>2291.6849999999999</v>
      </c>
      <c r="AP349" s="61">
        <f>Table43[[#This Row],[Harga Beli Pcs
(-PPN)]]*Table43[[#This Row],[ISI/CTN]]</f>
        <v>660005.28</v>
      </c>
      <c r="AQ349" s="61">
        <f>Table43[[#This Row],[Harga Beli Pcs
(-PPN)]]*1.11</f>
        <v>2543.7703500000002</v>
      </c>
      <c r="AR349" s="61">
        <f>Table43[[#This Row],[Harga Beli Krt
(- PPN)]]*1.11</f>
        <v>732605.86080000014</v>
      </c>
      <c r="AS349" s="61">
        <v>2451</v>
      </c>
      <c r="AT349" s="61">
        <f>Table43[[#This Row],[Harga Jual Pcs GT
(-PPN)]]*Table43[[#This Row],[ISI/CTN]]</f>
        <v>705888</v>
      </c>
      <c r="AU349" s="61">
        <f>Table43[[#This Row],[Harga Jual Pcs GT
(-PPN)]]*1.11</f>
        <v>2720.61</v>
      </c>
      <c r="AV349" s="61">
        <f>Table43[[#This Row],[Harga Jual Krt GT
(- PPN)]]*1.11</f>
        <v>783535.68</v>
      </c>
      <c r="AW349" s="61">
        <f>IFERROR(VLOOKUP(Table43[[#This Row],[Kode Pcpl]],'[1]FEB 2026'!$A$3:$X$312,24,0),0)</f>
        <v>0</v>
      </c>
      <c r="AX349" s="61">
        <f>Table43[[#This Row],[Harga Jual Pcs MT
(-PPN)]]*Table43[[#This Row],[ISI/CTN]]</f>
        <v>0</v>
      </c>
      <c r="AY349" s="61">
        <f>Table43[[#This Row],[Harga Jual Pcs MT
(-PPN)]]*1.11</f>
        <v>0</v>
      </c>
      <c r="AZ349" s="61">
        <f>Table43[[#This Row],[Harga Jual Pcs MT
(+PPN)]]*Table43[[#This Row],[ISI/CTN]]</f>
        <v>0</v>
      </c>
      <c r="BA349" s="62">
        <f>(Table43[[#This Row],[Harga Jual Pcs GT
(-PPN)]]-Table43[[#This Row],[Harga Beli Pcs
(-PPN)]])/Table43[[#This Row],[Harga Jual Pcs GT
(-PPN)]]</f>
        <v>6.5000000000000016E-2</v>
      </c>
      <c r="BB349" s="63">
        <f>Table43[[#This Row],[Harga Jual Pcs MT
(-PPN)]]-Table43[[#This Row],[Harga Beli Pcs
(-PPN)]]</f>
        <v>-2291.6849999999999</v>
      </c>
      <c r="BC349" s="64" t="e">
        <f>Table43[[#This Row],[Column1]]/Table43[[#This Row],[Harga Jual Pcs MT
(-PPN)]]</f>
        <v>#DIV/0!</v>
      </c>
      <c r="BD349" s="52"/>
      <c r="BE349" s="7"/>
      <c r="BF349" s="7" t="str">
        <f ca="1">IF(TODAY()-Table43[[#This Row],[Efektif
Pembuatan]]&gt;60,"Lama","Baru")</f>
        <v>Lama</v>
      </c>
      <c r="BG349" s="7" t="str">
        <f ca="1">IF(TODAY()-Table43[[#This Row],[Efektif Naik Harga]]&lt;30,"Naik","Sama")</f>
        <v>Sama</v>
      </c>
      <c r="BH349" s="7"/>
      <c r="BI349" s="7" t="str">
        <f>IF(Table43[[#This Row],[Kode BARANG Win2]]&lt;&gt;"","IDR","")</f>
        <v>IDR</v>
      </c>
      <c r="BJ349" s="7" t="str">
        <f>CONCATENATE(Table43[[#This Row],[kode  1 Digit
(Nomor)]],Table43[[#This Row],[kode  4 Digit                (Nomor)]])</f>
        <v>0000</v>
      </c>
      <c r="BK349" s="7">
        <f>Table43[[#This Row],[Nama            Gramasi atau Jumlah Pack per CTN]]</f>
        <v>0</v>
      </c>
      <c r="BL349" s="7"/>
      <c r="BM349" s="7"/>
      <c r="BN349" s="4" t="str">
        <f>IF(Table43[[#This Row],[SATUAN Fix Win]]&lt;&gt;"","KRT")</f>
        <v>KRT</v>
      </c>
      <c r="BO349" s="4" t="str">
        <f>IF(Table43[[#This Row],[SATUAN Fix Win]]&lt;&gt;"","GD01")</f>
        <v>GD01</v>
      </c>
      <c r="BP349" s="4">
        <f>IF(Table43[[#This Row],[SATUAN Fix Win]]&lt;&gt;"",11611)</f>
        <v>11611</v>
      </c>
      <c r="BQ349" s="4">
        <f>IF(Table43[[#This Row],[SATUAN Fix Win]]&lt;&gt;"",11612)</f>
        <v>11612</v>
      </c>
      <c r="BS349" s="4">
        <f>IF(Table43[[#This Row],[SATUAN Fix Win]]&lt;&gt;"",1)</f>
        <v>1</v>
      </c>
      <c r="BU349" s="4">
        <f>Table43[[#This Row],[ISI/CTN]]</f>
        <v>288</v>
      </c>
    </row>
    <row r="350" spans="1:75">
      <c r="A350" s="4" t="str">
        <f>CONCATENATE(Table43[[#This Row],[Kode BARANG Win2]],Table43[[#This Row],[No. Urut
Item Sama]])</f>
        <v>G1224303000010</v>
      </c>
      <c r="B350" s="7"/>
      <c r="C350" s="31">
        <v>30369050012002</v>
      </c>
      <c r="D350" s="51">
        <v>40031394</v>
      </c>
      <c r="E350" s="27" t="s">
        <v>2051</v>
      </c>
      <c r="F350" s="51">
        <v>30375040100002</v>
      </c>
      <c r="G350" s="51">
        <v>0</v>
      </c>
      <c r="H350" s="27" t="s">
        <v>1344</v>
      </c>
      <c r="I350" s="27">
        <v>288</v>
      </c>
      <c r="J350" s="51" t="s">
        <v>1738</v>
      </c>
      <c r="K350" s="27" t="str">
        <f>Table43[[#This Row],[NamaJenisKemasan]]</f>
        <v>PCS</v>
      </c>
      <c r="L350" s="4" t="str">
        <f>TRIM(CONCATENATE(Table43[[#This Row],[Nama            KLP]]," ",Table43[[#This Row],[Nama            Sub KLP]]))</f>
        <v>POLYTEX SABUT</v>
      </c>
      <c r="M350" s="4" t="str">
        <f>CONCATENATE(Table43[[#This Row],[kode  2 Digit                (hrf+No)]],Table43[[#This Row],[kode  2 Digit                (Nomor)]],Table43[[#This Row],[kode  1 Digit                (Nomor)]])</f>
        <v>G1224</v>
      </c>
      <c r="N350" s="4" t="str">
        <f>IF(AI350="",CONCATENATE(S350,U350,W350,Y350,AA350,AC350,AE350,AG350,Table43[[#This Row],[Tanda Kode Revisi]]),CONCATENATE(S350,U350,W350,Y350,AA350,AC350,AE350,AI350))</f>
        <v>G1224303000010</v>
      </c>
      <c r="O350" s="11">
        <f t="shared" si="8"/>
        <v>14</v>
      </c>
      <c r="P350" s="14" t="str">
        <f>IF(AH350&lt;&gt;"",TRIM(UPPER(CONCATENATE(R350," ",T350," ",V350," ",X350," ",Z350," ",AB350," ","X"," ",Table43[[#This Row],[ISI/CTN]]," ",AH350," ",AD350," ",AF350," ",AJ350))),TRIM(UPPER(CONCATENATE(R350," ",T350," ",V350," ",X350," ",Z350," ",AB350," ","X"," ",Table43[[#This Row],[ISI/CTN]]," ",AD350," ",AF350," ",AJ350))))</f>
        <v>POLYTEX SABUT SPON REGULAR X 288 PCS</v>
      </c>
      <c r="Q350" s="11">
        <f t="shared" si="9"/>
        <v>36</v>
      </c>
      <c r="S350" s="7" t="s">
        <v>34</v>
      </c>
      <c r="T350" s="4" t="s">
        <v>2402</v>
      </c>
      <c r="U350" s="47" t="s">
        <v>2568</v>
      </c>
      <c r="V350" s="48" t="s">
        <v>2405</v>
      </c>
      <c r="W350" s="7">
        <v>4</v>
      </c>
      <c r="X350" s="48" t="s">
        <v>2218</v>
      </c>
      <c r="Y350" s="47" t="s">
        <v>2576</v>
      </c>
      <c r="Z350" s="4" t="s">
        <v>2407</v>
      </c>
      <c r="AA350" s="49" t="s">
        <v>2538</v>
      </c>
      <c r="AC350" s="49" t="s">
        <v>2460</v>
      </c>
      <c r="AD350" s="4" t="s">
        <v>185</v>
      </c>
      <c r="AE350" s="7">
        <v>1</v>
      </c>
      <c r="AG350" s="7">
        <v>0</v>
      </c>
      <c r="AK350" s="70">
        <f>Table43[[#This Row],[Column4]]</f>
        <v>30375040100002</v>
      </c>
      <c r="AN350" s="7">
        <f>Table43[[#This Row],[ISI/CTN]]</f>
        <v>288</v>
      </c>
      <c r="AO350" s="38">
        <f>Table43[[#This Row],[Harga Jual Pcs GT
(-PPN)]]-(Table43[[#This Row],[Harga Jual Pcs GT
(-PPN)]]*6.5%)</f>
        <v>2291.6849999999999</v>
      </c>
      <c r="AP350" s="38">
        <f>Table43[[#This Row],[Harga Beli Pcs
(-PPN)]]*Table43[[#This Row],[ISI/CTN]]</f>
        <v>660005.28</v>
      </c>
      <c r="AQ350" s="38">
        <f>Table43[[#This Row],[Harga Beli Pcs
(-PPN)]]*1.11</f>
        <v>2543.7703500000002</v>
      </c>
      <c r="AR350" s="38">
        <f>Table43[[#This Row],[Harga Beli Krt
(- PPN)]]*1.11</f>
        <v>732605.86080000014</v>
      </c>
      <c r="AS350" s="38">
        <v>2451</v>
      </c>
      <c r="AT350" s="38">
        <f>Table43[[#This Row],[Harga Jual Pcs GT
(-PPN)]]*Table43[[#This Row],[ISI/CTN]]</f>
        <v>705888</v>
      </c>
      <c r="AU350" s="38">
        <f>Table43[[#This Row],[Harga Jual Pcs GT
(-PPN)]]*1.11</f>
        <v>2720.61</v>
      </c>
      <c r="AV350" s="38">
        <f>Table43[[#This Row],[Harga Jual Krt GT
(- PPN)]]*1.11</f>
        <v>783535.68</v>
      </c>
      <c r="AW350" s="38">
        <f>IFERROR(VLOOKUP(Table43[[#This Row],[Kode Pcpl]],'[1]FEB 2026'!$A$3:$X$312,24,0),0)</f>
        <v>0</v>
      </c>
      <c r="AX350" s="38">
        <f>Table43[[#This Row],[Harga Jual Pcs MT
(-PPN)]]*Table43[[#This Row],[ISI/CTN]]</f>
        <v>0</v>
      </c>
      <c r="AY350" s="38">
        <f>Table43[[#This Row],[Harga Jual Pcs MT
(-PPN)]]*1.11</f>
        <v>0</v>
      </c>
      <c r="AZ350" s="38">
        <f>Table43[[#This Row],[Harga Jual Pcs MT
(+PPN)]]*Table43[[#This Row],[ISI/CTN]]</f>
        <v>0</v>
      </c>
      <c r="BA350" s="46">
        <f>(Table43[[#This Row],[Harga Jual Pcs GT
(-PPN)]]-Table43[[#This Row],[Harga Beli Pcs
(-PPN)]])/Table43[[#This Row],[Harga Jual Pcs GT
(-PPN)]]</f>
        <v>6.5000000000000016E-2</v>
      </c>
      <c r="BB350" s="53">
        <f>Table43[[#This Row],[Harga Jual Pcs MT
(-PPN)]]-Table43[[#This Row],[Harga Beli Pcs
(-PPN)]]</f>
        <v>-2291.6849999999999</v>
      </c>
      <c r="BC350" s="54" t="e">
        <f>Table43[[#This Row],[Column1]]/Table43[[#This Row],[Harga Jual Pcs MT
(-PPN)]]</f>
        <v>#DIV/0!</v>
      </c>
      <c r="BD350" s="52"/>
      <c r="BE350" s="7"/>
      <c r="BF350" s="7" t="str">
        <f ca="1">IF(TODAY()-Table43[[#This Row],[Efektif
Pembuatan]]&gt;60,"Lama","Baru")</f>
        <v>Lama</v>
      </c>
      <c r="BG350" s="7" t="str">
        <f ca="1">IF(TODAY()-Table43[[#This Row],[Efektif Naik Harga]]&lt;30,"Naik","Sama")</f>
        <v>Sama</v>
      </c>
      <c r="BH350" s="7"/>
      <c r="BI350" s="7" t="str">
        <f>IF(Table43[[#This Row],[Kode BARANG Win2]]&lt;&gt;"","IDR","")</f>
        <v>IDR</v>
      </c>
      <c r="BJ350" s="7" t="str">
        <f>CONCATENATE(Table43[[#This Row],[kode  1 Digit
(Nomor)]],Table43[[#This Row],[kode  4 Digit                (Nomor)]])</f>
        <v>0000</v>
      </c>
      <c r="BK350" s="7">
        <f>Table43[[#This Row],[Nama            Gramasi atau Jumlah Pack per CTN]]</f>
        <v>0</v>
      </c>
      <c r="BL350" s="7"/>
      <c r="BM350" s="7"/>
      <c r="BN350" s="4" t="str">
        <f>IF(Table43[[#This Row],[SATUAN Fix Win]]&lt;&gt;"","KRT")</f>
        <v>KRT</v>
      </c>
      <c r="BO350" s="4" t="str">
        <f>IF(Table43[[#This Row],[SATUAN Fix Win]]&lt;&gt;"","GD01")</f>
        <v>GD01</v>
      </c>
      <c r="BP350" s="4">
        <f>IF(Table43[[#This Row],[SATUAN Fix Win]]&lt;&gt;"",11611)</f>
        <v>11611</v>
      </c>
      <c r="BQ350" s="4">
        <f>IF(Table43[[#This Row],[SATUAN Fix Win]]&lt;&gt;"",11612)</f>
        <v>11612</v>
      </c>
      <c r="BS350" s="4">
        <f>IF(Table43[[#This Row],[SATUAN Fix Win]]&lt;&gt;"",1)</f>
        <v>1</v>
      </c>
      <c r="BU350" s="4">
        <f>Table43[[#This Row],[ISI/CTN]]</f>
        <v>288</v>
      </c>
    </row>
    <row r="351" spans="1:75">
      <c r="A351" s="4" t="str">
        <f>CONCATENATE(Table43[[#This Row],[Kode BARANG Win2]],Table43[[#This Row],[No. Urut
Item Sama]])</f>
        <v>G1224303000210</v>
      </c>
      <c r="B351" s="7"/>
      <c r="C351" s="31">
        <v>30364040000004</v>
      </c>
      <c r="D351" s="59">
        <v>40031566</v>
      </c>
      <c r="E351" s="60" t="s">
        <v>2052</v>
      </c>
      <c r="F351" s="59">
        <v>30364030500001</v>
      </c>
      <c r="G351" s="59">
        <v>0</v>
      </c>
      <c r="H351" s="60" t="s">
        <v>1346</v>
      </c>
      <c r="I351" s="60">
        <v>120</v>
      </c>
      <c r="J351" s="59" t="s">
        <v>1739</v>
      </c>
      <c r="K351" s="60" t="str">
        <f>Table43[[#This Row],[NamaJenisKemasan]]</f>
        <v>PCS</v>
      </c>
      <c r="L351" s="4" t="str">
        <f>TRIM(CONCATENATE(Table43[[#This Row],[Nama            KLP]]," ",Table43[[#This Row],[Nama            Sub KLP]]))</f>
        <v>POLYTEX SABUT</v>
      </c>
      <c r="M351" s="4" t="str">
        <f>CONCATENATE(Table43[[#This Row],[kode  2 Digit                (hrf+No)]],Table43[[#This Row],[kode  2 Digit                (Nomor)]],Table43[[#This Row],[kode  1 Digit                (Nomor)]])</f>
        <v>G1224</v>
      </c>
      <c r="N351" s="4" t="str">
        <f>IF(AI351="",CONCATENATE(S351,U351,W351,Y351,AA351,AC351,AE351,AG351,Table43[[#This Row],[Tanda Kode Revisi]]),CONCATENATE(S351,U351,W351,Y351,AA351,AC351,AE351,AI351))</f>
        <v>G1224303000210</v>
      </c>
      <c r="O351" s="11">
        <f t="shared" si="8"/>
        <v>14</v>
      </c>
      <c r="P351" s="14" t="str">
        <f>IF(AH351&lt;&gt;"",TRIM(UPPER(CONCATENATE(R351," ",T351," ",V351," ",X351," ",Z351," ",AB351," ","X"," ",Table43[[#This Row],[ISI/CTN]]," ",AH351," ",AD351," ",AF351," ",AJ351))),TRIM(UPPER(CONCATENATE(R351," ",T351," ",V351," ",X351," ",Z351," ",AB351," ","X"," ",Table43[[#This Row],[ISI/CTN]]," ",AD351," ",AF351," ",AJ351))))</f>
        <v>POLYTEX SABUT SPON REGULAR 2S X 120 PCS</v>
      </c>
      <c r="Q351" s="11">
        <f t="shared" si="9"/>
        <v>39</v>
      </c>
      <c r="S351" s="7" t="s">
        <v>34</v>
      </c>
      <c r="T351" s="4" t="s">
        <v>2402</v>
      </c>
      <c r="U351" s="47" t="s">
        <v>2568</v>
      </c>
      <c r="V351" s="48" t="s">
        <v>2405</v>
      </c>
      <c r="W351" s="7">
        <v>4</v>
      </c>
      <c r="X351" s="48" t="s">
        <v>2218</v>
      </c>
      <c r="Y351" s="47" t="s">
        <v>2576</v>
      </c>
      <c r="Z351" s="4" t="s">
        <v>2407</v>
      </c>
      <c r="AA351" s="49" t="s">
        <v>2538</v>
      </c>
      <c r="AB351" s="4" t="s">
        <v>2362</v>
      </c>
      <c r="AC351" s="49" t="s">
        <v>2615</v>
      </c>
      <c r="AD351" s="4" t="s">
        <v>185</v>
      </c>
      <c r="AE351" s="7">
        <v>1</v>
      </c>
      <c r="AG351" s="7">
        <v>0</v>
      </c>
      <c r="AK351" s="70">
        <f>Table43[[#This Row],[Column4]]</f>
        <v>30364030500001</v>
      </c>
      <c r="AN351" s="7">
        <f>Table43[[#This Row],[ISI/CTN]]</f>
        <v>120</v>
      </c>
      <c r="AO351" s="38">
        <f>Table43[[#This Row],[Harga Jual Pcs GT
(-PPN)]]-(Table43[[#This Row],[Harga Jual Pcs GT
(-PPN)]]*6.5%)</f>
        <v>8246.7000000000007</v>
      </c>
      <c r="AP351" s="38">
        <f>Table43[[#This Row],[Harga Beli Pcs
(-PPN)]]*Table43[[#This Row],[ISI/CTN]]</f>
        <v>989604.00000000012</v>
      </c>
      <c r="AQ351" s="38">
        <f>Table43[[#This Row],[Harga Beli Pcs
(-PPN)]]*1.11</f>
        <v>9153.8370000000014</v>
      </c>
      <c r="AR351" s="38">
        <f>Table43[[#This Row],[Harga Beli Krt
(- PPN)]]*1.11</f>
        <v>1098460.4400000002</v>
      </c>
      <c r="AS351" s="38">
        <v>8820</v>
      </c>
      <c r="AT351" s="38">
        <f>Table43[[#This Row],[Harga Jual Pcs GT
(-PPN)]]*Table43[[#This Row],[ISI/CTN]]</f>
        <v>1058400</v>
      </c>
      <c r="AU351" s="38">
        <f>Table43[[#This Row],[Harga Jual Pcs GT
(-PPN)]]*1.11</f>
        <v>9790.2000000000007</v>
      </c>
      <c r="AV351" s="38">
        <f>Table43[[#This Row],[Harga Jual Krt GT
(- PPN)]]*1.11</f>
        <v>1174824</v>
      </c>
      <c r="AW351" s="38">
        <f>IFERROR(VLOOKUP(Table43[[#This Row],[Kode Pcpl]],'[1]FEB 2026'!$A$3:$X$312,24,0),0)</f>
        <v>0</v>
      </c>
      <c r="AX351" s="38">
        <f>Table43[[#This Row],[Harga Jual Pcs MT
(-PPN)]]*Table43[[#This Row],[ISI/CTN]]</f>
        <v>0</v>
      </c>
      <c r="AY351" s="38">
        <f>Table43[[#This Row],[Harga Jual Pcs MT
(-PPN)]]*1.11</f>
        <v>0</v>
      </c>
      <c r="AZ351" s="38">
        <f>Table43[[#This Row],[Harga Jual Pcs MT
(+PPN)]]*Table43[[#This Row],[ISI/CTN]]</f>
        <v>0</v>
      </c>
      <c r="BA351" s="46">
        <f>(Table43[[#This Row],[Harga Jual Pcs GT
(-PPN)]]-Table43[[#This Row],[Harga Beli Pcs
(-PPN)]])/Table43[[#This Row],[Harga Jual Pcs GT
(-PPN)]]</f>
        <v>6.4999999999999919E-2</v>
      </c>
      <c r="BB351" s="53">
        <f>Table43[[#This Row],[Harga Jual Pcs MT
(-PPN)]]-Table43[[#This Row],[Harga Beli Pcs
(-PPN)]]</f>
        <v>-8246.7000000000007</v>
      </c>
      <c r="BC351" s="54" t="e">
        <f>Table43[[#This Row],[Column1]]/Table43[[#This Row],[Harga Jual Pcs MT
(-PPN)]]</f>
        <v>#DIV/0!</v>
      </c>
      <c r="BD351" s="52"/>
      <c r="BE351" s="7"/>
      <c r="BF351" s="7" t="str">
        <f ca="1">IF(TODAY()-Table43[[#This Row],[Efektif
Pembuatan]]&gt;60,"Lama","Baru")</f>
        <v>Lama</v>
      </c>
      <c r="BG351" s="7" t="str">
        <f ca="1">IF(TODAY()-Table43[[#This Row],[Efektif Naik Harga]]&lt;30,"Naik","Sama")</f>
        <v>Sama</v>
      </c>
      <c r="BH351" s="7"/>
      <c r="BI351" s="7" t="str">
        <f>IF(Table43[[#This Row],[Kode BARANG Win2]]&lt;&gt;"","IDR","")</f>
        <v>IDR</v>
      </c>
      <c r="BJ351" s="7" t="str">
        <f>CONCATENATE(Table43[[#This Row],[kode  1 Digit
(Nomor)]],Table43[[#This Row],[kode  4 Digit                (Nomor)]])</f>
        <v>0002</v>
      </c>
      <c r="BK351" s="7" t="str">
        <f>Table43[[#This Row],[Nama            Gramasi atau Jumlah Pack per CTN]]</f>
        <v>2S</v>
      </c>
      <c r="BL351" s="7"/>
      <c r="BM351" s="7"/>
      <c r="BN351" s="4" t="str">
        <f>IF(Table43[[#This Row],[SATUAN Fix Win]]&lt;&gt;"","KRT")</f>
        <v>KRT</v>
      </c>
      <c r="BO351" s="4" t="str">
        <f>IF(Table43[[#This Row],[SATUAN Fix Win]]&lt;&gt;"","GD01")</f>
        <v>GD01</v>
      </c>
      <c r="BP351" s="4">
        <f>IF(Table43[[#This Row],[SATUAN Fix Win]]&lt;&gt;"",11611)</f>
        <v>11611</v>
      </c>
      <c r="BQ351" s="4">
        <f>IF(Table43[[#This Row],[SATUAN Fix Win]]&lt;&gt;"",11612)</f>
        <v>11612</v>
      </c>
      <c r="BS351" s="4">
        <f>IF(Table43[[#This Row],[SATUAN Fix Win]]&lt;&gt;"",1)</f>
        <v>1</v>
      </c>
      <c r="BU351" s="4">
        <f>Table43[[#This Row],[ISI/CTN]]</f>
        <v>120</v>
      </c>
    </row>
    <row r="352" spans="1:75">
      <c r="A352" s="4" t="str">
        <f>CONCATENATE(Table43[[#This Row],[Kode BARANG Win2]],Table43[[#This Row],[No. Urut
Item Sama]])</f>
        <v>G1224303000210</v>
      </c>
      <c r="B352" s="7"/>
      <c r="C352" s="31">
        <v>30366000050000</v>
      </c>
      <c r="D352" s="59">
        <v>40058056</v>
      </c>
      <c r="E352" s="60" t="s">
        <v>2052</v>
      </c>
      <c r="F352" s="59">
        <v>30364030500001</v>
      </c>
      <c r="G352" s="59">
        <v>0</v>
      </c>
      <c r="H352" s="60" t="s">
        <v>1347</v>
      </c>
      <c r="I352" s="60">
        <v>120</v>
      </c>
      <c r="J352" s="59" t="s">
        <v>1739</v>
      </c>
      <c r="K352" s="60" t="str">
        <f>Table43[[#This Row],[NamaJenisKemasan]]</f>
        <v>PCS</v>
      </c>
      <c r="L352" s="4" t="str">
        <f>TRIM(CONCATENATE(Table43[[#This Row],[Nama            KLP]]," ",Table43[[#This Row],[Nama            Sub KLP]]))</f>
        <v>POLYTEX SABUT</v>
      </c>
      <c r="M352" s="4" t="str">
        <f>CONCATENATE(Table43[[#This Row],[kode  2 Digit                (hrf+No)]],Table43[[#This Row],[kode  2 Digit                (Nomor)]],Table43[[#This Row],[kode  1 Digit                (Nomor)]])</f>
        <v>G1224</v>
      </c>
      <c r="N352" s="4" t="str">
        <f>IF(AI352="",CONCATENATE(S352,U352,W352,Y352,AA352,AC352,AE352,AG352,Table43[[#This Row],[Tanda Kode Revisi]]),CONCATENATE(S352,U352,W352,Y352,AA352,AC352,AE352,AI352))</f>
        <v>G1224303000210</v>
      </c>
      <c r="O352" s="11">
        <f t="shared" si="8"/>
        <v>14</v>
      </c>
      <c r="P352" s="14" t="str">
        <f>IF(AH352&lt;&gt;"",TRIM(UPPER(CONCATENATE(R352," ",T352," ",V352," ",X352," ",Z352," ",AB352," ","X"," ",Table43[[#This Row],[ISI/CTN]]," ",AH352," ",AD352," ",AF352," ",AJ352))),TRIM(UPPER(CONCATENATE(R352," ",T352," ",V352," ",X352," ",Z352," ",AB352," ","X"," ",Table43[[#This Row],[ISI/CTN]]," ",AD352," ",AF352," ",AJ352))))</f>
        <v>POLYTEX SABUT SPON REGULAR 2S X 120 PCS</v>
      </c>
      <c r="Q352" s="11">
        <f t="shared" si="9"/>
        <v>39</v>
      </c>
      <c r="S352" s="7" t="s">
        <v>34</v>
      </c>
      <c r="T352" s="4" t="s">
        <v>2402</v>
      </c>
      <c r="U352" s="47" t="s">
        <v>2568</v>
      </c>
      <c r="V352" s="48" t="s">
        <v>2405</v>
      </c>
      <c r="W352" s="7">
        <v>4</v>
      </c>
      <c r="X352" s="48" t="s">
        <v>2218</v>
      </c>
      <c r="Y352" s="47" t="s">
        <v>2576</v>
      </c>
      <c r="Z352" s="4" t="s">
        <v>2407</v>
      </c>
      <c r="AA352" s="49" t="s">
        <v>2538</v>
      </c>
      <c r="AB352" s="4" t="s">
        <v>2362</v>
      </c>
      <c r="AC352" s="49" t="s">
        <v>2615</v>
      </c>
      <c r="AD352" s="4" t="s">
        <v>185</v>
      </c>
      <c r="AE352" s="7">
        <v>1</v>
      </c>
      <c r="AG352" s="7">
        <v>0</v>
      </c>
      <c r="AK352" s="70">
        <f>Table43[[#This Row],[Column4]]</f>
        <v>30364030500001</v>
      </c>
      <c r="AN352" s="7">
        <f>Table43[[#This Row],[ISI/CTN]]</f>
        <v>120</v>
      </c>
      <c r="AO352" s="38">
        <f>Table43[[#This Row],[Harga Jual Pcs GT
(-PPN)]]-(Table43[[#This Row],[Harga Jual Pcs GT
(-PPN)]]*6.5%)</f>
        <v>8246.7000000000007</v>
      </c>
      <c r="AP352" s="38">
        <f>Table43[[#This Row],[Harga Beli Pcs
(-PPN)]]*Table43[[#This Row],[ISI/CTN]]</f>
        <v>989604.00000000012</v>
      </c>
      <c r="AQ352" s="38">
        <f>Table43[[#This Row],[Harga Beli Pcs
(-PPN)]]*1.11</f>
        <v>9153.8370000000014</v>
      </c>
      <c r="AR352" s="38">
        <f>Table43[[#This Row],[Harga Beli Krt
(- PPN)]]*1.11</f>
        <v>1098460.4400000002</v>
      </c>
      <c r="AS352" s="38">
        <v>8820</v>
      </c>
      <c r="AT352" s="38">
        <f>Table43[[#This Row],[Harga Jual Pcs GT
(-PPN)]]*Table43[[#This Row],[ISI/CTN]]</f>
        <v>1058400</v>
      </c>
      <c r="AU352" s="38">
        <f>Table43[[#This Row],[Harga Jual Pcs GT
(-PPN)]]*1.11</f>
        <v>9790.2000000000007</v>
      </c>
      <c r="AV352" s="38">
        <f>Table43[[#This Row],[Harga Jual Krt GT
(- PPN)]]*1.11</f>
        <v>1174824</v>
      </c>
      <c r="AW352" s="38">
        <f>IFERROR(VLOOKUP(Table43[[#This Row],[Kode Pcpl]],'[1]FEB 2026'!$A$3:$X$312,24,0),0)</f>
        <v>0</v>
      </c>
      <c r="AX352" s="38">
        <f>Table43[[#This Row],[Harga Jual Pcs MT
(-PPN)]]*Table43[[#This Row],[ISI/CTN]]</f>
        <v>0</v>
      </c>
      <c r="AY352" s="38">
        <f>Table43[[#This Row],[Harga Jual Pcs MT
(-PPN)]]*1.11</f>
        <v>0</v>
      </c>
      <c r="AZ352" s="38">
        <f>Table43[[#This Row],[Harga Jual Pcs MT
(+PPN)]]*Table43[[#This Row],[ISI/CTN]]</f>
        <v>0</v>
      </c>
      <c r="BA352" s="46">
        <f>(Table43[[#This Row],[Harga Jual Pcs GT
(-PPN)]]-Table43[[#This Row],[Harga Beli Pcs
(-PPN)]])/Table43[[#This Row],[Harga Jual Pcs GT
(-PPN)]]</f>
        <v>6.4999999999999919E-2</v>
      </c>
      <c r="BB352" s="53">
        <f>Table43[[#This Row],[Harga Jual Pcs MT
(-PPN)]]-Table43[[#This Row],[Harga Beli Pcs
(-PPN)]]</f>
        <v>-8246.7000000000007</v>
      </c>
      <c r="BC352" s="54" t="e">
        <f>Table43[[#This Row],[Column1]]/Table43[[#This Row],[Harga Jual Pcs MT
(-PPN)]]</f>
        <v>#DIV/0!</v>
      </c>
      <c r="BD352" s="52"/>
      <c r="BE352" s="7"/>
      <c r="BF352" s="7" t="str">
        <f ca="1">IF(TODAY()-Table43[[#This Row],[Efektif
Pembuatan]]&gt;60,"Lama","Baru")</f>
        <v>Lama</v>
      </c>
      <c r="BG352" s="7" t="str">
        <f ca="1">IF(TODAY()-Table43[[#This Row],[Efektif Naik Harga]]&lt;30,"Naik","Sama")</f>
        <v>Sama</v>
      </c>
      <c r="BH352" s="7"/>
      <c r="BI352" s="7" t="str">
        <f>IF(Table43[[#This Row],[Kode BARANG Win2]]&lt;&gt;"","IDR","")</f>
        <v>IDR</v>
      </c>
      <c r="BJ352" s="7" t="str">
        <f>CONCATENATE(Table43[[#This Row],[kode  1 Digit
(Nomor)]],Table43[[#This Row],[kode  4 Digit                (Nomor)]])</f>
        <v>0002</v>
      </c>
      <c r="BK352" s="7" t="str">
        <f>Table43[[#This Row],[Nama            Gramasi atau Jumlah Pack per CTN]]</f>
        <v>2S</v>
      </c>
      <c r="BL352" s="7"/>
      <c r="BM352" s="7"/>
      <c r="BN352" s="4" t="str">
        <f>IF(Table43[[#This Row],[SATUAN Fix Win]]&lt;&gt;"","KRT")</f>
        <v>KRT</v>
      </c>
      <c r="BO352" s="4" t="str">
        <f>IF(Table43[[#This Row],[SATUAN Fix Win]]&lt;&gt;"","GD01")</f>
        <v>GD01</v>
      </c>
      <c r="BP352" s="4">
        <f>IF(Table43[[#This Row],[SATUAN Fix Win]]&lt;&gt;"",11611)</f>
        <v>11611</v>
      </c>
      <c r="BQ352" s="4">
        <f>IF(Table43[[#This Row],[SATUAN Fix Win]]&lt;&gt;"",11612)</f>
        <v>11612</v>
      </c>
      <c r="BS352" s="4">
        <f>IF(Table43[[#This Row],[SATUAN Fix Win]]&lt;&gt;"",1)</f>
        <v>1</v>
      </c>
      <c r="BU352" s="4">
        <f>Table43[[#This Row],[ISI/CTN]]</f>
        <v>120</v>
      </c>
    </row>
    <row r="353" spans="1:75">
      <c r="A353" s="4" t="str">
        <f>CONCATENATE(Table43[[#This Row],[Kode BARANG Win2]],Table43[[#This Row],[No. Urut
Item Sama]])</f>
        <v>G1224401000310</v>
      </c>
      <c r="B353" s="7"/>
      <c r="C353" s="31">
        <v>30364030100000</v>
      </c>
      <c r="D353" s="59">
        <v>40050345</v>
      </c>
      <c r="E353" s="60" t="s">
        <v>2053</v>
      </c>
      <c r="F353" s="59">
        <v>30364040000003</v>
      </c>
      <c r="G353" s="59">
        <v>0</v>
      </c>
      <c r="H353" s="60" t="s">
        <v>1348</v>
      </c>
      <c r="I353" s="60">
        <v>80</v>
      </c>
      <c r="J353" s="59" t="s">
        <v>1740</v>
      </c>
      <c r="K353" s="60" t="str">
        <f>Table43[[#This Row],[NamaJenisKemasan]]</f>
        <v>PCS</v>
      </c>
      <c r="L353" s="4" t="str">
        <f>TRIM(CONCATENATE(Table43[[#This Row],[Nama            KLP]]," ",Table43[[#This Row],[Nama            Sub KLP]]))</f>
        <v>POLYTEX SABUT</v>
      </c>
      <c r="M353" s="4" t="str">
        <f>CONCATENATE(Table43[[#This Row],[kode  2 Digit                (hrf+No)]],Table43[[#This Row],[kode  2 Digit                (Nomor)]],Table43[[#This Row],[kode  1 Digit                (Nomor)]])</f>
        <v>G1224</v>
      </c>
      <c r="N353" s="4" t="str">
        <f>IF(AI353="",CONCATENATE(S353,U353,W353,Y353,AA353,AC353,AE353,AG353,Table43[[#This Row],[Tanda Kode Revisi]]),CONCATENATE(S353,U353,W353,Y353,AA353,AC353,AE353,AI353))</f>
        <v>G1224401000310</v>
      </c>
      <c r="O353" s="11">
        <f t="shared" si="8"/>
        <v>14</v>
      </c>
      <c r="P353" s="14" t="str">
        <f>IF(AH353&lt;&gt;"",TRIM(UPPER(CONCATENATE(R353," ",T353," ",V353," ",X353," ",Z353," ",AB353," ","X"," ",Table43[[#This Row],[ISI/CTN]]," ",AH353," ",AD353," ",AF353," ",AJ353))),TRIM(UPPER(CONCATENATE(R353," ",T353," ",V353," ",X353," ",Z353," ",AB353," ","X"," ",Table43[[#This Row],[ISI/CTN]]," ",AD353," ",AF353," ",AJ353))))</f>
        <v>POLYTEX SABUT SPON MULTI PACK EXTRA BERSIH &amp; TAHAN LAMA 3S X 80 PCS</v>
      </c>
      <c r="Q353" s="11">
        <f t="shared" si="9"/>
        <v>67</v>
      </c>
      <c r="S353" s="7" t="s">
        <v>34</v>
      </c>
      <c r="T353" s="4" t="s">
        <v>2402</v>
      </c>
      <c r="U353" s="47" t="s">
        <v>2568</v>
      </c>
      <c r="V353" s="48" t="s">
        <v>2405</v>
      </c>
      <c r="W353" s="7">
        <v>4</v>
      </c>
      <c r="X353" s="48" t="s">
        <v>2573</v>
      </c>
      <c r="Y353" s="47" t="s">
        <v>2577</v>
      </c>
      <c r="Z353" s="4" t="s">
        <v>2406</v>
      </c>
      <c r="AA353" s="49" t="s">
        <v>1115</v>
      </c>
      <c r="AB353" s="4" t="s">
        <v>2257</v>
      </c>
      <c r="AC353" s="49" t="s">
        <v>2623</v>
      </c>
      <c r="AD353" s="4" t="s">
        <v>185</v>
      </c>
      <c r="AE353" s="7">
        <v>1</v>
      </c>
      <c r="AG353" s="7">
        <v>0</v>
      </c>
      <c r="AK353" s="70">
        <f>Table43[[#This Row],[Column4]]</f>
        <v>30364040000003</v>
      </c>
      <c r="AN353" s="7">
        <f>Table43[[#This Row],[ISI/CTN]]</f>
        <v>80</v>
      </c>
      <c r="AO353" s="38">
        <f>Table43[[#This Row],[Harga Jual Pcs GT
(-PPN)]]-(Table43[[#This Row],[Harga Jual Pcs GT
(-PPN)]]*6.5%)</f>
        <v>12669.25</v>
      </c>
      <c r="AP353" s="38">
        <f>Table43[[#This Row],[Harga Beli Pcs
(-PPN)]]*Table43[[#This Row],[ISI/CTN]]</f>
        <v>1013540</v>
      </c>
      <c r="AQ353" s="38">
        <f>Table43[[#This Row],[Harga Beli Pcs
(-PPN)]]*1.11</f>
        <v>14062.867500000002</v>
      </c>
      <c r="AR353" s="38">
        <f>Table43[[#This Row],[Harga Beli Krt
(- PPN)]]*1.11</f>
        <v>1125029.4000000001</v>
      </c>
      <c r="AS353" s="38">
        <v>13550</v>
      </c>
      <c r="AT353" s="38">
        <f>Table43[[#This Row],[Harga Jual Pcs GT
(-PPN)]]*Table43[[#This Row],[ISI/CTN]]</f>
        <v>1084000</v>
      </c>
      <c r="AU353" s="38">
        <f>Table43[[#This Row],[Harga Jual Pcs GT
(-PPN)]]*1.11</f>
        <v>15040.500000000002</v>
      </c>
      <c r="AV353" s="38">
        <f>Table43[[#This Row],[Harga Jual Krt GT
(- PPN)]]*1.11</f>
        <v>1203240</v>
      </c>
      <c r="AW353" s="38">
        <f>IFERROR(VLOOKUP(Table43[[#This Row],[Kode Pcpl]],'[1]FEB 2026'!$A$3:$X$312,24,0),0)</f>
        <v>0</v>
      </c>
      <c r="AX353" s="38">
        <f>Table43[[#This Row],[Harga Jual Pcs MT
(-PPN)]]*Table43[[#This Row],[ISI/CTN]]</f>
        <v>0</v>
      </c>
      <c r="AY353" s="38">
        <f>Table43[[#This Row],[Harga Jual Pcs MT
(-PPN)]]*1.11</f>
        <v>0</v>
      </c>
      <c r="AZ353" s="38">
        <f>Table43[[#This Row],[Harga Jual Pcs MT
(+PPN)]]*Table43[[#This Row],[ISI/CTN]]</f>
        <v>0</v>
      </c>
      <c r="BA353" s="46">
        <f>(Table43[[#This Row],[Harga Jual Pcs GT
(-PPN)]]-Table43[[#This Row],[Harga Beli Pcs
(-PPN)]])/Table43[[#This Row],[Harga Jual Pcs GT
(-PPN)]]</f>
        <v>6.5000000000000002E-2</v>
      </c>
      <c r="BB353" s="53">
        <f>Table43[[#This Row],[Harga Jual Pcs MT
(-PPN)]]-Table43[[#This Row],[Harga Beli Pcs
(-PPN)]]</f>
        <v>-12669.25</v>
      </c>
      <c r="BC353" s="54" t="e">
        <f>Table43[[#This Row],[Column1]]/Table43[[#This Row],[Harga Jual Pcs MT
(-PPN)]]</f>
        <v>#DIV/0!</v>
      </c>
      <c r="BD353" s="52"/>
      <c r="BE353" s="7"/>
      <c r="BF353" s="7" t="str">
        <f ca="1">IF(TODAY()-Table43[[#This Row],[Efektif
Pembuatan]]&gt;60,"Lama","Baru")</f>
        <v>Lama</v>
      </c>
      <c r="BG353" s="7" t="str">
        <f ca="1">IF(TODAY()-Table43[[#This Row],[Efektif Naik Harga]]&lt;30,"Naik","Sama")</f>
        <v>Sama</v>
      </c>
      <c r="BH353" s="7"/>
      <c r="BI353" s="7" t="str">
        <f>IF(Table43[[#This Row],[Kode BARANG Win2]]&lt;&gt;"","IDR","")</f>
        <v>IDR</v>
      </c>
      <c r="BJ353" s="7" t="str">
        <f>CONCATENATE(Table43[[#This Row],[kode  1 Digit
(Nomor)]],Table43[[#This Row],[kode  4 Digit                (Nomor)]])</f>
        <v>0003</v>
      </c>
      <c r="BK353" s="7" t="str">
        <f>Table43[[#This Row],[Nama            Gramasi atau Jumlah Pack per CTN]]</f>
        <v>3S</v>
      </c>
      <c r="BL353" s="7"/>
      <c r="BM353" s="7"/>
      <c r="BN353" s="4" t="str">
        <f>IF(Table43[[#This Row],[SATUAN Fix Win]]&lt;&gt;"","KRT")</f>
        <v>KRT</v>
      </c>
      <c r="BO353" s="4" t="str">
        <f>IF(Table43[[#This Row],[SATUAN Fix Win]]&lt;&gt;"","GD01")</f>
        <v>GD01</v>
      </c>
      <c r="BP353" s="4">
        <f>IF(Table43[[#This Row],[SATUAN Fix Win]]&lt;&gt;"",11611)</f>
        <v>11611</v>
      </c>
      <c r="BQ353" s="4">
        <f>IF(Table43[[#This Row],[SATUAN Fix Win]]&lt;&gt;"",11612)</f>
        <v>11612</v>
      </c>
      <c r="BS353" s="4">
        <f>IF(Table43[[#This Row],[SATUAN Fix Win]]&lt;&gt;"",1)</f>
        <v>1</v>
      </c>
      <c r="BU353" s="4">
        <f>Table43[[#This Row],[ISI/CTN]]</f>
        <v>80</v>
      </c>
    </row>
    <row r="354" spans="1:75">
      <c r="A354" s="4" t="str">
        <f>CONCATENATE(Table43[[#This Row],[Kode BARANG Win2]],Table43[[#This Row],[No. Urut
Item Sama]])</f>
        <v>G1224401000510</v>
      </c>
      <c r="B354" s="7"/>
      <c r="C354" s="31">
        <v>30364030500001</v>
      </c>
      <c r="D354" s="51">
        <v>40050347</v>
      </c>
      <c r="E354" s="27" t="s">
        <v>2054</v>
      </c>
      <c r="F354" s="51">
        <v>30364040000004</v>
      </c>
      <c r="G354" s="51">
        <v>0</v>
      </c>
      <c r="H354" s="27" t="s">
        <v>3457</v>
      </c>
      <c r="I354" s="27">
        <v>48</v>
      </c>
      <c r="J354" s="51" t="s">
        <v>1741</v>
      </c>
      <c r="K354" s="27" t="str">
        <f>Table43[[#This Row],[NamaJenisKemasan]]</f>
        <v>PCS</v>
      </c>
      <c r="L354" s="4" t="str">
        <f>TRIM(CONCATENATE(Table43[[#This Row],[Nama            KLP]]," ",Table43[[#This Row],[Nama            Sub KLP]]))</f>
        <v>POLYTEX SABUT</v>
      </c>
      <c r="M354" s="4" t="str">
        <f>CONCATENATE(Table43[[#This Row],[kode  2 Digit                (hrf+No)]],Table43[[#This Row],[kode  2 Digit                (Nomor)]],Table43[[#This Row],[kode  1 Digit                (Nomor)]])</f>
        <v>G1224</v>
      </c>
      <c r="N354" s="4" t="str">
        <f>IF(AI354="",CONCATENATE(S354,U354,W354,Y354,AA354,AC354,AE354,AG354,Table43[[#This Row],[Tanda Kode Revisi]]),CONCATENATE(S354,U354,W354,Y354,AA354,AC354,AE354,AI354))</f>
        <v>G1224401000510</v>
      </c>
      <c r="O354" s="11">
        <f t="shared" si="8"/>
        <v>14</v>
      </c>
      <c r="P354" s="14" t="str">
        <f>IF(AH354&lt;&gt;"",TRIM(UPPER(CONCATENATE(R354," ",T354," ",V354," ",X354," ",Z354," ",AB354," ","X"," ",Table43[[#This Row],[ISI/CTN]]," ",AH354," ",AD354," ",AF354," ",AJ354))),TRIM(UPPER(CONCATENATE(R354," ",T354," ",V354," ",X354," ",Z354," ",AB354," ","X"," ",Table43[[#This Row],[ISI/CTN]]," ",AD354," ",AF354," ",AJ354))))</f>
        <v>POLYTEX SABUT SPON MULTI PACK EXTRA BERSIH &amp; TAHAN LAMA 5S X 48 PCS</v>
      </c>
      <c r="Q354" s="11">
        <f t="shared" si="9"/>
        <v>67</v>
      </c>
      <c r="S354" s="7" t="s">
        <v>34</v>
      </c>
      <c r="T354" s="4" t="s">
        <v>2402</v>
      </c>
      <c r="U354" s="47" t="s">
        <v>2568</v>
      </c>
      <c r="V354" s="48" t="s">
        <v>2405</v>
      </c>
      <c r="W354" s="7">
        <v>4</v>
      </c>
      <c r="X354" s="48" t="s">
        <v>2573</v>
      </c>
      <c r="Y354" s="47" t="s">
        <v>2577</v>
      </c>
      <c r="Z354" s="4" t="s">
        <v>2406</v>
      </c>
      <c r="AA354" s="49" t="s">
        <v>1115</v>
      </c>
      <c r="AB354" s="4" t="s">
        <v>2410</v>
      </c>
      <c r="AC354" s="49" t="s">
        <v>2631</v>
      </c>
      <c r="AD354" s="4" t="s">
        <v>185</v>
      </c>
      <c r="AE354" s="7">
        <v>1</v>
      </c>
      <c r="AG354" s="7">
        <v>0</v>
      </c>
      <c r="AK354" s="70">
        <f>Table43[[#This Row],[Column4]]</f>
        <v>30364040000004</v>
      </c>
      <c r="AN354" s="7">
        <f>Table43[[#This Row],[ISI/CTN]]</f>
        <v>48</v>
      </c>
      <c r="AO354" s="61">
        <f>Table43[[#This Row],[Harga Jual Pcs GT
(-PPN)]]-(Table43[[#This Row],[Harga Jual Pcs GT
(-PPN)]]*6.5%)</f>
        <v>17680.849999999999</v>
      </c>
      <c r="AP354" s="61">
        <f>Table43[[#This Row],[Harga Beli Pcs
(-PPN)]]*Table43[[#This Row],[ISI/CTN]]</f>
        <v>848680.79999999993</v>
      </c>
      <c r="AQ354" s="61">
        <f>Table43[[#This Row],[Harga Beli Pcs
(-PPN)]]*1.11</f>
        <v>19625.7435</v>
      </c>
      <c r="AR354" s="61">
        <f>Table43[[#This Row],[Harga Beli Krt
(- PPN)]]*1.11</f>
        <v>942035.68799999997</v>
      </c>
      <c r="AS354" s="61">
        <v>18910</v>
      </c>
      <c r="AT354" s="61">
        <f>Table43[[#This Row],[Harga Jual Pcs GT
(-PPN)]]*Table43[[#This Row],[ISI/CTN]]</f>
        <v>907680</v>
      </c>
      <c r="AU354" s="61">
        <f>Table43[[#This Row],[Harga Jual Pcs GT
(-PPN)]]*1.11</f>
        <v>20990.100000000002</v>
      </c>
      <c r="AV354" s="61">
        <f>Table43[[#This Row],[Harga Jual Krt GT
(- PPN)]]*1.11</f>
        <v>1007524.8</v>
      </c>
      <c r="AW354" s="61">
        <f>IFERROR(VLOOKUP(Table43[[#This Row],[Kode Pcpl]],'[1]FEB 2026'!$A$3:$X$312,24,0),0)</f>
        <v>0</v>
      </c>
      <c r="AX354" s="61">
        <f>Table43[[#This Row],[Harga Jual Pcs MT
(-PPN)]]*Table43[[#This Row],[ISI/CTN]]</f>
        <v>0</v>
      </c>
      <c r="AY354" s="61">
        <f>Table43[[#This Row],[Harga Jual Pcs MT
(-PPN)]]*1.11</f>
        <v>0</v>
      </c>
      <c r="AZ354" s="61">
        <f>Table43[[#This Row],[Harga Jual Pcs MT
(+PPN)]]*Table43[[#This Row],[ISI/CTN]]</f>
        <v>0</v>
      </c>
      <c r="BA354" s="62">
        <f>(Table43[[#This Row],[Harga Jual Pcs GT
(-PPN)]]-Table43[[#This Row],[Harga Beli Pcs
(-PPN)]])/Table43[[#This Row],[Harga Jual Pcs GT
(-PPN)]]</f>
        <v>6.5000000000000072E-2</v>
      </c>
      <c r="BB354" s="63">
        <f>Table43[[#This Row],[Harga Jual Pcs MT
(-PPN)]]-Table43[[#This Row],[Harga Beli Pcs
(-PPN)]]</f>
        <v>-17680.849999999999</v>
      </c>
      <c r="BC354" s="64" t="e">
        <f>Table43[[#This Row],[Column1]]/Table43[[#This Row],[Harga Jual Pcs MT
(-PPN)]]</f>
        <v>#DIV/0!</v>
      </c>
      <c r="BD354" s="52"/>
      <c r="BE354" s="7"/>
      <c r="BF354" s="7" t="str">
        <f ca="1">IF(TODAY()-Table43[[#This Row],[Efektif
Pembuatan]]&gt;60,"Lama","Baru")</f>
        <v>Lama</v>
      </c>
      <c r="BG354" s="7" t="str">
        <f ca="1">IF(TODAY()-Table43[[#This Row],[Efektif Naik Harga]]&lt;30,"Naik","Sama")</f>
        <v>Sama</v>
      </c>
      <c r="BH354" s="7"/>
      <c r="BI354" s="7" t="str">
        <f>IF(Table43[[#This Row],[Kode BARANG Win2]]&lt;&gt;"","IDR","")</f>
        <v>IDR</v>
      </c>
      <c r="BJ354" s="7" t="str">
        <f>CONCATENATE(Table43[[#This Row],[kode  1 Digit
(Nomor)]],Table43[[#This Row],[kode  4 Digit                (Nomor)]])</f>
        <v>0005</v>
      </c>
      <c r="BK354" s="7" t="str">
        <f>Table43[[#This Row],[Nama            Gramasi atau Jumlah Pack per CTN]]</f>
        <v>5S</v>
      </c>
      <c r="BL354" s="7"/>
      <c r="BM354" s="7"/>
      <c r="BN354" s="4" t="str">
        <f>IF(Table43[[#This Row],[SATUAN Fix Win]]&lt;&gt;"","KRT")</f>
        <v>KRT</v>
      </c>
      <c r="BO354" s="4" t="str">
        <f>IF(Table43[[#This Row],[SATUAN Fix Win]]&lt;&gt;"","GD01")</f>
        <v>GD01</v>
      </c>
      <c r="BP354" s="4">
        <f>IF(Table43[[#This Row],[SATUAN Fix Win]]&lt;&gt;"",11611)</f>
        <v>11611</v>
      </c>
      <c r="BQ354" s="4">
        <f>IF(Table43[[#This Row],[SATUAN Fix Win]]&lt;&gt;"",11612)</f>
        <v>11612</v>
      </c>
      <c r="BS354" s="4">
        <f>IF(Table43[[#This Row],[SATUAN Fix Win]]&lt;&gt;"",1)</f>
        <v>1</v>
      </c>
      <c r="BU354" s="4">
        <f>Table43[[#This Row],[ISI/CTN]]</f>
        <v>48</v>
      </c>
    </row>
    <row r="355" spans="1:75" s="87" customFormat="1">
      <c r="A355" s="71" t="str">
        <f>CONCATENATE(Table43[[#This Row],[Kode BARANG Win2]],Table43[[#This Row],[No. Urut
Item Sama]])</f>
        <v>G1224401000510</v>
      </c>
      <c r="B355" s="72"/>
      <c r="C355" s="73"/>
      <c r="D355" s="74">
        <v>40059998</v>
      </c>
      <c r="E355" s="75" t="s">
        <v>2054</v>
      </c>
      <c r="F355" s="74"/>
      <c r="G355" s="74"/>
      <c r="H355" s="75" t="s">
        <v>3458</v>
      </c>
      <c r="I355" s="75">
        <v>48</v>
      </c>
      <c r="J355" s="74" t="s">
        <v>1741</v>
      </c>
      <c r="K355" s="75" t="str">
        <f>Table43[[#This Row],[NamaJenisKemasan]]</f>
        <v>PCS</v>
      </c>
      <c r="L355" s="71" t="str">
        <f>TRIM(CONCATENATE(Table43[[#This Row],[Nama            KLP]]," ",Table43[[#This Row],[Nama            Sub KLP]]))</f>
        <v>POLYTEX SABUT</v>
      </c>
      <c r="M355" s="71" t="str">
        <f>CONCATENATE(Table43[[#This Row],[kode  2 Digit                (hrf+No)]],Table43[[#This Row],[kode  2 Digit                (Nomor)]],Table43[[#This Row],[kode  1 Digit                (Nomor)]])</f>
        <v>G1224</v>
      </c>
      <c r="N355" s="71" t="str">
        <f>IF(AI355="",CONCATENATE(S355,U355,W355,Y355,AA355,AC355,AE355,AG355,Table43[[#This Row],[Tanda Kode Revisi]]),CONCATENATE(S355,U355,W355,Y355,AA355,AC355,AE355,AI355))</f>
        <v>G1224401000510</v>
      </c>
      <c r="O355" s="76">
        <f>LEN(N355)</f>
        <v>14</v>
      </c>
      <c r="P355" s="77" t="str">
        <f>IF(AH355&lt;&gt;"",TRIM(UPPER(CONCATENATE(R355," ",T355," ",V355," ",X355," ",Z355," ",AB355," ","X"," ",Table43[[#This Row],[ISI/CTN]]," ",AH355," ",AD355," ",AF355," ",AJ355))),TRIM(UPPER(CONCATENATE(R355," ",T355," ",V355," ",X355," ",Z355," ",AB355," ","X"," ",Table43[[#This Row],[ISI/CTN]]," ",AD355," ",AF355," ",AJ355))))</f>
        <v>POLYTEX SABUT SPON MULTI PACK EXTRA BERSIH &amp; TAHAN LAMA 5S X 48 PCS</v>
      </c>
      <c r="Q355" s="76">
        <f>LEN(P355)</f>
        <v>67</v>
      </c>
      <c r="R355" s="71"/>
      <c r="S355" s="72" t="s">
        <v>34</v>
      </c>
      <c r="T355" s="71" t="s">
        <v>2402</v>
      </c>
      <c r="U355" s="78" t="s">
        <v>2568</v>
      </c>
      <c r="V355" s="79" t="s">
        <v>2405</v>
      </c>
      <c r="W355" s="72">
        <v>4</v>
      </c>
      <c r="X355" s="79" t="s">
        <v>2573</v>
      </c>
      <c r="Y355" s="78" t="s">
        <v>2577</v>
      </c>
      <c r="Z355" s="71" t="s">
        <v>2406</v>
      </c>
      <c r="AA355" s="80" t="s">
        <v>1115</v>
      </c>
      <c r="AB355" s="71" t="s">
        <v>2410</v>
      </c>
      <c r="AC355" s="80" t="s">
        <v>2631</v>
      </c>
      <c r="AD355" s="71" t="s">
        <v>185</v>
      </c>
      <c r="AE355" s="72">
        <v>1</v>
      </c>
      <c r="AF355" s="71"/>
      <c r="AG355" s="72">
        <v>0</v>
      </c>
      <c r="AH355" s="72"/>
      <c r="AI355" s="72"/>
      <c r="AJ355" s="72"/>
      <c r="AK355" s="81">
        <f>Table43[[#This Row],[Column4]]</f>
        <v>0</v>
      </c>
      <c r="AL355" s="72"/>
      <c r="AM355" s="72"/>
      <c r="AN355" s="72">
        <f>Table43[[#This Row],[ISI/CTN]]</f>
        <v>48</v>
      </c>
      <c r="AO355" s="82">
        <f>Table43[[#This Row],[Harga Jual Pcs GT
(-PPN)]]-(Table43[[#This Row],[Harga Jual Pcs GT
(-PPN)]]*6.5%)</f>
        <v>0</v>
      </c>
      <c r="AP355" s="82">
        <f>Table43[[#This Row],[Harga Beli Pcs
(-PPN)]]*Table43[[#This Row],[ISI/CTN]]</f>
        <v>0</v>
      </c>
      <c r="AQ355" s="82">
        <f>Table43[[#This Row],[Harga Beli Pcs
(-PPN)]]*1.11</f>
        <v>0</v>
      </c>
      <c r="AR355" s="82">
        <f>Table43[[#This Row],[Harga Beli Krt
(- PPN)]]*1.11</f>
        <v>0</v>
      </c>
      <c r="AS355" s="82"/>
      <c r="AT355" s="82">
        <f>Table43[[#This Row],[Harga Jual Pcs GT
(-PPN)]]*Table43[[#This Row],[ISI/CTN]]</f>
        <v>0</v>
      </c>
      <c r="AU355" s="82">
        <f>Table43[[#This Row],[Harga Jual Pcs GT
(-PPN)]]*1.11</f>
        <v>0</v>
      </c>
      <c r="AV355" s="82">
        <f>Table43[[#This Row],[Harga Jual Krt GT
(- PPN)]]*1.11</f>
        <v>0</v>
      </c>
      <c r="AW355" s="82">
        <f>IFERROR(VLOOKUP(Table43[[#This Row],[Kode Pcpl]],'[1]FEB 2026'!$A$3:$X$312,24,0),0)</f>
        <v>0</v>
      </c>
      <c r="AX355" s="82">
        <f>Table43[[#This Row],[Harga Jual Pcs MT
(-PPN)]]*Table43[[#This Row],[ISI/CTN]]</f>
        <v>0</v>
      </c>
      <c r="AY355" s="82">
        <f>Table43[[#This Row],[Harga Jual Pcs MT
(-PPN)]]*1.11</f>
        <v>0</v>
      </c>
      <c r="AZ355" s="82">
        <f>Table43[[#This Row],[Harga Jual Pcs MT
(+PPN)]]*Table43[[#This Row],[ISI/CTN]]</f>
        <v>0</v>
      </c>
      <c r="BA355" s="83" t="e">
        <f>(Table43[[#This Row],[Harga Jual Pcs GT
(-PPN)]]-Table43[[#This Row],[Harga Beli Pcs
(-PPN)]])/Table43[[#This Row],[Harga Jual Pcs GT
(-PPN)]]</f>
        <v>#DIV/0!</v>
      </c>
      <c r="BB355" s="84">
        <f>Table43[[#This Row],[Harga Jual Pcs MT
(-PPN)]]-Table43[[#This Row],[Harga Beli Pcs
(-PPN)]]</f>
        <v>0</v>
      </c>
      <c r="BC355" s="85" t="e">
        <f>Table43[[#This Row],[Column1]]/Table43[[#This Row],[Harga Jual Pcs MT
(-PPN)]]</f>
        <v>#DIV/0!</v>
      </c>
      <c r="BD355" s="86"/>
      <c r="BE355" s="72"/>
      <c r="BF355" s="72" t="str">
        <f ca="1">IF(TODAY()-Table43[[#This Row],[Efektif
Pembuatan]]&gt;60,"Lama","Baru")</f>
        <v>Lama</v>
      </c>
      <c r="BG355" s="72" t="str">
        <f ca="1">IF(TODAY()-Table43[[#This Row],[Efektif Naik Harga]]&lt;30,"Naik","Sama")</f>
        <v>Sama</v>
      </c>
      <c r="BH355" s="72"/>
      <c r="BI355" s="72" t="str">
        <f>IF(Table43[[#This Row],[Kode BARANG Win2]]&lt;&gt;"","IDR","")</f>
        <v>IDR</v>
      </c>
      <c r="BJ355" s="72" t="str">
        <f>CONCATENATE(Table43[[#This Row],[kode  1 Digit
(Nomor)]],Table43[[#This Row],[kode  4 Digit                (Nomor)]])</f>
        <v>0005</v>
      </c>
      <c r="BK355" s="72" t="str">
        <f>Table43[[#This Row],[Nama            Gramasi atau Jumlah Pack per CTN]]</f>
        <v>5S</v>
      </c>
      <c r="BL355" s="72"/>
      <c r="BM355" s="72"/>
      <c r="BN355" s="71" t="str">
        <f>IF(Table43[[#This Row],[SATUAN Fix Win]]&lt;&gt;"","KRT")</f>
        <v>KRT</v>
      </c>
      <c r="BO355" s="71" t="str">
        <f>IF(Table43[[#This Row],[SATUAN Fix Win]]&lt;&gt;"","GD01")</f>
        <v>GD01</v>
      </c>
      <c r="BP355" s="71">
        <f>IF(Table43[[#This Row],[SATUAN Fix Win]]&lt;&gt;"",11611)</f>
        <v>11611</v>
      </c>
      <c r="BQ355" s="71">
        <f>IF(Table43[[#This Row],[SATUAN Fix Win]]&lt;&gt;"",11612)</f>
        <v>11612</v>
      </c>
      <c r="BR355" s="71"/>
      <c r="BS355" s="71">
        <f>IF(Table43[[#This Row],[SATUAN Fix Win]]&lt;&gt;"",1)</f>
        <v>1</v>
      </c>
      <c r="BT355" s="71"/>
      <c r="BU355" s="71">
        <f>Table43[[#This Row],[ISI/CTN]]</f>
        <v>48</v>
      </c>
      <c r="BV355" s="71"/>
      <c r="BW355" s="71"/>
    </row>
    <row r="356" spans="1:75">
      <c r="A356" s="4" t="str">
        <f>CONCATENATE(Table43[[#This Row],[Kode BARANG Win2]],Table43[[#This Row],[No. Urut
Item Sama]])</f>
        <v>G1224501000210</v>
      </c>
      <c r="B356" s="7"/>
      <c r="C356" s="31">
        <v>30365000100000</v>
      </c>
      <c r="D356" s="51">
        <v>40058055</v>
      </c>
      <c r="E356" s="27" t="s">
        <v>2050</v>
      </c>
      <c r="F356" s="51">
        <v>30364020500001</v>
      </c>
      <c r="G356" s="51">
        <v>0</v>
      </c>
      <c r="H356" s="27" t="s">
        <v>1343</v>
      </c>
      <c r="I356" s="27">
        <v>120</v>
      </c>
      <c r="J356" s="51" t="s">
        <v>1737</v>
      </c>
      <c r="K356" s="27" t="str">
        <f>Table43[[#This Row],[NamaJenisKemasan]]</f>
        <v>PCS</v>
      </c>
      <c r="L356" s="4" t="str">
        <f>TRIM(CONCATENATE(Table43[[#This Row],[Nama            KLP]]," ",Table43[[#This Row],[Nama            Sub KLP]]))</f>
        <v>POLYTEX SABUT</v>
      </c>
      <c r="M356" s="4" t="str">
        <f>CONCATENATE(Table43[[#This Row],[kode  2 Digit                (hrf+No)]],Table43[[#This Row],[kode  2 Digit                (Nomor)]],Table43[[#This Row],[kode  1 Digit                (Nomor)]])</f>
        <v>G1224</v>
      </c>
      <c r="N356" s="4" t="str">
        <f>IF(AI356="",CONCATENATE(S356,U356,W356,Y356,AA356,AC356,AE356,AG356,Table43[[#This Row],[Tanda Kode Revisi]]),CONCATENATE(S356,U356,W356,Y356,AA356,AC356,AE356,AI356))</f>
        <v>G1224501000210</v>
      </c>
      <c r="O356" s="11">
        <f t="shared" si="8"/>
        <v>14</v>
      </c>
      <c r="P356" s="14" t="str">
        <f>IF(AH356&lt;&gt;"",TRIM(UPPER(CONCATENATE(R356," ",T356," ",V356," ",X356," ",Z356," ",AB356," ","X"," ",Table43[[#This Row],[ISI/CTN]]," ",AH356," ",AD356," ",AF356," ",AJ356))),TRIM(UPPER(CONCATENATE(R356," ",T356," ",V356," ",X356," ",Z356," ",AB356," ","X"," ",Table43[[#This Row],[ISI/CTN]]," ",AD356," ",AF356," ",AJ356))))</f>
        <v>POLYTEX SABUT SPON PAKET EXTRA KUAT 2S X 120 PCS</v>
      </c>
      <c r="Q356" s="11">
        <f t="shared" si="9"/>
        <v>48</v>
      </c>
      <c r="S356" s="7" t="s">
        <v>34</v>
      </c>
      <c r="T356" s="4" t="s">
        <v>2402</v>
      </c>
      <c r="U356" s="47" t="s">
        <v>2568</v>
      </c>
      <c r="V356" s="48" t="s">
        <v>2405</v>
      </c>
      <c r="W356" s="7">
        <v>4</v>
      </c>
      <c r="X356" s="48" t="s">
        <v>2574</v>
      </c>
      <c r="Y356" s="47" t="s">
        <v>2578</v>
      </c>
      <c r="Z356" s="4" t="s">
        <v>2386</v>
      </c>
      <c r="AA356" s="49" t="s">
        <v>1115</v>
      </c>
      <c r="AB356" s="4" t="s">
        <v>2362</v>
      </c>
      <c r="AC356" s="49" t="s">
        <v>2615</v>
      </c>
      <c r="AD356" s="4" t="s">
        <v>185</v>
      </c>
      <c r="AE356" s="7">
        <v>1</v>
      </c>
      <c r="AG356" s="7">
        <v>0</v>
      </c>
      <c r="AK356" s="70">
        <f>Table43[[#This Row],[Column4]]</f>
        <v>30364020500001</v>
      </c>
      <c r="AN356" s="7">
        <f>Table43[[#This Row],[ISI/CTN]]</f>
        <v>120</v>
      </c>
      <c r="AO356" s="38">
        <f>Table43[[#This Row],[Harga Jual Pcs GT
(-PPN)]]-(Table43[[#This Row],[Harga Jual Pcs GT
(-PPN)]]*6.5%)</f>
        <v>9714.65</v>
      </c>
      <c r="AP356" s="38">
        <f>Table43[[#This Row],[Harga Beli Pcs
(-PPN)]]*Table43[[#This Row],[ISI/CTN]]</f>
        <v>1165758</v>
      </c>
      <c r="AQ356" s="38">
        <f>Table43[[#This Row],[Harga Beli Pcs
(-PPN)]]*1.11</f>
        <v>10783.261500000001</v>
      </c>
      <c r="AR356" s="38">
        <f>Table43[[#This Row],[Harga Beli Krt
(- PPN)]]*1.11</f>
        <v>1293991.3800000001</v>
      </c>
      <c r="AS356" s="38">
        <v>10390</v>
      </c>
      <c r="AT356" s="38">
        <f>Table43[[#This Row],[Harga Jual Pcs GT
(-PPN)]]*Table43[[#This Row],[ISI/CTN]]</f>
        <v>1246800</v>
      </c>
      <c r="AU356" s="38">
        <f>Table43[[#This Row],[Harga Jual Pcs GT
(-PPN)]]*1.11</f>
        <v>11532.900000000001</v>
      </c>
      <c r="AV356" s="38">
        <f>Table43[[#This Row],[Harga Jual Krt GT
(- PPN)]]*1.11</f>
        <v>1383948.0000000002</v>
      </c>
      <c r="AW356" s="38">
        <f>IFERROR(VLOOKUP(Table43[[#This Row],[Kode Pcpl]],'[1]FEB 2026'!$A$3:$X$312,24,0),0)</f>
        <v>0</v>
      </c>
      <c r="AX356" s="38">
        <f>Table43[[#This Row],[Harga Jual Pcs MT
(-PPN)]]*Table43[[#This Row],[ISI/CTN]]</f>
        <v>0</v>
      </c>
      <c r="AY356" s="38">
        <f>Table43[[#This Row],[Harga Jual Pcs MT
(-PPN)]]*1.11</f>
        <v>0</v>
      </c>
      <c r="AZ356" s="38">
        <f>Table43[[#This Row],[Harga Jual Pcs MT
(+PPN)]]*Table43[[#This Row],[ISI/CTN]]</f>
        <v>0</v>
      </c>
      <c r="BA356" s="46">
        <f>(Table43[[#This Row],[Harga Jual Pcs GT
(-PPN)]]-Table43[[#This Row],[Harga Beli Pcs
(-PPN)]])/Table43[[#This Row],[Harga Jual Pcs GT
(-PPN)]]</f>
        <v>6.500000000000003E-2</v>
      </c>
      <c r="BB356" s="53">
        <f>Table43[[#This Row],[Harga Jual Pcs MT
(-PPN)]]-Table43[[#This Row],[Harga Beli Pcs
(-PPN)]]</f>
        <v>-9714.65</v>
      </c>
      <c r="BC356" s="54" t="e">
        <f>Table43[[#This Row],[Column1]]/Table43[[#This Row],[Harga Jual Pcs MT
(-PPN)]]</f>
        <v>#DIV/0!</v>
      </c>
      <c r="BD356" s="52"/>
      <c r="BE356" s="7"/>
      <c r="BF356" s="7" t="str">
        <f ca="1">IF(TODAY()-Table43[[#This Row],[Efektif
Pembuatan]]&gt;60,"Lama","Baru")</f>
        <v>Lama</v>
      </c>
      <c r="BG356" s="7" t="str">
        <f ca="1">IF(TODAY()-Table43[[#This Row],[Efektif Naik Harga]]&lt;30,"Naik","Sama")</f>
        <v>Sama</v>
      </c>
      <c r="BH356" s="7"/>
      <c r="BI356" s="7" t="str">
        <f>IF(Table43[[#This Row],[Kode BARANG Win2]]&lt;&gt;"","IDR","")</f>
        <v>IDR</v>
      </c>
      <c r="BJ356" s="7" t="str">
        <f>CONCATENATE(Table43[[#This Row],[kode  1 Digit
(Nomor)]],Table43[[#This Row],[kode  4 Digit                (Nomor)]])</f>
        <v>0002</v>
      </c>
      <c r="BK356" s="7" t="str">
        <f>Table43[[#This Row],[Nama            Gramasi atau Jumlah Pack per CTN]]</f>
        <v>2S</v>
      </c>
      <c r="BL356" s="7"/>
      <c r="BM356" s="7"/>
      <c r="BN356" s="4" t="str">
        <f>IF(Table43[[#This Row],[SATUAN Fix Win]]&lt;&gt;"","KRT")</f>
        <v>KRT</v>
      </c>
      <c r="BO356" s="4" t="str">
        <f>IF(Table43[[#This Row],[SATUAN Fix Win]]&lt;&gt;"","GD01")</f>
        <v>GD01</v>
      </c>
      <c r="BP356" s="4">
        <f>IF(Table43[[#This Row],[SATUAN Fix Win]]&lt;&gt;"",11611)</f>
        <v>11611</v>
      </c>
      <c r="BQ356" s="4">
        <f>IF(Table43[[#This Row],[SATUAN Fix Win]]&lt;&gt;"",11612)</f>
        <v>11612</v>
      </c>
      <c r="BS356" s="4">
        <f>IF(Table43[[#This Row],[SATUAN Fix Win]]&lt;&gt;"",1)</f>
        <v>1</v>
      </c>
      <c r="BU356" s="4">
        <f>Table43[[#This Row],[ISI/CTN]]</f>
        <v>120</v>
      </c>
    </row>
    <row r="357" spans="1:75">
      <c r="A357" s="4" t="str">
        <f>CONCATENATE(Table43[[#This Row],[Kode BARANG Win2]],Table43[[#This Row],[No. Urut
Item Sama]])</f>
        <v>G1224501000210</v>
      </c>
      <c r="B357" s="7"/>
      <c r="C357" s="31">
        <v>30367000050000</v>
      </c>
      <c r="D357" s="51">
        <v>40031567</v>
      </c>
      <c r="E357" s="27" t="s">
        <v>2050</v>
      </c>
      <c r="F357" s="51">
        <v>30364020500001</v>
      </c>
      <c r="G357" s="51">
        <v>0</v>
      </c>
      <c r="H357" s="27" t="s">
        <v>1342</v>
      </c>
      <c r="I357" s="27">
        <v>120</v>
      </c>
      <c r="J357" s="51" t="s">
        <v>1737</v>
      </c>
      <c r="K357" s="27" t="str">
        <f>Table43[[#This Row],[NamaJenisKemasan]]</f>
        <v>PCS</v>
      </c>
      <c r="L357" s="4" t="str">
        <f>TRIM(CONCATENATE(Table43[[#This Row],[Nama            KLP]]," ",Table43[[#This Row],[Nama            Sub KLP]]))</f>
        <v>POLYTEX SABUT</v>
      </c>
      <c r="M357" s="4" t="str">
        <f>CONCATENATE(Table43[[#This Row],[kode  2 Digit                (hrf+No)]],Table43[[#This Row],[kode  2 Digit                (Nomor)]],Table43[[#This Row],[kode  1 Digit                (Nomor)]])</f>
        <v>G1224</v>
      </c>
      <c r="N357" s="4" t="str">
        <f>IF(AI357="",CONCATENATE(S357,U357,W357,Y357,AA357,AC357,AE357,AG357,Table43[[#This Row],[Tanda Kode Revisi]]),CONCATENATE(S357,U357,W357,Y357,AA357,AC357,AE357,AI357))</f>
        <v>G1224501000210</v>
      </c>
      <c r="O357" s="11">
        <f t="shared" si="8"/>
        <v>14</v>
      </c>
      <c r="P357" s="14" t="str">
        <f>IF(AH357&lt;&gt;"",TRIM(UPPER(CONCATENATE(R357," ",T357," ",V357," ",X357," ",Z357," ",AB357," ","X"," ",Table43[[#This Row],[ISI/CTN]]," ",AH357," ",AD357," ",AF357," ",AJ357))),TRIM(UPPER(CONCATENATE(R357," ",T357," ",V357," ",X357," ",Z357," ",AB357," ","X"," ",Table43[[#This Row],[ISI/CTN]]," ",AD357," ",AF357," ",AJ357))))</f>
        <v>POLYTEX SABUT SPON PAKET EXTRA KUAT 2S X 120 PCS</v>
      </c>
      <c r="Q357" s="11">
        <f t="shared" si="9"/>
        <v>48</v>
      </c>
      <c r="S357" s="7" t="s">
        <v>34</v>
      </c>
      <c r="T357" s="4" t="s">
        <v>2402</v>
      </c>
      <c r="U357" s="47" t="s">
        <v>2568</v>
      </c>
      <c r="V357" s="48" t="s">
        <v>2405</v>
      </c>
      <c r="W357" s="7">
        <v>4</v>
      </c>
      <c r="X357" s="48" t="s">
        <v>2574</v>
      </c>
      <c r="Y357" s="47" t="s">
        <v>2578</v>
      </c>
      <c r="Z357" s="4" t="s">
        <v>2386</v>
      </c>
      <c r="AA357" s="49" t="s">
        <v>1115</v>
      </c>
      <c r="AB357" s="4" t="s">
        <v>2362</v>
      </c>
      <c r="AC357" s="49" t="s">
        <v>2615</v>
      </c>
      <c r="AD357" s="4" t="s">
        <v>185</v>
      </c>
      <c r="AE357" s="7">
        <v>1</v>
      </c>
      <c r="AG357" s="7">
        <v>0</v>
      </c>
      <c r="AK357" s="70">
        <f>Table43[[#This Row],[Column4]]</f>
        <v>30364020500001</v>
      </c>
      <c r="AN357" s="7">
        <f>Table43[[#This Row],[ISI/CTN]]</f>
        <v>120</v>
      </c>
      <c r="AO357" s="38">
        <f>Table43[[#This Row],[Harga Jual Pcs GT
(-PPN)]]-(Table43[[#This Row],[Harga Jual Pcs GT
(-PPN)]]*6.5%)</f>
        <v>9714.65</v>
      </c>
      <c r="AP357" s="38">
        <f>Table43[[#This Row],[Harga Beli Pcs
(-PPN)]]*Table43[[#This Row],[ISI/CTN]]</f>
        <v>1165758</v>
      </c>
      <c r="AQ357" s="38">
        <f>Table43[[#This Row],[Harga Beli Pcs
(-PPN)]]*1.11</f>
        <v>10783.261500000001</v>
      </c>
      <c r="AR357" s="38">
        <f>Table43[[#This Row],[Harga Beli Krt
(- PPN)]]*1.11</f>
        <v>1293991.3800000001</v>
      </c>
      <c r="AS357" s="38">
        <v>10390</v>
      </c>
      <c r="AT357" s="38">
        <f>Table43[[#This Row],[Harga Jual Pcs GT
(-PPN)]]*Table43[[#This Row],[ISI/CTN]]</f>
        <v>1246800</v>
      </c>
      <c r="AU357" s="38">
        <f>Table43[[#This Row],[Harga Jual Pcs GT
(-PPN)]]*1.11</f>
        <v>11532.900000000001</v>
      </c>
      <c r="AV357" s="38">
        <f>Table43[[#This Row],[Harga Jual Krt GT
(- PPN)]]*1.11</f>
        <v>1383948.0000000002</v>
      </c>
      <c r="AW357" s="38">
        <f>IFERROR(VLOOKUP(Table43[[#This Row],[Kode Pcpl]],'[1]FEB 2026'!$A$3:$X$312,24,0),0)</f>
        <v>0</v>
      </c>
      <c r="AX357" s="38">
        <f>Table43[[#This Row],[Harga Jual Pcs MT
(-PPN)]]*Table43[[#This Row],[ISI/CTN]]</f>
        <v>0</v>
      </c>
      <c r="AY357" s="38">
        <f>Table43[[#This Row],[Harga Jual Pcs MT
(-PPN)]]*1.11</f>
        <v>0</v>
      </c>
      <c r="AZ357" s="38">
        <f>Table43[[#This Row],[Harga Jual Pcs MT
(+PPN)]]*Table43[[#This Row],[ISI/CTN]]</f>
        <v>0</v>
      </c>
      <c r="BA357" s="46">
        <f>(Table43[[#This Row],[Harga Jual Pcs GT
(-PPN)]]-Table43[[#This Row],[Harga Beli Pcs
(-PPN)]])/Table43[[#This Row],[Harga Jual Pcs GT
(-PPN)]]</f>
        <v>6.500000000000003E-2</v>
      </c>
      <c r="BB357" s="53">
        <f>Table43[[#This Row],[Harga Jual Pcs MT
(-PPN)]]-Table43[[#This Row],[Harga Beli Pcs
(-PPN)]]</f>
        <v>-9714.65</v>
      </c>
      <c r="BC357" s="54" t="e">
        <f>Table43[[#This Row],[Column1]]/Table43[[#This Row],[Harga Jual Pcs MT
(-PPN)]]</f>
        <v>#DIV/0!</v>
      </c>
      <c r="BD357" s="52"/>
      <c r="BE357" s="7"/>
      <c r="BF357" s="7" t="str">
        <f ca="1">IF(TODAY()-Table43[[#This Row],[Efektif
Pembuatan]]&gt;60,"Lama","Baru")</f>
        <v>Lama</v>
      </c>
      <c r="BG357" s="7" t="str">
        <f ca="1">IF(TODAY()-Table43[[#This Row],[Efektif Naik Harga]]&lt;30,"Naik","Sama")</f>
        <v>Sama</v>
      </c>
      <c r="BH357" s="7"/>
      <c r="BI357" s="7" t="str">
        <f>IF(Table43[[#This Row],[Kode BARANG Win2]]&lt;&gt;"","IDR","")</f>
        <v>IDR</v>
      </c>
      <c r="BJ357" s="7" t="str">
        <f>CONCATENATE(Table43[[#This Row],[kode  1 Digit
(Nomor)]],Table43[[#This Row],[kode  4 Digit                (Nomor)]])</f>
        <v>0002</v>
      </c>
      <c r="BK357" s="7" t="str">
        <f>Table43[[#This Row],[Nama            Gramasi atau Jumlah Pack per CTN]]</f>
        <v>2S</v>
      </c>
      <c r="BL357" s="7"/>
      <c r="BM357" s="7"/>
      <c r="BN357" s="4" t="str">
        <f>IF(Table43[[#This Row],[SATUAN Fix Win]]&lt;&gt;"","KRT")</f>
        <v>KRT</v>
      </c>
      <c r="BO357" s="4" t="str">
        <f>IF(Table43[[#This Row],[SATUAN Fix Win]]&lt;&gt;"","GD01")</f>
        <v>GD01</v>
      </c>
      <c r="BP357" s="4">
        <f>IF(Table43[[#This Row],[SATUAN Fix Win]]&lt;&gt;"",11611)</f>
        <v>11611</v>
      </c>
      <c r="BQ357" s="4">
        <f>IF(Table43[[#This Row],[SATUAN Fix Win]]&lt;&gt;"",11612)</f>
        <v>11612</v>
      </c>
      <c r="BS357" s="4">
        <f>IF(Table43[[#This Row],[SATUAN Fix Win]]&lt;&gt;"",1)</f>
        <v>1</v>
      </c>
      <c r="BU357" s="4">
        <f>Table43[[#This Row],[ISI/CTN]]</f>
        <v>120</v>
      </c>
    </row>
    <row r="358" spans="1:75">
      <c r="A358" s="4" t="str">
        <f>CONCATENATE(Table43[[#This Row],[Kode BARANG Win2]],Table43[[#This Row],[No. Urut
Item Sama]])</f>
        <v>G1224601000010</v>
      </c>
      <c r="B358" s="7"/>
      <c r="C358" s="31">
        <v>30369060000013</v>
      </c>
      <c r="D358" s="59">
        <v>40049586</v>
      </c>
      <c r="E358" s="60" t="s">
        <v>2059</v>
      </c>
      <c r="F358" s="59">
        <v>30369030040010</v>
      </c>
      <c r="G358" s="59">
        <v>0</v>
      </c>
      <c r="H358" s="60" t="s">
        <v>1353</v>
      </c>
      <c r="I358" s="60">
        <v>72</v>
      </c>
      <c r="J358" s="59" t="s">
        <v>1746</v>
      </c>
      <c r="K358" s="60" t="str">
        <f>Table43[[#This Row],[NamaJenisKemasan]]</f>
        <v>PCS</v>
      </c>
      <c r="L358" s="4" t="str">
        <f>TRIM(CONCATENATE(Table43[[#This Row],[Nama            KLP]]," ",Table43[[#This Row],[Nama            Sub KLP]]))</f>
        <v>POLYTEX SABUT</v>
      </c>
      <c r="M358" s="4" t="str">
        <f>CONCATENATE(Table43[[#This Row],[kode  2 Digit                (hrf+No)]],Table43[[#This Row],[kode  2 Digit                (Nomor)]],Table43[[#This Row],[kode  1 Digit                (Nomor)]])</f>
        <v>G1224</v>
      </c>
      <c r="N358" s="4" t="str">
        <f>IF(AI358="",CONCATENATE(S358,U358,W358,Y358,AA358,AC358,AE358,AG358,Table43[[#This Row],[Tanda Kode Revisi]]),CONCATENATE(S358,U358,W358,Y358,AA358,AC358,AE358,AI358))</f>
        <v>G1224601000010</v>
      </c>
      <c r="O358" s="11">
        <f t="shared" si="8"/>
        <v>14</v>
      </c>
      <c r="P358" s="14" t="str">
        <f>IF(AH358&lt;&gt;"",TRIM(UPPER(CONCATENATE(R358," ",T358," ",V358," ",X358," ",Z358," ",AB358," ","X"," ",Table43[[#This Row],[ISI/CTN]]," ",AH358," ",AD358," ",AF358," ",AJ358))),TRIM(UPPER(CONCATENATE(R358," ",T358," ",V358," ",X358," ",Z358," ",AB358," ","X"," ",Table43[[#This Row],[ISI/CTN]]," ",AD358," ",AF358," ",AJ358))))</f>
        <v>POLYTEX SABUT STAINLESS REGULER X 72 PCS</v>
      </c>
      <c r="Q358" s="11">
        <f t="shared" si="9"/>
        <v>40</v>
      </c>
      <c r="S358" s="7" t="s">
        <v>34</v>
      </c>
      <c r="T358" s="4" t="s">
        <v>2402</v>
      </c>
      <c r="U358" s="47" t="s">
        <v>2568</v>
      </c>
      <c r="V358" s="48" t="s">
        <v>2405</v>
      </c>
      <c r="W358" s="7">
        <v>4</v>
      </c>
      <c r="X358" s="48" t="s">
        <v>2575</v>
      </c>
      <c r="Y358" s="47" t="s">
        <v>2579</v>
      </c>
      <c r="Z358" s="4" t="s">
        <v>2308</v>
      </c>
      <c r="AA358" s="49" t="s">
        <v>1115</v>
      </c>
      <c r="AC358" s="49" t="s">
        <v>2460</v>
      </c>
      <c r="AD358" s="4" t="s">
        <v>185</v>
      </c>
      <c r="AE358" s="7">
        <v>1</v>
      </c>
      <c r="AG358" s="7">
        <v>0</v>
      </c>
      <c r="AK358" s="70">
        <f>Table43[[#This Row],[Column4]]</f>
        <v>30369030040010</v>
      </c>
      <c r="AN358" s="7">
        <f>Table43[[#This Row],[ISI/CTN]]</f>
        <v>72</v>
      </c>
      <c r="AO358" s="38">
        <f>Table43[[#This Row],[Harga Jual Pcs GT
(-PPN)]]-(Table43[[#This Row],[Harga Jual Pcs GT
(-PPN)]]*6.5%)</f>
        <v>4237.42</v>
      </c>
      <c r="AP358" s="38">
        <f>Table43[[#This Row],[Harga Beli Pcs
(-PPN)]]*Table43[[#This Row],[ISI/CTN]]</f>
        <v>305094.24</v>
      </c>
      <c r="AQ358" s="38">
        <f>Table43[[#This Row],[Harga Beli Pcs
(-PPN)]]*1.11</f>
        <v>4703.5362000000005</v>
      </c>
      <c r="AR358" s="38">
        <f>Table43[[#This Row],[Harga Beli Krt
(- PPN)]]*1.11</f>
        <v>338654.60640000005</v>
      </c>
      <c r="AS358" s="38">
        <v>4532</v>
      </c>
      <c r="AT358" s="38">
        <f>Table43[[#This Row],[Harga Jual Pcs GT
(-PPN)]]*Table43[[#This Row],[ISI/CTN]]</f>
        <v>326304</v>
      </c>
      <c r="AU358" s="38">
        <f>Table43[[#This Row],[Harga Jual Pcs GT
(-PPN)]]*1.11</f>
        <v>5030.5200000000004</v>
      </c>
      <c r="AV358" s="38">
        <f>Table43[[#This Row],[Harga Jual Krt GT
(- PPN)]]*1.11</f>
        <v>362197.44000000006</v>
      </c>
      <c r="AW358" s="38">
        <f>IFERROR(VLOOKUP(Table43[[#This Row],[Kode Pcpl]],'[1]FEB 2026'!$A$3:$X$312,24,0),0)</f>
        <v>0</v>
      </c>
      <c r="AX358" s="38">
        <f>Table43[[#This Row],[Harga Jual Pcs MT
(-PPN)]]*Table43[[#This Row],[ISI/CTN]]</f>
        <v>0</v>
      </c>
      <c r="AY358" s="38">
        <f>Table43[[#This Row],[Harga Jual Pcs MT
(-PPN)]]*1.11</f>
        <v>0</v>
      </c>
      <c r="AZ358" s="38">
        <f>Table43[[#This Row],[Harga Jual Pcs MT
(+PPN)]]*Table43[[#This Row],[ISI/CTN]]</f>
        <v>0</v>
      </c>
      <c r="BA358" s="46">
        <f>(Table43[[#This Row],[Harga Jual Pcs GT
(-PPN)]]-Table43[[#This Row],[Harga Beli Pcs
(-PPN)]])/Table43[[#This Row],[Harga Jual Pcs GT
(-PPN)]]</f>
        <v>6.4999999999999988E-2</v>
      </c>
      <c r="BB358" s="53">
        <f>Table43[[#This Row],[Harga Jual Pcs MT
(-PPN)]]-Table43[[#This Row],[Harga Beli Pcs
(-PPN)]]</f>
        <v>-4237.42</v>
      </c>
      <c r="BC358" s="54" t="e">
        <f>Table43[[#This Row],[Column1]]/Table43[[#This Row],[Harga Jual Pcs MT
(-PPN)]]</f>
        <v>#DIV/0!</v>
      </c>
      <c r="BD358" s="52"/>
      <c r="BE358" s="7"/>
      <c r="BF358" s="7" t="str">
        <f ca="1">IF(TODAY()-Table43[[#This Row],[Efektif
Pembuatan]]&gt;60,"Lama","Baru")</f>
        <v>Lama</v>
      </c>
      <c r="BG358" s="7" t="str">
        <f ca="1">IF(TODAY()-Table43[[#This Row],[Efektif Naik Harga]]&lt;30,"Naik","Sama")</f>
        <v>Sama</v>
      </c>
      <c r="BH358" s="7"/>
      <c r="BI358" s="7" t="str">
        <f>IF(Table43[[#This Row],[Kode BARANG Win2]]&lt;&gt;"","IDR","")</f>
        <v>IDR</v>
      </c>
      <c r="BJ358" s="7" t="str">
        <f>CONCATENATE(Table43[[#This Row],[kode  1 Digit
(Nomor)]],Table43[[#This Row],[kode  4 Digit                (Nomor)]])</f>
        <v>0000</v>
      </c>
      <c r="BK358" s="7">
        <f>Table43[[#This Row],[Nama            Gramasi atau Jumlah Pack per CTN]]</f>
        <v>0</v>
      </c>
      <c r="BL358" s="7"/>
      <c r="BM358" s="7"/>
      <c r="BN358" s="4" t="str">
        <f>IF(Table43[[#This Row],[SATUAN Fix Win]]&lt;&gt;"","KRT")</f>
        <v>KRT</v>
      </c>
      <c r="BO358" s="4" t="str">
        <f>IF(Table43[[#This Row],[SATUAN Fix Win]]&lt;&gt;"","GD01")</f>
        <v>GD01</v>
      </c>
      <c r="BP358" s="4">
        <f>IF(Table43[[#This Row],[SATUAN Fix Win]]&lt;&gt;"",11611)</f>
        <v>11611</v>
      </c>
      <c r="BQ358" s="4">
        <f>IF(Table43[[#This Row],[SATUAN Fix Win]]&lt;&gt;"",11612)</f>
        <v>11612</v>
      </c>
      <c r="BS358" s="4">
        <f>IF(Table43[[#This Row],[SATUAN Fix Win]]&lt;&gt;"",1)</f>
        <v>1</v>
      </c>
      <c r="BU358" s="4">
        <f>Table43[[#This Row],[ISI/CTN]]</f>
        <v>72</v>
      </c>
    </row>
    <row r="359" spans="1:75">
      <c r="A359" s="4" t="str">
        <f>CONCATENATE(Table43[[#This Row],[Kode BARANG Win2]],Table43[[#This Row],[No. Urut
Item Sama]])</f>
        <v>G1225001000010</v>
      </c>
      <c r="B359" s="7"/>
      <c r="C359" s="31">
        <v>30368060050000</v>
      </c>
      <c r="D359" s="51">
        <v>40031389</v>
      </c>
      <c r="E359" s="66" t="s">
        <v>2494</v>
      </c>
      <c r="F359" s="68">
        <v>30368060050000</v>
      </c>
      <c r="G359" s="68">
        <v>0</v>
      </c>
      <c r="H359" s="27">
        <v>0</v>
      </c>
      <c r="I359" s="27">
        <v>72</v>
      </c>
      <c r="J359" s="51">
        <v>0</v>
      </c>
      <c r="K359" s="27" t="str">
        <f>Table43[[#This Row],[NamaJenisKemasan]]</f>
        <v>PCS</v>
      </c>
      <c r="L359" s="4" t="str">
        <f>TRIM(CONCATENATE(Table43[[#This Row],[Nama            KLP]]," ",Table43[[#This Row],[Nama            Sub KLP]]))</f>
        <v>POLYTEX SELULOSA</v>
      </c>
      <c r="M359" s="4" t="str">
        <f>CONCATENATE(Table43[[#This Row],[kode  2 Digit                (hrf+No)]],Table43[[#This Row],[kode  2 Digit                (Nomor)]],Table43[[#This Row],[kode  1 Digit                (Nomor)]])</f>
        <v>G1225</v>
      </c>
      <c r="N359" s="4" t="str">
        <f>IF(AI359="",CONCATENATE(S359,U359,W359,Y359,AA359,AC359,AE359,AG359,Table43[[#This Row],[Tanda Kode Revisi]]),CONCATENATE(S359,U359,W359,Y359,AA359,AC359,AE359,AI359))</f>
        <v>G1225001000010</v>
      </c>
      <c r="O359" s="11">
        <f t="shared" si="8"/>
        <v>14</v>
      </c>
      <c r="P359" s="14" t="str">
        <f>IF(AH359&lt;&gt;"",TRIM(UPPER(CONCATENATE(R359," ",T359," ",V359," ",X359," ",Z359," ",AB359," ","X"," ",Table43[[#This Row],[ISI/CTN]]," ",AH359," ",AD359," ",AF359," ",AJ359))),TRIM(UPPER(CONCATENATE(R359," ",T359," ",V359," ",X359," ",Z359," ",AB359," ","X"," ",Table43[[#This Row],[ISI/CTN]]," ",AD359," ",AF359," ",AJ359))))</f>
        <v>POLYTEX SELULOSA EXTRA KUAT X 72 PCS</v>
      </c>
      <c r="Q359" s="11">
        <f t="shared" si="9"/>
        <v>36</v>
      </c>
      <c r="S359" s="7" t="s">
        <v>34</v>
      </c>
      <c r="T359" s="4" t="s">
        <v>2402</v>
      </c>
      <c r="U359" s="47" t="s">
        <v>2568</v>
      </c>
      <c r="V359" s="48" t="s">
        <v>2526</v>
      </c>
      <c r="W359" s="7">
        <v>5</v>
      </c>
      <c r="X359" s="48"/>
      <c r="Y359" s="47" t="s">
        <v>1116</v>
      </c>
      <c r="Z359" s="4" t="s">
        <v>2386</v>
      </c>
      <c r="AA359" s="49" t="s">
        <v>1115</v>
      </c>
      <c r="AC359" s="49" t="s">
        <v>2460</v>
      </c>
      <c r="AD359" s="4" t="s">
        <v>185</v>
      </c>
      <c r="AE359" s="7">
        <v>1</v>
      </c>
      <c r="AG359" s="7">
        <v>0</v>
      </c>
      <c r="AK359" s="70">
        <f>Table43[[#This Row],[Column4]]</f>
        <v>30368060050000</v>
      </c>
      <c r="AN359" s="7">
        <f>Table43[[#This Row],[ISI/CTN]]</f>
        <v>72</v>
      </c>
      <c r="AO359" s="38">
        <f>Table43[[#This Row],[Harga Jual Pcs GT
(-PPN)]]-(Table43[[#This Row],[Harga Jual Pcs GT
(-PPN)]]*6.5%)</f>
        <v>11500.5</v>
      </c>
      <c r="AP359" s="38">
        <f>Table43[[#This Row],[Harga Beli Pcs
(-PPN)]]*Table43[[#This Row],[ISI/CTN]]</f>
        <v>828036</v>
      </c>
      <c r="AQ359" s="38">
        <f>Table43[[#This Row],[Harga Beli Pcs
(-PPN)]]*1.11</f>
        <v>12765.555</v>
      </c>
      <c r="AR359" s="38">
        <f>Table43[[#This Row],[Harga Beli Krt
(- PPN)]]*1.11</f>
        <v>919119.96000000008</v>
      </c>
      <c r="AS359" s="38">
        <v>12300</v>
      </c>
      <c r="AT359" s="38">
        <f>Table43[[#This Row],[Harga Jual Pcs GT
(-PPN)]]*Table43[[#This Row],[ISI/CTN]]</f>
        <v>885600</v>
      </c>
      <c r="AU359" s="38">
        <f>Table43[[#This Row],[Harga Jual Pcs GT
(-PPN)]]*1.11</f>
        <v>13653.000000000002</v>
      </c>
      <c r="AV359" s="38">
        <f>Table43[[#This Row],[Harga Jual Krt GT
(- PPN)]]*1.11</f>
        <v>983016.00000000012</v>
      </c>
      <c r="AW359" s="38">
        <f>IFERROR(VLOOKUP(Table43[[#This Row],[Kode Pcpl]],'[1]FEB 2026'!$A$3:$X$312,24,0),0)</f>
        <v>0</v>
      </c>
      <c r="AX359" s="38">
        <f>Table43[[#This Row],[Harga Jual Pcs MT
(-PPN)]]*Table43[[#This Row],[ISI/CTN]]</f>
        <v>0</v>
      </c>
      <c r="AY359" s="38">
        <f>Table43[[#This Row],[Harga Jual Pcs MT
(-PPN)]]*1.11</f>
        <v>0</v>
      </c>
      <c r="AZ359" s="38">
        <f>Table43[[#This Row],[Harga Jual Pcs MT
(+PPN)]]*Table43[[#This Row],[ISI/CTN]]</f>
        <v>0</v>
      </c>
      <c r="BA359" s="46">
        <f>(Table43[[#This Row],[Harga Jual Pcs GT
(-PPN)]]-Table43[[#This Row],[Harga Beli Pcs
(-PPN)]])/Table43[[#This Row],[Harga Jual Pcs GT
(-PPN)]]</f>
        <v>6.5000000000000002E-2</v>
      </c>
      <c r="BB359" s="53">
        <f>Table43[[#This Row],[Harga Jual Pcs MT
(-PPN)]]-Table43[[#This Row],[Harga Beli Pcs
(-PPN)]]</f>
        <v>-11500.5</v>
      </c>
      <c r="BC359" s="54" t="e">
        <f>Table43[[#This Row],[Column1]]/Table43[[#This Row],[Harga Jual Pcs MT
(-PPN)]]</f>
        <v>#DIV/0!</v>
      </c>
      <c r="BD359" s="52"/>
      <c r="BE359" s="7"/>
      <c r="BF359" s="7" t="str">
        <f ca="1">IF(TODAY()-Table43[[#This Row],[Efektif
Pembuatan]]&gt;60,"Lama","Baru")</f>
        <v>Lama</v>
      </c>
      <c r="BG359" s="7" t="str">
        <f ca="1">IF(TODAY()-Table43[[#This Row],[Efektif Naik Harga]]&lt;30,"Naik","Sama")</f>
        <v>Sama</v>
      </c>
      <c r="BH359" s="7"/>
      <c r="BI359" s="7" t="str">
        <f>IF(Table43[[#This Row],[Kode BARANG Win2]]&lt;&gt;"","IDR","")</f>
        <v>IDR</v>
      </c>
      <c r="BJ359" s="7" t="str">
        <f>CONCATENATE(Table43[[#This Row],[kode  1 Digit
(Nomor)]],Table43[[#This Row],[kode  4 Digit                (Nomor)]])</f>
        <v>0000</v>
      </c>
      <c r="BK359" s="7">
        <f>Table43[[#This Row],[Nama            Gramasi atau Jumlah Pack per CTN]]</f>
        <v>0</v>
      </c>
      <c r="BL359" s="7"/>
      <c r="BM359" s="7"/>
      <c r="BN359" s="4" t="str">
        <f>IF(Table43[[#This Row],[SATUAN Fix Win]]&lt;&gt;"","KRT")</f>
        <v>KRT</v>
      </c>
      <c r="BO359" s="4" t="str">
        <f>IF(Table43[[#This Row],[SATUAN Fix Win]]&lt;&gt;"","GD01")</f>
        <v>GD01</v>
      </c>
      <c r="BP359" s="4">
        <f>IF(Table43[[#This Row],[SATUAN Fix Win]]&lt;&gt;"",11611)</f>
        <v>11611</v>
      </c>
      <c r="BQ359" s="4">
        <f>IF(Table43[[#This Row],[SATUAN Fix Win]]&lt;&gt;"",11612)</f>
        <v>11612</v>
      </c>
      <c r="BS359" s="4">
        <f>IF(Table43[[#This Row],[SATUAN Fix Win]]&lt;&gt;"",1)</f>
        <v>1</v>
      </c>
      <c r="BU359" s="4">
        <f>Table43[[#This Row],[ISI/CTN]]</f>
        <v>72</v>
      </c>
    </row>
    <row r="360" spans="1:75">
      <c r="A360" s="4" t="str">
        <f>CONCATENATE(Table43[[#This Row],[Kode BARANG Win2]],Table43[[#This Row],[No. Urut
Item Sama]])</f>
        <v>G1226001000010</v>
      </c>
      <c r="B360" s="7"/>
      <c r="C360" s="31">
        <v>30369060020014</v>
      </c>
      <c r="D360" s="51">
        <v>40057762</v>
      </c>
      <c r="E360" s="27" t="s">
        <v>2041</v>
      </c>
      <c r="F360" s="51">
        <v>30360080000000</v>
      </c>
      <c r="G360" s="51">
        <v>0</v>
      </c>
      <c r="H360" s="27" t="s">
        <v>1333</v>
      </c>
      <c r="I360" s="27">
        <v>48</v>
      </c>
      <c r="J360" s="51" t="s">
        <v>1728</v>
      </c>
      <c r="K360" s="27" t="str">
        <f>Table43[[#This Row],[NamaJenisKemasan]]</f>
        <v>PCS</v>
      </c>
      <c r="L360" s="4" t="str">
        <f>TRIM(CONCATENATE(Table43[[#This Row],[Nama            KLP]]," ",Table43[[#This Row],[Nama            Sub KLP]]))</f>
        <v>POLYTEX SPON</v>
      </c>
      <c r="M360" s="4" t="str">
        <f>CONCATENATE(Table43[[#This Row],[kode  2 Digit                (hrf+No)]],Table43[[#This Row],[kode  2 Digit                (Nomor)]],Table43[[#This Row],[kode  1 Digit                (Nomor)]])</f>
        <v>G1226</v>
      </c>
      <c r="N360" s="4" t="str">
        <f>IF(AI360="",CONCATENATE(S360,U360,W360,Y360,AA360,AC360,AE360,AG360,Table43[[#This Row],[Tanda Kode Revisi]]),CONCATENATE(S360,U360,W360,Y360,AA360,AC360,AE360,AI360))</f>
        <v>G1226001000010</v>
      </c>
      <c r="O360" s="11">
        <f t="shared" si="8"/>
        <v>14</v>
      </c>
      <c r="P360" s="14" t="str">
        <f>IF(AH360&lt;&gt;"",TRIM(UPPER(CONCATENATE(R360," ",T360," ",V360," ",X360," ",Z360," ",AB360," ","X"," ",Table43[[#This Row],[ISI/CTN]]," ",AH360," ",AD360," ",AF360," ",AJ360))),TRIM(UPPER(CONCATENATE(R360," ",T360," ",V360," ",X360," ",Z360," ",AB360," ","X"," ",Table43[[#This Row],[ISI/CTN]]," ",AD360," ",AF360," ",AJ360))))</f>
        <v>POLYTEX SPON REGULAR JUMBO X 48 PCS</v>
      </c>
      <c r="Q360" s="11">
        <f t="shared" si="9"/>
        <v>35</v>
      </c>
      <c r="S360" s="7" t="s">
        <v>34</v>
      </c>
      <c r="T360" s="4" t="s">
        <v>2402</v>
      </c>
      <c r="U360" s="47" t="s">
        <v>2568</v>
      </c>
      <c r="V360" s="48" t="s">
        <v>2218</v>
      </c>
      <c r="W360" s="7">
        <v>6</v>
      </c>
      <c r="X360" s="48"/>
      <c r="Y360" s="47" t="s">
        <v>1116</v>
      </c>
      <c r="Z360" s="4" t="s">
        <v>2412</v>
      </c>
      <c r="AA360" s="49" t="s">
        <v>1115</v>
      </c>
      <c r="AC360" s="49" t="s">
        <v>2460</v>
      </c>
      <c r="AD360" s="4" t="s">
        <v>185</v>
      </c>
      <c r="AE360" s="7">
        <v>1</v>
      </c>
      <c r="AG360" s="7">
        <v>0</v>
      </c>
      <c r="AK360" s="70">
        <f>Table43[[#This Row],[Column4]]</f>
        <v>30360080000000</v>
      </c>
      <c r="AN360" s="7">
        <f>Table43[[#This Row],[ISI/CTN]]</f>
        <v>48</v>
      </c>
      <c r="AO360" s="38">
        <f>Table43[[#This Row],[Harga Jual Pcs GT
(-PPN)]]-(Table43[[#This Row],[Harga Jual Pcs GT
(-PPN)]]*6.5%)</f>
        <v>6019.53</v>
      </c>
      <c r="AP360" s="38">
        <f>Table43[[#This Row],[Harga Beli Pcs
(-PPN)]]*Table43[[#This Row],[ISI/CTN]]</f>
        <v>288937.44</v>
      </c>
      <c r="AQ360" s="38">
        <f>Table43[[#This Row],[Harga Beli Pcs
(-PPN)]]*1.11</f>
        <v>6681.6783000000005</v>
      </c>
      <c r="AR360" s="38">
        <f>Table43[[#This Row],[Harga Beli Krt
(- PPN)]]*1.11</f>
        <v>320720.55840000004</v>
      </c>
      <c r="AS360" s="38">
        <v>6438</v>
      </c>
      <c r="AT360" s="38">
        <f>Table43[[#This Row],[Harga Jual Pcs GT
(-PPN)]]*Table43[[#This Row],[ISI/CTN]]</f>
        <v>309024</v>
      </c>
      <c r="AU360" s="38">
        <f>Table43[[#This Row],[Harga Jual Pcs GT
(-PPN)]]*1.11</f>
        <v>7146.18</v>
      </c>
      <c r="AV360" s="38">
        <f>Table43[[#This Row],[Harga Jual Krt GT
(- PPN)]]*1.11</f>
        <v>343016.64</v>
      </c>
      <c r="AW360" s="38">
        <f>IFERROR(VLOOKUP(Table43[[#This Row],[Kode Pcpl]],'[1]FEB 2026'!$A$3:$X$312,24,0),0)</f>
        <v>0</v>
      </c>
      <c r="AX360" s="38">
        <f>Table43[[#This Row],[Harga Jual Pcs MT
(-PPN)]]*Table43[[#This Row],[ISI/CTN]]</f>
        <v>0</v>
      </c>
      <c r="AY360" s="38">
        <f>Table43[[#This Row],[Harga Jual Pcs MT
(-PPN)]]*1.11</f>
        <v>0</v>
      </c>
      <c r="AZ360" s="38">
        <f>Table43[[#This Row],[Harga Jual Pcs MT
(+PPN)]]*Table43[[#This Row],[ISI/CTN]]</f>
        <v>0</v>
      </c>
      <c r="BA360" s="46">
        <f>(Table43[[#This Row],[Harga Jual Pcs GT
(-PPN)]]-Table43[[#This Row],[Harga Beli Pcs
(-PPN)]])/Table43[[#This Row],[Harga Jual Pcs GT
(-PPN)]]</f>
        <v>6.5000000000000044E-2</v>
      </c>
      <c r="BB360" s="53">
        <f>Table43[[#This Row],[Harga Jual Pcs MT
(-PPN)]]-Table43[[#This Row],[Harga Beli Pcs
(-PPN)]]</f>
        <v>-6019.53</v>
      </c>
      <c r="BC360" s="54" t="e">
        <f>Table43[[#This Row],[Column1]]/Table43[[#This Row],[Harga Jual Pcs MT
(-PPN)]]</f>
        <v>#DIV/0!</v>
      </c>
      <c r="BD360" s="52"/>
      <c r="BE360" s="7"/>
      <c r="BF360" s="7" t="str">
        <f ca="1">IF(TODAY()-Table43[[#This Row],[Efektif
Pembuatan]]&gt;60,"Lama","Baru")</f>
        <v>Lama</v>
      </c>
      <c r="BG360" s="7" t="str">
        <f ca="1">IF(TODAY()-Table43[[#This Row],[Efektif Naik Harga]]&lt;30,"Naik","Sama")</f>
        <v>Sama</v>
      </c>
      <c r="BH360" s="7"/>
      <c r="BI360" s="7" t="str">
        <f>IF(Table43[[#This Row],[Kode BARANG Win2]]&lt;&gt;"","IDR","")</f>
        <v>IDR</v>
      </c>
      <c r="BJ360" s="7" t="str">
        <f>CONCATENATE(Table43[[#This Row],[kode  1 Digit
(Nomor)]],Table43[[#This Row],[kode  4 Digit                (Nomor)]])</f>
        <v>0000</v>
      </c>
      <c r="BK360" s="7">
        <f>Table43[[#This Row],[Nama            Gramasi atau Jumlah Pack per CTN]]</f>
        <v>0</v>
      </c>
      <c r="BL360" s="7"/>
      <c r="BM360" s="7"/>
      <c r="BN360" s="4" t="str">
        <f>IF(Table43[[#This Row],[SATUAN Fix Win]]&lt;&gt;"","KRT")</f>
        <v>KRT</v>
      </c>
      <c r="BO360" s="4" t="str">
        <f>IF(Table43[[#This Row],[SATUAN Fix Win]]&lt;&gt;"","GD01")</f>
        <v>GD01</v>
      </c>
      <c r="BP360" s="4">
        <f>IF(Table43[[#This Row],[SATUAN Fix Win]]&lt;&gt;"",11611)</f>
        <v>11611</v>
      </c>
      <c r="BQ360" s="4">
        <f>IF(Table43[[#This Row],[SATUAN Fix Win]]&lt;&gt;"",11612)</f>
        <v>11612</v>
      </c>
      <c r="BS360" s="4">
        <f>IF(Table43[[#This Row],[SATUAN Fix Win]]&lt;&gt;"",1)</f>
        <v>1</v>
      </c>
      <c r="BU360" s="4">
        <f>Table43[[#This Row],[ISI/CTN]]</f>
        <v>48</v>
      </c>
    </row>
    <row r="361" spans="1:75">
      <c r="A361" s="4" t="str">
        <f>CONCATENATE(Table43[[#This Row],[Kode BARANG Win2]],Table43[[#This Row],[No. Urut
Item Sama]])</f>
        <v>G1226002000010</v>
      </c>
      <c r="B361" s="7"/>
      <c r="C361" s="31">
        <v>30370001001000</v>
      </c>
      <c r="D361" s="51">
        <v>40031390</v>
      </c>
      <c r="E361" s="27" t="s">
        <v>2057</v>
      </c>
      <c r="F361" s="51">
        <v>30367000050000</v>
      </c>
      <c r="G361" s="51">
        <v>0</v>
      </c>
      <c r="H361" s="27" t="s">
        <v>1351</v>
      </c>
      <c r="I361" s="27">
        <v>144</v>
      </c>
      <c r="J361" s="51" t="s">
        <v>1744</v>
      </c>
      <c r="K361" s="27" t="str">
        <f>Table43[[#This Row],[NamaJenisKemasan]]</f>
        <v>PCS</v>
      </c>
      <c r="L361" s="4" t="str">
        <f>TRIM(CONCATENATE(Table43[[#This Row],[Nama            KLP]]," ",Table43[[#This Row],[Nama            Sub KLP]]))</f>
        <v>POLYTEX SPON</v>
      </c>
      <c r="M361" s="4" t="str">
        <f>CONCATENATE(Table43[[#This Row],[kode  2 Digit                (hrf+No)]],Table43[[#This Row],[kode  2 Digit                (Nomor)]],Table43[[#This Row],[kode  1 Digit                (Nomor)]])</f>
        <v>G1226</v>
      </c>
      <c r="N361" s="4" t="str">
        <f>IF(AI361="",CONCATENATE(S361,U361,W361,Y361,AA361,AC361,AE361,AG361,Table43[[#This Row],[Tanda Kode Revisi]]),CONCATENATE(S361,U361,W361,Y361,AA361,AC361,AE361,AI361))</f>
        <v>G1226002000010</v>
      </c>
      <c r="O361" s="11">
        <f t="shared" si="8"/>
        <v>14</v>
      </c>
      <c r="P361" s="14" t="str">
        <f>IF(AH361&lt;&gt;"",TRIM(UPPER(CONCATENATE(R361," ",T361," ",V361," ",X361," ",Z361," ",AB361," ","X"," ",Table43[[#This Row],[ISI/CTN]]," ",AH361," ",AD361," ",AF361," ",AJ361))),TRIM(UPPER(CONCATENATE(R361," ",T361," ",V361," ",X361," ",Z361," ",AB361," ","X"," ",Table43[[#This Row],[ISI/CTN]]," ",AD361," ",AF361," ",AJ361))))</f>
        <v>POLYTEX SPON SERBAGUNA X 144 PCS</v>
      </c>
      <c r="Q361" s="11">
        <f t="shared" si="9"/>
        <v>32</v>
      </c>
      <c r="S361" s="7" t="s">
        <v>34</v>
      </c>
      <c r="T361" s="4" t="s">
        <v>2402</v>
      </c>
      <c r="U361" s="47" t="s">
        <v>2568</v>
      </c>
      <c r="V361" s="48" t="s">
        <v>2218</v>
      </c>
      <c r="W361" s="7">
        <v>6</v>
      </c>
      <c r="X361" s="48"/>
      <c r="Y361" s="47" t="s">
        <v>1116</v>
      </c>
      <c r="Z361" s="4" t="s">
        <v>2311</v>
      </c>
      <c r="AA361" s="49" t="s">
        <v>2459</v>
      </c>
      <c r="AC361" s="49" t="s">
        <v>2460</v>
      </c>
      <c r="AD361" s="4" t="s">
        <v>185</v>
      </c>
      <c r="AE361" s="7">
        <v>1</v>
      </c>
      <c r="AG361" s="7">
        <v>0</v>
      </c>
      <c r="AK361" s="70">
        <f>Table43[[#This Row],[Column4]]</f>
        <v>30367000050000</v>
      </c>
      <c r="AN361" s="7">
        <f>Table43[[#This Row],[ISI/CTN]]</f>
        <v>144</v>
      </c>
      <c r="AO361" s="61">
        <f>Table43[[#This Row],[Harga Jual Pcs GT
(-PPN)]]-(Table43[[#This Row],[Harga Jual Pcs GT
(-PPN)]]*6.5%)</f>
        <v>2057</v>
      </c>
      <c r="AP361" s="61">
        <f>Table43[[#This Row],[Harga Beli Pcs
(-PPN)]]*Table43[[#This Row],[ISI/CTN]]</f>
        <v>296208</v>
      </c>
      <c r="AQ361" s="61">
        <f>Table43[[#This Row],[Harga Beli Pcs
(-PPN)]]*1.11</f>
        <v>2283.27</v>
      </c>
      <c r="AR361" s="61">
        <f>Table43[[#This Row],[Harga Beli Krt
(- PPN)]]*1.11</f>
        <v>328790.88</v>
      </c>
      <c r="AS361" s="61">
        <v>2200</v>
      </c>
      <c r="AT361" s="61">
        <f>Table43[[#This Row],[Harga Jual Pcs GT
(-PPN)]]*Table43[[#This Row],[ISI/CTN]]</f>
        <v>316800</v>
      </c>
      <c r="AU361" s="61">
        <f>Table43[[#This Row],[Harga Jual Pcs GT
(-PPN)]]*1.11</f>
        <v>2442</v>
      </c>
      <c r="AV361" s="61">
        <f>Table43[[#This Row],[Harga Jual Krt GT
(- PPN)]]*1.11</f>
        <v>351648.00000000006</v>
      </c>
      <c r="AW361" s="61">
        <f>IFERROR(VLOOKUP(Table43[[#This Row],[Kode Pcpl]],'[1]FEB 2026'!$A$3:$X$312,24,0),0)</f>
        <v>0</v>
      </c>
      <c r="AX361" s="61">
        <f>Table43[[#This Row],[Harga Jual Pcs MT
(-PPN)]]*Table43[[#This Row],[ISI/CTN]]</f>
        <v>0</v>
      </c>
      <c r="AY361" s="61">
        <f>Table43[[#This Row],[Harga Jual Pcs MT
(-PPN)]]*1.11</f>
        <v>0</v>
      </c>
      <c r="AZ361" s="61">
        <f>Table43[[#This Row],[Harga Jual Pcs MT
(+PPN)]]*Table43[[#This Row],[ISI/CTN]]</f>
        <v>0</v>
      </c>
      <c r="BA361" s="62">
        <f>(Table43[[#This Row],[Harga Jual Pcs GT
(-PPN)]]-Table43[[#This Row],[Harga Beli Pcs
(-PPN)]])/Table43[[#This Row],[Harga Jual Pcs GT
(-PPN)]]</f>
        <v>6.5000000000000002E-2</v>
      </c>
      <c r="BB361" s="63">
        <f>Table43[[#This Row],[Harga Jual Pcs MT
(-PPN)]]-Table43[[#This Row],[Harga Beli Pcs
(-PPN)]]</f>
        <v>-2057</v>
      </c>
      <c r="BC361" s="64" t="e">
        <f>Table43[[#This Row],[Column1]]/Table43[[#This Row],[Harga Jual Pcs MT
(-PPN)]]</f>
        <v>#DIV/0!</v>
      </c>
      <c r="BD361" s="52"/>
      <c r="BE361" s="7"/>
      <c r="BF361" s="7" t="str">
        <f ca="1">IF(TODAY()-Table43[[#This Row],[Efektif
Pembuatan]]&gt;60,"Lama","Baru")</f>
        <v>Lama</v>
      </c>
      <c r="BG361" s="7" t="str">
        <f ca="1">IF(TODAY()-Table43[[#This Row],[Efektif Naik Harga]]&lt;30,"Naik","Sama")</f>
        <v>Sama</v>
      </c>
      <c r="BH361" s="7"/>
      <c r="BI361" s="7" t="str">
        <f>IF(Table43[[#This Row],[Kode BARANG Win2]]&lt;&gt;"","IDR","")</f>
        <v>IDR</v>
      </c>
      <c r="BJ361" s="7" t="str">
        <f>CONCATENATE(Table43[[#This Row],[kode  1 Digit
(Nomor)]],Table43[[#This Row],[kode  4 Digit                (Nomor)]])</f>
        <v>0000</v>
      </c>
      <c r="BK361" s="7">
        <f>Table43[[#This Row],[Nama            Gramasi atau Jumlah Pack per CTN]]</f>
        <v>0</v>
      </c>
      <c r="BL361" s="7"/>
      <c r="BM361" s="7"/>
      <c r="BN361" s="4" t="str">
        <f>IF(Table43[[#This Row],[SATUAN Fix Win]]&lt;&gt;"","KRT")</f>
        <v>KRT</v>
      </c>
      <c r="BO361" s="4" t="str">
        <f>IF(Table43[[#This Row],[SATUAN Fix Win]]&lt;&gt;"","GD01")</f>
        <v>GD01</v>
      </c>
      <c r="BP361" s="4">
        <f>IF(Table43[[#This Row],[SATUAN Fix Win]]&lt;&gt;"",11611)</f>
        <v>11611</v>
      </c>
      <c r="BQ361" s="4">
        <f>IF(Table43[[#This Row],[SATUAN Fix Win]]&lt;&gt;"",11612)</f>
        <v>11612</v>
      </c>
      <c r="BS361" s="4">
        <f>IF(Table43[[#This Row],[SATUAN Fix Win]]&lt;&gt;"",1)</f>
        <v>1</v>
      </c>
      <c r="BU361" s="4">
        <f>Table43[[#This Row],[ISI/CTN]]</f>
        <v>144</v>
      </c>
    </row>
    <row r="362" spans="1:75">
      <c r="A362" s="4" t="str">
        <f>CONCATENATE(Table43[[#This Row],[Kode BARANG Win2]],Table43[[#This Row],[No. Urut
Item Sama]])</f>
        <v>G1226101000010</v>
      </c>
      <c r="B362" s="7"/>
      <c r="C362" s="31">
        <v>30369030040010</v>
      </c>
      <c r="D362" s="59">
        <v>40031388</v>
      </c>
      <c r="E362" s="60" t="s">
        <v>2047</v>
      </c>
      <c r="F362" s="59">
        <v>30363010200000</v>
      </c>
      <c r="G362" s="59">
        <v>0</v>
      </c>
      <c r="H362" s="60" t="s">
        <v>1339</v>
      </c>
      <c r="I362" s="60">
        <v>72</v>
      </c>
      <c r="J362" s="59" t="s">
        <v>1734</v>
      </c>
      <c r="K362" s="60" t="str">
        <f>Table43[[#This Row],[NamaJenisKemasan]]</f>
        <v>PCS</v>
      </c>
      <c r="L362" s="4" t="str">
        <f>TRIM(CONCATENATE(Table43[[#This Row],[Nama            KLP]]," ",Table43[[#This Row],[Nama            Sub KLP]]))</f>
        <v>POLYTEX SPON</v>
      </c>
      <c r="M362" s="4" t="str">
        <f>CONCATENATE(Table43[[#This Row],[kode  2 Digit                (hrf+No)]],Table43[[#This Row],[kode  2 Digit                (Nomor)]],Table43[[#This Row],[kode  1 Digit                (Nomor)]])</f>
        <v>G1226</v>
      </c>
      <c r="N362" s="4" t="str">
        <f>IF(AI362="",CONCATENATE(S362,U362,W362,Y362,AA362,AC362,AE362,AG362,Table43[[#This Row],[Tanda Kode Revisi]]),CONCATENATE(S362,U362,W362,Y362,AA362,AC362,AE362,AI362))</f>
        <v>G1226101000010</v>
      </c>
      <c r="O362" s="11">
        <f t="shared" si="8"/>
        <v>14</v>
      </c>
      <c r="P362" s="14" t="str">
        <f>IF(AH362&lt;&gt;"",TRIM(UPPER(CONCATENATE(R362," ",T362," ",V362," ",X362," ",Z362," ",AB362," ","X"," ",Table43[[#This Row],[ISI/CTN]]," ",AH362," ",AD362," ",AF362," ",AJ362))),TRIM(UPPER(CONCATENATE(R362," ",T362," ",V362," ",X362," ",Z362," ",AB362," ","X"," ",Table43[[#This Row],[ISI/CTN]]," ",AD362," ",AF362," ",AJ362))))</f>
        <v>POLYTEX SPON JARING ANTI GORES X 72 PCS</v>
      </c>
      <c r="Q362" s="11">
        <f t="shared" si="9"/>
        <v>39</v>
      </c>
      <c r="S362" s="7" t="s">
        <v>34</v>
      </c>
      <c r="T362" s="4" t="s">
        <v>2402</v>
      </c>
      <c r="U362" s="47" t="s">
        <v>2568</v>
      </c>
      <c r="V362" s="48" t="s">
        <v>2218</v>
      </c>
      <c r="W362" s="7">
        <v>6</v>
      </c>
      <c r="X362" s="48" t="s">
        <v>2408</v>
      </c>
      <c r="Y362" s="47" t="s">
        <v>2539</v>
      </c>
      <c r="Z362" s="4" t="s">
        <v>2385</v>
      </c>
      <c r="AA362" s="49" t="s">
        <v>1115</v>
      </c>
      <c r="AC362" s="49" t="s">
        <v>2460</v>
      </c>
      <c r="AD362" s="4" t="s">
        <v>185</v>
      </c>
      <c r="AE362" s="7">
        <v>1</v>
      </c>
      <c r="AG362" s="7">
        <v>0</v>
      </c>
      <c r="AK362" s="70">
        <f>Table43[[#This Row],[Column4]]</f>
        <v>30363010200000</v>
      </c>
      <c r="AN362" s="7">
        <f>Table43[[#This Row],[ISI/CTN]]</f>
        <v>72</v>
      </c>
      <c r="AO362" s="38">
        <f>Table43[[#This Row],[Harga Jual Pcs GT
(-PPN)]]-(Table43[[#This Row],[Harga Jual Pcs GT
(-PPN)]]*6.5%)</f>
        <v>6872.25</v>
      </c>
      <c r="AP362" s="38">
        <f>Table43[[#This Row],[Harga Beli Pcs
(-PPN)]]*Table43[[#This Row],[ISI/CTN]]</f>
        <v>494802</v>
      </c>
      <c r="AQ362" s="38">
        <f>Table43[[#This Row],[Harga Beli Pcs
(-PPN)]]*1.11</f>
        <v>7628.1975000000002</v>
      </c>
      <c r="AR362" s="38">
        <f>Table43[[#This Row],[Harga Beli Krt
(- PPN)]]*1.11</f>
        <v>549230.22000000009</v>
      </c>
      <c r="AS362" s="38">
        <v>7350</v>
      </c>
      <c r="AT362" s="38">
        <f>Table43[[#This Row],[Harga Jual Pcs GT
(-PPN)]]*Table43[[#This Row],[ISI/CTN]]</f>
        <v>529200</v>
      </c>
      <c r="AU362" s="38">
        <f>Table43[[#This Row],[Harga Jual Pcs GT
(-PPN)]]*1.11</f>
        <v>8158.5000000000009</v>
      </c>
      <c r="AV362" s="38">
        <f>Table43[[#This Row],[Harga Jual Krt GT
(- PPN)]]*1.11</f>
        <v>587412</v>
      </c>
      <c r="AW362" s="38">
        <f>IFERROR(VLOOKUP(Table43[[#This Row],[Kode Pcpl]],'[1]FEB 2026'!$A$3:$X$312,24,0),0)</f>
        <v>0</v>
      </c>
      <c r="AX362" s="38">
        <f>Table43[[#This Row],[Harga Jual Pcs MT
(-PPN)]]*Table43[[#This Row],[ISI/CTN]]</f>
        <v>0</v>
      </c>
      <c r="AY362" s="38">
        <f>Table43[[#This Row],[Harga Jual Pcs MT
(-PPN)]]*1.11</f>
        <v>0</v>
      </c>
      <c r="AZ362" s="38">
        <f>Table43[[#This Row],[Harga Jual Pcs MT
(+PPN)]]*Table43[[#This Row],[ISI/CTN]]</f>
        <v>0</v>
      </c>
      <c r="BA362" s="46">
        <f>(Table43[[#This Row],[Harga Jual Pcs GT
(-PPN)]]-Table43[[#This Row],[Harga Beli Pcs
(-PPN)]])/Table43[[#This Row],[Harga Jual Pcs GT
(-PPN)]]</f>
        <v>6.5000000000000002E-2</v>
      </c>
      <c r="BB362" s="53">
        <f>Table43[[#This Row],[Harga Jual Pcs MT
(-PPN)]]-Table43[[#This Row],[Harga Beli Pcs
(-PPN)]]</f>
        <v>-6872.25</v>
      </c>
      <c r="BC362" s="54" t="e">
        <f>Table43[[#This Row],[Column1]]/Table43[[#This Row],[Harga Jual Pcs MT
(-PPN)]]</f>
        <v>#DIV/0!</v>
      </c>
      <c r="BD362" s="52"/>
      <c r="BE362" s="7"/>
      <c r="BF362" s="7" t="str">
        <f ca="1">IF(TODAY()-Table43[[#This Row],[Efektif
Pembuatan]]&gt;60,"Lama","Baru")</f>
        <v>Lama</v>
      </c>
      <c r="BG362" s="7" t="str">
        <f ca="1">IF(TODAY()-Table43[[#This Row],[Efektif Naik Harga]]&lt;30,"Naik","Sama")</f>
        <v>Sama</v>
      </c>
      <c r="BH362" s="7"/>
      <c r="BI362" s="7" t="str">
        <f>IF(Table43[[#This Row],[Kode BARANG Win2]]&lt;&gt;"","IDR","")</f>
        <v>IDR</v>
      </c>
      <c r="BJ362" s="7" t="str">
        <f>CONCATENATE(Table43[[#This Row],[kode  1 Digit
(Nomor)]],Table43[[#This Row],[kode  4 Digit                (Nomor)]])</f>
        <v>0000</v>
      </c>
      <c r="BK362" s="7">
        <f>Table43[[#This Row],[Nama            Gramasi atau Jumlah Pack per CTN]]</f>
        <v>0</v>
      </c>
      <c r="BL362" s="7"/>
      <c r="BM362" s="7"/>
      <c r="BN362" s="4" t="str">
        <f>IF(Table43[[#This Row],[SATUAN Fix Win]]&lt;&gt;"","KRT")</f>
        <v>KRT</v>
      </c>
      <c r="BO362" s="4" t="str">
        <f>IF(Table43[[#This Row],[SATUAN Fix Win]]&lt;&gt;"","GD01")</f>
        <v>GD01</v>
      </c>
      <c r="BP362" s="4">
        <f>IF(Table43[[#This Row],[SATUAN Fix Win]]&lt;&gt;"",11611)</f>
        <v>11611</v>
      </c>
      <c r="BQ362" s="4">
        <f>IF(Table43[[#This Row],[SATUAN Fix Win]]&lt;&gt;"",11612)</f>
        <v>11612</v>
      </c>
      <c r="BS362" s="4">
        <f>IF(Table43[[#This Row],[SATUAN Fix Win]]&lt;&gt;"",1)</f>
        <v>1</v>
      </c>
      <c r="BU362" s="4">
        <f>Table43[[#This Row],[ISI/CTN]]</f>
        <v>72</v>
      </c>
    </row>
    <row r="363" spans="1:75">
      <c r="A363" s="71" t="str">
        <f>CONCATENATE(Table43[[#This Row],[Kode BARANG Win2]],Table43[[#This Row],[No. Urut
Item Sama]])</f>
        <v>G1226101000010</v>
      </c>
      <c r="B363" s="72"/>
      <c r="C363" s="73"/>
      <c r="D363" s="108">
        <v>40060135</v>
      </c>
      <c r="E363" s="93" t="s">
        <v>3397</v>
      </c>
      <c r="F363" s="108"/>
      <c r="G363" s="108">
        <v>0</v>
      </c>
      <c r="H363" s="93" t="s">
        <v>3397</v>
      </c>
      <c r="I363" s="93">
        <v>72</v>
      </c>
      <c r="J363" s="108"/>
      <c r="K363" s="93" t="str">
        <f>Table43[[#This Row],[NamaJenisKemasan]]</f>
        <v>PCS</v>
      </c>
      <c r="L363" s="71" t="str">
        <f>TRIM(CONCATENATE(Table43[[#This Row],[Nama            KLP]]," ",Table43[[#This Row],[Nama            Sub KLP]]))</f>
        <v>POLYTEX SPON</v>
      </c>
      <c r="M363" s="71" t="str">
        <f>CONCATENATE(Table43[[#This Row],[kode  2 Digit                (hrf+No)]],Table43[[#This Row],[kode  2 Digit                (Nomor)]],Table43[[#This Row],[kode  1 Digit                (Nomor)]])</f>
        <v>G1226</v>
      </c>
      <c r="N363" s="71" t="str">
        <f>IF(AI363="",CONCATENATE(S363,U363,W363,Y363,AA363,AC363,AE363,AG363,Table43[[#This Row],[Tanda Kode Revisi]]),CONCATENATE(S363,U363,W363,Y363,AA363,AC363,AE363,AI363))</f>
        <v>G1226101000010</v>
      </c>
      <c r="O363" s="76">
        <f t="shared" si="8"/>
        <v>14</v>
      </c>
      <c r="P363" s="77" t="str">
        <f>IF(AH363&lt;&gt;"",TRIM(UPPER(CONCATENATE(R363," ",T363," ",V363," ",X363," ",Z363," ",AB363," ","X"," ",Table43[[#This Row],[ISI/CTN]]," ",AH363," ",AD363," ",AF363," ",AJ363))),TRIM(UPPER(CONCATENATE(R363," ",T363," ",V363," ",X363," ",Z363," ",AB363," ","X"," ",Table43[[#This Row],[ISI/CTN]]," ",AD363," ",AF363," ",AJ363))))</f>
        <v>POLYTEX SPON JARING ANTI GORES X 72 PCS</v>
      </c>
      <c r="Q363" s="76">
        <f t="shared" si="9"/>
        <v>39</v>
      </c>
      <c r="R363" s="71"/>
      <c r="S363" s="7" t="s">
        <v>34</v>
      </c>
      <c r="T363" s="4" t="s">
        <v>2402</v>
      </c>
      <c r="U363" s="47" t="s">
        <v>2568</v>
      </c>
      <c r="V363" s="48" t="s">
        <v>2218</v>
      </c>
      <c r="W363" s="7">
        <v>6</v>
      </c>
      <c r="X363" s="48" t="s">
        <v>2408</v>
      </c>
      <c r="Y363" s="47" t="s">
        <v>2539</v>
      </c>
      <c r="Z363" s="4" t="s">
        <v>2385</v>
      </c>
      <c r="AA363" s="49" t="s">
        <v>1115</v>
      </c>
      <c r="AC363" s="49" t="s">
        <v>2460</v>
      </c>
      <c r="AD363" s="4" t="s">
        <v>185</v>
      </c>
      <c r="AE363" s="7">
        <v>1</v>
      </c>
      <c r="AG363" s="7">
        <v>0</v>
      </c>
      <c r="AH363" s="72"/>
      <c r="AI363" s="72"/>
      <c r="AJ363" s="72"/>
      <c r="AK363" s="81">
        <f>Table43[[#This Row],[Column4]]</f>
        <v>0</v>
      </c>
      <c r="AL363" s="72"/>
      <c r="AM363" s="72"/>
      <c r="AN363" s="72">
        <f>Table43[[#This Row],[ISI/CTN]]</f>
        <v>72</v>
      </c>
      <c r="AO363" s="88">
        <f>Table43[[#This Row],[Harga Jual Pcs GT
(-PPN)]]-(Table43[[#This Row],[Harga Jual Pcs GT
(-PPN)]]*6.5%)</f>
        <v>6872.25</v>
      </c>
      <c r="AP363" s="88">
        <f>Table43[[#This Row],[Harga Beli Pcs
(-PPN)]]*Table43[[#This Row],[ISI/CTN]]</f>
        <v>494802</v>
      </c>
      <c r="AQ363" s="88">
        <f>Table43[[#This Row],[Harga Beli Pcs
(-PPN)]]*1.11</f>
        <v>7628.1975000000002</v>
      </c>
      <c r="AR363" s="88">
        <f>Table43[[#This Row],[Harga Beli Krt
(- PPN)]]*1.11</f>
        <v>549230.22000000009</v>
      </c>
      <c r="AS363" s="88">
        <v>7350</v>
      </c>
      <c r="AT363" s="88">
        <f>Table43[[#This Row],[Harga Jual Pcs GT
(-PPN)]]*Table43[[#This Row],[ISI/CTN]]</f>
        <v>529200</v>
      </c>
      <c r="AU363" s="88">
        <f>Table43[[#This Row],[Harga Jual Pcs GT
(-PPN)]]*1.11</f>
        <v>8158.5000000000009</v>
      </c>
      <c r="AV363" s="88">
        <f>Table43[[#This Row],[Harga Jual Krt GT
(- PPN)]]*1.11</f>
        <v>587412</v>
      </c>
      <c r="AW363" s="88">
        <f>IFERROR(VLOOKUP(Table43[[#This Row],[Kode Pcpl]],'[1]FEB 2026'!$A$3:$X$312,24,0),0)</f>
        <v>0</v>
      </c>
      <c r="AX363" s="88">
        <f>Table43[[#This Row],[Harga Jual Pcs MT
(-PPN)]]*Table43[[#This Row],[ISI/CTN]]</f>
        <v>0</v>
      </c>
      <c r="AY363" s="88">
        <f>Table43[[#This Row],[Harga Jual Pcs MT
(-PPN)]]*1.11</f>
        <v>0</v>
      </c>
      <c r="AZ363" s="88">
        <f>Table43[[#This Row],[Harga Jual Pcs MT
(+PPN)]]*Table43[[#This Row],[ISI/CTN]]</f>
        <v>0</v>
      </c>
      <c r="BA363" s="89">
        <f>(Table43[[#This Row],[Harga Jual Pcs GT
(-PPN)]]-Table43[[#This Row],[Harga Beli Pcs
(-PPN)]])/Table43[[#This Row],[Harga Jual Pcs GT
(-PPN)]]</f>
        <v>6.5000000000000002E-2</v>
      </c>
      <c r="BB363" s="90">
        <f>Table43[[#This Row],[Harga Jual Pcs MT
(-PPN)]]-Table43[[#This Row],[Harga Beli Pcs
(-PPN)]]</f>
        <v>-6872.25</v>
      </c>
      <c r="BC363" s="91" t="e">
        <f>Table43[[#This Row],[Column1]]/Table43[[#This Row],[Harga Jual Pcs MT
(-PPN)]]</f>
        <v>#DIV/0!</v>
      </c>
      <c r="BD363" s="86"/>
      <c r="BE363" s="72"/>
      <c r="BF363" s="72" t="str">
        <f ca="1">IF(TODAY()-Table43[[#This Row],[Efektif
Pembuatan]]&gt;60,"Lama","Baru")</f>
        <v>Lama</v>
      </c>
      <c r="BG363" s="72" t="str">
        <f ca="1">IF(TODAY()-Table43[[#This Row],[Efektif Naik Harga]]&lt;30,"Naik","Sama")</f>
        <v>Sama</v>
      </c>
      <c r="BH363" s="72"/>
      <c r="BI363" s="72" t="str">
        <f>IF(Table43[[#This Row],[Kode BARANG Win2]]&lt;&gt;"","IDR","")</f>
        <v>IDR</v>
      </c>
      <c r="BJ363" s="72" t="str">
        <f>CONCATENATE(Table43[[#This Row],[kode  1 Digit
(Nomor)]],Table43[[#This Row],[kode  4 Digit                (Nomor)]])</f>
        <v>0000</v>
      </c>
      <c r="BK363" s="72">
        <f>Table43[[#This Row],[Nama            Gramasi atau Jumlah Pack per CTN]]</f>
        <v>0</v>
      </c>
      <c r="BL363" s="72"/>
      <c r="BM363" s="72"/>
      <c r="BN363" s="71" t="str">
        <f>IF(Table43[[#This Row],[SATUAN Fix Win]]&lt;&gt;"","KRT")</f>
        <v>KRT</v>
      </c>
      <c r="BO363" s="71" t="str">
        <f>IF(Table43[[#This Row],[SATUAN Fix Win]]&lt;&gt;"","GD01")</f>
        <v>GD01</v>
      </c>
      <c r="BP363" s="71">
        <f>IF(Table43[[#This Row],[SATUAN Fix Win]]&lt;&gt;"",11611)</f>
        <v>11611</v>
      </c>
      <c r="BQ363" s="71">
        <f>IF(Table43[[#This Row],[SATUAN Fix Win]]&lt;&gt;"",11612)</f>
        <v>11612</v>
      </c>
      <c r="BR363" s="71"/>
      <c r="BS363" s="71">
        <f>IF(Table43[[#This Row],[SATUAN Fix Win]]&lt;&gt;"",1)</f>
        <v>1</v>
      </c>
      <c r="BT363" s="71"/>
      <c r="BU363" s="71">
        <f>Table43[[#This Row],[ISI/CTN]]</f>
        <v>72</v>
      </c>
    </row>
    <row r="364" spans="1:75">
      <c r="A364" s="4" t="str">
        <f>CONCATENATE(Table43[[#This Row],[Kode BARANG Win2]],Table43[[#This Row],[No. Urut
Item Sama]])</f>
        <v>G1226201000010</v>
      </c>
      <c r="B364" s="7"/>
      <c r="C364" s="31">
        <v>30369060020001</v>
      </c>
      <c r="D364" s="51">
        <v>40031384</v>
      </c>
      <c r="E364" s="27" t="s">
        <v>2056</v>
      </c>
      <c r="F364" s="51">
        <v>30366000050000</v>
      </c>
      <c r="G364" s="51">
        <v>0</v>
      </c>
      <c r="H364" s="27" t="s">
        <v>1350</v>
      </c>
      <c r="I364" s="27">
        <v>72</v>
      </c>
      <c r="J364" s="51" t="s">
        <v>1743</v>
      </c>
      <c r="K364" s="27" t="str">
        <f>Table43[[#This Row],[NamaJenisKemasan]]</f>
        <v>PCS</v>
      </c>
      <c r="L364" s="4" t="str">
        <f>TRIM(CONCATENATE(Table43[[#This Row],[Nama            KLP]]," ",Table43[[#This Row],[Nama            Sub KLP]]))</f>
        <v>POLYTEX SPON</v>
      </c>
      <c r="M364" s="4" t="str">
        <f>CONCATENATE(Table43[[#This Row],[kode  2 Digit                (hrf+No)]],Table43[[#This Row],[kode  2 Digit                (Nomor)]],Table43[[#This Row],[kode  1 Digit                (Nomor)]])</f>
        <v>G1226</v>
      </c>
      <c r="N364" s="4" t="str">
        <f>IF(AI364="",CONCATENATE(S364,U364,W364,Y364,AA364,AC364,AE364,AG364,Table43[[#This Row],[Tanda Kode Revisi]]),CONCATENATE(S364,U364,W364,Y364,AA364,AC364,AE364,AI364))</f>
        <v>G1226201000010</v>
      </c>
      <c r="O364" s="11">
        <f t="shared" si="8"/>
        <v>14</v>
      </c>
      <c r="P364" s="14" t="str">
        <f>IF(AH364&lt;&gt;"",TRIM(UPPER(CONCATENATE(R364," ",T364," ",V364," ",X364," ",Z364," ",AB364," ","X"," ",Table43[[#This Row],[ISI/CTN]]," ",AH364," ",AD364," ",AF364," ",AJ364))),TRIM(UPPER(CONCATENATE(R364," ",T364," ",V364," ",X364," ",Z364," ",AB364," ","X"," ",Table43[[#This Row],[ISI/CTN]]," ",AD364," ",AF364," ",AJ364))))</f>
        <v>POLYTEX SPON PENYERAP X 72 PCS</v>
      </c>
      <c r="Q364" s="11">
        <f t="shared" si="9"/>
        <v>30</v>
      </c>
      <c r="S364" s="7" t="s">
        <v>34</v>
      </c>
      <c r="T364" s="4" t="s">
        <v>2402</v>
      </c>
      <c r="U364" s="47" t="s">
        <v>2568</v>
      </c>
      <c r="V364" s="48" t="s">
        <v>2218</v>
      </c>
      <c r="W364" s="7">
        <v>6</v>
      </c>
      <c r="X364" s="48" t="s">
        <v>2570</v>
      </c>
      <c r="Y364" s="47" t="s">
        <v>2572</v>
      </c>
      <c r="AA364" s="49" t="s">
        <v>1115</v>
      </c>
      <c r="AC364" s="49" t="s">
        <v>2460</v>
      </c>
      <c r="AD364" s="4" t="s">
        <v>185</v>
      </c>
      <c r="AE364" s="7">
        <v>1</v>
      </c>
      <c r="AG364" s="7">
        <v>0</v>
      </c>
      <c r="AK364" s="70">
        <f>Table43[[#This Row],[Column4]]</f>
        <v>30366000050000</v>
      </c>
      <c r="AN364" s="7">
        <f>Table43[[#This Row],[ISI/CTN]]</f>
        <v>72</v>
      </c>
      <c r="AO364" s="61">
        <f>Table43[[#This Row],[Harga Jual Pcs GT
(-PPN)]]-(Table43[[#This Row],[Harga Jual Pcs GT
(-PPN)]]*6.5%)</f>
        <v>10978.77</v>
      </c>
      <c r="AP364" s="61">
        <f>Table43[[#This Row],[Harga Beli Pcs
(-PPN)]]*Table43[[#This Row],[ISI/CTN]]</f>
        <v>790471.44000000006</v>
      </c>
      <c r="AQ364" s="61">
        <f>Table43[[#This Row],[Harga Beli Pcs
(-PPN)]]*1.11</f>
        <v>12186.434700000002</v>
      </c>
      <c r="AR364" s="61">
        <f>Table43[[#This Row],[Harga Beli Krt
(- PPN)]]*1.11</f>
        <v>877423.29840000009</v>
      </c>
      <c r="AS364" s="61">
        <v>11742</v>
      </c>
      <c r="AT364" s="61">
        <f>Table43[[#This Row],[Harga Jual Pcs GT
(-PPN)]]*Table43[[#This Row],[ISI/CTN]]</f>
        <v>845424</v>
      </c>
      <c r="AU364" s="61">
        <f>Table43[[#This Row],[Harga Jual Pcs GT
(-PPN)]]*1.11</f>
        <v>13033.62</v>
      </c>
      <c r="AV364" s="61">
        <f>Table43[[#This Row],[Harga Jual Krt GT
(- PPN)]]*1.11</f>
        <v>938420.64000000013</v>
      </c>
      <c r="AW364" s="61">
        <f>IFERROR(VLOOKUP(Table43[[#This Row],[Kode Pcpl]],'[1]FEB 2026'!$A$3:$X$312,24,0),0)</f>
        <v>0</v>
      </c>
      <c r="AX364" s="61">
        <f>Table43[[#This Row],[Harga Jual Pcs MT
(-PPN)]]*Table43[[#This Row],[ISI/CTN]]</f>
        <v>0</v>
      </c>
      <c r="AY364" s="61">
        <f>Table43[[#This Row],[Harga Jual Pcs MT
(-PPN)]]*1.11</f>
        <v>0</v>
      </c>
      <c r="AZ364" s="61">
        <f>Table43[[#This Row],[Harga Jual Pcs MT
(+PPN)]]*Table43[[#This Row],[ISI/CTN]]</f>
        <v>0</v>
      </c>
      <c r="BA364" s="62">
        <f>(Table43[[#This Row],[Harga Jual Pcs GT
(-PPN)]]-Table43[[#This Row],[Harga Beli Pcs
(-PPN)]])/Table43[[#This Row],[Harga Jual Pcs GT
(-PPN)]]</f>
        <v>6.4999999999999961E-2</v>
      </c>
      <c r="BB364" s="63">
        <f>Table43[[#This Row],[Harga Jual Pcs MT
(-PPN)]]-Table43[[#This Row],[Harga Beli Pcs
(-PPN)]]</f>
        <v>-10978.77</v>
      </c>
      <c r="BC364" s="64" t="e">
        <f>Table43[[#This Row],[Column1]]/Table43[[#This Row],[Harga Jual Pcs MT
(-PPN)]]</f>
        <v>#DIV/0!</v>
      </c>
      <c r="BD364" s="52"/>
      <c r="BE364" s="7"/>
      <c r="BF364" s="7" t="str">
        <f ca="1">IF(TODAY()-Table43[[#This Row],[Efektif
Pembuatan]]&gt;60,"Lama","Baru")</f>
        <v>Lama</v>
      </c>
      <c r="BG364" s="7" t="str">
        <f ca="1">IF(TODAY()-Table43[[#This Row],[Efektif Naik Harga]]&lt;30,"Naik","Sama")</f>
        <v>Sama</v>
      </c>
      <c r="BH364" s="7"/>
      <c r="BI364" s="7" t="str">
        <f>IF(Table43[[#This Row],[Kode BARANG Win2]]&lt;&gt;"","IDR","")</f>
        <v>IDR</v>
      </c>
      <c r="BJ364" s="7" t="str">
        <f>CONCATENATE(Table43[[#This Row],[kode  1 Digit
(Nomor)]],Table43[[#This Row],[kode  4 Digit                (Nomor)]])</f>
        <v>0000</v>
      </c>
      <c r="BK364" s="7">
        <f>Table43[[#This Row],[Nama            Gramasi atau Jumlah Pack per CTN]]</f>
        <v>0</v>
      </c>
      <c r="BL364" s="7"/>
      <c r="BM364" s="7"/>
      <c r="BN364" s="4" t="str">
        <f>IF(Table43[[#This Row],[SATUAN Fix Win]]&lt;&gt;"","KRT")</f>
        <v>KRT</v>
      </c>
      <c r="BO364" s="4" t="str">
        <f>IF(Table43[[#This Row],[SATUAN Fix Win]]&lt;&gt;"","GD01")</f>
        <v>GD01</v>
      </c>
      <c r="BP364" s="4">
        <f>IF(Table43[[#This Row],[SATUAN Fix Win]]&lt;&gt;"",11611)</f>
        <v>11611</v>
      </c>
      <c r="BQ364" s="4">
        <f>IF(Table43[[#This Row],[SATUAN Fix Win]]&lt;&gt;"",11612)</f>
        <v>11612</v>
      </c>
      <c r="BS364" s="4">
        <f>IF(Table43[[#This Row],[SATUAN Fix Win]]&lt;&gt;"",1)</f>
        <v>1</v>
      </c>
      <c r="BU364" s="4">
        <f>Table43[[#This Row],[ISI/CTN]]</f>
        <v>72</v>
      </c>
    </row>
    <row r="365" spans="1:75" s="87" customFormat="1">
      <c r="A365" s="4" t="str">
        <f>CONCATENATE(Table43[[#This Row],[Kode BARANG Win2]],Table43[[#This Row],[No. Urut
Item Sama]])</f>
        <v>G1227101000010</v>
      </c>
      <c r="B365" s="7"/>
      <c r="C365" s="31">
        <v>30369070000013</v>
      </c>
      <c r="D365" s="51">
        <v>40029118</v>
      </c>
      <c r="E365" s="66" t="s">
        <v>2467</v>
      </c>
      <c r="F365" s="68">
        <v>30369070000013</v>
      </c>
      <c r="G365" s="68">
        <v>0</v>
      </c>
      <c r="H365" s="27">
        <v>0</v>
      </c>
      <c r="I365" s="27">
        <v>24</v>
      </c>
      <c r="J365" s="51">
        <v>0</v>
      </c>
      <c r="K365" s="27" t="str">
        <f>Table43[[#This Row],[NamaJenisKemasan]]</f>
        <v>PCS</v>
      </c>
      <c r="L365" s="4" t="str">
        <f>TRIM(CONCATENATE(Table43[[#This Row],[Nama            KLP]]," ",Table43[[#This Row],[Nama            Sub KLP]]))</f>
        <v>POLYTEX SS &amp; SP</v>
      </c>
      <c r="M365" s="4" t="str">
        <f>CONCATENATE(Table43[[#This Row],[kode  2 Digit                (hrf+No)]],Table43[[#This Row],[kode  2 Digit                (Nomor)]],Table43[[#This Row],[kode  1 Digit                (Nomor)]])</f>
        <v>G1227</v>
      </c>
      <c r="N365" s="4" t="str">
        <f>IF(AI365="",CONCATENATE(S365,U365,W365,Y365,AA365,AC365,AE365,AG365,Table43[[#This Row],[Tanda Kode Revisi]]),CONCATENATE(S365,U365,W365,Y365,AA365,AC365,AE365,AI365))</f>
        <v>G1227101000010</v>
      </c>
      <c r="O365" s="11">
        <f t="shared" si="8"/>
        <v>14</v>
      </c>
      <c r="P365" s="14" t="str">
        <f>IF(AH365&lt;&gt;"",TRIM(UPPER(CONCATENATE(R365," ",T365," ",V365," ",X365," ",Z365," ",AB365," ","X"," ",Table43[[#This Row],[ISI/CTN]]," ",AH365," ",AD365," ",AF365," ",AJ365))),TRIM(UPPER(CONCATENATE(R365," ",T365," ",V365," ",X365," ",Z365," ",AB365," ","X"," ",Table43[[#This Row],[ISI/CTN]]," ",AD365," ",AF365," ",AJ365))))</f>
        <v>POLYTEX SS &amp; SP MULTI PACK REGULER X 24 PCS</v>
      </c>
      <c r="Q365" s="11">
        <f t="shared" si="9"/>
        <v>43</v>
      </c>
      <c r="R365" s="4"/>
      <c r="S365" s="7" t="s">
        <v>34</v>
      </c>
      <c r="T365" s="4" t="s">
        <v>2402</v>
      </c>
      <c r="U365" s="47" t="s">
        <v>2568</v>
      </c>
      <c r="V365" s="48" t="s">
        <v>2527</v>
      </c>
      <c r="W365" s="7">
        <v>7</v>
      </c>
      <c r="X365" s="48" t="s">
        <v>2399</v>
      </c>
      <c r="Y365" s="47" t="s">
        <v>2539</v>
      </c>
      <c r="Z365" s="4" t="s">
        <v>2308</v>
      </c>
      <c r="AA365" s="49" t="s">
        <v>1115</v>
      </c>
      <c r="AB365" s="4"/>
      <c r="AC365" s="49" t="s">
        <v>2460</v>
      </c>
      <c r="AD365" s="4" t="s">
        <v>185</v>
      </c>
      <c r="AE365" s="7">
        <v>1</v>
      </c>
      <c r="AF365" s="4"/>
      <c r="AG365" s="7">
        <v>0</v>
      </c>
      <c r="AH365" s="7"/>
      <c r="AI365" s="7"/>
      <c r="AJ365" s="7"/>
      <c r="AK365" s="70">
        <f>Table43[[#This Row],[Column4]]</f>
        <v>30369070000013</v>
      </c>
      <c r="AL365" s="7"/>
      <c r="AM365" s="7"/>
      <c r="AN365" s="7">
        <f>Table43[[#This Row],[ISI/CTN]]</f>
        <v>24</v>
      </c>
      <c r="AO365" s="38">
        <f>Table43[[#This Row],[Harga Jual Pcs GT
(-PPN)]]-(Table43[[#This Row],[Harga Jual Pcs GT
(-PPN)]]*6.5%)</f>
        <v>17765</v>
      </c>
      <c r="AP365" s="38">
        <f>Table43[[#This Row],[Harga Beli Pcs
(-PPN)]]*Table43[[#This Row],[ISI/CTN]]</f>
        <v>426360</v>
      </c>
      <c r="AQ365" s="38">
        <f>Table43[[#This Row],[Harga Beli Pcs
(-PPN)]]*1.11</f>
        <v>19719.150000000001</v>
      </c>
      <c r="AR365" s="38">
        <f>Table43[[#This Row],[Harga Beli Krt
(- PPN)]]*1.11</f>
        <v>473259.60000000003</v>
      </c>
      <c r="AS365" s="38">
        <v>19000</v>
      </c>
      <c r="AT365" s="38">
        <f>Table43[[#This Row],[Harga Jual Pcs GT
(-PPN)]]*Table43[[#This Row],[ISI/CTN]]</f>
        <v>456000</v>
      </c>
      <c r="AU365" s="38">
        <f>Table43[[#This Row],[Harga Jual Pcs GT
(-PPN)]]*1.11</f>
        <v>21090.000000000004</v>
      </c>
      <c r="AV365" s="38">
        <f>Table43[[#This Row],[Harga Jual Krt GT
(- PPN)]]*1.11</f>
        <v>506160.00000000006</v>
      </c>
      <c r="AW365" s="38">
        <f>IFERROR(VLOOKUP(Table43[[#This Row],[Kode Pcpl]],'[1]FEB 2026'!$A$3:$X$312,24,0),0)</f>
        <v>0</v>
      </c>
      <c r="AX365" s="38">
        <f>Table43[[#This Row],[Harga Jual Pcs MT
(-PPN)]]*Table43[[#This Row],[ISI/CTN]]</f>
        <v>0</v>
      </c>
      <c r="AY365" s="38">
        <f>Table43[[#This Row],[Harga Jual Pcs MT
(-PPN)]]*1.11</f>
        <v>0</v>
      </c>
      <c r="AZ365" s="38">
        <f>Table43[[#This Row],[Harga Jual Pcs MT
(+PPN)]]*Table43[[#This Row],[ISI/CTN]]</f>
        <v>0</v>
      </c>
      <c r="BA365" s="46">
        <f>(Table43[[#This Row],[Harga Jual Pcs GT
(-PPN)]]-Table43[[#This Row],[Harga Beli Pcs
(-PPN)]])/Table43[[#This Row],[Harga Jual Pcs GT
(-PPN)]]</f>
        <v>6.5000000000000002E-2</v>
      </c>
      <c r="BB365" s="53">
        <f>Table43[[#This Row],[Harga Jual Pcs MT
(-PPN)]]-Table43[[#This Row],[Harga Beli Pcs
(-PPN)]]</f>
        <v>-17765</v>
      </c>
      <c r="BC365" s="54" t="e">
        <f>Table43[[#This Row],[Column1]]/Table43[[#This Row],[Harga Jual Pcs MT
(-PPN)]]</f>
        <v>#DIV/0!</v>
      </c>
      <c r="BD365" s="52"/>
      <c r="BE365" s="7"/>
      <c r="BF365" s="7" t="str">
        <f ca="1">IF(TODAY()-Table43[[#This Row],[Efektif
Pembuatan]]&gt;60,"Lama","Baru")</f>
        <v>Lama</v>
      </c>
      <c r="BG365" s="7" t="str">
        <f ca="1">IF(TODAY()-Table43[[#This Row],[Efektif Naik Harga]]&lt;30,"Naik","Sama")</f>
        <v>Sama</v>
      </c>
      <c r="BH365" s="7"/>
      <c r="BI365" s="7" t="str">
        <f>IF(Table43[[#This Row],[Kode BARANG Win2]]&lt;&gt;"","IDR","")</f>
        <v>IDR</v>
      </c>
      <c r="BJ365" s="7" t="str">
        <f>CONCATENATE(Table43[[#This Row],[kode  1 Digit
(Nomor)]],Table43[[#This Row],[kode  4 Digit                (Nomor)]])</f>
        <v>0000</v>
      </c>
      <c r="BK365" s="7">
        <f>Table43[[#This Row],[Nama            Gramasi atau Jumlah Pack per CTN]]</f>
        <v>0</v>
      </c>
      <c r="BL365" s="7"/>
      <c r="BM365" s="7"/>
      <c r="BN365" s="4" t="str">
        <f>IF(Table43[[#This Row],[SATUAN Fix Win]]&lt;&gt;"","KRT")</f>
        <v>KRT</v>
      </c>
      <c r="BO365" s="4" t="str">
        <f>IF(Table43[[#This Row],[SATUAN Fix Win]]&lt;&gt;"","GD01")</f>
        <v>GD01</v>
      </c>
      <c r="BP365" s="4">
        <f>IF(Table43[[#This Row],[SATUAN Fix Win]]&lt;&gt;"",11611)</f>
        <v>11611</v>
      </c>
      <c r="BQ365" s="4">
        <f>IF(Table43[[#This Row],[SATUAN Fix Win]]&lt;&gt;"",11612)</f>
        <v>11612</v>
      </c>
      <c r="BR365" s="4"/>
      <c r="BS365" s="4">
        <f>IF(Table43[[#This Row],[SATUAN Fix Win]]&lt;&gt;"",1)</f>
        <v>1</v>
      </c>
      <c r="BT365" s="4"/>
      <c r="BU365" s="4">
        <f>Table43[[#This Row],[ISI/CTN]]</f>
        <v>24</v>
      </c>
      <c r="BV365" s="71"/>
      <c r="BW365" s="71"/>
    </row>
    <row r="366" spans="1:75">
      <c r="A366" s="71" t="str">
        <f>CONCATENATE(Table43[[#This Row],[Kode BARANG Win2]],Table43[[#This Row],[No. Urut
Item Sama]])</f>
        <v>G1228201100330</v>
      </c>
      <c r="B366" s="72"/>
      <c r="C366" s="73"/>
      <c r="D366" s="74">
        <v>40060609</v>
      </c>
      <c r="E366" s="75"/>
      <c r="F366" s="74"/>
      <c r="G366" s="74"/>
      <c r="H366" s="75"/>
      <c r="I366" s="75">
        <v>4</v>
      </c>
      <c r="J366" s="74"/>
      <c r="K366" s="75" t="str">
        <f>Table43[[#This Row],[NamaJenisKemasan]]</f>
        <v>JRG</v>
      </c>
      <c r="L366" s="71" t="str">
        <f>TRIM(CONCATENATE(Table43[[#This Row],[Nama            KLP]]," ",Table43[[#This Row],[Nama            Sub KLP]]))</f>
        <v>POLYTEX MPC</v>
      </c>
      <c r="M366" s="71" t="str">
        <f>CONCATENATE(Table43[[#This Row],[kode  2 Digit                (hrf+No)]],Table43[[#This Row],[kode  2 Digit                (Nomor)]],Table43[[#This Row],[kode  1 Digit                (Nomor)]])</f>
        <v>G1228</v>
      </c>
      <c r="N366" s="71" t="str">
        <f>IF(AI366="",CONCATENATE(S366,U366,W366,Y366,AA366,AC366,AE366,AG366,Table43[[#This Row],[Tanda Kode Revisi]]),CONCATENATE(S366,U366,W366,Y366,AA366,AC366,AE366,AI366))</f>
        <v>G1228201100330</v>
      </c>
      <c r="O366" s="76">
        <f t="shared" si="8"/>
        <v>14</v>
      </c>
      <c r="P366" s="77" t="str">
        <f>IF(AH366&lt;&gt;"",TRIM(UPPER(CONCATENATE(R366," ",T366," ",V366," ",X366," ",Z366," ",AB366," ","X"," ",Table43[[#This Row],[ISI/CTN]]," ",AH366," ",AD366," ",AF366," ",AJ366))),TRIM(UPPER(CONCATENATE(R366," ",T366," ",V366," ",X366," ",Z366," ",AB366," ","X"," ",Table43[[#This Row],[ISI/CTN]]," ",AD366," ",AF366," ",AJ366))))</f>
        <v>POLYTEX MPC PEMBERSIH SERBAGUNA 3.8 L X 4 JRG</v>
      </c>
      <c r="Q366" s="76">
        <f t="shared" si="9"/>
        <v>45</v>
      </c>
      <c r="R366" s="71"/>
      <c r="S366" s="72" t="s">
        <v>34</v>
      </c>
      <c r="T366" s="71" t="s">
        <v>2402</v>
      </c>
      <c r="U366" s="78" t="s">
        <v>2568</v>
      </c>
      <c r="V366" s="79" t="s">
        <v>3388</v>
      </c>
      <c r="W366" s="72">
        <v>8</v>
      </c>
      <c r="X366" s="79" t="s">
        <v>3389</v>
      </c>
      <c r="Y366" s="78" t="s">
        <v>2572</v>
      </c>
      <c r="Z366" s="71" t="s">
        <v>2311</v>
      </c>
      <c r="AA366" s="80" t="s">
        <v>1115</v>
      </c>
      <c r="AB366" s="71" t="s">
        <v>3390</v>
      </c>
      <c r="AC366" s="80" t="s">
        <v>2616</v>
      </c>
      <c r="AD366" s="71" t="s">
        <v>2224</v>
      </c>
      <c r="AE366" s="72">
        <v>3</v>
      </c>
      <c r="AF366" s="71"/>
      <c r="AG366" s="72">
        <v>0</v>
      </c>
      <c r="AH366" s="72"/>
      <c r="AI366" s="72"/>
      <c r="AJ366" s="72"/>
      <c r="AK366" s="81">
        <f>Table43[[#This Row],[Column4]]</f>
        <v>0</v>
      </c>
      <c r="AL366" s="72"/>
      <c r="AM366" s="72"/>
      <c r="AN366" s="72">
        <v>4</v>
      </c>
      <c r="AO366" s="88">
        <f>Table43[[#This Row],[Harga Jual Pcs GT
(-PPN)]]-(Table43[[#This Row],[Harga Jual Pcs GT
(-PPN)]]*6.5%)</f>
        <v>74125.958500000008</v>
      </c>
      <c r="AP366" s="88">
        <f>Table43[[#This Row],[Harga Beli Pcs
(-PPN)]]*Table43[[#This Row],[ISI/CTN]]</f>
        <v>296503.83400000003</v>
      </c>
      <c r="AQ366" s="88">
        <f>Table43[[#This Row],[Harga Beli Pcs
(-PPN)]]*1.11</f>
        <v>82279.813935000013</v>
      </c>
      <c r="AR366" s="88">
        <f>Table43[[#This Row],[Harga Beli Krt
(- PPN)]]*1.11</f>
        <v>329119.25574000005</v>
      </c>
      <c r="AS366" s="88">
        <v>79279.100000000006</v>
      </c>
      <c r="AT366" s="88">
        <f>Table43[[#This Row],[Harga Jual Pcs GT
(-PPN)]]*Table43[[#This Row],[ISI/CTN]]</f>
        <v>317116.40000000002</v>
      </c>
      <c r="AU366" s="88">
        <f>Table43[[#This Row],[Harga Jual Pcs GT
(-PPN)]]*1.11</f>
        <v>87999.801000000021</v>
      </c>
      <c r="AV366" s="88">
        <f>Table43[[#This Row],[Harga Jual Krt GT
(- PPN)]]*1.11</f>
        <v>351999.20400000009</v>
      </c>
      <c r="AW366" s="88">
        <f>IFERROR(VLOOKUP(Table43[[#This Row],[Kode Pcpl]],'[1]FEB 2026'!$A$3:$X$312,24,0),0)</f>
        <v>0</v>
      </c>
      <c r="AX366" s="88">
        <f>Table43[[#This Row],[Harga Jual Pcs MT
(-PPN)]]*Table43[[#This Row],[ISI/CTN]]</f>
        <v>0</v>
      </c>
      <c r="AY366" s="88">
        <f>Table43[[#This Row],[Harga Jual Pcs MT
(-PPN)]]*1.11</f>
        <v>0</v>
      </c>
      <c r="AZ366" s="88">
        <f>Table43[[#This Row],[Harga Jual Pcs MT
(+PPN)]]*Table43[[#This Row],[ISI/CTN]]</f>
        <v>0</v>
      </c>
      <c r="BA366" s="89">
        <f>(Table43[[#This Row],[Harga Jual Pcs GT
(-PPN)]]-Table43[[#This Row],[Harga Beli Pcs
(-PPN)]])/Table43[[#This Row],[Harga Jual Pcs GT
(-PPN)]]</f>
        <v>6.4999999999999974E-2</v>
      </c>
      <c r="BB366" s="90">
        <f>Table43[[#This Row],[Harga Jual Pcs MT
(-PPN)]]-Table43[[#This Row],[Harga Beli Pcs
(-PPN)]]</f>
        <v>-74125.958500000008</v>
      </c>
      <c r="BC366" s="91" t="e">
        <f>Table43[[#This Row],[Column1]]/Table43[[#This Row],[Harga Jual Pcs MT
(-PPN)]]</f>
        <v>#DIV/0!</v>
      </c>
      <c r="BD366" s="86"/>
      <c r="BE366" s="72"/>
      <c r="BF366" s="72" t="str">
        <f ca="1">IF(TODAY()-Table43[[#This Row],[Efektif
Pembuatan]]&gt;60,"Lama","Baru")</f>
        <v>Lama</v>
      </c>
      <c r="BG366" s="72" t="str">
        <f ca="1">IF(TODAY()-Table43[[#This Row],[Efektif Naik Harga]]&lt;30,"Naik","Sama")</f>
        <v>Sama</v>
      </c>
      <c r="BH366" s="72"/>
      <c r="BI366" s="72" t="str">
        <f>IF(Table43[[#This Row],[Kode BARANG Win2]]&lt;&gt;"","IDR","")</f>
        <v>IDR</v>
      </c>
      <c r="BJ366" s="72" t="str">
        <f>CONCATENATE(Table43[[#This Row],[kode  1 Digit
(Nomor)]],Table43[[#This Row],[kode  4 Digit                (Nomor)]])</f>
        <v>1003</v>
      </c>
      <c r="BK366" s="72" t="str">
        <f>Table43[[#This Row],[Nama            Gramasi atau Jumlah Pack per CTN]]</f>
        <v>3.8 L</v>
      </c>
      <c r="BL366" s="72"/>
      <c r="BM366" s="72"/>
      <c r="BN366" s="71" t="str">
        <f>IF(Table43[[#This Row],[SATUAN Fix Win]]&lt;&gt;"","KRT")</f>
        <v>KRT</v>
      </c>
      <c r="BO366" s="71" t="str">
        <f>IF(Table43[[#This Row],[SATUAN Fix Win]]&lt;&gt;"","GD01")</f>
        <v>GD01</v>
      </c>
      <c r="BP366" s="71">
        <f>IF(Table43[[#This Row],[SATUAN Fix Win]]&lt;&gt;"",11611)</f>
        <v>11611</v>
      </c>
      <c r="BQ366" s="71">
        <f>IF(Table43[[#This Row],[SATUAN Fix Win]]&lt;&gt;"",11612)</f>
        <v>11612</v>
      </c>
      <c r="BR366" s="71"/>
      <c r="BS366" s="71">
        <f>IF(Table43[[#This Row],[SATUAN Fix Win]]&lt;&gt;"",1)</f>
        <v>1</v>
      </c>
      <c r="BT366" s="71"/>
      <c r="BU366" s="71">
        <f>Table43[[#This Row],[ISI/CTN]]</f>
        <v>4</v>
      </c>
    </row>
    <row r="367" spans="1:75">
      <c r="A367" s="4" t="str">
        <f>CONCATENATE(Table43[[#This Row],[Kode BARANG Win2]],Table43[[#This Row],[No. Urut
Item Sama]])</f>
        <v>G1230000002520</v>
      </c>
      <c r="B367" s="7"/>
      <c r="C367" s="31">
        <v>30371010800020</v>
      </c>
      <c r="D367" s="59">
        <v>40035631</v>
      </c>
      <c r="E367" s="60" t="s">
        <v>2075</v>
      </c>
      <c r="F367" s="59">
        <v>30372030000040</v>
      </c>
      <c r="G367" s="59">
        <v>0</v>
      </c>
      <c r="H367" s="60" t="s">
        <v>1375</v>
      </c>
      <c r="I367" s="60">
        <v>144</v>
      </c>
      <c r="J367" s="59" t="s">
        <v>1759</v>
      </c>
      <c r="K367" s="60" t="str">
        <f>Table43[[#This Row],[NamaJenisKemasan]]</f>
        <v>PCS</v>
      </c>
      <c r="L367" s="4" t="str">
        <f>TRIM(CONCATENATE(Table43[[#This Row],[Nama            KLP]]," ",Table43[[#This Row],[Nama            Sub KLP]]))</f>
        <v>PROCLIN</v>
      </c>
      <c r="M367" s="4" t="str">
        <f>CONCATENATE(Table43[[#This Row],[kode  2 Digit                (hrf+No)]],Table43[[#This Row],[kode  2 Digit                (Nomor)]],Table43[[#This Row],[kode  1 Digit                (Nomor)]])</f>
        <v>G1230</v>
      </c>
      <c r="N367" s="4" t="str">
        <f>IF(AI367="",CONCATENATE(S367,U367,W367,Y367,AA367,AC367,AE367,AG367,Table43[[#This Row],[Tanda Kode Revisi]]),CONCATENATE(S367,U367,W367,Y367,AA367,AC367,AE367,AI367))</f>
        <v>G1230000002520</v>
      </c>
      <c r="O367" s="11">
        <f t="shared" si="8"/>
        <v>14</v>
      </c>
      <c r="P367" s="14" t="str">
        <f>IF(AH367&lt;&gt;"",TRIM(UPPER(CONCATENATE(R367," ",T367," ",V367," ",X367," ",Z367," ",AB367," ","X"," ",Table43[[#This Row],[ISI/CTN]]," ",AH367," ",AD367," ",AF367," ",AJ367))),TRIM(UPPER(CONCATENATE(R367," ",T367," ",V367," ",X367," ",Z367," ",AB367," ","X"," ",Table43[[#This Row],[ISI/CTN]]," ",AD367," ",AF367," ",AJ367))))</f>
        <v>PROCLIN 25ML X 144 PCS</v>
      </c>
      <c r="Q367" s="11">
        <f t="shared" si="9"/>
        <v>22</v>
      </c>
      <c r="S367" s="7" t="s">
        <v>34</v>
      </c>
      <c r="T367" s="4" t="s">
        <v>2414</v>
      </c>
      <c r="U367" s="47" t="s">
        <v>2580</v>
      </c>
      <c r="V367" s="48"/>
      <c r="W367" s="7">
        <v>0</v>
      </c>
      <c r="X367" s="48"/>
      <c r="Y367" s="47" t="s">
        <v>1116</v>
      </c>
      <c r="AA367" s="49" t="s">
        <v>1117</v>
      </c>
      <c r="AB367" s="4" t="s">
        <v>2367</v>
      </c>
      <c r="AC367" s="49" t="s">
        <v>2614</v>
      </c>
      <c r="AD367" s="4" t="s">
        <v>185</v>
      </c>
      <c r="AE367" s="7">
        <v>2</v>
      </c>
      <c r="AG367" s="7">
        <v>0</v>
      </c>
      <c r="AK367" s="70">
        <f>Table43[[#This Row],[Column4]]</f>
        <v>30372030000040</v>
      </c>
      <c r="AN367" s="7">
        <f>Table43[[#This Row],[ISI/CTN]]</f>
        <v>144</v>
      </c>
      <c r="AO367" s="38">
        <f>Table43[[#This Row],[Harga Jual Pcs GT
(-PPN)]]-(Table43[[#This Row],[Harga Jual Pcs GT
(-PPN)]]*6.5%)</f>
        <v>317.89999999999998</v>
      </c>
      <c r="AP367" s="38">
        <f>Table43[[#This Row],[Harga Beli Pcs
(-PPN)]]*Table43[[#This Row],[ISI/CTN]]</f>
        <v>45777.599999999999</v>
      </c>
      <c r="AQ367" s="38">
        <f>Table43[[#This Row],[Harga Beli Pcs
(-PPN)]]*1.11</f>
        <v>352.86900000000003</v>
      </c>
      <c r="AR367" s="38">
        <f>Table43[[#This Row],[Harga Beli Krt
(- PPN)]]*1.11</f>
        <v>50813.136000000006</v>
      </c>
      <c r="AS367" s="38">
        <v>340</v>
      </c>
      <c r="AT367" s="38">
        <f>Table43[[#This Row],[Harga Jual Pcs GT
(-PPN)]]*Table43[[#This Row],[ISI/CTN]]</f>
        <v>48960</v>
      </c>
      <c r="AU367" s="38">
        <f>Table43[[#This Row],[Harga Jual Pcs GT
(-PPN)]]*1.11</f>
        <v>377.40000000000003</v>
      </c>
      <c r="AV367" s="38">
        <f>Table43[[#This Row],[Harga Jual Krt GT
(- PPN)]]*1.11</f>
        <v>54345.600000000006</v>
      </c>
      <c r="AW367" s="38">
        <f>IFERROR(VLOOKUP(Table43[[#This Row],[Kode Pcpl]],'[1]FEB 2026'!$A$3:$X$312,24,0),0)</f>
        <v>0</v>
      </c>
      <c r="AX367" s="38">
        <f>Table43[[#This Row],[Harga Jual Pcs MT
(-PPN)]]*Table43[[#This Row],[ISI/CTN]]</f>
        <v>0</v>
      </c>
      <c r="AY367" s="38">
        <f>Table43[[#This Row],[Harga Jual Pcs MT
(-PPN)]]*1.11</f>
        <v>0</v>
      </c>
      <c r="AZ367" s="38">
        <f>Table43[[#This Row],[Harga Jual Pcs MT
(+PPN)]]*Table43[[#This Row],[ISI/CTN]]</f>
        <v>0</v>
      </c>
      <c r="BA367" s="46">
        <f>(Table43[[#This Row],[Harga Jual Pcs GT
(-PPN)]]-Table43[[#This Row],[Harga Beli Pcs
(-PPN)]])/Table43[[#This Row],[Harga Jual Pcs GT
(-PPN)]]</f>
        <v>6.5000000000000072E-2</v>
      </c>
      <c r="BB367" s="53">
        <f>Table43[[#This Row],[Harga Jual Pcs MT
(-PPN)]]-Table43[[#This Row],[Harga Beli Pcs
(-PPN)]]</f>
        <v>-317.89999999999998</v>
      </c>
      <c r="BC367" s="54" t="e">
        <f>Table43[[#This Row],[Column1]]/Table43[[#This Row],[Harga Jual Pcs MT
(-PPN)]]</f>
        <v>#DIV/0!</v>
      </c>
      <c r="BD367" s="52"/>
      <c r="BE367" s="7"/>
      <c r="BF367" s="7" t="str">
        <f ca="1">IF(TODAY()-Table43[[#This Row],[Efektif
Pembuatan]]&gt;60,"Lama","Baru")</f>
        <v>Lama</v>
      </c>
      <c r="BG367" s="7" t="str">
        <f ca="1">IF(TODAY()-Table43[[#This Row],[Efektif Naik Harga]]&lt;30,"Naik","Sama")</f>
        <v>Sama</v>
      </c>
      <c r="BH367" s="7"/>
      <c r="BI367" s="7" t="str">
        <f>IF(Table43[[#This Row],[Kode BARANG Win2]]&lt;&gt;"","IDR","")</f>
        <v>IDR</v>
      </c>
      <c r="BJ367" s="7" t="str">
        <f>CONCATENATE(Table43[[#This Row],[kode  1 Digit
(Nomor)]],Table43[[#This Row],[kode  4 Digit                (Nomor)]])</f>
        <v>0025</v>
      </c>
      <c r="BK367" s="7" t="str">
        <f>Table43[[#This Row],[Nama            Gramasi atau Jumlah Pack per CTN]]</f>
        <v>25ML</v>
      </c>
      <c r="BL367" s="7"/>
      <c r="BM367" s="7"/>
      <c r="BN367" s="4" t="str">
        <f>IF(Table43[[#This Row],[SATUAN Fix Win]]&lt;&gt;"","KRT")</f>
        <v>KRT</v>
      </c>
      <c r="BO367" s="4" t="str">
        <f>IF(Table43[[#This Row],[SATUAN Fix Win]]&lt;&gt;"","GD01")</f>
        <v>GD01</v>
      </c>
      <c r="BP367" s="4">
        <f>IF(Table43[[#This Row],[SATUAN Fix Win]]&lt;&gt;"",11611)</f>
        <v>11611</v>
      </c>
      <c r="BQ367" s="4">
        <f>IF(Table43[[#This Row],[SATUAN Fix Win]]&lt;&gt;"",11612)</f>
        <v>11612</v>
      </c>
      <c r="BS367" s="4">
        <f>IF(Table43[[#This Row],[SATUAN Fix Win]]&lt;&gt;"",1)</f>
        <v>1</v>
      </c>
      <c r="BU367" s="4">
        <f>Table43[[#This Row],[ISI/CTN]]</f>
        <v>144</v>
      </c>
    </row>
    <row r="368" spans="1:75">
      <c r="A368" s="4" t="str">
        <f>CONCATENATE(Table43[[#This Row],[Kode BARANG Win2]],Table43[[#This Row],[No. Urut
Item Sama]])</f>
        <v>G1230000002520</v>
      </c>
      <c r="B368" s="7"/>
      <c r="C368" s="31"/>
      <c r="D368" s="51">
        <v>40013424</v>
      </c>
      <c r="E368" s="27"/>
      <c r="F368" s="51"/>
      <c r="G368" s="51"/>
      <c r="H368" s="27"/>
      <c r="I368" s="27">
        <v>144</v>
      </c>
      <c r="J368" s="51" t="s">
        <v>1759</v>
      </c>
      <c r="K368" s="27" t="str">
        <f>Table43[[#This Row],[NamaJenisKemasan]]</f>
        <v>PCS</v>
      </c>
      <c r="L368" s="4" t="str">
        <f>TRIM(CONCATENATE(Table43[[#This Row],[Nama            KLP]]," ",Table43[[#This Row],[Nama            Sub KLP]]))</f>
        <v>PROCLIN</v>
      </c>
      <c r="M368" s="4" t="str">
        <f>CONCATENATE(Table43[[#This Row],[kode  2 Digit                (hrf+No)]],Table43[[#This Row],[kode  2 Digit                (Nomor)]],Table43[[#This Row],[kode  1 Digit                (Nomor)]])</f>
        <v>G1230</v>
      </c>
      <c r="N368" s="4" t="str">
        <f>IF(AI368="",CONCATENATE(S368,U368,W368,Y368,AA368,AC368,AE368,AG368,Table43[[#This Row],[Tanda Kode Revisi]]),CONCATENATE(S368,U368,W368,Y368,AA368,AC368,AE368,AI368))</f>
        <v>G1230000002520</v>
      </c>
      <c r="O368" s="11">
        <f t="shared" si="8"/>
        <v>14</v>
      </c>
      <c r="P368" s="14" t="str">
        <f>IF(AH368&lt;&gt;"",TRIM(UPPER(CONCATENATE(R368," ",T368," ",V368," ",X368," ",Z368," ",AB368," ","X"," ",Table43[[#This Row],[ISI/CTN]]," ",AH368," ",AD368," ",AF368," ",AJ368))),TRIM(UPPER(CONCATENATE(R368," ",T368," ",V368," ",X368," ",Z368," ",AB368," ","X"," ",Table43[[#This Row],[ISI/CTN]]," ",AD368," ",AF368," ",AJ368))))</f>
        <v>PROCLIN 25ML X 144 PCS</v>
      </c>
      <c r="Q368" s="11">
        <f t="shared" si="9"/>
        <v>22</v>
      </c>
      <c r="S368" s="7" t="s">
        <v>34</v>
      </c>
      <c r="T368" s="4" t="s">
        <v>2414</v>
      </c>
      <c r="U368" s="47" t="s">
        <v>2580</v>
      </c>
      <c r="V368" s="48"/>
      <c r="W368" s="7">
        <v>0</v>
      </c>
      <c r="X368" s="48"/>
      <c r="Y368" s="47" t="s">
        <v>1116</v>
      </c>
      <c r="AA368" s="49" t="s">
        <v>1117</v>
      </c>
      <c r="AB368" s="4" t="s">
        <v>2367</v>
      </c>
      <c r="AC368" s="49" t="s">
        <v>2614</v>
      </c>
      <c r="AD368" s="4" t="s">
        <v>185</v>
      </c>
      <c r="AE368" s="7">
        <v>2</v>
      </c>
      <c r="AG368" s="7">
        <v>0</v>
      </c>
      <c r="AK368" s="70">
        <f>Table43[[#This Row],[Column4]]</f>
        <v>0</v>
      </c>
      <c r="AN368" s="7">
        <f>Table43[[#This Row],[ISI/CTN]]</f>
        <v>144</v>
      </c>
      <c r="AO368" s="38">
        <f>Table43[[#This Row],[Harga Jual Pcs GT
(-PPN)]]-(Table43[[#This Row],[Harga Jual Pcs GT
(-PPN)]]*6.5%)</f>
        <v>317.89999999999998</v>
      </c>
      <c r="AP368" s="38">
        <f>Table43[[#This Row],[Harga Beli Pcs
(-PPN)]]*Table43[[#This Row],[ISI/CTN]]</f>
        <v>45777.599999999999</v>
      </c>
      <c r="AQ368" s="38">
        <f>Table43[[#This Row],[Harga Beli Pcs
(-PPN)]]*1.11</f>
        <v>352.86900000000003</v>
      </c>
      <c r="AR368" s="38">
        <f>Table43[[#This Row],[Harga Beli Krt
(- PPN)]]*1.11</f>
        <v>50813.136000000006</v>
      </c>
      <c r="AS368" s="38">
        <v>340</v>
      </c>
      <c r="AT368" s="38">
        <f>Table43[[#This Row],[Harga Jual Pcs GT
(-PPN)]]*Table43[[#This Row],[ISI/CTN]]</f>
        <v>48960</v>
      </c>
      <c r="AU368" s="38">
        <f>Table43[[#This Row],[Harga Jual Pcs GT
(-PPN)]]*1.11</f>
        <v>377.40000000000003</v>
      </c>
      <c r="AV368" s="38">
        <f>Table43[[#This Row],[Harga Jual Krt GT
(- PPN)]]*1.11</f>
        <v>54345.600000000006</v>
      </c>
      <c r="AW368" s="38">
        <f>IFERROR(VLOOKUP(Table43[[#This Row],[Kode Pcpl]],'[1]FEB 2026'!$A$3:$X$312,24,0),0)</f>
        <v>0</v>
      </c>
      <c r="AX368" s="38">
        <f>Table43[[#This Row],[Harga Jual Pcs MT
(-PPN)]]*Table43[[#This Row],[ISI/CTN]]</f>
        <v>0</v>
      </c>
      <c r="AY368" s="38">
        <f>Table43[[#This Row],[Harga Jual Pcs MT
(-PPN)]]*1.11</f>
        <v>0</v>
      </c>
      <c r="AZ368" s="38">
        <f>Table43[[#This Row],[Harga Jual Pcs MT
(+PPN)]]*Table43[[#This Row],[ISI/CTN]]</f>
        <v>0</v>
      </c>
      <c r="BA368" s="46">
        <f>(Table43[[#This Row],[Harga Jual Pcs GT
(-PPN)]]-Table43[[#This Row],[Harga Beli Pcs
(-PPN)]])/Table43[[#This Row],[Harga Jual Pcs GT
(-PPN)]]</f>
        <v>6.5000000000000072E-2</v>
      </c>
      <c r="BB368" s="53">
        <f>Table43[[#This Row],[Harga Jual Pcs MT
(-PPN)]]-Table43[[#This Row],[Harga Beli Pcs
(-PPN)]]</f>
        <v>-317.89999999999998</v>
      </c>
      <c r="BC368" s="54" t="e">
        <f>Table43[[#This Row],[Column1]]/Table43[[#This Row],[Harga Jual Pcs MT
(-PPN)]]</f>
        <v>#DIV/0!</v>
      </c>
      <c r="BD368" s="52"/>
      <c r="BE368" s="7"/>
      <c r="BF368" s="7" t="str">
        <f ca="1">IF(TODAY()-Table43[[#This Row],[Efektif
Pembuatan]]&gt;60,"Lama","Baru")</f>
        <v>Lama</v>
      </c>
      <c r="BG368" s="7" t="str">
        <f ca="1">IF(TODAY()-Table43[[#This Row],[Efektif Naik Harga]]&lt;30,"Naik","Sama")</f>
        <v>Sama</v>
      </c>
      <c r="BH368" s="7"/>
      <c r="BI368" s="7" t="str">
        <f>IF(Table43[[#This Row],[Kode BARANG Win2]]&lt;&gt;"","IDR","")</f>
        <v>IDR</v>
      </c>
      <c r="BJ368" s="7" t="str">
        <f>CONCATENATE(Table43[[#This Row],[kode  1 Digit
(Nomor)]],Table43[[#This Row],[kode  4 Digit                (Nomor)]])</f>
        <v>0025</v>
      </c>
      <c r="BK368" s="7" t="str">
        <f>Table43[[#This Row],[Nama            Gramasi atau Jumlah Pack per CTN]]</f>
        <v>25ML</v>
      </c>
      <c r="BL368" s="7"/>
      <c r="BM368" s="7"/>
      <c r="BN368" s="4" t="str">
        <f>IF(Table43[[#This Row],[SATUAN Fix Win]]&lt;&gt;"","KRT")</f>
        <v>KRT</v>
      </c>
      <c r="BO368" s="4" t="str">
        <f>IF(Table43[[#This Row],[SATUAN Fix Win]]&lt;&gt;"","GD01")</f>
        <v>GD01</v>
      </c>
      <c r="BP368" s="4">
        <f>IF(Table43[[#This Row],[SATUAN Fix Win]]&lt;&gt;"",11611)</f>
        <v>11611</v>
      </c>
      <c r="BQ368" s="4">
        <f>IF(Table43[[#This Row],[SATUAN Fix Win]]&lt;&gt;"",11612)</f>
        <v>11612</v>
      </c>
      <c r="BS368" s="4">
        <f>IF(Table43[[#This Row],[SATUAN Fix Win]]&lt;&gt;"",1)</f>
        <v>1</v>
      </c>
      <c r="BU368" s="4">
        <f>Table43[[#This Row],[ISI/CTN]]</f>
        <v>144</v>
      </c>
    </row>
    <row r="369" spans="1:73">
      <c r="A369" s="4" t="str">
        <f>CONCATENATE(Table43[[#This Row],[Kode BARANG Win2]],Table43[[#This Row],[No. Urut
Item Sama]])</f>
        <v>G1230000020010</v>
      </c>
      <c r="B369" s="7"/>
      <c r="C369" s="31">
        <v>30375040100002</v>
      </c>
      <c r="D369" s="51">
        <v>40008233</v>
      </c>
      <c r="E369" s="27" t="s">
        <v>2066</v>
      </c>
      <c r="F369" s="51">
        <v>30370000200000</v>
      </c>
      <c r="G369" s="51">
        <v>0</v>
      </c>
      <c r="H369" s="27" t="s">
        <v>1361</v>
      </c>
      <c r="I369" s="27">
        <v>48</v>
      </c>
      <c r="J369" s="51" t="s">
        <v>1750</v>
      </c>
      <c r="K369" s="27" t="str">
        <f>Table43[[#This Row],[NamaJenisKemasan]]</f>
        <v>BTL</v>
      </c>
      <c r="L369" s="4" t="str">
        <f>TRIM(CONCATENATE(Table43[[#This Row],[Nama            KLP]]," ",Table43[[#This Row],[Nama            Sub KLP]]))</f>
        <v>PROCLIN</v>
      </c>
      <c r="M369" s="4" t="str">
        <f>CONCATENATE(Table43[[#This Row],[kode  2 Digit                (hrf+No)]],Table43[[#This Row],[kode  2 Digit                (Nomor)]],Table43[[#This Row],[kode  1 Digit                (Nomor)]])</f>
        <v>G1230</v>
      </c>
      <c r="N369" s="4" t="str">
        <f>IF(AI369="",CONCATENATE(S369,U369,W369,Y369,AA369,AC369,AE369,AG369,Table43[[#This Row],[Tanda Kode Revisi]]),CONCATENATE(S369,U369,W369,Y369,AA369,AC369,AE369,AI369))</f>
        <v>G1230000020010</v>
      </c>
      <c r="O369" s="11">
        <f t="shared" ref="O369:O450" si="10">LEN(N369)</f>
        <v>14</v>
      </c>
      <c r="P369" s="14" t="str">
        <f>IF(AH369&lt;&gt;"",TRIM(UPPER(CONCATENATE(R369," ",T369," ",V369," ",X369," ",Z369," ",AB369," ","X"," ",Table43[[#This Row],[ISI/CTN]]," ",AH369," ",AD369," ",AF369," ",AJ369))),TRIM(UPPER(CONCATENATE(R369," ",T369," ",V369," ",X369," ",Z369," ",AB369," ","X"," ",Table43[[#This Row],[ISI/CTN]]," ",AD369," ",AF369," ",AJ369))))</f>
        <v>PROCLIN 200ML X 48 BTL</v>
      </c>
      <c r="Q369" s="11">
        <f t="shared" ref="Q369:Q450" si="11">LEN(P369)</f>
        <v>22</v>
      </c>
      <c r="S369" s="7" t="s">
        <v>34</v>
      </c>
      <c r="T369" s="4" t="s">
        <v>2414</v>
      </c>
      <c r="U369" s="47" t="s">
        <v>2580</v>
      </c>
      <c r="V369" s="48"/>
      <c r="W369" s="7">
        <v>0</v>
      </c>
      <c r="X369" s="48"/>
      <c r="Y369" s="47" t="s">
        <v>1116</v>
      </c>
      <c r="AA369" s="49" t="s">
        <v>1117</v>
      </c>
      <c r="AB369" s="4" t="s">
        <v>640</v>
      </c>
      <c r="AC369" s="49" t="s">
        <v>2606</v>
      </c>
      <c r="AD369" s="4" t="s">
        <v>647</v>
      </c>
      <c r="AE369" s="7">
        <v>1</v>
      </c>
      <c r="AG369" s="7">
        <v>0</v>
      </c>
      <c r="AK369" s="70">
        <f>Table43[[#This Row],[Column4]]</f>
        <v>30370000200000</v>
      </c>
      <c r="AN369" s="7">
        <f>Table43[[#This Row],[ISI/CTN]]</f>
        <v>48</v>
      </c>
      <c r="AO369" s="38">
        <f>Table43[[#This Row],[Harga Jual Pcs GT
(-PPN)]]-(Table43[[#This Row],[Harga Jual Pcs GT
(-PPN)]]*6.5%)</f>
        <v>4301</v>
      </c>
      <c r="AP369" s="38">
        <f>Table43[[#This Row],[Harga Beli Pcs
(-PPN)]]*Table43[[#This Row],[ISI/CTN]]</f>
        <v>206448</v>
      </c>
      <c r="AQ369" s="38">
        <f>Table43[[#This Row],[Harga Beli Pcs
(-PPN)]]*1.11</f>
        <v>4774.1100000000006</v>
      </c>
      <c r="AR369" s="38">
        <f>Table43[[#This Row],[Harga Beli Krt
(- PPN)]]*1.11</f>
        <v>229157.28000000003</v>
      </c>
      <c r="AS369" s="38">
        <v>4600</v>
      </c>
      <c r="AT369" s="38">
        <f>Table43[[#This Row],[Harga Jual Pcs GT
(-PPN)]]*Table43[[#This Row],[ISI/CTN]]</f>
        <v>220800</v>
      </c>
      <c r="AU369" s="38">
        <f>Table43[[#This Row],[Harga Jual Pcs GT
(-PPN)]]*1.11</f>
        <v>5106</v>
      </c>
      <c r="AV369" s="38">
        <f>Table43[[#This Row],[Harga Jual Krt GT
(- PPN)]]*1.11</f>
        <v>245088.00000000003</v>
      </c>
      <c r="AW369" s="38">
        <f>IFERROR(VLOOKUP(Table43[[#This Row],[Kode Pcpl]],'[1]FEB 2026'!$A$3:$X$312,24,0),0)</f>
        <v>0</v>
      </c>
      <c r="AX369" s="38">
        <f>Table43[[#This Row],[Harga Jual Pcs MT
(-PPN)]]*Table43[[#This Row],[ISI/CTN]]</f>
        <v>0</v>
      </c>
      <c r="AY369" s="38">
        <f>Table43[[#This Row],[Harga Jual Pcs MT
(-PPN)]]*1.11</f>
        <v>0</v>
      </c>
      <c r="AZ369" s="38">
        <f>Table43[[#This Row],[Harga Jual Pcs MT
(+PPN)]]*Table43[[#This Row],[ISI/CTN]]</f>
        <v>0</v>
      </c>
      <c r="BA369" s="46">
        <f>(Table43[[#This Row],[Harga Jual Pcs GT
(-PPN)]]-Table43[[#This Row],[Harga Beli Pcs
(-PPN)]])/Table43[[#This Row],[Harga Jual Pcs GT
(-PPN)]]</f>
        <v>6.5000000000000002E-2</v>
      </c>
      <c r="BB369" s="53">
        <f>Table43[[#This Row],[Harga Jual Pcs MT
(-PPN)]]-Table43[[#This Row],[Harga Beli Pcs
(-PPN)]]</f>
        <v>-4301</v>
      </c>
      <c r="BC369" s="54" t="e">
        <f>Table43[[#This Row],[Column1]]/Table43[[#This Row],[Harga Jual Pcs MT
(-PPN)]]</f>
        <v>#DIV/0!</v>
      </c>
      <c r="BD369" s="52"/>
      <c r="BE369" s="7"/>
      <c r="BF369" s="7" t="str">
        <f ca="1">IF(TODAY()-Table43[[#This Row],[Efektif
Pembuatan]]&gt;60,"Lama","Baru")</f>
        <v>Lama</v>
      </c>
      <c r="BG369" s="7" t="str">
        <f ca="1">IF(TODAY()-Table43[[#This Row],[Efektif Naik Harga]]&lt;30,"Naik","Sama")</f>
        <v>Sama</v>
      </c>
      <c r="BH369" s="7"/>
      <c r="BI369" s="7" t="str">
        <f>IF(Table43[[#This Row],[Kode BARANG Win2]]&lt;&gt;"","IDR","")</f>
        <v>IDR</v>
      </c>
      <c r="BJ369" s="7" t="str">
        <f>CONCATENATE(Table43[[#This Row],[kode  1 Digit
(Nomor)]],Table43[[#This Row],[kode  4 Digit                (Nomor)]])</f>
        <v>0200</v>
      </c>
      <c r="BK369" s="7" t="str">
        <f>Table43[[#This Row],[Nama            Gramasi atau Jumlah Pack per CTN]]</f>
        <v>200ML</v>
      </c>
      <c r="BL369" s="7"/>
      <c r="BM369" s="7"/>
      <c r="BN369" s="4" t="str">
        <f>IF(Table43[[#This Row],[SATUAN Fix Win]]&lt;&gt;"","KRT")</f>
        <v>KRT</v>
      </c>
      <c r="BO369" s="4" t="str">
        <f>IF(Table43[[#This Row],[SATUAN Fix Win]]&lt;&gt;"","GD01")</f>
        <v>GD01</v>
      </c>
      <c r="BP369" s="4">
        <f>IF(Table43[[#This Row],[SATUAN Fix Win]]&lt;&gt;"",11611)</f>
        <v>11611</v>
      </c>
      <c r="BQ369" s="4">
        <f>IF(Table43[[#This Row],[SATUAN Fix Win]]&lt;&gt;"",11612)</f>
        <v>11612</v>
      </c>
      <c r="BS369" s="4">
        <f>IF(Table43[[#This Row],[SATUAN Fix Win]]&lt;&gt;"",1)</f>
        <v>1</v>
      </c>
      <c r="BU369" s="4">
        <f>Table43[[#This Row],[ISI/CTN]]</f>
        <v>48</v>
      </c>
    </row>
    <row r="370" spans="1:73">
      <c r="A370" s="4" t="str">
        <f>CONCATENATE(Table43[[#This Row],[Kode BARANG Win2]],Table43[[#This Row],[No. Urut
Item Sama]])</f>
        <v>G1230000050010</v>
      </c>
      <c r="B370" s="7"/>
      <c r="C370" s="31">
        <v>30372030000040</v>
      </c>
      <c r="D370" s="51">
        <v>40008237</v>
      </c>
      <c r="E370" s="27" t="s">
        <v>2067</v>
      </c>
      <c r="F370" s="51">
        <v>30370000500000</v>
      </c>
      <c r="G370" s="51">
        <v>0</v>
      </c>
      <c r="H370" s="27" t="s">
        <v>1362</v>
      </c>
      <c r="I370" s="27">
        <v>24</v>
      </c>
      <c r="J370" s="51" t="s">
        <v>1751</v>
      </c>
      <c r="K370" s="27" t="str">
        <f>Table43[[#This Row],[NamaJenisKemasan]]</f>
        <v>BTL</v>
      </c>
      <c r="L370" s="4" t="str">
        <f>TRIM(CONCATENATE(Table43[[#This Row],[Nama            KLP]]," ",Table43[[#This Row],[Nama            Sub KLP]]))</f>
        <v>PROCLIN</v>
      </c>
      <c r="M370" s="4" t="str">
        <f>CONCATENATE(Table43[[#This Row],[kode  2 Digit                (hrf+No)]],Table43[[#This Row],[kode  2 Digit                (Nomor)]],Table43[[#This Row],[kode  1 Digit                (Nomor)]])</f>
        <v>G1230</v>
      </c>
      <c r="N370" s="4" t="str">
        <f>IF(AI370="",CONCATENATE(S370,U370,W370,Y370,AA370,AC370,AE370,AG370,Table43[[#This Row],[Tanda Kode Revisi]]),CONCATENATE(S370,U370,W370,Y370,AA370,AC370,AE370,AI370))</f>
        <v>G1230000050010</v>
      </c>
      <c r="O370" s="11">
        <f t="shared" si="10"/>
        <v>14</v>
      </c>
      <c r="P370" s="14" t="str">
        <f>IF(AH370&lt;&gt;"",TRIM(UPPER(CONCATENATE(R370," ",T370," ",V370," ",X370," ",Z370," ",AB370," ","X"," ",Table43[[#This Row],[ISI/CTN]]," ",AH370," ",AD370," ",AF370," ",AJ370))),TRIM(UPPER(CONCATENATE(R370," ",T370," ",V370," ",X370," ",Z370," ",AB370," ","X"," ",Table43[[#This Row],[ISI/CTN]]," ",AD370," ",AF370," ",AJ370))))</f>
        <v>PROCLIN 500ML X 24 BTL</v>
      </c>
      <c r="Q370" s="11">
        <f t="shared" si="11"/>
        <v>22</v>
      </c>
      <c r="S370" s="7" t="s">
        <v>34</v>
      </c>
      <c r="T370" s="4" t="s">
        <v>2414</v>
      </c>
      <c r="U370" s="47" t="s">
        <v>2580</v>
      </c>
      <c r="V370" s="48"/>
      <c r="W370" s="7">
        <v>0</v>
      </c>
      <c r="X370" s="48"/>
      <c r="Y370" s="47" t="s">
        <v>1116</v>
      </c>
      <c r="AA370" s="49" t="s">
        <v>1117</v>
      </c>
      <c r="AB370" s="4" t="s">
        <v>2365</v>
      </c>
      <c r="AC370" s="49" t="s">
        <v>2629</v>
      </c>
      <c r="AD370" s="4" t="s">
        <v>647</v>
      </c>
      <c r="AE370" s="7">
        <v>1</v>
      </c>
      <c r="AG370" s="7">
        <v>0</v>
      </c>
      <c r="AK370" s="70">
        <f>Table43[[#This Row],[Column4]]</f>
        <v>30370000500000</v>
      </c>
      <c r="AN370" s="7">
        <f>Table43[[#This Row],[ISI/CTN]]</f>
        <v>24</v>
      </c>
      <c r="AO370" s="38">
        <f>Table43[[#This Row],[Harga Jual Pcs GT
(-PPN)]]-(Table43[[#This Row],[Harga Jual Pcs GT
(-PPN)]]*6.5%)</f>
        <v>9163</v>
      </c>
      <c r="AP370" s="38">
        <f>Table43[[#This Row],[Harga Beli Pcs
(-PPN)]]*Table43[[#This Row],[ISI/CTN]]</f>
        <v>219912</v>
      </c>
      <c r="AQ370" s="38">
        <f>Table43[[#This Row],[Harga Beli Pcs
(-PPN)]]*1.11</f>
        <v>10170.93</v>
      </c>
      <c r="AR370" s="38">
        <f>Table43[[#This Row],[Harga Beli Krt
(- PPN)]]*1.11</f>
        <v>244102.32</v>
      </c>
      <c r="AS370" s="38">
        <v>9800</v>
      </c>
      <c r="AT370" s="38">
        <f>Table43[[#This Row],[Harga Jual Pcs GT
(-PPN)]]*Table43[[#This Row],[ISI/CTN]]</f>
        <v>235200</v>
      </c>
      <c r="AU370" s="38">
        <f>Table43[[#This Row],[Harga Jual Pcs GT
(-PPN)]]*1.11</f>
        <v>10878.000000000002</v>
      </c>
      <c r="AV370" s="38">
        <f>Table43[[#This Row],[Harga Jual Krt GT
(- PPN)]]*1.11</f>
        <v>261072.00000000003</v>
      </c>
      <c r="AW370" s="38">
        <f>IFERROR(VLOOKUP(Table43[[#This Row],[Kode Pcpl]],'[1]FEB 2026'!$A$3:$X$312,24,0),0)</f>
        <v>0</v>
      </c>
      <c r="AX370" s="38">
        <f>Table43[[#This Row],[Harga Jual Pcs MT
(-PPN)]]*Table43[[#This Row],[ISI/CTN]]</f>
        <v>0</v>
      </c>
      <c r="AY370" s="38">
        <f>Table43[[#This Row],[Harga Jual Pcs MT
(-PPN)]]*1.11</f>
        <v>0</v>
      </c>
      <c r="AZ370" s="38">
        <f>Table43[[#This Row],[Harga Jual Pcs MT
(+PPN)]]*Table43[[#This Row],[ISI/CTN]]</f>
        <v>0</v>
      </c>
      <c r="BA370" s="46">
        <f>(Table43[[#This Row],[Harga Jual Pcs GT
(-PPN)]]-Table43[[#This Row],[Harga Beli Pcs
(-PPN)]])/Table43[[#This Row],[Harga Jual Pcs GT
(-PPN)]]</f>
        <v>6.5000000000000002E-2</v>
      </c>
      <c r="BB370" s="53">
        <f>Table43[[#This Row],[Harga Jual Pcs MT
(-PPN)]]-Table43[[#This Row],[Harga Beli Pcs
(-PPN)]]</f>
        <v>-9163</v>
      </c>
      <c r="BC370" s="54" t="e">
        <f>Table43[[#This Row],[Column1]]/Table43[[#This Row],[Harga Jual Pcs MT
(-PPN)]]</f>
        <v>#DIV/0!</v>
      </c>
      <c r="BD370" s="52"/>
      <c r="BE370" s="7"/>
      <c r="BF370" s="7" t="str">
        <f ca="1">IF(TODAY()-Table43[[#This Row],[Efektif
Pembuatan]]&gt;60,"Lama","Baru")</f>
        <v>Lama</v>
      </c>
      <c r="BG370" s="7" t="str">
        <f ca="1">IF(TODAY()-Table43[[#This Row],[Efektif Naik Harga]]&lt;30,"Naik","Sama")</f>
        <v>Sama</v>
      </c>
      <c r="BH370" s="7"/>
      <c r="BI370" s="7" t="str">
        <f>IF(Table43[[#This Row],[Kode BARANG Win2]]&lt;&gt;"","IDR","")</f>
        <v>IDR</v>
      </c>
      <c r="BJ370" s="7" t="str">
        <f>CONCATENATE(Table43[[#This Row],[kode  1 Digit
(Nomor)]],Table43[[#This Row],[kode  4 Digit                (Nomor)]])</f>
        <v>0500</v>
      </c>
      <c r="BK370" s="7" t="str">
        <f>Table43[[#This Row],[Nama            Gramasi atau Jumlah Pack per CTN]]</f>
        <v>500ML</v>
      </c>
      <c r="BL370" s="7"/>
      <c r="BM370" s="7"/>
      <c r="BN370" s="4" t="str">
        <f>IF(Table43[[#This Row],[SATUAN Fix Win]]&lt;&gt;"","KRT")</f>
        <v>KRT</v>
      </c>
      <c r="BO370" s="4" t="str">
        <f>IF(Table43[[#This Row],[SATUAN Fix Win]]&lt;&gt;"","GD01")</f>
        <v>GD01</v>
      </c>
      <c r="BP370" s="4">
        <f>IF(Table43[[#This Row],[SATUAN Fix Win]]&lt;&gt;"",11611)</f>
        <v>11611</v>
      </c>
      <c r="BQ370" s="4">
        <f>IF(Table43[[#This Row],[SATUAN Fix Win]]&lt;&gt;"",11612)</f>
        <v>11612</v>
      </c>
      <c r="BS370" s="4">
        <f>IF(Table43[[#This Row],[SATUAN Fix Win]]&lt;&gt;"",1)</f>
        <v>1</v>
      </c>
      <c r="BU370" s="4">
        <f>Table43[[#This Row],[ISI/CTN]]</f>
        <v>24</v>
      </c>
    </row>
    <row r="371" spans="1:73">
      <c r="A371" s="4" t="str">
        <f>CONCATENATE(Table43[[#This Row],[Kode BARANG Win2]],Table43[[#This Row],[No. Urut
Item Sama]])</f>
        <v>G1230000100110</v>
      </c>
      <c r="B371" s="7"/>
      <c r="C371" s="31">
        <v>30371020400020</v>
      </c>
      <c r="D371" s="59">
        <v>40008238</v>
      </c>
      <c r="E371" s="60" t="s">
        <v>2068</v>
      </c>
      <c r="F371" s="59">
        <v>30370001001000</v>
      </c>
      <c r="G371" s="59">
        <v>0</v>
      </c>
      <c r="H371" s="60" t="s">
        <v>1363</v>
      </c>
      <c r="I371" s="60">
        <v>12</v>
      </c>
      <c r="J371" s="59" t="s">
        <v>1752</v>
      </c>
      <c r="K371" s="60" t="str">
        <f>Table43[[#This Row],[NamaJenisKemasan]]</f>
        <v>BTL</v>
      </c>
      <c r="L371" s="4" t="str">
        <f>TRIM(CONCATENATE(Table43[[#This Row],[Nama            KLP]]," ",Table43[[#This Row],[Nama            Sub KLP]]))</f>
        <v>PROCLIN</v>
      </c>
      <c r="M371" s="4" t="str">
        <f>CONCATENATE(Table43[[#This Row],[kode  2 Digit                (hrf+No)]],Table43[[#This Row],[kode  2 Digit                (Nomor)]],Table43[[#This Row],[kode  1 Digit                (Nomor)]])</f>
        <v>G1230</v>
      </c>
      <c r="N371" s="4" t="str">
        <f>IF(AI371="",CONCATENATE(S371,U371,W371,Y371,AA371,AC371,AE371,AG371,Table43[[#This Row],[Tanda Kode Revisi]]),CONCATENATE(S371,U371,W371,Y371,AA371,AC371,AE371,AI371))</f>
        <v>G1230000100110</v>
      </c>
      <c r="O371" s="11">
        <f t="shared" si="10"/>
        <v>14</v>
      </c>
      <c r="P371" s="14" t="str">
        <f>IF(AH371&lt;&gt;"",TRIM(UPPER(CONCATENATE(R371," ",T371," ",V371," ",X371," ",Z371," ",AB371," ","X"," ",Table43[[#This Row],[ISI/CTN]]," ",AH371," ",AD371," ",AF371," ",AJ371))),TRIM(UPPER(CONCATENATE(R371," ",T371," ",V371," ",X371," ",Z371," ",AB371," ","X"," ",Table43[[#This Row],[ISI/CTN]]," ",AD371," ",AF371," ",AJ371))))</f>
        <v>PROCLIN 1 L X 12 BTL</v>
      </c>
      <c r="Q371" s="11">
        <f t="shared" si="11"/>
        <v>20</v>
      </c>
      <c r="S371" s="7" t="s">
        <v>34</v>
      </c>
      <c r="T371" s="4" t="s">
        <v>2414</v>
      </c>
      <c r="U371" s="47" t="s">
        <v>2580</v>
      </c>
      <c r="V371" s="48"/>
      <c r="W371" s="7">
        <v>0</v>
      </c>
      <c r="X371" s="48"/>
      <c r="Y371" s="47" t="s">
        <v>1116</v>
      </c>
      <c r="AA371" s="49" t="s">
        <v>1117</v>
      </c>
      <c r="AB371" s="4" t="s">
        <v>2364</v>
      </c>
      <c r="AC371" s="49" t="s">
        <v>2591</v>
      </c>
      <c r="AD371" s="4" t="s">
        <v>647</v>
      </c>
      <c r="AE371" s="7">
        <v>1</v>
      </c>
      <c r="AG371" s="7">
        <v>0</v>
      </c>
      <c r="AK371" s="70">
        <f>Table43[[#This Row],[Column4]]</f>
        <v>30370001001000</v>
      </c>
      <c r="AN371" s="7">
        <f>Table43[[#This Row],[ISI/CTN]]</f>
        <v>12</v>
      </c>
      <c r="AO371" s="38">
        <f>Table43[[#This Row],[Harga Jual Pcs GT
(-PPN)]]-(Table43[[#This Row],[Harga Jual Pcs GT
(-PPN)]]*6.5%)</f>
        <v>15193.75</v>
      </c>
      <c r="AP371" s="38">
        <f>Table43[[#This Row],[Harga Beli Pcs
(-PPN)]]*Table43[[#This Row],[ISI/CTN]]</f>
        <v>182325</v>
      </c>
      <c r="AQ371" s="38">
        <f>Table43[[#This Row],[Harga Beli Pcs
(-PPN)]]*1.11</f>
        <v>16865.0625</v>
      </c>
      <c r="AR371" s="38">
        <f>Table43[[#This Row],[Harga Beli Krt
(- PPN)]]*1.11</f>
        <v>202380.75000000003</v>
      </c>
      <c r="AS371" s="38">
        <v>16250</v>
      </c>
      <c r="AT371" s="38">
        <f>Table43[[#This Row],[Harga Jual Pcs GT
(-PPN)]]*Table43[[#This Row],[ISI/CTN]]</f>
        <v>195000</v>
      </c>
      <c r="AU371" s="38">
        <f>Table43[[#This Row],[Harga Jual Pcs GT
(-PPN)]]*1.11</f>
        <v>18037.5</v>
      </c>
      <c r="AV371" s="38">
        <f>Table43[[#This Row],[Harga Jual Krt GT
(- PPN)]]*1.11</f>
        <v>216450.00000000003</v>
      </c>
      <c r="AW371" s="38">
        <f>IFERROR(VLOOKUP(Table43[[#This Row],[Kode Pcpl]],'[1]FEB 2026'!$A$3:$X$312,24,0),0)</f>
        <v>0</v>
      </c>
      <c r="AX371" s="38">
        <f>Table43[[#This Row],[Harga Jual Pcs MT
(-PPN)]]*Table43[[#This Row],[ISI/CTN]]</f>
        <v>0</v>
      </c>
      <c r="AY371" s="38">
        <f>Table43[[#This Row],[Harga Jual Pcs MT
(-PPN)]]*1.11</f>
        <v>0</v>
      </c>
      <c r="AZ371" s="38">
        <f>Table43[[#This Row],[Harga Jual Pcs MT
(+PPN)]]*Table43[[#This Row],[ISI/CTN]]</f>
        <v>0</v>
      </c>
      <c r="BA371" s="46">
        <f>(Table43[[#This Row],[Harga Jual Pcs GT
(-PPN)]]-Table43[[#This Row],[Harga Beli Pcs
(-PPN)]])/Table43[[#This Row],[Harga Jual Pcs GT
(-PPN)]]</f>
        <v>6.5000000000000002E-2</v>
      </c>
      <c r="BB371" s="53">
        <f>Table43[[#This Row],[Harga Jual Pcs MT
(-PPN)]]-Table43[[#This Row],[Harga Beli Pcs
(-PPN)]]</f>
        <v>-15193.75</v>
      </c>
      <c r="BC371" s="54" t="e">
        <f>Table43[[#This Row],[Column1]]/Table43[[#This Row],[Harga Jual Pcs MT
(-PPN)]]</f>
        <v>#DIV/0!</v>
      </c>
      <c r="BD371" s="52"/>
      <c r="BE371" s="7"/>
      <c r="BF371" s="7" t="str">
        <f ca="1">IF(TODAY()-Table43[[#This Row],[Efektif
Pembuatan]]&gt;60,"Lama","Baru")</f>
        <v>Lama</v>
      </c>
      <c r="BG371" s="7" t="str">
        <f ca="1">IF(TODAY()-Table43[[#This Row],[Efektif Naik Harga]]&lt;30,"Naik","Sama")</f>
        <v>Sama</v>
      </c>
      <c r="BH371" s="7"/>
      <c r="BI371" s="7" t="str">
        <f>IF(Table43[[#This Row],[Kode BARANG Win2]]&lt;&gt;"","IDR","")</f>
        <v>IDR</v>
      </c>
      <c r="BJ371" s="7" t="str">
        <f>CONCATENATE(Table43[[#This Row],[kode  1 Digit
(Nomor)]],Table43[[#This Row],[kode  4 Digit                (Nomor)]])</f>
        <v>1001</v>
      </c>
      <c r="BK371" s="7" t="str">
        <f>Table43[[#This Row],[Nama            Gramasi atau Jumlah Pack per CTN]]</f>
        <v>1 L</v>
      </c>
      <c r="BL371" s="7"/>
      <c r="BM371" s="7"/>
      <c r="BN371" s="4" t="str">
        <f>IF(Table43[[#This Row],[SATUAN Fix Win]]&lt;&gt;"","KRT")</f>
        <v>KRT</v>
      </c>
      <c r="BO371" s="4" t="str">
        <f>IF(Table43[[#This Row],[SATUAN Fix Win]]&lt;&gt;"","GD01")</f>
        <v>GD01</v>
      </c>
      <c r="BP371" s="4">
        <f>IF(Table43[[#This Row],[SATUAN Fix Win]]&lt;&gt;"",11611)</f>
        <v>11611</v>
      </c>
      <c r="BQ371" s="4">
        <f>IF(Table43[[#This Row],[SATUAN Fix Win]]&lt;&gt;"",11612)</f>
        <v>11612</v>
      </c>
      <c r="BS371" s="4">
        <f>IF(Table43[[#This Row],[SATUAN Fix Win]]&lt;&gt;"",1)</f>
        <v>1</v>
      </c>
      <c r="BU371" s="4">
        <f>Table43[[#This Row],[ISI/CTN]]</f>
        <v>12</v>
      </c>
    </row>
    <row r="372" spans="1:73">
      <c r="A372" s="4" t="str">
        <f>CONCATENATE(Table43[[#This Row],[Kode BARANG Win2]],Table43[[#This Row],[No. Urut
Item Sama]])</f>
        <v>G1230000100330</v>
      </c>
      <c r="B372" s="7"/>
      <c r="C372" s="31">
        <v>30371010800020</v>
      </c>
      <c r="D372" s="51">
        <v>40035632</v>
      </c>
      <c r="E372" s="27" t="s">
        <v>2069</v>
      </c>
      <c r="F372" s="51">
        <v>30370001003010</v>
      </c>
      <c r="G372" s="51">
        <v>0</v>
      </c>
      <c r="H372" s="27" t="s">
        <v>1364</v>
      </c>
      <c r="I372" s="27">
        <v>4</v>
      </c>
      <c r="J372" s="51" t="s">
        <v>1753</v>
      </c>
      <c r="K372" s="27" t="str">
        <f>Table43[[#This Row],[NamaJenisKemasan]]</f>
        <v>JRG</v>
      </c>
      <c r="L372" s="4" t="str">
        <f>TRIM(CONCATENATE(Table43[[#This Row],[Nama            KLP]]," ",Table43[[#This Row],[Nama            Sub KLP]]))</f>
        <v>PROCLIN</v>
      </c>
      <c r="M372" s="4" t="str">
        <f>CONCATENATE(Table43[[#This Row],[kode  2 Digit                (hrf+No)]],Table43[[#This Row],[kode  2 Digit                (Nomor)]],Table43[[#This Row],[kode  1 Digit                (Nomor)]])</f>
        <v>G1230</v>
      </c>
      <c r="N372" s="4" t="str">
        <f>IF(AI372="",CONCATENATE(S372,U372,W372,Y372,AA372,AC372,AE372,AG372,Table43[[#This Row],[Tanda Kode Revisi]]),CONCATENATE(S372,U372,W372,Y372,AA372,AC372,AE372,AI372))</f>
        <v>G1230000100330</v>
      </c>
      <c r="O372" s="11">
        <f t="shared" si="10"/>
        <v>14</v>
      </c>
      <c r="P372" s="14" t="str">
        <f>IF(AH372&lt;&gt;"",TRIM(UPPER(CONCATENATE(R372," ",T372," ",V372," ",X372," ",Z372," ",AB372," ","X"," ",Table43[[#This Row],[ISI/CTN]]," ",AH372," ",AD372," ",AF372," ",AJ372))),TRIM(UPPER(CONCATENATE(R372," ",T372," ",V372," ",X372," ",Z372," ",AB372," ","X"," ",Table43[[#This Row],[ISI/CTN]]," ",AD372," ",AF372," ",AJ372))))</f>
        <v>PROCLIN 3.5 L X 4 JRG</v>
      </c>
      <c r="Q372" s="11">
        <f t="shared" si="11"/>
        <v>21</v>
      </c>
      <c r="S372" s="7" t="s">
        <v>34</v>
      </c>
      <c r="T372" s="4" t="s">
        <v>2414</v>
      </c>
      <c r="U372" s="47" t="s">
        <v>2580</v>
      </c>
      <c r="V372" s="48"/>
      <c r="W372" s="7">
        <v>0</v>
      </c>
      <c r="X372" s="48"/>
      <c r="Y372" s="47" t="s">
        <v>1116</v>
      </c>
      <c r="AA372" s="49" t="s">
        <v>1117</v>
      </c>
      <c r="AB372" s="4" t="s">
        <v>2366</v>
      </c>
      <c r="AC372" s="49" t="s">
        <v>2616</v>
      </c>
      <c r="AD372" s="4" t="s">
        <v>2224</v>
      </c>
      <c r="AE372" s="7">
        <v>3</v>
      </c>
      <c r="AG372" s="7">
        <v>0</v>
      </c>
      <c r="AK372" s="70">
        <f>Table43[[#This Row],[Column4]]</f>
        <v>30370001003010</v>
      </c>
      <c r="AN372" s="7">
        <f>Table43[[#This Row],[ISI/CTN]]</f>
        <v>4</v>
      </c>
      <c r="AO372" s="61">
        <f>Table43[[#This Row],[Harga Jual Pcs GT
(-PPN)]]-(Table43[[#This Row],[Harga Jual Pcs GT
(-PPN)]]*6.5%)</f>
        <v>51364.224999999999</v>
      </c>
      <c r="AP372" s="61">
        <f>Table43[[#This Row],[Harga Beli Pcs
(-PPN)]]*Table43[[#This Row],[ISI/CTN]]</f>
        <v>205456.9</v>
      </c>
      <c r="AQ372" s="61">
        <f>Table43[[#This Row],[Harga Beli Pcs
(-PPN)]]*1.11</f>
        <v>57014.289750000004</v>
      </c>
      <c r="AR372" s="61">
        <f>Table43[[#This Row],[Harga Beli Krt
(- PPN)]]*1.11</f>
        <v>228057.15900000001</v>
      </c>
      <c r="AS372" s="61">
        <v>54935</v>
      </c>
      <c r="AT372" s="61">
        <f>Table43[[#This Row],[Harga Jual Pcs GT
(-PPN)]]*Table43[[#This Row],[ISI/CTN]]</f>
        <v>219740</v>
      </c>
      <c r="AU372" s="61">
        <f>Table43[[#This Row],[Harga Jual Pcs GT
(-PPN)]]*1.11</f>
        <v>60977.850000000006</v>
      </c>
      <c r="AV372" s="61">
        <f>Table43[[#This Row],[Harga Jual Krt GT
(- PPN)]]*1.11</f>
        <v>243911.40000000002</v>
      </c>
      <c r="AW372" s="61">
        <f>IFERROR(VLOOKUP(Table43[[#This Row],[Kode Pcpl]],'[1]FEB 2026'!$A$3:$X$312,24,0),0)</f>
        <v>0</v>
      </c>
      <c r="AX372" s="61">
        <f>Table43[[#This Row],[Harga Jual Pcs MT
(-PPN)]]*Table43[[#This Row],[ISI/CTN]]</f>
        <v>0</v>
      </c>
      <c r="AY372" s="61">
        <f>Table43[[#This Row],[Harga Jual Pcs MT
(-PPN)]]*1.11</f>
        <v>0</v>
      </c>
      <c r="AZ372" s="61">
        <f>Table43[[#This Row],[Harga Jual Pcs MT
(+PPN)]]*Table43[[#This Row],[ISI/CTN]]</f>
        <v>0</v>
      </c>
      <c r="BA372" s="62">
        <f>(Table43[[#This Row],[Harga Jual Pcs GT
(-PPN)]]-Table43[[#This Row],[Harga Beli Pcs
(-PPN)]])/Table43[[#This Row],[Harga Jual Pcs GT
(-PPN)]]</f>
        <v>6.500000000000003E-2</v>
      </c>
      <c r="BB372" s="63">
        <f>Table43[[#This Row],[Harga Jual Pcs MT
(-PPN)]]-Table43[[#This Row],[Harga Beli Pcs
(-PPN)]]</f>
        <v>-51364.224999999999</v>
      </c>
      <c r="BC372" s="64" t="e">
        <f>Table43[[#This Row],[Column1]]/Table43[[#This Row],[Harga Jual Pcs MT
(-PPN)]]</f>
        <v>#DIV/0!</v>
      </c>
      <c r="BD372" s="52"/>
      <c r="BE372" s="7"/>
      <c r="BF372" s="7" t="str">
        <f ca="1">IF(TODAY()-Table43[[#This Row],[Efektif
Pembuatan]]&gt;60,"Lama","Baru")</f>
        <v>Lama</v>
      </c>
      <c r="BG372" s="7" t="str">
        <f ca="1">IF(TODAY()-Table43[[#This Row],[Efektif Naik Harga]]&lt;30,"Naik","Sama")</f>
        <v>Sama</v>
      </c>
      <c r="BH372" s="7"/>
      <c r="BI372" s="7" t="str">
        <f>IF(Table43[[#This Row],[Kode BARANG Win2]]&lt;&gt;"","IDR","")</f>
        <v>IDR</v>
      </c>
      <c r="BJ372" s="7" t="str">
        <f>CONCATENATE(Table43[[#This Row],[kode  1 Digit
(Nomor)]],Table43[[#This Row],[kode  4 Digit                (Nomor)]])</f>
        <v>1003</v>
      </c>
      <c r="BK372" s="7" t="str">
        <f>Table43[[#This Row],[Nama            Gramasi atau Jumlah Pack per CTN]]</f>
        <v>3.5 L</v>
      </c>
      <c r="BL372" s="7"/>
      <c r="BM372" s="7"/>
      <c r="BN372" s="4" t="str">
        <f>IF(Table43[[#This Row],[SATUAN Fix Win]]&lt;&gt;"","KRT")</f>
        <v>KRT</v>
      </c>
      <c r="BO372" s="4" t="str">
        <f>IF(Table43[[#This Row],[SATUAN Fix Win]]&lt;&gt;"","GD01")</f>
        <v>GD01</v>
      </c>
      <c r="BP372" s="4">
        <f>IF(Table43[[#This Row],[SATUAN Fix Win]]&lt;&gt;"",11611)</f>
        <v>11611</v>
      </c>
      <c r="BQ372" s="4">
        <f>IF(Table43[[#This Row],[SATUAN Fix Win]]&lt;&gt;"",11612)</f>
        <v>11612</v>
      </c>
      <c r="BS372" s="4">
        <f>IF(Table43[[#This Row],[SATUAN Fix Win]]&lt;&gt;"",1)</f>
        <v>1</v>
      </c>
      <c r="BU372" s="4">
        <f>Table43[[#This Row],[ISI/CTN]]</f>
        <v>4</v>
      </c>
    </row>
    <row r="373" spans="1:73">
      <c r="A373" s="4" t="str">
        <f>CONCATENATE(Table43[[#This Row],[Kode BARANG Win2]],Table43[[#This Row],[No. Urut
Item Sama]])</f>
        <v>G1231000002530</v>
      </c>
      <c r="B373" s="7"/>
      <c r="C373" s="31">
        <v>30440030400030</v>
      </c>
      <c r="D373" s="51">
        <v>40058815</v>
      </c>
      <c r="E373" s="27"/>
      <c r="F373" s="51"/>
      <c r="G373" s="51">
        <v>0</v>
      </c>
      <c r="H373" s="27" t="s">
        <v>1366</v>
      </c>
      <c r="I373" s="27">
        <v>144</v>
      </c>
      <c r="J373" s="51" t="s">
        <v>1754</v>
      </c>
      <c r="K373" s="27" t="str">
        <f>Table43[[#This Row],[NamaJenisKemasan]]</f>
        <v>SCH</v>
      </c>
      <c r="L373" s="4" t="str">
        <f>TRIM(CONCATENATE(Table43[[#This Row],[Nama            KLP]]," ",Table43[[#This Row],[Nama            Sub KLP]]))</f>
        <v>PROCLIN PENGHILANG NODA</v>
      </c>
      <c r="M373" s="4" t="str">
        <f>CONCATENATE(Table43[[#This Row],[kode  2 Digit                (hrf+No)]],Table43[[#This Row],[kode  2 Digit                (Nomor)]],Table43[[#This Row],[kode  1 Digit                (Nomor)]])</f>
        <v>G1231</v>
      </c>
      <c r="N373" s="4" t="str">
        <f>IF(AI373="",CONCATENATE(S373,U373,W373,Y373,AA373,AC373,AE373,AG373,Table43[[#This Row],[Tanda Kode Revisi]]),CONCATENATE(S373,U373,W373,Y373,AA373,AC373,AE373,AI373))</f>
        <v>G1231000002530</v>
      </c>
      <c r="O373" s="11">
        <f t="shared" si="10"/>
        <v>14</v>
      </c>
      <c r="P373" s="14" t="str">
        <f>IF(AH373&lt;&gt;"",TRIM(UPPER(CONCATENATE(R373," ",T373," ",V373," ",X373," ",Z373," ",AB373," ","X"," ",Table43[[#This Row],[ISI/CTN]]," ",AH373," ",AD373," ",AF373," ",AJ373))),TRIM(UPPER(CONCATENATE(R373," ",T373," ",V373," ",X373," ",Z373," ",AB373," ","X"," ",Table43[[#This Row],[ISI/CTN]]," ",AD373," ",AF373," ",AJ373))))</f>
        <v>PROCLIN PENGHILANG NODA 25ML X 144 SCH</v>
      </c>
      <c r="Q373" s="11">
        <f t="shared" si="11"/>
        <v>38</v>
      </c>
      <c r="S373" s="7" t="s">
        <v>34</v>
      </c>
      <c r="T373" s="4" t="s">
        <v>2414</v>
      </c>
      <c r="U373" s="47" t="s">
        <v>2580</v>
      </c>
      <c r="V373" s="48" t="s">
        <v>2413</v>
      </c>
      <c r="W373" s="7">
        <v>1</v>
      </c>
      <c r="X373" s="48"/>
      <c r="Y373" s="47" t="s">
        <v>1116</v>
      </c>
      <c r="AA373" s="49" t="s">
        <v>1117</v>
      </c>
      <c r="AB373" s="4" t="s">
        <v>2367</v>
      </c>
      <c r="AC373" s="49" t="s">
        <v>2614</v>
      </c>
      <c r="AD373" s="4" t="s">
        <v>664</v>
      </c>
      <c r="AE373" s="7">
        <v>3</v>
      </c>
      <c r="AG373" s="7">
        <v>0</v>
      </c>
      <c r="AK373" s="70">
        <f>Table43[[#This Row],[Column4]]</f>
        <v>0</v>
      </c>
      <c r="AN373" s="7">
        <f>Table43[[#This Row],[ISI/CTN]]</f>
        <v>144</v>
      </c>
      <c r="AO373" s="61">
        <f>Table43[[#This Row],[Harga Jual Pcs GT
(-PPN)]]-(Table43[[#This Row],[Harga Jual Pcs GT
(-PPN)]]*6.5%)</f>
        <v>673.2</v>
      </c>
      <c r="AP373" s="61">
        <f>Table43[[#This Row],[Harga Beli Pcs
(-PPN)]]*Table43[[#This Row],[ISI/CTN]]</f>
        <v>96940.800000000003</v>
      </c>
      <c r="AQ373" s="61">
        <f>Table43[[#This Row],[Harga Beli Pcs
(-PPN)]]*1.11</f>
        <v>747.25200000000007</v>
      </c>
      <c r="AR373" s="61">
        <f>Table43[[#This Row],[Harga Beli Krt
(- PPN)]]*1.11</f>
        <v>107604.28800000002</v>
      </c>
      <c r="AS373" s="61">
        <v>720</v>
      </c>
      <c r="AT373" s="61">
        <f>Table43[[#This Row],[Harga Jual Pcs GT
(-PPN)]]*Table43[[#This Row],[ISI/CTN]]</f>
        <v>103680</v>
      </c>
      <c r="AU373" s="61">
        <f>Table43[[#This Row],[Harga Jual Pcs GT
(-PPN)]]*1.11</f>
        <v>799.2</v>
      </c>
      <c r="AV373" s="61">
        <f>Table43[[#This Row],[Harga Jual Krt GT
(- PPN)]]*1.11</f>
        <v>115084.8</v>
      </c>
      <c r="AW373" s="61">
        <f>IFERROR(VLOOKUP(Table43[[#This Row],[Kode Pcpl]],'[1]FEB 2026'!$A$3:$X$312,24,0),0)</f>
        <v>0</v>
      </c>
      <c r="AX373" s="61">
        <f>Table43[[#This Row],[Harga Jual Pcs MT
(-PPN)]]*Table43[[#This Row],[ISI/CTN]]</f>
        <v>0</v>
      </c>
      <c r="AY373" s="61">
        <f>Table43[[#This Row],[Harga Jual Pcs MT
(-PPN)]]*1.11</f>
        <v>0</v>
      </c>
      <c r="AZ373" s="61">
        <f>Table43[[#This Row],[Harga Jual Pcs MT
(+PPN)]]*Table43[[#This Row],[ISI/CTN]]</f>
        <v>0</v>
      </c>
      <c r="BA373" s="62">
        <f>(Table43[[#This Row],[Harga Jual Pcs GT
(-PPN)]]-Table43[[#This Row],[Harga Beli Pcs
(-PPN)]])/Table43[[#This Row],[Harga Jual Pcs GT
(-PPN)]]</f>
        <v>6.4999999999999933E-2</v>
      </c>
      <c r="BB373" s="63">
        <f>Table43[[#This Row],[Harga Jual Pcs MT
(-PPN)]]-Table43[[#This Row],[Harga Beli Pcs
(-PPN)]]</f>
        <v>-673.2</v>
      </c>
      <c r="BC373" s="64" t="e">
        <f>Table43[[#This Row],[Column1]]/Table43[[#This Row],[Harga Jual Pcs MT
(-PPN)]]</f>
        <v>#DIV/0!</v>
      </c>
      <c r="BD373" s="52"/>
      <c r="BE373" s="7"/>
      <c r="BF373" s="7" t="str">
        <f ca="1">IF(TODAY()-Table43[[#This Row],[Efektif
Pembuatan]]&gt;60,"Lama","Baru")</f>
        <v>Lama</v>
      </c>
      <c r="BG373" s="7" t="str">
        <f ca="1">IF(TODAY()-Table43[[#This Row],[Efektif Naik Harga]]&lt;30,"Naik","Sama")</f>
        <v>Sama</v>
      </c>
      <c r="BH373" s="7"/>
      <c r="BI373" s="7" t="str">
        <f>IF(Table43[[#This Row],[Kode BARANG Win2]]&lt;&gt;"","IDR","")</f>
        <v>IDR</v>
      </c>
      <c r="BJ373" s="7" t="str">
        <f>CONCATENATE(Table43[[#This Row],[kode  1 Digit
(Nomor)]],Table43[[#This Row],[kode  4 Digit                (Nomor)]])</f>
        <v>0025</v>
      </c>
      <c r="BK373" s="7" t="str">
        <f>Table43[[#This Row],[Nama            Gramasi atau Jumlah Pack per CTN]]</f>
        <v>25ML</v>
      </c>
      <c r="BL373" s="7"/>
      <c r="BM373" s="7"/>
      <c r="BN373" s="4" t="str">
        <f>IF(Table43[[#This Row],[SATUAN Fix Win]]&lt;&gt;"","KRT")</f>
        <v>KRT</v>
      </c>
      <c r="BO373" s="4" t="str">
        <f>IF(Table43[[#This Row],[SATUAN Fix Win]]&lt;&gt;"","GD01")</f>
        <v>GD01</v>
      </c>
      <c r="BP373" s="4">
        <f>IF(Table43[[#This Row],[SATUAN Fix Win]]&lt;&gt;"",11611)</f>
        <v>11611</v>
      </c>
      <c r="BQ373" s="4">
        <f>IF(Table43[[#This Row],[SATUAN Fix Win]]&lt;&gt;"",11612)</f>
        <v>11612</v>
      </c>
      <c r="BS373" s="4">
        <f>IF(Table43[[#This Row],[SATUAN Fix Win]]&lt;&gt;"",1)</f>
        <v>1</v>
      </c>
      <c r="BU373" s="4">
        <f>Table43[[#This Row],[ISI/CTN]]</f>
        <v>144</v>
      </c>
    </row>
    <row r="374" spans="1:73">
      <c r="A374" s="4" t="str">
        <f>CONCATENATE(Table43[[#This Row],[Kode BARANG Win2]],Table43[[#This Row],[No. Urut
Item Sama]])</f>
        <v>G1231000002530</v>
      </c>
      <c r="B374" s="7"/>
      <c r="C374" s="31">
        <v>30430010230040</v>
      </c>
      <c r="D374" s="51">
        <v>40042167</v>
      </c>
      <c r="E374" s="27" t="s">
        <v>2070</v>
      </c>
      <c r="F374" s="51">
        <v>30371000025030</v>
      </c>
      <c r="G374" s="51">
        <v>0</v>
      </c>
      <c r="H374" s="27" t="s">
        <v>1365</v>
      </c>
      <c r="I374" s="27">
        <v>144</v>
      </c>
      <c r="J374" s="51" t="s">
        <v>1754</v>
      </c>
      <c r="K374" s="27" t="str">
        <f>Table43[[#This Row],[NamaJenisKemasan]]</f>
        <v>SCH</v>
      </c>
      <c r="L374" s="4" t="str">
        <f>TRIM(CONCATENATE(Table43[[#This Row],[Nama            KLP]]," ",Table43[[#This Row],[Nama            Sub KLP]]))</f>
        <v>PROCLIN PENGHILANG NODA</v>
      </c>
      <c r="M374" s="4" t="str">
        <f>CONCATENATE(Table43[[#This Row],[kode  2 Digit                (hrf+No)]],Table43[[#This Row],[kode  2 Digit                (Nomor)]],Table43[[#This Row],[kode  1 Digit                (Nomor)]])</f>
        <v>G1231</v>
      </c>
      <c r="N374" s="4" t="str">
        <f>IF(AI374="",CONCATENATE(S374,U374,W374,Y374,AA374,AC374,AE374,AG374,Table43[[#This Row],[Tanda Kode Revisi]]),CONCATENATE(S374,U374,W374,Y374,AA374,AC374,AE374,AI374))</f>
        <v>G1231000002530</v>
      </c>
      <c r="O374" s="11">
        <f t="shared" si="10"/>
        <v>14</v>
      </c>
      <c r="P374" s="14" t="str">
        <f>IF(AH374&lt;&gt;"",TRIM(UPPER(CONCATENATE(R374," ",T374," ",V374," ",X374," ",Z374," ",AB374," ","X"," ",Table43[[#This Row],[ISI/CTN]]," ",AH374," ",AD374," ",AF374," ",AJ374))),TRIM(UPPER(CONCATENATE(R374," ",T374," ",V374," ",X374," ",Z374," ",AB374," ","X"," ",Table43[[#This Row],[ISI/CTN]]," ",AD374," ",AF374," ",AJ374))))</f>
        <v>PROCLIN PENGHILANG NODA 25ML X 144 SCH</v>
      </c>
      <c r="Q374" s="11">
        <f t="shared" si="11"/>
        <v>38</v>
      </c>
      <c r="S374" s="7" t="s">
        <v>34</v>
      </c>
      <c r="T374" s="4" t="s">
        <v>2414</v>
      </c>
      <c r="U374" s="47" t="s">
        <v>2580</v>
      </c>
      <c r="V374" s="48" t="s">
        <v>2413</v>
      </c>
      <c r="W374" s="7">
        <v>1</v>
      </c>
      <c r="X374" s="48"/>
      <c r="Y374" s="47" t="s">
        <v>1116</v>
      </c>
      <c r="AA374" s="49" t="s">
        <v>1117</v>
      </c>
      <c r="AB374" s="4" t="s">
        <v>2367</v>
      </c>
      <c r="AC374" s="49" t="s">
        <v>2614</v>
      </c>
      <c r="AD374" s="4" t="s">
        <v>664</v>
      </c>
      <c r="AE374" s="7">
        <v>3</v>
      </c>
      <c r="AG374" s="7">
        <v>0</v>
      </c>
      <c r="AK374" s="70">
        <f>Table43[[#This Row],[Column4]]</f>
        <v>30371000025030</v>
      </c>
      <c r="AN374" s="7">
        <f>Table43[[#This Row],[ISI/CTN]]</f>
        <v>144</v>
      </c>
      <c r="AO374" s="38">
        <f>Table43[[#This Row],[Harga Jual Pcs GT
(-PPN)]]-(Table43[[#This Row],[Harga Jual Pcs GT
(-PPN)]]*6.5%)</f>
        <v>673.2</v>
      </c>
      <c r="AP374" s="38">
        <f>Table43[[#This Row],[Harga Beli Pcs
(-PPN)]]*Table43[[#This Row],[ISI/CTN]]</f>
        <v>96940.800000000003</v>
      </c>
      <c r="AQ374" s="38">
        <f>Table43[[#This Row],[Harga Beli Pcs
(-PPN)]]*1.11</f>
        <v>747.25200000000007</v>
      </c>
      <c r="AR374" s="38">
        <f>Table43[[#This Row],[Harga Beli Krt
(- PPN)]]*1.11</f>
        <v>107604.28800000002</v>
      </c>
      <c r="AS374" s="38">
        <v>720</v>
      </c>
      <c r="AT374" s="38">
        <f>Table43[[#This Row],[Harga Jual Pcs GT
(-PPN)]]*Table43[[#This Row],[ISI/CTN]]</f>
        <v>103680</v>
      </c>
      <c r="AU374" s="38">
        <f>Table43[[#This Row],[Harga Jual Pcs GT
(-PPN)]]*1.11</f>
        <v>799.2</v>
      </c>
      <c r="AV374" s="38">
        <f>Table43[[#This Row],[Harga Jual Krt GT
(- PPN)]]*1.11</f>
        <v>115084.8</v>
      </c>
      <c r="AW374" s="38">
        <f>IFERROR(VLOOKUP(Table43[[#This Row],[Kode Pcpl]],'[1]FEB 2026'!$A$3:$X$312,24,0),0)</f>
        <v>0</v>
      </c>
      <c r="AX374" s="38">
        <f>Table43[[#This Row],[Harga Jual Pcs MT
(-PPN)]]*Table43[[#This Row],[ISI/CTN]]</f>
        <v>0</v>
      </c>
      <c r="AY374" s="38">
        <f>Table43[[#This Row],[Harga Jual Pcs MT
(-PPN)]]*1.11</f>
        <v>0</v>
      </c>
      <c r="AZ374" s="38">
        <f>Table43[[#This Row],[Harga Jual Pcs MT
(+PPN)]]*Table43[[#This Row],[ISI/CTN]]</f>
        <v>0</v>
      </c>
      <c r="BA374" s="46">
        <f>(Table43[[#This Row],[Harga Jual Pcs GT
(-PPN)]]-Table43[[#This Row],[Harga Beli Pcs
(-PPN)]])/Table43[[#This Row],[Harga Jual Pcs GT
(-PPN)]]</f>
        <v>6.4999999999999933E-2</v>
      </c>
      <c r="BB374" s="53">
        <f>Table43[[#This Row],[Harga Jual Pcs MT
(-PPN)]]-Table43[[#This Row],[Harga Beli Pcs
(-PPN)]]</f>
        <v>-673.2</v>
      </c>
      <c r="BC374" s="54" t="e">
        <f>Table43[[#This Row],[Column1]]/Table43[[#This Row],[Harga Jual Pcs MT
(-PPN)]]</f>
        <v>#DIV/0!</v>
      </c>
      <c r="BD374" s="52"/>
      <c r="BE374" s="7"/>
      <c r="BF374" s="7" t="str">
        <f ca="1">IF(TODAY()-Table43[[#This Row],[Efektif
Pembuatan]]&gt;60,"Lama","Baru")</f>
        <v>Lama</v>
      </c>
      <c r="BG374" s="7" t="str">
        <f ca="1">IF(TODAY()-Table43[[#This Row],[Efektif Naik Harga]]&lt;30,"Naik","Sama")</f>
        <v>Sama</v>
      </c>
      <c r="BH374" s="7"/>
      <c r="BI374" s="7" t="str">
        <f>IF(Table43[[#This Row],[Kode BARANG Win2]]&lt;&gt;"","IDR","")</f>
        <v>IDR</v>
      </c>
      <c r="BJ374" s="7" t="str">
        <f>CONCATENATE(Table43[[#This Row],[kode  1 Digit
(Nomor)]],Table43[[#This Row],[kode  4 Digit                (Nomor)]])</f>
        <v>0025</v>
      </c>
      <c r="BK374" s="7" t="str">
        <f>Table43[[#This Row],[Nama            Gramasi atau Jumlah Pack per CTN]]</f>
        <v>25ML</v>
      </c>
      <c r="BL374" s="7"/>
      <c r="BM374" s="7"/>
      <c r="BN374" s="4" t="str">
        <f>IF(Table43[[#This Row],[SATUAN Fix Win]]&lt;&gt;"","KRT")</f>
        <v>KRT</v>
      </c>
      <c r="BO374" s="4" t="str">
        <f>IF(Table43[[#This Row],[SATUAN Fix Win]]&lt;&gt;"","GD01")</f>
        <v>GD01</v>
      </c>
      <c r="BP374" s="4">
        <f>IF(Table43[[#This Row],[SATUAN Fix Win]]&lt;&gt;"",11611)</f>
        <v>11611</v>
      </c>
      <c r="BQ374" s="4">
        <f>IF(Table43[[#This Row],[SATUAN Fix Win]]&lt;&gt;"",11612)</f>
        <v>11612</v>
      </c>
      <c r="BS374" s="4">
        <f>IF(Table43[[#This Row],[SATUAN Fix Win]]&lt;&gt;"",1)</f>
        <v>1</v>
      </c>
      <c r="BU374" s="4">
        <f>Table43[[#This Row],[ISI/CTN]]</f>
        <v>144</v>
      </c>
    </row>
    <row r="375" spans="1:73">
      <c r="A375" s="4" t="str">
        <f>CONCATENATE(Table43[[#This Row],[Kode BARANG Win2]],Table43[[#This Row],[No. Urut
Item Sama]])</f>
        <v>G1231000002530</v>
      </c>
      <c r="B375" s="7"/>
      <c r="C375" s="31"/>
      <c r="D375" s="51">
        <v>40032019</v>
      </c>
      <c r="E375" s="27"/>
      <c r="F375" s="51"/>
      <c r="G375" s="51"/>
      <c r="H375" s="27"/>
      <c r="I375" s="27">
        <v>144</v>
      </c>
      <c r="J375" s="51"/>
      <c r="K375" s="27" t="str">
        <f>Table43[[#This Row],[NamaJenisKemasan]]</f>
        <v>SCH</v>
      </c>
      <c r="L375" s="4" t="str">
        <f>TRIM(CONCATENATE(Table43[[#This Row],[Nama            KLP]]," ",Table43[[#This Row],[Nama            Sub KLP]]))</f>
        <v>PROCLIN PENGHILANG NODA</v>
      </c>
      <c r="M375" s="4" t="str">
        <f>CONCATENATE(Table43[[#This Row],[kode  2 Digit                (hrf+No)]],Table43[[#This Row],[kode  2 Digit                (Nomor)]],Table43[[#This Row],[kode  1 Digit                (Nomor)]])</f>
        <v>G1231</v>
      </c>
      <c r="N375" s="4" t="str">
        <f>IF(AI375="",CONCATENATE(S375,U375,W375,Y375,AA375,AC375,AE375,AG375,Table43[[#This Row],[Tanda Kode Revisi]]),CONCATENATE(S375,U375,W375,Y375,AA375,AC375,AE375,AI375))</f>
        <v>G1231000002530</v>
      </c>
      <c r="O375" s="11">
        <f t="shared" si="10"/>
        <v>14</v>
      </c>
      <c r="P375" s="14" t="str">
        <f>IF(AH375&lt;&gt;"",TRIM(UPPER(CONCATENATE(R375," ",T375," ",V375," ",X375," ",Z375," ",AB375," ","X"," ",Table43[[#This Row],[ISI/CTN]]," ",AH375," ",AD375," ",AF375," ",AJ375))),TRIM(UPPER(CONCATENATE(R375," ",T375," ",V375," ",X375," ",Z375," ",AB375," ","X"," ",Table43[[#This Row],[ISI/CTN]]," ",AD375," ",AF375," ",AJ375))))</f>
        <v>PROCLIN PENGHILANG NODA 25ML X 144 SCH</v>
      </c>
      <c r="Q375" s="11">
        <f t="shared" si="11"/>
        <v>38</v>
      </c>
      <c r="S375" s="7" t="s">
        <v>34</v>
      </c>
      <c r="T375" s="4" t="s">
        <v>2414</v>
      </c>
      <c r="U375" s="47" t="s">
        <v>2580</v>
      </c>
      <c r="V375" s="48" t="s">
        <v>2413</v>
      </c>
      <c r="W375" s="7">
        <v>1</v>
      </c>
      <c r="X375" s="48"/>
      <c r="Y375" s="47" t="s">
        <v>1116</v>
      </c>
      <c r="AA375" s="49" t="s">
        <v>1117</v>
      </c>
      <c r="AB375" s="4" t="s">
        <v>2367</v>
      </c>
      <c r="AC375" s="49" t="s">
        <v>2614</v>
      </c>
      <c r="AD375" s="4" t="s">
        <v>664</v>
      </c>
      <c r="AE375" s="7">
        <v>3</v>
      </c>
      <c r="AG375" s="7">
        <v>0</v>
      </c>
      <c r="AK375" s="70">
        <f>Table43[[#This Row],[Column4]]</f>
        <v>0</v>
      </c>
      <c r="AN375" s="7">
        <f>Table43[[#This Row],[ISI/CTN]]</f>
        <v>144</v>
      </c>
      <c r="AO375" s="38">
        <f>Table43[[#This Row],[Harga Jual Pcs GT
(-PPN)]]-(Table43[[#This Row],[Harga Jual Pcs GT
(-PPN)]]*6.5%)</f>
        <v>673.2</v>
      </c>
      <c r="AP375" s="38">
        <f>Table43[[#This Row],[Harga Beli Pcs
(-PPN)]]*Table43[[#This Row],[ISI/CTN]]</f>
        <v>96940.800000000003</v>
      </c>
      <c r="AQ375" s="38">
        <f>Table43[[#This Row],[Harga Beli Pcs
(-PPN)]]*1.11</f>
        <v>747.25200000000007</v>
      </c>
      <c r="AR375" s="38">
        <f>Table43[[#This Row],[Harga Beli Krt
(- PPN)]]*1.11</f>
        <v>107604.28800000002</v>
      </c>
      <c r="AS375" s="38">
        <v>720</v>
      </c>
      <c r="AT375" s="38">
        <f>Table43[[#This Row],[Harga Jual Pcs GT
(-PPN)]]*Table43[[#This Row],[ISI/CTN]]</f>
        <v>103680</v>
      </c>
      <c r="AU375" s="38">
        <f>Table43[[#This Row],[Harga Jual Pcs GT
(-PPN)]]*1.11</f>
        <v>799.2</v>
      </c>
      <c r="AV375" s="38">
        <f>Table43[[#This Row],[Harga Jual Krt GT
(- PPN)]]*1.11</f>
        <v>115084.8</v>
      </c>
      <c r="AW375" s="38">
        <f>IFERROR(VLOOKUP(Table43[[#This Row],[Kode Pcpl]],'[1]FEB 2026'!$A$3:$X$312,24,0),0)</f>
        <v>0</v>
      </c>
      <c r="AX375" s="38">
        <f>Table43[[#This Row],[Harga Jual Pcs MT
(-PPN)]]*Table43[[#This Row],[ISI/CTN]]</f>
        <v>0</v>
      </c>
      <c r="AY375" s="38">
        <f>Table43[[#This Row],[Harga Jual Pcs MT
(-PPN)]]*1.11</f>
        <v>0</v>
      </c>
      <c r="AZ375" s="38">
        <f>Table43[[#This Row],[Harga Jual Pcs MT
(+PPN)]]*Table43[[#This Row],[ISI/CTN]]</f>
        <v>0</v>
      </c>
      <c r="BA375" s="46">
        <f>(Table43[[#This Row],[Harga Jual Pcs GT
(-PPN)]]-Table43[[#This Row],[Harga Beli Pcs
(-PPN)]])/Table43[[#This Row],[Harga Jual Pcs GT
(-PPN)]]</f>
        <v>6.4999999999999933E-2</v>
      </c>
      <c r="BB375" s="53">
        <f>Table43[[#This Row],[Harga Jual Pcs MT
(-PPN)]]-Table43[[#This Row],[Harga Beli Pcs
(-PPN)]]</f>
        <v>-673.2</v>
      </c>
      <c r="BC375" s="54" t="e">
        <f>Table43[[#This Row],[Column1]]/Table43[[#This Row],[Harga Jual Pcs MT
(-PPN)]]</f>
        <v>#DIV/0!</v>
      </c>
      <c r="BD375" s="52"/>
      <c r="BE375" s="7"/>
      <c r="BF375" s="7" t="str">
        <f ca="1">IF(TODAY()-Table43[[#This Row],[Efektif
Pembuatan]]&gt;60,"Lama","Baru")</f>
        <v>Lama</v>
      </c>
      <c r="BG375" s="7" t="str">
        <f ca="1">IF(TODAY()-Table43[[#This Row],[Efektif Naik Harga]]&lt;30,"Naik","Sama")</f>
        <v>Sama</v>
      </c>
      <c r="BH375" s="7"/>
      <c r="BI375" s="7" t="str">
        <f>IF(Table43[[#This Row],[Kode BARANG Win2]]&lt;&gt;"","IDR","")</f>
        <v>IDR</v>
      </c>
      <c r="BJ375" s="7" t="str">
        <f>CONCATENATE(Table43[[#This Row],[kode  1 Digit
(Nomor)]],Table43[[#This Row],[kode  4 Digit                (Nomor)]])</f>
        <v>0025</v>
      </c>
      <c r="BK375" s="7" t="str">
        <f>Table43[[#This Row],[Nama            Gramasi atau Jumlah Pack per CTN]]</f>
        <v>25ML</v>
      </c>
      <c r="BL375" s="7"/>
      <c r="BM375" s="7"/>
      <c r="BN375" s="4" t="str">
        <f>IF(Table43[[#This Row],[SATUAN Fix Win]]&lt;&gt;"","KRT")</f>
        <v>KRT</v>
      </c>
      <c r="BO375" s="4" t="str">
        <f>IF(Table43[[#This Row],[SATUAN Fix Win]]&lt;&gt;"","GD01")</f>
        <v>GD01</v>
      </c>
      <c r="BP375" s="4">
        <f>IF(Table43[[#This Row],[SATUAN Fix Win]]&lt;&gt;"",11611)</f>
        <v>11611</v>
      </c>
      <c r="BQ375" s="4">
        <f>IF(Table43[[#This Row],[SATUAN Fix Win]]&lt;&gt;"",11612)</f>
        <v>11612</v>
      </c>
      <c r="BS375" s="4">
        <f>IF(Table43[[#This Row],[SATUAN Fix Win]]&lt;&gt;"",1)</f>
        <v>1</v>
      </c>
      <c r="BU375" s="4">
        <f>Table43[[#This Row],[ISI/CTN]]</f>
        <v>144</v>
      </c>
    </row>
    <row r="376" spans="1:73">
      <c r="A376" s="4" t="str">
        <f>CONCATENATE(Table43[[#This Row],[Kode BARANG Win2]],Table43[[#This Row],[No. Urut
Item Sama]])</f>
        <v>G1231000002530</v>
      </c>
      <c r="B376" s="7"/>
      <c r="C376" s="31"/>
      <c r="D376" s="59">
        <v>40026441</v>
      </c>
      <c r="E376" s="60"/>
      <c r="F376" s="59"/>
      <c r="G376" s="59"/>
      <c r="H376" s="60"/>
      <c r="I376" s="60">
        <v>144</v>
      </c>
      <c r="J376" s="59"/>
      <c r="K376" s="60" t="str">
        <f>Table43[[#This Row],[NamaJenisKemasan]]</f>
        <v>SCH</v>
      </c>
      <c r="L376" s="4" t="str">
        <f>TRIM(CONCATENATE(Table43[[#This Row],[Nama            KLP]]," ",Table43[[#This Row],[Nama            Sub KLP]]))</f>
        <v>PROCLIN PENGHILANG NODA</v>
      </c>
      <c r="M376" s="4" t="str">
        <f>CONCATENATE(Table43[[#This Row],[kode  2 Digit                (hrf+No)]],Table43[[#This Row],[kode  2 Digit                (Nomor)]],Table43[[#This Row],[kode  1 Digit                (Nomor)]])</f>
        <v>G1231</v>
      </c>
      <c r="N376" s="4" t="str">
        <f>IF(AI376="",CONCATENATE(S376,U376,W376,Y376,AA376,AC376,AE376,AG376,Table43[[#This Row],[Tanda Kode Revisi]]),CONCATENATE(S376,U376,W376,Y376,AA376,AC376,AE376,AI376))</f>
        <v>G1231000002530</v>
      </c>
      <c r="O376" s="11">
        <f t="shared" si="10"/>
        <v>14</v>
      </c>
      <c r="P376" s="14" t="str">
        <f>IF(AH376&lt;&gt;"",TRIM(UPPER(CONCATENATE(R376," ",T376," ",V376," ",X376," ",Z376," ",AB376," ","X"," ",Table43[[#This Row],[ISI/CTN]]," ",AH376," ",AD376," ",AF376," ",AJ376))),TRIM(UPPER(CONCATENATE(R376," ",T376," ",V376," ",X376," ",Z376," ",AB376," ","X"," ",Table43[[#This Row],[ISI/CTN]]," ",AD376," ",AF376," ",AJ376))))</f>
        <v>PROCLIN PENGHILANG NODA 25ML X 144 SCH</v>
      </c>
      <c r="Q376" s="11">
        <f t="shared" si="11"/>
        <v>38</v>
      </c>
      <c r="S376" s="7" t="s">
        <v>34</v>
      </c>
      <c r="T376" s="4" t="s">
        <v>2414</v>
      </c>
      <c r="U376" s="47" t="s">
        <v>2580</v>
      </c>
      <c r="V376" s="48" t="s">
        <v>2413</v>
      </c>
      <c r="W376" s="7">
        <v>1</v>
      </c>
      <c r="X376" s="48"/>
      <c r="Y376" s="47" t="s">
        <v>1116</v>
      </c>
      <c r="AA376" s="49" t="s">
        <v>1117</v>
      </c>
      <c r="AB376" s="4" t="s">
        <v>2367</v>
      </c>
      <c r="AC376" s="49" t="s">
        <v>2614</v>
      </c>
      <c r="AD376" s="4" t="s">
        <v>664</v>
      </c>
      <c r="AE376" s="7">
        <v>3</v>
      </c>
      <c r="AG376" s="7">
        <v>0</v>
      </c>
      <c r="AK376" s="70">
        <f>Table43[[#This Row],[Column4]]</f>
        <v>0</v>
      </c>
      <c r="AN376" s="7">
        <f>Table43[[#This Row],[ISI/CTN]]</f>
        <v>144</v>
      </c>
      <c r="AO376" s="38">
        <f>Table43[[#This Row],[Harga Jual Pcs GT
(-PPN)]]-(Table43[[#This Row],[Harga Jual Pcs GT
(-PPN)]]*6.5%)</f>
        <v>673.2</v>
      </c>
      <c r="AP376" s="38">
        <f>Table43[[#This Row],[Harga Beli Pcs
(-PPN)]]*Table43[[#This Row],[ISI/CTN]]</f>
        <v>96940.800000000003</v>
      </c>
      <c r="AQ376" s="38">
        <f>Table43[[#This Row],[Harga Beli Pcs
(-PPN)]]*1.11</f>
        <v>747.25200000000007</v>
      </c>
      <c r="AR376" s="38">
        <f>Table43[[#This Row],[Harga Beli Krt
(- PPN)]]*1.11</f>
        <v>107604.28800000002</v>
      </c>
      <c r="AS376" s="38">
        <v>720</v>
      </c>
      <c r="AT376" s="38">
        <f>Table43[[#This Row],[Harga Jual Pcs GT
(-PPN)]]*Table43[[#This Row],[ISI/CTN]]</f>
        <v>103680</v>
      </c>
      <c r="AU376" s="38">
        <f>Table43[[#This Row],[Harga Jual Pcs GT
(-PPN)]]*1.11</f>
        <v>799.2</v>
      </c>
      <c r="AV376" s="38">
        <f>Table43[[#This Row],[Harga Jual Krt GT
(- PPN)]]*1.11</f>
        <v>115084.8</v>
      </c>
      <c r="AW376" s="38">
        <f>IFERROR(VLOOKUP(Table43[[#This Row],[Kode Pcpl]],'[1]FEB 2026'!$A$3:$X$312,24,0),0)</f>
        <v>0</v>
      </c>
      <c r="AX376" s="38">
        <f>Table43[[#This Row],[Harga Jual Pcs MT
(-PPN)]]*Table43[[#This Row],[ISI/CTN]]</f>
        <v>0</v>
      </c>
      <c r="AY376" s="38">
        <f>Table43[[#This Row],[Harga Jual Pcs MT
(-PPN)]]*1.11</f>
        <v>0</v>
      </c>
      <c r="AZ376" s="38">
        <f>Table43[[#This Row],[Harga Jual Pcs MT
(+PPN)]]*Table43[[#This Row],[ISI/CTN]]</f>
        <v>0</v>
      </c>
      <c r="BA376" s="46">
        <f>(Table43[[#This Row],[Harga Jual Pcs GT
(-PPN)]]-Table43[[#This Row],[Harga Beli Pcs
(-PPN)]])/Table43[[#This Row],[Harga Jual Pcs GT
(-PPN)]]</f>
        <v>6.4999999999999933E-2</v>
      </c>
      <c r="BB376" s="53">
        <f>Table43[[#This Row],[Harga Jual Pcs MT
(-PPN)]]-Table43[[#This Row],[Harga Beli Pcs
(-PPN)]]</f>
        <v>-673.2</v>
      </c>
      <c r="BC376" s="54" t="e">
        <f>Table43[[#This Row],[Column1]]/Table43[[#This Row],[Harga Jual Pcs MT
(-PPN)]]</f>
        <v>#DIV/0!</v>
      </c>
      <c r="BD376" s="52"/>
      <c r="BE376" s="7"/>
      <c r="BF376" s="7" t="str">
        <f ca="1">IF(TODAY()-Table43[[#This Row],[Efektif
Pembuatan]]&gt;60,"Lama","Baru")</f>
        <v>Lama</v>
      </c>
      <c r="BG376" s="7" t="str">
        <f ca="1">IF(TODAY()-Table43[[#This Row],[Efektif Naik Harga]]&lt;30,"Naik","Sama")</f>
        <v>Sama</v>
      </c>
      <c r="BH376" s="7"/>
      <c r="BI376" s="7" t="str">
        <f>IF(Table43[[#This Row],[Kode BARANG Win2]]&lt;&gt;"","IDR","")</f>
        <v>IDR</v>
      </c>
      <c r="BJ376" s="7" t="str">
        <f>CONCATENATE(Table43[[#This Row],[kode  1 Digit
(Nomor)]],Table43[[#This Row],[kode  4 Digit                (Nomor)]])</f>
        <v>0025</v>
      </c>
      <c r="BK376" s="7" t="str">
        <f>Table43[[#This Row],[Nama            Gramasi atau Jumlah Pack per CTN]]</f>
        <v>25ML</v>
      </c>
      <c r="BL376" s="7"/>
      <c r="BM376" s="7"/>
      <c r="BN376" s="4" t="str">
        <f>IF(Table43[[#This Row],[SATUAN Fix Win]]&lt;&gt;"","KRT")</f>
        <v>KRT</v>
      </c>
      <c r="BO376" s="4" t="str">
        <f>IF(Table43[[#This Row],[SATUAN Fix Win]]&lt;&gt;"","GD01")</f>
        <v>GD01</v>
      </c>
      <c r="BP376" s="4">
        <f>IF(Table43[[#This Row],[SATUAN Fix Win]]&lt;&gt;"",11611)</f>
        <v>11611</v>
      </c>
      <c r="BQ376" s="4">
        <f>IF(Table43[[#This Row],[SATUAN Fix Win]]&lt;&gt;"",11612)</f>
        <v>11612</v>
      </c>
      <c r="BS376" s="4">
        <f>IF(Table43[[#This Row],[SATUAN Fix Win]]&lt;&gt;"",1)</f>
        <v>1</v>
      </c>
      <c r="BU376" s="4">
        <f>Table43[[#This Row],[ISI/CTN]]</f>
        <v>144</v>
      </c>
    </row>
    <row r="377" spans="1:73">
      <c r="A377" s="4" t="str">
        <f>CONCATENATE(Table43[[#This Row],[Kode BARANG Win2]],Table43[[#This Row],[No. Urut
Item Sama]])</f>
        <v>G1231000012510</v>
      </c>
      <c r="B377" s="7"/>
      <c r="C377" s="31">
        <v>30430020060000</v>
      </c>
      <c r="D377" s="51">
        <v>40042168</v>
      </c>
      <c r="E377" s="27" t="s">
        <v>2071</v>
      </c>
      <c r="F377" s="51">
        <v>30371000125022</v>
      </c>
      <c r="G377" s="51">
        <v>0</v>
      </c>
      <c r="H377" s="27" t="s">
        <v>1367</v>
      </c>
      <c r="I377" s="27">
        <v>24</v>
      </c>
      <c r="J377" s="51" t="s">
        <v>1755</v>
      </c>
      <c r="K377" s="27" t="str">
        <f>Table43[[#This Row],[NamaJenisKemasan]]</f>
        <v>PCH</v>
      </c>
      <c r="L377" s="4" t="str">
        <f>TRIM(CONCATENATE(Table43[[#This Row],[Nama            KLP]]," ",Table43[[#This Row],[Nama            Sub KLP]]))</f>
        <v>PROCLIN PENGHILANG NODA</v>
      </c>
      <c r="M377" s="4" t="str">
        <f>CONCATENATE(Table43[[#This Row],[kode  2 Digit                (hrf+No)]],Table43[[#This Row],[kode  2 Digit                (Nomor)]],Table43[[#This Row],[kode  1 Digit                (Nomor)]])</f>
        <v>G1231</v>
      </c>
      <c r="N377" s="4" t="str">
        <f>IF(AI377="",CONCATENATE(S377,U377,W377,Y377,AA377,AC377,AE377,AG377,Table43[[#This Row],[Tanda Kode Revisi]]),CONCATENATE(S377,U377,W377,Y377,AA377,AC377,AE377,AI377))</f>
        <v>G1231000012510</v>
      </c>
      <c r="O377" s="11">
        <f t="shared" si="10"/>
        <v>14</v>
      </c>
      <c r="P377" s="14" t="str">
        <f>IF(AH377&lt;&gt;"",TRIM(UPPER(CONCATENATE(R377," ",T377," ",V377," ",X377," ",Z377," ",AB377," ","X"," ",Table43[[#This Row],[ISI/CTN]]," ",AH377," ",AD377," ",AF377," ",AJ377))),TRIM(UPPER(CONCATENATE(R377," ",T377," ",V377," ",X377," ",Z377," ",AB377," ","X"," ",Table43[[#This Row],[ISI/CTN]]," ",AD377," ",AF377," ",AJ377))))</f>
        <v>PROCLIN PENGHILANG NODA 125ML X 24 PCH</v>
      </c>
      <c r="Q377" s="11">
        <f t="shared" si="11"/>
        <v>38</v>
      </c>
      <c r="S377" s="7" t="s">
        <v>34</v>
      </c>
      <c r="T377" s="4" t="s">
        <v>2414</v>
      </c>
      <c r="U377" s="47" t="s">
        <v>2580</v>
      </c>
      <c r="V377" s="48" t="s">
        <v>2413</v>
      </c>
      <c r="W377" s="7">
        <v>1</v>
      </c>
      <c r="X377" s="48"/>
      <c r="Y377" s="47" t="s">
        <v>1116</v>
      </c>
      <c r="AA377" s="49" t="s">
        <v>1117</v>
      </c>
      <c r="AB377" s="4" t="s">
        <v>2378</v>
      </c>
      <c r="AC377" s="49" t="s">
        <v>2596</v>
      </c>
      <c r="AD377" s="4" t="s">
        <v>636</v>
      </c>
      <c r="AE377" s="7">
        <v>1</v>
      </c>
      <c r="AG377" s="7">
        <v>0</v>
      </c>
      <c r="AK377" s="70">
        <f>Table43[[#This Row],[Column4]]</f>
        <v>30371000125022</v>
      </c>
      <c r="AN377" s="7">
        <f>Table43[[#This Row],[ISI/CTN]]</f>
        <v>24</v>
      </c>
      <c r="AO377" s="61">
        <f>Table43[[#This Row],[Harga Jual Pcs GT
(-PPN)]]-(Table43[[#This Row],[Harga Jual Pcs GT
(-PPN)]]*6.5%)</f>
        <v>7433.25</v>
      </c>
      <c r="AP377" s="61">
        <f>Table43[[#This Row],[Harga Beli Pcs
(-PPN)]]*Table43[[#This Row],[ISI/CTN]]</f>
        <v>178398</v>
      </c>
      <c r="AQ377" s="61">
        <f>Table43[[#This Row],[Harga Beli Pcs
(-PPN)]]*1.11</f>
        <v>8250.9075000000012</v>
      </c>
      <c r="AR377" s="61">
        <f>Table43[[#This Row],[Harga Beli Krt
(- PPN)]]*1.11</f>
        <v>198021.78000000003</v>
      </c>
      <c r="AS377" s="61">
        <v>7950</v>
      </c>
      <c r="AT377" s="61">
        <f>Table43[[#This Row],[Harga Jual Pcs GT
(-PPN)]]*Table43[[#This Row],[ISI/CTN]]</f>
        <v>190800</v>
      </c>
      <c r="AU377" s="61">
        <f>Table43[[#This Row],[Harga Jual Pcs GT
(-PPN)]]*1.11</f>
        <v>8824.5</v>
      </c>
      <c r="AV377" s="61">
        <f>Table43[[#This Row],[Harga Jual Krt GT
(- PPN)]]*1.11</f>
        <v>211788.00000000003</v>
      </c>
      <c r="AW377" s="61">
        <f>IFERROR(VLOOKUP(Table43[[#This Row],[Kode Pcpl]],'[1]FEB 2026'!$A$3:$X$312,24,0),0)</f>
        <v>0</v>
      </c>
      <c r="AX377" s="61">
        <f>Table43[[#This Row],[Harga Jual Pcs MT
(-PPN)]]*Table43[[#This Row],[ISI/CTN]]</f>
        <v>0</v>
      </c>
      <c r="AY377" s="61">
        <f>Table43[[#This Row],[Harga Jual Pcs MT
(-PPN)]]*1.11</f>
        <v>0</v>
      </c>
      <c r="AZ377" s="61">
        <f>Table43[[#This Row],[Harga Jual Pcs MT
(+PPN)]]*Table43[[#This Row],[ISI/CTN]]</f>
        <v>0</v>
      </c>
      <c r="BA377" s="62">
        <f>(Table43[[#This Row],[Harga Jual Pcs GT
(-PPN)]]-Table43[[#This Row],[Harga Beli Pcs
(-PPN)]])/Table43[[#This Row],[Harga Jual Pcs GT
(-PPN)]]</f>
        <v>6.5000000000000002E-2</v>
      </c>
      <c r="BB377" s="63">
        <f>Table43[[#This Row],[Harga Jual Pcs MT
(-PPN)]]-Table43[[#This Row],[Harga Beli Pcs
(-PPN)]]</f>
        <v>-7433.25</v>
      </c>
      <c r="BC377" s="64" t="e">
        <f>Table43[[#This Row],[Column1]]/Table43[[#This Row],[Harga Jual Pcs MT
(-PPN)]]</f>
        <v>#DIV/0!</v>
      </c>
      <c r="BD377" s="52"/>
      <c r="BE377" s="7"/>
      <c r="BF377" s="7" t="str">
        <f ca="1">IF(TODAY()-Table43[[#This Row],[Efektif
Pembuatan]]&gt;60,"Lama","Baru")</f>
        <v>Lama</v>
      </c>
      <c r="BG377" s="7" t="str">
        <f ca="1">IF(TODAY()-Table43[[#This Row],[Efektif Naik Harga]]&lt;30,"Naik","Sama")</f>
        <v>Sama</v>
      </c>
      <c r="BH377" s="7"/>
      <c r="BI377" s="7" t="str">
        <f>IF(Table43[[#This Row],[Kode BARANG Win2]]&lt;&gt;"","IDR","")</f>
        <v>IDR</v>
      </c>
      <c r="BJ377" s="7" t="str">
        <f>CONCATENATE(Table43[[#This Row],[kode  1 Digit
(Nomor)]],Table43[[#This Row],[kode  4 Digit                (Nomor)]])</f>
        <v>0125</v>
      </c>
      <c r="BK377" s="7" t="str">
        <f>Table43[[#This Row],[Nama            Gramasi atau Jumlah Pack per CTN]]</f>
        <v>125ML</v>
      </c>
      <c r="BL377" s="7"/>
      <c r="BM377" s="7"/>
      <c r="BN377" s="4" t="str">
        <f>IF(Table43[[#This Row],[SATUAN Fix Win]]&lt;&gt;"","KRT")</f>
        <v>KRT</v>
      </c>
      <c r="BO377" s="4" t="str">
        <f>IF(Table43[[#This Row],[SATUAN Fix Win]]&lt;&gt;"","GD01")</f>
        <v>GD01</v>
      </c>
      <c r="BP377" s="4">
        <f>IF(Table43[[#This Row],[SATUAN Fix Win]]&lt;&gt;"",11611)</f>
        <v>11611</v>
      </c>
      <c r="BQ377" s="4">
        <f>IF(Table43[[#This Row],[SATUAN Fix Win]]&lt;&gt;"",11612)</f>
        <v>11612</v>
      </c>
      <c r="BS377" s="4">
        <f>IF(Table43[[#This Row],[SATUAN Fix Win]]&lt;&gt;"",1)</f>
        <v>1</v>
      </c>
      <c r="BU377" s="4">
        <f>Table43[[#This Row],[ISI/CTN]]</f>
        <v>24</v>
      </c>
    </row>
    <row r="378" spans="1:73">
      <c r="A378" s="4" t="str">
        <f>CONCATENATE(Table43[[#This Row],[Kode BARANG Win2]],Table43[[#This Row],[No. Urut
Item Sama]])</f>
        <v>G1231000012510</v>
      </c>
      <c r="B378" s="7"/>
      <c r="C378" s="31"/>
      <c r="D378" s="59">
        <v>40032016</v>
      </c>
      <c r="E378" s="60"/>
      <c r="F378" s="59"/>
      <c r="G378" s="59"/>
      <c r="H378" s="60"/>
      <c r="I378" s="60">
        <v>24</v>
      </c>
      <c r="J378" s="51" t="s">
        <v>1755</v>
      </c>
      <c r="K378" s="60" t="str">
        <f>Table43[[#This Row],[NamaJenisKemasan]]</f>
        <v>PCH</v>
      </c>
      <c r="L378" s="4" t="str">
        <f>TRIM(CONCATENATE(Table43[[#This Row],[Nama            KLP]]," ",Table43[[#This Row],[Nama            Sub KLP]]))</f>
        <v>PROCLIN PENGHILANG NODA</v>
      </c>
      <c r="M378" s="4" t="str">
        <f>CONCATENATE(Table43[[#This Row],[kode  2 Digit                (hrf+No)]],Table43[[#This Row],[kode  2 Digit                (Nomor)]],Table43[[#This Row],[kode  1 Digit                (Nomor)]])</f>
        <v>G1231</v>
      </c>
      <c r="N378" s="4" t="str">
        <f>IF(AI378="",CONCATENATE(S378,U378,W378,Y378,AA378,AC378,AE378,AG378,Table43[[#This Row],[Tanda Kode Revisi]]),CONCATENATE(S378,U378,W378,Y378,AA378,AC378,AE378,AI378))</f>
        <v>G1231000012510</v>
      </c>
      <c r="O378" s="11">
        <f t="shared" si="10"/>
        <v>14</v>
      </c>
      <c r="P378" s="14" t="str">
        <f>IF(AH378&lt;&gt;"",TRIM(UPPER(CONCATENATE(R378," ",T378," ",V378," ",X378," ",Z378," ",AB378," ","X"," ",Table43[[#This Row],[ISI/CTN]]," ",AH378," ",AD378," ",AF378," ",AJ378))),TRIM(UPPER(CONCATENATE(R378," ",T378," ",V378," ",X378," ",Z378," ",AB378," ","X"," ",Table43[[#This Row],[ISI/CTN]]," ",AD378," ",AF378," ",AJ378))))</f>
        <v>PROCLIN PENGHILANG NODA 125ML X 24 PCH</v>
      </c>
      <c r="Q378" s="11">
        <f t="shared" si="11"/>
        <v>38</v>
      </c>
      <c r="S378" s="7" t="s">
        <v>34</v>
      </c>
      <c r="T378" s="4" t="s">
        <v>2414</v>
      </c>
      <c r="U378" s="47" t="s">
        <v>2580</v>
      </c>
      <c r="V378" s="48" t="s">
        <v>2413</v>
      </c>
      <c r="W378" s="7">
        <v>1</v>
      </c>
      <c r="X378" s="48"/>
      <c r="Y378" s="47" t="s">
        <v>1116</v>
      </c>
      <c r="AA378" s="49" t="s">
        <v>1117</v>
      </c>
      <c r="AB378" s="4" t="s">
        <v>2378</v>
      </c>
      <c r="AC378" s="49" t="s">
        <v>2596</v>
      </c>
      <c r="AD378" s="4" t="s">
        <v>636</v>
      </c>
      <c r="AE378" s="7">
        <v>1</v>
      </c>
      <c r="AG378" s="7">
        <v>0</v>
      </c>
      <c r="AK378" s="70">
        <f>Table43[[#This Row],[Column4]]</f>
        <v>0</v>
      </c>
      <c r="AN378" s="7">
        <f>Table43[[#This Row],[ISI/CTN]]</f>
        <v>24</v>
      </c>
      <c r="AO378" s="61">
        <f>Table43[[#This Row],[Harga Jual Pcs GT
(-PPN)]]-(Table43[[#This Row],[Harga Jual Pcs GT
(-PPN)]]*6.5%)</f>
        <v>7433.25</v>
      </c>
      <c r="AP378" s="61">
        <f>Table43[[#This Row],[Harga Beli Pcs
(-PPN)]]*Table43[[#This Row],[ISI/CTN]]</f>
        <v>178398</v>
      </c>
      <c r="AQ378" s="61">
        <f>Table43[[#This Row],[Harga Beli Pcs
(-PPN)]]*1.11</f>
        <v>8250.9075000000012</v>
      </c>
      <c r="AR378" s="61">
        <f>Table43[[#This Row],[Harga Beli Krt
(- PPN)]]*1.11</f>
        <v>198021.78000000003</v>
      </c>
      <c r="AS378" s="61">
        <v>7950</v>
      </c>
      <c r="AT378" s="61">
        <f>Table43[[#This Row],[Harga Jual Pcs GT
(-PPN)]]*Table43[[#This Row],[ISI/CTN]]</f>
        <v>190800</v>
      </c>
      <c r="AU378" s="61">
        <f>Table43[[#This Row],[Harga Jual Pcs GT
(-PPN)]]*1.11</f>
        <v>8824.5</v>
      </c>
      <c r="AV378" s="61">
        <f>Table43[[#This Row],[Harga Jual Krt GT
(- PPN)]]*1.11</f>
        <v>211788.00000000003</v>
      </c>
      <c r="AW378" s="61">
        <f>IFERROR(VLOOKUP(Table43[[#This Row],[Kode Pcpl]],'[1]FEB 2026'!$A$3:$X$312,24,0),0)</f>
        <v>0</v>
      </c>
      <c r="AX378" s="61">
        <f>Table43[[#This Row],[Harga Jual Pcs MT
(-PPN)]]*Table43[[#This Row],[ISI/CTN]]</f>
        <v>0</v>
      </c>
      <c r="AY378" s="61">
        <f>Table43[[#This Row],[Harga Jual Pcs MT
(-PPN)]]*1.11</f>
        <v>0</v>
      </c>
      <c r="AZ378" s="61">
        <f>Table43[[#This Row],[Harga Jual Pcs MT
(+PPN)]]*Table43[[#This Row],[ISI/CTN]]</f>
        <v>0</v>
      </c>
      <c r="BA378" s="62">
        <f>(Table43[[#This Row],[Harga Jual Pcs GT
(-PPN)]]-Table43[[#This Row],[Harga Beli Pcs
(-PPN)]])/Table43[[#This Row],[Harga Jual Pcs GT
(-PPN)]]</f>
        <v>6.5000000000000002E-2</v>
      </c>
      <c r="BB378" s="63">
        <f>Table43[[#This Row],[Harga Jual Pcs MT
(-PPN)]]-Table43[[#This Row],[Harga Beli Pcs
(-PPN)]]</f>
        <v>-7433.25</v>
      </c>
      <c r="BC378" s="64" t="e">
        <f>Table43[[#This Row],[Column1]]/Table43[[#This Row],[Harga Jual Pcs MT
(-PPN)]]</f>
        <v>#DIV/0!</v>
      </c>
      <c r="BD378" s="52"/>
      <c r="BE378" s="7"/>
      <c r="BF378" s="7" t="str">
        <f ca="1">IF(TODAY()-Table43[[#This Row],[Efektif
Pembuatan]]&gt;60,"Lama","Baru")</f>
        <v>Lama</v>
      </c>
      <c r="BG378" s="7" t="str">
        <f ca="1">IF(TODAY()-Table43[[#This Row],[Efektif Naik Harga]]&lt;30,"Naik","Sama")</f>
        <v>Sama</v>
      </c>
      <c r="BH378" s="7"/>
      <c r="BI378" s="7" t="str">
        <f>IF(Table43[[#This Row],[Kode BARANG Win2]]&lt;&gt;"","IDR","")</f>
        <v>IDR</v>
      </c>
      <c r="BJ378" s="7" t="str">
        <f>CONCATENATE(Table43[[#This Row],[kode  1 Digit
(Nomor)]],Table43[[#This Row],[kode  4 Digit                (Nomor)]])</f>
        <v>0125</v>
      </c>
      <c r="BK378" s="7" t="str">
        <f>Table43[[#This Row],[Nama            Gramasi atau Jumlah Pack per CTN]]</f>
        <v>125ML</v>
      </c>
      <c r="BL378" s="7"/>
      <c r="BM378" s="7"/>
      <c r="BN378" s="4" t="str">
        <f>IF(Table43[[#This Row],[SATUAN Fix Win]]&lt;&gt;"","KRT")</f>
        <v>KRT</v>
      </c>
      <c r="BO378" s="4" t="str">
        <f>IF(Table43[[#This Row],[SATUAN Fix Win]]&lt;&gt;"","GD01")</f>
        <v>GD01</v>
      </c>
      <c r="BP378" s="4">
        <f>IF(Table43[[#This Row],[SATUAN Fix Win]]&lt;&gt;"",11611)</f>
        <v>11611</v>
      </c>
      <c r="BQ378" s="4">
        <f>IF(Table43[[#This Row],[SATUAN Fix Win]]&lt;&gt;"",11612)</f>
        <v>11612</v>
      </c>
      <c r="BS378" s="4">
        <f>IF(Table43[[#This Row],[SATUAN Fix Win]]&lt;&gt;"",1)</f>
        <v>1</v>
      </c>
      <c r="BU378" s="4">
        <f>Table43[[#This Row],[ISI/CTN]]</f>
        <v>24</v>
      </c>
    </row>
    <row r="379" spans="1:73">
      <c r="A379" s="4" t="str">
        <f>CONCATENATE(Table43[[#This Row],[Kode BARANG Win2]],Table43[[#This Row],[No. Urut
Item Sama]])</f>
        <v>G1231000018020</v>
      </c>
      <c r="B379" s="7"/>
      <c r="C379" s="31">
        <v>30371000180000</v>
      </c>
      <c r="D379" s="51">
        <v>40031984</v>
      </c>
      <c r="E379" s="66" t="s">
        <v>2495</v>
      </c>
      <c r="F379" s="68">
        <v>30371000180000</v>
      </c>
      <c r="G379" s="68">
        <v>0</v>
      </c>
      <c r="H379" s="27">
        <v>0</v>
      </c>
      <c r="I379" s="27">
        <v>24</v>
      </c>
      <c r="J379" s="51">
        <v>0</v>
      </c>
      <c r="K379" s="27" t="str">
        <f>Table43[[#This Row],[NamaJenisKemasan]]</f>
        <v>BTL</v>
      </c>
      <c r="L379" s="4" t="str">
        <f>TRIM(CONCATENATE(Table43[[#This Row],[Nama            KLP]]," ",Table43[[#This Row],[Nama            Sub KLP]]))</f>
        <v>PROCLIN PENGHILANG NODA</v>
      </c>
      <c r="M379" s="4" t="str">
        <f>CONCATENATE(Table43[[#This Row],[kode  2 Digit                (hrf+No)]],Table43[[#This Row],[kode  2 Digit                (Nomor)]],Table43[[#This Row],[kode  1 Digit                (Nomor)]])</f>
        <v>G1231</v>
      </c>
      <c r="N379" s="4" t="str">
        <f>IF(AI379="",CONCATENATE(S379,U379,W379,Y379,AA379,AC379,AE379,AG379,Table43[[#This Row],[Tanda Kode Revisi]]),CONCATENATE(S379,U379,W379,Y379,AA379,AC379,AE379,AI379))</f>
        <v>G1231000018020</v>
      </c>
      <c r="O379" s="11">
        <f t="shared" si="10"/>
        <v>14</v>
      </c>
      <c r="P379" s="14" t="str">
        <f>IF(AH379&lt;&gt;"",TRIM(UPPER(CONCATENATE(R379," ",T379," ",V379," ",X379," ",Z379," ",AB379," ","X"," ",Table43[[#This Row],[ISI/CTN]]," ",AH379," ",AD379," ",AF379," ",AJ379))),TRIM(UPPER(CONCATENATE(R379," ",T379," ",V379," ",X379," ",Z379," ",AB379," ","X"," ",Table43[[#This Row],[ISI/CTN]]," ",AD379," ",AF379," ",AJ379))))</f>
        <v>PROCLIN PENGHILANG NODA 180ML X 24 BTL</v>
      </c>
      <c r="Q379" s="11">
        <f t="shared" si="11"/>
        <v>38</v>
      </c>
      <c r="S379" s="7" t="s">
        <v>34</v>
      </c>
      <c r="T379" s="4" t="s">
        <v>2414</v>
      </c>
      <c r="U379" s="47" t="s">
        <v>2580</v>
      </c>
      <c r="V379" s="48" t="s">
        <v>2413</v>
      </c>
      <c r="W379" s="7">
        <v>1</v>
      </c>
      <c r="X379" s="48"/>
      <c r="Y379" s="47" t="s">
        <v>1116</v>
      </c>
      <c r="AA379" s="49" t="s">
        <v>1117</v>
      </c>
      <c r="AB379" s="4" t="s">
        <v>641</v>
      </c>
      <c r="AC379" s="49" t="s">
        <v>2602</v>
      </c>
      <c r="AD379" s="4" t="s">
        <v>647</v>
      </c>
      <c r="AE379" s="7">
        <v>2</v>
      </c>
      <c r="AG379" s="7">
        <v>0</v>
      </c>
      <c r="AK379" s="70">
        <f>Table43[[#This Row],[Column4]]</f>
        <v>30371000180000</v>
      </c>
      <c r="AN379" s="7">
        <f>Table43[[#This Row],[ISI/CTN]]</f>
        <v>24</v>
      </c>
      <c r="AO379" s="38">
        <f>Table43[[#This Row],[Harga Jual Pcs GT
(-PPN)]]-(Table43[[#This Row],[Harga Jual Pcs GT
(-PPN)]]*6.5%)</f>
        <v>7405.2</v>
      </c>
      <c r="AP379" s="38">
        <f>Table43[[#This Row],[Harga Beli Pcs
(-PPN)]]*Table43[[#This Row],[ISI/CTN]]</f>
        <v>177724.79999999999</v>
      </c>
      <c r="AQ379" s="38">
        <f>Table43[[#This Row],[Harga Beli Pcs
(-PPN)]]*1.11</f>
        <v>8219.7720000000008</v>
      </c>
      <c r="AR379" s="38">
        <f>Table43[[#This Row],[Harga Beli Krt
(- PPN)]]*1.11</f>
        <v>197274.52799999999</v>
      </c>
      <c r="AS379" s="38">
        <v>7920</v>
      </c>
      <c r="AT379" s="38">
        <f>Table43[[#This Row],[Harga Jual Pcs GT
(-PPN)]]*Table43[[#This Row],[ISI/CTN]]</f>
        <v>190080</v>
      </c>
      <c r="AU379" s="38">
        <f>Table43[[#This Row],[Harga Jual Pcs GT
(-PPN)]]*1.11</f>
        <v>8791.2000000000007</v>
      </c>
      <c r="AV379" s="38">
        <f>Table43[[#This Row],[Harga Jual Krt GT
(- PPN)]]*1.11</f>
        <v>210988.80000000002</v>
      </c>
      <c r="AW379" s="38">
        <f>IFERROR(VLOOKUP(Table43[[#This Row],[Kode Pcpl]],'[1]FEB 2026'!$A$3:$X$312,24,0),0)</f>
        <v>0</v>
      </c>
      <c r="AX379" s="38">
        <f>Table43[[#This Row],[Harga Jual Pcs MT
(-PPN)]]*Table43[[#This Row],[ISI/CTN]]</f>
        <v>0</v>
      </c>
      <c r="AY379" s="38">
        <f>Table43[[#This Row],[Harga Jual Pcs MT
(-PPN)]]*1.11</f>
        <v>0</v>
      </c>
      <c r="AZ379" s="38">
        <f>Table43[[#This Row],[Harga Jual Pcs MT
(+PPN)]]*Table43[[#This Row],[ISI/CTN]]</f>
        <v>0</v>
      </c>
      <c r="BA379" s="46">
        <f>(Table43[[#This Row],[Harga Jual Pcs GT
(-PPN)]]-Table43[[#This Row],[Harga Beli Pcs
(-PPN)]])/Table43[[#This Row],[Harga Jual Pcs GT
(-PPN)]]</f>
        <v>6.5000000000000016E-2</v>
      </c>
      <c r="BB379" s="53">
        <f>Table43[[#This Row],[Harga Jual Pcs MT
(-PPN)]]-Table43[[#This Row],[Harga Beli Pcs
(-PPN)]]</f>
        <v>-7405.2</v>
      </c>
      <c r="BC379" s="54" t="e">
        <f>Table43[[#This Row],[Column1]]/Table43[[#This Row],[Harga Jual Pcs MT
(-PPN)]]</f>
        <v>#DIV/0!</v>
      </c>
      <c r="BD379" s="52"/>
      <c r="BE379" s="7"/>
      <c r="BF379" s="7" t="str">
        <f ca="1">IF(TODAY()-Table43[[#This Row],[Efektif
Pembuatan]]&gt;60,"Lama","Baru")</f>
        <v>Lama</v>
      </c>
      <c r="BG379" s="7" t="str">
        <f ca="1">IF(TODAY()-Table43[[#This Row],[Efektif Naik Harga]]&lt;30,"Naik","Sama")</f>
        <v>Sama</v>
      </c>
      <c r="BH379" s="7"/>
      <c r="BI379" s="7" t="str">
        <f>IF(Table43[[#This Row],[Kode BARANG Win2]]&lt;&gt;"","IDR","")</f>
        <v>IDR</v>
      </c>
      <c r="BJ379" s="7" t="str">
        <f>CONCATENATE(Table43[[#This Row],[kode  1 Digit
(Nomor)]],Table43[[#This Row],[kode  4 Digit                (Nomor)]])</f>
        <v>0180</v>
      </c>
      <c r="BK379" s="7" t="str">
        <f>Table43[[#This Row],[Nama            Gramasi atau Jumlah Pack per CTN]]</f>
        <v>180ML</v>
      </c>
      <c r="BL379" s="7"/>
      <c r="BM379" s="7"/>
      <c r="BN379" s="4" t="str">
        <f>IF(Table43[[#This Row],[SATUAN Fix Win]]&lt;&gt;"","KRT")</f>
        <v>KRT</v>
      </c>
      <c r="BO379" s="4" t="str">
        <f>IF(Table43[[#This Row],[SATUAN Fix Win]]&lt;&gt;"","GD01")</f>
        <v>GD01</v>
      </c>
      <c r="BP379" s="4">
        <f>IF(Table43[[#This Row],[SATUAN Fix Win]]&lt;&gt;"",11611)</f>
        <v>11611</v>
      </c>
      <c r="BQ379" s="4">
        <f>IF(Table43[[#This Row],[SATUAN Fix Win]]&lt;&gt;"",11612)</f>
        <v>11612</v>
      </c>
      <c r="BS379" s="4">
        <f>IF(Table43[[#This Row],[SATUAN Fix Win]]&lt;&gt;"",1)</f>
        <v>1</v>
      </c>
      <c r="BU379" s="4">
        <f>Table43[[#This Row],[ISI/CTN]]</f>
        <v>24</v>
      </c>
    </row>
    <row r="380" spans="1:73">
      <c r="A380" s="4" t="str">
        <f>CONCATENATE(Table43[[#This Row],[Kode BARANG Win2]],Table43[[#This Row],[No. Urut
Item Sama]])</f>
        <v>G1231000040010</v>
      </c>
      <c r="B380" s="7"/>
      <c r="C380" s="31">
        <v>30410010000020</v>
      </c>
      <c r="D380" s="59">
        <v>40060390</v>
      </c>
      <c r="E380" s="60" t="s">
        <v>2072</v>
      </c>
      <c r="F380" s="59">
        <v>30371000400020</v>
      </c>
      <c r="G380" s="59">
        <v>0</v>
      </c>
      <c r="H380" s="60" t="s">
        <v>1371</v>
      </c>
      <c r="I380" s="60">
        <v>12</v>
      </c>
      <c r="J380" s="59" t="s">
        <v>1756</v>
      </c>
      <c r="K380" s="60" t="str">
        <f>Table43[[#This Row],[NamaJenisKemasan]]</f>
        <v>PCH</v>
      </c>
      <c r="L380" s="4" t="str">
        <f>TRIM(CONCATENATE(Table43[[#This Row],[Nama            KLP]]," ",Table43[[#This Row],[Nama            Sub KLP]]))</f>
        <v>PROCLIN PENGHILANG NODA</v>
      </c>
      <c r="M380" s="4" t="str">
        <f>CONCATENATE(Table43[[#This Row],[kode  2 Digit                (hrf+No)]],Table43[[#This Row],[kode  2 Digit                (Nomor)]],Table43[[#This Row],[kode  1 Digit                (Nomor)]])</f>
        <v>G1231</v>
      </c>
      <c r="N380" s="4" t="str">
        <f>IF(AI380="",CONCATENATE(S380,U380,W380,Y380,AA380,AC380,AE380,AG380,Table43[[#This Row],[Tanda Kode Revisi]]),CONCATENATE(S380,U380,W380,Y380,AA380,AC380,AE380,AI380))</f>
        <v>G1231000040010</v>
      </c>
      <c r="O380" s="11">
        <f t="shared" si="10"/>
        <v>14</v>
      </c>
      <c r="P380" s="14" t="str">
        <f>IF(AH380&lt;&gt;"",TRIM(UPPER(CONCATENATE(R380," ",T380," ",V380," ",X380," ",Z380," ",AB380," ","X"," ",Table43[[#This Row],[ISI/CTN]]," ",AH380," ",AD380," ",AF380," ",AJ380))),TRIM(UPPER(CONCATENATE(R380," ",T380," ",V380," ",X380," ",Z380," ",AB380," ","X"," ",Table43[[#This Row],[ISI/CTN]]," ",AD380," ",AF380," ",AJ380))))</f>
        <v>PROCLIN PENGHILANG NODA 400ML X 12 PCH</v>
      </c>
      <c r="Q380" s="11">
        <f t="shared" si="11"/>
        <v>38</v>
      </c>
      <c r="S380" s="7" t="s">
        <v>34</v>
      </c>
      <c r="T380" s="4" t="s">
        <v>2414</v>
      </c>
      <c r="U380" s="47" t="s">
        <v>2580</v>
      </c>
      <c r="V380" s="48" t="s">
        <v>2413</v>
      </c>
      <c r="W380" s="7">
        <v>1</v>
      </c>
      <c r="X380" s="48"/>
      <c r="Y380" s="47" t="s">
        <v>1116</v>
      </c>
      <c r="AA380" s="49" t="s">
        <v>1117</v>
      </c>
      <c r="AB380" s="4" t="s">
        <v>635</v>
      </c>
      <c r="AC380" s="49" t="s">
        <v>2624</v>
      </c>
      <c r="AD380" s="4" t="s">
        <v>636</v>
      </c>
      <c r="AE380" s="7">
        <v>1</v>
      </c>
      <c r="AG380" s="7">
        <v>0</v>
      </c>
      <c r="AK380" s="70">
        <f>Table43[[#This Row],[Column4]]</f>
        <v>30371000400020</v>
      </c>
      <c r="AN380" s="7">
        <f>Table43[[#This Row],[ISI/CTN]]</f>
        <v>12</v>
      </c>
      <c r="AO380" s="61">
        <f>Table43[[#This Row],[Harga Jual Pcs GT
(-PPN)]]-(Table43[[#This Row],[Harga Jual Pcs GT
(-PPN)]]*6.5%)</f>
        <v>17344.25</v>
      </c>
      <c r="AP380" s="61">
        <f>Table43[[#This Row],[Harga Beli Pcs
(-PPN)]]*Table43[[#This Row],[ISI/CTN]]</f>
        <v>208131</v>
      </c>
      <c r="AQ380" s="61">
        <f>Table43[[#This Row],[Harga Beli Pcs
(-PPN)]]*1.11</f>
        <v>19252.1175</v>
      </c>
      <c r="AR380" s="61">
        <f>Table43[[#This Row],[Harga Beli Krt
(- PPN)]]*1.11</f>
        <v>231025.41000000003</v>
      </c>
      <c r="AS380" s="61">
        <v>18550</v>
      </c>
      <c r="AT380" s="61">
        <f>Table43[[#This Row],[Harga Jual Pcs GT
(-PPN)]]*Table43[[#This Row],[ISI/CTN]]</f>
        <v>222600</v>
      </c>
      <c r="AU380" s="61">
        <f>Table43[[#This Row],[Harga Jual Pcs GT
(-PPN)]]*1.11</f>
        <v>20590.5</v>
      </c>
      <c r="AV380" s="61">
        <f>Table43[[#This Row],[Harga Jual Krt GT
(- PPN)]]*1.11</f>
        <v>247086.00000000003</v>
      </c>
      <c r="AW380" s="61">
        <f>IFERROR(VLOOKUP(Table43[[#This Row],[Kode Pcpl]],'[1]FEB 2026'!$A$3:$X$312,24,0),0)</f>
        <v>0</v>
      </c>
      <c r="AX380" s="61">
        <f>Table43[[#This Row],[Harga Jual Pcs MT
(-PPN)]]*Table43[[#This Row],[ISI/CTN]]</f>
        <v>0</v>
      </c>
      <c r="AY380" s="61">
        <f>Table43[[#This Row],[Harga Jual Pcs MT
(-PPN)]]*1.11</f>
        <v>0</v>
      </c>
      <c r="AZ380" s="61">
        <f>Table43[[#This Row],[Harga Jual Pcs MT
(+PPN)]]*Table43[[#This Row],[ISI/CTN]]</f>
        <v>0</v>
      </c>
      <c r="BA380" s="62">
        <f>(Table43[[#This Row],[Harga Jual Pcs GT
(-PPN)]]-Table43[[#This Row],[Harga Beli Pcs
(-PPN)]])/Table43[[#This Row],[Harga Jual Pcs GT
(-PPN)]]</f>
        <v>6.5000000000000002E-2</v>
      </c>
      <c r="BB380" s="63">
        <f>Table43[[#This Row],[Harga Jual Pcs MT
(-PPN)]]-Table43[[#This Row],[Harga Beli Pcs
(-PPN)]]</f>
        <v>-17344.25</v>
      </c>
      <c r="BC380" s="64" t="e">
        <f>Table43[[#This Row],[Column1]]/Table43[[#This Row],[Harga Jual Pcs MT
(-PPN)]]</f>
        <v>#DIV/0!</v>
      </c>
      <c r="BD380" s="52"/>
      <c r="BE380" s="7"/>
      <c r="BF380" s="7" t="str">
        <f ca="1">IF(TODAY()-Table43[[#This Row],[Efektif
Pembuatan]]&gt;60,"Lama","Baru")</f>
        <v>Lama</v>
      </c>
      <c r="BG380" s="7" t="str">
        <f ca="1">IF(TODAY()-Table43[[#This Row],[Efektif Naik Harga]]&lt;30,"Naik","Sama")</f>
        <v>Sama</v>
      </c>
      <c r="BH380" s="7"/>
      <c r="BI380" s="7" t="str">
        <f>IF(Table43[[#This Row],[Kode BARANG Win2]]&lt;&gt;"","IDR","")</f>
        <v>IDR</v>
      </c>
      <c r="BJ380" s="7" t="str">
        <f>CONCATENATE(Table43[[#This Row],[kode  1 Digit
(Nomor)]],Table43[[#This Row],[kode  4 Digit                (Nomor)]])</f>
        <v>0400</v>
      </c>
      <c r="BK380" s="7" t="str">
        <f>Table43[[#This Row],[Nama            Gramasi atau Jumlah Pack per CTN]]</f>
        <v>400ML</v>
      </c>
      <c r="BL380" s="7"/>
      <c r="BM380" s="7"/>
      <c r="BN380" s="4" t="str">
        <f>IF(Table43[[#This Row],[SATUAN Fix Win]]&lt;&gt;"","KRT")</f>
        <v>KRT</v>
      </c>
      <c r="BO380" s="4" t="str">
        <f>IF(Table43[[#This Row],[SATUAN Fix Win]]&lt;&gt;"","GD01")</f>
        <v>GD01</v>
      </c>
      <c r="BP380" s="4">
        <f>IF(Table43[[#This Row],[SATUAN Fix Win]]&lt;&gt;"",11611)</f>
        <v>11611</v>
      </c>
      <c r="BQ380" s="4">
        <f>IF(Table43[[#This Row],[SATUAN Fix Win]]&lt;&gt;"",11612)</f>
        <v>11612</v>
      </c>
      <c r="BS380" s="4">
        <f>IF(Table43[[#This Row],[SATUAN Fix Win]]&lt;&gt;"",1)</f>
        <v>1</v>
      </c>
      <c r="BU380" s="4">
        <f>Table43[[#This Row],[ISI/CTN]]</f>
        <v>12</v>
      </c>
    </row>
    <row r="381" spans="1:73">
      <c r="A381" s="4" t="str">
        <f>CONCATENATE(Table43[[#This Row],[Kode BARANG Win2]],Table43[[#This Row],[No. Urut
Item Sama]])</f>
        <v>G1231000040010</v>
      </c>
      <c r="B381" s="7"/>
      <c r="C381" s="31">
        <v>30430010050000</v>
      </c>
      <c r="D381" s="51">
        <v>40041771</v>
      </c>
      <c r="E381" s="27" t="s">
        <v>2072</v>
      </c>
      <c r="F381" s="51">
        <v>30371000400020</v>
      </c>
      <c r="G381" s="51">
        <v>0</v>
      </c>
      <c r="H381" s="27" t="s">
        <v>1368</v>
      </c>
      <c r="I381" s="27">
        <v>12</v>
      </c>
      <c r="J381" s="51" t="s">
        <v>1756</v>
      </c>
      <c r="K381" s="27" t="str">
        <f>Table43[[#This Row],[NamaJenisKemasan]]</f>
        <v>PCH</v>
      </c>
      <c r="L381" s="4" t="str">
        <f>TRIM(CONCATENATE(Table43[[#This Row],[Nama            KLP]]," ",Table43[[#This Row],[Nama            Sub KLP]]))</f>
        <v>PROCLIN PENGHILANG NODA</v>
      </c>
      <c r="M381" s="4" t="str">
        <f>CONCATENATE(Table43[[#This Row],[kode  2 Digit                (hrf+No)]],Table43[[#This Row],[kode  2 Digit                (Nomor)]],Table43[[#This Row],[kode  1 Digit                (Nomor)]])</f>
        <v>G1231</v>
      </c>
      <c r="N381" s="4" t="str">
        <f>IF(AI381="",CONCATENATE(S381,U381,W381,Y381,AA381,AC381,AE381,AG381,Table43[[#This Row],[Tanda Kode Revisi]]),CONCATENATE(S381,U381,W381,Y381,AA381,AC381,AE381,AI381))</f>
        <v>G1231000040010</v>
      </c>
      <c r="O381" s="11">
        <f t="shared" si="10"/>
        <v>14</v>
      </c>
      <c r="P381" s="14" t="str">
        <f>IF(AH381&lt;&gt;"",TRIM(UPPER(CONCATENATE(R381," ",T381," ",V381," ",X381," ",Z381," ",AB381," ","X"," ",Table43[[#This Row],[ISI/CTN]]," ",AH381," ",AD381," ",AF381," ",AJ381))),TRIM(UPPER(CONCATENATE(R381," ",T381," ",V381," ",X381," ",Z381," ",AB381," ","X"," ",Table43[[#This Row],[ISI/CTN]]," ",AD381," ",AF381," ",AJ381))))</f>
        <v>PROCLIN PENGHILANG NODA 400ML X 12 PCH</v>
      </c>
      <c r="Q381" s="11">
        <f t="shared" si="11"/>
        <v>38</v>
      </c>
      <c r="S381" s="7" t="s">
        <v>34</v>
      </c>
      <c r="T381" s="4" t="s">
        <v>2414</v>
      </c>
      <c r="U381" s="47" t="s">
        <v>2580</v>
      </c>
      <c r="V381" s="48" t="s">
        <v>2413</v>
      </c>
      <c r="W381" s="7">
        <v>1</v>
      </c>
      <c r="X381" s="48"/>
      <c r="Y381" s="47" t="s">
        <v>1116</v>
      </c>
      <c r="AA381" s="49" t="s">
        <v>1117</v>
      </c>
      <c r="AB381" s="4" t="s">
        <v>635</v>
      </c>
      <c r="AC381" s="49" t="s">
        <v>2624</v>
      </c>
      <c r="AD381" s="4" t="s">
        <v>636</v>
      </c>
      <c r="AE381" s="7">
        <v>1</v>
      </c>
      <c r="AG381" s="7">
        <v>0</v>
      </c>
      <c r="AK381" s="70">
        <f>Table43[[#This Row],[Column4]]</f>
        <v>30371000400020</v>
      </c>
      <c r="AN381" s="7">
        <f>Table43[[#This Row],[ISI/CTN]]</f>
        <v>12</v>
      </c>
      <c r="AO381" s="38">
        <f>Table43[[#This Row],[Harga Jual Pcs GT
(-PPN)]]-(Table43[[#This Row],[Harga Jual Pcs GT
(-PPN)]]*6.5%)</f>
        <v>17344.25</v>
      </c>
      <c r="AP381" s="38">
        <f>Table43[[#This Row],[Harga Beli Pcs
(-PPN)]]*Table43[[#This Row],[ISI/CTN]]</f>
        <v>208131</v>
      </c>
      <c r="AQ381" s="38">
        <f>Table43[[#This Row],[Harga Beli Pcs
(-PPN)]]*1.11</f>
        <v>19252.1175</v>
      </c>
      <c r="AR381" s="38">
        <f>Table43[[#This Row],[Harga Beli Krt
(- PPN)]]*1.11</f>
        <v>231025.41000000003</v>
      </c>
      <c r="AS381" s="38">
        <v>18550</v>
      </c>
      <c r="AT381" s="38">
        <f>Table43[[#This Row],[Harga Jual Pcs GT
(-PPN)]]*Table43[[#This Row],[ISI/CTN]]</f>
        <v>222600</v>
      </c>
      <c r="AU381" s="38">
        <f>Table43[[#This Row],[Harga Jual Pcs GT
(-PPN)]]*1.11</f>
        <v>20590.5</v>
      </c>
      <c r="AV381" s="38">
        <f>Table43[[#This Row],[Harga Jual Krt GT
(- PPN)]]*1.11</f>
        <v>247086.00000000003</v>
      </c>
      <c r="AW381" s="38">
        <f>IFERROR(VLOOKUP(Table43[[#This Row],[Kode Pcpl]],'[1]FEB 2026'!$A$3:$X$312,24,0),0)</f>
        <v>0</v>
      </c>
      <c r="AX381" s="38">
        <f>Table43[[#This Row],[Harga Jual Pcs MT
(-PPN)]]*Table43[[#This Row],[ISI/CTN]]</f>
        <v>0</v>
      </c>
      <c r="AY381" s="38">
        <f>Table43[[#This Row],[Harga Jual Pcs MT
(-PPN)]]*1.11</f>
        <v>0</v>
      </c>
      <c r="AZ381" s="38">
        <f>Table43[[#This Row],[Harga Jual Pcs MT
(+PPN)]]*Table43[[#This Row],[ISI/CTN]]</f>
        <v>0</v>
      </c>
      <c r="BA381" s="46">
        <f>(Table43[[#This Row],[Harga Jual Pcs GT
(-PPN)]]-Table43[[#This Row],[Harga Beli Pcs
(-PPN)]])/Table43[[#This Row],[Harga Jual Pcs GT
(-PPN)]]</f>
        <v>6.5000000000000002E-2</v>
      </c>
      <c r="BB381" s="53">
        <f>Table43[[#This Row],[Harga Jual Pcs MT
(-PPN)]]-Table43[[#This Row],[Harga Beli Pcs
(-PPN)]]</f>
        <v>-17344.25</v>
      </c>
      <c r="BC381" s="54" t="e">
        <f>Table43[[#This Row],[Column1]]/Table43[[#This Row],[Harga Jual Pcs MT
(-PPN)]]</f>
        <v>#DIV/0!</v>
      </c>
      <c r="BD381" s="52"/>
      <c r="BE381" s="7"/>
      <c r="BF381" s="7" t="str">
        <f ca="1">IF(TODAY()-Table43[[#This Row],[Efektif
Pembuatan]]&gt;60,"Lama","Baru")</f>
        <v>Lama</v>
      </c>
      <c r="BG381" s="7" t="str">
        <f ca="1">IF(TODAY()-Table43[[#This Row],[Efektif Naik Harga]]&lt;30,"Naik","Sama")</f>
        <v>Sama</v>
      </c>
      <c r="BH381" s="7"/>
      <c r="BI381" s="7" t="str">
        <f>IF(Table43[[#This Row],[Kode BARANG Win2]]&lt;&gt;"","IDR","")</f>
        <v>IDR</v>
      </c>
      <c r="BJ381" s="7" t="str">
        <f>CONCATENATE(Table43[[#This Row],[kode  1 Digit
(Nomor)]],Table43[[#This Row],[kode  4 Digit                (Nomor)]])</f>
        <v>0400</v>
      </c>
      <c r="BK381" s="7" t="str">
        <f>Table43[[#This Row],[Nama            Gramasi atau Jumlah Pack per CTN]]</f>
        <v>400ML</v>
      </c>
      <c r="BL381" s="7"/>
      <c r="BM381" s="7"/>
      <c r="BN381" s="4" t="str">
        <f>IF(Table43[[#This Row],[SATUAN Fix Win]]&lt;&gt;"","KRT")</f>
        <v>KRT</v>
      </c>
      <c r="BO381" s="4" t="str">
        <f>IF(Table43[[#This Row],[SATUAN Fix Win]]&lt;&gt;"","GD01")</f>
        <v>GD01</v>
      </c>
      <c r="BP381" s="4">
        <f>IF(Table43[[#This Row],[SATUAN Fix Win]]&lt;&gt;"",11611)</f>
        <v>11611</v>
      </c>
      <c r="BQ381" s="4">
        <f>IF(Table43[[#This Row],[SATUAN Fix Win]]&lt;&gt;"",11612)</f>
        <v>11612</v>
      </c>
      <c r="BS381" s="4">
        <f>IF(Table43[[#This Row],[SATUAN Fix Win]]&lt;&gt;"",1)</f>
        <v>1</v>
      </c>
      <c r="BU381" s="4">
        <f>Table43[[#This Row],[ISI/CTN]]</f>
        <v>12</v>
      </c>
    </row>
    <row r="382" spans="1:73">
      <c r="A382" s="4" t="str">
        <f>CONCATENATE(Table43[[#This Row],[Kode BARANG Win2]],Table43[[#This Row],[No. Urut
Item Sama]])</f>
        <v>G1231000040011</v>
      </c>
      <c r="B382" s="7"/>
      <c r="C382" s="31">
        <v>30371000400020</v>
      </c>
      <c r="D382" s="59">
        <v>40058787</v>
      </c>
      <c r="E382" s="60"/>
      <c r="F382" s="59">
        <v>0</v>
      </c>
      <c r="G382" s="59">
        <v>0</v>
      </c>
      <c r="H382" s="60" t="s">
        <v>1370</v>
      </c>
      <c r="I382" s="60">
        <v>12</v>
      </c>
      <c r="J382" s="59" t="s">
        <v>1756</v>
      </c>
      <c r="K382" s="60" t="str">
        <f>Table43[[#This Row],[NamaJenisKemasan]]</f>
        <v>PCH</v>
      </c>
      <c r="L382" s="4" t="str">
        <f>TRIM(CONCATENATE(Table43[[#This Row],[Nama            KLP]]," ",Table43[[#This Row],[Nama            Sub KLP]]))</f>
        <v>PROCLIN PENGHILANG NODA</v>
      </c>
      <c r="M382" s="4" t="str">
        <f>CONCATENATE(Table43[[#This Row],[kode  2 Digit                (hrf+No)]],Table43[[#This Row],[kode  2 Digit                (Nomor)]],Table43[[#This Row],[kode  1 Digit                (Nomor)]])</f>
        <v>G1231</v>
      </c>
      <c r="N382" s="4" t="str">
        <f>IF(AI382="",CONCATENATE(S382,U382,W382,Y382,AA382,AC382,AE382,AG382,Table43[[#This Row],[Tanda Kode Revisi]]),CONCATENATE(S382,U382,W382,Y382,AA382,AC382,AE382,AI382))</f>
        <v>G1231000040011</v>
      </c>
      <c r="O382" s="11">
        <f t="shared" si="10"/>
        <v>14</v>
      </c>
      <c r="P382" s="14" t="str">
        <f>IF(AH382&lt;&gt;"",TRIM(UPPER(CONCATENATE(R382," ",T382," ",V382," ",X382," ",Z382," ",AB382," ","X"," ",Table43[[#This Row],[ISI/CTN]]," ",AH382," ",AD382," ",AF382," ",AJ382))),TRIM(UPPER(CONCATENATE(R382," ",T382," ",V382," ",X382," ",Z382," ",AB382," ","X"," ",Table43[[#This Row],[ISI/CTN]]," ",AD382," ",AF382," ",AJ382))))</f>
        <v>PROCLIN PENGHILANG NODA 400ML X 12 PCH BANDED</v>
      </c>
      <c r="Q382" s="11">
        <f t="shared" si="11"/>
        <v>45</v>
      </c>
      <c r="S382" s="7" t="s">
        <v>34</v>
      </c>
      <c r="T382" s="4" t="s">
        <v>2414</v>
      </c>
      <c r="U382" s="47" t="s">
        <v>2580</v>
      </c>
      <c r="V382" s="48" t="s">
        <v>2413</v>
      </c>
      <c r="W382" s="7">
        <v>1</v>
      </c>
      <c r="X382" s="48"/>
      <c r="Y382" s="47" t="s">
        <v>1116</v>
      </c>
      <c r="AA382" s="49" t="s">
        <v>1117</v>
      </c>
      <c r="AB382" s="4" t="s">
        <v>635</v>
      </c>
      <c r="AC382" s="49" t="s">
        <v>2624</v>
      </c>
      <c r="AD382" s="4" t="s">
        <v>636</v>
      </c>
      <c r="AE382" s="7">
        <v>1</v>
      </c>
      <c r="AF382" s="4" t="s">
        <v>2269</v>
      </c>
      <c r="AG382" s="7">
        <v>1</v>
      </c>
      <c r="AK382" s="70">
        <f>Table43[[#This Row],[Column4]]</f>
        <v>0</v>
      </c>
      <c r="AN382" s="7">
        <f>Table43[[#This Row],[ISI/CTN]]</f>
        <v>12</v>
      </c>
      <c r="AO382" s="38">
        <f>Table43[[#This Row],[Harga Jual Pcs GT
(-PPN)]]-(Table43[[#This Row],[Harga Jual Pcs GT
(-PPN)]]*6.5%)</f>
        <v>17344.25</v>
      </c>
      <c r="AP382" s="38">
        <f>Table43[[#This Row],[Harga Beli Pcs
(-PPN)]]*Table43[[#This Row],[ISI/CTN]]</f>
        <v>208131</v>
      </c>
      <c r="AQ382" s="38">
        <f>Table43[[#This Row],[Harga Beli Pcs
(-PPN)]]*1.11</f>
        <v>19252.1175</v>
      </c>
      <c r="AR382" s="38">
        <f>Table43[[#This Row],[Harga Beli Krt
(- PPN)]]*1.11</f>
        <v>231025.41000000003</v>
      </c>
      <c r="AS382" s="38">
        <v>18550</v>
      </c>
      <c r="AT382" s="38">
        <f>Table43[[#This Row],[Harga Jual Pcs GT
(-PPN)]]*Table43[[#This Row],[ISI/CTN]]</f>
        <v>222600</v>
      </c>
      <c r="AU382" s="38">
        <f>Table43[[#This Row],[Harga Jual Pcs GT
(-PPN)]]*1.11</f>
        <v>20590.5</v>
      </c>
      <c r="AV382" s="38">
        <f>Table43[[#This Row],[Harga Jual Krt GT
(- PPN)]]*1.11</f>
        <v>247086.00000000003</v>
      </c>
      <c r="AW382" s="38">
        <f>IFERROR(VLOOKUP(Table43[[#This Row],[Kode Pcpl]],'[1]FEB 2026'!$A$3:$X$312,24,0),0)</f>
        <v>0</v>
      </c>
      <c r="AX382" s="38">
        <f>Table43[[#This Row],[Harga Jual Pcs MT
(-PPN)]]*Table43[[#This Row],[ISI/CTN]]</f>
        <v>0</v>
      </c>
      <c r="AY382" s="38">
        <f>Table43[[#This Row],[Harga Jual Pcs MT
(-PPN)]]*1.11</f>
        <v>0</v>
      </c>
      <c r="AZ382" s="38">
        <f>Table43[[#This Row],[Harga Jual Pcs MT
(+PPN)]]*Table43[[#This Row],[ISI/CTN]]</f>
        <v>0</v>
      </c>
      <c r="BA382" s="46">
        <f>(Table43[[#This Row],[Harga Jual Pcs GT
(-PPN)]]-Table43[[#This Row],[Harga Beli Pcs
(-PPN)]])/Table43[[#This Row],[Harga Jual Pcs GT
(-PPN)]]</f>
        <v>6.5000000000000002E-2</v>
      </c>
      <c r="BB382" s="53">
        <f>Table43[[#This Row],[Harga Jual Pcs MT
(-PPN)]]-Table43[[#This Row],[Harga Beli Pcs
(-PPN)]]</f>
        <v>-17344.25</v>
      </c>
      <c r="BC382" s="54" t="e">
        <f>Table43[[#This Row],[Column1]]/Table43[[#This Row],[Harga Jual Pcs MT
(-PPN)]]</f>
        <v>#DIV/0!</v>
      </c>
      <c r="BD382" s="52"/>
      <c r="BE382" s="7"/>
      <c r="BF382" s="7" t="str">
        <f ca="1">IF(TODAY()-Table43[[#This Row],[Efektif
Pembuatan]]&gt;60,"Lama","Baru")</f>
        <v>Lama</v>
      </c>
      <c r="BG382" s="7" t="str">
        <f ca="1">IF(TODAY()-Table43[[#This Row],[Efektif Naik Harga]]&lt;30,"Naik","Sama")</f>
        <v>Sama</v>
      </c>
      <c r="BH382" s="7"/>
      <c r="BI382" s="7" t="str">
        <f>IF(Table43[[#This Row],[Kode BARANG Win2]]&lt;&gt;"","IDR","")</f>
        <v>IDR</v>
      </c>
      <c r="BJ382" s="7" t="str">
        <f>CONCATENATE(Table43[[#This Row],[kode  1 Digit
(Nomor)]],Table43[[#This Row],[kode  4 Digit                (Nomor)]])</f>
        <v>0400</v>
      </c>
      <c r="BK382" s="7" t="str">
        <f>Table43[[#This Row],[Nama            Gramasi atau Jumlah Pack per CTN]]</f>
        <v>400ML</v>
      </c>
      <c r="BL382" s="7"/>
      <c r="BM382" s="7"/>
      <c r="BN382" s="4" t="str">
        <f>IF(Table43[[#This Row],[SATUAN Fix Win]]&lt;&gt;"","KRT")</f>
        <v>KRT</v>
      </c>
      <c r="BO382" s="4" t="str">
        <f>IF(Table43[[#This Row],[SATUAN Fix Win]]&lt;&gt;"","GD01")</f>
        <v>GD01</v>
      </c>
      <c r="BP382" s="4">
        <f>IF(Table43[[#This Row],[SATUAN Fix Win]]&lt;&gt;"",11611)</f>
        <v>11611</v>
      </c>
      <c r="BQ382" s="4">
        <f>IF(Table43[[#This Row],[SATUAN Fix Win]]&lt;&gt;"",11612)</f>
        <v>11612</v>
      </c>
      <c r="BS382" s="4">
        <f>IF(Table43[[#This Row],[SATUAN Fix Win]]&lt;&gt;"",1)</f>
        <v>1</v>
      </c>
      <c r="BU382" s="4">
        <f>Table43[[#This Row],[ISI/CTN]]</f>
        <v>12</v>
      </c>
    </row>
    <row r="383" spans="1:73">
      <c r="A383" s="4" t="str">
        <f>CONCATENATE(Table43[[#This Row],[Kode BARANG Win2]],Table43[[#This Row],[No. Urut
Item Sama]])</f>
        <v>G1231000040010</v>
      </c>
      <c r="B383" s="7"/>
      <c r="C383" s="31"/>
      <c r="D383" s="51">
        <v>40019547</v>
      </c>
      <c r="E383" s="27"/>
      <c r="F383" s="51"/>
      <c r="G383" s="51"/>
      <c r="H383" s="27"/>
      <c r="I383" s="27">
        <v>12</v>
      </c>
      <c r="J383" s="59" t="s">
        <v>1756</v>
      </c>
      <c r="K383" s="27" t="str">
        <f>Table43[[#This Row],[NamaJenisKemasan]]</f>
        <v>PCH</v>
      </c>
      <c r="L383" s="4" t="str">
        <f>TRIM(CONCATENATE(Table43[[#This Row],[Nama            KLP]]," ",Table43[[#This Row],[Nama            Sub KLP]]))</f>
        <v>PROCLIN PENGHILANG NODA</v>
      </c>
      <c r="M383" s="4" t="str">
        <f>CONCATENATE(Table43[[#This Row],[kode  2 Digit                (hrf+No)]],Table43[[#This Row],[kode  2 Digit                (Nomor)]],Table43[[#This Row],[kode  1 Digit                (Nomor)]])</f>
        <v>G1231</v>
      </c>
      <c r="N383" s="4" t="str">
        <f>IF(AI383="",CONCATENATE(S383,U383,W383,Y383,AA383,AC383,AE383,AG383,Table43[[#This Row],[Tanda Kode Revisi]]),CONCATENATE(S383,U383,W383,Y383,AA383,AC383,AE383,AI383))</f>
        <v>G1231000040010</v>
      </c>
      <c r="O383" s="11">
        <f>LEN(N383)</f>
        <v>14</v>
      </c>
      <c r="P383" s="14" t="str">
        <f>IF(AH383&lt;&gt;"",TRIM(UPPER(CONCATENATE(R383," ",T383," ",V383," ",X383," ",Z383," ",AB383," ","X"," ",Table43[[#This Row],[ISI/CTN]]," ",AH383," ",AD383," ",AF383," ",AJ383))),TRIM(UPPER(CONCATENATE(R383," ",T383," ",V383," ",X383," ",Z383," ",AB383," ","X"," ",Table43[[#This Row],[ISI/CTN]]," ",AD383," ",AF383," ",AJ383))))</f>
        <v>PROCLIN PENGHILANG NODA 400ML X 12 PCH</v>
      </c>
      <c r="Q383" s="11">
        <f>LEN(P383)</f>
        <v>38</v>
      </c>
      <c r="S383" s="7" t="s">
        <v>34</v>
      </c>
      <c r="T383" s="4" t="s">
        <v>2414</v>
      </c>
      <c r="U383" s="47" t="s">
        <v>2580</v>
      </c>
      <c r="V383" s="48" t="s">
        <v>2413</v>
      </c>
      <c r="W383" s="7">
        <v>1</v>
      </c>
      <c r="X383" s="48"/>
      <c r="Y383" s="47" t="s">
        <v>1116</v>
      </c>
      <c r="AA383" s="49" t="s">
        <v>1117</v>
      </c>
      <c r="AB383" s="4" t="s">
        <v>635</v>
      </c>
      <c r="AC383" s="49" t="s">
        <v>2624</v>
      </c>
      <c r="AD383" s="4" t="s">
        <v>636</v>
      </c>
      <c r="AE383" s="7">
        <v>1</v>
      </c>
      <c r="AG383" s="7">
        <v>0</v>
      </c>
      <c r="AK383" s="70">
        <f>Table43[[#This Row],[Column4]]</f>
        <v>0</v>
      </c>
      <c r="AN383" s="7">
        <f>Table43[[#This Row],[ISI/CTN]]</f>
        <v>12</v>
      </c>
      <c r="AO383" s="38">
        <f>Table43[[#This Row],[Harga Jual Pcs GT
(-PPN)]]-(Table43[[#This Row],[Harga Jual Pcs GT
(-PPN)]]*6.5%)</f>
        <v>0</v>
      </c>
      <c r="AP383" s="38">
        <f>Table43[[#This Row],[Harga Beli Pcs
(-PPN)]]*Table43[[#This Row],[ISI/CTN]]</f>
        <v>0</v>
      </c>
      <c r="AQ383" s="38">
        <f>Table43[[#This Row],[Harga Beli Pcs
(-PPN)]]*1.11</f>
        <v>0</v>
      </c>
      <c r="AR383" s="38">
        <f>Table43[[#This Row],[Harga Beli Krt
(- PPN)]]*1.11</f>
        <v>0</v>
      </c>
      <c r="AS383" s="38"/>
      <c r="AT383" s="38">
        <f>Table43[[#This Row],[Harga Jual Pcs GT
(-PPN)]]*Table43[[#This Row],[ISI/CTN]]</f>
        <v>0</v>
      </c>
      <c r="AU383" s="38">
        <f>Table43[[#This Row],[Harga Jual Pcs GT
(-PPN)]]*1.11</f>
        <v>0</v>
      </c>
      <c r="AV383" s="38">
        <f>Table43[[#This Row],[Harga Jual Krt GT
(- PPN)]]*1.11</f>
        <v>0</v>
      </c>
      <c r="AW383" s="38">
        <f>IFERROR(VLOOKUP(Table43[[#This Row],[Kode Pcpl]],'[1]FEB 2026'!$A$3:$X$312,24,0),0)</f>
        <v>0</v>
      </c>
      <c r="AX383" s="38">
        <f>Table43[[#This Row],[Harga Jual Pcs MT
(-PPN)]]*Table43[[#This Row],[ISI/CTN]]</f>
        <v>0</v>
      </c>
      <c r="AY383" s="38">
        <f>Table43[[#This Row],[Harga Jual Pcs MT
(-PPN)]]*1.11</f>
        <v>0</v>
      </c>
      <c r="AZ383" s="38">
        <f>Table43[[#This Row],[Harga Jual Pcs MT
(+PPN)]]*Table43[[#This Row],[ISI/CTN]]</f>
        <v>0</v>
      </c>
      <c r="BA383" s="46" t="e">
        <f>(Table43[[#This Row],[Harga Jual Pcs GT
(-PPN)]]-Table43[[#This Row],[Harga Beli Pcs
(-PPN)]])/Table43[[#This Row],[Harga Jual Pcs GT
(-PPN)]]</f>
        <v>#DIV/0!</v>
      </c>
      <c r="BB383" s="53">
        <f>Table43[[#This Row],[Harga Jual Pcs MT
(-PPN)]]-Table43[[#This Row],[Harga Beli Pcs
(-PPN)]]</f>
        <v>0</v>
      </c>
      <c r="BC383" s="54" t="e">
        <f>Table43[[#This Row],[Column1]]/Table43[[#This Row],[Harga Jual Pcs MT
(-PPN)]]</f>
        <v>#DIV/0!</v>
      </c>
      <c r="BD383" s="52"/>
      <c r="BE383" s="7"/>
      <c r="BF383" s="7" t="str">
        <f ca="1">IF(TODAY()-Table43[[#This Row],[Efektif
Pembuatan]]&gt;60,"Lama","Baru")</f>
        <v>Lama</v>
      </c>
      <c r="BG383" s="7" t="str">
        <f ca="1">IF(TODAY()-Table43[[#This Row],[Efektif Naik Harga]]&lt;30,"Naik","Sama")</f>
        <v>Sama</v>
      </c>
      <c r="BH383" s="7"/>
      <c r="BI383" s="7" t="str">
        <f>IF(Table43[[#This Row],[Kode BARANG Win2]]&lt;&gt;"","IDR","")</f>
        <v>IDR</v>
      </c>
      <c r="BJ383" s="7" t="str">
        <f>CONCATENATE(Table43[[#This Row],[kode  1 Digit
(Nomor)]],Table43[[#This Row],[kode  4 Digit                (Nomor)]])</f>
        <v>0400</v>
      </c>
      <c r="BK383" s="7" t="str">
        <f>Table43[[#This Row],[Nama            Gramasi atau Jumlah Pack per CTN]]</f>
        <v>400ML</v>
      </c>
      <c r="BL383" s="7"/>
      <c r="BM383" s="7"/>
      <c r="BN383" s="4" t="str">
        <f>IF(Table43[[#This Row],[SATUAN Fix Win]]&lt;&gt;"","KRT")</f>
        <v>KRT</v>
      </c>
      <c r="BO383" s="4" t="str">
        <f>IF(Table43[[#This Row],[SATUAN Fix Win]]&lt;&gt;"","GD01")</f>
        <v>GD01</v>
      </c>
      <c r="BP383" s="4">
        <f>IF(Table43[[#This Row],[SATUAN Fix Win]]&lt;&gt;"",11611)</f>
        <v>11611</v>
      </c>
      <c r="BQ383" s="4">
        <f>IF(Table43[[#This Row],[SATUAN Fix Win]]&lt;&gt;"",11612)</f>
        <v>11612</v>
      </c>
      <c r="BS383" s="4">
        <f>IF(Table43[[#This Row],[SATUAN Fix Win]]&lt;&gt;"",1)</f>
        <v>1</v>
      </c>
      <c r="BU383" s="4">
        <f>Table43[[#This Row],[ISI/CTN]]</f>
        <v>12</v>
      </c>
    </row>
    <row r="384" spans="1:73">
      <c r="A384" s="4" t="str">
        <f>CONCATENATE(Table43[[#This Row],[Kode BARANG Win2]],Table43[[#This Row],[No. Urut
Item Sama]])</f>
        <v>G1231000040011</v>
      </c>
      <c r="B384" s="7"/>
      <c r="C384" s="31"/>
      <c r="D384" s="51">
        <v>40057197</v>
      </c>
      <c r="E384" s="27"/>
      <c r="F384" s="51">
        <v>0</v>
      </c>
      <c r="G384" s="51">
        <v>0</v>
      </c>
      <c r="H384" s="27" t="s">
        <v>1369</v>
      </c>
      <c r="I384" s="27">
        <v>12</v>
      </c>
      <c r="J384" s="51" t="s">
        <v>1756</v>
      </c>
      <c r="K384" s="27" t="str">
        <f>Table43[[#This Row],[NamaJenisKemasan]]</f>
        <v>PCH</v>
      </c>
      <c r="L384" s="4" t="str">
        <f>TRIM(CONCATENATE(Table43[[#This Row],[Nama            KLP]]," ",Table43[[#This Row],[Nama            Sub KLP]]))</f>
        <v>PROCLIN PENGHILANG NODA</v>
      </c>
      <c r="M384" s="4" t="str">
        <f>CONCATENATE(Table43[[#This Row],[kode  2 Digit                (hrf+No)]],Table43[[#This Row],[kode  2 Digit                (Nomor)]],Table43[[#This Row],[kode  1 Digit                (Nomor)]])</f>
        <v>G1231</v>
      </c>
      <c r="N384" s="4" t="str">
        <f>IF(AI384="",CONCATENATE(S384,U384,W384,Y384,AA384,AC384,AE384,AG384,Table43[[#This Row],[Tanda Kode Revisi]]),CONCATENATE(S384,U384,W384,Y384,AA384,AC384,AE384,AI384))</f>
        <v>G1231000040011</v>
      </c>
      <c r="O384" s="11">
        <f t="shared" si="10"/>
        <v>14</v>
      </c>
      <c r="P384" s="14" t="str">
        <f>IF(AH384&lt;&gt;"",TRIM(UPPER(CONCATENATE(R384," ",T384," ",V384," ",X384," ",Z384," ",AB384," ","X"," ",Table43[[#This Row],[ISI/CTN]]," ",AH384," ",AD384," ",AF384," ",AJ384))),TRIM(UPPER(CONCATENATE(R384," ",T384," ",V384," ",X384," ",Z384," ",AB384," ","X"," ",Table43[[#This Row],[ISI/CTN]]," ",AD384," ",AF384," ",AJ384))))</f>
        <v>PROCLIN PENGHILANG NODA 400ML X 12 PCH BANDED</v>
      </c>
      <c r="Q384" s="11">
        <f t="shared" si="11"/>
        <v>45</v>
      </c>
      <c r="S384" s="7" t="s">
        <v>34</v>
      </c>
      <c r="T384" s="4" t="s">
        <v>2414</v>
      </c>
      <c r="U384" s="47" t="s">
        <v>2580</v>
      </c>
      <c r="V384" s="48" t="s">
        <v>2413</v>
      </c>
      <c r="W384" s="7">
        <v>1</v>
      </c>
      <c r="X384" s="48"/>
      <c r="Y384" s="47" t="s">
        <v>1116</v>
      </c>
      <c r="AA384" s="49" t="s">
        <v>1117</v>
      </c>
      <c r="AB384" s="4" t="s">
        <v>635</v>
      </c>
      <c r="AC384" s="49" t="s">
        <v>2624</v>
      </c>
      <c r="AD384" s="4" t="s">
        <v>636</v>
      </c>
      <c r="AE384" s="7">
        <v>1</v>
      </c>
      <c r="AF384" s="4" t="s">
        <v>2269</v>
      </c>
      <c r="AG384" s="7">
        <v>1</v>
      </c>
      <c r="AK384" s="70">
        <f>Table43[[#This Row],[Column4]]</f>
        <v>0</v>
      </c>
      <c r="AN384" s="7">
        <f>Table43[[#This Row],[ISI/CTN]]</f>
        <v>12</v>
      </c>
      <c r="AO384" s="38">
        <f>Table43[[#This Row],[Harga Jual Pcs GT
(-PPN)]]-(Table43[[#This Row],[Harga Jual Pcs GT
(-PPN)]]*6.5%)</f>
        <v>17344.25</v>
      </c>
      <c r="AP384" s="38">
        <f>Table43[[#This Row],[Harga Beli Pcs
(-PPN)]]*Table43[[#This Row],[ISI/CTN]]</f>
        <v>208131</v>
      </c>
      <c r="AQ384" s="38">
        <f>Table43[[#This Row],[Harga Beli Pcs
(-PPN)]]*1.11</f>
        <v>19252.1175</v>
      </c>
      <c r="AR384" s="38">
        <f>Table43[[#This Row],[Harga Beli Krt
(- PPN)]]*1.11</f>
        <v>231025.41000000003</v>
      </c>
      <c r="AS384" s="38">
        <v>18550</v>
      </c>
      <c r="AT384" s="38">
        <f>Table43[[#This Row],[Harga Jual Pcs GT
(-PPN)]]*Table43[[#This Row],[ISI/CTN]]</f>
        <v>222600</v>
      </c>
      <c r="AU384" s="38">
        <f>Table43[[#This Row],[Harga Jual Pcs GT
(-PPN)]]*1.11</f>
        <v>20590.5</v>
      </c>
      <c r="AV384" s="38">
        <f>Table43[[#This Row],[Harga Jual Krt GT
(- PPN)]]*1.11</f>
        <v>247086.00000000003</v>
      </c>
      <c r="AW384" s="38">
        <f>IFERROR(VLOOKUP(Table43[[#This Row],[Kode Pcpl]],'[1]FEB 2026'!$A$3:$X$312,24,0),0)</f>
        <v>0</v>
      </c>
      <c r="AX384" s="38">
        <f>Table43[[#This Row],[Harga Jual Pcs MT
(-PPN)]]*Table43[[#This Row],[ISI/CTN]]</f>
        <v>0</v>
      </c>
      <c r="AY384" s="38">
        <f>Table43[[#This Row],[Harga Jual Pcs MT
(-PPN)]]*1.11</f>
        <v>0</v>
      </c>
      <c r="AZ384" s="38">
        <f>Table43[[#This Row],[Harga Jual Pcs MT
(+PPN)]]*Table43[[#This Row],[ISI/CTN]]</f>
        <v>0</v>
      </c>
      <c r="BA384" s="46">
        <f>(Table43[[#This Row],[Harga Jual Pcs GT
(-PPN)]]-Table43[[#This Row],[Harga Beli Pcs
(-PPN)]])/Table43[[#This Row],[Harga Jual Pcs GT
(-PPN)]]</f>
        <v>6.5000000000000002E-2</v>
      </c>
      <c r="BB384" s="53">
        <f>Table43[[#This Row],[Harga Jual Pcs MT
(-PPN)]]-Table43[[#This Row],[Harga Beli Pcs
(-PPN)]]</f>
        <v>-17344.25</v>
      </c>
      <c r="BC384" s="54" t="e">
        <f>Table43[[#This Row],[Column1]]/Table43[[#This Row],[Harga Jual Pcs MT
(-PPN)]]</f>
        <v>#DIV/0!</v>
      </c>
      <c r="BD384" s="52"/>
      <c r="BE384" s="7"/>
      <c r="BF384" s="7" t="str">
        <f ca="1">IF(TODAY()-Table43[[#This Row],[Efektif
Pembuatan]]&gt;60,"Lama","Baru")</f>
        <v>Lama</v>
      </c>
      <c r="BG384" s="7" t="str">
        <f ca="1">IF(TODAY()-Table43[[#This Row],[Efektif Naik Harga]]&lt;30,"Naik","Sama")</f>
        <v>Sama</v>
      </c>
      <c r="BH384" s="7"/>
      <c r="BI384" s="7" t="str">
        <f>IF(Table43[[#This Row],[Kode BARANG Win2]]&lt;&gt;"","IDR","")</f>
        <v>IDR</v>
      </c>
      <c r="BJ384" s="7" t="str">
        <f>CONCATENATE(Table43[[#This Row],[kode  1 Digit
(Nomor)]],Table43[[#This Row],[kode  4 Digit                (Nomor)]])</f>
        <v>0400</v>
      </c>
      <c r="BK384" s="7" t="str">
        <f>Table43[[#This Row],[Nama            Gramasi atau Jumlah Pack per CTN]]</f>
        <v>400ML</v>
      </c>
      <c r="BL384" s="7"/>
      <c r="BM384" s="7"/>
      <c r="BN384" s="4" t="str">
        <f>IF(Table43[[#This Row],[SATUAN Fix Win]]&lt;&gt;"","KRT")</f>
        <v>KRT</v>
      </c>
      <c r="BO384" s="4" t="str">
        <f>IF(Table43[[#This Row],[SATUAN Fix Win]]&lt;&gt;"","GD01")</f>
        <v>GD01</v>
      </c>
      <c r="BP384" s="4">
        <f>IF(Table43[[#This Row],[SATUAN Fix Win]]&lt;&gt;"",11611)</f>
        <v>11611</v>
      </c>
      <c r="BQ384" s="4">
        <f>IF(Table43[[#This Row],[SATUAN Fix Win]]&lt;&gt;"",11612)</f>
        <v>11612</v>
      </c>
      <c r="BS384" s="4">
        <f>IF(Table43[[#This Row],[SATUAN Fix Win]]&lt;&gt;"",1)</f>
        <v>1</v>
      </c>
      <c r="BU384" s="4">
        <f>Table43[[#This Row],[ISI/CTN]]</f>
        <v>12</v>
      </c>
    </row>
    <row r="385" spans="1:75">
      <c r="A385" s="4" t="str">
        <f>CONCATENATE(Table43[[#This Row],[Kode BARANG Win2]],Table43[[#This Row],[No. Urut
Item Sama]])</f>
        <v>G1231000040020</v>
      </c>
      <c r="B385" s="7"/>
      <c r="C385" s="31">
        <v>30371000400000</v>
      </c>
      <c r="D385" s="51">
        <v>40019545</v>
      </c>
      <c r="E385" s="66" t="s">
        <v>2496</v>
      </c>
      <c r="F385" s="68">
        <v>30371000400000</v>
      </c>
      <c r="G385" s="68">
        <v>0</v>
      </c>
      <c r="H385" s="27">
        <v>0</v>
      </c>
      <c r="I385" s="27">
        <v>24</v>
      </c>
      <c r="J385" s="51">
        <v>0</v>
      </c>
      <c r="K385" s="27" t="str">
        <f>Table43[[#This Row],[NamaJenisKemasan]]</f>
        <v>BTL</v>
      </c>
      <c r="L385" s="4" t="str">
        <f>TRIM(CONCATENATE(Table43[[#This Row],[Nama            KLP]]," ",Table43[[#This Row],[Nama            Sub KLP]]))</f>
        <v>PROCLIN PENGHILANG NODA</v>
      </c>
      <c r="M385" s="4" t="str">
        <f>CONCATENATE(Table43[[#This Row],[kode  2 Digit                (hrf+No)]],Table43[[#This Row],[kode  2 Digit                (Nomor)]],Table43[[#This Row],[kode  1 Digit                (Nomor)]])</f>
        <v>G1231</v>
      </c>
      <c r="N385" s="4" t="str">
        <f>IF(AI385="",CONCATENATE(S385,U385,W385,Y385,AA385,AC385,AE385,AG385,Table43[[#This Row],[Tanda Kode Revisi]]),CONCATENATE(S385,U385,W385,Y385,AA385,AC385,AE385,AI385))</f>
        <v>G1231000040020</v>
      </c>
      <c r="O385" s="11">
        <f t="shared" si="10"/>
        <v>14</v>
      </c>
      <c r="P385" s="14" t="str">
        <f>IF(AH385&lt;&gt;"",TRIM(UPPER(CONCATENATE(R385," ",T385," ",V385," ",X385," ",Z385," ",AB385," ","X"," ",Table43[[#This Row],[ISI/CTN]]," ",AH385," ",AD385," ",AF385," ",AJ385))),TRIM(UPPER(CONCATENATE(R385," ",T385," ",V385," ",X385," ",Z385," ",AB385," ","X"," ",Table43[[#This Row],[ISI/CTN]]," ",AD385," ",AF385," ",AJ385))))</f>
        <v>PROCLIN PENGHILANG NODA 400ML X 24 BTL</v>
      </c>
      <c r="Q385" s="11">
        <f t="shared" si="11"/>
        <v>38</v>
      </c>
      <c r="S385" s="7" t="s">
        <v>34</v>
      </c>
      <c r="T385" s="4" t="s">
        <v>2414</v>
      </c>
      <c r="U385" s="47" t="s">
        <v>2580</v>
      </c>
      <c r="V385" s="48" t="s">
        <v>2413</v>
      </c>
      <c r="W385" s="7">
        <v>1</v>
      </c>
      <c r="X385" s="48"/>
      <c r="Y385" s="47" t="s">
        <v>1116</v>
      </c>
      <c r="AA385" s="49" t="s">
        <v>1117</v>
      </c>
      <c r="AB385" s="4" t="s">
        <v>635</v>
      </c>
      <c r="AC385" s="49" t="s">
        <v>2624</v>
      </c>
      <c r="AD385" s="4" t="s">
        <v>647</v>
      </c>
      <c r="AE385" s="7">
        <v>2</v>
      </c>
      <c r="AG385" s="7">
        <v>0</v>
      </c>
      <c r="AK385" s="70">
        <f>Table43[[#This Row],[Column4]]</f>
        <v>30371000400000</v>
      </c>
      <c r="AN385" s="7">
        <f>Table43[[#This Row],[ISI/CTN]]</f>
        <v>24</v>
      </c>
      <c r="AO385" s="38">
        <f>Table43[[#This Row],[Harga Jual Pcs GT
(-PPN)]]-(Table43[[#This Row],[Harga Jual Pcs GT
(-PPN)]]*6.5%)</f>
        <v>15895</v>
      </c>
      <c r="AP385" s="38">
        <f>Table43[[#This Row],[Harga Beli Pcs
(-PPN)]]*Table43[[#This Row],[ISI/CTN]]</f>
        <v>381480</v>
      </c>
      <c r="AQ385" s="38">
        <f>Table43[[#This Row],[Harga Beli Pcs
(-PPN)]]*1.11</f>
        <v>17643.45</v>
      </c>
      <c r="AR385" s="38">
        <f>Table43[[#This Row],[Harga Beli Krt
(- PPN)]]*1.11</f>
        <v>423442.80000000005</v>
      </c>
      <c r="AS385" s="38">
        <v>17000</v>
      </c>
      <c r="AT385" s="38">
        <f>Table43[[#This Row],[Harga Jual Pcs GT
(-PPN)]]*Table43[[#This Row],[ISI/CTN]]</f>
        <v>408000</v>
      </c>
      <c r="AU385" s="38">
        <f>Table43[[#This Row],[Harga Jual Pcs GT
(-PPN)]]*1.11</f>
        <v>18870</v>
      </c>
      <c r="AV385" s="38">
        <f>Table43[[#This Row],[Harga Jual Krt GT
(- PPN)]]*1.11</f>
        <v>452880.00000000006</v>
      </c>
      <c r="AW385" s="38">
        <f>IFERROR(VLOOKUP(Table43[[#This Row],[Kode Pcpl]],'[1]FEB 2026'!$A$3:$X$312,24,0),0)</f>
        <v>0</v>
      </c>
      <c r="AX385" s="38">
        <f>Table43[[#This Row],[Harga Jual Pcs MT
(-PPN)]]*Table43[[#This Row],[ISI/CTN]]</f>
        <v>0</v>
      </c>
      <c r="AY385" s="38">
        <f>Table43[[#This Row],[Harga Jual Pcs MT
(-PPN)]]*1.11</f>
        <v>0</v>
      </c>
      <c r="AZ385" s="38">
        <f>Table43[[#This Row],[Harga Jual Pcs MT
(+PPN)]]*Table43[[#This Row],[ISI/CTN]]</f>
        <v>0</v>
      </c>
      <c r="BA385" s="46">
        <f>(Table43[[#This Row],[Harga Jual Pcs GT
(-PPN)]]-Table43[[#This Row],[Harga Beli Pcs
(-PPN)]])/Table43[[#This Row],[Harga Jual Pcs GT
(-PPN)]]</f>
        <v>6.5000000000000002E-2</v>
      </c>
      <c r="BB385" s="53">
        <f>Table43[[#This Row],[Harga Jual Pcs MT
(-PPN)]]-Table43[[#This Row],[Harga Beli Pcs
(-PPN)]]</f>
        <v>-15895</v>
      </c>
      <c r="BC385" s="54" t="e">
        <f>Table43[[#This Row],[Column1]]/Table43[[#This Row],[Harga Jual Pcs MT
(-PPN)]]</f>
        <v>#DIV/0!</v>
      </c>
      <c r="BD385" s="52"/>
      <c r="BE385" s="7"/>
      <c r="BF385" s="7" t="str">
        <f ca="1">IF(TODAY()-Table43[[#This Row],[Efektif
Pembuatan]]&gt;60,"Lama","Baru")</f>
        <v>Lama</v>
      </c>
      <c r="BG385" s="7" t="str">
        <f ca="1">IF(TODAY()-Table43[[#This Row],[Efektif Naik Harga]]&lt;30,"Naik","Sama")</f>
        <v>Sama</v>
      </c>
      <c r="BH385" s="7"/>
      <c r="BI385" s="7" t="str">
        <f>IF(Table43[[#This Row],[Kode BARANG Win2]]&lt;&gt;"","IDR","")</f>
        <v>IDR</v>
      </c>
      <c r="BJ385" s="7" t="str">
        <f>CONCATENATE(Table43[[#This Row],[kode  1 Digit
(Nomor)]],Table43[[#This Row],[kode  4 Digit                (Nomor)]])</f>
        <v>0400</v>
      </c>
      <c r="BK385" s="7" t="str">
        <f>Table43[[#This Row],[Nama            Gramasi atau Jumlah Pack per CTN]]</f>
        <v>400ML</v>
      </c>
      <c r="BL385" s="7"/>
      <c r="BM385" s="7"/>
      <c r="BN385" s="4" t="str">
        <f>IF(Table43[[#This Row],[SATUAN Fix Win]]&lt;&gt;"","KRT")</f>
        <v>KRT</v>
      </c>
      <c r="BO385" s="4" t="str">
        <f>IF(Table43[[#This Row],[SATUAN Fix Win]]&lt;&gt;"","GD01")</f>
        <v>GD01</v>
      </c>
      <c r="BP385" s="4">
        <f>IF(Table43[[#This Row],[SATUAN Fix Win]]&lt;&gt;"",11611)</f>
        <v>11611</v>
      </c>
      <c r="BQ385" s="4">
        <f>IF(Table43[[#This Row],[SATUAN Fix Win]]&lt;&gt;"",11612)</f>
        <v>11612</v>
      </c>
      <c r="BS385" s="4">
        <f>IF(Table43[[#This Row],[SATUAN Fix Win]]&lt;&gt;"",1)</f>
        <v>1</v>
      </c>
      <c r="BU385" s="4">
        <f>Table43[[#This Row],[ISI/CTN]]</f>
        <v>24</v>
      </c>
    </row>
    <row r="386" spans="1:75">
      <c r="A386" s="4" t="str">
        <f>CONCATENATE(Table43[[#This Row],[Kode BARANG Win2]],Table43[[#This Row],[No. Urut
Item Sama]])</f>
        <v>G1231000080011</v>
      </c>
      <c r="B386" s="7"/>
      <c r="C386" s="31"/>
      <c r="D386" s="51"/>
      <c r="E386" s="27"/>
      <c r="F386" s="68"/>
      <c r="G386" s="68"/>
      <c r="H386" s="27"/>
      <c r="I386" s="27"/>
      <c r="J386" s="51"/>
      <c r="K386" s="27" t="str">
        <f>Table43[[#This Row],[NamaJenisKemasan]]</f>
        <v>PCH</v>
      </c>
      <c r="L386" s="4" t="str">
        <f>TRIM(CONCATENATE(Table43[[#This Row],[Nama            KLP]]," ",Table43[[#This Row],[Nama            Sub KLP]]))</f>
        <v>PROCLIN PENGHILANG NODA</v>
      </c>
      <c r="M386" s="4" t="str">
        <f>CONCATENATE(Table43[[#This Row],[kode  2 Digit                (hrf+No)]],Table43[[#This Row],[kode  2 Digit                (Nomor)]],Table43[[#This Row],[kode  1 Digit                (Nomor)]])</f>
        <v>G1231</v>
      </c>
      <c r="N386" s="4" t="str">
        <f>IF(AI386="",CONCATENATE(S386,U386,W386,Y386,AA386,AC386,AE386,AG386,Table43[[#This Row],[Tanda Kode Revisi]]),CONCATENATE(S386,U386,W386,Y386,AA386,AC386,AE386,AI386))</f>
        <v>G1231000080011</v>
      </c>
      <c r="O386" s="11">
        <f>LEN(N386)</f>
        <v>14</v>
      </c>
      <c r="P386" s="14" t="str">
        <f>IF(AH386&lt;&gt;"",TRIM(UPPER(CONCATENATE(R386," ",T386," ",V386," ",X386," ",Z386," ",AB386," ","X"," ",Table43[[#This Row],[ISI/CTN]]," ",AH386," ",AD386," ",AF386," ",AJ386))),TRIM(UPPER(CONCATENATE(R386," ",T386," ",V386," ",X386," ",Z386," ",AB386," ","X"," ",Table43[[#This Row],[ISI/CTN]]," ",AD386," ",AF386," ",AJ386))))</f>
        <v>PROCLIN PENGHILANG NODA 800ML X PCH BANDED</v>
      </c>
      <c r="Q386" s="11">
        <f>LEN(P386)</f>
        <v>42</v>
      </c>
      <c r="S386" s="7" t="s">
        <v>34</v>
      </c>
      <c r="T386" s="4" t="s">
        <v>2414</v>
      </c>
      <c r="U386" s="47" t="s">
        <v>2580</v>
      </c>
      <c r="V386" s="48" t="s">
        <v>2413</v>
      </c>
      <c r="W386" s="7">
        <v>1</v>
      </c>
      <c r="X386" s="48"/>
      <c r="Y386" s="47" t="s">
        <v>1116</v>
      </c>
      <c r="AA386" s="49" t="s">
        <v>1117</v>
      </c>
      <c r="AB386" s="4" t="s">
        <v>1082</v>
      </c>
      <c r="AC386" s="49" t="s">
        <v>2638</v>
      </c>
      <c r="AD386" s="4" t="s">
        <v>636</v>
      </c>
      <c r="AE386" s="7">
        <v>1</v>
      </c>
      <c r="AF386" s="4" t="s">
        <v>2269</v>
      </c>
      <c r="AG386" s="7">
        <v>1</v>
      </c>
      <c r="AK386" s="70">
        <f>Table43[[#This Row],[Column4]]</f>
        <v>0</v>
      </c>
      <c r="AN386" s="7">
        <f>Table43[[#This Row],[ISI/CTN]]</f>
        <v>0</v>
      </c>
      <c r="AO386" s="38">
        <f>Table43[[#This Row],[Harga Jual Pcs GT
(-PPN)]]-(Table43[[#This Row],[Harga Jual Pcs GT
(-PPN)]]*6.5%)</f>
        <v>0</v>
      </c>
      <c r="AP386" s="38">
        <f>Table43[[#This Row],[Harga Beli Pcs
(-PPN)]]*Table43[[#This Row],[ISI/CTN]]</f>
        <v>0</v>
      </c>
      <c r="AQ386" s="38">
        <f>Table43[[#This Row],[Harga Beli Pcs
(-PPN)]]*1.11</f>
        <v>0</v>
      </c>
      <c r="AR386" s="38">
        <f>Table43[[#This Row],[Harga Beli Krt
(- PPN)]]*1.11</f>
        <v>0</v>
      </c>
      <c r="AS386" s="38"/>
      <c r="AT386" s="38">
        <f>Table43[[#This Row],[Harga Jual Pcs GT
(-PPN)]]*Table43[[#This Row],[ISI/CTN]]</f>
        <v>0</v>
      </c>
      <c r="AU386" s="38">
        <f>Table43[[#This Row],[Harga Jual Pcs GT
(-PPN)]]*1.11</f>
        <v>0</v>
      </c>
      <c r="AV386" s="38">
        <f>Table43[[#This Row],[Harga Jual Krt GT
(- PPN)]]*1.11</f>
        <v>0</v>
      </c>
      <c r="AW386" s="38">
        <f>IFERROR(VLOOKUP(Table43[[#This Row],[Kode Pcpl]],'[1]FEB 2026'!$A$3:$X$312,24,0),0)</f>
        <v>0</v>
      </c>
      <c r="AX386" s="38">
        <f>Table43[[#This Row],[Harga Jual Pcs MT
(-PPN)]]*Table43[[#This Row],[ISI/CTN]]</f>
        <v>0</v>
      </c>
      <c r="AY386" s="38">
        <f>Table43[[#This Row],[Harga Jual Pcs MT
(-PPN)]]*1.11</f>
        <v>0</v>
      </c>
      <c r="AZ386" s="38">
        <f>Table43[[#This Row],[Harga Jual Pcs MT
(+PPN)]]*Table43[[#This Row],[ISI/CTN]]</f>
        <v>0</v>
      </c>
      <c r="BA386" s="46" t="e">
        <f>(Table43[[#This Row],[Harga Jual Pcs GT
(-PPN)]]-Table43[[#This Row],[Harga Beli Pcs
(-PPN)]])/Table43[[#This Row],[Harga Jual Pcs GT
(-PPN)]]</f>
        <v>#DIV/0!</v>
      </c>
      <c r="BB386" s="53">
        <f>Table43[[#This Row],[Harga Jual Pcs MT
(-PPN)]]-Table43[[#This Row],[Harga Beli Pcs
(-PPN)]]</f>
        <v>0</v>
      </c>
      <c r="BC386" s="54" t="e">
        <f>Table43[[#This Row],[Column1]]/Table43[[#This Row],[Harga Jual Pcs MT
(-PPN)]]</f>
        <v>#DIV/0!</v>
      </c>
      <c r="BD386" s="52"/>
      <c r="BE386" s="7"/>
      <c r="BF386" s="7" t="str">
        <f ca="1">IF(TODAY()-Table43[[#This Row],[Efektif
Pembuatan]]&gt;60,"Lama","Baru")</f>
        <v>Lama</v>
      </c>
      <c r="BG386" s="7" t="str">
        <f ca="1">IF(TODAY()-Table43[[#This Row],[Efektif Naik Harga]]&lt;30,"Naik","Sama")</f>
        <v>Sama</v>
      </c>
      <c r="BH386" s="7"/>
      <c r="BI386" s="7" t="str">
        <f>IF(Table43[[#This Row],[Kode BARANG Win2]]&lt;&gt;"","IDR","")</f>
        <v>IDR</v>
      </c>
      <c r="BJ386" s="7" t="str">
        <f>CONCATENATE(Table43[[#This Row],[kode  1 Digit
(Nomor)]],Table43[[#This Row],[kode  4 Digit                (Nomor)]])</f>
        <v>0800</v>
      </c>
      <c r="BK386" s="7" t="str">
        <f>Table43[[#This Row],[Nama            Gramasi atau Jumlah Pack per CTN]]</f>
        <v>800ML</v>
      </c>
      <c r="BL386" s="7"/>
      <c r="BM386" s="7"/>
      <c r="BN386" s="4" t="str">
        <f>IF(Table43[[#This Row],[SATUAN Fix Win]]&lt;&gt;"","KRT")</f>
        <v>KRT</v>
      </c>
      <c r="BO386" s="4" t="str">
        <f>IF(Table43[[#This Row],[SATUAN Fix Win]]&lt;&gt;"","GD01")</f>
        <v>GD01</v>
      </c>
      <c r="BP386" s="4">
        <f>IF(Table43[[#This Row],[SATUAN Fix Win]]&lt;&gt;"",11611)</f>
        <v>11611</v>
      </c>
      <c r="BQ386" s="4">
        <f>IF(Table43[[#This Row],[SATUAN Fix Win]]&lt;&gt;"",11612)</f>
        <v>11612</v>
      </c>
      <c r="BS386" s="4">
        <f>IF(Table43[[#This Row],[SATUAN Fix Win]]&lt;&gt;"",1)</f>
        <v>1</v>
      </c>
      <c r="BU386" s="4">
        <f>Table43[[#This Row],[ISI/CTN]]</f>
        <v>0</v>
      </c>
    </row>
    <row r="387" spans="1:75">
      <c r="A387" s="4" t="str">
        <f>CONCATENATE(Table43[[#This Row],[Kode BARANG Win2]],Table43[[#This Row],[No. Urut
Item Sama]])</f>
        <v>G1231000080010</v>
      </c>
      <c r="B387" s="7"/>
      <c r="C387" s="31">
        <v>30430010200030</v>
      </c>
      <c r="D387" s="59">
        <v>40042169</v>
      </c>
      <c r="E387" s="60" t="s">
        <v>2073</v>
      </c>
      <c r="F387" s="59">
        <v>30371010800020</v>
      </c>
      <c r="G387" s="59">
        <v>0</v>
      </c>
      <c r="H387" s="60" t="s">
        <v>1372</v>
      </c>
      <c r="I387" s="60">
        <v>12</v>
      </c>
      <c r="J387" s="59" t="s">
        <v>1757</v>
      </c>
      <c r="K387" s="60" t="str">
        <f>Table43[[#This Row],[NamaJenisKemasan]]</f>
        <v>PCH</v>
      </c>
      <c r="L387" s="4" t="str">
        <f>TRIM(CONCATENATE(Table43[[#This Row],[Nama            KLP]]," ",Table43[[#This Row],[Nama            Sub KLP]]))</f>
        <v>PROCLIN PENGHILANG NODA</v>
      </c>
      <c r="M387" s="4" t="str">
        <f>CONCATENATE(Table43[[#This Row],[kode  2 Digit                (hrf+No)]],Table43[[#This Row],[kode  2 Digit                (Nomor)]],Table43[[#This Row],[kode  1 Digit                (Nomor)]])</f>
        <v>G1231</v>
      </c>
      <c r="N387" s="4" t="str">
        <f>IF(AI387="",CONCATENATE(S387,U387,W387,Y387,AA387,AC387,AE387,AG387,Table43[[#This Row],[Tanda Kode Revisi]]),CONCATENATE(S387,U387,W387,Y387,AA387,AC387,AE387,AI387))</f>
        <v>G1231000080010</v>
      </c>
      <c r="O387" s="11">
        <f t="shared" si="10"/>
        <v>14</v>
      </c>
      <c r="P387" s="14" t="str">
        <f>IF(AH387&lt;&gt;"",TRIM(UPPER(CONCATENATE(R387," ",T387," ",V387," ",X387," ",Z387," ",AB387," ","X"," ",Table43[[#This Row],[ISI/CTN]]," ",AH387," ",AD387," ",AF387," ",AJ387))),TRIM(UPPER(CONCATENATE(R387," ",T387," ",V387," ",X387," ",Z387," ",AB387," ","X"," ",Table43[[#This Row],[ISI/CTN]]," ",AD387," ",AF387," ",AJ387))))</f>
        <v>PROCLIN PENGHILANG NODA 800ML X 12 PCH</v>
      </c>
      <c r="Q387" s="11">
        <f t="shared" si="11"/>
        <v>38</v>
      </c>
      <c r="S387" s="7" t="s">
        <v>34</v>
      </c>
      <c r="T387" s="4" t="s">
        <v>2414</v>
      </c>
      <c r="U387" s="47" t="s">
        <v>2580</v>
      </c>
      <c r="V387" s="48" t="s">
        <v>2413</v>
      </c>
      <c r="W387" s="7">
        <v>1</v>
      </c>
      <c r="X387" s="48"/>
      <c r="Y387" s="47" t="s">
        <v>1116</v>
      </c>
      <c r="AA387" s="49" t="s">
        <v>1117</v>
      </c>
      <c r="AB387" s="4" t="s">
        <v>1082</v>
      </c>
      <c r="AC387" s="49" t="s">
        <v>2638</v>
      </c>
      <c r="AD387" s="4" t="s">
        <v>636</v>
      </c>
      <c r="AE387" s="7">
        <v>1</v>
      </c>
      <c r="AG387" s="7">
        <v>0</v>
      </c>
      <c r="AK387" s="70">
        <f>Table43[[#This Row],[Column4]]</f>
        <v>30371010800020</v>
      </c>
      <c r="AN387" s="7">
        <f>Table43[[#This Row],[ISI/CTN]]</f>
        <v>12</v>
      </c>
      <c r="AO387" s="38">
        <f>Table43[[#This Row],[Harga Jual Pcs GT
(-PPN)]]-(Table43[[#This Row],[Harga Jual Pcs GT
(-PPN)]]*6.5%)</f>
        <v>30013.5</v>
      </c>
      <c r="AP387" s="38">
        <f>Table43[[#This Row],[Harga Beli Pcs
(-PPN)]]*Table43[[#This Row],[ISI/CTN]]</f>
        <v>360162</v>
      </c>
      <c r="AQ387" s="38">
        <f>Table43[[#This Row],[Harga Beli Pcs
(-PPN)]]*1.11</f>
        <v>33314.985000000001</v>
      </c>
      <c r="AR387" s="38">
        <f>Table43[[#This Row],[Harga Beli Krt
(- PPN)]]*1.11</f>
        <v>399779.82</v>
      </c>
      <c r="AS387" s="38">
        <v>32100</v>
      </c>
      <c r="AT387" s="38">
        <f>Table43[[#This Row],[Harga Jual Pcs GT
(-PPN)]]*Table43[[#This Row],[ISI/CTN]]</f>
        <v>385200</v>
      </c>
      <c r="AU387" s="38">
        <f>Table43[[#This Row],[Harga Jual Pcs GT
(-PPN)]]*1.11</f>
        <v>35631</v>
      </c>
      <c r="AV387" s="38">
        <f>Table43[[#This Row],[Harga Jual Krt GT
(- PPN)]]*1.11</f>
        <v>427572.00000000006</v>
      </c>
      <c r="AW387" s="38">
        <f>IFERROR(VLOOKUP(Table43[[#This Row],[Kode Pcpl]],'[1]FEB 2026'!$A$3:$X$312,24,0),0)</f>
        <v>0</v>
      </c>
      <c r="AX387" s="38">
        <f>Table43[[#This Row],[Harga Jual Pcs MT
(-PPN)]]*Table43[[#This Row],[ISI/CTN]]</f>
        <v>0</v>
      </c>
      <c r="AY387" s="38">
        <f>Table43[[#This Row],[Harga Jual Pcs MT
(-PPN)]]*1.11</f>
        <v>0</v>
      </c>
      <c r="AZ387" s="38">
        <f>Table43[[#This Row],[Harga Jual Pcs MT
(+PPN)]]*Table43[[#This Row],[ISI/CTN]]</f>
        <v>0</v>
      </c>
      <c r="BA387" s="46">
        <f>(Table43[[#This Row],[Harga Jual Pcs GT
(-PPN)]]-Table43[[#This Row],[Harga Beli Pcs
(-PPN)]])/Table43[[#This Row],[Harga Jual Pcs GT
(-PPN)]]</f>
        <v>6.5000000000000002E-2</v>
      </c>
      <c r="BB387" s="53">
        <f>Table43[[#This Row],[Harga Jual Pcs MT
(-PPN)]]-Table43[[#This Row],[Harga Beli Pcs
(-PPN)]]</f>
        <v>-30013.5</v>
      </c>
      <c r="BC387" s="54" t="e">
        <f>Table43[[#This Row],[Column1]]/Table43[[#This Row],[Harga Jual Pcs MT
(-PPN)]]</f>
        <v>#DIV/0!</v>
      </c>
      <c r="BD387" s="52"/>
      <c r="BE387" s="7"/>
      <c r="BF387" s="7" t="str">
        <f ca="1">IF(TODAY()-Table43[[#This Row],[Efektif
Pembuatan]]&gt;60,"Lama","Baru")</f>
        <v>Lama</v>
      </c>
      <c r="BG387" s="7" t="str">
        <f ca="1">IF(TODAY()-Table43[[#This Row],[Efektif Naik Harga]]&lt;30,"Naik","Sama")</f>
        <v>Sama</v>
      </c>
      <c r="BH387" s="7"/>
      <c r="BI387" s="7" t="str">
        <f>IF(Table43[[#This Row],[Kode BARANG Win2]]&lt;&gt;"","IDR","")</f>
        <v>IDR</v>
      </c>
      <c r="BJ387" s="7" t="str">
        <f>CONCATENATE(Table43[[#This Row],[kode  1 Digit
(Nomor)]],Table43[[#This Row],[kode  4 Digit                (Nomor)]])</f>
        <v>0800</v>
      </c>
      <c r="BK387" s="7" t="str">
        <f>Table43[[#This Row],[Nama            Gramasi atau Jumlah Pack per CTN]]</f>
        <v>800ML</v>
      </c>
      <c r="BL387" s="7"/>
      <c r="BM387" s="7"/>
      <c r="BN387" s="4" t="str">
        <f>IF(Table43[[#This Row],[SATUAN Fix Win]]&lt;&gt;"","KRT")</f>
        <v>KRT</v>
      </c>
      <c r="BO387" s="4" t="str">
        <f>IF(Table43[[#This Row],[SATUAN Fix Win]]&lt;&gt;"","GD01")</f>
        <v>GD01</v>
      </c>
      <c r="BP387" s="4">
        <f>IF(Table43[[#This Row],[SATUAN Fix Win]]&lt;&gt;"",11611)</f>
        <v>11611</v>
      </c>
      <c r="BQ387" s="4">
        <f>IF(Table43[[#This Row],[SATUAN Fix Win]]&lt;&gt;"",11612)</f>
        <v>11612</v>
      </c>
      <c r="BS387" s="4">
        <f>IF(Table43[[#This Row],[SATUAN Fix Win]]&lt;&gt;"",1)</f>
        <v>1</v>
      </c>
      <c r="BU387" s="4">
        <f>Table43[[#This Row],[ISI/CTN]]</f>
        <v>12</v>
      </c>
    </row>
    <row r="388" spans="1:75">
      <c r="A388" s="4" t="str">
        <f>CONCATENATE(Table43[[#This Row],[Kode BARANG Win2]],Table43[[#This Row],[No. Urut
Item Sama]])</f>
        <v>G1231000080010</v>
      </c>
      <c r="B388" s="7"/>
      <c r="C388" s="31"/>
      <c r="D388" s="51">
        <v>40032018</v>
      </c>
      <c r="E388" s="27"/>
      <c r="F388" s="51"/>
      <c r="G388" s="51"/>
      <c r="H388" s="27"/>
      <c r="I388" s="60">
        <v>12</v>
      </c>
      <c r="J388" s="59" t="s">
        <v>1757</v>
      </c>
      <c r="K388" s="27" t="str">
        <f>Table43[[#This Row],[NamaJenisKemasan]]</f>
        <v>PCH</v>
      </c>
      <c r="L388" s="4" t="str">
        <f>TRIM(CONCATENATE(Table43[[#This Row],[Nama            KLP]]," ",Table43[[#This Row],[Nama            Sub KLP]]))</f>
        <v>PROCLIN PENGHILANG NODA</v>
      </c>
      <c r="M388" s="4" t="str">
        <f>CONCATENATE(Table43[[#This Row],[kode  2 Digit                (hrf+No)]],Table43[[#This Row],[kode  2 Digit                (Nomor)]],Table43[[#This Row],[kode  1 Digit                (Nomor)]])</f>
        <v>G1231</v>
      </c>
      <c r="N388" s="4" t="str">
        <f>IF(AI388="",CONCATENATE(S388,U388,W388,Y388,AA388,AC388,AE388,AG388,Table43[[#This Row],[Tanda Kode Revisi]]),CONCATENATE(S388,U388,W388,Y388,AA388,AC388,AE388,AI388))</f>
        <v>G1231000080010</v>
      </c>
      <c r="O388" s="11">
        <f>LEN(N388)</f>
        <v>14</v>
      </c>
      <c r="P388" s="14" t="str">
        <f>IF(AH388&lt;&gt;"",TRIM(UPPER(CONCATENATE(R388," ",T388," ",V388," ",X388," ",Z388," ",AB388," ","X"," ",Table43[[#This Row],[ISI/CTN]]," ",AH388," ",AD388," ",AF388," ",AJ388))),TRIM(UPPER(CONCATENATE(R388," ",T388," ",V388," ",X388," ",Z388," ",AB388," ","X"," ",Table43[[#This Row],[ISI/CTN]]," ",AD388," ",AF388," ",AJ388))))</f>
        <v>PROCLIN PENGHILANG NODA 800ML X 12 PCH</v>
      </c>
      <c r="Q388" s="11">
        <f>LEN(P388)</f>
        <v>38</v>
      </c>
      <c r="S388" s="7" t="s">
        <v>34</v>
      </c>
      <c r="T388" s="4" t="s">
        <v>2414</v>
      </c>
      <c r="U388" s="47" t="s">
        <v>2580</v>
      </c>
      <c r="V388" s="48" t="s">
        <v>2413</v>
      </c>
      <c r="W388" s="7">
        <v>1</v>
      </c>
      <c r="X388" s="48"/>
      <c r="Y388" s="47" t="s">
        <v>1116</v>
      </c>
      <c r="AA388" s="49" t="s">
        <v>1117</v>
      </c>
      <c r="AB388" s="4" t="s">
        <v>1082</v>
      </c>
      <c r="AC388" s="49" t="s">
        <v>2638</v>
      </c>
      <c r="AD388" s="4" t="s">
        <v>636</v>
      </c>
      <c r="AE388" s="7">
        <v>1</v>
      </c>
      <c r="AG388" s="7">
        <v>0</v>
      </c>
      <c r="AK388" s="70">
        <f>Table43[[#This Row],[Column4]]</f>
        <v>0</v>
      </c>
      <c r="AN388" s="7">
        <f>Table43[[#This Row],[ISI/CTN]]</f>
        <v>12</v>
      </c>
      <c r="AO388" s="38">
        <f>Table43[[#This Row],[Harga Jual Pcs GT
(-PPN)]]-(Table43[[#This Row],[Harga Jual Pcs GT
(-PPN)]]*6.5%)</f>
        <v>0</v>
      </c>
      <c r="AP388" s="38">
        <f>Table43[[#This Row],[Harga Beli Pcs
(-PPN)]]*Table43[[#This Row],[ISI/CTN]]</f>
        <v>0</v>
      </c>
      <c r="AQ388" s="38">
        <f>Table43[[#This Row],[Harga Beli Pcs
(-PPN)]]*1.11</f>
        <v>0</v>
      </c>
      <c r="AR388" s="38">
        <f>Table43[[#This Row],[Harga Beli Krt
(- PPN)]]*1.11</f>
        <v>0</v>
      </c>
      <c r="AS388" s="38"/>
      <c r="AT388" s="38">
        <f>Table43[[#This Row],[Harga Jual Pcs GT
(-PPN)]]*Table43[[#This Row],[ISI/CTN]]</f>
        <v>0</v>
      </c>
      <c r="AU388" s="38">
        <f>Table43[[#This Row],[Harga Jual Pcs GT
(-PPN)]]*1.11</f>
        <v>0</v>
      </c>
      <c r="AV388" s="38">
        <f>Table43[[#This Row],[Harga Jual Krt GT
(- PPN)]]*1.11</f>
        <v>0</v>
      </c>
      <c r="AW388" s="38">
        <f>IFERROR(VLOOKUP(Table43[[#This Row],[Kode Pcpl]],'[1]FEB 2026'!$A$3:$X$312,24,0),0)</f>
        <v>0</v>
      </c>
      <c r="AX388" s="38">
        <f>Table43[[#This Row],[Harga Jual Pcs MT
(-PPN)]]*Table43[[#This Row],[ISI/CTN]]</f>
        <v>0</v>
      </c>
      <c r="AY388" s="38">
        <f>Table43[[#This Row],[Harga Jual Pcs MT
(-PPN)]]*1.11</f>
        <v>0</v>
      </c>
      <c r="AZ388" s="38">
        <f>Table43[[#This Row],[Harga Jual Pcs MT
(+PPN)]]*Table43[[#This Row],[ISI/CTN]]</f>
        <v>0</v>
      </c>
      <c r="BA388" s="46" t="e">
        <f>(Table43[[#This Row],[Harga Jual Pcs GT
(-PPN)]]-Table43[[#This Row],[Harga Beli Pcs
(-PPN)]])/Table43[[#This Row],[Harga Jual Pcs GT
(-PPN)]]</f>
        <v>#DIV/0!</v>
      </c>
      <c r="BB388" s="53">
        <f>Table43[[#This Row],[Harga Jual Pcs MT
(-PPN)]]-Table43[[#This Row],[Harga Beli Pcs
(-PPN)]]</f>
        <v>0</v>
      </c>
      <c r="BC388" s="54" t="e">
        <f>Table43[[#This Row],[Column1]]/Table43[[#This Row],[Harga Jual Pcs MT
(-PPN)]]</f>
        <v>#DIV/0!</v>
      </c>
      <c r="BD388" s="52"/>
      <c r="BE388" s="7"/>
      <c r="BF388" s="7" t="str">
        <f ca="1">IF(TODAY()-Table43[[#This Row],[Efektif
Pembuatan]]&gt;60,"Lama","Baru")</f>
        <v>Lama</v>
      </c>
      <c r="BG388" s="7" t="str">
        <f ca="1">IF(TODAY()-Table43[[#This Row],[Efektif Naik Harga]]&lt;30,"Naik","Sama")</f>
        <v>Sama</v>
      </c>
      <c r="BH388" s="7"/>
      <c r="BI388" s="7" t="str">
        <f>IF(Table43[[#This Row],[Kode BARANG Win2]]&lt;&gt;"","IDR","")</f>
        <v>IDR</v>
      </c>
      <c r="BJ388" s="7" t="str">
        <f>CONCATENATE(Table43[[#This Row],[kode  1 Digit
(Nomor)]],Table43[[#This Row],[kode  4 Digit                (Nomor)]])</f>
        <v>0800</v>
      </c>
      <c r="BK388" s="7" t="str">
        <f>Table43[[#This Row],[Nama            Gramasi atau Jumlah Pack per CTN]]</f>
        <v>800ML</v>
      </c>
      <c r="BL388" s="7"/>
      <c r="BM388" s="7"/>
      <c r="BN388" s="4" t="str">
        <f>IF(Table43[[#This Row],[SATUAN Fix Win]]&lt;&gt;"","KRT")</f>
        <v>KRT</v>
      </c>
      <c r="BO388" s="4" t="str">
        <f>IF(Table43[[#This Row],[SATUAN Fix Win]]&lt;&gt;"","GD01")</f>
        <v>GD01</v>
      </c>
      <c r="BP388" s="4">
        <f>IF(Table43[[#This Row],[SATUAN Fix Win]]&lt;&gt;"",11611)</f>
        <v>11611</v>
      </c>
      <c r="BQ388" s="4">
        <f>IF(Table43[[#This Row],[SATUAN Fix Win]]&lt;&gt;"",11612)</f>
        <v>11612</v>
      </c>
      <c r="BS388" s="4">
        <f>IF(Table43[[#This Row],[SATUAN Fix Win]]&lt;&gt;"",1)</f>
        <v>1</v>
      </c>
      <c r="BU388" s="4">
        <f>Table43[[#This Row],[ISI/CTN]]</f>
        <v>12</v>
      </c>
    </row>
    <row r="389" spans="1:75">
      <c r="A389" s="4" t="str">
        <f>CONCATENATE(Table43[[#This Row],[Kode BARANG Win2]],Table43[[#This Row],[No. Urut
Item Sama]])</f>
        <v>G1231000080010</v>
      </c>
      <c r="B389" s="7"/>
      <c r="C389" s="31"/>
      <c r="D389" s="51">
        <v>40058788</v>
      </c>
      <c r="E389" s="27"/>
      <c r="F389" s="51"/>
      <c r="G389" s="51">
        <v>0</v>
      </c>
      <c r="H389" s="27" t="s">
        <v>1373</v>
      </c>
      <c r="I389" s="27">
        <v>12</v>
      </c>
      <c r="J389" s="51" t="s">
        <v>1757</v>
      </c>
      <c r="K389" s="27" t="str">
        <f>Table43[[#This Row],[NamaJenisKemasan]]</f>
        <v>PCH</v>
      </c>
      <c r="L389" s="4" t="str">
        <f>TRIM(CONCATENATE(Table43[[#This Row],[Nama            KLP]]," ",Table43[[#This Row],[Nama            Sub KLP]]))</f>
        <v>PROCLIN PENGHILANG NODA</v>
      </c>
      <c r="M389" s="4" t="str">
        <f>CONCATENATE(Table43[[#This Row],[kode  2 Digit                (hrf+No)]],Table43[[#This Row],[kode  2 Digit                (Nomor)]],Table43[[#This Row],[kode  1 Digit                (Nomor)]])</f>
        <v>G1231</v>
      </c>
      <c r="N389" s="4" t="str">
        <f>IF(AI389="",CONCATENATE(S389,U389,W389,Y389,AA389,AC389,AE389,AG389,Table43[[#This Row],[Tanda Kode Revisi]]),CONCATENATE(S389,U389,W389,Y389,AA389,AC389,AE389,AI389))</f>
        <v>G1231000080010</v>
      </c>
      <c r="O389" s="11">
        <f t="shared" si="10"/>
        <v>14</v>
      </c>
      <c r="P389" s="14" t="str">
        <f>IF(AH389&lt;&gt;"",TRIM(UPPER(CONCATENATE(R389," ",T389," ",V389," ",X389," ",Z389," ",AB389," ","X"," ",Table43[[#This Row],[ISI/CTN]]," ",AH389," ",AD389," ",AF389," ",AJ389))),TRIM(UPPER(CONCATENATE(R389," ",T389," ",V389," ",X389," ",Z389," ",AB389," ","X"," ",Table43[[#This Row],[ISI/CTN]]," ",AD389," ",AF389," ",AJ389))))</f>
        <v>PROCLIN PENGHILANG NODA 800ML X 12 PCH</v>
      </c>
      <c r="Q389" s="11">
        <f t="shared" si="11"/>
        <v>38</v>
      </c>
      <c r="S389" s="7" t="s">
        <v>34</v>
      </c>
      <c r="T389" s="4" t="s">
        <v>2414</v>
      </c>
      <c r="U389" s="47" t="s">
        <v>2580</v>
      </c>
      <c r="V389" s="48" t="s">
        <v>2413</v>
      </c>
      <c r="W389" s="7">
        <v>1</v>
      </c>
      <c r="X389" s="48"/>
      <c r="Y389" s="47" t="s">
        <v>1116</v>
      </c>
      <c r="AA389" s="49" t="s">
        <v>1117</v>
      </c>
      <c r="AB389" s="4" t="s">
        <v>1082</v>
      </c>
      <c r="AC389" s="49" t="s">
        <v>2638</v>
      </c>
      <c r="AD389" s="4" t="s">
        <v>636</v>
      </c>
      <c r="AE389" s="7">
        <v>1</v>
      </c>
      <c r="AG389" s="7">
        <v>0</v>
      </c>
      <c r="AK389" s="70">
        <f>Table43[[#This Row],[Column4]]</f>
        <v>0</v>
      </c>
      <c r="AN389" s="7">
        <f>Table43[[#This Row],[ISI/CTN]]</f>
        <v>12</v>
      </c>
      <c r="AO389" s="38">
        <f>Table43[[#This Row],[Harga Jual Pcs GT
(-PPN)]]-(Table43[[#This Row],[Harga Jual Pcs GT
(-PPN)]]*6.5%)</f>
        <v>15895</v>
      </c>
      <c r="AP389" s="61">
        <f>Table43[[#This Row],[Harga Beli Pcs
(-PPN)]]*Table43[[#This Row],[ISI/CTN]]</f>
        <v>190740</v>
      </c>
      <c r="AQ389" s="61">
        <f>Table43[[#This Row],[Harga Beli Pcs
(-PPN)]]*1.11</f>
        <v>17643.45</v>
      </c>
      <c r="AR389" s="61">
        <f>Table43[[#This Row],[Harga Beli Krt
(- PPN)]]*1.11</f>
        <v>211721.40000000002</v>
      </c>
      <c r="AS389" s="38">
        <v>17000</v>
      </c>
      <c r="AT389" s="61">
        <f>Table43[[#This Row],[Harga Jual Pcs GT
(-PPN)]]*Table43[[#This Row],[ISI/CTN]]</f>
        <v>204000</v>
      </c>
      <c r="AU389" s="61">
        <f>Table43[[#This Row],[Harga Jual Pcs GT
(-PPN)]]*1.11</f>
        <v>18870</v>
      </c>
      <c r="AV389" s="61">
        <f>Table43[[#This Row],[Harga Jual Krt GT
(- PPN)]]*1.11</f>
        <v>226440.00000000003</v>
      </c>
      <c r="AW389" s="61">
        <f>IFERROR(VLOOKUP(Table43[[#This Row],[Kode Pcpl]],'[1]FEB 2026'!$A$3:$X$312,24,0),0)</f>
        <v>0</v>
      </c>
      <c r="AX389" s="61">
        <f>Table43[[#This Row],[Harga Jual Pcs MT
(-PPN)]]*Table43[[#This Row],[ISI/CTN]]</f>
        <v>0</v>
      </c>
      <c r="AY389" s="61">
        <f>Table43[[#This Row],[Harga Jual Pcs MT
(-PPN)]]*1.11</f>
        <v>0</v>
      </c>
      <c r="AZ389" s="61">
        <f>Table43[[#This Row],[Harga Jual Pcs MT
(+PPN)]]*Table43[[#This Row],[ISI/CTN]]</f>
        <v>0</v>
      </c>
      <c r="BA389" s="62">
        <f>(Table43[[#This Row],[Harga Jual Pcs GT
(-PPN)]]-Table43[[#This Row],[Harga Beli Pcs
(-PPN)]])/Table43[[#This Row],[Harga Jual Pcs GT
(-PPN)]]</f>
        <v>6.5000000000000002E-2</v>
      </c>
      <c r="BB389" s="63">
        <f>Table43[[#This Row],[Harga Jual Pcs MT
(-PPN)]]-Table43[[#This Row],[Harga Beli Pcs
(-PPN)]]</f>
        <v>-15895</v>
      </c>
      <c r="BC389" s="64" t="e">
        <f>Table43[[#This Row],[Column1]]/Table43[[#This Row],[Harga Jual Pcs MT
(-PPN)]]</f>
        <v>#DIV/0!</v>
      </c>
      <c r="BD389" s="52"/>
      <c r="BE389" s="7"/>
      <c r="BF389" s="7" t="str">
        <f ca="1">IF(TODAY()-Table43[[#This Row],[Efektif
Pembuatan]]&gt;60,"Lama","Baru")</f>
        <v>Lama</v>
      </c>
      <c r="BG389" s="7" t="str">
        <f ca="1">IF(TODAY()-Table43[[#This Row],[Efektif Naik Harga]]&lt;30,"Naik","Sama")</f>
        <v>Sama</v>
      </c>
      <c r="BH389" s="7"/>
      <c r="BI389" s="7" t="str">
        <f>IF(Table43[[#This Row],[Kode BARANG Win2]]&lt;&gt;"","IDR","")</f>
        <v>IDR</v>
      </c>
      <c r="BJ389" s="7" t="str">
        <f>CONCATENATE(Table43[[#This Row],[kode  1 Digit
(Nomor)]],Table43[[#This Row],[kode  4 Digit                (Nomor)]])</f>
        <v>0800</v>
      </c>
      <c r="BK389" s="7" t="str">
        <f>Table43[[#This Row],[Nama            Gramasi atau Jumlah Pack per CTN]]</f>
        <v>800ML</v>
      </c>
      <c r="BL389" s="7"/>
      <c r="BM389" s="7"/>
      <c r="BN389" s="4" t="str">
        <f>IF(Table43[[#This Row],[SATUAN Fix Win]]&lt;&gt;"","KRT")</f>
        <v>KRT</v>
      </c>
      <c r="BO389" s="4" t="str">
        <f>IF(Table43[[#This Row],[SATUAN Fix Win]]&lt;&gt;"","GD01")</f>
        <v>GD01</v>
      </c>
      <c r="BP389" s="4">
        <f>IF(Table43[[#This Row],[SATUAN Fix Win]]&lt;&gt;"",11611)</f>
        <v>11611</v>
      </c>
      <c r="BQ389" s="4">
        <f>IF(Table43[[#This Row],[SATUAN Fix Win]]&lt;&gt;"",11612)</f>
        <v>11612</v>
      </c>
      <c r="BS389" s="4">
        <f>IF(Table43[[#This Row],[SATUAN Fix Win]]&lt;&gt;"",1)</f>
        <v>1</v>
      </c>
      <c r="BU389" s="4">
        <f>Table43[[#This Row],[ISI/CTN]]</f>
        <v>12</v>
      </c>
    </row>
    <row r="390" spans="1:75">
      <c r="A390" s="4" t="str">
        <f>CONCATENATE(Table43[[#This Row],[Kode BARANG Win2]],Table43[[#This Row],[No. Urut
Item Sama]])</f>
        <v>G1231001040010</v>
      </c>
      <c r="B390" s="7"/>
      <c r="C390" s="31">
        <v>30440000250020</v>
      </c>
      <c r="D390" s="51">
        <v>40025913</v>
      </c>
      <c r="E390" s="27" t="s">
        <v>2074</v>
      </c>
      <c r="F390" s="51">
        <v>30371020400020</v>
      </c>
      <c r="G390" s="51">
        <v>0</v>
      </c>
      <c r="H390" s="27" t="s">
        <v>1374</v>
      </c>
      <c r="I390" s="27">
        <v>12</v>
      </c>
      <c r="J390" s="51" t="s">
        <v>1758</v>
      </c>
      <c r="K390" s="27" t="str">
        <f>Table43[[#This Row],[NamaJenisKemasan]]</f>
        <v>PCH</v>
      </c>
      <c r="L390" s="4" t="str">
        <f>TRIM(CONCATENATE(Table43[[#This Row],[Nama            KLP]]," ",Table43[[#This Row],[Nama            Sub KLP]]))</f>
        <v>PROCLIN PENGHILANG NODA</v>
      </c>
      <c r="M390" s="4" t="str">
        <f>CONCATENATE(Table43[[#This Row],[kode  2 Digit                (hrf+No)]],Table43[[#This Row],[kode  2 Digit                (Nomor)]],Table43[[#This Row],[kode  1 Digit                (Nomor)]])</f>
        <v>G1231</v>
      </c>
      <c r="N390" s="4" t="str">
        <f>IF(AI390="",CONCATENATE(S390,U390,W390,Y390,AA390,AC390,AE390,AG390,Table43[[#This Row],[Tanda Kode Revisi]]),CONCATENATE(S390,U390,W390,Y390,AA390,AC390,AE390,AI390))</f>
        <v>G1231001040010</v>
      </c>
      <c r="O390" s="11">
        <f t="shared" si="10"/>
        <v>14</v>
      </c>
      <c r="P390" s="14" t="str">
        <f>IF(AH390&lt;&gt;"",TRIM(UPPER(CONCATENATE(R390," ",T390," ",V390," ",X390," ",Z390," ",AB390," ","X"," ",Table43[[#This Row],[ISI/CTN]]," ",AH390," ",AD390," ",AF390," ",AJ390))),TRIM(UPPER(CONCATENATE(R390," ",T390," ",V390," ",X390," ",Z390," ",AB390," ","X"," ",Table43[[#This Row],[ISI/CTN]]," ",AD390," ",AF390," ",AJ390))))</f>
        <v>PROCLIN PENGHILANG NODA AKSI PUTIH 400ML X 12 PCH</v>
      </c>
      <c r="Q390" s="11">
        <f t="shared" si="11"/>
        <v>49</v>
      </c>
      <c r="S390" s="7" t="s">
        <v>34</v>
      </c>
      <c r="T390" s="4" t="s">
        <v>2414</v>
      </c>
      <c r="U390" s="47" t="s">
        <v>2580</v>
      </c>
      <c r="V390" s="48" t="s">
        <v>2413</v>
      </c>
      <c r="W390" s="7">
        <v>1</v>
      </c>
      <c r="X390" s="48"/>
      <c r="Y390" s="47" t="s">
        <v>1116</v>
      </c>
      <c r="Z390" s="4" t="s">
        <v>2415</v>
      </c>
      <c r="AA390" s="49" t="s">
        <v>1115</v>
      </c>
      <c r="AB390" s="4" t="s">
        <v>635</v>
      </c>
      <c r="AC390" s="49" t="s">
        <v>2624</v>
      </c>
      <c r="AD390" s="4" t="s">
        <v>636</v>
      </c>
      <c r="AE390" s="7">
        <v>1</v>
      </c>
      <c r="AG390" s="7">
        <v>0</v>
      </c>
      <c r="AK390" s="70">
        <f>Table43[[#This Row],[Column4]]</f>
        <v>30371020400020</v>
      </c>
      <c r="AN390" s="7">
        <f>Table43[[#This Row],[ISI/CTN]]</f>
        <v>12</v>
      </c>
      <c r="AO390" s="38">
        <f>Table43[[#This Row],[Harga Jual Pcs GT
(-PPN)]]-(Table43[[#This Row],[Harga Jual Pcs GT
(-PPN)]]*6.5%)</f>
        <v>17344.25</v>
      </c>
      <c r="AP390" s="38">
        <f>Table43[[#This Row],[Harga Beli Pcs
(-PPN)]]*Table43[[#This Row],[ISI/CTN]]</f>
        <v>208131</v>
      </c>
      <c r="AQ390" s="38">
        <f>Table43[[#This Row],[Harga Beli Pcs
(-PPN)]]*1.11</f>
        <v>19252.1175</v>
      </c>
      <c r="AR390" s="38">
        <f>Table43[[#This Row],[Harga Beli Krt
(- PPN)]]*1.11</f>
        <v>231025.41000000003</v>
      </c>
      <c r="AS390" s="38">
        <v>18550</v>
      </c>
      <c r="AT390" s="38">
        <f>Table43[[#This Row],[Harga Jual Pcs GT
(-PPN)]]*Table43[[#This Row],[ISI/CTN]]</f>
        <v>222600</v>
      </c>
      <c r="AU390" s="38">
        <f>Table43[[#This Row],[Harga Jual Pcs GT
(-PPN)]]*1.11</f>
        <v>20590.5</v>
      </c>
      <c r="AV390" s="38">
        <f>Table43[[#This Row],[Harga Jual Krt GT
(- PPN)]]*1.11</f>
        <v>247086.00000000003</v>
      </c>
      <c r="AW390" s="38">
        <f>IFERROR(VLOOKUP(Table43[[#This Row],[Kode Pcpl]],'[1]FEB 2026'!$A$3:$X$312,24,0),0)</f>
        <v>0</v>
      </c>
      <c r="AX390" s="38">
        <f>Table43[[#This Row],[Harga Jual Pcs MT
(-PPN)]]*Table43[[#This Row],[ISI/CTN]]</f>
        <v>0</v>
      </c>
      <c r="AY390" s="38">
        <f>Table43[[#This Row],[Harga Jual Pcs MT
(-PPN)]]*1.11</f>
        <v>0</v>
      </c>
      <c r="AZ390" s="38">
        <f>Table43[[#This Row],[Harga Jual Pcs MT
(+PPN)]]*Table43[[#This Row],[ISI/CTN]]</f>
        <v>0</v>
      </c>
      <c r="BA390" s="46">
        <f>(Table43[[#This Row],[Harga Jual Pcs GT
(-PPN)]]-Table43[[#This Row],[Harga Beli Pcs
(-PPN)]])/Table43[[#This Row],[Harga Jual Pcs GT
(-PPN)]]</f>
        <v>6.5000000000000002E-2</v>
      </c>
      <c r="BB390" s="53">
        <f>Table43[[#This Row],[Harga Jual Pcs MT
(-PPN)]]-Table43[[#This Row],[Harga Beli Pcs
(-PPN)]]</f>
        <v>-17344.25</v>
      </c>
      <c r="BC390" s="54" t="e">
        <f>Table43[[#This Row],[Column1]]/Table43[[#This Row],[Harga Jual Pcs MT
(-PPN)]]</f>
        <v>#DIV/0!</v>
      </c>
      <c r="BD390" s="52"/>
      <c r="BE390" s="7"/>
      <c r="BF390" s="7" t="str">
        <f ca="1">IF(TODAY()-Table43[[#This Row],[Efektif
Pembuatan]]&gt;60,"Lama","Baru")</f>
        <v>Lama</v>
      </c>
      <c r="BG390" s="7" t="str">
        <f ca="1">IF(TODAY()-Table43[[#This Row],[Efektif Naik Harga]]&lt;30,"Naik","Sama")</f>
        <v>Sama</v>
      </c>
      <c r="BH390" s="7"/>
      <c r="BI390" s="7" t="str">
        <f>IF(Table43[[#This Row],[Kode BARANG Win2]]&lt;&gt;"","IDR","")</f>
        <v>IDR</v>
      </c>
      <c r="BJ390" s="7" t="str">
        <f>CONCATENATE(Table43[[#This Row],[kode  1 Digit
(Nomor)]],Table43[[#This Row],[kode  4 Digit                (Nomor)]])</f>
        <v>0400</v>
      </c>
      <c r="BK390" s="7" t="str">
        <f>Table43[[#This Row],[Nama            Gramasi atau Jumlah Pack per CTN]]</f>
        <v>400ML</v>
      </c>
      <c r="BL390" s="7"/>
      <c r="BM390" s="7"/>
      <c r="BN390" s="4" t="str">
        <f>IF(Table43[[#This Row],[SATUAN Fix Win]]&lt;&gt;"","KRT")</f>
        <v>KRT</v>
      </c>
      <c r="BO390" s="4" t="str">
        <f>IF(Table43[[#This Row],[SATUAN Fix Win]]&lt;&gt;"","GD01")</f>
        <v>GD01</v>
      </c>
      <c r="BP390" s="4">
        <f>IF(Table43[[#This Row],[SATUAN Fix Win]]&lt;&gt;"",11611)</f>
        <v>11611</v>
      </c>
      <c r="BQ390" s="4">
        <f>IF(Table43[[#This Row],[SATUAN Fix Win]]&lt;&gt;"",11612)</f>
        <v>11612</v>
      </c>
      <c r="BS390" s="4">
        <f>IF(Table43[[#This Row],[SATUAN Fix Win]]&lt;&gt;"",1)</f>
        <v>1</v>
      </c>
      <c r="BU390" s="4">
        <f>Table43[[#This Row],[ISI/CTN]]</f>
        <v>12</v>
      </c>
    </row>
    <row r="391" spans="1:75">
      <c r="A391" s="4" t="str">
        <f>CONCATENATE(Table43[[#This Row],[Kode BARANG Win2]],Table43[[#This Row],[No. Urut
Item Sama]])</f>
        <v>G1241100020010</v>
      </c>
      <c r="B391" s="7"/>
      <c r="C391" s="31">
        <v>30400010200010</v>
      </c>
      <c r="D391" s="59">
        <v>40057947</v>
      </c>
      <c r="E391" s="67" t="s">
        <v>2468</v>
      </c>
      <c r="F391" s="69">
        <v>30400010200010</v>
      </c>
      <c r="G391" s="69">
        <v>0</v>
      </c>
      <c r="H391" s="60">
        <v>0</v>
      </c>
      <c r="I391" s="60">
        <v>12</v>
      </c>
      <c r="J391" s="59">
        <v>0</v>
      </c>
      <c r="K391" s="60" t="str">
        <f>Table43[[#This Row],[NamaJenisKemasan]]</f>
        <v>KLG</v>
      </c>
      <c r="L391" s="4" t="str">
        <f>TRIM(CONCATENATE(Table43[[#This Row],[Nama            KLP]]," ",Table43[[#This Row],[Nama            Sub KLP]]))</f>
        <v>SANITER AEROSOL</v>
      </c>
      <c r="M391" s="4" t="str">
        <f>CONCATENATE(Table43[[#This Row],[kode  2 Digit                (hrf+No)]],Table43[[#This Row],[kode  2 Digit                (Nomor)]],Table43[[#This Row],[kode  1 Digit                (Nomor)]])</f>
        <v>G1241</v>
      </c>
      <c r="N391" s="4" t="str">
        <f>IF(AI391="",CONCATENATE(S391,U391,W391,Y391,AA391,AC391,AE391,AG391,Table43[[#This Row],[Tanda Kode Revisi]]),CONCATENATE(S391,U391,W391,Y391,AA391,AC391,AE391,AI391))</f>
        <v>G1241100020010</v>
      </c>
      <c r="O391" s="11">
        <f t="shared" si="10"/>
        <v>14</v>
      </c>
      <c r="P391" s="14" t="str">
        <f>IF(AH391&lt;&gt;"",TRIM(UPPER(CONCATENATE(R391," ",T391," ",V391," ",X391," ",Z391," ",AB391," ","X"," ",Table43[[#This Row],[ISI/CTN]]," ",AH391," ",AD391," ",AF391," ",AJ391))),TRIM(UPPER(CONCATENATE(R391," ",T391," ",V391," ",X391," ",Z391," ",AB391," ","X"," ",Table43[[#This Row],[ISI/CTN]]," ",AD391," ",AF391," ",AJ391))))</f>
        <v>SANITER AEROSOL AIR SURFACE 200ML X 12 KLG</v>
      </c>
      <c r="Q391" s="11">
        <f t="shared" si="11"/>
        <v>42</v>
      </c>
      <c r="S391" s="7" t="s">
        <v>34</v>
      </c>
      <c r="T391" s="4" t="s">
        <v>2525</v>
      </c>
      <c r="U391" s="47" t="s">
        <v>2522</v>
      </c>
      <c r="V391" s="48" t="s">
        <v>2243</v>
      </c>
      <c r="W391" s="7">
        <v>1</v>
      </c>
      <c r="X391" s="48" t="s">
        <v>2528</v>
      </c>
      <c r="Y391" s="47" t="s">
        <v>2539</v>
      </c>
      <c r="AA391" s="49" t="s">
        <v>1117</v>
      </c>
      <c r="AB391" s="4" t="s">
        <v>640</v>
      </c>
      <c r="AC391" s="49" t="s">
        <v>2606</v>
      </c>
      <c r="AD391" s="4" t="s">
        <v>2221</v>
      </c>
      <c r="AE391" s="7">
        <v>1</v>
      </c>
      <c r="AG391" s="7">
        <v>0</v>
      </c>
      <c r="AK391" s="70">
        <f>Table43[[#This Row],[Column4]]</f>
        <v>30400010200010</v>
      </c>
      <c r="AN391" s="7">
        <f>Table43[[#This Row],[ISI/CTN]]</f>
        <v>12</v>
      </c>
      <c r="AO391" s="38">
        <f>Table43[[#This Row],[Harga Jual Pcs GT
(-PPN)]]-(Table43[[#This Row],[Harga Jual Pcs GT
(-PPN)]]*6.5%)</f>
        <v>20870.134999999998</v>
      </c>
      <c r="AP391" s="38">
        <f>Table43[[#This Row],[Harga Beli Pcs
(-PPN)]]*Table43[[#This Row],[ISI/CTN]]</f>
        <v>250441.62</v>
      </c>
      <c r="AQ391" s="38">
        <f>Table43[[#This Row],[Harga Beli Pcs
(-PPN)]]*1.11</f>
        <v>23165.849849999999</v>
      </c>
      <c r="AR391" s="38">
        <f>Table43[[#This Row],[Harga Beli Krt
(- PPN)]]*1.11</f>
        <v>277990.19820000004</v>
      </c>
      <c r="AS391" s="38">
        <v>22321</v>
      </c>
      <c r="AT391" s="38">
        <f>Table43[[#This Row],[Harga Jual Pcs GT
(-PPN)]]*Table43[[#This Row],[ISI/CTN]]</f>
        <v>267852</v>
      </c>
      <c r="AU391" s="38">
        <f>Table43[[#This Row],[Harga Jual Pcs GT
(-PPN)]]*1.11</f>
        <v>24776.31</v>
      </c>
      <c r="AV391" s="38">
        <f>Table43[[#This Row],[Harga Jual Krt GT
(- PPN)]]*1.11</f>
        <v>297315.72000000003</v>
      </c>
      <c r="AW391" s="38">
        <f>IFERROR(VLOOKUP(Table43[[#This Row],[Kode Pcpl]],'[1]FEB 2026'!$A$3:$X$312,24,0),0)</f>
        <v>0</v>
      </c>
      <c r="AX391" s="38">
        <f>Table43[[#This Row],[Harga Jual Pcs MT
(-PPN)]]*Table43[[#This Row],[ISI/CTN]]</f>
        <v>0</v>
      </c>
      <c r="AY391" s="38">
        <f>Table43[[#This Row],[Harga Jual Pcs MT
(-PPN)]]*1.11</f>
        <v>0</v>
      </c>
      <c r="AZ391" s="38">
        <f>Table43[[#This Row],[Harga Jual Pcs MT
(+PPN)]]*Table43[[#This Row],[ISI/CTN]]</f>
        <v>0</v>
      </c>
      <c r="BA391" s="46">
        <f>(Table43[[#This Row],[Harga Jual Pcs GT
(-PPN)]]-Table43[[#This Row],[Harga Beli Pcs
(-PPN)]])/Table43[[#This Row],[Harga Jual Pcs GT
(-PPN)]]</f>
        <v>6.5000000000000072E-2</v>
      </c>
      <c r="BB391" s="53">
        <f>Table43[[#This Row],[Harga Jual Pcs MT
(-PPN)]]-Table43[[#This Row],[Harga Beli Pcs
(-PPN)]]</f>
        <v>-20870.134999999998</v>
      </c>
      <c r="BC391" s="54" t="e">
        <f>Table43[[#This Row],[Column1]]/Table43[[#This Row],[Harga Jual Pcs MT
(-PPN)]]</f>
        <v>#DIV/0!</v>
      </c>
      <c r="BD391" s="52"/>
      <c r="BE391" s="7"/>
      <c r="BF391" s="7" t="str">
        <f ca="1">IF(TODAY()-Table43[[#This Row],[Efektif
Pembuatan]]&gt;60,"Lama","Baru")</f>
        <v>Lama</v>
      </c>
      <c r="BG391" s="7" t="str">
        <f ca="1">IF(TODAY()-Table43[[#This Row],[Efektif Naik Harga]]&lt;30,"Naik","Sama")</f>
        <v>Sama</v>
      </c>
      <c r="BH391" s="7"/>
      <c r="BI391" s="7" t="str">
        <f>IF(Table43[[#This Row],[Kode BARANG Win2]]&lt;&gt;"","IDR","")</f>
        <v>IDR</v>
      </c>
      <c r="BJ391" s="7" t="str">
        <f>CONCATENATE(Table43[[#This Row],[kode  1 Digit
(Nomor)]],Table43[[#This Row],[kode  4 Digit                (Nomor)]])</f>
        <v>0200</v>
      </c>
      <c r="BK391" s="7" t="str">
        <f>Table43[[#This Row],[Nama            Gramasi atau Jumlah Pack per CTN]]</f>
        <v>200ML</v>
      </c>
      <c r="BL391" s="7"/>
      <c r="BM391" s="7"/>
      <c r="BN391" s="4" t="str">
        <f>IF(Table43[[#This Row],[SATUAN Fix Win]]&lt;&gt;"","KRT")</f>
        <v>KRT</v>
      </c>
      <c r="BO391" s="4" t="str">
        <f>IF(Table43[[#This Row],[SATUAN Fix Win]]&lt;&gt;"","GD01")</f>
        <v>GD01</v>
      </c>
      <c r="BP391" s="4">
        <f>IF(Table43[[#This Row],[SATUAN Fix Win]]&lt;&gt;"",11611)</f>
        <v>11611</v>
      </c>
      <c r="BQ391" s="4">
        <f>IF(Table43[[#This Row],[SATUAN Fix Win]]&lt;&gt;"",11612)</f>
        <v>11612</v>
      </c>
      <c r="BS391" s="4">
        <f>IF(Table43[[#This Row],[SATUAN Fix Win]]&lt;&gt;"",1)</f>
        <v>1</v>
      </c>
      <c r="BU391" s="4">
        <f>Table43[[#This Row],[ISI/CTN]]</f>
        <v>12</v>
      </c>
    </row>
    <row r="392" spans="1:75">
      <c r="A392" s="4" t="str">
        <f>CONCATENATE(Table43[[#This Row],[Kode BARANG Win2]],Table43[[#This Row],[No. Urut
Item Sama]])</f>
        <v>G1242001020010</v>
      </c>
      <c r="B392" s="7"/>
      <c r="C392" s="31">
        <v>30450020040000</v>
      </c>
      <c r="D392" s="59">
        <v>40029967</v>
      </c>
      <c r="E392" s="60" t="s">
        <v>2077</v>
      </c>
      <c r="F392" s="59">
        <v>30430010200030</v>
      </c>
      <c r="G392" s="59">
        <v>0</v>
      </c>
      <c r="H392" s="60" t="s">
        <v>1377</v>
      </c>
      <c r="I392" s="60">
        <v>24</v>
      </c>
      <c r="J392" s="59" t="s">
        <v>1760</v>
      </c>
      <c r="K392" s="60" t="str">
        <f>Table43[[#This Row],[NamaJenisKemasan]]</f>
        <v>PCH</v>
      </c>
      <c r="L392" s="4" t="str">
        <f>TRIM(CONCATENATE(Table43[[#This Row],[Nama            KLP]]," ",Table43[[#This Row],[Nama            Sub KLP]]))</f>
        <v>SANITER HAND SANITIZER</v>
      </c>
      <c r="M392" s="4" t="str">
        <f>CONCATENATE(Table43[[#This Row],[kode  2 Digit                (hrf+No)]],Table43[[#This Row],[kode  2 Digit                (Nomor)]],Table43[[#This Row],[kode  1 Digit                (Nomor)]])</f>
        <v>G1242</v>
      </c>
      <c r="N392" s="4" t="str">
        <f>IF(AI392="",CONCATENATE(S392,U392,W392,Y392,AA392,AC392,AE392,AG392,Table43[[#This Row],[Tanda Kode Revisi]]),CONCATENATE(S392,U392,W392,Y392,AA392,AC392,AE392,AI392))</f>
        <v>G1242001020010</v>
      </c>
      <c r="O392" s="11">
        <f t="shared" si="10"/>
        <v>14</v>
      </c>
      <c r="P392" s="14" t="str">
        <f>IF(AH392&lt;&gt;"",TRIM(UPPER(CONCATENATE(R392," ",T392," ",V392," ",X392," ",Z392," ",AB392," ","X"," ",Table43[[#This Row],[ISI/CTN]]," ",AH392," ",AD392," ",AF392," ",AJ392))),TRIM(UPPER(CONCATENATE(R392," ",T392," ",V392," ",X392," ",Z392," ",AB392," ","X"," ",Table43[[#This Row],[ISI/CTN]]," ",AD392," ",AF392," ",AJ392))))</f>
        <v>SANITER HAND SANITIZER GEL 200ML X 24 PCH</v>
      </c>
      <c r="Q392" s="11">
        <f t="shared" si="11"/>
        <v>41</v>
      </c>
      <c r="S392" s="7" t="s">
        <v>34</v>
      </c>
      <c r="T392" s="4" t="s">
        <v>2525</v>
      </c>
      <c r="U392" s="47" t="s">
        <v>2522</v>
      </c>
      <c r="V392" s="48" t="s">
        <v>2529</v>
      </c>
      <c r="W392" s="7">
        <v>2</v>
      </c>
      <c r="X392" s="48"/>
      <c r="Y392" s="47" t="s">
        <v>1116</v>
      </c>
      <c r="Z392" s="4" t="s">
        <v>2262</v>
      </c>
      <c r="AA392" s="49" t="s">
        <v>1115</v>
      </c>
      <c r="AB392" s="4" t="s">
        <v>640</v>
      </c>
      <c r="AC392" s="49" t="s">
        <v>2606</v>
      </c>
      <c r="AD392" s="4" t="s">
        <v>636</v>
      </c>
      <c r="AE392" s="7">
        <v>1</v>
      </c>
      <c r="AG392" s="7">
        <v>0</v>
      </c>
      <c r="AK392" s="70">
        <f>Table43[[#This Row],[Column4]]</f>
        <v>30430010200030</v>
      </c>
      <c r="AN392" s="7">
        <f>Table43[[#This Row],[ISI/CTN]]</f>
        <v>24</v>
      </c>
      <c r="AO392" s="38">
        <f>Table43[[#This Row],[Harga Jual Pcs GT
(-PPN)]]-(Table43[[#This Row],[Harga Jual Pcs GT
(-PPN)]]*6.5%)</f>
        <v>13192.85</v>
      </c>
      <c r="AP392" s="38">
        <f>Table43[[#This Row],[Harga Beli Pcs
(-PPN)]]*Table43[[#This Row],[ISI/CTN]]</f>
        <v>316628.40000000002</v>
      </c>
      <c r="AQ392" s="38">
        <f>Table43[[#This Row],[Harga Beli Pcs
(-PPN)]]*1.11</f>
        <v>14644.063500000002</v>
      </c>
      <c r="AR392" s="38">
        <f>Table43[[#This Row],[Harga Beli Krt
(- PPN)]]*1.11</f>
        <v>351457.52400000003</v>
      </c>
      <c r="AS392" s="38">
        <v>14110</v>
      </c>
      <c r="AT392" s="38">
        <f>Table43[[#This Row],[Harga Jual Pcs GT
(-PPN)]]*Table43[[#This Row],[ISI/CTN]]</f>
        <v>338640</v>
      </c>
      <c r="AU392" s="38">
        <f>Table43[[#This Row],[Harga Jual Pcs GT
(-PPN)]]*1.11</f>
        <v>15662.100000000002</v>
      </c>
      <c r="AV392" s="38">
        <f>Table43[[#This Row],[Harga Jual Krt GT
(- PPN)]]*1.11</f>
        <v>375890.4</v>
      </c>
      <c r="AW392" s="38">
        <f>IFERROR(VLOOKUP(Table43[[#This Row],[Kode Pcpl]],'[1]FEB 2026'!$A$3:$X$312,24,0),0)</f>
        <v>0</v>
      </c>
      <c r="AX392" s="38">
        <f>Table43[[#This Row],[Harga Jual Pcs MT
(-PPN)]]*Table43[[#This Row],[ISI/CTN]]</f>
        <v>0</v>
      </c>
      <c r="AY392" s="38">
        <f>Table43[[#This Row],[Harga Jual Pcs MT
(-PPN)]]*1.11</f>
        <v>0</v>
      </c>
      <c r="AZ392" s="38">
        <f>Table43[[#This Row],[Harga Jual Pcs MT
(+PPN)]]*Table43[[#This Row],[ISI/CTN]]</f>
        <v>0</v>
      </c>
      <c r="BA392" s="46">
        <f>(Table43[[#This Row],[Harga Jual Pcs GT
(-PPN)]]-Table43[[#This Row],[Harga Beli Pcs
(-PPN)]])/Table43[[#This Row],[Harga Jual Pcs GT
(-PPN)]]</f>
        <v>6.4999999999999974E-2</v>
      </c>
      <c r="BB392" s="53">
        <f>Table43[[#This Row],[Harga Jual Pcs MT
(-PPN)]]-Table43[[#This Row],[Harga Beli Pcs
(-PPN)]]</f>
        <v>-13192.85</v>
      </c>
      <c r="BC392" s="54" t="e">
        <f>Table43[[#This Row],[Column1]]/Table43[[#This Row],[Harga Jual Pcs MT
(-PPN)]]</f>
        <v>#DIV/0!</v>
      </c>
      <c r="BD392" s="52"/>
      <c r="BE392" s="7"/>
      <c r="BF392" s="7" t="str">
        <f ca="1">IF(TODAY()-Table43[[#This Row],[Efektif
Pembuatan]]&gt;60,"Lama","Baru")</f>
        <v>Lama</v>
      </c>
      <c r="BG392" s="7" t="str">
        <f ca="1">IF(TODAY()-Table43[[#This Row],[Efektif Naik Harga]]&lt;30,"Naik","Sama")</f>
        <v>Sama</v>
      </c>
      <c r="BH392" s="7"/>
      <c r="BI392" s="7" t="str">
        <f>IF(Table43[[#This Row],[Kode BARANG Win2]]&lt;&gt;"","IDR","")</f>
        <v>IDR</v>
      </c>
      <c r="BJ392" s="7" t="str">
        <f>CONCATENATE(Table43[[#This Row],[kode  1 Digit
(Nomor)]],Table43[[#This Row],[kode  4 Digit                (Nomor)]])</f>
        <v>0200</v>
      </c>
      <c r="BK392" s="7" t="str">
        <f>Table43[[#This Row],[Nama            Gramasi atau Jumlah Pack per CTN]]</f>
        <v>200ML</v>
      </c>
      <c r="BL392" s="7"/>
      <c r="BM392" s="7"/>
      <c r="BN392" s="4" t="str">
        <f>IF(Table43[[#This Row],[SATUAN Fix Win]]&lt;&gt;"","KRT")</f>
        <v>KRT</v>
      </c>
      <c r="BO392" s="4" t="str">
        <f>IF(Table43[[#This Row],[SATUAN Fix Win]]&lt;&gt;"","GD01")</f>
        <v>GD01</v>
      </c>
      <c r="BP392" s="4">
        <f>IF(Table43[[#This Row],[SATUAN Fix Win]]&lt;&gt;"",11611)</f>
        <v>11611</v>
      </c>
      <c r="BQ392" s="4">
        <f>IF(Table43[[#This Row],[SATUAN Fix Win]]&lt;&gt;"",11612)</f>
        <v>11612</v>
      </c>
      <c r="BS392" s="4">
        <f>IF(Table43[[#This Row],[SATUAN Fix Win]]&lt;&gt;"",1)</f>
        <v>1</v>
      </c>
      <c r="BU392" s="4">
        <f>Table43[[#This Row],[ISI/CTN]]</f>
        <v>24</v>
      </c>
    </row>
    <row r="393" spans="1:75" s="87" customFormat="1">
      <c r="A393" s="4" t="str">
        <f>CONCATENATE(Table43[[#This Row],[Kode BARANG Win2]],Table43[[#This Row],[No. Urut
Item Sama]])</f>
        <v>G1242001023020</v>
      </c>
      <c r="B393" s="7"/>
      <c r="C393" s="31">
        <v>30450030050000</v>
      </c>
      <c r="D393" s="51">
        <v>40029583</v>
      </c>
      <c r="E393" s="27" t="s">
        <v>2078</v>
      </c>
      <c r="F393" s="51">
        <v>30430010230040</v>
      </c>
      <c r="G393" s="51">
        <v>0</v>
      </c>
      <c r="H393" s="27" t="s">
        <v>1378</v>
      </c>
      <c r="I393" s="27">
        <v>12</v>
      </c>
      <c r="J393" s="51" t="s">
        <v>1761</v>
      </c>
      <c r="K393" s="27" t="str">
        <f>Table43[[#This Row],[NamaJenisKemasan]]</f>
        <v>PUMP</v>
      </c>
      <c r="L393" s="4" t="str">
        <f>TRIM(CONCATENATE(Table43[[#This Row],[Nama            KLP]]," ",Table43[[#This Row],[Nama            Sub KLP]]))</f>
        <v>SANITER HAND SANITIZER</v>
      </c>
      <c r="M393" s="4" t="str">
        <f>CONCATENATE(Table43[[#This Row],[kode  2 Digit                (hrf+No)]],Table43[[#This Row],[kode  2 Digit                (Nomor)]],Table43[[#This Row],[kode  1 Digit                (Nomor)]])</f>
        <v>G1242</v>
      </c>
      <c r="N393" s="4" t="str">
        <f>IF(AI393="",CONCATENATE(S393,U393,W393,Y393,AA393,AC393,AE393,AG393,Table43[[#This Row],[Tanda Kode Revisi]]),CONCATENATE(S393,U393,W393,Y393,AA393,AC393,AE393,AI393))</f>
        <v>G1242001023020</v>
      </c>
      <c r="O393" s="11">
        <f t="shared" si="10"/>
        <v>14</v>
      </c>
      <c r="P393" s="14" t="str">
        <f>IF(AH393&lt;&gt;"",TRIM(UPPER(CONCATENATE(R393," ",T393," ",V393," ",X393," ",Z393," ",AB393," ","X"," ",Table43[[#This Row],[ISI/CTN]]," ",AH393," ",AD393," ",AF393," ",AJ393))),TRIM(UPPER(CONCATENATE(R393," ",T393," ",V393," ",X393," ",Z393," ",AB393," ","X"," ",Table43[[#This Row],[ISI/CTN]]," ",AD393," ",AF393," ",AJ393))))</f>
        <v>SANITER HAND SANITIZER GEL 230ML X 12 PUMP</v>
      </c>
      <c r="Q393" s="11">
        <f t="shared" si="11"/>
        <v>42</v>
      </c>
      <c r="R393" s="4"/>
      <c r="S393" s="7" t="s">
        <v>34</v>
      </c>
      <c r="T393" s="4" t="s">
        <v>2525</v>
      </c>
      <c r="U393" s="47" t="s">
        <v>2522</v>
      </c>
      <c r="V393" s="48" t="s">
        <v>2529</v>
      </c>
      <c r="W393" s="7">
        <v>2</v>
      </c>
      <c r="X393" s="48"/>
      <c r="Y393" s="47" t="s">
        <v>1116</v>
      </c>
      <c r="Z393" s="4" t="s">
        <v>2262</v>
      </c>
      <c r="AA393" s="49" t="s">
        <v>1115</v>
      </c>
      <c r="AB393" s="4" t="s">
        <v>2368</v>
      </c>
      <c r="AC393" s="49" t="s">
        <v>2610</v>
      </c>
      <c r="AD393" s="4" t="s">
        <v>657</v>
      </c>
      <c r="AE393" s="7">
        <v>2</v>
      </c>
      <c r="AF393" s="4"/>
      <c r="AG393" s="7">
        <v>0</v>
      </c>
      <c r="AH393" s="7"/>
      <c r="AI393" s="7"/>
      <c r="AJ393" s="7"/>
      <c r="AK393" s="70">
        <f>Table43[[#This Row],[Column4]]</f>
        <v>30430010230040</v>
      </c>
      <c r="AL393" s="7"/>
      <c r="AM393" s="7"/>
      <c r="AN393" s="7">
        <f>Table43[[#This Row],[ISI/CTN]]</f>
        <v>12</v>
      </c>
      <c r="AO393" s="38">
        <f>Table43[[#This Row],[Harga Jual Pcs GT
(-PPN)]]-(Table43[[#This Row],[Harga Jual Pcs GT
(-PPN)]]*6.5%)</f>
        <v>17634.099999999999</v>
      </c>
      <c r="AP393" s="38">
        <f>Table43[[#This Row],[Harga Beli Pcs
(-PPN)]]*Table43[[#This Row],[ISI/CTN]]</f>
        <v>211609.19999999998</v>
      </c>
      <c r="AQ393" s="38">
        <f>Table43[[#This Row],[Harga Beli Pcs
(-PPN)]]*1.11</f>
        <v>19573.850999999999</v>
      </c>
      <c r="AR393" s="38">
        <f>Table43[[#This Row],[Harga Beli Krt
(- PPN)]]*1.11</f>
        <v>234886.212</v>
      </c>
      <c r="AS393" s="38">
        <v>18860</v>
      </c>
      <c r="AT393" s="38">
        <f>Table43[[#This Row],[Harga Jual Pcs GT
(-PPN)]]*Table43[[#This Row],[ISI/CTN]]</f>
        <v>226320</v>
      </c>
      <c r="AU393" s="38">
        <f>Table43[[#This Row],[Harga Jual Pcs GT
(-PPN)]]*1.11</f>
        <v>20934.600000000002</v>
      </c>
      <c r="AV393" s="38">
        <f>Table43[[#This Row],[Harga Jual Krt GT
(- PPN)]]*1.11</f>
        <v>251215.2</v>
      </c>
      <c r="AW393" s="38">
        <f>IFERROR(VLOOKUP(Table43[[#This Row],[Kode Pcpl]],'[1]FEB 2026'!$A$3:$X$312,24,0),0)</f>
        <v>0</v>
      </c>
      <c r="AX393" s="38">
        <f>Table43[[#This Row],[Harga Jual Pcs MT
(-PPN)]]*Table43[[#This Row],[ISI/CTN]]</f>
        <v>0</v>
      </c>
      <c r="AY393" s="38">
        <f>Table43[[#This Row],[Harga Jual Pcs MT
(-PPN)]]*1.11</f>
        <v>0</v>
      </c>
      <c r="AZ393" s="38">
        <f>Table43[[#This Row],[Harga Jual Pcs MT
(+PPN)]]*Table43[[#This Row],[ISI/CTN]]</f>
        <v>0</v>
      </c>
      <c r="BA393" s="46">
        <f>(Table43[[#This Row],[Harga Jual Pcs GT
(-PPN)]]-Table43[[#This Row],[Harga Beli Pcs
(-PPN)]])/Table43[[#This Row],[Harga Jual Pcs GT
(-PPN)]]</f>
        <v>6.5000000000000072E-2</v>
      </c>
      <c r="BB393" s="53">
        <f>Table43[[#This Row],[Harga Jual Pcs MT
(-PPN)]]-Table43[[#This Row],[Harga Beli Pcs
(-PPN)]]</f>
        <v>-17634.099999999999</v>
      </c>
      <c r="BC393" s="54" t="e">
        <f>Table43[[#This Row],[Column1]]/Table43[[#This Row],[Harga Jual Pcs MT
(-PPN)]]</f>
        <v>#DIV/0!</v>
      </c>
      <c r="BD393" s="52"/>
      <c r="BE393" s="7"/>
      <c r="BF393" s="7" t="str">
        <f ca="1">IF(TODAY()-Table43[[#This Row],[Efektif
Pembuatan]]&gt;60,"Lama","Baru")</f>
        <v>Lama</v>
      </c>
      <c r="BG393" s="7" t="str">
        <f ca="1">IF(TODAY()-Table43[[#This Row],[Efektif Naik Harga]]&lt;30,"Naik","Sama")</f>
        <v>Sama</v>
      </c>
      <c r="BH393" s="7"/>
      <c r="BI393" s="7" t="str">
        <f>IF(Table43[[#This Row],[Kode BARANG Win2]]&lt;&gt;"","IDR","")</f>
        <v>IDR</v>
      </c>
      <c r="BJ393" s="7" t="str">
        <f>CONCATENATE(Table43[[#This Row],[kode  1 Digit
(Nomor)]],Table43[[#This Row],[kode  4 Digit                (Nomor)]])</f>
        <v>0230</v>
      </c>
      <c r="BK393" s="7" t="str">
        <f>Table43[[#This Row],[Nama            Gramasi atau Jumlah Pack per CTN]]</f>
        <v>230ML</v>
      </c>
      <c r="BL393" s="7"/>
      <c r="BM393" s="7"/>
      <c r="BN393" s="4" t="str">
        <f>IF(Table43[[#This Row],[SATUAN Fix Win]]&lt;&gt;"","KRT")</f>
        <v>KRT</v>
      </c>
      <c r="BO393" s="4" t="str">
        <f>IF(Table43[[#This Row],[SATUAN Fix Win]]&lt;&gt;"","GD01")</f>
        <v>GD01</v>
      </c>
      <c r="BP393" s="4">
        <f>IF(Table43[[#This Row],[SATUAN Fix Win]]&lt;&gt;"",11611)</f>
        <v>11611</v>
      </c>
      <c r="BQ393" s="4">
        <f>IF(Table43[[#This Row],[SATUAN Fix Win]]&lt;&gt;"",11612)</f>
        <v>11612</v>
      </c>
      <c r="BR393" s="4"/>
      <c r="BS393" s="4">
        <f>IF(Table43[[#This Row],[SATUAN Fix Win]]&lt;&gt;"",1)</f>
        <v>1</v>
      </c>
      <c r="BT393" s="4"/>
      <c r="BU393" s="4">
        <f>Table43[[#This Row],[ISI/CTN]]</f>
        <v>12</v>
      </c>
      <c r="BV393" s="71"/>
      <c r="BW393" s="71"/>
    </row>
    <row r="394" spans="1:75">
      <c r="A394" s="71" t="str">
        <f>CONCATENATE(Table43[[#This Row],[Kode BARANG Win2]],Table43[[#This Row],[No. Urut
Item Sama]])</f>
        <v>G1243102005020</v>
      </c>
      <c r="B394" s="72"/>
      <c r="C394" s="73"/>
      <c r="D394" s="74">
        <v>40029590</v>
      </c>
      <c r="E394" s="75" t="s">
        <v>3403</v>
      </c>
      <c r="F394" s="74"/>
      <c r="G394" s="74">
        <v>0</v>
      </c>
      <c r="H394" s="75" t="s">
        <v>3403</v>
      </c>
      <c r="I394" s="75">
        <v>24</v>
      </c>
      <c r="J394" s="74"/>
      <c r="K394" s="75" t="str">
        <f>Table43[[#This Row],[NamaJenisKemasan]]</f>
        <v>PCS</v>
      </c>
      <c r="L394" s="71" t="str">
        <f>TRIM(CONCATENATE(Table43[[#This Row],[Nama            KLP]]," ",Table43[[#This Row],[Nama            Sub KLP]]))</f>
        <v>SANITER PERSONAL</v>
      </c>
      <c r="M394" s="71" t="str">
        <f>CONCATENATE(Table43[[#This Row],[kode  2 Digit                (hrf+No)]],Table43[[#This Row],[kode  2 Digit                (Nomor)]],Table43[[#This Row],[kode  1 Digit                (Nomor)]])</f>
        <v>G1243</v>
      </c>
      <c r="N394" s="71" t="str">
        <f>IF(AI394="",CONCATENATE(S394,U394,W394,Y394,AA394,AC394,AE394,AG394,Table43[[#This Row],[Tanda Kode Revisi]]),CONCATENATE(S394,U394,W394,Y394,AA394,AC394,AE394,AI394))</f>
        <v>G1243102005020</v>
      </c>
      <c r="O394" s="76">
        <f t="shared" si="10"/>
        <v>14</v>
      </c>
      <c r="P394" s="77" t="str">
        <f>IF(AH394&lt;&gt;"",TRIM(UPPER(CONCATENATE(R394," ",T394," ",V394," ",X394," ",Z394," ",AB394," ","X"," ",Table43[[#This Row],[ISI/CTN]]," ",AH394," ",AD394," ",AF394," ",AJ394))),TRIM(UPPER(CONCATENATE(R394," ",T394," ",V394," ",X394," ",Z394," ",AB394," ","X"," ",Table43[[#This Row],[ISI/CTN]]," ",AD394," ",AF394," ",AJ394))))</f>
        <v>SANITER PERSONAL WIPES SANITIZER 50S X 24 PCS</v>
      </c>
      <c r="Q394" s="76">
        <f t="shared" si="11"/>
        <v>45</v>
      </c>
      <c r="R394" s="71"/>
      <c r="S394" s="72" t="s">
        <v>34</v>
      </c>
      <c r="T394" s="71" t="s">
        <v>2525</v>
      </c>
      <c r="U394" s="78" t="s">
        <v>2522</v>
      </c>
      <c r="V394" s="79" t="s">
        <v>3405</v>
      </c>
      <c r="W394" s="72">
        <v>3</v>
      </c>
      <c r="X394" s="79" t="s">
        <v>3404</v>
      </c>
      <c r="Y394" s="78" t="s">
        <v>2539</v>
      </c>
      <c r="Z394" s="71" t="s">
        <v>3406</v>
      </c>
      <c r="AA394" s="80" t="s">
        <v>2459</v>
      </c>
      <c r="AB394" s="71" t="s">
        <v>2337</v>
      </c>
      <c r="AC394" s="80" t="s">
        <v>2630</v>
      </c>
      <c r="AD394" s="71" t="s">
        <v>185</v>
      </c>
      <c r="AE394" s="72">
        <v>2</v>
      </c>
      <c r="AF394" s="71"/>
      <c r="AG394" s="72">
        <v>0</v>
      </c>
      <c r="AH394" s="72"/>
      <c r="AI394" s="72"/>
      <c r="AJ394" s="72"/>
      <c r="AK394" s="81">
        <f>Table43[[#This Row],[Column4]]</f>
        <v>0</v>
      </c>
      <c r="AL394" s="72"/>
      <c r="AM394" s="72"/>
      <c r="AN394" s="72">
        <f>Table43[[#This Row],[ISI/CTN]]</f>
        <v>24</v>
      </c>
      <c r="AO394" s="88">
        <f>Table43[[#This Row],[Harga Jual Pcs GT
(-PPN)]]-(Table43[[#This Row],[Harga Jual Pcs GT
(-PPN)]]*6.5%)</f>
        <v>6778.75</v>
      </c>
      <c r="AP394" s="88">
        <f>Table43[[#This Row],[Harga Beli Pcs
(-PPN)]]*Table43[[#This Row],[ISI/CTN]]</f>
        <v>162690</v>
      </c>
      <c r="AQ394" s="88">
        <f>Table43[[#This Row],[Harga Beli Pcs
(-PPN)]]*1.11</f>
        <v>7524.4125000000004</v>
      </c>
      <c r="AR394" s="88">
        <f>Table43[[#This Row],[Harga Beli Krt
(- PPN)]]*1.11</f>
        <v>180585.90000000002</v>
      </c>
      <c r="AS394" s="88">
        <v>7250</v>
      </c>
      <c r="AT394" s="88">
        <f>Table43[[#This Row],[Harga Jual Pcs GT
(-PPN)]]*Table43[[#This Row],[ISI/CTN]]</f>
        <v>174000</v>
      </c>
      <c r="AU394" s="88">
        <f>Table43[[#This Row],[Harga Jual Pcs GT
(-PPN)]]*1.11</f>
        <v>8047.5000000000009</v>
      </c>
      <c r="AV394" s="88">
        <f>Table43[[#This Row],[Harga Jual Krt GT
(- PPN)]]*1.11</f>
        <v>193140.00000000003</v>
      </c>
      <c r="AW394" s="88">
        <f>IFERROR(VLOOKUP(Table43[[#This Row],[Kode Pcpl]],'[1]FEB 2026'!$A$3:$X$312,24,0),0)</f>
        <v>0</v>
      </c>
      <c r="AX394" s="88">
        <f>Table43[[#This Row],[Harga Jual Pcs MT
(-PPN)]]*Table43[[#This Row],[ISI/CTN]]</f>
        <v>0</v>
      </c>
      <c r="AY394" s="88">
        <f>Table43[[#This Row],[Harga Jual Pcs MT
(-PPN)]]*1.11</f>
        <v>0</v>
      </c>
      <c r="AZ394" s="88">
        <f>Table43[[#This Row],[Harga Jual Pcs MT
(+PPN)]]*Table43[[#This Row],[ISI/CTN]]</f>
        <v>0</v>
      </c>
      <c r="BA394" s="89">
        <f>(Table43[[#This Row],[Harga Jual Pcs GT
(-PPN)]]-Table43[[#This Row],[Harga Beli Pcs
(-PPN)]])/Table43[[#This Row],[Harga Jual Pcs GT
(-PPN)]]</f>
        <v>6.5000000000000002E-2</v>
      </c>
      <c r="BB394" s="90">
        <f>Table43[[#This Row],[Harga Jual Pcs MT
(-PPN)]]-Table43[[#This Row],[Harga Beli Pcs
(-PPN)]]</f>
        <v>-6778.75</v>
      </c>
      <c r="BC394" s="91" t="e">
        <f>Table43[[#This Row],[Column1]]/Table43[[#This Row],[Harga Jual Pcs MT
(-PPN)]]</f>
        <v>#DIV/0!</v>
      </c>
      <c r="BD394" s="86"/>
      <c r="BE394" s="72"/>
      <c r="BF394" s="72" t="str">
        <f ca="1">IF(TODAY()-Table43[[#This Row],[Efektif
Pembuatan]]&gt;60,"Lama","Baru")</f>
        <v>Lama</v>
      </c>
      <c r="BG394" s="72" t="str">
        <f ca="1">IF(TODAY()-Table43[[#This Row],[Efektif Naik Harga]]&lt;30,"Naik","Sama")</f>
        <v>Sama</v>
      </c>
      <c r="BH394" s="72"/>
      <c r="BI394" s="72" t="str">
        <f>IF(Table43[[#This Row],[Kode BARANG Win2]]&lt;&gt;"","IDR","")</f>
        <v>IDR</v>
      </c>
      <c r="BJ394" s="72" t="str">
        <f>CONCATENATE(Table43[[#This Row],[kode  1 Digit
(Nomor)]],Table43[[#This Row],[kode  4 Digit                (Nomor)]])</f>
        <v>0050</v>
      </c>
      <c r="BK394" s="72" t="str">
        <f>Table43[[#This Row],[Nama            Gramasi atau Jumlah Pack per CTN]]</f>
        <v>50S</v>
      </c>
      <c r="BL394" s="72"/>
      <c r="BM394" s="72"/>
      <c r="BN394" s="71" t="str">
        <f>IF(Table43[[#This Row],[SATUAN Fix Win]]&lt;&gt;"","KRT")</f>
        <v>KRT</v>
      </c>
      <c r="BO394" s="71" t="str">
        <f>IF(Table43[[#This Row],[SATUAN Fix Win]]&lt;&gt;"","GD01")</f>
        <v>GD01</v>
      </c>
      <c r="BP394" s="71">
        <f>IF(Table43[[#This Row],[SATUAN Fix Win]]&lt;&gt;"",11611)</f>
        <v>11611</v>
      </c>
      <c r="BQ394" s="71">
        <f>IF(Table43[[#This Row],[SATUAN Fix Win]]&lt;&gt;"",11612)</f>
        <v>11612</v>
      </c>
      <c r="BR394" s="71"/>
      <c r="BS394" s="71">
        <f>IF(Table43[[#This Row],[SATUAN Fix Win]]&lt;&gt;"",1)</f>
        <v>1</v>
      </c>
      <c r="BT394" s="71"/>
      <c r="BU394" s="71">
        <f>Table43[[#This Row],[ISI/CTN]]</f>
        <v>24</v>
      </c>
    </row>
    <row r="395" spans="1:75">
      <c r="A395" s="4" t="str">
        <f>CONCATENATE(Table43[[#This Row],[Kode BARANG Win2]],Table43[[#This Row],[No. Urut
Item Sama]])</f>
        <v>G1244101004010</v>
      </c>
      <c r="B395" s="7"/>
      <c r="C395" s="31"/>
      <c r="D395" s="51">
        <v>40030673</v>
      </c>
      <c r="E395" s="27" t="s">
        <v>3441</v>
      </c>
      <c r="F395" s="74"/>
      <c r="G395" s="74"/>
      <c r="H395" s="27"/>
      <c r="I395" s="27">
        <v>24</v>
      </c>
      <c r="J395" s="51"/>
      <c r="K395" s="27" t="str">
        <f>Table43[[#This Row],[NamaJenisKemasan]]</f>
        <v>PCS</v>
      </c>
      <c r="L395" s="4" t="str">
        <f>TRIM(CONCATENATE(Table43[[#This Row],[Nama            KLP]]," ",Table43[[#This Row],[Nama            Sub KLP]]))</f>
        <v>SANITER SURFACE</v>
      </c>
      <c r="M395" s="4" t="str">
        <f>CONCATENATE(Table43[[#This Row],[kode  2 Digit                (hrf+No)]],Table43[[#This Row],[kode  2 Digit                (Nomor)]],Table43[[#This Row],[kode  1 Digit                (Nomor)]])</f>
        <v>G1244</v>
      </c>
      <c r="N395" s="4" t="str">
        <f>IF(AI395="",CONCATENATE(S395,U395,W395,Y395,AA395,AC395,AE395,AG395,Table43[[#This Row],[Tanda Kode Revisi]]),CONCATENATE(S395,U395,W395,Y395,AA395,AC395,AE395,AI395))</f>
        <v>G1244101004010</v>
      </c>
      <c r="O395" s="11">
        <f>LEN(N395)</f>
        <v>14</v>
      </c>
      <c r="P395" s="14" t="str">
        <f>IF(AH395&lt;&gt;"",TRIM(UPPER(CONCATENATE(R395," ",T395," ",V395," ",X395," ",Z395," ",AB395," ","X"," ",Table43[[#This Row],[ISI/CTN]]," ",AH395," ",AD395," ",AF395," ",AJ395))),TRIM(UPPER(CONCATENATE(R395," ",T395," ",V395," ",X395," ",Z395," ",AB395," ","X"," ",Table43[[#This Row],[ISI/CTN]]," ",AD395," ",AF395," ",AJ395))))</f>
        <v>SANITER SURFACE WIPES MULTI PURPOSE 40S X 24 PCS</v>
      </c>
      <c r="Q395" s="11">
        <f>LEN(P395)</f>
        <v>48</v>
      </c>
      <c r="S395" s="7" t="s">
        <v>34</v>
      </c>
      <c r="T395" s="4" t="s">
        <v>2525</v>
      </c>
      <c r="U395" s="47" t="s">
        <v>2522</v>
      </c>
      <c r="V395" s="48" t="s">
        <v>3442</v>
      </c>
      <c r="W395" s="7">
        <v>4</v>
      </c>
      <c r="X395" s="48" t="s">
        <v>3404</v>
      </c>
      <c r="Y395" s="47" t="s">
        <v>2539</v>
      </c>
      <c r="Z395" s="4" t="s">
        <v>3443</v>
      </c>
      <c r="AA395" s="49" t="s">
        <v>1115</v>
      </c>
      <c r="AB395" s="4" t="s">
        <v>2355</v>
      </c>
      <c r="AC395" s="49" t="s">
        <v>2625</v>
      </c>
      <c r="AD395" s="4" t="s">
        <v>185</v>
      </c>
      <c r="AE395" s="7">
        <v>1</v>
      </c>
      <c r="AG395" s="7">
        <v>0</v>
      </c>
      <c r="AK395" s="70">
        <f>Table43[[#This Row],[Column4]]</f>
        <v>0</v>
      </c>
      <c r="AN395" s="72">
        <f>Table43[[#This Row],[ISI/CTN]]</f>
        <v>24</v>
      </c>
      <c r="AO395" s="38">
        <f>Table43[[#This Row],[Harga Jual Pcs GT
(-PPN)]]-(Table43[[#This Row],[Harga Jual Pcs GT
(-PPN)]]*6.5%)</f>
        <v>13604.25</v>
      </c>
      <c r="AP395" s="38">
        <f>Table43[[#This Row],[Harga Beli Pcs
(-PPN)]]*Table43[[#This Row],[ISI/CTN]]</f>
        <v>326502</v>
      </c>
      <c r="AQ395" s="38">
        <f>Table43[[#This Row],[Harga Beli Pcs
(-PPN)]]*1.11</f>
        <v>15100.717500000001</v>
      </c>
      <c r="AR395" s="38">
        <f>Table43[[#This Row],[Harga Beli Krt
(- PPN)]]*1.11</f>
        <v>362417.22000000003</v>
      </c>
      <c r="AS395" s="38">
        <v>14550</v>
      </c>
      <c r="AT395" s="38">
        <f>Table43[[#This Row],[Harga Jual Pcs GT
(-PPN)]]*Table43[[#This Row],[ISI/CTN]]</f>
        <v>349200</v>
      </c>
      <c r="AU395" s="38">
        <f>Table43[[#This Row],[Harga Jual Pcs GT
(-PPN)]]*1.11</f>
        <v>16150.500000000002</v>
      </c>
      <c r="AV395" s="38">
        <f>Table43[[#This Row],[Harga Jual Krt GT
(- PPN)]]*1.11</f>
        <v>387612.00000000006</v>
      </c>
      <c r="AW395" s="38">
        <f>IFERROR(VLOOKUP(Table43[[#This Row],[Kode Pcpl]],'[1]FEB 2026'!$A$3:$X$312,24,0),0)</f>
        <v>0</v>
      </c>
      <c r="AX395" s="38">
        <f>Table43[[#This Row],[Harga Jual Pcs MT
(-PPN)]]*Table43[[#This Row],[ISI/CTN]]</f>
        <v>0</v>
      </c>
      <c r="AY395" s="38">
        <f>Table43[[#This Row],[Harga Jual Pcs MT
(-PPN)]]*1.11</f>
        <v>0</v>
      </c>
      <c r="AZ395" s="38">
        <f>Table43[[#This Row],[Harga Jual Pcs MT
(+PPN)]]*Table43[[#This Row],[ISI/CTN]]</f>
        <v>0</v>
      </c>
      <c r="BA395" s="46">
        <f>(Table43[[#This Row],[Harga Jual Pcs GT
(-PPN)]]-Table43[[#This Row],[Harga Beli Pcs
(-PPN)]])/Table43[[#This Row],[Harga Jual Pcs GT
(-PPN)]]</f>
        <v>6.5000000000000002E-2</v>
      </c>
      <c r="BB395" s="53">
        <f>Table43[[#This Row],[Harga Jual Pcs MT
(-PPN)]]-Table43[[#This Row],[Harga Beli Pcs
(-PPN)]]</f>
        <v>-13604.25</v>
      </c>
      <c r="BC395" s="54" t="e">
        <f>Table43[[#This Row],[Column1]]/Table43[[#This Row],[Harga Jual Pcs MT
(-PPN)]]</f>
        <v>#DIV/0!</v>
      </c>
      <c r="BD395" s="52"/>
      <c r="BE395" s="7"/>
      <c r="BF395" s="7" t="str">
        <f ca="1">IF(TODAY()-Table43[[#This Row],[Efektif
Pembuatan]]&gt;60,"Lama","Baru")</f>
        <v>Lama</v>
      </c>
      <c r="BG395" s="7" t="str">
        <f ca="1">IF(TODAY()-Table43[[#This Row],[Efektif Naik Harga]]&lt;30,"Naik","Sama")</f>
        <v>Sama</v>
      </c>
      <c r="BH395" s="7"/>
      <c r="BI395" s="7" t="str">
        <f>IF(Table43[[#This Row],[Kode BARANG Win2]]&lt;&gt;"","IDR","")</f>
        <v>IDR</v>
      </c>
      <c r="BJ395" s="7" t="str">
        <f>CONCATENATE(Table43[[#This Row],[kode  1 Digit
(Nomor)]],Table43[[#This Row],[kode  4 Digit                (Nomor)]])</f>
        <v>0040</v>
      </c>
      <c r="BK395" s="7" t="str">
        <f>Table43[[#This Row],[Nama            Gramasi atau Jumlah Pack per CTN]]</f>
        <v>40S</v>
      </c>
      <c r="BL395" s="7"/>
      <c r="BM395" s="7"/>
      <c r="BN395" s="4" t="str">
        <f>IF(Table43[[#This Row],[SATUAN Fix Win]]&lt;&gt;"","KRT")</f>
        <v>KRT</v>
      </c>
      <c r="BO395" s="4" t="str">
        <f>IF(Table43[[#This Row],[SATUAN Fix Win]]&lt;&gt;"","GD01")</f>
        <v>GD01</v>
      </c>
      <c r="BP395" s="4">
        <f>IF(Table43[[#This Row],[SATUAN Fix Win]]&lt;&gt;"",11611)</f>
        <v>11611</v>
      </c>
      <c r="BQ395" s="4">
        <f>IF(Table43[[#This Row],[SATUAN Fix Win]]&lt;&gt;"",11612)</f>
        <v>11612</v>
      </c>
      <c r="BS395" s="4">
        <f>IF(Table43[[#This Row],[SATUAN Fix Win]]&lt;&gt;"",1)</f>
        <v>1</v>
      </c>
      <c r="BU395" s="4">
        <f>Table43[[#This Row],[ISI/CTN]]</f>
        <v>24</v>
      </c>
    </row>
    <row r="396" spans="1:75">
      <c r="A396" s="4" t="str">
        <f>CONCATENATE(Table43[[#This Row],[Kode BARANG Win2]],Table43[[#This Row],[No. Urut
Item Sama]])</f>
        <v>G1250001000010</v>
      </c>
      <c r="B396" s="7"/>
      <c r="C396" s="31">
        <v>30490010400000</v>
      </c>
      <c r="D396" s="59">
        <v>40042844</v>
      </c>
      <c r="E396" s="60" t="s">
        <v>2079</v>
      </c>
      <c r="F396" s="59">
        <v>30470010375000</v>
      </c>
      <c r="G396" s="59">
        <v>0</v>
      </c>
      <c r="H396" s="60" t="s">
        <v>1379</v>
      </c>
      <c r="I396" s="60">
        <v>24</v>
      </c>
      <c r="J396" s="59" t="s">
        <v>1762</v>
      </c>
      <c r="K396" s="60" t="str">
        <f>Table43[[#This Row],[NamaJenisKemasan]]</f>
        <v>BTL</v>
      </c>
      <c r="L396" s="4" t="str">
        <f>TRIM(CONCATENATE(Table43[[#This Row],[Nama            KLP]]," ",Table43[[#This Row],[Nama            Sub KLP]]))</f>
        <v>SHOCK</v>
      </c>
      <c r="M396" s="4" t="str">
        <f>CONCATENATE(Table43[[#This Row],[kode  2 Digit                (hrf+No)]],Table43[[#This Row],[kode  2 Digit                (Nomor)]],Table43[[#This Row],[kode  1 Digit                (Nomor)]])</f>
        <v>G1250</v>
      </c>
      <c r="N396" s="4" t="str">
        <f>IF(AI396="",CONCATENATE(S396,U396,W396,Y396,AA396,AC396,AE396,AG396,Table43[[#This Row],[Tanda Kode Revisi]]),CONCATENATE(S396,U396,W396,Y396,AA396,AC396,AE396,AI396))</f>
        <v>G1250001000010</v>
      </c>
      <c r="O396" s="11">
        <f t="shared" si="10"/>
        <v>14</v>
      </c>
      <c r="P396" s="14" t="str">
        <f>IF(AH396&lt;&gt;"",TRIM(UPPER(CONCATENATE(R396," ",T396," ",V396," ",X396," ",Z396," ",AB396," ","X"," ",Table43[[#This Row],[ISI/CTN]]," ",AH396," ",AD396," ",AF396," ",AJ396))),TRIM(UPPER(CONCATENATE(R396," ",T396," ",V396," ",X396," ",Z396," ",AB396," ","X"," ",Table43[[#This Row],[ISI/CTN]]," ",AD396," ",AF396," ",AJ396))))</f>
        <v>SHOCK ANTI SUMBAT X 24 BTL</v>
      </c>
      <c r="Q396" s="11">
        <f t="shared" si="11"/>
        <v>26</v>
      </c>
      <c r="S396" s="7" t="s">
        <v>34</v>
      </c>
      <c r="T396" s="4" t="s">
        <v>2416</v>
      </c>
      <c r="U396" s="47" t="s">
        <v>2581</v>
      </c>
      <c r="V396" s="48"/>
      <c r="W396" s="7">
        <v>0</v>
      </c>
      <c r="X396" s="48"/>
      <c r="Y396" s="47" t="s">
        <v>1116</v>
      </c>
      <c r="Z396" s="4" t="s">
        <v>2417</v>
      </c>
      <c r="AA396" s="49" t="s">
        <v>1115</v>
      </c>
      <c r="AC396" s="49" t="s">
        <v>2460</v>
      </c>
      <c r="AD396" s="4" t="s">
        <v>647</v>
      </c>
      <c r="AE396" s="7">
        <v>1</v>
      </c>
      <c r="AG396" s="7">
        <v>0</v>
      </c>
      <c r="AK396" s="70">
        <f>Table43[[#This Row],[Column4]]</f>
        <v>30470010375000</v>
      </c>
      <c r="AN396" s="7">
        <f>Table43[[#This Row],[ISI/CTN]]</f>
        <v>24</v>
      </c>
      <c r="AO396" s="61">
        <f>Table43[[#This Row],[Harga Jual Pcs GT
(-PPN)]]-(Table43[[#This Row],[Harga Jual Pcs GT
(-PPN)]]*6.5%)</f>
        <v>27489</v>
      </c>
      <c r="AP396" s="61">
        <f>Table43[[#This Row],[Harga Beli Pcs
(-PPN)]]*Table43[[#This Row],[ISI/CTN]]</f>
        <v>659736</v>
      </c>
      <c r="AQ396" s="61">
        <f>Table43[[#This Row],[Harga Beli Pcs
(-PPN)]]*1.11</f>
        <v>30512.79</v>
      </c>
      <c r="AR396" s="61">
        <f>Table43[[#This Row],[Harga Beli Krt
(- PPN)]]*1.11</f>
        <v>732306.96000000008</v>
      </c>
      <c r="AS396" s="61">
        <v>29400</v>
      </c>
      <c r="AT396" s="61">
        <f>Table43[[#This Row],[Harga Jual Pcs GT
(-PPN)]]*Table43[[#This Row],[ISI/CTN]]</f>
        <v>705600</v>
      </c>
      <c r="AU396" s="61">
        <f>Table43[[#This Row],[Harga Jual Pcs GT
(-PPN)]]*1.11</f>
        <v>32634.000000000004</v>
      </c>
      <c r="AV396" s="61">
        <f>Table43[[#This Row],[Harga Jual Krt GT
(- PPN)]]*1.11</f>
        <v>783216.00000000012</v>
      </c>
      <c r="AW396" s="61">
        <f>IFERROR(VLOOKUP(Table43[[#This Row],[Kode Pcpl]],'[1]FEB 2026'!$A$3:$X$312,24,0),0)</f>
        <v>0</v>
      </c>
      <c r="AX396" s="61">
        <f>Table43[[#This Row],[Harga Jual Pcs MT
(-PPN)]]*Table43[[#This Row],[ISI/CTN]]</f>
        <v>0</v>
      </c>
      <c r="AY396" s="61">
        <f>Table43[[#This Row],[Harga Jual Pcs MT
(-PPN)]]*1.11</f>
        <v>0</v>
      </c>
      <c r="AZ396" s="61">
        <f>Table43[[#This Row],[Harga Jual Pcs MT
(+PPN)]]*Table43[[#This Row],[ISI/CTN]]</f>
        <v>0</v>
      </c>
      <c r="BA396" s="62">
        <f>(Table43[[#This Row],[Harga Jual Pcs GT
(-PPN)]]-Table43[[#This Row],[Harga Beli Pcs
(-PPN)]])/Table43[[#This Row],[Harga Jual Pcs GT
(-PPN)]]</f>
        <v>6.5000000000000002E-2</v>
      </c>
      <c r="BB396" s="63">
        <f>Table43[[#This Row],[Harga Jual Pcs MT
(-PPN)]]-Table43[[#This Row],[Harga Beli Pcs
(-PPN)]]</f>
        <v>-27489</v>
      </c>
      <c r="BC396" s="64" t="e">
        <f>Table43[[#This Row],[Column1]]/Table43[[#This Row],[Harga Jual Pcs MT
(-PPN)]]</f>
        <v>#DIV/0!</v>
      </c>
      <c r="BD396" s="52"/>
      <c r="BE396" s="7"/>
      <c r="BF396" s="7" t="str">
        <f ca="1">IF(TODAY()-Table43[[#This Row],[Efektif
Pembuatan]]&gt;60,"Lama","Baru")</f>
        <v>Lama</v>
      </c>
      <c r="BG396" s="7" t="str">
        <f ca="1">IF(TODAY()-Table43[[#This Row],[Efektif Naik Harga]]&lt;30,"Naik","Sama")</f>
        <v>Sama</v>
      </c>
      <c r="BH396" s="7"/>
      <c r="BI396" s="7" t="str">
        <f>IF(Table43[[#This Row],[Kode BARANG Win2]]&lt;&gt;"","IDR","")</f>
        <v>IDR</v>
      </c>
      <c r="BJ396" s="7" t="str">
        <f>CONCATENATE(Table43[[#This Row],[kode  1 Digit
(Nomor)]],Table43[[#This Row],[kode  4 Digit                (Nomor)]])</f>
        <v>0000</v>
      </c>
      <c r="BK396" s="7">
        <f>Table43[[#This Row],[Nama            Gramasi atau Jumlah Pack per CTN]]</f>
        <v>0</v>
      </c>
      <c r="BL396" s="7"/>
      <c r="BM396" s="7"/>
      <c r="BN396" s="4" t="str">
        <f>IF(Table43[[#This Row],[SATUAN Fix Win]]&lt;&gt;"","KRT")</f>
        <v>KRT</v>
      </c>
      <c r="BO396" s="4" t="str">
        <f>IF(Table43[[#This Row],[SATUAN Fix Win]]&lt;&gt;"","GD01")</f>
        <v>GD01</v>
      </c>
      <c r="BP396" s="4">
        <f>IF(Table43[[#This Row],[SATUAN Fix Win]]&lt;&gt;"",11611)</f>
        <v>11611</v>
      </c>
      <c r="BQ396" s="4">
        <f>IF(Table43[[#This Row],[SATUAN Fix Win]]&lt;&gt;"",11612)</f>
        <v>11612</v>
      </c>
      <c r="BS396" s="4">
        <f>IF(Table43[[#This Row],[SATUAN Fix Win]]&lt;&gt;"",1)</f>
        <v>1</v>
      </c>
      <c r="BU396" s="4">
        <f>Table43[[#This Row],[ISI/CTN]]</f>
        <v>24</v>
      </c>
    </row>
    <row r="397" spans="1:75">
      <c r="A397" s="4" t="str">
        <f>CONCATENATE(Table43[[#This Row],[Kode BARANG Win2]],Table43[[#This Row],[No. Urut
Item Sama]])</f>
        <v>G1261001017510</v>
      </c>
      <c r="B397" s="7"/>
      <c r="C397" s="31">
        <v>30490020140000</v>
      </c>
      <c r="D397" s="51">
        <v>40059911</v>
      </c>
      <c r="E397" s="27" t="s">
        <v>2085</v>
      </c>
      <c r="F397" s="51">
        <v>30490020200000</v>
      </c>
      <c r="G397" s="51">
        <v>0</v>
      </c>
      <c r="H397" s="27" t="s">
        <v>1392</v>
      </c>
      <c r="I397" s="27">
        <v>12</v>
      </c>
      <c r="J397" s="51" t="s">
        <v>1767</v>
      </c>
      <c r="K397" s="27" t="str">
        <f>Table43[[#This Row],[NamaJenisKemasan]]</f>
        <v>KLG</v>
      </c>
      <c r="L397" s="4" t="str">
        <f>TRIM(CONCATENATE(Table43[[#This Row],[Nama            KLP]]," ",Table43[[#This Row],[Nama            Sub KLP]]))</f>
        <v>STELLA AEROSOL</v>
      </c>
      <c r="M397" s="4" t="str">
        <f>CONCATENATE(Table43[[#This Row],[kode  2 Digit                (hrf+No)]],Table43[[#This Row],[kode  2 Digit                (Nomor)]],Table43[[#This Row],[kode  1 Digit                (Nomor)]])</f>
        <v>G1261</v>
      </c>
      <c r="N397" s="4" t="str">
        <f>IF(AI397="",CONCATENATE(S397,U397,W397,Y397,AA397,AC397,AE397,AG397,Table43[[#This Row],[Tanda Kode Revisi]]),CONCATENATE(S397,U397,W397,Y397,AA397,AC397,AE397,AI397))</f>
        <v>G1261001017510</v>
      </c>
      <c r="O397" s="11">
        <f t="shared" si="10"/>
        <v>14</v>
      </c>
      <c r="P397" s="14" t="str">
        <f>IF(AH397&lt;&gt;"",TRIM(UPPER(CONCATENATE(R397," ",T397," ",V397," ",X397," ",Z397," ",AB397," ","X"," ",Table43[[#This Row],[ISI/CTN]]," ",AH397," ",AD397," ",AF397," ",AJ397))),TRIM(UPPER(CONCATENATE(R397," ",T397," ",V397," ",X397," ",Z397," ",AB397," ","X"," ",Table43[[#This Row],[ISI/CTN]]," ",AD397," ",AF397," ",AJ397))))</f>
        <v>STELLA AEROSOL APPLE 175ML X 12 KLG</v>
      </c>
      <c r="Q397" s="11">
        <f t="shared" si="11"/>
        <v>35</v>
      </c>
      <c r="S397" s="7" t="s">
        <v>34</v>
      </c>
      <c r="T397" s="4" t="s">
        <v>2421</v>
      </c>
      <c r="U397" s="47" t="s">
        <v>2584</v>
      </c>
      <c r="V397" s="48" t="s">
        <v>2243</v>
      </c>
      <c r="W397" s="7">
        <v>1</v>
      </c>
      <c r="X397" s="48"/>
      <c r="Y397" s="47" t="s">
        <v>1116</v>
      </c>
      <c r="Z397" s="4" t="s">
        <v>2264</v>
      </c>
      <c r="AA397" s="49" t="s">
        <v>1115</v>
      </c>
      <c r="AB397" s="4" t="s">
        <v>2214</v>
      </c>
      <c r="AC397" s="49" t="s">
        <v>2600</v>
      </c>
      <c r="AD397" s="4" t="s">
        <v>2221</v>
      </c>
      <c r="AE397" s="7">
        <v>1</v>
      </c>
      <c r="AG397" s="7">
        <v>0</v>
      </c>
      <c r="AK397" s="70">
        <f>Table43[[#This Row],[Column4]]</f>
        <v>30490020200000</v>
      </c>
      <c r="AN397" s="7">
        <f>Table43[[#This Row],[ISI/CTN]]</f>
        <v>12</v>
      </c>
      <c r="AO397" s="61">
        <f>Table43[[#This Row],[Harga Jual Pcs GT
(-PPN)]]-(Table43[[#This Row],[Harga Jual Pcs GT
(-PPN)]]*6.5%)</f>
        <v>14025</v>
      </c>
      <c r="AP397" s="61">
        <f>Table43[[#This Row],[Harga Beli Pcs
(-PPN)]]*Table43[[#This Row],[ISI/CTN]]</f>
        <v>168300</v>
      </c>
      <c r="AQ397" s="61">
        <f>Table43[[#This Row],[Harga Beli Pcs
(-PPN)]]*1.11</f>
        <v>15567.750000000002</v>
      </c>
      <c r="AR397" s="61">
        <f>Table43[[#This Row],[Harga Beli Krt
(- PPN)]]*1.11</f>
        <v>186813.00000000003</v>
      </c>
      <c r="AS397" s="61">
        <v>15000</v>
      </c>
      <c r="AT397" s="61">
        <f>Table43[[#This Row],[Harga Jual Pcs GT
(-PPN)]]*Table43[[#This Row],[ISI/CTN]]</f>
        <v>180000</v>
      </c>
      <c r="AU397" s="61">
        <f>Table43[[#This Row],[Harga Jual Pcs GT
(-PPN)]]*1.11</f>
        <v>16650</v>
      </c>
      <c r="AV397" s="61">
        <f>Table43[[#This Row],[Harga Jual Krt GT
(- PPN)]]*1.11</f>
        <v>199800.00000000003</v>
      </c>
      <c r="AW397" s="61">
        <f>IFERROR(VLOOKUP(Table43[[#This Row],[Kode Pcpl]],'[1]FEB 2026'!$A$3:$X$312,24,0),0)</f>
        <v>0</v>
      </c>
      <c r="AX397" s="61">
        <f>Table43[[#This Row],[Harga Jual Pcs MT
(-PPN)]]*Table43[[#This Row],[ISI/CTN]]</f>
        <v>0</v>
      </c>
      <c r="AY397" s="61">
        <f>Table43[[#This Row],[Harga Jual Pcs MT
(-PPN)]]*1.11</f>
        <v>0</v>
      </c>
      <c r="AZ397" s="61">
        <f>Table43[[#This Row],[Harga Jual Pcs MT
(+PPN)]]*Table43[[#This Row],[ISI/CTN]]</f>
        <v>0</v>
      </c>
      <c r="BA397" s="62">
        <f>(Table43[[#This Row],[Harga Jual Pcs GT
(-PPN)]]-Table43[[#This Row],[Harga Beli Pcs
(-PPN)]])/Table43[[#This Row],[Harga Jual Pcs GT
(-PPN)]]</f>
        <v>6.5000000000000002E-2</v>
      </c>
      <c r="BB397" s="63">
        <f>Table43[[#This Row],[Harga Jual Pcs MT
(-PPN)]]-Table43[[#This Row],[Harga Beli Pcs
(-PPN)]]</f>
        <v>-14025</v>
      </c>
      <c r="BC397" s="64" t="e">
        <f>Table43[[#This Row],[Column1]]/Table43[[#This Row],[Harga Jual Pcs MT
(-PPN)]]</f>
        <v>#DIV/0!</v>
      </c>
      <c r="BD397" s="52"/>
      <c r="BE397" s="7"/>
      <c r="BF397" s="7" t="str">
        <f ca="1">IF(TODAY()-Table43[[#This Row],[Efektif
Pembuatan]]&gt;60,"Lama","Baru")</f>
        <v>Lama</v>
      </c>
      <c r="BG397" s="7" t="str">
        <f ca="1">IF(TODAY()-Table43[[#This Row],[Efektif Naik Harga]]&lt;30,"Naik","Sama")</f>
        <v>Sama</v>
      </c>
      <c r="BH397" s="7"/>
      <c r="BI397" s="7" t="str">
        <f>IF(Table43[[#This Row],[Kode BARANG Win2]]&lt;&gt;"","IDR","")</f>
        <v>IDR</v>
      </c>
      <c r="BJ397" s="7" t="str">
        <f>CONCATENATE(Table43[[#This Row],[kode  1 Digit
(Nomor)]],Table43[[#This Row],[kode  4 Digit                (Nomor)]])</f>
        <v>0175</v>
      </c>
      <c r="BK397" s="7" t="str">
        <f>Table43[[#This Row],[Nama            Gramasi atau Jumlah Pack per CTN]]</f>
        <v>175ML</v>
      </c>
      <c r="BL397" s="7"/>
      <c r="BM397" s="7"/>
      <c r="BN397" s="4" t="str">
        <f>IF(Table43[[#This Row],[SATUAN Fix Win]]&lt;&gt;"","KRT")</f>
        <v>KRT</v>
      </c>
      <c r="BO397" s="4" t="str">
        <f>IF(Table43[[#This Row],[SATUAN Fix Win]]&lt;&gt;"","GD01")</f>
        <v>GD01</v>
      </c>
      <c r="BP397" s="4">
        <f>IF(Table43[[#This Row],[SATUAN Fix Win]]&lt;&gt;"",11611)</f>
        <v>11611</v>
      </c>
      <c r="BQ397" s="4">
        <f>IF(Table43[[#This Row],[SATUAN Fix Win]]&lt;&gt;"",11612)</f>
        <v>11612</v>
      </c>
      <c r="BS397" s="4">
        <f>IF(Table43[[#This Row],[SATUAN Fix Win]]&lt;&gt;"",1)</f>
        <v>1</v>
      </c>
      <c r="BU397" s="4">
        <f>Table43[[#This Row],[ISI/CTN]]</f>
        <v>12</v>
      </c>
    </row>
    <row r="398" spans="1:75">
      <c r="A398" s="4" t="str">
        <f>CONCATENATE(Table43[[#This Row],[Kode BARANG Win2]],Table43[[#This Row],[No. Urut
Item Sama]])</f>
        <v>G1261001017510</v>
      </c>
      <c r="B398" s="7"/>
      <c r="C398" s="31">
        <v>30490020200000</v>
      </c>
      <c r="D398" s="51">
        <v>40057475</v>
      </c>
      <c r="E398" s="27" t="s">
        <v>2085</v>
      </c>
      <c r="F398" s="51">
        <v>30490020200000</v>
      </c>
      <c r="G398" s="51">
        <v>0</v>
      </c>
      <c r="H398" s="27" t="s">
        <v>1391</v>
      </c>
      <c r="I398" s="27">
        <v>12</v>
      </c>
      <c r="J398" s="51" t="s">
        <v>1767</v>
      </c>
      <c r="K398" s="27" t="str">
        <f>Table43[[#This Row],[NamaJenisKemasan]]</f>
        <v>KLG</v>
      </c>
      <c r="L398" s="4" t="str">
        <f>TRIM(CONCATENATE(Table43[[#This Row],[Nama            KLP]]," ",Table43[[#This Row],[Nama            Sub KLP]]))</f>
        <v>STELLA AEROSOL</v>
      </c>
      <c r="M398" s="4" t="str">
        <f>CONCATENATE(Table43[[#This Row],[kode  2 Digit                (hrf+No)]],Table43[[#This Row],[kode  2 Digit                (Nomor)]],Table43[[#This Row],[kode  1 Digit                (Nomor)]])</f>
        <v>G1261</v>
      </c>
      <c r="N398" s="4" t="str">
        <f>IF(AI398="",CONCATENATE(S398,U398,W398,Y398,AA398,AC398,AE398,AG398,Table43[[#This Row],[Tanda Kode Revisi]]),CONCATENATE(S398,U398,W398,Y398,AA398,AC398,AE398,AI398))</f>
        <v>G1261001017510</v>
      </c>
      <c r="O398" s="11">
        <f t="shared" si="10"/>
        <v>14</v>
      </c>
      <c r="P398" s="14" t="str">
        <f>IF(AH398&lt;&gt;"",TRIM(UPPER(CONCATENATE(R398," ",T398," ",V398," ",X398," ",Z398," ",AB398," ","X"," ",Table43[[#This Row],[ISI/CTN]]," ",AH398," ",AD398," ",AF398," ",AJ398))),TRIM(UPPER(CONCATENATE(R398," ",T398," ",V398," ",X398," ",Z398," ",AB398," ","X"," ",Table43[[#This Row],[ISI/CTN]]," ",AD398," ",AF398," ",AJ398))))</f>
        <v>STELLA AEROSOL APPLE 175ML X 12 KLG</v>
      </c>
      <c r="Q398" s="11">
        <f t="shared" si="11"/>
        <v>35</v>
      </c>
      <c r="S398" s="7" t="s">
        <v>34</v>
      </c>
      <c r="T398" s="4" t="s">
        <v>2421</v>
      </c>
      <c r="U398" s="47" t="s">
        <v>2584</v>
      </c>
      <c r="V398" s="48" t="s">
        <v>2243</v>
      </c>
      <c r="W398" s="7">
        <v>1</v>
      </c>
      <c r="X398" s="48"/>
      <c r="Y398" s="47" t="s">
        <v>1116</v>
      </c>
      <c r="Z398" s="4" t="s">
        <v>2264</v>
      </c>
      <c r="AA398" s="49" t="s">
        <v>1115</v>
      </c>
      <c r="AB398" s="4" t="s">
        <v>2214</v>
      </c>
      <c r="AC398" s="49" t="s">
        <v>2600</v>
      </c>
      <c r="AD398" s="4" t="s">
        <v>2221</v>
      </c>
      <c r="AE398" s="7">
        <v>1</v>
      </c>
      <c r="AG398" s="7">
        <v>0</v>
      </c>
      <c r="AK398" s="70">
        <f>Table43[[#This Row],[Column4]]</f>
        <v>30490020200000</v>
      </c>
      <c r="AN398" s="7">
        <f>Table43[[#This Row],[ISI/CTN]]</f>
        <v>12</v>
      </c>
      <c r="AO398" s="38">
        <f>Table43[[#This Row],[Harga Jual Pcs GT
(-PPN)]]-(Table43[[#This Row],[Harga Jual Pcs GT
(-PPN)]]*6.5%)</f>
        <v>14025</v>
      </c>
      <c r="AP398" s="38">
        <f>Table43[[#This Row],[Harga Beli Pcs
(-PPN)]]*Table43[[#This Row],[ISI/CTN]]</f>
        <v>168300</v>
      </c>
      <c r="AQ398" s="38">
        <f>Table43[[#This Row],[Harga Beli Pcs
(-PPN)]]*1.11</f>
        <v>15567.750000000002</v>
      </c>
      <c r="AR398" s="38">
        <f>Table43[[#This Row],[Harga Beli Krt
(- PPN)]]*1.11</f>
        <v>186813.00000000003</v>
      </c>
      <c r="AS398" s="38">
        <v>15000</v>
      </c>
      <c r="AT398" s="38">
        <f>Table43[[#This Row],[Harga Jual Pcs GT
(-PPN)]]*Table43[[#This Row],[ISI/CTN]]</f>
        <v>180000</v>
      </c>
      <c r="AU398" s="38">
        <f>Table43[[#This Row],[Harga Jual Pcs GT
(-PPN)]]*1.11</f>
        <v>16650</v>
      </c>
      <c r="AV398" s="38">
        <f>Table43[[#This Row],[Harga Jual Krt GT
(- PPN)]]*1.11</f>
        <v>199800.00000000003</v>
      </c>
      <c r="AW398" s="38">
        <f>IFERROR(VLOOKUP(Table43[[#This Row],[Kode Pcpl]],'[1]FEB 2026'!$A$3:$X$312,24,0),0)</f>
        <v>0</v>
      </c>
      <c r="AX398" s="38">
        <f>Table43[[#This Row],[Harga Jual Pcs MT
(-PPN)]]*Table43[[#This Row],[ISI/CTN]]</f>
        <v>0</v>
      </c>
      <c r="AY398" s="38">
        <f>Table43[[#This Row],[Harga Jual Pcs MT
(-PPN)]]*1.11</f>
        <v>0</v>
      </c>
      <c r="AZ398" s="38">
        <f>Table43[[#This Row],[Harga Jual Pcs MT
(+PPN)]]*Table43[[#This Row],[ISI/CTN]]</f>
        <v>0</v>
      </c>
      <c r="BA398" s="46">
        <f>(Table43[[#This Row],[Harga Jual Pcs GT
(-PPN)]]-Table43[[#This Row],[Harga Beli Pcs
(-PPN)]])/Table43[[#This Row],[Harga Jual Pcs GT
(-PPN)]]</f>
        <v>6.5000000000000002E-2</v>
      </c>
      <c r="BB398" s="53">
        <f>Table43[[#This Row],[Harga Jual Pcs MT
(-PPN)]]-Table43[[#This Row],[Harga Beli Pcs
(-PPN)]]</f>
        <v>-14025</v>
      </c>
      <c r="BC398" s="54" t="e">
        <f>Table43[[#This Row],[Column1]]/Table43[[#This Row],[Harga Jual Pcs MT
(-PPN)]]</f>
        <v>#DIV/0!</v>
      </c>
      <c r="BD398" s="52"/>
      <c r="BE398" s="7"/>
      <c r="BF398" s="7" t="str">
        <f ca="1">IF(TODAY()-Table43[[#This Row],[Efektif
Pembuatan]]&gt;60,"Lama","Baru")</f>
        <v>Lama</v>
      </c>
      <c r="BG398" s="7" t="str">
        <f ca="1">IF(TODAY()-Table43[[#This Row],[Efektif Naik Harga]]&lt;30,"Naik","Sama")</f>
        <v>Sama</v>
      </c>
      <c r="BH398" s="7"/>
      <c r="BI398" s="7" t="str">
        <f>IF(Table43[[#This Row],[Kode BARANG Win2]]&lt;&gt;"","IDR","")</f>
        <v>IDR</v>
      </c>
      <c r="BJ398" s="7" t="str">
        <f>CONCATENATE(Table43[[#This Row],[kode  1 Digit
(Nomor)]],Table43[[#This Row],[kode  4 Digit                (Nomor)]])</f>
        <v>0175</v>
      </c>
      <c r="BK398" s="7" t="str">
        <f>Table43[[#This Row],[Nama            Gramasi atau Jumlah Pack per CTN]]</f>
        <v>175ML</v>
      </c>
      <c r="BL398" s="7"/>
      <c r="BM398" s="7"/>
      <c r="BN398" s="4" t="str">
        <f>IF(Table43[[#This Row],[SATUAN Fix Win]]&lt;&gt;"","KRT")</f>
        <v>KRT</v>
      </c>
      <c r="BO398" s="4" t="str">
        <f>IF(Table43[[#This Row],[SATUAN Fix Win]]&lt;&gt;"","GD01")</f>
        <v>GD01</v>
      </c>
      <c r="BP398" s="4">
        <f>IF(Table43[[#This Row],[SATUAN Fix Win]]&lt;&gt;"",11611)</f>
        <v>11611</v>
      </c>
      <c r="BQ398" s="4">
        <f>IF(Table43[[#This Row],[SATUAN Fix Win]]&lt;&gt;"",11612)</f>
        <v>11612</v>
      </c>
      <c r="BS398" s="4">
        <f>IF(Table43[[#This Row],[SATUAN Fix Win]]&lt;&gt;"",1)</f>
        <v>1</v>
      </c>
      <c r="BU398" s="4">
        <f>Table43[[#This Row],[ISI/CTN]]</f>
        <v>12</v>
      </c>
    </row>
    <row r="399" spans="1:75">
      <c r="A399" s="4" t="str">
        <f>CONCATENATE(Table43[[#This Row],[Kode BARANG Win2]],Table43[[#This Row],[No. Urut
Item Sama]])</f>
        <v>G1261001017510</v>
      </c>
      <c r="B399" s="7"/>
      <c r="C399" s="31">
        <v>30490020200000</v>
      </c>
      <c r="D399" s="51">
        <v>40043470</v>
      </c>
      <c r="E399" s="27" t="s">
        <v>2085</v>
      </c>
      <c r="F399" s="51">
        <v>30490020200000</v>
      </c>
      <c r="G399" s="51">
        <v>0</v>
      </c>
      <c r="H399" s="27" t="s">
        <v>1390</v>
      </c>
      <c r="I399" s="27">
        <v>12</v>
      </c>
      <c r="J399" s="51" t="s">
        <v>1767</v>
      </c>
      <c r="K399" s="27" t="str">
        <f>Table43[[#This Row],[NamaJenisKemasan]]</f>
        <v>KLG</v>
      </c>
      <c r="L399" s="4" t="str">
        <f>TRIM(CONCATENATE(Table43[[#This Row],[Nama            KLP]]," ",Table43[[#This Row],[Nama            Sub KLP]]))</f>
        <v>STELLA AEROSOL</v>
      </c>
      <c r="M399" s="4" t="str">
        <f>CONCATENATE(Table43[[#This Row],[kode  2 Digit                (hrf+No)]],Table43[[#This Row],[kode  2 Digit                (Nomor)]],Table43[[#This Row],[kode  1 Digit                (Nomor)]])</f>
        <v>G1261</v>
      </c>
      <c r="N399" s="4" t="str">
        <f>IF(AI399="",CONCATENATE(S399,U399,W399,Y399,AA399,AC399,AE399,AG399,Table43[[#This Row],[Tanda Kode Revisi]]),CONCATENATE(S399,U399,W399,Y399,AA399,AC399,AE399,AI399))</f>
        <v>G1261001017510</v>
      </c>
      <c r="O399" s="11">
        <f t="shared" si="10"/>
        <v>14</v>
      </c>
      <c r="P399" s="14" t="str">
        <f>IF(AH399&lt;&gt;"",TRIM(UPPER(CONCATENATE(R399," ",T399," ",V399," ",X399," ",Z399," ",AB399," ","X"," ",Table43[[#This Row],[ISI/CTN]]," ",AH399," ",AD399," ",AF399," ",AJ399))),TRIM(UPPER(CONCATENATE(R399," ",T399," ",V399," ",X399," ",Z399," ",AB399," ","X"," ",Table43[[#This Row],[ISI/CTN]]," ",AD399," ",AF399," ",AJ399))))</f>
        <v>STELLA AEROSOL APPLE 175ML X 12 KLG</v>
      </c>
      <c r="Q399" s="11">
        <f t="shared" si="11"/>
        <v>35</v>
      </c>
      <c r="S399" s="7" t="s">
        <v>34</v>
      </c>
      <c r="T399" s="4" t="s">
        <v>2421</v>
      </c>
      <c r="U399" s="47" t="s">
        <v>2584</v>
      </c>
      <c r="V399" s="48" t="s">
        <v>2243</v>
      </c>
      <c r="W399" s="7">
        <v>1</v>
      </c>
      <c r="X399" s="48"/>
      <c r="Y399" s="47" t="s">
        <v>1116</v>
      </c>
      <c r="Z399" s="4" t="s">
        <v>2264</v>
      </c>
      <c r="AA399" s="49" t="s">
        <v>1115</v>
      </c>
      <c r="AB399" s="4" t="s">
        <v>2214</v>
      </c>
      <c r="AC399" s="49" t="s">
        <v>2600</v>
      </c>
      <c r="AD399" s="4" t="s">
        <v>2221</v>
      </c>
      <c r="AE399" s="7">
        <v>1</v>
      </c>
      <c r="AG399" s="7">
        <v>0</v>
      </c>
      <c r="AK399" s="70">
        <f>Table43[[#This Row],[Column4]]</f>
        <v>30490020200000</v>
      </c>
      <c r="AN399" s="7">
        <f>Table43[[#This Row],[ISI/CTN]]</f>
        <v>12</v>
      </c>
      <c r="AO399" s="38">
        <f>Table43[[#This Row],[Harga Jual Pcs GT
(-PPN)]]-(Table43[[#This Row],[Harga Jual Pcs GT
(-PPN)]]*6.5%)</f>
        <v>14025</v>
      </c>
      <c r="AP399" s="38">
        <f>Table43[[#This Row],[Harga Beli Pcs
(-PPN)]]*Table43[[#This Row],[ISI/CTN]]</f>
        <v>168300</v>
      </c>
      <c r="AQ399" s="38">
        <f>Table43[[#This Row],[Harga Beli Pcs
(-PPN)]]*1.11</f>
        <v>15567.750000000002</v>
      </c>
      <c r="AR399" s="38">
        <f>Table43[[#This Row],[Harga Beli Krt
(- PPN)]]*1.11</f>
        <v>186813.00000000003</v>
      </c>
      <c r="AS399" s="38">
        <v>15000</v>
      </c>
      <c r="AT399" s="38">
        <f>Table43[[#This Row],[Harga Jual Pcs GT
(-PPN)]]*Table43[[#This Row],[ISI/CTN]]</f>
        <v>180000</v>
      </c>
      <c r="AU399" s="38">
        <f>Table43[[#This Row],[Harga Jual Pcs GT
(-PPN)]]*1.11</f>
        <v>16650</v>
      </c>
      <c r="AV399" s="38">
        <f>Table43[[#This Row],[Harga Jual Krt GT
(- PPN)]]*1.11</f>
        <v>199800.00000000003</v>
      </c>
      <c r="AW399" s="38">
        <f>IFERROR(VLOOKUP(Table43[[#This Row],[Kode Pcpl]],'[1]FEB 2026'!$A$3:$X$312,24,0),0)</f>
        <v>0</v>
      </c>
      <c r="AX399" s="38">
        <f>Table43[[#This Row],[Harga Jual Pcs MT
(-PPN)]]*Table43[[#This Row],[ISI/CTN]]</f>
        <v>0</v>
      </c>
      <c r="AY399" s="38">
        <f>Table43[[#This Row],[Harga Jual Pcs MT
(-PPN)]]*1.11</f>
        <v>0</v>
      </c>
      <c r="AZ399" s="38">
        <f>Table43[[#This Row],[Harga Jual Pcs MT
(+PPN)]]*Table43[[#This Row],[ISI/CTN]]</f>
        <v>0</v>
      </c>
      <c r="BA399" s="46">
        <f>(Table43[[#This Row],[Harga Jual Pcs GT
(-PPN)]]-Table43[[#This Row],[Harga Beli Pcs
(-PPN)]])/Table43[[#This Row],[Harga Jual Pcs GT
(-PPN)]]</f>
        <v>6.5000000000000002E-2</v>
      </c>
      <c r="BB399" s="53">
        <f>Table43[[#This Row],[Harga Jual Pcs MT
(-PPN)]]-Table43[[#This Row],[Harga Beli Pcs
(-PPN)]]</f>
        <v>-14025</v>
      </c>
      <c r="BC399" s="54" t="e">
        <f>Table43[[#This Row],[Column1]]/Table43[[#This Row],[Harga Jual Pcs MT
(-PPN)]]</f>
        <v>#DIV/0!</v>
      </c>
      <c r="BD399" s="52"/>
      <c r="BE399" s="7"/>
      <c r="BF399" s="7" t="str">
        <f ca="1">IF(TODAY()-Table43[[#This Row],[Efektif
Pembuatan]]&gt;60,"Lama","Baru")</f>
        <v>Lama</v>
      </c>
      <c r="BG399" s="7" t="str">
        <f ca="1">IF(TODAY()-Table43[[#This Row],[Efektif Naik Harga]]&lt;30,"Naik","Sama")</f>
        <v>Sama</v>
      </c>
      <c r="BH399" s="7"/>
      <c r="BI399" s="7" t="str">
        <f>IF(Table43[[#This Row],[Kode BARANG Win2]]&lt;&gt;"","IDR","")</f>
        <v>IDR</v>
      </c>
      <c r="BJ399" s="7" t="str">
        <f>CONCATENATE(Table43[[#This Row],[kode  1 Digit
(Nomor)]],Table43[[#This Row],[kode  4 Digit                (Nomor)]])</f>
        <v>0175</v>
      </c>
      <c r="BK399" s="7" t="str">
        <f>Table43[[#This Row],[Nama            Gramasi atau Jumlah Pack per CTN]]</f>
        <v>175ML</v>
      </c>
      <c r="BL399" s="7"/>
      <c r="BM399" s="7"/>
      <c r="BN399" s="4" t="str">
        <f>IF(Table43[[#This Row],[SATUAN Fix Win]]&lt;&gt;"","KRT")</f>
        <v>KRT</v>
      </c>
      <c r="BO399" s="4" t="str">
        <f>IF(Table43[[#This Row],[SATUAN Fix Win]]&lt;&gt;"","GD01")</f>
        <v>GD01</v>
      </c>
      <c r="BP399" s="4">
        <f>IF(Table43[[#This Row],[SATUAN Fix Win]]&lt;&gt;"",11611)</f>
        <v>11611</v>
      </c>
      <c r="BQ399" s="4">
        <f>IF(Table43[[#This Row],[SATUAN Fix Win]]&lt;&gt;"",11612)</f>
        <v>11612</v>
      </c>
      <c r="BS399" s="4">
        <f>IF(Table43[[#This Row],[SATUAN Fix Win]]&lt;&gt;"",1)</f>
        <v>1</v>
      </c>
      <c r="BU399" s="4">
        <f>Table43[[#This Row],[ISI/CTN]]</f>
        <v>12</v>
      </c>
    </row>
    <row r="400" spans="1:75">
      <c r="A400" s="4" t="str">
        <f>CONCATENATE(Table43[[#This Row],[Kode BARANG Win2]],Table43[[#This Row],[No. Urut
Item Sama]])</f>
        <v>G1261001035010</v>
      </c>
      <c r="B400" s="7"/>
      <c r="C400" s="31">
        <v>30490020400000</v>
      </c>
      <c r="D400" s="59">
        <v>40059927</v>
      </c>
      <c r="E400" s="60" t="s">
        <v>2086</v>
      </c>
      <c r="F400" s="51">
        <v>30490020400000</v>
      </c>
      <c r="G400" s="59">
        <v>0</v>
      </c>
      <c r="H400" s="60" t="s">
        <v>1395</v>
      </c>
      <c r="I400" s="60">
        <v>12</v>
      </c>
      <c r="J400" s="59" t="s">
        <v>1768</v>
      </c>
      <c r="K400" s="60" t="str">
        <f>Table43[[#This Row],[NamaJenisKemasan]]</f>
        <v>KLG</v>
      </c>
      <c r="L400" s="4" t="str">
        <f>TRIM(CONCATENATE(Table43[[#This Row],[Nama            KLP]]," ",Table43[[#This Row],[Nama            Sub KLP]]))</f>
        <v>STELLA AEROSOL</v>
      </c>
      <c r="M400" s="4" t="str">
        <f>CONCATENATE(Table43[[#This Row],[kode  2 Digit                (hrf+No)]],Table43[[#This Row],[kode  2 Digit                (Nomor)]],Table43[[#This Row],[kode  1 Digit                (Nomor)]])</f>
        <v>G1261</v>
      </c>
      <c r="N400" s="4" t="str">
        <f>IF(AI400="",CONCATENATE(S400,U400,W400,Y400,AA400,AC400,AE400,AG400,Table43[[#This Row],[Tanda Kode Revisi]]),CONCATENATE(S400,U400,W400,Y400,AA400,AC400,AE400,AI400))</f>
        <v>G1261001035010</v>
      </c>
      <c r="O400" s="11">
        <f t="shared" si="10"/>
        <v>14</v>
      </c>
      <c r="P400" s="14" t="str">
        <f>IF(AH400&lt;&gt;"",TRIM(UPPER(CONCATENATE(R400," ",T400," ",V400," ",X400," ",Z400," ",AB400," ","X"," ",Table43[[#This Row],[ISI/CTN]]," ",AH400," ",AD400," ",AF400," ",AJ400))),TRIM(UPPER(CONCATENATE(R400," ",T400," ",V400," ",X400," ",Z400," ",AB400," ","X"," ",Table43[[#This Row],[ISI/CTN]]," ",AD400," ",AF400," ",AJ400))))</f>
        <v>STELLA AEROSOL APPLE 350ML X 12 KLG</v>
      </c>
      <c r="Q400" s="11">
        <f t="shared" si="11"/>
        <v>35</v>
      </c>
      <c r="S400" s="7" t="s">
        <v>34</v>
      </c>
      <c r="T400" s="4" t="s">
        <v>2421</v>
      </c>
      <c r="U400" s="47" t="s">
        <v>2584</v>
      </c>
      <c r="V400" s="48" t="s">
        <v>2243</v>
      </c>
      <c r="W400" s="7">
        <v>1</v>
      </c>
      <c r="X400" s="48"/>
      <c r="Y400" s="47" t="s">
        <v>1116</v>
      </c>
      <c r="Z400" s="4" t="s">
        <v>2264</v>
      </c>
      <c r="AA400" s="49" t="s">
        <v>1115</v>
      </c>
      <c r="AB400" s="4" t="s">
        <v>2372</v>
      </c>
      <c r="AC400" s="49" t="s">
        <v>2619</v>
      </c>
      <c r="AD400" s="4" t="s">
        <v>2221</v>
      </c>
      <c r="AE400" s="7">
        <v>1</v>
      </c>
      <c r="AG400" s="7">
        <v>0</v>
      </c>
      <c r="AK400" s="70">
        <f>Table43[[#This Row],[Column4]]</f>
        <v>30490020400000</v>
      </c>
      <c r="AN400" s="7">
        <f>Table43[[#This Row],[ISI/CTN]]</f>
        <v>12</v>
      </c>
      <c r="AO400" s="61">
        <f>Table43[[#This Row],[Harga Jual Pcs GT
(-PPN)]]-(Table43[[#This Row],[Harga Jual Pcs GT
(-PPN)]]*6.5%)</f>
        <v>20383</v>
      </c>
      <c r="AP400" s="61">
        <f>Table43[[#This Row],[Harga Beli Pcs
(-PPN)]]*Table43[[#This Row],[ISI/CTN]]</f>
        <v>244596</v>
      </c>
      <c r="AQ400" s="61">
        <f>Table43[[#This Row],[Harga Beli Pcs
(-PPN)]]*1.11</f>
        <v>22625.13</v>
      </c>
      <c r="AR400" s="61">
        <f>Table43[[#This Row],[Harga Beli Krt
(- PPN)]]*1.11</f>
        <v>271501.56</v>
      </c>
      <c r="AS400" s="61">
        <v>21800</v>
      </c>
      <c r="AT400" s="61">
        <f>Table43[[#This Row],[Harga Jual Pcs GT
(-PPN)]]*Table43[[#This Row],[ISI/CTN]]</f>
        <v>261600</v>
      </c>
      <c r="AU400" s="61">
        <f>Table43[[#This Row],[Harga Jual Pcs GT
(-PPN)]]*1.11</f>
        <v>24198.000000000004</v>
      </c>
      <c r="AV400" s="61">
        <f>Table43[[#This Row],[Harga Jual Krt GT
(- PPN)]]*1.11</f>
        <v>290376</v>
      </c>
      <c r="AW400" s="61">
        <f>IFERROR(VLOOKUP(Table43[[#This Row],[Kode Pcpl]],'[1]FEB 2026'!$A$3:$X$312,24,0),0)</f>
        <v>0</v>
      </c>
      <c r="AX400" s="61">
        <f>Table43[[#This Row],[Harga Jual Pcs MT
(-PPN)]]*Table43[[#This Row],[ISI/CTN]]</f>
        <v>0</v>
      </c>
      <c r="AY400" s="61">
        <f>Table43[[#This Row],[Harga Jual Pcs MT
(-PPN)]]*1.11</f>
        <v>0</v>
      </c>
      <c r="AZ400" s="61">
        <f>Table43[[#This Row],[Harga Jual Pcs MT
(+PPN)]]*Table43[[#This Row],[ISI/CTN]]</f>
        <v>0</v>
      </c>
      <c r="BA400" s="62">
        <f>(Table43[[#This Row],[Harga Jual Pcs GT
(-PPN)]]-Table43[[#This Row],[Harga Beli Pcs
(-PPN)]])/Table43[[#This Row],[Harga Jual Pcs GT
(-PPN)]]</f>
        <v>6.5000000000000002E-2</v>
      </c>
      <c r="BB400" s="63">
        <f>Table43[[#This Row],[Harga Jual Pcs MT
(-PPN)]]-Table43[[#This Row],[Harga Beli Pcs
(-PPN)]]</f>
        <v>-20383</v>
      </c>
      <c r="BC400" s="64" t="e">
        <f>Table43[[#This Row],[Column1]]/Table43[[#This Row],[Harga Jual Pcs MT
(-PPN)]]</f>
        <v>#DIV/0!</v>
      </c>
      <c r="BD400" s="52"/>
      <c r="BE400" s="7"/>
      <c r="BF400" s="7" t="str">
        <f ca="1">IF(TODAY()-Table43[[#This Row],[Efektif
Pembuatan]]&gt;60,"Lama","Baru")</f>
        <v>Lama</v>
      </c>
      <c r="BG400" s="7" t="str">
        <f ca="1">IF(TODAY()-Table43[[#This Row],[Efektif Naik Harga]]&lt;30,"Naik","Sama")</f>
        <v>Sama</v>
      </c>
      <c r="BH400" s="7"/>
      <c r="BI400" s="7" t="str">
        <f>IF(Table43[[#This Row],[Kode BARANG Win2]]&lt;&gt;"","IDR","")</f>
        <v>IDR</v>
      </c>
      <c r="BJ400" s="7" t="str">
        <f>CONCATENATE(Table43[[#This Row],[kode  1 Digit
(Nomor)]],Table43[[#This Row],[kode  4 Digit                (Nomor)]])</f>
        <v>0350</v>
      </c>
      <c r="BK400" s="7" t="str">
        <f>Table43[[#This Row],[Nama            Gramasi atau Jumlah Pack per CTN]]</f>
        <v>350ML</v>
      </c>
      <c r="BL400" s="7"/>
      <c r="BM400" s="7"/>
      <c r="BN400" s="4" t="str">
        <f>IF(Table43[[#This Row],[SATUAN Fix Win]]&lt;&gt;"","KRT")</f>
        <v>KRT</v>
      </c>
      <c r="BO400" s="4" t="str">
        <f>IF(Table43[[#This Row],[SATUAN Fix Win]]&lt;&gt;"","GD01")</f>
        <v>GD01</v>
      </c>
      <c r="BP400" s="4">
        <f>IF(Table43[[#This Row],[SATUAN Fix Win]]&lt;&gt;"",11611)</f>
        <v>11611</v>
      </c>
      <c r="BQ400" s="4">
        <f>IF(Table43[[#This Row],[SATUAN Fix Win]]&lt;&gt;"",11612)</f>
        <v>11612</v>
      </c>
      <c r="BS400" s="4">
        <f>IF(Table43[[#This Row],[SATUAN Fix Win]]&lt;&gt;"",1)</f>
        <v>1</v>
      </c>
      <c r="BU400" s="4">
        <f>Table43[[#This Row],[ISI/CTN]]</f>
        <v>12</v>
      </c>
    </row>
    <row r="401" spans="1:73">
      <c r="A401" s="4" t="str">
        <f>CONCATENATE(Table43[[#This Row],[Kode BARANG Win2]],Table43[[#This Row],[No. Urut
Item Sama]])</f>
        <v>G1261001035010</v>
      </c>
      <c r="B401" s="7"/>
      <c r="C401" s="31">
        <v>30490020400010</v>
      </c>
      <c r="D401" s="59">
        <v>40057465</v>
      </c>
      <c r="E401" s="60" t="s">
        <v>2086</v>
      </c>
      <c r="F401" s="51">
        <v>30490020400000</v>
      </c>
      <c r="G401" s="59">
        <v>0</v>
      </c>
      <c r="H401" s="60" t="s">
        <v>1394</v>
      </c>
      <c r="I401" s="60">
        <v>12</v>
      </c>
      <c r="J401" s="59" t="s">
        <v>1768</v>
      </c>
      <c r="K401" s="60" t="str">
        <f>Table43[[#This Row],[NamaJenisKemasan]]</f>
        <v>KLG</v>
      </c>
      <c r="L401" s="4" t="str">
        <f>TRIM(CONCATENATE(Table43[[#This Row],[Nama            KLP]]," ",Table43[[#This Row],[Nama            Sub KLP]]))</f>
        <v>STELLA AEROSOL</v>
      </c>
      <c r="M401" s="4" t="str">
        <f>CONCATENATE(Table43[[#This Row],[kode  2 Digit                (hrf+No)]],Table43[[#This Row],[kode  2 Digit                (Nomor)]],Table43[[#This Row],[kode  1 Digit                (Nomor)]])</f>
        <v>G1261</v>
      </c>
      <c r="N401" s="4" t="str">
        <f>IF(AI401="",CONCATENATE(S401,U401,W401,Y401,AA401,AC401,AE401,AG401,Table43[[#This Row],[Tanda Kode Revisi]]),CONCATENATE(S401,U401,W401,Y401,AA401,AC401,AE401,AI401))</f>
        <v>G1261001035010</v>
      </c>
      <c r="O401" s="11">
        <f t="shared" si="10"/>
        <v>14</v>
      </c>
      <c r="P401" s="14" t="str">
        <f>IF(AH401&lt;&gt;"",TRIM(UPPER(CONCATENATE(R401," ",T401," ",V401," ",X401," ",Z401," ",AB401," ","X"," ",Table43[[#This Row],[ISI/CTN]]," ",AH401," ",AD401," ",AF401," ",AJ401))),TRIM(UPPER(CONCATENATE(R401," ",T401," ",V401," ",X401," ",Z401," ",AB401," ","X"," ",Table43[[#This Row],[ISI/CTN]]," ",AD401," ",AF401," ",AJ401))))</f>
        <v>STELLA AEROSOL APPLE 350ML X 12 KLG</v>
      </c>
      <c r="Q401" s="11">
        <f t="shared" si="11"/>
        <v>35</v>
      </c>
      <c r="S401" s="7" t="s">
        <v>34</v>
      </c>
      <c r="T401" s="4" t="s">
        <v>2421</v>
      </c>
      <c r="U401" s="47" t="s">
        <v>2584</v>
      </c>
      <c r="V401" s="48" t="s">
        <v>2243</v>
      </c>
      <c r="W401" s="7">
        <v>1</v>
      </c>
      <c r="X401" s="48"/>
      <c r="Y401" s="47" t="s">
        <v>1116</v>
      </c>
      <c r="Z401" s="4" t="s">
        <v>2264</v>
      </c>
      <c r="AA401" s="49" t="s">
        <v>1115</v>
      </c>
      <c r="AB401" s="4" t="s">
        <v>2372</v>
      </c>
      <c r="AC401" s="49" t="s">
        <v>2619</v>
      </c>
      <c r="AD401" s="4" t="s">
        <v>2221</v>
      </c>
      <c r="AE401" s="7">
        <v>1</v>
      </c>
      <c r="AG401" s="7">
        <v>0</v>
      </c>
      <c r="AK401" s="70">
        <f>Table43[[#This Row],[Column4]]</f>
        <v>30490020400000</v>
      </c>
      <c r="AN401" s="7">
        <f>Table43[[#This Row],[ISI/CTN]]</f>
        <v>12</v>
      </c>
      <c r="AO401" s="38">
        <f>Table43[[#This Row],[Harga Jual Pcs GT
(-PPN)]]-(Table43[[#This Row],[Harga Jual Pcs GT
(-PPN)]]*6.5%)</f>
        <v>20383</v>
      </c>
      <c r="AP401" s="38">
        <f>Table43[[#This Row],[Harga Beli Pcs
(-PPN)]]*Table43[[#This Row],[ISI/CTN]]</f>
        <v>244596</v>
      </c>
      <c r="AQ401" s="38">
        <f>Table43[[#This Row],[Harga Beli Pcs
(-PPN)]]*1.11</f>
        <v>22625.13</v>
      </c>
      <c r="AR401" s="38">
        <f>Table43[[#This Row],[Harga Beli Krt
(- PPN)]]*1.11</f>
        <v>271501.56</v>
      </c>
      <c r="AS401" s="38">
        <v>21800</v>
      </c>
      <c r="AT401" s="38">
        <f>Table43[[#This Row],[Harga Jual Pcs GT
(-PPN)]]*Table43[[#This Row],[ISI/CTN]]</f>
        <v>261600</v>
      </c>
      <c r="AU401" s="38">
        <f>Table43[[#This Row],[Harga Jual Pcs GT
(-PPN)]]*1.11</f>
        <v>24198.000000000004</v>
      </c>
      <c r="AV401" s="38">
        <f>Table43[[#This Row],[Harga Jual Krt GT
(- PPN)]]*1.11</f>
        <v>290376</v>
      </c>
      <c r="AW401" s="38">
        <f>IFERROR(VLOOKUP(Table43[[#This Row],[Kode Pcpl]],'[1]FEB 2026'!$A$3:$X$312,24,0),0)</f>
        <v>0</v>
      </c>
      <c r="AX401" s="38">
        <f>Table43[[#This Row],[Harga Jual Pcs MT
(-PPN)]]*Table43[[#This Row],[ISI/CTN]]</f>
        <v>0</v>
      </c>
      <c r="AY401" s="38">
        <f>Table43[[#This Row],[Harga Jual Pcs MT
(-PPN)]]*1.11</f>
        <v>0</v>
      </c>
      <c r="AZ401" s="38">
        <f>Table43[[#This Row],[Harga Jual Pcs MT
(+PPN)]]*Table43[[#This Row],[ISI/CTN]]</f>
        <v>0</v>
      </c>
      <c r="BA401" s="46">
        <f>(Table43[[#This Row],[Harga Jual Pcs GT
(-PPN)]]-Table43[[#This Row],[Harga Beli Pcs
(-PPN)]])/Table43[[#This Row],[Harga Jual Pcs GT
(-PPN)]]</f>
        <v>6.5000000000000002E-2</v>
      </c>
      <c r="BB401" s="53">
        <f>Table43[[#This Row],[Harga Jual Pcs MT
(-PPN)]]-Table43[[#This Row],[Harga Beli Pcs
(-PPN)]]</f>
        <v>-20383</v>
      </c>
      <c r="BC401" s="54" t="e">
        <f>Table43[[#This Row],[Column1]]/Table43[[#This Row],[Harga Jual Pcs MT
(-PPN)]]</f>
        <v>#DIV/0!</v>
      </c>
      <c r="BD401" s="52"/>
      <c r="BE401" s="7"/>
      <c r="BF401" s="7" t="str">
        <f ca="1">IF(TODAY()-Table43[[#This Row],[Efektif
Pembuatan]]&gt;60,"Lama","Baru")</f>
        <v>Lama</v>
      </c>
      <c r="BG401" s="7" t="str">
        <f ca="1">IF(TODAY()-Table43[[#This Row],[Efektif Naik Harga]]&lt;30,"Naik","Sama")</f>
        <v>Sama</v>
      </c>
      <c r="BH401" s="7"/>
      <c r="BI401" s="7" t="str">
        <f>IF(Table43[[#This Row],[Kode BARANG Win2]]&lt;&gt;"","IDR","")</f>
        <v>IDR</v>
      </c>
      <c r="BJ401" s="7" t="str">
        <f>CONCATENATE(Table43[[#This Row],[kode  1 Digit
(Nomor)]],Table43[[#This Row],[kode  4 Digit                (Nomor)]])</f>
        <v>0350</v>
      </c>
      <c r="BK401" s="7" t="str">
        <f>Table43[[#This Row],[Nama            Gramasi atau Jumlah Pack per CTN]]</f>
        <v>350ML</v>
      </c>
      <c r="BL401" s="7"/>
      <c r="BM401" s="7"/>
      <c r="BN401" s="4" t="str">
        <f>IF(Table43[[#This Row],[SATUAN Fix Win]]&lt;&gt;"","KRT")</f>
        <v>KRT</v>
      </c>
      <c r="BO401" s="4" t="str">
        <f>IF(Table43[[#This Row],[SATUAN Fix Win]]&lt;&gt;"","GD01")</f>
        <v>GD01</v>
      </c>
      <c r="BP401" s="4">
        <f>IF(Table43[[#This Row],[SATUAN Fix Win]]&lt;&gt;"",11611)</f>
        <v>11611</v>
      </c>
      <c r="BQ401" s="4">
        <f>IF(Table43[[#This Row],[SATUAN Fix Win]]&lt;&gt;"",11612)</f>
        <v>11612</v>
      </c>
      <c r="BS401" s="4">
        <f>IF(Table43[[#This Row],[SATUAN Fix Win]]&lt;&gt;"",1)</f>
        <v>1</v>
      </c>
      <c r="BU401" s="4">
        <f>Table43[[#This Row],[ISI/CTN]]</f>
        <v>12</v>
      </c>
    </row>
    <row r="402" spans="1:73">
      <c r="A402" s="4" t="str">
        <f>CONCATENATE(Table43[[#This Row],[Kode BARANG Win2]],Table43[[#This Row],[No. Urut
Item Sama]])</f>
        <v>G1261001035010</v>
      </c>
      <c r="B402" s="7"/>
      <c r="C402" s="31">
        <v>30490020400010</v>
      </c>
      <c r="D402" s="51">
        <v>40043464</v>
      </c>
      <c r="E402" s="27" t="s">
        <v>2086</v>
      </c>
      <c r="F402" s="51">
        <v>30490020400000</v>
      </c>
      <c r="G402" s="51">
        <v>0</v>
      </c>
      <c r="H402" s="27" t="s">
        <v>1393</v>
      </c>
      <c r="I402" s="27">
        <v>12</v>
      </c>
      <c r="J402" s="51" t="s">
        <v>1768</v>
      </c>
      <c r="K402" s="27" t="str">
        <f>Table43[[#This Row],[NamaJenisKemasan]]</f>
        <v>KLG</v>
      </c>
      <c r="L402" s="4" t="str">
        <f>TRIM(CONCATENATE(Table43[[#This Row],[Nama            KLP]]," ",Table43[[#This Row],[Nama            Sub KLP]]))</f>
        <v>STELLA AEROSOL</v>
      </c>
      <c r="M402" s="4" t="str">
        <f>CONCATENATE(Table43[[#This Row],[kode  2 Digit                (hrf+No)]],Table43[[#This Row],[kode  2 Digit                (Nomor)]],Table43[[#This Row],[kode  1 Digit                (Nomor)]])</f>
        <v>G1261</v>
      </c>
      <c r="N402" s="4" t="str">
        <f>IF(AI402="",CONCATENATE(S402,U402,W402,Y402,AA402,AC402,AE402,AG402,Table43[[#This Row],[Tanda Kode Revisi]]),CONCATENATE(S402,U402,W402,Y402,AA402,AC402,AE402,AI402))</f>
        <v>G1261001035010</v>
      </c>
      <c r="O402" s="11">
        <f t="shared" si="10"/>
        <v>14</v>
      </c>
      <c r="P402" s="14" t="str">
        <f>IF(AH402&lt;&gt;"",TRIM(UPPER(CONCATENATE(R402," ",T402," ",V402," ",X402," ",Z402," ",AB402," ","X"," ",Table43[[#This Row],[ISI/CTN]]," ",AH402," ",AD402," ",AF402," ",AJ402))),TRIM(UPPER(CONCATENATE(R402," ",T402," ",V402," ",X402," ",Z402," ",AB402," ","X"," ",Table43[[#This Row],[ISI/CTN]]," ",AD402," ",AF402," ",AJ402))))</f>
        <v>STELLA AEROSOL APPLE 350ML X 12 KLG</v>
      </c>
      <c r="Q402" s="11">
        <f t="shared" si="11"/>
        <v>35</v>
      </c>
      <c r="S402" s="7" t="s">
        <v>34</v>
      </c>
      <c r="T402" s="4" t="s">
        <v>2421</v>
      </c>
      <c r="U402" s="47" t="s">
        <v>2584</v>
      </c>
      <c r="V402" s="48" t="s">
        <v>2243</v>
      </c>
      <c r="W402" s="7">
        <v>1</v>
      </c>
      <c r="X402" s="48"/>
      <c r="Y402" s="47" t="s">
        <v>1116</v>
      </c>
      <c r="Z402" s="4" t="s">
        <v>2264</v>
      </c>
      <c r="AA402" s="49" t="s">
        <v>1115</v>
      </c>
      <c r="AB402" s="4" t="s">
        <v>2372</v>
      </c>
      <c r="AC402" s="49" t="s">
        <v>2619</v>
      </c>
      <c r="AD402" s="4" t="s">
        <v>2221</v>
      </c>
      <c r="AE402" s="7">
        <v>1</v>
      </c>
      <c r="AG402" s="7">
        <v>0</v>
      </c>
      <c r="AK402" s="70">
        <f>Table43[[#This Row],[Column4]]</f>
        <v>30490020400000</v>
      </c>
      <c r="AN402" s="7">
        <f>Table43[[#This Row],[ISI/CTN]]</f>
        <v>12</v>
      </c>
      <c r="AO402" s="38">
        <f>Table43[[#This Row],[Harga Jual Pcs GT
(-PPN)]]-(Table43[[#This Row],[Harga Jual Pcs GT
(-PPN)]]*6.5%)</f>
        <v>20383</v>
      </c>
      <c r="AP402" s="38">
        <f>Table43[[#This Row],[Harga Beli Pcs
(-PPN)]]*Table43[[#This Row],[ISI/CTN]]</f>
        <v>244596</v>
      </c>
      <c r="AQ402" s="38">
        <f>Table43[[#This Row],[Harga Beli Pcs
(-PPN)]]*1.11</f>
        <v>22625.13</v>
      </c>
      <c r="AR402" s="38">
        <f>Table43[[#This Row],[Harga Beli Krt
(- PPN)]]*1.11</f>
        <v>271501.56</v>
      </c>
      <c r="AS402" s="38">
        <v>21800</v>
      </c>
      <c r="AT402" s="38">
        <f>Table43[[#This Row],[Harga Jual Pcs GT
(-PPN)]]*Table43[[#This Row],[ISI/CTN]]</f>
        <v>261600</v>
      </c>
      <c r="AU402" s="38">
        <f>Table43[[#This Row],[Harga Jual Pcs GT
(-PPN)]]*1.11</f>
        <v>24198.000000000004</v>
      </c>
      <c r="AV402" s="38">
        <f>Table43[[#This Row],[Harga Jual Krt GT
(- PPN)]]*1.11</f>
        <v>290376</v>
      </c>
      <c r="AW402" s="38">
        <f>IFERROR(VLOOKUP(Table43[[#This Row],[Kode Pcpl]],'[1]FEB 2026'!$A$3:$X$312,24,0),0)</f>
        <v>0</v>
      </c>
      <c r="AX402" s="38">
        <f>Table43[[#This Row],[Harga Jual Pcs MT
(-PPN)]]*Table43[[#This Row],[ISI/CTN]]</f>
        <v>0</v>
      </c>
      <c r="AY402" s="38">
        <f>Table43[[#This Row],[Harga Jual Pcs MT
(-PPN)]]*1.11</f>
        <v>0</v>
      </c>
      <c r="AZ402" s="38">
        <f>Table43[[#This Row],[Harga Jual Pcs MT
(+PPN)]]*Table43[[#This Row],[ISI/CTN]]</f>
        <v>0</v>
      </c>
      <c r="BA402" s="46">
        <f>(Table43[[#This Row],[Harga Jual Pcs GT
(-PPN)]]-Table43[[#This Row],[Harga Beli Pcs
(-PPN)]])/Table43[[#This Row],[Harga Jual Pcs GT
(-PPN)]]</f>
        <v>6.5000000000000002E-2</v>
      </c>
      <c r="BB402" s="53">
        <f>Table43[[#This Row],[Harga Jual Pcs MT
(-PPN)]]-Table43[[#This Row],[Harga Beli Pcs
(-PPN)]]</f>
        <v>-20383</v>
      </c>
      <c r="BC402" s="54" t="e">
        <f>Table43[[#This Row],[Column1]]/Table43[[#This Row],[Harga Jual Pcs MT
(-PPN)]]</f>
        <v>#DIV/0!</v>
      </c>
      <c r="BD402" s="52"/>
      <c r="BE402" s="7"/>
      <c r="BF402" s="7" t="str">
        <f ca="1">IF(TODAY()-Table43[[#This Row],[Efektif
Pembuatan]]&gt;60,"Lama","Baru")</f>
        <v>Lama</v>
      </c>
      <c r="BG402" s="7" t="str">
        <f ca="1">IF(TODAY()-Table43[[#This Row],[Efektif Naik Harga]]&lt;30,"Naik","Sama")</f>
        <v>Sama</v>
      </c>
      <c r="BH402" s="7"/>
      <c r="BI402" s="7" t="str">
        <f>IF(Table43[[#This Row],[Kode BARANG Win2]]&lt;&gt;"","IDR","")</f>
        <v>IDR</v>
      </c>
      <c r="BJ402" s="7" t="str">
        <f>CONCATENATE(Table43[[#This Row],[kode  1 Digit
(Nomor)]],Table43[[#This Row],[kode  4 Digit                (Nomor)]])</f>
        <v>0350</v>
      </c>
      <c r="BK402" s="7" t="str">
        <f>Table43[[#This Row],[Nama            Gramasi atau Jumlah Pack per CTN]]</f>
        <v>350ML</v>
      </c>
      <c r="BL402" s="7"/>
      <c r="BM402" s="7"/>
      <c r="BN402" s="4" t="str">
        <f>IF(Table43[[#This Row],[SATUAN Fix Win]]&lt;&gt;"","KRT")</f>
        <v>KRT</v>
      </c>
      <c r="BO402" s="4" t="str">
        <f>IF(Table43[[#This Row],[SATUAN Fix Win]]&lt;&gt;"","GD01")</f>
        <v>GD01</v>
      </c>
      <c r="BP402" s="4">
        <f>IF(Table43[[#This Row],[SATUAN Fix Win]]&lt;&gt;"",11611)</f>
        <v>11611</v>
      </c>
      <c r="BQ402" s="4">
        <f>IF(Table43[[#This Row],[SATUAN Fix Win]]&lt;&gt;"",11612)</f>
        <v>11612</v>
      </c>
      <c r="BS402" s="4">
        <f>IF(Table43[[#This Row],[SATUAN Fix Win]]&lt;&gt;"",1)</f>
        <v>1</v>
      </c>
      <c r="BU402" s="4">
        <f>Table43[[#This Row],[ISI/CTN]]</f>
        <v>12</v>
      </c>
    </row>
    <row r="403" spans="1:73">
      <c r="A403" s="4" t="str">
        <f>CONCATENATE(Table43[[#This Row],[Kode BARANG Win2]],Table43[[#This Row],[No. Urut
Item Sama]])</f>
        <v>G1261001035010</v>
      </c>
      <c r="B403" s="7"/>
      <c r="C403" s="31"/>
      <c r="D403" s="59">
        <v>40030000</v>
      </c>
      <c r="E403" s="60"/>
      <c r="F403" s="59"/>
      <c r="G403" s="59"/>
      <c r="H403" s="60"/>
      <c r="I403" s="60">
        <v>12</v>
      </c>
      <c r="J403" s="59"/>
      <c r="K403" s="60" t="str">
        <f>Table43[[#This Row],[NamaJenisKemasan]]</f>
        <v>KLG</v>
      </c>
      <c r="L403" s="4" t="str">
        <f>TRIM(CONCATENATE(Table43[[#This Row],[Nama            KLP]]," ",Table43[[#This Row],[Nama            Sub KLP]]))</f>
        <v>STELLA AEROSOL</v>
      </c>
      <c r="M403" s="4" t="str">
        <f>CONCATENATE(Table43[[#This Row],[kode  2 Digit                (hrf+No)]],Table43[[#This Row],[kode  2 Digit                (Nomor)]],Table43[[#This Row],[kode  1 Digit                (Nomor)]])</f>
        <v>G1261</v>
      </c>
      <c r="N403" s="4" t="str">
        <f>IF(AI403="",CONCATENATE(S403,U403,W403,Y403,AA403,AC403,AE403,AG403,Table43[[#This Row],[Tanda Kode Revisi]]),CONCATENATE(S403,U403,W403,Y403,AA403,AC403,AE403,AI403))</f>
        <v>G1261001035010</v>
      </c>
      <c r="O403" s="11">
        <f t="shared" si="10"/>
        <v>14</v>
      </c>
      <c r="P403" s="14" t="str">
        <f>IF(AH403&lt;&gt;"",TRIM(UPPER(CONCATENATE(R403," ",T403," ",V403," ",X403," ",Z403," ",AB403," ","X"," ",Table43[[#This Row],[ISI/CTN]]," ",AH403," ",AD403," ",AF403," ",AJ403))),TRIM(UPPER(CONCATENATE(R403," ",T403," ",V403," ",X403," ",Z403," ",AB403," ","X"," ",Table43[[#This Row],[ISI/CTN]]," ",AD403," ",AF403," ",AJ403))))</f>
        <v>STELLA AEROSOL APPLE 350ML X 12 KLG</v>
      </c>
      <c r="Q403" s="11">
        <f t="shared" si="11"/>
        <v>35</v>
      </c>
      <c r="S403" s="7" t="s">
        <v>34</v>
      </c>
      <c r="T403" s="4" t="s">
        <v>2421</v>
      </c>
      <c r="U403" s="47" t="s">
        <v>2584</v>
      </c>
      <c r="V403" s="48" t="s">
        <v>2243</v>
      </c>
      <c r="W403" s="7">
        <v>1</v>
      </c>
      <c r="X403" s="48"/>
      <c r="Y403" s="47" t="s">
        <v>1116</v>
      </c>
      <c r="Z403" s="4" t="s">
        <v>2264</v>
      </c>
      <c r="AA403" s="49" t="s">
        <v>1115</v>
      </c>
      <c r="AB403" s="4" t="s">
        <v>2372</v>
      </c>
      <c r="AC403" s="49" t="s">
        <v>2619</v>
      </c>
      <c r="AD403" s="4" t="s">
        <v>2221</v>
      </c>
      <c r="AE403" s="7">
        <v>1</v>
      </c>
      <c r="AG403" s="7">
        <v>0</v>
      </c>
      <c r="AK403" s="70">
        <f>Table43[[#This Row],[Column4]]</f>
        <v>0</v>
      </c>
      <c r="AN403" s="7">
        <f>Table43[[#This Row],[ISI/CTN]]</f>
        <v>12</v>
      </c>
      <c r="AO403" s="38">
        <f>Table43[[#This Row],[Harga Jual Pcs GT
(-PPN)]]-(Table43[[#This Row],[Harga Jual Pcs GT
(-PPN)]]*6.5%)</f>
        <v>20383</v>
      </c>
      <c r="AP403" s="38">
        <f>Table43[[#This Row],[Harga Beli Pcs
(-PPN)]]*Table43[[#This Row],[ISI/CTN]]</f>
        <v>244596</v>
      </c>
      <c r="AQ403" s="38">
        <f>Table43[[#This Row],[Harga Beli Pcs
(-PPN)]]*1.11</f>
        <v>22625.13</v>
      </c>
      <c r="AR403" s="38">
        <f>Table43[[#This Row],[Harga Beli Krt
(- PPN)]]*1.11</f>
        <v>271501.56</v>
      </c>
      <c r="AS403" s="38">
        <v>21800</v>
      </c>
      <c r="AT403" s="38">
        <f>Table43[[#This Row],[Harga Jual Pcs GT
(-PPN)]]*Table43[[#This Row],[ISI/CTN]]</f>
        <v>261600</v>
      </c>
      <c r="AU403" s="38">
        <f>Table43[[#This Row],[Harga Jual Pcs GT
(-PPN)]]*1.11</f>
        <v>24198.000000000004</v>
      </c>
      <c r="AV403" s="38">
        <f>Table43[[#This Row],[Harga Jual Krt GT
(- PPN)]]*1.11</f>
        <v>290376</v>
      </c>
      <c r="AW403" s="38">
        <f>IFERROR(VLOOKUP(Table43[[#This Row],[Kode Pcpl]],'[1]FEB 2026'!$A$3:$X$312,24,0),0)</f>
        <v>0</v>
      </c>
      <c r="AX403" s="38">
        <f>Table43[[#This Row],[Harga Jual Pcs MT
(-PPN)]]*Table43[[#This Row],[ISI/CTN]]</f>
        <v>0</v>
      </c>
      <c r="AY403" s="38">
        <f>Table43[[#This Row],[Harga Jual Pcs MT
(-PPN)]]*1.11</f>
        <v>0</v>
      </c>
      <c r="AZ403" s="38">
        <f>Table43[[#This Row],[Harga Jual Pcs MT
(+PPN)]]*Table43[[#This Row],[ISI/CTN]]</f>
        <v>0</v>
      </c>
      <c r="BA403" s="46">
        <f>(Table43[[#This Row],[Harga Jual Pcs GT
(-PPN)]]-Table43[[#This Row],[Harga Beli Pcs
(-PPN)]])/Table43[[#This Row],[Harga Jual Pcs GT
(-PPN)]]</f>
        <v>6.5000000000000002E-2</v>
      </c>
      <c r="BB403" s="53">
        <f>Table43[[#This Row],[Harga Jual Pcs MT
(-PPN)]]-Table43[[#This Row],[Harga Beli Pcs
(-PPN)]]</f>
        <v>-20383</v>
      </c>
      <c r="BC403" s="54" t="e">
        <f>Table43[[#This Row],[Column1]]/Table43[[#This Row],[Harga Jual Pcs MT
(-PPN)]]</f>
        <v>#DIV/0!</v>
      </c>
      <c r="BD403" s="52"/>
      <c r="BE403" s="7"/>
      <c r="BF403" s="7" t="str">
        <f ca="1">IF(TODAY()-Table43[[#This Row],[Efektif
Pembuatan]]&gt;60,"Lama","Baru")</f>
        <v>Lama</v>
      </c>
      <c r="BG403" s="7" t="str">
        <f ca="1">IF(TODAY()-Table43[[#This Row],[Efektif Naik Harga]]&lt;30,"Naik","Sama")</f>
        <v>Sama</v>
      </c>
      <c r="BH403" s="7"/>
      <c r="BI403" s="7" t="str">
        <f>IF(Table43[[#This Row],[Kode BARANG Win2]]&lt;&gt;"","IDR","")</f>
        <v>IDR</v>
      </c>
      <c r="BJ403" s="7" t="str">
        <f>CONCATENATE(Table43[[#This Row],[kode  1 Digit
(Nomor)]],Table43[[#This Row],[kode  4 Digit                (Nomor)]])</f>
        <v>0350</v>
      </c>
      <c r="BK403" s="7" t="str">
        <f>Table43[[#This Row],[Nama            Gramasi atau Jumlah Pack per CTN]]</f>
        <v>350ML</v>
      </c>
      <c r="BL403" s="7"/>
      <c r="BM403" s="7"/>
      <c r="BN403" s="4" t="str">
        <f>IF(Table43[[#This Row],[SATUAN Fix Win]]&lt;&gt;"","KRT")</f>
        <v>KRT</v>
      </c>
      <c r="BO403" s="4" t="str">
        <f>IF(Table43[[#This Row],[SATUAN Fix Win]]&lt;&gt;"","GD01")</f>
        <v>GD01</v>
      </c>
      <c r="BP403" s="4">
        <f>IF(Table43[[#This Row],[SATUAN Fix Win]]&lt;&gt;"",11611)</f>
        <v>11611</v>
      </c>
      <c r="BQ403" s="4">
        <f>IF(Table43[[#This Row],[SATUAN Fix Win]]&lt;&gt;"",11612)</f>
        <v>11612</v>
      </c>
      <c r="BS403" s="4">
        <f>IF(Table43[[#This Row],[SATUAN Fix Win]]&lt;&gt;"",1)</f>
        <v>1</v>
      </c>
      <c r="BU403" s="4">
        <f>Table43[[#This Row],[ISI/CTN]]</f>
        <v>12</v>
      </c>
    </row>
    <row r="404" spans="1:73">
      <c r="A404" s="4" t="str">
        <f>CONCATENATE(Table43[[#This Row],[Kode BARANG Win2]],Table43[[#This Row],[No. Urut
Item Sama]])</f>
        <v>G1261002017510</v>
      </c>
      <c r="B404" s="7"/>
      <c r="C404" s="31">
        <v>30490030200000</v>
      </c>
      <c r="D404" s="51">
        <v>40057477</v>
      </c>
      <c r="E404" s="27" t="s">
        <v>2098</v>
      </c>
      <c r="F404" s="51">
        <v>30490140200000</v>
      </c>
      <c r="G404" s="51">
        <v>0</v>
      </c>
      <c r="H404" s="27" t="s">
        <v>1418</v>
      </c>
      <c r="I404" s="27">
        <v>12</v>
      </c>
      <c r="J404" s="51" t="s">
        <v>1780</v>
      </c>
      <c r="K404" s="27" t="str">
        <f>Table43[[#This Row],[NamaJenisKemasan]]</f>
        <v>KLG</v>
      </c>
      <c r="L404" s="4" t="str">
        <f>TRIM(CONCATENATE(Table43[[#This Row],[Nama            KLP]]," ",Table43[[#This Row],[Nama            Sub KLP]]))</f>
        <v>STELLA AEROSOL</v>
      </c>
      <c r="M404" s="4" t="str">
        <f>CONCATENATE(Table43[[#This Row],[kode  2 Digit                (hrf+No)]],Table43[[#This Row],[kode  2 Digit                (Nomor)]],Table43[[#This Row],[kode  1 Digit                (Nomor)]])</f>
        <v>G1261</v>
      </c>
      <c r="N404" s="4" t="str">
        <f>IF(AI404="",CONCATENATE(S404,U404,W404,Y404,AA404,AC404,AE404,AG404,Table43[[#This Row],[Tanda Kode Revisi]]),CONCATENATE(S404,U404,W404,Y404,AA404,AC404,AE404,AI404))</f>
        <v>G1261002017510</v>
      </c>
      <c r="O404" s="11">
        <f t="shared" si="10"/>
        <v>14</v>
      </c>
      <c r="P404" s="14" t="str">
        <f>IF(AH404&lt;&gt;"",TRIM(UPPER(CONCATENATE(R404," ",T404," ",V404," ",X404," ",Z404," ",AB404," ","X"," ",Table43[[#This Row],[ISI/CTN]]," ",AH404," ",AD404," ",AF404," ",AJ404))),TRIM(UPPER(CONCATENATE(R404," ",T404," ",V404," ",X404," ",Z404," ",AB404," ","X"," ",Table43[[#This Row],[ISI/CTN]]," ",AD404," ",AF404," ",AJ404))))</f>
        <v>STELLA AEROSOL BLOOMING JASMINE 175ML X 12 KLG</v>
      </c>
      <c r="Q404" s="11">
        <f t="shared" si="11"/>
        <v>46</v>
      </c>
      <c r="S404" s="7" t="s">
        <v>34</v>
      </c>
      <c r="T404" s="4" t="s">
        <v>2421</v>
      </c>
      <c r="U404" s="47" t="s">
        <v>2584</v>
      </c>
      <c r="V404" s="48" t="s">
        <v>2243</v>
      </c>
      <c r="W404" s="7">
        <v>1</v>
      </c>
      <c r="X404" s="48"/>
      <c r="Y404" s="47" t="s">
        <v>1116</v>
      </c>
      <c r="Z404" s="4" t="s">
        <v>2424</v>
      </c>
      <c r="AA404" s="49" t="s">
        <v>2459</v>
      </c>
      <c r="AB404" s="4" t="s">
        <v>2214</v>
      </c>
      <c r="AC404" s="49" t="s">
        <v>2600</v>
      </c>
      <c r="AD404" s="4" t="s">
        <v>2221</v>
      </c>
      <c r="AE404" s="7">
        <v>1</v>
      </c>
      <c r="AG404" s="7">
        <v>0</v>
      </c>
      <c r="AK404" s="70">
        <f>Table43[[#This Row],[Column4]]</f>
        <v>30490140200000</v>
      </c>
      <c r="AN404" s="7">
        <f>Table43[[#This Row],[ISI/CTN]]</f>
        <v>12</v>
      </c>
      <c r="AO404" s="38">
        <f>Table43[[#This Row],[Harga Jual Pcs GT
(-PPN)]]-(Table43[[#This Row],[Harga Jual Pcs GT
(-PPN)]]*6.5%)</f>
        <v>14025</v>
      </c>
      <c r="AP404" s="38">
        <f>Table43[[#This Row],[Harga Beli Pcs
(-PPN)]]*Table43[[#This Row],[ISI/CTN]]</f>
        <v>168300</v>
      </c>
      <c r="AQ404" s="38">
        <f>Table43[[#This Row],[Harga Beli Pcs
(-PPN)]]*1.11</f>
        <v>15567.750000000002</v>
      </c>
      <c r="AR404" s="38">
        <f>Table43[[#This Row],[Harga Beli Krt
(- PPN)]]*1.11</f>
        <v>186813.00000000003</v>
      </c>
      <c r="AS404" s="38">
        <v>15000</v>
      </c>
      <c r="AT404" s="38">
        <f>Table43[[#This Row],[Harga Jual Pcs GT
(-PPN)]]*Table43[[#This Row],[ISI/CTN]]</f>
        <v>180000</v>
      </c>
      <c r="AU404" s="38">
        <f>Table43[[#This Row],[Harga Jual Pcs GT
(-PPN)]]*1.11</f>
        <v>16650</v>
      </c>
      <c r="AV404" s="38">
        <f>Table43[[#This Row],[Harga Jual Krt GT
(- PPN)]]*1.11</f>
        <v>199800.00000000003</v>
      </c>
      <c r="AW404" s="38">
        <f>IFERROR(VLOOKUP(Table43[[#This Row],[Kode Pcpl]],'[1]FEB 2026'!$A$3:$X$312,24,0),0)</f>
        <v>0</v>
      </c>
      <c r="AX404" s="38">
        <f>Table43[[#This Row],[Harga Jual Pcs MT
(-PPN)]]*Table43[[#This Row],[ISI/CTN]]</f>
        <v>0</v>
      </c>
      <c r="AY404" s="38">
        <f>Table43[[#This Row],[Harga Jual Pcs MT
(-PPN)]]*1.11</f>
        <v>0</v>
      </c>
      <c r="AZ404" s="38">
        <f>Table43[[#This Row],[Harga Jual Pcs MT
(+PPN)]]*Table43[[#This Row],[ISI/CTN]]</f>
        <v>0</v>
      </c>
      <c r="BA404" s="46">
        <f>(Table43[[#This Row],[Harga Jual Pcs GT
(-PPN)]]-Table43[[#This Row],[Harga Beli Pcs
(-PPN)]])/Table43[[#This Row],[Harga Jual Pcs GT
(-PPN)]]</f>
        <v>6.5000000000000002E-2</v>
      </c>
      <c r="BB404" s="53">
        <f>Table43[[#This Row],[Harga Jual Pcs MT
(-PPN)]]-Table43[[#This Row],[Harga Beli Pcs
(-PPN)]]</f>
        <v>-14025</v>
      </c>
      <c r="BC404" s="54" t="e">
        <f>Table43[[#This Row],[Column1]]/Table43[[#This Row],[Harga Jual Pcs MT
(-PPN)]]</f>
        <v>#DIV/0!</v>
      </c>
      <c r="BD404" s="52"/>
      <c r="BE404" s="7"/>
      <c r="BF404" s="7" t="str">
        <f ca="1">IF(TODAY()-Table43[[#This Row],[Efektif
Pembuatan]]&gt;60,"Lama","Baru")</f>
        <v>Lama</v>
      </c>
      <c r="BG404" s="7" t="str">
        <f ca="1">IF(TODAY()-Table43[[#This Row],[Efektif Naik Harga]]&lt;30,"Naik","Sama")</f>
        <v>Sama</v>
      </c>
      <c r="BH404" s="7"/>
      <c r="BI404" s="7" t="str">
        <f>IF(Table43[[#This Row],[Kode BARANG Win2]]&lt;&gt;"","IDR","")</f>
        <v>IDR</v>
      </c>
      <c r="BJ404" s="7" t="str">
        <f>CONCATENATE(Table43[[#This Row],[kode  1 Digit
(Nomor)]],Table43[[#This Row],[kode  4 Digit                (Nomor)]])</f>
        <v>0175</v>
      </c>
      <c r="BK404" s="7" t="str">
        <f>Table43[[#This Row],[Nama            Gramasi atau Jumlah Pack per CTN]]</f>
        <v>175ML</v>
      </c>
      <c r="BL404" s="7"/>
      <c r="BM404" s="7"/>
      <c r="BN404" s="4" t="str">
        <f>IF(Table43[[#This Row],[SATUAN Fix Win]]&lt;&gt;"","KRT")</f>
        <v>KRT</v>
      </c>
      <c r="BO404" s="4" t="str">
        <f>IF(Table43[[#This Row],[SATUAN Fix Win]]&lt;&gt;"","GD01")</f>
        <v>GD01</v>
      </c>
      <c r="BP404" s="4">
        <f>IF(Table43[[#This Row],[SATUAN Fix Win]]&lt;&gt;"",11611)</f>
        <v>11611</v>
      </c>
      <c r="BQ404" s="4">
        <f>IF(Table43[[#This Row],[SATUAN Fix Win]]&lt;&gt;"",11612)</f>
        <v>11612</v>
      </c>
      <c r="BS404" s="4">
        <f>IF(Table43[[#This Row],[SATUAN Fix Win]]&lt;&gt;"",1)</f>
        <v>1</v>
      </c>
      <c r="BU404" s="4">
        <f>Table43[[#This Row],[ISI/CTN]]</f>
        <v>12</v>
      </c>
    </row>
    <row r="405" spans="1:73">
      <c r="A405" s="4" t="str">
        <f>CONCATENATE(Table43[[#This Row],[Kode BARANG Win2]],Table43[[#This Row],[No. Urut
Item Sama]])</f>
        <v>G1261002017510</v>
      </c>
      <c r="B405" s="7"/>
      <c r="C405" s="31"/>
      <c r="D405" s="51">
        <v>40049965</v>
      </c>
      <c r="E405" s="27"/>
      <c r="F405" s="51"/>
      <c r="G405" s="51"/>
      <c r="H405" s="27"/>
      <c r="I405" s="27">
        <v>12</v>
      </c>
      <c r="J405" s="51" t="s">
        <v>1780</v>
      </c>
      <c r="K405" s="27" t="str">
        <f>Table43[[#This Row],[NamaJenisKemasan]]</f>
        <v>KLG</v>
      </c>
      <c r="L405" s="4" t="str">
        <f>TRIM(CONCATENATE(Table43[[#This Row],[Nama            KLP]]," ",Table43[[#This Row],[Nama            Sub KLP]]))</f>
        <v>STELLA AEROSOL</v>
      </c>
      <c r="M405" s="4" t="str">
        <f>CONCATENATE(Table43[[#This Row],[kode  2 Digit                (hrf+No)]],Table43[[#This Row],[kode  2 Digit                (Nomor)]],Table43[[#This Row],[kode  1 Digit                (Nomor)]])</f>
        <v>G1261</v>
      </c>
      <c r="N405" s="4" t="str">
        <f>IF(AI405="",CONCATENATE(S405,U405,W405,Y405,AA405,AC405,AE405,AG405,Table43[[#This Row],[Tanda Kode Revisi]]),CONCATENATE(S405,U405,W405,Y405,AA405,AC405,AE405,AI405))</f>
        <v>G1261002017510</v>
      </c>
      <c r="O405" s="11">
        <f>LEN(N405)</f>
        <v>14</v>
      </c>
      <c r="P405" s="14" t="str">
        <f>IF(AH405&lt;&gt;"",TRIM(UPPER(CONCATENATE(R405," ",T405," ",V405," ",X405," ",Z405," ",AB405," ","X"," ",Table43[[#This Row],[ISI/CTN]]," ",AH405," ",AD405," ",AF405," ",AJ405))),TRIM(UPPER(CONCATENATE(R405," ",T405," ",V405," ",X405," ",Z405," ",AB405," ","X"," ",Table43[[#This Row],[ISI/CTN]]," ",AD405," ",AF405," ",AJ405))))</f>
        <v>STELLA AEROSOL BLOOMING JASMINE 175ML X 12 KLG</v>
      </c>
      <c r="Q405" s="11">
        <f>LEN(P405)</f>
        <v>46</v>
      </c>
      <c r="S405" s="7" t="s">
        <v>34</v>
      </c>
      <c r="T405" s="4" t="s">
        <v>2421</v>
      </c>
      <c r="U405" s="47" t="s">
        <v>2584</v>
      </c>
      <c r="V405" s="48" t="s">
        <v>2243</v>
      </c>
      <c r="W405" s="7">
        <v>1</v>
      </c>
      <c r="X405" s="48"/>
      <c r="Y405" s="47" t="s">
        <v>1116</v>
      </c>
      <c r="Z405" s="4" t="s">
        <v>2424</v>
      </c>
      <c r="AA405" s="49" t="s">
        <v>2459</v>
      </c>
      <c r="AB405" s="4" t="s">
        <v>2214</v>
      </c>
      <c r="AC405" s="49" t="s">
        <v>2600</v>
      </c>
      <c r="AD405" s="4" t="s">
        <v>2221</v>
      </c>
      <c r="AE405" s="7">
        <v>1</v>
      </c>
      <c r="AG405" s="7">
        <v>0</v>
      </c>
      <c r="AK405" s="70">
        <f>Table43[[#This Row],[Column4]]</f>
        <v>0</v>
      </c>
      <c r="AN405" s="7">
        <f>Table43[[#This Row],[ISI/CTN]]</f>
        <v>12</v>
      </c>
      <c r="AO405" s="38">
        <f>Table43[[#This Row],[Harga Jual Pcs GT
(-PPN)]]-(Table43[[#This Row],[Harga Jual Pcs GT
(-PPN)]]*6.5%)</f>
        <v>0</v>
      </c>
      <c r="AP405" s="38">
        <f>Table43[[#This Row],[Harga Beli Pcs
(-PPN)]]*Table43[[#This Row],[ISI/CTN]]</f>
        <v>0</v>
      </c>
      <c r="AQ405" s="38">
        <f>Table43[[#This Row],[Harga Beli Pcs
(-PPN)]]*1.11</f>
        <v>0</v>
      </c>
      <c r="AR405" s="38">
        <f>Table43[[#This Row],[Harga Beli Krt
(- PPN)]]*1.11</f>
        <v>0</v>
      </c>
      <c r="AS405" s="38"/>
      <c r="AT405" s="38">
        <f>Table43[[#This Row],[Harga Jual Pcs GT
(-PPN)]]*Table43[[#This Row],[ISI/CTN]]</f>
        <v>0</v>
      </c>
      <c r="AU405" s="38">
        <f>Table43[[#This Row],[Harga Jual Pcs GT
(-PPN)]]*1.11</f>
        <v>0</v>
      </c>
      <c r="AV405" s="38">
        <f>Table43[[#This Row],[Harga Jual Krt GT
(- PPN)]]*1.11</f>
        <v>0</v>
      </c>
      <c r="AW405" s="38">
        <f>IFERROR(VLOOKUP(Table43[[#This Row],[Kode Pcpl]],'[1]FEB 2026'!$A$3:$X$312,24,0),0)</f>
        <v>0</v>
      </c>
      <c r="AX405" s="38">
        <f>Table43[[#This Row],[Harga Jual Pcs MT
(-PPN)]]*Table43[[#This Row],[ISI/CTN]]</f>
        <v>0</v>
      </c>
      <c r="AY405" s="38">
        <f>Table43[[#This Row],[Harga Jual Pcs MT
(-PPN)]]*1.11</f>
        <v>0</v>
      </c>
      <c r="AZ405" s="38">
        <f>Table43[[#This Row],[Harga Jual Pcs MT
(+PPN)]]*Table43[[#This Row],[ISI/CTN]]</f>
        <v>0</v>
      </c>
      <c r="BA405" s="46" t="e">
        <f>(Table43[[#This Row],[Harga Jual Pcs GT
(-PPN)]]-Table43[[#This Row],[Harga Beli Pcs
(-PPN)]])/Table43[[#This Row],[Harga Jual Pcs GT
(-PPN)]]</f>
        <v>#DIV/0!</v>
      </c>
      <c r="BB405" s="53">
        <f>Table43[[#This Row],[Harga Jual Pcs MT
(-PPN)]]-Table43[[#This Row],[Harga Beli Pcs
(-PPN)]]</f>
        <v>0</v>
      </c>
      <c r="BC405" s="54" t="e">
        <f>Table43[[#This Row],[Column1]]/Table43[[#This Row],[Harga Jual Pcs MT
(-PPN)]]</f>
        <v>#DIV/0!</v>
      </c>
      <c r="BD405" s="52"/>
      <c r="BE405" s="7"/>
      <c r="BF405" s="7" t="str">
        <f ca="1">IF(TODAY()-Table43[[#This Row],[Efektif
Pembuatan]]&gt;60,"Lama","Baru")</f>
        <v>Lama</v>
      </c>
      <c r="BG405" s="7" t="str">
        <f ca="1">IF(TODAY()-Table43[[#This Row],[Efektif Naik Harga]]&lt;30,"Naik","Sama")</f>
        <v>Sama</v>
      </c>
      <c r="BH405" s="7"/>
      <c r="BI405" s="7" t="str">
        <f>IF(Table43[[#This Row],[Kode BARANG Win2]]&lt;&gt;"","IDR","")</f>
        <v>IDR</v>
      </c>
      <c r="BJ405" s="7" t="str">
        <f>CONCATENATE(Table43[[#This Row],[kode  1 Digit
(Nomor)]],Table43[[#This Row],[kode  4 Digit                (Nomor)]])</f>
        <v>0175</v>
      </c>
      <c r="BK405" s="7" t="str">
        <f>Table43[[#This Row],[Nama            Gramasi atau Jumlah Pack per CTN]]</f>
        <v>175ML</v>
      </c>
      <c r="BL405" s="7"/>
      <c r="BM405" s="7"/>
      <c r="BN405" s="4" t="str">
        <f>IF(Table43[[#This Row],[SATUAN Fix Win]]&lt;&gt;"","KRT")</f>
        <v>KRT</v>
      </c>
      <c r="BO405" s="4" t="str">
        <f>IF(Table43[[#This Row],[SATUAN Fix Win]]&lt;&gt;"","GD01")</f>
        <v>GD01</v>
      </c>
      <c r="BP405" s="4">
        <f>IF(Table43[[#This Row],[SATUAN Fix Win]]&lt;&gt;"",11611)</f>
        <v>11611</v>
      </c>
      <c r="BQ405" s="4">
        <f>IF(Table43[[#This Row],[SATUAN Fix Win]]&lt;&gt;"",11612)</f>
        <v>11612</v>
      </c>
      <c r="BS405" s="4">
        <f>IF(Table43[[#This Row],[SATUAN Fix Win]]&lt;&gt;"",1)</f>
        <v>1</v>
      </c>
      <c r="BU405" s="4">
        <f>Table43[[#This Row],[ISI/CTN]]</f>
        <v>12</v>
      </c>
    </row>
    <row r="406" spans="1:73">
      <c r="A406" s="4" t="str">
        <f>CONCATENATE(Table43[[#This Row],[Kode BARANG Win2]],Table43[[#This Row],[No. Urut
Item Sama]])</f>
        <v>G1261002017510</v>
      </c>
      <c r="B406" s="7"/>
      <c r="C406" s="31">
        <v>30490020400010</v>
      </c>
      <c r="D406" s="51">
        <v>40059912</v>
      </c>
      <c r="E406" s="27" t="s">
        <v>2098</v>
      </c>
      <c r="F406" s="51">
        <v>30490140200000</v>
      </c>
      <c r="G406" s="51">
        <v>0</v>
      </c>
      <c r="H406" s="27" t="s">
        <v>1419</v>
      </c>
      <c r="I406" s="27">
        <v>12</v>
      </c>
      <c r="J406" s="51" t="s">
        <v>1780</v>
      </c>
      <c r="K406" s="27" t="str">
        <f>Table43[[#This Row],[NamaJenisKemasan]]</f>
        <v>KLG</v>
      </c>
      <c r="L406" s="4" t="str">
        <f>TRIM(CONCATENATE(Table43[[#This Row],[Nama            KLP]]," ",Table43[[#This Row],[Nama            Sub KLP]]))</f>
        <v>STELLA AEROSOL</v>
      </c>
      <c r="M406" s="4" t="str">
        <f>CONCATENATE(Table43[[#This Row],[kode  2 Digit                (hrf+No)]],Table43[[#This Row],[kode  2 Digit                (Nomor)]],Table43[[#This Row],[kode  1 Digit                (Nomor)]])</f>
        <v>G1261</v>
      </c>
      <c r="N406" s="4" t="str">
        <f>IF(AI406="",CONCATENATE(S406,U406,W406,Y406,AA406,AC406,AE406,AG406,Table43[[#This Row],[Tanda Kode Revisi]]),CONCATENATE(S406,U406,W406,Y406,AA406,AC406,AE406,AI406))</f>
        <v>G1261002017510</v>
      </c>
      <c r="O406" s="11">
        <f t="shared" si="10"/>
        <v>14</v>
      </c>
      <c r="P406" s="14" t="str">
        <f>IF(AH406&lt;&gt;"",TRIM(UPPER(CONCATENATE(R406," ",T406," ",V406," ",X406," ",Z406," ",AB406," ","X"," ",Table43[[#This Row],[ISI/CTN]]," ",AH406," ",AD406," ",AF406," ",AJ406))),TRIM(UPPER(CONCATENATE(R406," ",T406," ",V406," ",X406," ",Z406," ",AB406," ","X"," ",Table43[[#This Row],[ISI/CTN]]," ",AD406," ",AF406," ",AJ406))))</f>
        <v>STELLA AEROSOL BLOOMING JASMINE 175ML X 12 KLG</v>
      </c>
      <c r="Q406" s="11">
        <f t="shared" si="11"/>
        <v>46</v>
      </c>
      <c r="S406" s="7" t="s">
        <v>34</v>
      </c>
      <c r="T406" s="4" t="s">
        <v>2421</v>
      </c>
      <c r="U406" s="47" t="s">
        <v>2584</v>
      </c>
      <c r="V406" s="48" t="s">
        <v>2243</v>
      </c>
      <c r="W406" s="7">
        <v>1</v>
      </c>
      <c r="X406" s="48"/>
      <c r="Y406" s="47" t="s">
        <v>1116</v>
      </c>
      <c r="Z406" s="4" t="s">
        <v>2424</v>
      </c>
      <c r="AA406" s="49" t="s">
        <v>2459</v>
      </c>
      <c r="AB406" s="4" t="s">
        <v>2214</v>
      </c>
      <c r="AC406" s="49" t="s">
        <v>2600</v>
      </c>
      <c r="AD406" s="4" t="s">
        <v>2221</v>
      </c>
      <c r="AE406" s="7">
        <v>1</v>
      </c>
      <c r="AG406" s="7">
        <v>0</v>
      </c>
      <c r="AK406" s="70">
        <f>Table43[[#This Row],[Column4]]</f>
        <v>30490140200000</v>
      </c>
      <c r="AN406" s="7">
        <f>Table43[[#This Row],[ISI/CTN]]</f>
        <v>12</v>
      </c>
      <c r="AO406" s="61">
        <f>Table43[[#This Row],[Harga Jual Pcs GT
(-PPN)]]-(Table43[[#This Row],[Harga Jual Pcs GT
(-PPN)]]*6.5%)</f>
        <v>14025</v>
      </c>
      <c r="AP406" s="61">
        <f>Table43[[#This Row],[Harga Beli Pcs
(-PPN)]]*Table43[[#This Row],[ISI/CTN]]</f>
        <v>168300</v>
      </c>
      <c r="AQ406" s="61">
        <f>Table43[[#This Row],[Harga Beli Pcs
(-PPN)]]*1.11</f>
        <v>15567.750000000002</v>
      </c>
      <c r="AR406" s="61">
        <f>Table43[[#This Row],[Harga Beli Krt
(- PPN)]]*1.11</f>
        <v>186813.00000000003</v>
      </c>
      <c r="AS406" s="61">
        <v>15000</v>
      </c>
      <c r="AT406" s="61">
        <f>Table43[[#This Row],[Harga Jual Pcs GT
(-PPN)]]*Table43[[#This Row],[ISI/CTN]]</f>
        <v>180000</v>
      </c>
      <c r="AU406" s="61">
        <f>Table43[[#This Row],[Harga Jual Pcs GT
(-PPN)]]*1.11</f>
        <v>16650</v>
      </c>
      <c r="AV406" s="61">
        <f>Table43[[#This Row],[Harga Jual Krt GT
(- PPN)]]*1.11</f>
        <v>199800.00000000003</v>
      </c>
      <c r="AW406" s="61">
        <f>IFERROR(VLOOKUP(Table43[[#This Row],[Kode Pcpl]],'[1]FEB 2026'!$A$3:$X$312,24,0),0)</f>
        <v>0</v>
      </c>
      <c r="AX406" s="61">
        <f>Table43[[#This Row],[Harga Jual Pcs MT
(-PPN)]]*Table43[[#This Row],[ISI/CTN]]</f>
        <v>0</v>
      </c>
      <c r="AY406" s="61">
        <f>Table43[[#This Row],[Harga Jual Pcs MT
(-PPN)]]*1.11</f>
        <v>0</v>
      </c>
      <c r="AZ406" s="61">
        <f>Table43[[#This Row],[Harga Jual Pcs MT
(+PPN)]]*Table43[[#This Row],[ISI/CTN]]</f>
        <v>0</v>
      </c>
      <c r="BA406" s="62">
        <f>(Table43[[#This Row],[Harga Jual Pcs GT
(-PPN)]]-Table43[[#This Row],[Harga Beli Pcs
(-PPN)]])/Table43[[#This Row],[Harga Jual Pcs GT
(-PPN)]]</f>
        <v>6.5000000000000002E-2</v>
      </c>
      <c r="BB406" s="63">
        <f>Table43[[#This Row],[Harga Jual Pcs MT
(-PPN)]]-Table43[[#This Row],[Harga Beli Pcs
(-PPN)]]</f>
        <v>-14025</v>
      </c>
      <c r="BC406" s="64" t="e">
        <f>Table43[[#This Row],[Column1]]/Table43[[#This Row],[Harga Jual Pcs MT
(-PPN)]]</f>
        <v>#DIV/0!</v>
      </c>
      <c r="BD406" s="52"/>
      <c r="BE406" s="7"/>
      <c r="BF406" s="7" t="str">
        <f ca="1">IF(TODAY()-Table43[[#This Row],[Efektif
Pembuatan]]&gt;60,"Lama","Baru")</f>
        <v>Lama</v>
      </c>
      <c r="BG406" s="7" t="str">
        <f ca="1">IF(TODAY()-Table43[[#This Row],[Efektif Naik Harga]]&lt;30,"Naik","Sama")</f>
        <v>Sama</v>
      </c>
      <c r="BH406" s="7"/>
      <c r="BI406" s="7" t="str">
        <f>IF(Table43[[#This Row],[Kode BARANG Win2]]&lt;&gt;"","IDR","")</f>
        <v>IDR</v>
      </c>
      <c r="BJ406" s="7" t="str">
        <f>CONCATENATE(Table43[[#This Row],[kode  1 Digit
(Nomor)]],Table43[[#This Row],[kode  4 Digit                (Nomor)]])</f>
        <v>0175</v>
      </c>
      <c r="BK406" s="7" t="str">
        <f>Table43[[#This Row],[Nama            Gramasi atau Jumlah Pack per CTN]]</f>
        <v>175ML</v>
      </c>
      <c r="BL406" s="7"/>
      <c r="BM406" s="7"/>
      <c r="BN406" s="4" t="str">
        <f>IF(Table43[[#This Row],[SATUAN Fix Win]]&lt;&gt;"","KRT")</f>
        <v>KRT</v>
      </c>
      <c r="BO406" s="4" t="str">
        <f>IF(Table43[[#This Row],[SATUAN Fix Win]]&lt;&gt;"","GD01")</f>
        <v>GD01</v>
      </c>
      <c r="BP406" s="4">
        <f>IF(Table43[[#This Row],[SATUAN Fix Win]]&lt;&gt;"",11611)</f>
        <v>11611</v>
      </c>
      <c r="BQ406" s="4">
        <f>IF(Table43[[#This Row],[SATUAN Fix Win]]&lt;&gt;"",11612)</f>
        <v>11612</v>
      </c>
      <c r="BS406" s="4">
        <f>IF(Table43[[#This Row],[SATUAN Fix Win]]&lt;&gt;"",1)</f>
        <v>1</v>
      </c>
      <c r="BU406" s="4">
        <f>Table43[[#This Row],[ISI/CTN]]</f>
        <v>12</v>
      </c>
    </row>
    <row r="407" spans="1:73">
      <c r="A407" s="4" t="str">
        <f>CONCATENATE(Table43[[#This Row],[Kode BARANG Win2]],Table43[[#This Row],[No. Urut
Item Sama]])</f>
        <v>G1261002035010</v>
      </c>
      <c r="B407" s="7"/>
      <c r="C407" s="31">
        <v>30490030200000</v>
      </c>
      <c r="D407" s="51">
        <v>40059934</v>
      </c>
      <c r="E407" s="27" t="s">
        <v>2099</v>
      </c>
      <c r="F407" s="51">
        <v>30490140400000</v>
      </c>
      <c r="G407" s="51">
        <v>0</v>
      </c>
      <c r="H407" s="27" t="s">
        <v>1421</v>
      </c>
      <c r="I407" s="27">
        <v>12</v>
      </c>
      <c r="J407" s="51" t="s">
        <v>1781</v>
      </c>
      <c r="K407" s="27" t="str">
        <f>Table43[[#This Row],[NamaJenisKemasan]]</f>
        <v>KLG</v>
      </c>
      <c r="L407" s="4" t="str">
        <f>TRIM(CONCATENATE(Table43[[#This Row],[Nama            KLP]]," ",Table43[[#This Row],[Nama            Sub KLP]]))</f>
        <v>STELLA AEROSOL</v>
      </c>
      <c r="M407" s="4" t="str">
        <f>CONCATENATE(Table43[[#This Row],[kode  2 Digit                (hrf+No)]],Table43[[#This Row],[kode  2 Digit                (Nomor)]],Table43[[#This Row],[kode  1 Digit                (Nomor)]])</f>
        <v>G1261</v>
      </c>
      <c r="N407" s="4" t="str">
        <f>IF(AI407="",CONCATENATE(S407,U407,W407,Y407,AA407,AC407,AE407,AG407,Table43[[#This Row],[Tanda Kode Revisi]]),CONCATENATE(S407,U407,W407,Y407,AA407,AC407,AE407,AI407))</f>
        <v>G1261002035010</v>
      </c>
      <c r="O407" s="11">
        <f t="shared" si="10"/>
        <v>14</v>
      </c>
      <c r="P407" s="14" t="str">
        <f>IF(AH407&lt;&gt;"",TRIM(UPPER(CONCATENATE(R407," ",T407," ",V407," ",X407," ",Z407," ",AB407," ","X"," ",Table43[[#This Row],[ISI/CTN]]," ",AH407," ",AD407," ",AF407," ",AJ407))),TRIM(UPPER(CONCATENATE(R407," ",T407," ",V407," ",X407," ",Z407," ",AB407," ","X"," ",Table43[[#This Row],[ISI/CTN]]," ",AD407," ",AF407," ",AJ407))))</f>
        <v>STELLA AEROSOL BLOOMING JASMINE 350ML X 12 KLG</v>
      </c>
      <c r="Q407" s="11">
        <f t="shared" si="11"/>
        <v>46</v>
      </c>
      <c r="S407" s="7" t="s">
        <v>34</v>
      </c>
      <c r="T407" s="4" t="s">
        <v>2421</v>
      </c>
      <c r="U407" s="47" t="s">
        <v>2584</v>
      </c>
      <c r="V407" s="48" t="s">
        <v>2243</v>
      </c>
      <c r="W407" s="7">
        <v>1</v>
      </c>
      <c r="X407" s="48"/>
      <c r="Y407" s="47" t="s">
        <v>1116</v>
      </c>
      <c r="Z407" s="4" t="s">
        <v>2424</v>
      </c>
      <c r="AA407" s="49" t="s">
        <v>2459</v>
      </c>
      <c r="AB407" s="4" t="s">
        <v>2372</v>
      </c>
      <c r="AC407" s="49" t="s">
        <v>2619</v>
      </c>
      <c r="AD407" s="4" t="s">
        <v>2221</v>
      </c>
      <c r="AE407" s="7">
        <v>1</v>
      </c>
      <c r="AG407" s="7">
        <v>0</v>
      </c>
      <c r="AK407" s="70">
        <f>Table43[[#This Row],[Column4]]</f>
        <v>30490140400000</v>
      </c>
      <c r="AN407" s="7">
        <f>Table43[[#This Row],[ISI/CTN]]</f>
        <v>12</v>
      </c>
      <c r="AO407" s="38">
        <f>Table43[[#This Row],[Harga Jual Pcs GT
(-PPN)]]-(Table43[[#This Row],[Harga Jual Pcs GT
(-PPN)]]*6.5%)</f>
        <v>20383</v>
      </c>
      <c r="AP407" s="38">
        <f>Table43[[#This Row],[Harga Beli Pcs
(-PPN)]]*Table43[[#This Row],[ISI/CTN]]</f>
        <v>244596</v>
      </c>
      <c r="AQ407" s="38">
        <f>Table43[[#This Row],[Harga Beli Pcs
(-PPN)]]*1.11</f>
        <v>22625.13</v>
      </c>
      <c r="AR407" s="38">
        <f>Table43[[#This Row],[Harga Beli Krt
(- PPN)]]*1.11</f>
        <v>271501.56</v>
      </c>
      <c r="AS407" s="38">
        <v>21800</v>
      </c>
      <c r="AT407" s="38">
        <f>Table43[[#This Row],[Harga Jual Pcs GT
(-PPN)]]*Table43[[#This Row],[ISI/CTN]]</f>
        <v>261600</v>
      </c>
      <c r="AU407" s="38">
        <f>Table43[[#This Row],[Harga Jual Pcs GT
(-PPN)]]*1.11</f>
        <v>24198.000000000004</v>
      </c>
      <c r="AV407" s="38">
        <f>Table43[[#This Row],[Harga Jual Krt GT
(- PPN)]]*1.11</f>
        <v>290376</v>
      </c>
      <c r="AW407" s="38">
        <f>IFERROR(VLOOKUP(Table43[[#This Row],[Kode Pcpl]],'[1]FEB 2026'!$A$3:$X$312,24,0),0)</f>
        <v>0</v>
      </c>
      <c r="AX407" s="38">
        <f>Table43[[#This Row],[Harga Jual Pcs MT
(-PPN)]]*Table43[[#This Row],[ISI/CTN]]</f>
        <v>0</v>
      </c>
      <c r="AY407" s="38">
        <f>Table43[[#This Row],[Harga Jual Pcs MT
(-PPN)]]*1.11</f>
        <v>0</v>
      </c>
      <c r="AZ407" s="38">
        <f>Table43[[#This Row],[Harga Jual Pcs MT
(+PPN)]]*Table43[[#This Row],[ISI/CTN]]</f>
        <v>0</v>
      </c>
      <c r="BA407" s="46">
        <f>(Table43[[#This Row],[Harga Jual Pcs GT
(-PPN)]]-Table43[[#This Row],[Harga Beli Pcs
(-PPN)]])/Table43[[#This Row],[Harga Jual Pcs GT
(-PPN)]]</f>
        <v>6.5000000000000002E-2</v>
      </c>
      <c r="BB407" s="53">
        <f>Table43[[#This Row],[Harga Jual Pcs MT
(-PPN)]]-Table43[[#This Row],[Harga Beli Pcs
(-PPN)]]</f>
        <v>-20383</v>
      </c>
      <c r="BC407" s="54" t="e">
        <f>Table43[[#This Row],[Column1]]/Table43[[#This Row],[Harga Jual Pcs MT
(-PPN)]]</f>
        <v>#DIV/0!</v>
      </c>
      <c r="BD407" s="52"/>
      <c r="BE407" s="7"/>
      <c r="BF407" s="7" t="str">
        <f ca="1">IF(TODAY()-Table43[[#This Row],[Efektif
Pembuatan]]&gt;60,"Lama","Baru")</f>
        <v>Lama</v>
      </c>
      <c r="BG407" s="7" t="str">
        <f ca="1">IF(TODAY()-Table43[[#This Row],[Efektif Naik Harga]]&lt;30,"Naik","Sama")</f>
        <v>Sama</v>
      </c>
      <c r="BH407" s="7"/>
      <c r="BI407" s="7" t="str">
        <f>IF(Table43[[#This Row],[Kode BARANG Win2]]&lt;&gt;"","IDR","")</f>
        <v>IDR</v>
      </c>
      <c r="BJ407" s="7" t="str">
        <f>CONCATENATE(Table43[[#This Row],[kode  1 Digit
(Nomor)]],Table43[[#This Row],[kode  4 Digit                (Nomor)]])</f>
        <v>0350</v>
      </c>
      <c r="BK407" s="7" t="str">
        <f>Table43[[#This Row],[Nama            Gramasi atau Jumlah Pack per CTN]]</f>
        <v>350ML</v>
      </c>
      <c r="BL407" s="7"/>
      <c r="BM407" s="7"/>
      <c r="BN407" s="4" t="str">
        <f>IF(Table43[[#This Row],[SATUAN Fix Win]]&lt;&gt;"","KRT")</f>
        <v>KRT</v>
      </c>
      <c r="BO407" s="4" t="str">
        <f>IF(Table43[[#This Row],[SATUAN Fix Win]]&lt;&gt;"","GD01")</f>
        <v>GD01</v>
      </c>
      <c r="BP407" s="4">
        <f>IF(Table43[[#This Row],[SATUAN Fix Win]]&lt;&gt;"",11611)</f>
        <v>11611</v>
      </c>
      <c r="BQ407" s="4">
        <f>IF(Table43[[#This Row],[SATUAN Fix Win]]&lt;&gt;"",11612)</f>
        <v>11612</v>
      </c>
      <c r="BS407" s="4">
        <f>IF(Table43[[#This Row],[SATUAN Fix Win]]&lt;&gt;"",1)</f>
        <v>1</v>
      </c>
      <c r="BU407" s="4">
        <f>Table43[[#This Row],[ISI/CTN]]</f>
        <v>12</v>
      </c>
    </row>
    <row r="408" spans="1:73">
      <c r="A408" s="4" t="str">
        <f>CONCATENATE(Table43[[#This Row],[Kode BARANG Win2]],Table43[[#This Row],[No. Urut
Item Sama]])</f>
        <v>G1261002035010</v>
      </c>
      <c r="B408" s="7"/>
      <c r="C408" s="31">
        <v>30490030350000</v>
      </c>
      <c r="D408" s="59">
        <v>40057472</v>
      </c>
      <c r="E408" s="60" t="s">
        <v>2099</v>
      </c>
      <c r="F408" s="59">
        <v>30490140400000</v>
      </c>
      <c r="G408" s="59">
        <v>0</v>
      </c>
      <c r="H408" s="60" t="s">
        <v>1420</v>
      </c>
      <c r="I408" s="60">
        <v>12</v>
      </c>
      <c r="J408" s="59" t="s">
        <v>1781</v>
      </c>
      <c r="K408" s="60" t="str">
        <f>Table43[[#This Row],[NamaJenisKemasan]]</f>
        <v>KLG</v>
      </c>
      <c r="L408" s="4" t="str">
        <f>TRIM(CONCATENATE(Table43[[#This Row],[Nama            KLP]]," ",Table43[[#This Row],[Nama            Sub KLP]]))</f>
        <v>STELLA AEROSOL</v>
      </c>
      <c r="M408" s="4" t="str">
        <f>CONCATENATE(Table43[[#This Row],[kode  2 Digit                (hrf+No)]],Table43[[#This Row],[kode  2 Digit                (Nomor)]],Table43[[#This Row],[kode  1 Digit                (Nomor)]])</f>
        <v>G1261</v>
      </c>
      <c r="N408" s="4" t="str">
        <f>IF(AI408="",CONCATENATE(S408,U408,W408,Y408,AA408,AC408,AE408,AG408,Table43[[#This Row],[Tanda Kode Revisi]]),CONCATENATE(S408,U408,W408,Y408,AA408,AC408,AE408,AI408))</f>
        <v>G1261002035010</v>
      </c>
      <c r="O408" s="11">
        <f t="shared" si="10"/>
        <v>14</v>
      </c>
      <c r="P408" s="14" t="str">
        <f>IF(AH408&lt;&gt;"",TRIM(UPPER(CONCATENATE(R408," ",T408," ",V408," ",X408," ",Z408," ",AB408," ","X"," ",Table43[[#This Row],[ISI/CTN]]," ",AH408," ",AD408," ",AF408," ",AJ408))),TRIM(UPPER(CONCATENATE(R408," ",T408," ",V408," ",X408," ",Z408," ",AB408," ","X"," ",Table43[[#This Row],[ISI/CTN]]," ",AD408," ",AF408," ",AJ408))))</f>
        <v>STELLA AEROSOL BLOOMING JASMINE 350ML X 12 KLG</v>
      </c>
      <c r="Q408" s="11">
        <f t="shared" si="11"/>
        <v>46</v>
      </c>
      <c r="S408" s="7" t="s">
        <v>34</v>
      </c>
      <c r="T408" s="4" t="s">
        <v>2421</v>
      </c>
      <c r="U408" s="47" t="s">
        <v>2584</v>
      </c>
      <c r="V408" s="48" t="s">
        <v>2243</v>
      </c>
      <c r="W408" s="7">
        <v>1</v>
      </c>
      <c r="X408" s="48"/>
      <c r="Y408" s="47" t="s">
        <v>1116</v>
      </c>
      <c r="Z408" s="4" t="s">
        <v>2424</v>
      </c>
      <c r="AA408" s="49" t="s">
        <v>2459</v>
      </c>
      <c r="AB408" s="4" t="s">
        <v>2372</v>
      </c>
      <c r="AC408" s="49" t="s">
        <v>2619</v>
      </c>
      <c r="AD408" s="4" t="s">
        <v>2221</v>
      </c>
      <c r="AE408" s="7">
        <v>1</v>
      </c>
      <c r="AG408" s="7">
        <v>0</v>
      </c>
      <c r="AK408" s="70">
        <f>Table43[[#This Row],[Column4]]</f>
        <v>30490140400000</v>
      </c>
      <c r="AN408" s="7">
        <f>Table43[[#This Row],[ISI/CTN]]</f>
        <v>12</v>
      </c>
      <c r="AO408" s="38">
        <f>Table43[[#This Row],[Harga Jual Pcs GT
(-PPN)]]-(Table43[[#This Row],[Harga Jual Pcs GT
(-PPN)]]*6.5%)</f>
        <v>20383</v>
      </c>
      <c r="AP408" s="38">
        <f>Table43[[#This Row],[Harga Beli Pcs
(-PPN)]]*Table43[[#This Row],[ISI/CTN]]</f>
        <v>244596</v>
      </c>
      <c r="AQ408" s="38">
        <f>Table43[[#This Row],[Harga Beli Pcs
(-PPN)]]*1.11</f>
        <v>22625.13</v>
      </c>
      <c r="AR408" s="38">
        <f>Table43[[#This Row],[Harga Beli Krt
(- PPN)]]*1.11</f>
        <v>271501.56</v>
      </c>
      <c r="AS408" s="38">
        <v>21800</v>
      </c>
      <c r="AT408" s="38">
        <f>Table43[[#This Row],[Harga Jual Pcs GT
(-PPN)]]*Table43[[#This Row],[ISI/CTN]]</f>
        <v>261600</v>
      </c>
      <c r="AU408" s="38">
        <f>Table43[[#This Row],[Harga Jual Pcs GT
(-PPN)]]*1.11</f>
        <v>24198.000000000004</v>
      </c>
      <c r="AV408" s="38">
        <f>Table43[[#This Row],[Harga Jual Krt GT
(- PPN)]]*1.11</f>
        <v>290376</v>
      </c>
      <c r="AW408" s="38">
        <f>IFERROR(VLOOKUP(Table43[[#This Row],[Kode Pcpl]],'[1]FEB 2026'!$A$3:$X$312,24,0),0)</f>
        <v>0</v>
      </c>
      <c r="AX408" s="38">
        <f>Table43[[#This Row],[Harga Jual Pcs MT
(-PPN)]]*Table43[[#This Row],[ISI/CTN]]</f>
        <v>0</v>
      </c>
      <c r="AY408" s="38">
        <f>Table43[[#This Row],[Harga Jual Pcs MT
(-PPN)]]*1.11</f>
        <v>0</v>
      </c>
      <c r="AZ408" s="38">
        <f>Table43[[#This Row],[Harga Jual Pcs MT
(+PPN)]]*Table43[[#This Row],[ISI/CTN]]</f>
        <v>0</v>
      </c>
      <c r="BA408" s="46">
        <f>(Table43[[#This Row],[Harga Jual Pcs GT
(-PPN)]]-Table43[[#This Row],[Harga Beli Pcs
(-PPN)]])/Table43[[#This Row],[Harga Jual Pcs GT
(-PPN)]]</f>
        <v>6.5000000000000002E-2</v>
      </c>
      <c r="BB408" s="53">
        <f>Table43[[#This Row],[Harga Jual Pcs MT
(-PPN)]]-Table43[[#This Row],[Harga Beli Pcs
(-PPN)]]</f>
        <v>-20383</v>
      </c>
      <c r="BC408" s="54" t="e">
        <f>Table43[[#This Row],[Column1]]/Table43[[#This Row],[Harga Jual Pcs MT
(-PPN)]]</f>
        <v>#DIV/0!</v>
      </c>
      <c r="BD408" s="52"/>
      <c r="BE408" s="7"/>
      <c r="BF408" s="7" t="str">
        <f ca="1">IF(TODAY()-Table43[[#This Row],[Efektif
Pembuatan]]&gt;60,"Lama","Baru")</f>
        <v>Lama</v>
      </c>
      <c r="BG408" s="7" t="str">
        <f ca="1">IF(TODAY()-Table43[[#This Row],[Efektif Naik Harga]]&lt;30,"Naik","Sama")</f>
        <v>Sama</v>
      </c>
      <c r="BH408" s="7"/>
      <c r="BI408" s="7" t="str">
        <f>IF(Table43[[#This Row],[Kode BARANG Win2]]&lt;&gt;"","IDR","")</f>
        <v>IDR</v>
      </c>
      <c r="BJ408" s="7" t="str">
        <f>CONCATENATE(Table43[[#This Row],[kode  1 Digit
(Nomor)]],Table43[[#This Row],[kode  4 Digit                (Nomor)]])</f>
        <v>0350</v>
      </c>
      <c r="BK408" s="7" t="str">
        <f>Table43[[#This Row],[Nama            Gramasi atau Jumlah Pack per CTN]]</f>
        <v>350ML</v>
      </c>
      <c r="BL408" s="7"/>
      <c r="BM408" s="7"/>
      <c r="BN408" s="4" t="str">
        <f>IF(Table43[[#This Row],[SATUAN Fix Win]]&lt;&gt;"","KRT")</f>
        <v>KRT</v>
      </c>
      <c r="BO408" s="4" t="str">
        <f>IF(Table43[[#This Row],[SATUAN Fix Win]]&lt;&gt;"","GD01")</f>
        <v>GD01</v>
      </c>
      <c r="BP408" s="4">
        <f>IF(Table43[[#This Row],[SATUAN Fix Win]]&lt;&gt;"",11611)</f>
        <v>11611</v>
      </c>
      <c r="BQ408" s="4">
        <f>IF(Table43[[#This Row],[SATUAN Fix Win]]&lt;&gt;"",11612)</f>
        <v>11612</v>
      </c>
      <c r="BS408" s="4">
        <f>IF(Table43[[#This Row],[SATUAN Fix Win]]&lt;&gt;"",1)</f>
        <v>1</v>
      </c>
      <c r="BU408" s="4">
        <f>Table43[[#This Row],[ISI/CTN]]</f>
        <v>12</v>
      </c>
    </row>
    <row r="409" spans="1:73">
      <c r="A409" s="4" t="str">
        <f>CONCATENATE(Table43[[#This Row],[Kode BARANG Win2]],Table43[[#This Row],[No. Urut
Item Sama]])</f>
        <v>G1261002035010</v>
      </c>
      <c r="B409" s="7"/>
      <c r="C409" s="31"/>
      <c r="D409" s="51">
        <v>40049966</v>
      </c>
      <c r="E409" s="27"/>
      <c r="F409" s="51"/>
      <c r="G409" s="51"/>
      <c r="H409" s="27"/>
      <c r="I409" s="27">
        <v>12</v>
      </c>
      <c r="J409" s="59" t="s">
        <v>1781</v>
      </c>
      <c r="K409" s="27" t="str">
        <f>Table43[[#This Row],[NamaJenisKemasan]]</f>
        <v>KLG</v>
      </c>
      <c r="L409" s="4" t="str">
        <f>TRIM(CONCATENATE(Table43[[#This Row],[Nama            KLP]]," ",Table43[[#This Row],[Nama            Sub KLP]]))</f>
        <v>STELLA AEROSOL</v>
      </c>
      <c r="M409" s="4" t="str">
        <f>CONCATENATE(Table43[[#This Row],[kode  2 Digit                (hrf+No)]],Table43[[#This Row],[kode  2 Digit                (Nomor)]],Table43[[#This Row],[kode  1 Digit                (Nomor)]])</f>
        <v>G1261</v>
      </c>
      <c r="N409" s="4" t="str">
        <f>IF(AI409="",CONCATENATE(S409,U409,W409,Y409,AA409,AC409,AE409,AG409,Table43[[#This Row],[Tanda Kode Revisi]]),CONCATENATE(S409,U409,W409,Y409,AA409,AC409,AE409,AI409))</f>
        <v>G1261002035010</v>
      </c>
      <c r="O409" s="11">
        <f>LEN(N409)</f>
        <v>14</v>
      </c>
      <c r="P409" s="14" t="str">
        <f>IF(AH409&lt;&gt;"",TRIM(UPPER(CONCATENATE(R409," ",T409," ",V409," ",X409," ",Z409," ",AB409," ","X"," ",Table43[[#This Row],[ISI/CTN]]," ",AH409," ",AD409," ",AF409," ",AJ409))),TRIM(UPPER(CONCATENATE(R409," ",T409," ",V409," ",X409," ",Z409," ",AB409," ","X"," ",Table43[[#This Row],[ISI/CTN]]," ",AD409," ",AF409," ",AJ409))))</f>
        <v>STELLA AEROSOL BLOOMING JASMINE 350ML X 12 KLG</v>
      </c>
      <c r="Q409" s="11">
        <f>LEN(P409)</f>
        <v>46</v>
      </c>
      <c r="S409" s="7" t="s">
        <v>34</v>
      </c>
      <c r="T409" s="4" t="s">
        <v>2421</v>
      </c>
      <c r="U409" s="47" t="s">
        <v>2584</v>
      </c>
      <c r="V409" s="48" t="s">
        <v>2243</v>
      </c>
      <c r="W409" s="7">
        <v>1</v>
      </c>
      <c r="X409" s="48"/>
      <c r="Y409" s="47" t="s">
        <v>1116</v>
      </c>
      <c r="Z409" s="4" t="s">
        <v>2424</v>
      </c>
      <c r="AA409" s="49" t="s">
        <v>2459</v>
      </c>
      <c r="AB409" s="4" t="s">
        <v>2372</v>
      </c>
      <c r="AC409" s="49" t="s">
        <v>2619</v>
      </c>
      <c r="AD409" s="4" t="s">
        <v>2221</v>
      </c>
      <c r="AE409" s="7">
        <v>1</v>
      </c>
      <c r="AG409" s="7">
        <v>0</v>
      </c>
      <c r="AK409" s="70">
        <f>Table43[[#This Row],[Column4]]</f>
        <v>0</v>
      </c>
      <c r="AN409" s="7">
        <f>Table43[[#This Row],[ISI/CTN]]</f>
        <v>12</v>
      </c>
      <c r="AO409" s="38">
        <f>Table43[[#This Row],[Harga Jual Pcs GT
(-PPN)]]-(Table43[[#This Row],[Harga Jual Pcs GT
(-PPN)]]*6.5%)</f>
        <v>0</v>
      </c>
      <c r="AP409" s="38">
        <f>Table43[[#This Row],[Harga Beli Pcs
(-PPN)]]*Table43[[#This Row],[ISI/CTN]]</f>
        <v>0</v>
      </c>
      <c r="AQ409" s="38">
        <f>Table43[[#This Row],[Harga Beli Pcs
(-PPN)]]*1.11</f>
        <v>0</v>
      </c>
      <c r="AR409" s="38">
        <f>Table43[[#This Row],[Harga Beli Krt
(- PPN)]]*1.11</f>
        <v>0</v>
      </c>
      <c r="AS409" s="38"/>
      <c r="AT409" s="38">
        <f>Table43[[#This Row],[Harga Jual Pcs GT
(-PPN)]]*Table43[[#This Row],[ISI/CTN]]</f>
        <v>0</v>
      </c>
      <c r="AU409" s="38">
        <f>Table43[[#This Row],[Harga Jual Pcs GT
(-PPN)]]*1.11</f>
        <v>0</v>
      </c>
      <c r="AV409" s="38">
        <f>Table43[[#This Row],[Harga Jual Krt GT
(- PPN)]]*1.11</f>
        <v>0</v>
      </c>
      <c r="AW409" s="38">
        <f>IFERROR(VLOOKUP(Table43[[#This Row],[Kode Pcpl]],'[1]FEB 2026'!$A$3:$X$312,24,0),0)</f>
        <v>0</v>
      </c>
      <c r="AX409" s="38">
        <f>Table43[[#This Row],[Harga Jual Pcs MT
(-PPN)]]*Table43[[#This Row],[ISI/CTN]]</f>
        <v>0</v>
      </c>
      <c r="AY409" s="38">
        <f>Table43[[#This Row],[Harga Jual Pcs MT
(-PPN)]]*1.11</f>
        <v>0</v>
      </c>
      <c r="AZ409" s="38">
        <f>Table43[[#This Row],[Harga Jual Pcs MT
(+PPN)]]*Table43[[#This Row],[ISI/CTN]]</f>
        <v>0</v>
      </c>
      <c r="BA409" s="46" t="e">
        <f>(Table43[[#This Row],[Harga Jual Pcs GT
(-PPN)]]-Table43[[#This Row],[Harga Beli Pcs
(-PPN)]])/Table43[[#This Row],[Harga Jual Pcs GT
(-PPN)]]</f>
        <v>#DIV/0!</v>
      </c>
      <c r="BB409" s="53">
        <f>Table43[[#This Row],[Harga Jual Pcs MT
(-PPN)]]-Table43[[#This Row],[Harga Beli Pcs
(-PPN)]]</f>
        <v>0</v>
      </c>
      <c r="BC409" s="54" t="e">
        <f>Table43[[#This Row],[Column1]]/Table43[[#This Row],[Harga Jual Pcs MT
(-PPN)]]</f>
        <v>#DIV/0!</v>
      </c>
      <c r="BD409" s="52"/>
      <c r="BE409" s="7"/>
      <c r="BF409" s="7" t="str">
        <f ca="1">IF(TODAY()-Table43[[#This Row],[Efektif
Pembuatan]]&gt;60,"Lama","Baru")</f>
        <v>Lama</v>
      </c>
      <c r="BG409" s="7" t="str">
        <f ca="1">IF(TODAY()-Table43[[#This Row],[Efektif Naik Harga]]&lt;30,"Naik","Sama")</f>
        <v>Sama</v>
      </c>
      <c r="BH409" s="7"/>
      <c r="BI409" s="7" t="str">
        <f>IF(Table43[[#This Row],[Kode BARANG Win2]]&lt;&gt;"","IDR","")</f>
        <v>IDR</v>
      </c>
      <c r="BJ409" s="7" t="str">
        <f>CONCATENATE(Table43[[#This Row],[kode  1 Digit
(Nomor)]],Table43[[#This Row],[kode  4 Digit                (Nomor)]])</f>
        <v>0350</v>
      </c>
      <c r="BK409" s="7" t="str">
        <f>Table43[[#This Row],[Nama            Gramasi atau Jumlah Pack per CTN]]</f>
        <v>350ML</v>
      </c>
      <c r="BL409" s="7"/>
      <c r="BM409" s="7"/>
      <c r="BN409" s="4" t="str">
        <f>IF(Table43[[#This Row],[SATUAN Fix Win]]&lt;&gt;"","KRT")</f>
        <v>KRT</v>
      </c>
      <c r="BO409" s="4" t="str">
        <f>IF(Table43[[#This Row],[SATUAN Fix Win]]&lt;&gt;"","GD01")</f>
        <v>GD01</v>
      </c>
      <c r="BP409" s="4">
        <f>IF(Table43[[#This Row],[SATUAN Fix Win]]&lt;&gt;"",11611)</f>
        <v>11611</v>
      </c>
      <c r="BQ409" s="4">
        <f>IF(Table43[[#This Row],[SATUAN Fix Win]]&lt;&gt;"",11612)</f>
        <v>11612</v>
      </c>
      <c r="BS409" s="4">
        <f>IF(Table43[[#This Row],[SATUAN Fix Win]]&lt;&gt;"",1)</f>
        <v>1</v>
      </c>
      <c r="BU409" s="4">
        <f>Table43[[#This Row],[ISI/CTN]]</f>
        <v>12</v>
      </c>
    </row>
    <row r="410" spans="1:73">
      <c r="A410" s="4" t="str">
        <f>CONCATENATE(Table43[[#This Row],[Kode BARANG Win2]],Table43[[#This Row],[No. Urut
Item Sama]])</f>
        <v>G1261003017510</v>
      </c>
      <c r="B410" s="7"/>
      <c r="C410" s="31">
        <v>30490030350000</v>
      </c>
      <c r="D410" s="59">
        <v>40057480</v>
      </c>
      <c r="E410" s="60" t="s">
        <v>2092</v>
      </c>
      <c r="F410" s="59">
        <v>30490080200010</v>
      </c>
      <c r="G410" s="59">
        <v>0</v>
      </c>
      <c r="H410" s="60" t="s">
        <v>1407</v>
      </c>
      <c r="I410" s="60">
        <v>12</v>
      </c>
      <c r="J410" s="59" t="s">
        <v>1774</v>
      </c>
      <c r="K410" s="60" t="str">
        <f>Table43[[#This Row],[NamaJenisKemasan]]</f>
        <v>KLG</v>
      </c>
      <c r="L410" s="4" t="str">
        <f>TRIM(CONCATENATE(Table43[[#This Row],[Nama            KLP]]," ",Table43[[#This Row],[Nama            Sub KLP]]))</f>
        <v>STELLA AEROSOL</v>
      </c>
      <c r="M410" s="4" t="str">
        <f>CONCATENATE(Table43[[#This Row],[kode  2 Digit                (hrf+No)]],Table43[[#This Row],[kode  2 Digit                (Nomor)]],Table43[[#This Row],[kode  1 Digit                (Nomor)]])</f>
        <v>G1261</v>
      </c>
      <c r="N410" s="4" t="str">
        <f>IF(AI410="",CONCATENATE(S410,U410,W410,Y410,AA410,AC410,AE410,AG410,Table43[[#This Row],[Tanda Kode Revisi]]),CONCATENATE(S410,U410,W410,Y410,AA410,AC410,AE410,AI410))</f>
        <v>G1261003017510</v>
      </c>
      <c r="O410" s="11">
        <f t="shared" si="10"/>
        <v>14</v>
      </c>
      <c r="P410" s="14" t="str">
        <f>IF(AH410&lt;&gt;"",TRIM(UPPER(CONCATENATE(R410," ",T410," ",V410," ",X410," ",Z410," ",AB410," ","X"," ",Table43[[#This Row],[ISI/CTN]]," ",AH410," ",AD410," ",AF410," ",AJ410))),TRIM(UPPER(CONCATENATE(R410," ",T410," ",V410," ",X410," ",Z410," ",AB410," ","X"," ",Table43[[#This Row],[ISI/CTN]]," ",AD410," ",AF410," ",AJ410))))</f>
        <v>STELLA AEROSOL CAFFE LATTE 175ML X 12 KLG</v>
      </c>
      <c r="Q410" s="11">
        <f t="shared" si="11"/>
        <v>41</v>
      </c>
      <c r="S410" s="7" t="s">
        <v>34</v>
      </c>
      <c r="T410" s="4" t="s">
        <v>2421</v>
      </c>
      <c r="U410" s="47" t="s">
        <v>2584</v>
      </c>
      <c r="V410" s="48" t="s">
        <v>2243</v>
      </c>
      <c r="W410" s="7">
        <v>1</v>
      </c>
      <c r="X410" s="48"/>
      <c r="Y410" s="47" t="s">
        <v>1116</v>
      </c>
      <c r="Z410" s="4" t="s">
        <v>2419</v>
      </c>
      <c r="AA410" s="49" t="s">
        <v>2538</v>
      </c>
      <c r="AB410" s="4" t="s">
        <v>2214</v>
      </c>
      <c r="AC410" s="49" t="s">
        <v>2600</v>
      </c>
      <c r="AD410" s="4" t="s">
        <v>2221</v>
      </c>
      <c r="AE410" s="7">
        <v>1</v>
      </c>
      <c r="AG410" s="7">
        <v>0</v>
      </c>
      <c r="AK410" s="70">
        <f>Table43[[#This Row],[Column4]]</f>
        <v>30490080200010</v>
      </c>
      <c r="AN410" s="7">
        <f>Table43[[#This Row],[ISI/CTN]]</f>
        <v>12</v>
      </c>
      <c r="AO410" s="38">
        <f>Table43[[#This Row],[Harga Jual Pcs GT
(-PPN)]]-(Table43[[#This Row],[Harga Jual Pcs GT
(-PPN)]]*6.5%)</f>
        <v>14025</v>
      </c>
      <c r="AP410" s="38">
        <f>Table43[[#This Row],[Harga Beli Pcs
(-PPN)]]*Table43[[#This Row],[ISI/CTN]]</f>
        <v>168300</v>
      </c>
      <c r="AQ410" s="38">
        <f>Table43[[#This Row],[Harga Beli Pcs
(-PPN)]]*1.11</f>
        <v>15567.750000000002</v>
      </c>
      <c r="AR410" s="38">
        <f>Table43[[#This Row],[Harga Beli Krt
(- PPN)]]*1.11</f>
        <v>186813.00000000003</v>
      </c>
      <c r="AS410" s="38">
        <v>15000</v>
      </c>
      <c r="AT410" s="38">
        <f>Table43[[#This Row],[Harga Jual Pcs GT
(-PPN)]]*Table43[[#This Row],[ISI/CTN]]</f>
        <v>180000</v>
      </c>
      <c r="AU410" s="38">
        <f>Table43[[#This Row],[Harga Jual Pcs GT
(-PPN)]]*1.11</f>
        <v>16650</v>
      </c>
      <c r="AV410" s="38">
        <f>Table43[[#This Row],[Harga Jual Krt GT
(- PPN)]]*1.11</f>
        <v>199800.00000000003</v>
      </c>
      <c r="AW410" s="38">
        <f>IFERROR(VLOOKUP(Table43[[#This Row],[Kode Pcpl]],'[1]FEB 2026'!$A$3:$X$312,24,0),0)</f>
        <v>0</v>
      </c>
      <c r="AX410" s="38">
        <f>Table43[[#This Row],[Harga Jual Pcs MT
(-PPN)]]*Table43[[#This Row],[ISI/CTN]]</f>
        <v>0</v>
      </c>
      <c r="AY410" s="38">
        <f>Table43[[#This Row],[Harga Jual Pcs MT
(-PPN)]]*1.11</f>
        <v>0</v>
      </c>
      <c r="AZ410" s="38">
        <f>Table43[[#This Row],[Harga Jual Pcs MT
(+PPN)]]*Table43[[#This Row],[ISI/CTN]]</f>
        <v>0</v>
      </c>
      <c r="BA410" s="46">
        <f>(Table43[[#This Row],[Harga Jual Pcs GT
(-PPN)]]-Table43[[#This Row],[Harga Beli Pcs
(-PPN)]])/Table43[[#This Row],[Harga Jual Pcs GT
(-PPN)]]</f>
        <v>6.5000000000000002E-2</v>
      </c>
      <c r="BB410" s="53">
        <f>Table43[[#This Row],[Harga Jual Pcs MT
(-PPN)]]-Table43[[#This Row],[Harga Beli Pcs
(-PPN)]]</f>
        <v>-14025</v>
      </c>
      <c r="BC410" s="54" t="e">
        <f>Table43[[#This Row],[Column1]]/Table43[[#This Row],[Harga Jual Pcs MT
(-PPN)]]</f>
        <v>#DIV/0!</v>
      </c>
      <c r="BD410" s="52"/>
      <c r="BE410" s="7"/>
      <c r="BF410" s="7" t="str">
        <f ca="1">IF(TODAY()-Table43[[#This Row],[Efektif
Pembuatan]]&gt;60,"Lama","Baru")</f>
        <v>Lama</v>
      </c>
      <c r="BG410" s="7" t="str">
        <f ca="1">IF(TODAY()-Table43[[#This Row],[Efektif Naik Harga]]&lt;30,"Naik","Sama")</f>
        <v>Sama</v>
      </c>
      <c r="BH410" s="7"/>
      <c r="BI410" s="7" t="str">
        <f>IF(Table43[[#This Row],[Kode BARANG Win2]]&lt;&gt;"","IDR","")</f>
        <v>IDR</v>
      </c>
      <c r="BJ410" s="7" t="str">
        <f>CONCATENATE(Table43[[#This Row],[kode  1 Digit
(Nomor)]],Table43[[#This Row],[kode  4 Digit                (Nomor)]])</f>
        <v>0175</v>
      </c>
      <c r="BK410" s="7" t="str">
        <f>Table43[[#This Row],[Nama            Gramasi atau Jumlah Pack per CTN]]</f>
        <v>175ML</v>
      </c>
      <c r="BL410" s="7"/>
      <c r="BM410" s="7"/>
      <c r="BN410" s="4" t="str">
        <f>IF(Table43[[#This Row],[SATUAN Fix Win]]&lt;&gt;"","KRT")</f>
        <v>KRT</v>
      </c>
      <c r="BO410" s="4" t="str">
        <f>IF(Table43[[#This Row],[SATUAN Fix Win]]&lt;&gt;"","GD01")</f>
        <v>GD01</v>
      </c>
      <c r="BP410" s="4">
        <f>IF(Table43[[#This Row],[SATUAN Fix Win]]&lt;&gt;"",11611)</f>
        <v>11611</v>
      </c>
      <c r="BQ410" s="4">
        <f>IF(Table43[[#This Row],[SATUAN Fix Win]]&lt;&gt;"",11612)</f>
        <v>11612</v>
      </c>
      <c r="BS410" s="4">
        <f>IF(Table43[[#This Row],[SATUAN Fix Win]]&lt;&gt;"",1)</f>
        <v>1</v>
      </c>
      <c r="BU410" s="4">
        <f>Table43[[#This Row],[ISI/CTN]]</f>
        <v>12</v>
      </c>
    </row>
    <row r="411" spans="1:73">
      <c r="A411" s="4" t="str">
        <f>CONCATENATE(Table43[[#This Row],[Kode BARANG Win2]],Table43[[#This Row],[No. Urut
Item Sama]])</f>
        <v>G1261003017510</v>
      </c>
      <c r="B411" s="7"/>
      <c r="C411" s="31">
        <v>30490040200000</v>
      </c>
      <c r="D411" s="51">
        <v>40059925</v>
      </c>
      <c r="E411" s="27" t="s">
        <v>2092</v>
      </c>
      <c r="F411" s="59">
        <v>30490080200010</v>
      </c>
      <c r="G411" s="51">
        <v>0</v>
      </c>
      <c r="H411" s="27" t="s">
        <v>1408</v>
      </c>
      <c r="I411" s="27">
        <v>12</v>
      </c>
      <c r="J411" s="51" t="s">
        <v>1774</v>
      </c>
      <c r="K411" s="27" t="str">
        <f>Table43[[#This Row],[NamaJenisKemasan]]</f>
        <v>KLG</v>
      </c>
      <c r="L411" s="4" t="str">
        <f>TRIM(CONCATENATE(Table43[[#This Row],[Nama            KLP]]," ",Table43[[#This Row],[Nama            Sub KLP]]))</f>
        <v>STELLA AEROSOL</v>
      </c>
      <c r="M411" s="4" t="str">
        <f>CONCATENATE(Table43[[#This Row],[kode  2 Digit                (hrf+No)]],Table43[[#This Row],[kode  2 Digit                (Nomor)]],Table43[[#This Row],[kode  1 Digit                (Nomor)]])</f>
        <v>G1261</v>
      </c>
      <c r="N411" s="4" t="str">
        <f>IF(AI411="",CONCATENATE(S411,U411,W411,Y411,AA411,AC411,AE411,AG411,Table43[[#This Row],[Tanda Kode Revisi]]),CONCATENATE(S411,U411,W411,Y411,AA411,AC411,AE411,AI411))</f>
        <v>G1261003017510</v>
      </c>
      <c r="O411" s="11">
        <f t="shared" si="10"/>
        <v>14</v>
      </c>
      <c r="P411" s="14" t="str">
        <f>IF(AH411&lt;&gt;"",TRIM(UPPER(CONCATENATE(R411," ",T411," ",V411," ",X411," ",Z411," ",AB411," ","X"," ",Table43[[#This Row],[ISI/CTN]]," ",AH411," ",AD411," ",AF411," ",AJ411))),TRIM(UPPER(CONCATENATE(R411," ",T411," ",V411," ",X411," ",Z411," ",AB411," ","X"," ",Table43[[#This Row],[ISI/CTN]]," ",AD411," ",AF411," ",AJ411))))</f>
        <v>STELLA AEROSOL CAFFE LATTE 175ML X 12 KLG</v>
      </c>
      <c r="Q411" s="11">
        <f t="shared" si="11"/>
        <v>41</v>
      </c>
      <c r="S411" s="7" t="s">
        <v>34</v>
      </c>
      <c r="T411" s="4" t="s">
        <v>2421</v>
      </c>
      <c r="U411" s="47" t="s">
        <v>2584</v>
      </c>
      <c r="V411" s="48" t="s">
        <v>2243</v>
      </c>
      <c r="W411" s="7">
        <v>1</v>
      </c>
      <c r="X411" s="48"/>
      <c r="Y411" s="47" t="s">
        <v>1116</v>
      </c>
      <c r="Z411" s="4" t="s">
        <v>2419</v>
      </c>
      <c r="AA411" s="49" t="s">
        <v>2538</v>
      </c>
      <c r="AB411" s="4" t="s">
        <v>2214</v>
      </c>
      <c r="AC411" s="49" t="s">
        <v>2600</v>
      </c>
      <c r="AD411" s="4" t="s">
        <v>2221</v>
      </c>
      <c r="AE411" s="7">
        <v>1</v>
      </c>
      <c r="AG411" s="7">
        <v>0</v>
      </c>
      <c r="AK411" s="70">
        <f>Table43[[#This Row],[Column4]]</f>
        <v>30490080200010</v>
      </c>
      <c r="AN411" s="7">
        <f>Table43[[#This Row],[ISI/CTN]]</f>
        <v>12</v>
      </c>
      <c r="AO411" s="61">
        <f>Table43[[#This Row],[Harga Jual Pcs GT
(-PPN)]]-(Table43[[#This Row],[Harga Jual Pcs GT
(-PPN)]]*6.5%)</f>
        <v>14025</v>
      </c>
      <c r="AP411" s="61">
        <f>Table43[[#This Row],[Harga Beli Pcs
(-PPN)]]*Table43[[#This Row],[ISI/CTN]]</f>
        <v>168300</v>
      </c>
      <c r="AQ411" s="61">
        <f>Table43[[#This Row],[Harga Beli Pcs
(-PPN)]]*1.11</f>
        <v>15567.750000000002</v>
      </c>
      <c r="AR411" s="61">
        <f>Table43[[#This Row],[Harga Beli Krt
(- PPN)]]*1.11</f>
        <v>186813.00000000003</v>
      </c>
      <c r="AS411" s="61">
        <v>15000</v>
      </c>
      <c r="AT411" s="61">
        <f>Table43[[#This Row],[Harga Jual Pcs GT
(-PPN)]]*Table43[[#This Row],[ISI/CTN]]</f>
        <v>180000</v>
      </c>
      <c r="AU411" s="61">
        <f>Table43[[#This Row],[Harga Jual Pcs GT
(-PPN)]]*1.11</f>
        <v>16650</v>
      </c>
      <c r="AV411" s="61">
        <f>Table43[[#This Row],[Harga Jual Krt GT
(- PPN)]]*1.11</f>
        <v>199800.00000000003</v>
      </c>
      <c r="AW411" s="61">
        <f>IFERROR(VLOOKUP(Table43[[#This Row],[Kode Pcpl]],'[1]FEB 2026'!$A$3:$X$312,24,0),0)</f>
        <v>0</v>
      </c>
      <c r="AX411" s="61">
        <f>Table43[[#This Row],[Harga Jual Pcs MT
(-PPN)]]*Table43[[#This Row],[ISI/CTN]]</f>
        <v>0</v>
      </c>
      <c r="AY411" s="61">
        <f>Table43[[#This Row],[Harga Jual Pcs MT
(-PPN)]]*1.11</f>
        <v>0</v>
      </c>
      <c r="AZ411" s="61">
        <f>Table43[[#This Row],[Harga Jual Pcs MT
(+PPN)]]*Table43[[#This Row],[ISI/CTN]]</f>
        <v>0</v>
      </c>
      <c r="BA411" s="62">
        <f>(Table43[[#This Row],[Harga Jual Pcs GT
(-PPN)]]-Table43[[#This Row],[Harga Beli Pcs
(-PPN)]])/Table43[[#This Row],[Harga Jual Pcs GT
(-PPN)]]</f>
        <v>6.5000000000000002E-2</v>
      </c>
      <c r="BB411" s="63">
        <f>Table43[[#This Row],[Harga Jual Pcs MT
(-PPN)]]-Table43[[#This Row],[Harga Beli Pcs
(-PPN)]]</f>
        <v>-14025</v>
      </c>
      <c r="BC411" s="64" t="e">
        <f>Table43[[#This Row],[Column1]]/Table43[[#This Row],[Harga Jual Pcs MT
(-PPN)]]</f>
        <v>#DIV/0!</v>
      </c>
      <c r="BD411" s="52"/>
      <c r="BE411" s="7"/>
      <c r="BF411" s="7" t="str">
        <f ca="1">IF(TODAY()-Table43[[#This Row],[Efektif
Pembuatan]]&gt;60,"Lama","Baru")</f>
        <v>Lama</v>
      </c>
      <c r="BG411" s="7" t="str">
        <f ca="1">IF(TODAY()-Table43[[#This Row],[Efektif Naik Harga]]&lt;30,"Naik","Sama")</f>
        <v>Sama</v>
      </c>
      <c r="BH411" s="7"/>
      <c r="BI411" s="7" t="str">
        <f>IF(Table43[[#This Row],[Kode BARANG Win2]]&lt;&gt;"","IDR","")</f>
        <v>IDR</v>
      </c>
      <c r="BJ411" s="7" t="str">
        <f>CONCATENATE(Table43[[#This Row],[kode  1 Digit
(Nomor)]],Table43[[#This Row],[kode  4 Digit                (Nomor)]])</f>
        <v>0175</v>
      </c>
      <c r="BK411" s="7" t="str">
        <f>Table43[[#This Row],[Nama            Gramasi atau Jumlah Pack per CTN]]</f>
        <v>175ML</v>
      </c>
      <c r="BL411" s="7"/>
      <c r="BM411" s="7"/>
      <c r="BN411" s="4" t="str">
        <f>IF(Table43[[#This Row],[SATUAN Fix Win]]&lt;&gt;"","KRT")</f>
        <v>KRT</v>
      </c>
      <c r="BO411" s="4" t="str">
        <f>IF(Table43[[#This Row],[SATUAN Fix Win]]&lt;&gt;"","GD01")</f>
        <v>GD01</v>
      </c>
      <c r="BP411" s="4">
        <f>IF(Table43[[#This Row],[SATUAN Fix Win]]&lt;&gt;"",11611)</f>
        <v>11611</v>
      </c>
      <c r="BQ411" s="4">
        <f>IF(Table43[[#This Row],[SATUAN Fix Win]]&lt;&gt;"",11612)</f>
        <v>11612</v>
      </c>
      <c r="BS411" s="4">
        <f>IF(Table43[[#This Row],[SATUAN Fix Win]]&lt;&gt;"",1)</f>
        <v>1</v>
      </c>
      <c r="BU411" s="4">
        <f>Table43[[#This Row],[ISI/CTN]]</f>
        <v>12</v>
      </c>
    </row>
    <row r="412" spans="1:73">
      <c r="A412" s="4" t="str">
        <f>CONCATENATE(Table43[[#This Row],[Kode BARANG Win2]],Table43[[#This Row],[No. Urut
Item Sama]])</f>
        <v>G1261003017510</v>
      </c>
      <c r="B412" s="7"/>
      <c r="C412" s="31"/>
      <c r="D412" s="51">
        <v>40029996</v>
      </c>
      <c r="E412" s="27"/>
      <c r="F412" s="51"/>
      <c r="G412" s="51"/>
      <c r="H412" s="27"/>
      <c r="I412" s="27">
        <v>12</v>
      </c>
      <c r="J412" s="51" t="s">
        <v>1774</v>
      </c>
      <c r="K412" s="27" t="str">
        <f>Table43[[#This Row],[NamaJenisKemasan]]</f>
        <v>KLG</v>
      </c>
      <c r="L412" s="4" t="str">
        <f>TRIM(CONCATENATE(Table43[[#This Row],[Nama            KLP]]," ",Table43[[#This Row],[Nama            Sub KLP]]))</f>
        <v>STELLA AEROSOL</v>
      </c>
      <c r="M412" s="4" t="str">
        <f>CONCATENATE(Table43[[#This Row],[kode  2 Digit                (hrf+No)]],Table43[[#This Row],[kode  2 Digit                (Nomor)]],Table43[[#This Row],[kode  1 Digit                (Nomor)]])</f>
        <v>G1261</v>
      </c>
      <c r="N412" s="4" t="str">
        <f>IF(AI412="",CONCATENATE(S412,U412,W412,Y412,AA412,AC412,AE412,AG412,Table43[[#This Row],[Tanda Kode Revisi]]),CONCATENATE(S412,U412,W412,Y412,AA412,AC412,AE412,AI412))</f>
        <v>G1261003017510</v>
      </c>
      <c r="O412" s="11">
        <f>LEN(N412)</f>
        <v>14</v>
      </c>
      <c r="P412" s="14" t="str">
        <f>IF(AH412&lt;&gt;"",TRIM(UPPER(CONCATENATE(R412," ",T412," ",V412," ",X412," ",Z412," ",AB412," ","X"," ",Table43[[#This Row],[ISI/CTN]]," ",AH412," ",AD412," ",AF412," ",AJ412))),TRIM(UPPER(CONCATENATE(R412," ",T412," ",V412," ",X412," ",Z412," ",AB412," ","X"," ",Table43[[#This Row],[ISI/CTN]]," ",AD412," ",AF412," ",AJ412))))</f>
        <v>STELLA AEROSOL CAFFE LATTE 175ML X 12 KLG</v>
      </c>
      <c r="Q412" s="11">
        <f>LEN(P412)</f>
        <v>41</v>
      </c>
      <c r="S412" s="7" t="s">
        <v>34</v>
      </c>
      <c r="T412" s="4" t="s">
        <v>2421</v>
      </c>
      <c r="U412" s="47" t="s">
        <v>2584</v>
      </c>
      <c r="V412" s="48" t="s">
        <v>2243</v>
      </c>
      <c r="W412" s="7">
        <v>1</v>
      </c>
      <c r="X412" s="48"/>
      <c r="Y412" s="47" t="s">
        <v>1116</v>
      </c>
      <c r="Z412" s="4" t="s">
        <v>2419</v>
      </c>
      <c r="AA412" s="49" t="s">
        <v>2538</v>
      </c>
      <c r="AB412" s="4" t="s">
        <v>2214</v>
      </c>
      <c r="AC412" s="49" t="s">
        <v>2600</v>
      </c>
      <c r="AD412" s="4" t="s">
        <v>2221</v>
      </c>
      <c r="AE412" s="7">
        <v>1</v>
      </c>
      <c r="AG412" s="7">
        <v>0</v>
      </c>
      <c r="AK412" s="70">
        <f>Table43[[#This Row],[Column4]]</f>
        <v>0</v>
      </c>
      <c r="AN412" s="7">
        <f>Table43[[#This Row],[ISI/CTN]]</f>
        <v>12</v>
      </c>
      <c r="AO412" s="61">
        <f>Table43[[#This Row],[Harga Jual Pcs GT
(-PPN)]]-(Table43[[#This Row],[Harga Jual Pcs GT
(-PPN)]]*6.5%)</f>
        <v>0</v>
      </c>
      <c r="AP412" s="61">
        <f>Table43[[#This Row],[Harga Beli Pcs
(-PPN)]]*Table43[[#This Row],[ISI/CTN]]</f>
        <v>0</v>
      </c>
      <c r="AQ412" s="61">
        <f>Table43[[#This Row],[Harga Beli Pcs
(-PPN)]]*1.11</f>
        <v>0</v>
      </c>
      <c r="AR412" s="61">
        <f>Table43[[#This Row],[Harga Beli Krt
(- PPN)]]*1.11</f>
        <v>0</v>
      </c>
      <c r="AS412" s="61"/>
      <c r="AT412" s="61">
        <f>Table43[[#This Row],[Harga Jual Pcs GT
(-PPN)]]*Table43[[#This Row],[ISI/CTN]]</f>
        <v>0</v>
      </c>
      <c r="AU412" s="61">
        <f>Table43[[#This Row],[Harga Jual Pcs GT
(-PPN)]]*1.11</f>
        <v>0</v>
      </c>
      <c r="AV412" s="61">
        <f>Table43[[#This Row],[Harga Jual Krt GT
(- PPN)]]*1.11</f>
        <v>0</v>
      </c>
      <c r="AW412" s="61">
        <f>IFERROR(VLOOKUP(Table43[[#This Row],[Kode Pcpl]],'[1]FEB 2026'!$A$3:$X$312,24,0),0)</f>
        <v>0</v>
      </c>
      <c r="AX412" s="61">
        <f>Table43[[#This Row],[Harga Jual Pcs MT
(-PPN)]]*Table43[[#This Row],[ISI/CTN]]</f>
        <v>0</v>
      </c>
      <c r="AY412" s="61">
        <f>Table43[[#This Row],[Harga Jual Pcs MT
(-PPN)]]*1.11</f>
        <v>0</v>
      </c>
      <c r="AZ412" s="61">
        <f>Table43[[#This Row],[Harga Jual Pcs MT
(+PPN)]]*Table43[[#This Row],[ISI/CTN]]</f>
        <v>0</v>
      </c>
      <c r="BA412" s="62" t="e">
        <f>(Table43[[#This Row],[Harga Jual Pcs GT
(-PPN)]]-Table43[[#This Row],[Harga Beli Pcs
(-PPN)]])/Table43[[#This Row],[Harga Jual Pcs GT
(-PPN)]]</f>
        <v>#DIV/0!</v>
      </c>
      <c r="BB412" s="63">
        <f>Table43[[#This Row],[Harga Jual Pcs MT
(-PPN)]]-Table43[[#This Row],[Harga Beli Pcs
(-PPN)]]</f>
        <v>0</v>
      </c>
      <c r="BC412" s="64" t="e">
        <f>Table43[[#This Row],[Column1]]/Table43[[#This Row],[Harga Jual Pcs MT
(-PPN)]]</f>
        <v>#DIV/0!</v>
      </c>
      <c r="BD412" s="52"/>
      <c r="BE412" s="7"/>
      <c r="BF412" s="7" t="str">
        <f ca="1">IF(TODAY()-Table43[[#This Row],[Efektif
Pembuatan]]&gt;60,"Lama","Baru")</f>
        <v>Lama</v>
      </c>
      <c r="BG412" s="7" t="str">
        <f ca="1">IF(TODAY()-Table43[[#This Row],[Efektif Naik Harga]]&lt;30,"Naik","Sama")</f>
        <v>Sama</v>
      </c>
      <c r="BH412" s="7"/>
      <c r="BI412" s="7" t="str">
        <f>IF(Table43[[#This Row],[Kode BARANG Win2]]&lt;&gt;"","IDR","")</f>
        <v>IDR</v>
      </c>
      <c r="BJ412" s="7" t="str">
        <f>CONCATENATE(Table43[[#This Row],[kode  1 Digit
(Nomor)]],Table43[[#This Row],[kode  4 Digit                (Nomor)]])</f>
        <v>0175</v>
      </c>
      <c r="BK412" s="7" t="str">
        <f>Table43[[#This Row],[Nama            Gramasi atau Jumlah Pack per CTN]]</f>
        <v>175ML</v>
      </c>
      <c r="BL412" s="7"/>
      <c r="BM412" s="7"/>
      <c r="BN412" s="4" t="str">
        <f>IF(Table43[[#This Row],[SATUAN Fix Win]]&lt;&gt;"","KRT")</f>
        <v>KRT</v>
      </c>
      <c r="BO412" s="4" t="str">
        <f>IF(Table43[[#This Row],[SATUAN Fix Win]]&lt;&gt;"","GD01")</f>
        <v>GD01</v>
      </c>
      <c r="BP412" s="4">
        <f>IF(Table43[[#This Row],[SATUAN Fix Win]]&lt;&gt;"",11611)</f>
        <v>11611</v>
      </c>
      <c r="BQ412" s="4">
        <f>IF(Table43[[#This Row],[SATUAN Fix Win]]&lt;&gt;"",11612)</f>
        <v>11612</v>
      </c>
      <c r="BS412" s="4">
        <f>IF(Table43[[#This Row],[SATUAN Fix Win]]&lt;&gt;"",1)</f>
        <v>1</v>
      </c>
      <c r="BU412" s="4">
        <f>Table43[[#This Row],[ISI/CTN]]</f>
        <v>12</v>
      </c>
    </row>
    <row r="413" spans="1:73">
      <c r="A413" s="4" t="str">
        <f>CONCATENATE(Table43[[#This Row],[Kode BARANG Win2]],Table43[[#This Row],[No. Urut
Item Sama]])</f>
        <v>G1261003035010</v>
      </c>
      <c r="B413" s="7"/>
      <c r="C413" s="31">
        <v>30490040200000</v>
      </c>
      <c r="D413" s="51">
        <v>40059929</v>
      </c>
      <c r="E413" s="27" t="s">
        <v>2093</v>
      </c>
      <c r="F413" s="51">
        <v>30490080350010</v>
      </c>
      <c r="G413" s="51">
        <v>0</v>
      </c>
      <c r="H413" s="27" t="s">
        <v>1410</v>
      </c>
      <c r="I413" s="27">
        <v>12</v>
      </c>
      <c r="J413" s="51" t="s">
        <v>1775</v>
      </c>
      <c r="K413" s="27" t="str">
        <f>Table43[[#This Row],[NamaJenisKemasan]]</f>
        <v>KLG</v>
      </c>
      <c r="L413" s="4" t="str">
        <f>TRIM(CONCATENATE(Table43[[#This Row],[Nama            KLP]]," ",Table43[[#This Row],[Nama            Sub KLP]]))</f>
        <v>STELLA AEROSOL</v>
      </c>
      <c r="M413" s="4" t="str">
        <f>CONCATENATE(Table43[[#This Row],[kode  2 Digit                (hrf+No)]],Table43[[#This Row],[kode  2 Digit                (Nomor)]],Table43[[#This Row],[kode  1 Digit                (Nomor)]])</f>
        <v>G1261</v>
      </c>
      <c r="N413" s="4" t="str">
        <f>IF(AI413="",CONCATENATE(S413,U413,W413,Y413,AA413,AC413,AE413,AG413,Table43[[#This Row],[Tanda Kode Revisi]]),CONCATENATE(S413,U413,W413,Y413,AA413,AC413,AE413,AI413))</f>
        <v>G1261003035010</v>
      </c>
      <c r="O413" s="11">
        <f t="shared" si="10"/>
        <v>14</v>
      </c>
      <c r="P413" s="14" t="str">
        <f>IF(AH413&lt;&gt;"",TRIM(UPPER(CONCATENATE(R413," ",T413," ",V413," ",X413," ",Z413," ",AB413," ","X"," ",Table43[[#This Row],[ISI/CTN]]," ",AH413," ",AD413," ",AF413," ",AJ413))),TRIM(UPPER(CONCATENATE(R413," ",T413," ",V413," ",X413," ",Z413," ",AB413," ","X"," ",Table43[[#This Row],[ISI/CTN]]," ",AD413," ",AF413," ",AJ413))))</f>
        <v>STELLA AEROSOL CAFFE LATTE 350ML X 12 KLG</v>
      </c>
      <c r="Q413" s="11">
        <f t="shared" si="11"/>
        <v>41</v>
      </c>
      <c r="S413" s="7" t="s">
        <v>34</v>
      </c>
      <c r="T413" s="4" t="s">
        <v>2421</v>
      </c>
      <c r="U413" s="47" t="s">
        <v>2584</v>
      </c>
      <c r="V413" s="48" t="s">
        <v>2243</v>
      </c>
      <c r="W413" s="7">
        <v>1</v>
      </c>
      <c r="X413" s="48"/>
      <c r="Y413" s="47" t="s">
        <v>1116</v>
      </c>
      <c r="Z413" s="4" t="s">
        <v>2419</v>
      </c>
      <c r="AA413" s="49" t="s">
        <v>2538</v>
      </c>
      <c r="AB413" s="4" t="s">
        <v>2372</v>
      </c>
      <c r="AC413" s="49" t="s">
        <v>2619</v>
      </c>
      <c r="AD413" s="4" t="s">
        <v>2221</v>
      </c>
      <c r="AE413" s="7">
        <v>1</v>
      </c>
      <c r="AG413" s="7">
        <v>0</v>
      </c>
      <c r="AK413" s="70">
        <f>Table43[[#This Row],[Column4]]</f>
        <v>30490080350010</v>
      </c>
      <c r="AN413" s="7">
        <f>Table43[[#This Row],[ISI/CTN]]</f>
        <v>12</v>
      </c>
      <c r="AO413" s="61">
        <f>Table43[[#This Row],[Harga Jual Pcs GT
(-PPN)]]-(Table43[[#This Row],[Harga Jual Pcs GT
(-PPN)]]*6.5%)</f>
        <v>20383</v>
      </c>
      <c r="AP413" s="61">
        <f>Table43[[#This Row],[Harga Beli Pcs
(-PPN)]]*Table43[[#This Row],[ISI/CTN]]</f>
        <v>244596</v>
      </c>
      <c r="AQ413" s="61">
        <f>Table43[[#This Row],[Harga Beli Pcs
(-PPN)]]*1.11</f>
        <v>22625.13</v>
      </c>
      <c r="AR413" s="61">
        <f>Table43[[#This Row],[Harga Beli Krt
(- PPN)]]*1.11</f>
        <v>271501.56</v>
      </c>
      <c r="AS413" s="61">
        <v>21800</v>
      </c>
      <c r="AT413" s="61">
        <f>Table43[[#This Row],[Harga Jual Pcs GT
(-PPN)]]*Table43[[#This Row],[ISI/CTN]]</f>
        <v>261600</v>
      </c>
      <c r="AU413" s="61">
        <f>Table43[[#This Row],[Harga Jual Pcs GT
(-PPN)]]*1.11</f>
        <v>24198.000000000004</v>
      </c>
      <c r="AV413" s="61">
        <f>Table43[[#This Row],[Harga Jual Krt GT
(- PPN)]]*1.11</f>
        <v>290376</v>
      </c>
      <c r="AW413" s="61">
        <f>IFERROR(VLOOKUP(Table43[[#This Row],[Kode Pcpl]],'[1]FEB 2026'!$A$3:$X$312,24,0),0)</f>
        <v>0</v>
      </c>
      <c r="AX413" s="61">
        <f>Table43[[#This Row],[Harga Jual Pcs MT
(-PPN)]]*Table43[[#This Row],[ISI/CTN]]</f>
        <v>0</v>
      </c>
      <c r="AY413" s="61">
        <f>Table43[[#This Row],[Harga Jual Pcs MT
(-PPN)]]*1.11</f>
        <v>0</v>
      </c>
      <c r="AZ413" s="61">
        <f>Table43[[#This Row],[Harga Jual Pcs MT
(+PPN)]]*Table43[[#This Row],[ISI/CTN]]</f>
        <v>0</v>
      </c>
      <c r="BA413" s="62">
        <f>(Table43[[#This Row],[Harga Jual Pcs GT
(-PPN)]]-Table43[[#This Row],[Harga Beli Pcs
(-PPN)]])/Table43[[#This Row],[Harga Jual Pcs GT
(-PPN)]]</f>
        <v>6.5000000000000002E-2</v>
      </c>
      <c r="BB413" s="63">
        <f>Table43[[#This Row],[Harga Jual Pcs MT
(-PPN)]]-Table43[[#This Row],[Harga Beli Pcs
(-PPN)]]</f>
        <v>-20383</v>
      </c>
      <c r="BC413" s="64" t="e">
        <f>Table43[[#This Row],[Column1]]/Table43[[#This Row],[Harga Jual Pcs MT
(-PPN)]]</f>
        <v>#DIV/0!</v>
      </c>
      <c r="BD413" s="52"/>
      <c r="BE413" s="7"/>
      <c r="BF413" s="7" t="str">
        <f ca="1">IF(TODAY()-Table43[[#This Row],[Efektif
Pembuatan]]&gt;60,"Lama","Baru")</f>
        <v>Lama</v>
      </c>
      <c r="BG413" s="7" t="str">
        <f ca="1">IF(TODAY()-Table43[[#This Row],[Efektif Naik Harga]]&lt;30,"Naik","Sama")</f>
        <v>Sama</v>
      </c>
      <c r="BH413" s="7"/>
      <c r="BI413" s="7" t="str">
        <f>IF(Table43[[#This Row],[Kode BARANG Win2]]&lt;&gt;"","IDR","")</f>
        <v>IDR</v>
      </c>
      <c r="BJ413" s="7" t="str">
        <f>CONCATENATE(Table43[[#This Row],[kode  1 Digit
(Nomor)]],Table43[[#This Row],[kode  4 Digit                (Nomor)]])</f>
        <v>0350</v>
      </c>
      <c r="BK413" s="7" t="str">
        <f>Table43[[#This Row],[Nama            Gramasi atau Jumlah Pack per CTN]]</f>
        <v>350ML</v>
      </c>
      <c r="BL413" s="7"/>
      <c r="BM413" s="7"/>
      <c r="BN413" s="4" t="str">
        <f>IF(Table43[[#This Row],[SATUAN Fix Win]]&lt;&gt;"","KRT")</f>
        <v>KRT</v>
      </c>
      <c r="BO413" s="4" t="str">
        <f>IF(Table43[[#This Row],[SATUAN Fix Win]]&lt;&gt;"","GD01")</f>
        <v>GD01</v>
      </c>
      <c r="BP413" s="4">
        <f>IF(Table43[[#This Row],[SATUAN Fix Win]]&lt;&gt;"",11611)</f>
        <v>11611</v>
      </c>
      <c r="BQ413" s="4">
        <f>IF(Table43[[#This Row],[SATUAN Fix Win]]&lt;&gt;"",11612)</f>
        <v>11612</v>
      </c>
      <c r="BS413" s="4">
        <f>IF(Table43[[#This Row],[SATUAN Fix Win]]&lt;&gt;"",1)</f>
        <v>1</v>
      </c>
      <c r="BU413" s="4">
        <f>Table43[[#This Row],[ISI/CTN]]</f>
        <v>12</v>
      </c>
    </row>
    <row r="414" spans="1:73">
      <c r="A414" s="4" t="str">
        <f>CONCATENATE(Table43[[#This Row],[Kode BARANG Win2]],Table43[[#This Row],[No. Urut
Item Sama]])</f>
        <v>G1261003035010</v>
      </c>
      <c r="B414" s="7"/>
      <c r="C414" s="31"/>
      <c r="D414" s="51">
        <v>40043454</v>
      </c>
      <c r="E414" s="27"/>
      <c r="F414" s="51"/>
      <c r="G414" s="51"/>
      <c r="H414" s="27"/>
      <c r="I414" s="27">
        <v>12</v>
      </c>
      <c r="J414" s="51" t="s">
        <v>1775</v>
      </c>
      <c r="K414" s="27" t="str">
        <f>Table43[[#This Row],[NamaJenisKemasan]]</f>
        <v>KLG</v>
      </c>
      <c r="L414" s="4" t="str">
        <f>TRIM(CONCATENATE(Table43[[#This Row],[Nama            KLP]]," ",Table43[[#This Row],[Nama            Sub KLP]]))</f>
        <v>STELLA AEROSOL</v>
      </c>
      <c r="M414" s="4" t="str">
        <f>CONCATENATE(Table43[[#This Row],[kode  2 Digit                (hrf+No)]],Table43[[#This Row],[kode  2 Digit                (Nomor)]],Table43[[#This Row],[kode  1 Digit                (Nomor)]])</f>
        <v>G1261</v>
      </c>
      <c r="N414" s="4" t="str">
        <f>IF(AI414="",CONCATENATE(S414,U414,W414,Y414,AA414,AC414,AE414,AG414,Table43[[#This Row],[Tanda Kode Revisi]]),CONCATENATE(S414,U414,W414,Y414,AA414,AC414,AE414,AI414))</f>
        <v>G1261003035010</v>
      </c>
      <c r="O414" s="11">
        <f>LEN(N414)</f>
        <v>14</v>
      </c>
      <c r="P414" s="14" t="str">
        <f>IF(AH414&lt;&gt;"",TRIM(UPPER(CONCATENATE(R414," ",T414," ",V414," ",X414," ",Z414," ",AB414," ","X"," ",Table43[[#This Row],[ISI/CTN]]," ",AH414," ",AD414," ",AF414," ",AJ414))),TRIM(UPPER(CONCATENATE(R414," ",T414," ",V414," ",X414," ",Z414," ",AB414," ","X"," ",Table43[[#This Row],[ISI/CTN]]," ",AD414," ",AF414," ",AJ414))))</f>
        <v>STELLA AEROSOL CAFFE LATTE 350ML X 12 KLG</v>
      </c>
      <c r="Q414" s="11">
        <f>LEN(P414)</f>
        <v>41</v>
      </c>
      <c r="S414" s="7" t="s">
        <v>34</v>
      </c>
      <c r="T414" s="4" t="s">
        <v>2421</v>
      </c>
      <c r="U414" s="47" t="s">
        <v>2584</v>
      </c>
      <c r="V414" s="48" t="s">
        <v>2243</v>
      </c>
      <c r="W414" s="7">
        <v>1</v>
      </c>
      <c r="X414" s="48"/>
      <c r="Y414" s="47" t="s">
        <v>1116</v>
      </c>
      <c r="Z414" s="4" t="s">
        <v>2419</v>
      </c>
      <c r="AA414" s="49" t="s">
        <v>2538</v>
      </c>
      <c r="AB414" s="4" t="s">
        <v>2372</v>
      </c>
      <c r="AC414" s="49" t="s">
        <v>2619</v>
      </c>
      <c r="AD414" s="4" t="s">
        <v>2221</v>
      </c>
      <c r="AE414" s="7">
        <v>1</v>
      </c>
      <c r="AG414" s="7">
        <v>0</v>
      </c>
      <c r="AK414" s="70">
        <f>Table43[[#This Row],[Column4]]</f>
        <v>0</v>
      </c>
      <c r="AN414" s="7">
        <f>Table43[[#This Row],[ISI/CTN]]</f>
        <v>12</v>
      </c>
      <c r="AO414" s="61">
        <f>Table43[[#This Row],[Harga Jual Pcs GT
(-PPN)]]-(Table43[[#This Row],[Harga Jual Pcs GT
(-PPN)]]*6.5%)</f>
        <v>0</v>
      </c>
      <c r="AP414" s="61">
        <f>Table43[[#This Row],[Harga Beli Pcs
(-PPN)]]*Table43[[#This Row],[ISI/CTN]]</f>
        <v>0</v>
      </c>
      <c r="AQ414" s="61">
        <f>Table43[[#This Row],[Harga Beli Pcs
(-PPN)]]*1.11</f>
        <v>0</v>
      </c>
      <c r="AR414" s="61">
        <f>Table43[[#This Row],[Harga Beli Krt
(- PPN)]]*1.11</f>
        <v>0</v>
      </c>
      <c r="AS414" s="61"/>
      <c r="AT414" s="61">
        <f>Table43[[#This Row],[Harga Jual Pcs GT
(-PPN)]]*Table43[[#This Row],[ISI/CTN]]</f>
        <v>0</v>
      </c>
      <c r="AU414" s="61">
        <f>Table43[[#This Row],[Harga Jual Pcs GT
(-PPN)]]*1.11</f>
        <v>0</v>
      </c>
      <c r="AV414" s="61">
        <f>Table43[[#This Row],[Harga Jual Krt GT
(- PPN)]]*1.11</f>
        <v>0</v>
      </c>
      <c r="AW414" s="61">
        <f>IFERROR(VLOOKUP(Table43[[#This Row],[Kode Pcpl]],'[1]FEB 2026'!$A$3:$X$312,24,0),0)</f>
        <v>0</v>
      </c>
      <c r="AX414" s="61">
        <f>Table43[[#This Row],[Harga Jual Pcs MT
(-PPN)]]*Table43[[#This Row],[ISI/CTN]]</f>
        <v>0</v>
      </c>
      <c r="AY414" s="61">
        <f>Table43[[#This Row],[Harga Jual Pcs MT
(-PPN)]]*1.11</f>
        <v>0</v>
      </c>
      <c r="AZ414" s="61">
        <f>Table43[[#This Row],[Harga Jual Pcs MT
(+PPN)]]*Table43[[#This Row],[ISI/CTN]]</f>
        <v>0</v>
      </c>
      <c r="BA414" s="62" t="e">
        <f>(Table43[[#This Row],[Harga Jual Pcs GT
(-PPN)]]-Table43[[#This Row],[Harga Beli Pcs
(-PPN)]])/Table43[[#This Row],[Harga Jual Pcs GT
(-PPN)]]</f>
        <v>#DIV/0!</v>
      </c>
      <c r="BB414" s="63">
        <f>Table43[[#This Row],[Harga Jual Pcs MT
(-PPN)]]-Table43[[#This Row],[Harga Beli Pcs
(-PPN)]]</f>
        <v>0</v>
      </c>
      <c r="BC414" s="64" t="e">
        <f>Table43[[#This Row],[Column1]]/Table43[[#This Row],[Harga Jual Pcs MT
(-PPN)]]</f>
        <v>#DIV/0!</v>
      </c>
      <c r="BD414" s="52"/>
      <c r="BE414" s="7"/>
      <c r="BF414" s="7" t="str">
        <f ca="1">IF(TODAY()-Table43[[#This Row],[Efektif
Pembuatan]]&gt;60,"Lama","Baru")</f>
        <v>Lama</v>
      </c>
      <c r="BG414" s="7" t="str">
        <f ca="1">IF(TODAY()-Table43[[#This Row],[Efektif Naik Harga]]&lt;30,"Naik","Sama")</f>
        <v>Sama</v>
      </c>
      <c r="BH414" s="7"/>
      <c r="BI414" s="7" t="str">
        <f>IF(Table43[[#This Row],[Kode BARANG Win2]]&lt;&gt;"","IDR","")</f>
        <v>IDR</v>
      </c>
      <c r="BJ414" s="7" t="str">
        <f>CONCATENATE(Table43[[#This Row],[kode  1 Digit
(Nomor)]],Table43[[#This Row],[kode  4 Digit                (Nomor)]])</f>
        <v>0350</v>
      </c>
      <c r="BK414" s="7" t="str">
        <f>Table43[[#This Row],[Nama            Gramasi atau Jumlah Pack per CTN]]</f>
        <v>350ML</v>
      </c>
      <c r="BL414" s="7"/>
      <c r="BM414" s="7"/>
      <c r="BN414" s="4" t="str">
        <f>IF(Table43[[#This Row],[SATUAN Fix Win]]&lt;&gt;"","KRT")</f>
        <v>KRT</v>
      </c>
      <c r="BO414" s="4" t="str">
        <f>IF(Table43[[#This Row],[SATUAN Fix Win]]&lt;&gt;"","GD01")</f>
        <v>GD01</v>
      </c>
      <c r="BP414" s="4">
        <f>IF(Table43[[#This Row],[SATUAN Fix Win]]&lt;&gt;"",11611)</f>
        <v>11611</v>
      </c>
      <c r="BQ414" s="4">
        <f>IF(Table43[[#This Row],[SATUAN Fix Win]]&lt;&gt;"",11612)</f>
        <v>11612</v>
      </c>
      <c r="BS414" s="4">
        <f>IF(Table43[[#This Row],[SATUAN Fix Win]]&lt;&gt;"",1)</f>
        <v>1</v>
      </c>
      <c r="BU414" s="4">
        <f>Table43[[#This Row],[ISI/CTN]]</f>
        <v>12</v>
      </c>
    </row>
    <row r="415" spans="1:73">
      <c r="A415" s="4" t="str">
        <f>CONCATENATE(Table43[[#This Row],[Kode BARANG Win2]],Table43[[#This Row],[No. Urut
Item Sama]])</f>
        <v>G1261003035010</v>
      </c>
      <c r="B415" s="7"/>
      <c r="C415" s="31"/>
      <c r="D415" s="51">
        <v>40030005</v>
      </c>
      <c r="E415" s="27"/>
      <c r="F415" s="51"/>
      <c r="G415" s="51"/>
      <c r="H415" s="27"/>
      <c r="I415" s="27">
        <v>12</v>
      </c>
      <c r="J415" s="51" t="s">
        <v>1775</v>
      </c>
      <c r="K415" s="27" t="str">
        <f>Table43[[#This Row],[NamaJenisKemasan]]</f>
        <v>KLG</v>
      </c>
      <c r="L415" s="4" t="str">
        <f>TRIM(CONCATENATE(Table43[[#This Row],[Nama            KLP]]," ",Table43[[#This Row],[Nama            Sub KLP]]))</f>
        <v>STELLA AEROSOL</v>
      </c>
      <c r="M415" s="4" t="str">
        <f>CONCATENATE(Table43[[#This Row],[kode  2 Digit                (hrf+No)]],Table43[[#This Row],[kode  2 Digit                (Nomor)]],Table43[[#This Row],[kode  1 Digit                (Nomor)]])</f>
        <v>G1261</v>
      </c>
      <c r="N415" s="4" t="str">
        <f>IF(AI415="",CONCATENATE(S415,U415,W415,Y415,AA415,AC415,AE415,AG415,Table43[[#This Row],[Tanda Kode Revisi]]),CONCATENATE(S415,U415,W415,Y415,AA415,AC415,AE415,AI415))</f>
        <v>G1261003035010</v>
      </c>
      <c r="O415" s="11">
        <f>LEN(N415)</f>
        <v>14</v>
      </c>
      <c r="P415" s="14" t="str">
        <f>IF(AH415&lt;&gt;"",TRIM(UPPER(CONCATENATE(R415," ",T415," ",V415," ",X415," ",Z415," ",AB415," ","X"," ",Table43[[#This Row],[ISI/CTN]]," ",AH415," ",AD415," ",AF415," ",AJ415))),TRIM(UPPER(CONCATENATE(R415," ",T415," ",V415," ",X415," ",Z415," ",AB415," ","X"," ",Table43[[#This Row],[ISI/CTN]]," ",AD415," ",AF415," ",AJ415))))</f>
        <v>STELLA AEROSOL CAFFE LATTE 350ML X 12 KLG</v>
      </c>
      <c r="Q415" s="11">
        <f>LEN(P415)</f>
        <v>41</v>
      </c>
      <c r="S415" s="7" t="s">
        <v>34</v>
      </c>
      <c r="T415" s="4" t="s">
        <v>2421</v>
      </c>
      <c r="U415" s="47" t="s">
        <v>2584</v>
      </c>
      <c r="V415" s="48" t="s">
        <v>2243</v>
      </c>
      <c r="W415" s="7">
        <v>1</v>
      </c>
      <c r="X415" s="48"/>
      <c r="Y415" s="47" t="s">
        <v>1116</v>
      </c>
      <c r="Z415" s="4" t="s">
        <v>2419</v>
      </c>
      <c r="AA415" s="49" t="s">
        <v>2538</v>
      </c>
      <c r="AB415" s="4" t="s">
        <v>2372</v>
      </c>
      <c r="AC415" s="49" t="s">
        <v>2619</v>
      </c>
      <c r="AD415" s="4" t="s">
        <v>2221</v>
      </c>
      <c r="AE415" s="7">
        <v>1</v>
      </c>
      <c r="AG415" s="7">
        <v>0</v>
      </c>
      <c r="AK415" s="70">
        <f>Table43[[#This Row],[Column4]]</f>
        <v>0</v>
      </c>
      <c r="AN415" s="7">
        <f>Table43[[#This Row],[ISI/CTN]]</f>
        <v>12</v>
      </c>
      <c r="AO415" s="61">
        <f>Table43[[#This Row],[Harga Jual Pcs GT
(-PPN)]]-(Table43[[#This Row],[Harga Jual Pcs GT
(-PPN)]]*6.5%)</f>
        <v>0</v>
      </c>
      <c r="AP415" s="61">
        <f>Table43[[#This Row],[Harga Beli Pcs
(-PPN)]]*Table43[[#This Row],[ISI/CTN]]</f>
        <v>0</v>
      </c>
      <c r="AQ415" s="61">
        <f>Table43[[#This Row],[Harga Beli Pcs
(-PPN)]]*1.11</f>
        <v>0</v>
      </c>
      <c r="AR415" s="61">
        <f>Table43[[#This Row],[Harga Beli Krt
(- PPN)]]*1.11</f>
        <v>0</v>
      </c>
      <c r="AS415" s="61"/>
      <c r="AT415" s="61">
        <f>Table43[[#This Row],[Harga Jual Pcs GT
(-PPN)]]*Table43[[#This Row],[ISI/CTN]]</f>
        <v>0</v>
      </c>
      <c r="AU415" s="61">
        <f>Table43[[#This Row],[Harga Jual Pcs GT
(-PPN)]]*1.11</f>
        <v>0</v>
      </c>
      <c r="AV415" s="61">
        <f>Table43[[#This Row],[Harga Jual Krt GT
(- PPN)]]*1.11</f>
        <v>0</v>
      </c>
      <c r="AW415" s="61">
        <f>IFERROR(VLOOKUP(Table43[[#This Row],[Kode Pcpl]],'[1]FEB 2026'!$A$3:$X$312,24,0),0)</f>
        <v>0</v>
      </c>
      <c r="AX415" s="61">
        <f>Table43[[#This Row],[Harga Jual Pcs MT
(-PPN)]]*Table43[[#This Row],[ISI/CTN]]</f>
        <v>0</v>
      </c>
      <c r="AY415" s="61">
        <f>Table43[[#This Row],[Harga Jual Pcs MT
(-PPN)]]*1.11</f>
        <v>0</v>
      </c>
      <c r="AZ415" s="61">
        <f>Table43[[#This Row],[Harga Jual Pcs MT
(+PPN)]]*Table43[[#This Row],[ISI/CTN]]</f>
        <v>0</v>
      </c>
      <c r="BA415" s="62" t="e">
        <f>(Table43[[#This Row],[Harga Jual Pcs GT
(-PPN)]]-Table43[[#This Row],[Harga Beli Pcs
(-PPN)]])/Table43[[#This Row],[Harga Jual Pcs GT
(-PPN)]]</f>
        <v>#DIV/0!</v>
      </c>
      <c r="BB415" s="63">
        <f>Table43[[#This Row],[Harga Jual Pcs MT
(-PPN)]]-Table43[[#This Row],[Harga Beli Pcs
(-PPN)]]</f>
        <v>0</v>
      </c>
      <c r="BC415" s="64" t="e">
        <f>Table43[[#This Row],[Column1]]/Table43[[#This Row],[Harga Jual Pcs MT
(-PPN)]]</f>
        <v>#DIV/0!</v>
      </c>
      <c r="BD415" s="52"/>
      <c r="BE415" s="7"/>
      <c r="BF415" s="7" t="str">
        <f ca="1">IF(TODAY()-Table43[[#This Row],[Efektif
Pembuatan]]&gt;60,"Lama","Baru")</f>
        <v>Lama</v>
      </c>
      <c r="BG415" s="7" t="str">
        <f ca="1">IF(TODAY()-Table43[[#This Row],[Efektif Naik Harga]]&lt;30,"Naik","Sama")</f>
        <v>Sama</v>
      </c>
      <c r="BH415" s="7"/>
      <c r="BI415" s="7" t="str">
        <f>IF(Table43[[#This Row],[Kode BARANG Win2]]&lt;&gt;"","IDR","")</f>
        <v>IDR</v>
      </c>
      <c r="BJ415" s="7" t="str">
        <f>CONCATENATE(Table43[[#This Row],[kode  1 Digit
(Nomor)]],Table43[[#This Row],[kode  4 Digit                (Nomor)]])</f>
        <v>0350</v>
      </c>
      <c r="BK415" s="7" t="str">
        <f>Table43[[#This Row],[Nama            Gramasi atau Jumlah Pack per CTN]]</f>
        <v>350ML</v>
      </c>
      <c r="BL415" s="7"/>
      <c r="BM415" s="7"/>
      <c r="BN415" s="4" t="str">
        <f>IF(Table43[[#This Row],[SATUAN Fix Win]]&lt;&gt;"","KRT")</f>
        <v>KRT</v>
      </c>
      <c r="BO415" s="4" t="str">
        <f>IF(Table43[[#This Row],[SATUAN Fix Win]]&lt;&gt;"","GD01")</f>
        <v>GD01</v>
      </c>
      <c r="BP415" s="4">
        <f>IF(Table43[[#This Row],[SATUAN Fix Win]]&lt;&gt;"",11611)</f>
        <v>11611</v>
      </c>
      <c r="BQ415" s="4">
        <f>IF(Table43[[#This Row],[SATUAN Fix Win]]&lt;&gt;"",11612)</f>
        <v>11612</v>
      </c>
      <c r="BS415" s="4">
        <f>IF(Table43[[#This Row],[SATUAN Fix Win]]&lt;&gt;"",1)</f>
        <v>1</v>
      </c>
      <c r="BU415" s="4">
        <f>Table43[[#This Row],[ISI/CTN]]</f>
        <v>12</v>
      </c>
    </row>
    <row r="416" spans="1:73">
      <c r="A416" s="4" t="str">
        <f>CONCATENATE(Table43[[#This Row],[Kode BARANG Win2]],Table43[[#This Row],[No. Urut
Item Sama]])</f>
        <v>G1261003035010</v>
      </c>
      <c r="B416" s="7"/>
      <c r="C416" s="31">
        <v>30490040400000</v>
      </c>
      <c r="D416" s="59">
        <v>40057467</v>
      </c>
      <c r="E416" s="60" t="s">
        <v>2093</v>
      </c>
      <c r="F416" s="51">
        <v>30490080350010</v>
      </c>
      <c r="G416" s="59">
        <v>0</v>
      </c>
      <c r="H416" s="60" t="s">
        <v>1409</v>
      </c>
      <c r="I416" s="60">
        <v>12</v>
      </c>
      <c r="J416" s="59" t="s">
        <v>1775</v>
      </c>
      <c r="K416" s="60" t="str">
        <f>Table43[[#This Row],[NamaJenisKemasan]]</f>
        <v>KLG</v>
      </c>
      <c r="L416" s="4" t="str">
        <f>TRIM(CONCATENATE(Table43[[#This Row],[Nama            KLP]]," ",Table43[[#This Row],[Nama            Sub KLP]]))</f>
        <v>STELLA AEROSOL</v>
      </c>
      <c r="M416" s="4" t="str">
        <f>CONCATENATE(Table43[[#This Row],[kode  2 Digit                (hrf+No)]],Table43[[#This Row],[kode  2 Digit                (Nomor)]],Table43[[#This Row],[kode  1 Digit                (Nomor)]])</f>
        <v>G1261</v>
      </c>
      <c r="N416" s="4" t="str">
        <f>IF(AI416="",CONCATENATE(S416,U416,W416,Y416,AA416,AC416,AE416,AG416,Table43[[#This Row],[Tanda Kode Revisi]]),CONCATENATE(S416,U416,W416,Y416,AA416,AC416,AE416,AI416))</f>
        <v>G1261003035010</v>
      </c>
      <c r="O416" s="11">
        <f t="shared" si="10"/>
        <v>14</v>
      </c>
      <c r="P416" s="14" t="str">
        <f>IF(AH416&lt;&gt;"",TRIM(UPPER(CONCATENATE(R416," ",T416," ",V416," ",X416," ",Z416," ",AB416," ","X"," ",Table43[[#This Row],[ISI/CTN]]," ",AH416," ",AD416," ",AF416," ",AJ416))),TRIM(UPPER(CONCATENATE(R416," ",T416," ",V416," ",X416," ",Z416," ",AB416," ","X"," ",Table43[[#This Row],[ISI/CTN]]," ",AD416," ",AF416," ",AJ416))))</f>
        <v>STELLA AEROSOL CAFFE LATTE 350ML X 12 KLG</v>
      </c>
      <c r="Q416" s="11">
        <f t="shared" si="11"/>
        <v>41</v>
      </c>
      <c r="S416" s="7" t="s">
        <v>34</v>
      </c>
      <c r="T416" s="4" t="s">
        <v>2421</v>
      </c>
      <c r="U416" s="47" t="s">
        <v>2584</v>
      </c>
      <c r="V416" s="48" t="s">
        <v>2243</v>
      </c>
      <c r="W416" s="7">
        <v>1</v>
      </c>
      <c r="X416" s="48"/>
      <c r="Y416" s="47" t="s">
        <v>1116</v>
      </c>
      <c r="Z416" s="4" t="s">
        <v>2419</v>
      </c>
      <c r="AA416" s="49" t="s">
        <v>2538</v>
      </c>
      <c r="AB416" s="4" t="s">
        <v>2372</v>
      </c>
      <c r="AC416" s="49" t="s">
        <v>2619</v>
      </c>
      <c r="AD416" s="4" t="s">
        <v>2221</v>
      </c>
      <c r="AE416" s="7">
        <v>1</v>
      </c>
      <c r="AG416" s="7">
        <v>0</v>
      </c>
      <c r="AK416" s="70">
        <f>Table43[[#This Row],[Column4]]</f>
        <v>30490080350010</v>
      </c>
      <c r="AN416" s="7">
        <f>Table43[[#This Row],[ISI/CTN]]</f>
        <v>12</v>
      </c>
      <c r="AO416" s="38">
        <f>Table43[[#This Row],[Harga Jual Pcs GT
(-PPN)]]-(Table43[[#This Row],[Harga Jual Pcs GT
(-PPN)]]*6.5%)</f>
        <v>20383</v>
      </c>
      <c r="AP416" s="38">
        <f>Table43[[#This Row],[Harga Beli Pcs
(-PPN)]]*Table43[[#This Row],[ISI/CTN]]</f>
        <v>244596</v>
      </c>
      <c r="AQ416" s="38">
        <f>Table43[[#This Row],[Harga Beli Pcs
(-PPN)]]*1.11</f>
        <v>22625.13</v>
      </c>
      <c r="AR416" s="38">
        <f>Table43[[#This Row],[Harga Beli Krt
(- PPN)]]*1.11</f>
        <v>271501.56</v>
      </c>
      <c r="AS416" s="38">
        <v>21800</v>
      </c>
      <c r="AT416" s="38">
        <f>Table43[[#This Row],[Harga Jual Pcs GT
(-PPN)]]*Table43[[#This Row],[ISI/CTN]]</f>
        <v>261600</v>
      </c>
      <c r="AU416" s="38">
        <f>Table43[[#This Row],[Harga Jual Pcs GT
(-PPN)]]*1.11</f>
        <v>24198.000000000004</v>
      </c>
      <c r="AV416" s="38">
        <f>Table43[[#This Row],[Harga Jual Krt GT
(- PPN)]]*1.11</f>
        <v>290376</v>
      </c>
      <c r="AW416" s="38">
        <f>IFERROR(VLOOKUP(Table43[[#This Row],[Kode Pcpl]],'[1]FEB 2026'!$A$3:$X$312,24,0),0)</f>
        <v>0</v>
      </c>
      <c r="AX416" s="38">
        <f>Table43[[#This Row],[Harga Jual Pcs MT
(-PPN)]]*Table43[[#This Row],[ISI/CTN]]</f>
        <v>0</v>
      </c>
      <c r="AY416" s="38">
        <f>Table43[[#This Row],[Harga Jual Pcs MT
(-PPN)]]*1.11</f>
        <v>0</v>
      </c>
      <c r="AZ416" s="38">
        <f>Table43[[#This Row],[Harga Jual Pcs MT
(+PPN)]]*Table43[[#This Row],[ISI/CTN]]</f>
        <v>0</v>
      </c>
      <c r="BA416" s="46">
        <f>(Table43[[#This Row],[Harga Jual Pcs GT
(-PPN)]]-Table43[[#This Row],[Harga Beli Pcs
(-PPN)]])/Table43[[#This Row],[Harga Jual Pcs GT
(-PPN)]]</f>
        <v>6.5000000000000002E-2</v>
      </c>
      <c r="BB416" s="53">
        <f>Table43[[#This Row],[Harga Jual Pcs MT
(-PPN)]]-Table43[[#This Row],[Harga Beli Pcs
(-PPN)]]</f>
        <v>-20383</v>
      </c>
      <c r="BC416" s="54" t="e">
        <f>Table43[[#This Row],[Column1]]/Table43[[#This Row],[Harga Jual Pcs MT
(-PPN)]]</f>
        <v>#DIV/0!</v>
      </c>
      <c r="BD416" s="52"/>
      <c r="BE416" s="7"/>
      <c r="BF416" s="7" t="str">
        <f ca="1">IF(TODAY()-Table43[[#This Row],[Efektif
Pembuatan]]&gt;60,"Lama","Baru")</f>
        <v>Lama</v>
      </c>
      <c r="BG416" s="7" t="str">
        <f ca="1">IF(TODAY()-Table43[[#This Row],[Efektif Naik Harga]]&lt;30,"Naik","Sama")</f>
        <v>Sama</v>
      </c>
      <c r="BH416" s="7"/>
      <c r="BI416" s="7" t="str">
        <f>IF(Table43[[#This Row],[Kode BARANG Win2]]&lt;&gt;"","IDR","")</f>
        <v>IDR</v>
      </c>
      <c r="BJ416" s="7" t="str">
        <f>CONCATENATE(Table43[[#This Row],[kode  1 Digit
(Nomor)]],Table43[[#This Row],[kode  4 Digit                (Nomor)]])</f>
        <v>0350</v>
      </c>
      <c r="BK416" s="7" t="str">
        <f>Table43[[#This Row],[Nama            Gramasi atau Jumlah Pack per CTN]]</f>
        <v>350ML</v>
      </c>
      <c r="BL416" s="7"/>
      <c r="BM416" s="7"/>
      <c r="BN416" s="4" t="str">
        <f>IF(Table43[[#This Row],[SATUAN Fix Win]]&lt;&gt;"","KRT")</f>
        <v>KRT</v>
      </c>
      <c r="BO416" s="4" t="str">
        <f>IF(Table43[[#This Row],[SATUAN Fix Win]]&lt;&gt;"","GD01")</f>
        <v>GD01</v>
      </c>
      <c r="BP416" s="4">
        <f>IF(Table43[[#This Row],[SATUAN Fix Win]]&lt;&gt;"",11611)</f>
        <v>11611</v>
      </c>
      <c r="BQ416" s="4">
        <f>IF(Table43[[#This Row],[SATUAN Fix Win]]&lt;&gt;"",11612)</f>
        <v>11612</v>
      </c>
      <c r="BS416" s="4">
        <f>IF(Table43[[#This Row],[SATUAN Fix Win]]&lt;&gt;"",1)</f>
        <v>1</v>
      </c>
      <c r="BU416" s="4">
        <f>Table43[[#This Row],[ISI/CTN]]</f>
        <v>12</v>
      </c>
    </row>
    <row r="417" spans="1:73">
      <c r="A417" s="4" t="str">
        <f>CONCATENATE(Table43[[#This Row],[Kode BARANG Win2]],Table43[[#This Row],[No. Urut
Item Sama]])</f>
        <v>G1261004017510</v>
      </c>
      <c r="B417" s="7"/>
      <c r="C417" s="31">
        <v>30490080350010</v>
      </c>
      <c r="D417" s="51">
        <v>40059914</v>
      </c>
      <c r="E417" s="27" t="s">
        <v>2088</v>
      </c>
      <c r="F417" s="51">
        <v>30490030200000</v>
      </c>
      <c r="G417" s="51">
        <v>0</v>
      </c>
      <c r="H417" s="27" t="s">
        <v>1400</v>
      </c>
      <c r="I417" s="27">
        <v>12</v>
      </c>
      <c r="J417" s="51" t="s">
        <v>1770</v>
      </c>
      <c r="K417" s="27" t="str">
        <f>Table43[[#This Row],[NamaJenisKemasan]]</f>
        <v>KLG</v>
      </c>
      <c r="L417" s="4" t="str">
        <f>TRIM(CONCATENATE(Table43[[#This Row],[Nama            KLP]]," ",Table43[[#This Row],[Nama            Sub KLP]]))</f>
        <v>STELLA AEROSOL</v>
      </c>
      <c r="M417" s="4" t="str">
        <f>CONCATENATE(Table43[[#This Row],[kode  2 Digit                (hrf+No)]],Table43[[#This Row],[kode  2 Digit                (Nomor)]],Table43[[#This Row],[kode  1 Digit                (Nomor)]])</f>
        <v>G1261</v>
      </c>
      <c r="N417" s="4" t="str">
        <f>IF(AI417="",CONCATENATE(S417,U417,W417,Y417,AA417,AC417,AE417,AG417,Table43[[#This Row],[Tanda Kode Revisi]]),CONCATENATE(S417,U417,W417,Y417,AA417,AC417,AE417,AI417))</f>
        <v>G1261004017510</v>
      </c>
      <c r="O417" s="11">
        <f t="shared" si="10"/>
        <v>14</v>
      </c>
      <c r="P417" s="14" t="str">
        <f>IF(AH417&lt;&gt;"",TRIM(UPPER(CONCATENATE(R417," ",T417," ",V417," ",X417," ",Z417," ",AB417," ","X"," ",Table43[[#This Row],[ISI/CTN]]," ",AH417," ",AD417," ",AF417," ",AJ417))),TRIM(UPPER(CONCATENATE(R417," ",T417," ",V417," ",X417," ",Z417," ",AB417," ","X"," ",Table43[[#This Row],[ISI/CTN]]," ",AD417," ",AF417," ",AJ417))))</f>
        <v>STELLA AEROSOL JAPANESE SAKURA 175ML X 12 KLG</v>
      </c>
      <c r="Q417" s="11">
        <f t="shared" si="11"/>
        <v>45</v>
      </c>
      <c r="S417" s="7" t="s">
        <v>34</v>
      </c>
      <c r="T417" s="4" t="s">
        <v>2421</v>
      </c>
      <c r="U417" s="47" t="s">
        <v>2584</v>
      </c>
      <c r="V417" s="48" t="s">
        <v>2243</v>
      </c>
      <c r="W417" s="7">
        <v>1</v>
      </c>
      <c r="X417" s="48"/>
      <c r="Y417" s="47" t="s">
        <v>1116</v>
      </c>
      <c r="Z417" s="4" t="s">
        <v>2248</v>
      </c>
      <c r="AA417" s="49" t="s">
        <v>2540</v>
      </c>
      <c r="AB417" s="4" t="s">
        <v>2214</v>
      </c>
      <c r="AC417" s="49" t="s">
        <v>2600</v>
      </c>
      <c r="AD417" s="4" t="s">
        <v>2221</v>
      </c>
      <c r="AE417" s="7">
        <v>1</v>
      </c>
      <c r="AG417" s="7">
        <v>0</v>
      </c>
      <c r="AK417" s="70">
        <f>Table43[[#This Row],[Column4]]</f>
        <v>30490030200000</v>
      </c>
      <c r="AN417" s="7">
        <f>Table43[[#This Row],[ISI/CTN]]</f>
        <v>12</v>
      </c>
      <c r="AO417" s="61">
        <f>Table43[[#This Row],[Harga Jual Pcs GT
(-PPN)]]-(Table43[[#This Row],[Harga Jual Pcs GT
(-PPN)]]*6.5%)</f>
        <v>14025</v>
      </c>
      <c r="AP417" s="61">
        <f>Table43[[#This Row],[Harga Beli Pcs
(-PPN)]]*Table43[[#This Row],[ISI/CTN]]</f>
        <v>168300</v>
      </c>
      <c r="AQ417" s="61">
        <f>Table43[[#This Row],[Harga Beli Pcs
(-PPN)]]*1.11</f>
        <v>15567.750000000002</v>
      </c>
      <c r="AR417" s="61">
        <f>Table43[[#This Row],[Harga Beli Krt
(- PPN)]]*1.11</f>
        <v>186813.00000000003</v>
      </c>
      <c r="AS417" s="61">
        <v>15000</v>
      </c>
      <c r="AT417" s="61">
        <f>Table43[[#This Row],[Harga Jual Pcs GT
(-PPN)]]*Table43[[#This Row],[ISI/CTN]]</f>
        <v>180000</v>
      </c>
      <c r="AU417" s="61">
        <f>Table43[[#This Row],[Harga Jual Pcs GT
(-PPN)]]*1.11</f>
        <v>16650</v>
      </c>
      <c r="AV417" s="61">
        <f>Table43[[#This Row],[Harga Jual Krt GT
(- PPN)]]*1.11</f>
        <v>199800.00000000003</v>
      </c>
      <c r="AW417" s="61">
        <f>IFERROR(VLOOKUP(Table43[[#This Row],[Kode Pcpl]],'[1]FEB 2026'!$A$3:$X$312,24,0),0)</f>
        <v>0</v>
      </c>
      <c r="AX417" s="61">
        <f>Table43[[#This Row],[Harga Jual Pcs MT
(-PPN)]]*Table43[[#This Row],[ISI/CTN]]</f>
        <v>0</v>
      </c>
      <c r="AY417" s="61">
        <f>Table43[[#This Row],[Harga Jual Pcs MT
(-PPN)]]*1.11</f>
        <v>0</v>
      </c>
      <c r="AZ417" s="61">
        <f>Table43[[#This Row],[Harga Jual Pcs MT
(+PPN)]]*Table43[[#This Row],[ISI/CTN]]</f>
        <v>0</v>
      </c>
      <c r="BA417" s="62">
        <f>(Table43[[#This Row],[Harga Jual Pcs GT
(-PPN)]]-Table43[[#This Row],[Harga Beli Pcs
(-PPN)]])/Table43[[#This Row],[Harga Jual Pcs GT
(-PPN)]]</f>
        <v>6.5000000000000002E-2</v>
      </c>
      <c r="BB417" s="63">
        <f>Table43[[#This Row],[Harga Jual Pcs MT
(-PPN)]]-Table43[[#This Row],[Harga Beli Pcs
(-PPN)]]</f>
        <v>-14025</v>
      </c>
      <c r="BC417" s="64" t="e">
        <f>Table43[[#This Row],[Column1]]/Table43[[#This Row],[Harga Jual Pcs MT
(-PPN)]]</f>
        <v>#DIV/0!</v>
      </c>
      <c r="BD417" s="52"/>
      <c r="BE417" s="7"/>
      <c r="BF417" s="7" t="str">
        <f ca="1">IF(TODAY()-Table43[[#This Row],[Efektif
Pembuatan]]&gt;60,"Lama","Baru")</f>
        <v>Lama</v>
      </c>
      <c r="BG417" s="7" t="str">
        <f ca="1">IF(TODAY()-Table43[[#This Row],[Efektif Naik Harga]]&lt;30,"Naik","Sama")</f>
        <v>Sama</v>
      </c>
      <c r="BH417" s="7"/>
      <c r="BI417" s="7" t="str">
        <f>IF(Table43[[#This Row],[Kode BARANG Win2]]&lt;&gt;"","IDR","")</f>
        <v>IDR</v>
      </c>
      <c r="BJ417" s="7" t="str">
        <f>CONCATENATE(Table43[[#This Row],[kode  1 Digit
(Nomor)]],Table43[[#This Row],[kode  4 Digit                (Nomor)]])</f>
        <v>0175</v>
      </c>
      <c r="BK417" s="7" t="str">
        <f>Table43[[#This Row],[Nama            Gramasi atau Jumlah Pack per CTN]]</f>
        <v>175ML</v>
      </c>
      <c r="BL417" s="7"/>
      <c r="BM417" s="7"/>
      <c r="BN417" s="4" t="str">
        <f>IF(Table43[[#This Row],[SATUAN Fix Win]]&lt;&gt;"","KRT")</f>
        <v>KRT</v>
      </c>
      <c r="BO417" s="4" t="str">
        <f>IF(Table43[[#This Row],[SATUAN Fix Win]]&lt;&gt;"","GD01")</f>
        <v>GD01</v>
      </c>
      <c r="BP417" s="4">
        <f>IF(Table43[[#This Row],[SATUAN Fix Win]]&lt;&gt;"",11611)</f>
        <v>11611</v>
      </c>
      <c r="BQ417" s="4">
        <f>IF(Table43[[#This Row],[SATUAN Fix Win]]&lt;&gt;"",11612)</f>
        <v>11612</v>
      </c>
      <c r="BS417" s="4">
        <f>IF(Table43[[#This Row],[SATUAN Fix Win]]&lt;&gt;"",1)</f>
        <v>1</v>
      </c>
      <c r="BU417" s="4">
        <f>Table43[[#This Row],[ISI/CTN]]</f>
        <v>12</v>
      </c>
    </row>
    <row r="418" spans="1:73">
      <c r="A418" s="4" t="str">
        <f>CONCATENATE(Table43[[#This Row],[Kode BARANG Win2]],Table43[[#This Row],[No. Urut
Item Sama]])</f>
        <v>G1261004017510</v>
      </c>
      <c r="B418" s="7"/>
      <c r="C418" s="31">
        <v>30490080350010</v>
      </c>
      <c r="D418" s="59">
        <v>40057479</v>
      </c>
      <c r="E418" s="60" t="s">
        <v>2088</v>
      </c>
      <c r="F418" s="59">
        <v>30490030200000</v>
      </c>
      <c r="G418" s="59">
        <v>0</v>
      </c>
      <c r="H418" s="60" t="s">
        <v>1399</v>
      </c>
      <c r="I418" s="60">
        <v>12</v>
      </c>
      <c r="J418" s="59" t="s">
        <v>1770</v>
      </c>
      <c r="K418" s="60" t="str">
        <f>Table43[[#This Row],[NamaJenisKemasan]]</f>
        <v>KLG</v>
      </c>
      <c r="L418" s="4" t="str">
        <f>TRIM(CONCATENATE(Table43[[#This Row],[Nama            KLP]]," ",Table43[[#This Row],[Nama            Sub KLP]]))</f>
        <v>STELLA AEROSOL</v>
      </c>
      <c r="M418" s="4" t="str">
        <f>CONCATENATE(Table43[[#This Row],[kode  2 Digit                (hrf+No)]],Table43[[#This Row],[kode  2 Digit                (Nomor)]],Table43[[#This Row],[kode  1 Digit                (Nomor)]])</f>
        <v>G1261</v>
      </c>
      <c r="N418" s="4" t="str">
        <f>IF(AI418="",CONCATENATE(S418,U418,W418,Y418,AA418,AC418,AE418,AG418,Table43[[#This Row],[Tanda Kode Revisi]]),CONCATENATE(S418,U418,W418,Y418,AA418,AC418,AE418,AI418))</f>
        <v>G1261004017510</v>
      </c>
      <c r="O418" s="11">
        <f t="shared" si="10"/>
        <v>14</v>
      </c>
      <c r="P418" s="14" t="str">
        <f>IF(AH418&lt;&gt;"",TRIM(UPPER(CONCATENATE(R418," ",T418," ",V418," ",X418," ",Z418," ",AB418," ","X"," ",Table43[[#This Row],[ISI/CTN]]," ",AH418," ",AD418," ",AF418," ",AJ418))),TRIM(UPPER(CONCATENATE(R418," ",T418," ",V418," ",X418," ",Z418," ",AB418," ","X"," ",Table43[[#This Row],[ISI/CTN]]," ",AD418," ",AF418," ",AJ418))))</f>
        <v>STELLA AEROSOL JAPANESE SAKURA 175ML X 12 KLG</v>
      </c>
      <c r="Q418" s="11">
        <f t="shared" si="11"/>
        <v>45</v>
      </c>
      <c r="S418" s="7" t="s">
        <v>34</v>
      </c>
      <c r="T418" s="4" t="s">
        <v>2421</v>
      </c>
      <c r="U418" s="47" t="s">
        <v>2584</v>
      </c>
      <c r="V418" s="48" t="s">
        <v>2243</v>
      </c>
      <c r="W418" s="7">
        <v>1</v>
      </c>
      <c r="X418" s="48"/>
      <c r="Y418" s="47" t="s">
        <v>1116</v>
      </c>
      <c r="Z418" s="4" t="s">
        <v>2248</v>
      </c>
      <c r="AA418" s="49" t="s">
        <v>2540</v>
      </c>
      <c r="AB418" s="4" t="s">
        <v>2214</v>
      </c>
      <c r="AC418" s="49" t="s">
        <v>2600</v>
      </c>
      <c r="AD418" s="4" t="s">
        <v>2221</v>
      </c>
      <c r="AE418" s="7">
        <v>1</v>
      </c>
      <c r="AG418" s="7">
        <v>0</v>
      </c>
      <c r="AK418" s="70">
        <f>Table43[[#This Row],[Column4]]</f>
        <v>30490030200000</v>
      </c>
      <c r="AN418" s="7">
        <f>Table43[[#This Row],[ISI/CTN]]</f>
        <v>12</v>
      </c>
      <c r="AO418" s="38">
        <f>Table43[[#This Row],[Harga Jual Pcs GT
(-PPN)]]-(Table43[[#This Row],[Harga Jual Pcs GT
(-PPN)]]*6.5%)</f>
        <v>14025</v>
      </c>
      <c r="AP418" s="38">
        <f>Table43[[#This Row],[Harga Beli Pcs
(-PPN)]]*Table43[[#This Row],[ISI/CTN]]</f>
        <v>168300</v>
      </c>
      <c r="AQ418" s="38">
        <f>Table43[[#This Row],[Harga Beli Pcs
(-PPN)]]*1.11</f>
        <v>15567.750000000002</v>
      </c>
      <c r="AR418" s="38">
        <f>Table43[[#This Row],[Harga Beli Krt
(- PPN)]]*1.11</f>
        <v>186813.00000000003</v>
      </c>
      <c r="AS418" s="38">
        <v>15000</v>
      </c>
      <c r="AT418" s="38">
        <f>Table43[[#This Row],[Harga Jual Pcs GT
(-PPN)]]*Table43[[#This Row],[ISI/CTN]]</f>
        <v>180000</v>
      </c>
      <c r="AU418" s="38">
        <f>Table43[[#This Row],[Harga Jual Pcs GT
(-PPN)]]*1.11</f>
        <v>16650</v>
      </c>
      <c r="AV418" s="38">
        <f>Table43[[#This Row],[Harga Jual Krt GT
(- PPN)]]*1.11</f>
        <v>199800.00000000003</v>
      </c>
      <c r="AW418" s="38">
        <f>IFERROR(VLOOKUP(Table43[[#This Row],[Kode Pcpl]],'[1]FEB 2026'!$A$3:$X$312,24,0),0)</f>
        <v>0</v>
      </c>
      <c r="AX418" s="38">
        <f>Table43[[#This Row],[Harga Jual Pcs MT
(-PPN)]]*Table43[[#This Row],[ISI/CTN]]</f>
        <v>0</v>
      </c>
      <c r="AY418" s="38">
        <f>Table43[[#This Row],[Harga Jual Pcs MT
(-PPN)]]*1.11</f>
        <v>0</v>
      </c>
      <c r="AZ418" s="38">
        <f>Table43[[#This Row],[Harga Jual Pcs MT
(+PPN)]]*Table43[[#This Row],[ISI/CTN]]</f>
        <v>0</v>
      </c>
      <c r="BA418" s="46">
        <f>(Table43[[#This Row],[Harga Jual Pcs GT
(-PPN)]]-Table43[[#This Row],[Harga Beli Pcs
(-PPN)]])/Table43[[#This Row],[Harga Jual Pcs GT
(-PPN)]]</f>
        <v>6.5000000000000002E-2</v>
      </c>
      <c r="BB418" s="53">
        <f>Table43[[#This Row],[Harga Jual Pcs MT
(-PPN)]]-Table43[[#This Row],[Harga Beli Pcs
(-PPN)]]</f>
        <v>-14025</v>
      </c>
      <c r="BC418" s="54" t="e">
        <f>Table43[[#This Row],[Column1]]/Table43[[#This Row],[Harga Jual Pcs MT
(-PPN)]]</f>
        <v>#DIV/0!</v>
      </c>
      <c r="BD418" s="52"/>
      <c r="BE418" s="7"/>
      <c r="BF418" s="7" t="str">
        <f ca="1">IF(TODAY()-Table43[[#This Row],[Efektif
Pembuatan]]&gt;60,"Lama","Baru")</f>
        <v>Lama</v>
      </c>
      <c r="BG418" s="7" t="str">
        <f ca="1">IF(TODAY()-Table43[[#This Row],[Efektif Naik Harga]]&lt;30,"Naik","Sama")</f>
        <v>Sama</v>
      </c>
      <c r="BH418" s="7"/>
      <c r="BI418" s="7" t="str">
        <f>IF(Table43[[#This Row],[Kode BARANG Win2]]&lt;&gt;"","IDR","")</f>
        <v>IDR</v>
      </c>
      <c r="BJ418" s="7" t="str">
        <f>CONCATENATE(Table43[[#This Row],[kode  1 Digit
(Nomor)]],Table43[[#This Row],[kode  4 Digit                (Nomor)]])</f>
        <v>0175</v>
      </c>
      <c r="BK418" s="7" t="str">
        <f>Table43[[#This Row],[Nama            Gramasi atau Jumlah Pack per CTN]]</f>
        <v>175ML</v>
      </c>
      <c r="BL418" s="7"/>
      <c r="BM418" s="7"/>
      <c r="BN418" s="4" t="str">
        <f>IF(Table43[[#This Row],[SATUAN Fix Win]]&lt;&gt;"","KRT")</f>
        <v>KRT</v>
      </c>
      <c r="BO418" s="4" t="str">
        <f>IF(Table43[[#This Row],[SATUAN Fix Win]]&lt;&gt;"","GD01")</f>
        <v>GD01</v>
      </c>
      <c r="BP418" s="4">
        <f>IF(Table43[[#This Row],[SATUAN Fix Win]]&lt;&gt;"",11611)</f>
        <v>11611</v>
      </c>
      <c r="BQ418" s="4">
        <f>IF(Table43[[#This Row],[SATUAN Fix Win]]&lt;&gt;"",11612)</f>
        <v>11612</v>
      </c>
      <c r="BS418" s="4">
        <f>IF(Table43[[#This Row],[SATUAN Fix Win]]&lt;&gt;"",1)</f>
        <v>1</v>
      </c>
      <c r="BU418" s="4">
        <f>Table43[[#This Row],[ISI/CTN]]</f>
        <v>12</v>
      </c>
    </row>
    <row r="419" spans="1:73">
      <c r="A419" s="4" t="str">
        <f>CONCATENATE(Table43[[#This Row],[Kode BARANG Win2]],Table43[[#This Row],[No. Urut
Item Sama]])</f>
        <v>G1261004035010</v>
      </c>
      <c r="B419" s="7"/>
      <c r="C419" s="31">
        <v>30490080200010</v>
      </c>
      <c r="D419" s="51">
        <v>40059931</v>
      </c>
      <c r="E419" s="27" t="s">
        <v>2089</v>
      </c>
      <c r="F419" s="59">
        <v>30490030350000</v>
      </c>
      <c r="G419" s="51">
        <v>0</v>
      </c>
      <c r="H419" s="27" t="s">
        <v>1402</v>
      </c>
      <c r="I419" s="27">
        <v>12</v>
      </c>
      <c r="J419" s="51" t="s">
        <v>1771</v>
      </c>
      <c r="K419" s="27" t="str">
        <f>Table43[[#This Row],[NamaJenisKemasan]]</f>
        <v>KLG</v>
      </c>
      <c r="L419" s="4" t="str">
        <f>TRIM(CONCATENATE(Table43[[#This Row],[Nama            KLP]]," ",Table43[[#This Row],[Nama            Sub KLP]]))</f>
        <v>STELLA AEROSOL</v>
      </c>
      <c r="M419" s="4" t="str">
        <f>CONCATENATE(Table43[[#This Row],[kode  2 Digit                (hrf+No)]],Table43[[#This Row],[kode  2 Digit                (Nomor)]],Table43[[#This Row],[kode  1 Digit                (Nomor)]])</f>
        <v>G1261</v>
      </c>
      <c r="N419" s="4" t="str">
        <f>IF(AI419="",CONCATENATE(S419,U419,W419,Y419,AA419,AC419,AE419,AG419,Table43[[#This Row],[Tanda Kode Revisi]]),CONCATENATE(S419,U419,W419,Y419,AA419,AC419,AE419,AI419))</f>
        <v>G1261004035010</v>
      </c>
      <c r="O419" s="11">
        <f t="shared" si="10"/>
        <v>14</v>
      </c>
      <c r="P419" s="14" t="str">
        <f>IF(AH419&lt;&gt;"",TRIM(UPPER(CONCATENATE(R419," ",T419," ",V419," ",X419," ",Z419," ",AB419," ","X"," ",Table43[[#This Row],[ISI/CTN]]," ",AH419," ",AD419," ",AF419," ",AJ419))),TRIM(UPPER(CONCATENATE(R419," ",T419," ",V419," ",X419," ",Z419," ",AB419," ","X"," ",Table43[[#This Row],[ISI/CTN]]," ",AD419," ",AF419," ",AJ419))))</f>
        <v>STELLA AEROSOL JAPANESE SAKURA 350ML X 12 KLG</v>
      </c>
      <c r="Q419" s="11">
        <f t="shared" si="11"/>
        <v>45</v>
      </c>
      <c r="S419" s="7" t="s">
        <v>34</v>
      </c>
      <c r="T419" s="4" t="s">
        <v>2421</v>
      </c>
      <c r="U419" s="47" t="s">
        <v>2584</v>
      </c>
      <c r="V419" s="48" t="s">
        <v>2243</v>
      </c>
      <c r="W419" s="7">
        <v>1</v>
      </c>
      <c r="X419" s="48"/>
      <c r="Y419" s="47" t="s">
        <v>1116</v>
      </c>
      <c r="Z419" s="4" t="s">
        <v>2248</v>
      </c>
      <c r="AA419" s="49" t="s">
        <v>2540</v>
      </c>
      <c r="AB419" s="4" t="s">
        <v>2372</v>
      </c>
      <c r="AC419" s="49" t="s">
        <v>2619</v>
      </c>
      <c r="AD419" s="4" t="s">
        <v>2221</v>
      </c>
      <c r="AE419" s="7">
        <v>1</v>
      </c>
      <c r="AG419" s="7">
        <v>0</v>
      </c>
      <c r="AK419" s="70">
        <f>Table43[[#This Row],[Column4]]</f>
        <v>30490030350000</v>
      </c>
      <c r="AN419" s="7">
        <f>Table43[[#This Row],[ISI/CTN]]</f>
        <v>12</v>
      </c>
      <c r="AO419" s="61">
        <f>Table43[[#This Row],[Harga Jual Pcs GT
(-PPN)]]-(Table43[[#This Row],[Harga Jual Pcs GT
(-PPN)]]*6.5%)</f>
        <v>20383</v>
      </c>
      <c r="AP419" s="61">
        <f>Table43[[#This Row],[Harga Beli Pcs
(-PPN)]]*Table43[[#This Row],[ISI/CTN]]</f>
        <v>244596</v>
      </c>
      <c r="AQ419" s="61">
        <f>Table43[[#This Row],[Harga Beli Pcs
(-PPN)]]*1.11</f>
        <v>22625.13</v>
      </c>
      <c r="AR419" s="61">
        <f>Table43[[#This Row],[Harga Beli Krt
(- PPN)]]*1.11</f>
        <v>271501.56</v>
      </c>
      <c r="AS419" s="61">
        <v>21800</v>
      </c>
      <c r="AT419" s="61">
        <f>Table43[[#This Row],[Harga Jual Pcs GT
(-PPN)]]*Table43[[#This Row],[ISI/CTN]]</f>
        <v>261600</v>
      </c>
      <c r="AU419" s="61">
        <f>Table43[[#This Row],[Harga Jual Pcs GT
(-PPN)]]*1.11</f>
        <v>24198.000000000004</v>
      </c>
      <c r="AV419" s="61">
        <f>Table43[[#This Row],[Harga Jual Krt GT
(- PPN)]]*1.11</f>
        <v>290376</v>
      </c>
      <c r="AW419" s="61">
        <f>IFERROR(VLOOKUP(Table43[[#This Row],[Kode Pcpl]],'[1]FEB 2026'!$A$3:$X$312,24,0),0)</f>
        <v>0</v>
      </c>
      <c r="AX419" s="61">
        <f>Table43[[#This Row],[Harga Jual Pcs MT
(-PPN)]]*Table43[[#This Row],[ISI/CTN]]</f>
        <v>0</v>
      </c>
      <c r="AY419" s="61">
        <f>Table43[[#This Row],[Harga Jual Pcs MT
(-PPN)]]*1.11</f>
        <v>0</v>
      </c>
      <c r="AZ419" s="61">
        <f>Table43[[#This Row],[Harga Jual Pcs MT
(+PPN)]]*Table43[[#This Row],[ISI/CTN]]</f>
        <v>0</v>
      </c>
      <c r="BA419" s="62">
        <f>(Table43[[#This Row],[Harga Jual Pcs GT
(-PPN)]]-Table43[[#This Row],[Harga Beli Pcs
(-PPN)]])/Table43[[#This Row],[Harga Jual Pcs GT
(-PPN)]]</f>
        <v>6.5000000000000002E-2</v>
      </c>
      <c r="BB419" s="63">
        <f>Table43[[#This Row],[Harga Jual Pcs MT
(-PPN)]]-Table43[[#This Row],[Harga Beli Pcs
(-PPN)]]</f>
        <v>-20383</v>
      </c>
      <c r="BC419" s="64" t="e">
        <f>Table43[[#This Row],[Column1]]/Table43[[#This Row],[Harga Jual Pcs MT
(-PPN)]]</f>
        <v>#DIV/0!</v>
      </c>
      <c r="BD419" s="52"/>
      <c r="BE419" s="7"/>
      <c r="BF419" s="7" t="str">
        <f ca="1">IF(TODAY()-Table43[[#This Row],[Efektif
Pembuatan]]&gt;60,"Lama","Baru")</f>
        <v>Lama</v>
      </c>
      <c r="BG419" s="7" t="str">
        <f ca="1">IF(TODAY()-Table43[[#This Row],[Efektif Naik Harga]]&lt;30,"Naik","Sama")</f>
        <v>Sama</v>
      </c>
      <c r="BH419" s="7"/>
      <c r="BI419" s="7" t="str">
        <f>IF(Table43[[#This Row],[Kode BARANG Win2]]&lt;&gt;"","IDR","")</f>
        <v>IDR</v>
      </c>
      <c r="BJ419" s="7" t="str">
        <f>CONCATENATE(Table43[[#This Row],[kode  1 Digit
(Nomor)]],Table43[[#This Row],[kode  4 Digit                (Nomor)]])</f>
        <v>0350</v>
      </c>
      <c r="BK419" s="7" t="str">
        <f>Table43[[#This Row],[Nama            Gramasi atau Jumlah Pack per CTN]]</f>
        <v>350ML</v>
      </c>
      <c r="BL419" s="7"/>
      <c r="BM419" s="7"/>
      <c r="BN419" s="4" t="str">
        <f>IF(Table43[[#This Row],[SATUAN Fix Win]]&lt;&gt;"","KRT")</f>
        <v>KRT</v>
      </c>
      <c r="BO419" s="4" t="str">
        <f>IF(Table43[[#This Row],[SATUAN Fix Win]]&lt;&gt;"","GD01")</f>
        <v>GD01</v>
      </c>
      <c r="BP419" s="4">
        <f>IF(Table43[[#This Row],[SATUAN Fix Win]]&lt;&gt;"",11611)</f>
        <v>11611</v>
      </c>
      <c r="BQ419" s="4">
        <f>IF(Table43[[#This Row],[SATUAN Fix Win]]&lt;&gt;"",11612)</f>
        <v>11612</v>
      </c>
      <c r="BS419" s="4">
        <f>IF(Table43[[#This Row],[SATUAN Fix Win]]&lt;&gt;"",1)</f>
        <v>1</v>
      </c>
      <c r="BU419" s="4">
        <f>Table43[[#This Row],[ISI/CTN]]</f>
        <v>12</v>
      </c>
    </row>
    <row r="420" spans="1:73">
      <c r="A420" s="4" t="str">
        <f>CONCATENATE(Table43[[#This Row],[Kode BARANG Win2]],Table43[[#This Row],[No. Urut
Item Sama]])</f>
        <v>G1261004035010</v>
      </c>
      <c r="B420" s="7"/>
      <c r="C420" s="31">
        <v>30490090350010</v>
      </c>
      <c r="D420" s="51">
        <v>40057469</v>
      </c>
      <c r="E420" s="27" t="s">
        <v>2089</v>
      </c>
      <c r="F420" s="51">
        <v>30490030350000</v>
      </c>
      <c r="G420" s="51">
        <v>0</v>
      </c>
      <c r="H420" s="27" t="s">
        <v>1401</v>
      </c>
      <c r="I420" s="27">
        <v>12</v>
      </c>
      <c r="J420" s="51" t="s">
        <v>1771</v>
      </c>
      <c r="K420" s="27" t="str">
        <f>Table43[[#This Row],[NamaJenisKemasan]]</f>
        <v>KLG</v>
      </c>
      <c r="L420" s="4" t="str">
        <f>TRIM(CONCATENATE(Table43[[#This Row],[Nama            KLP]]," ",Table43[[#This Row],[Nama            Sub KLP]]))</f>
        <v>STELLA AEROSOL</v>
      </c>
      <c r="M420" s="4" t="str">
        <f>CONCATENATE(Table43[[#This Row],[kode  2 Digit                (hrf+No)]],Table43[[#This Row],[kode  2 Digit                (Nomor)]],Table43[[#This Row],[kode  1 Digit                (Nomor)]])</f>
        <v>G1261</v>
      </c>
      <c r="N420" s="4" t="str">
        <f>IF(AI420="",CONCATENATE(S420,U420,W420,Y420,AA420,AC420,AE420,AG420,Table43[[#This Row],[Tanda Kode Revisi]]),CONCATENATE(S420,U420,W420,Y420,AA420,AC420,AE420,AI420))</f>
        <v>G1261004035010</v>
      </c>
      <c r="O420" s="11">
        <f t="shared" si="10"/>
        <v>14</v>
      </c>
      <c r="P420" s="14" t="str">
        <f>IF(AH420&lt;&gt;"",TRIM(UPPER(CONCATENATE(R420," ",T420," ",V420," ",X420," ",Z420," ",AB420," ","X"," ",Table43[[#This Row],[ISI/CTN]]," ",AH420," ",AD420," ",AF420," ",AJ420))),TRIM(UPPER(CONCATENATE(R420," ",T420," ",V420," ",X420," ",Z420," ",AB420," ","X"," ",Table43[[#This Row],[ISI/CTN]]," ",AD420," ",AF420," ",AJ420))))</f>
        <v>STELLA AEROSOL JAPANESE SAKURA 350ML X 12 KLG</v>
      </c>
      <c r="Q420" s="11">
        <f t="shared" si="11"/>
        <v>45</v>
      </c>
      <c r="S420" s="7" t="s">
        <v>34</v>
      </c>
      <c r="T420" s="4" t="s">
        <v>2421</v>
      </c>
      <c r="U420" s="47" t="s">
        <v>2584</v>
      </c>
      <c r="V420" s="48" t="s">
        <v>2243</v>
      </c>
      <c r="W420" s="7">
        <v>1</v>
      </c>
      <c r="X420" s="48"/>
      <c r="Y420" s="47" t="s">
        <v>1116</v>
      </c>
      <c r="Z420" s="4" t="s">
        <v>2248</v>
      </c>
      <c r="AA420" s="49" t="s">
        <v>2540</v>
      </c>
      <c r="AB420" s="4" t="s">
        <v>2372</v>
      </c>
      <c r="AC420" s="49" t="s">
        <v>2619</v>
      </c>
      <c r="AD420" s="4" t="s">
        <v>2221</v>
      </c>
      <c r="AE420" s="7">
        <v>1</v>
      </c>
      <c r="AG420" s="7">
        <v>0</v>
      </c>
      <c r="AK420" s="70">
        <f>Table43[[#This Row],[Column4]]</f>
        <v>30490030350000</v>
      </c>
      <c r="AN420" s="7">
        <f>Table43[[#This Row],[ISI/CTN]]</f>
        <v>12</v>
      </c>
      <c r="AO420" s="38">
        <f>Table43[[#This Row],[Harga Jual Pcs GT
(-PPN)]]-(Table43[[#This Row],[Harga Jual Pcs GT
(-PPN)]]*6.5%)</f>
        <v>20383</v>
      </c>
      <c r="AP420" s="38">
        <f>Table43[[#This Row],[Harga Beli Pcs
(-PPN)]]*Table43[[#This Row],[ISI/CTN]]</f>
        <v>244596</v>
      </c>
      <c r="AQ420" s="38">
        <f>Table43[[#This Row],[Harga Beli Pcs
(-PPN)]]*1.11</f>
        <v>22625.13</v>
      </c>
      <c r="AR420" s="38">
        <f>Table43[[#This Row],[Harga Beli Krt
(- PPN)]]*1.11</f>
        <v>271501.56</v>
      </c>
      <c r="AS420" s="38">
        <v>21800</v>
      </c>
      <c r="AT420" s="38">
        <f>Table43[[#This Row],[Harga Jual Pcs GT
(-PPN)]]*Table43[[#This Row],[ISI/CTN]]</f>
        <v>261600</v>
      </c>
      <c r="AU420" s="38">
        <f>Table43[[#This Row],[Harga Jual Pcs GT
(-PPN)]]*1.11</f>
        <v>24198.000000000004</v>
      </c>
      <c r="AV420" s="38">
        <f>Table43[[#This Row],[Harga Jual Krt GT
(- PPN)]]*1.11</f>
        <v>290376</v>
      </c>
      <c r="AW420" s="38">
        <f>IFERROR(VLOOKUP(Table43[[#This Row],[Kode Pcpl]],'[1]FEB 2026'!$A$3:$X$312,24,0),0)</f>
        <v>0</v>
      </c>
      <c r="AX420" s="38">
        <f>Table43[[#This Row],[Harga Jual Pcs MT
(-PPN)]]*Table43[[#This Row],[ISI/CTN]]</f>
        <v>0</v>
      </c>
      <c r="AY420" s="38">
        <f>Table43[[#This Row],[Harga Jual Pcs MT
(-PPN)]]*1.11</f>
        <v>0</v>
      </c>
      <c r="AZ420" s="38">
        <f>Table43[[#This Row],[Harga Jual Pcs MT
(+PPN)]]*Table43[[#This Row],[ISI/CTN]]</f>
        <v>0</v>
      </c>
      <c r="BA420" s="46">
        <f>(Table43[[#This Row],[Harga Jual Pcs GT
(-PPN)]]-Table43[[#This Row],[Harga Beli Pcs
(-PPN)]])/Table43[[#This Row],[Harga Jual Pcs GT
(-PPN)]]</f>
        <v>6.5000000000000002E-2</v>
      </c>
      <c r="BB420" s="53">
        <f>Table43[[#This Row],[Harga Jual Pcs MT
(-PPN)]]-Table43[[#This Row],[Harga Beli Pcs
(-PPN)]]</f>
        <v>-20383</v>
      </c>
      <c r="BC420" s="54" t="e">
        <f>Table43[[#This Row],[Column1]]/Table43[[#This Row],[Harga Jual Pcs MT
(-PPN)]]</f>
        <v>#DIV/0!</v>
      </c>
      <c r="BD420" s="52"/>
      <c r="BE420" s="7"/>
      <c r="BF420" s="7" t="str">
        <f ca="1">IF(TODAY()-Table43[[#This Row],[Efektif
Pembuatan]]&gt;60,"Lama","Baru")</f>
        <v>Lama</v>
      </c>
      <c r="BG420" s="7" t="str">
        <f ca="1">IF(TODAY()-Table43[[#This Row],[Efektif Naik Harga]]&lt;30,"Naik","Sama")</f>
        <v>Sama</v>
      </c>
      <c r="BH420" s="7"/>
      <c r="BI420" s="7" t="str">
        <f>IF(Table43[[#This Row],[Kode BARANG Win2]]&lt;&gt;"","IDR","")</f>
        <v>IDR</v>
      </c>
      <c r="BJ420" s="7" t="str">
        <f>CONCATENATE(Table43[[#This Row],[kode  1 Digit
(Nomor)]],Table43[[#This Row],[kode  4 Digit                (Nomor)]])</f>
        <v>0350</v>
      </c>
      <c r="BK420" s="7" t="str">
        <f>Table43[[#This Row],[Nama            Gramasi atau Jumlah Pack per CTN]]</f>
        <v>350ML</v>
      </c>
      <c r="BL420" s="7"/>
      <c r="BM420" s="7"/>
      <c r="BN420" s="4" t="str">
        <f>IF(Table43[[#This Row],[SATUAN Fix Win]]&lt;&gt;"","KRT")</f>
        <v>KRT</v>
      </c>
      <c r="BO420" s="4" t="str">
        <f>IF(Table43[[#This Row],[SATUAN Fix Win]]&lt;&gt;"","GD01")</f>
        <v>GD01</v>
      </c>
      <c r="BP420" s="4">
        <f>IF(Table43[[#This Row],[SATUAN Fix Win]]&lt;&gt;"",11611)</f>
        <v>11611</v>
      </c>
      <c r="BQ420" s="4">
        <f>IF(Table43[[#This Row],[SATUAN Fix Win]]&lt;&gt;"",11612)</f>
        <v>11612</v>
      </c>
      <c r="BS420" s="4">
        <f>IF(Table43[[#This Row],[SATUAN Fix Win]]&lt;&gt;"",1)</f>
        <v>1</v>
      </c>
      <c r="BU420" s="4">
        <f>Table43[[#This Row],[ISI/CTN]]</f>
        <v>12</v>
      </c>
    </row>
    <row r="421" spans="1:73">
      <c r="A421" s="4" t="str">
        <f>CONCATENATE(Table43[[#This Row],[Kode BARANG Win2]],Table43[[#This Row],[No. Urut
Item Sama]])</f>
        <v>G1261004035010</v>
      </c>
      <c r="B421" s="7"/>
      <c r="C421" s="31"/>
      <c r="D421" s="51">
        <v>40043452</v>
      </c>
      <c r="E421" s="27"/>
      <c r="F421" s="51"/>
      <c r="G421" s="51"/>
      <c r="H421" s="27"/>
      <c r="I421" s="27">
        <v>12</v>
      </c>
      <c r="J421" s="51" t="s">
        <v>1771</v>
      </c>
      <c r="K421" s="27" t="str">
        <f>Table43[[#This Row],[NamaJenisKemasan]]</f>
        <v>KLG</v>
      </c>
      <c r="L421" s="4" t="str">
        <f>TRIM(CONCATENATE(Table43[[#This Row],[Nama            KLP]]," ",Table43[[#This Row],[Nama            Sub KLP]]))</f>
        <v>STELLA AEROSOL</v>
      </c>
      <c r="M421" s="4" t="str">
        <f>CONCATENATE(Table43[[#This Row],[kode  2 Digit                (hrf+No)]],Table43[[#This Row],[kode  2 Digit                (Nomor)]],Table43[[#This Row],[kode  1 Digit                (Nomor)]])</f>
        <v>G1261</v>
      </c>
      <c r="N421" s="4" t="str">
        <f>IF(AI421="",CONCATENATE(S421,U421,W421,Y421,AA421,AC421,AE421,AG421,Table43[[#This Row],[Tanda Kode Revisi]]),CONCATENATE(S421,U421,W421,Y421,AA421,AC421,AE421,AI421))</f>
        <v>G1261004035010</v>
      </c>
      <c r="O421" s="11">
        <f>LEN(N421)</f>
        <v>14</v>
      </c>
      <c r="P421" s="14" t="str">
        <f>IF(AH421&lt;&gt;"",TRIM(UPPER(CONCATENATE(R421," ",T421," ",V421," ",X421," ",Z421," ",AB421," ","X"," ",Table43[[#This Row],[ISI/CTN]]," ",AH421," ",AD421," ",AF421," ",AJ421))),TRIM(UPPER(CONCATENATE(R421," ",T421," ",V421," ",X421," ",Z421," ",AB421," ","X"," ",Table43[[#This Row],[ISI/CTN]]," ",AD421," ",AF421," ",AJ421))))</f>
        <v>STELLA AEROSOL JAPANESE SAKURA 350ML X 12 KLG</v>
      </c>
      <c r="Q421" s="11">
        <f>LEN(P421)</f>
        <v>45</v>
      </c>
      <c r="S421" s="7" t="s">
        <v>34</v>
      </c>
      <c r="T421" s="4" t="s">
        <v>2421</v>
      </c>
      <c r="U421" s="47" t="s">
        <v>2584</v>
      </c>
      <c r="V421" s="48" t="s">
        <v>2243</v>
      </c>
      <c r="W421" s="7">
        <v>1</v>
      </c>
      <c r="X421" s="48"/>
      <c r="Y421" s="47" t="s">
        <v>1116</v>
      </c>
      <c r="Z421" s="4" t="s">
        <v>2248</v>
      </c>
      <c r="AA421" s="49" t="s">
        <v>2540</v>
      </c>
      <c r="AB421" s="4" t="s">
        <v>2372</v>
      </c>
      <c r="AC421" s="49" t="s">
        <v>2619</v>
      </c>
      <c r="AD421" s="4" t="s">
        <v>2221</v>
      </c>
      <c r="AE421" s="7">
        <v>1</v>
      </c>
      <c r="AG421" s="7">
        <v>0</v>
      </c>
      <c r="AK421" s="70">
        <f>Table43[[#This Row],[Column4]]</f>
        <v>0</v>
      </c>
      <c r="AN421" s="7">
        <f>Table43[[#This Row],[ISI/CTN]]</f>
        <v>12</v>
      </c>
      <c r="AO421" s="38">
        <f>Table43[[#This Row],[Harga Jual Pcs GT
(-PPN)]]-(Table43[[#This Row],[Harga Jual Pcs GT
(-PPN)]]*6.5%)</f>
        <v>0</v>
      </c>
      <c r="AP421" s="38">
        <f>Table43[[#This Row],[Harga Beli Pcs
(-PPN)]]*Table43[[#This Row],[ISI/CTN]]</f>
        <v>0</v>
      </c>
      <c r="AQ421" s="38">
        <f>Table43[[#This Row],[Harga Beli Pcs
(-PPN)]]*1.11</f>
        <v>0</v>
      </c>
      <c r="AR421" s="38">
        <f>Table43[[#This Row],[Harga Beli Krt
(- PPN)]]*1.11</f>
        <v>0</v>
      </c>
      <c r="AS421" s="38"/>
      <c r="AT421" s="38">
        <f>Table43[[#This Row],[Harga Jual Pcs GT
(-PPN)]]*Table43[[#This Row],[ISI/CTN]]</f>
        <v>0</v>
      </c>
      <c r="AU421" s="38">
        <f>Table43[[#This Row],[Harga Jual Pcs GT
(-PPN)]]*1.11</f>
        <v>0</v>
      </c>
      <c r="AV421" s="38">
        <f>Table43[[#This Row],[Harga Jual Krt GT
(- PPN)]]*1.11</f>
        <v>0</v>
      </c>
      <c r="AW421" s="38">
        <f>IFERROR(VLOOKUP(Table43[[#This Row],[Kode Pcpl]],'[1]FEB 2026'!$A$3:$X$312,24,0),0)</f>
        <v>0</v>
      </c>
      <c r="AX421" s="38">
        <f>Table43[[#This Row],[Harga Jual Pcs MT
(-PPN)]]*Table43[[#This Row],[ISI/CTN]]</f>
        <v>0</v>
      </c>
      <c r="AY421" s="38">
        <f>Table43[[#This Row],[Harga Jual Pcs MT
(-PPN)]]*1.11</f>
        <v>0</v>
      </c>
      <c r="AZ421" s="38">
        <f>Table43[[#This Row],[Harga Jual Pcs MT
(+PPN)]]*Table43[[#This Row],[ISI/CTN]]</f>
        <v>0</v>
      </c>
      <c r="BA421" s="46" t="e">
        <f>(Table43[[#This Row],[Harga Jual Pcs GT
(-PPN)]]-Table43[[#This Row],[Harga Beli Pcs
(-PPN)]])/Table43[[#This Row],[Harga Jual Pcs GT
(-PPN)]]</f>
        <v>#DIV/0!</v>
      </c>
      <c r="BB421" s="53">
        <f>Table43[[#This Row],[Harga Jual Pcs MT
(-PPN)]]-Table43[[#This Row],[Harga Beli Pcs
(-PPN)]]</f>
        <v>0</v>
      </c>
      <c r="BC421" s="54" t="e">
        <f>Table43[[#This Row],[Column1]]/Table43[[#This Row],[Harga Jual Pcs MT
(-PPN)]]</f>
        <v>#DIV/0!</v>
      </c>
      <c r="BD421" s="52"/>
      <c r="BE421" s="7"/>
      <c r="BF421" s="7" t="str">
        <f ca="1">IF(TODAY()-Table43[[#This Row],[Efektif
Pembuatan]]&gt;60,"Lama","Baru")</f>
        <v>Lama</v>
      </c>
      <c r="BG421" s="7" t="str">
        <f ca="1">IF(TODAY()-Table43[[#This Row],[Efektif Naik Harga]]&lt;30,"Naik","Sama")</f>
        <v>Sama</v>
      </c>
      <c r="BH421" s="7"/>
      <c r="BI421" s="7" t="str">
        <f>IF(Table43[[#This Row],[Kode BARANG Win2]]&lt;&gt;"","IDR","")</f>
        <v>IDR</v>
      </c>
      <c r="BJ421" s="7" t="str">
        <f>CONCATENATE(Table43[[#This Row],[kode  1 Digit
(Nomor)]],Table43[[#This Row],[kode  4 Digit                (Nomor)]])</f>
        <v>0350</v>
      </c>
      <c r="BK421" s="7" t="str">
        <f>Table43[[#This Row],[Nama            Gramasi atau Jumlah Pack per CTN]]</f>
        <v>350ML</v>
      </c>
      <c r="BL421" s="7"/>
      <c r="BM421" s="7"/>
      <c r="BN421" s="4" t="str">
        <f>IF(Table43[[#This Row],[SATUAN Fix Win]]&lt;&gt;"","KRT")</f>
        <v>KRT</v>
      </c>
      <c r="BO421" s="4" t="str">
        <f>IF(Table43[[#This Row],[SATUAN Fix Win]]&lt;&gt;"","GD01")</f>
        <v>GD01</v>
      </c>
      <c r="BP421" s="4">
        <f>IF(Table43[[#This Row],[SATUAN Fix Win]]&lt;&gt;"",11611)</f>
        <v>11611</v>
      </c>
      <c r="BQ421" s="4">
        <f>IF(Table43[[#This Row],[SATUAN Fix Win]]&lt;&gt;"",11612)</f>
        <v>11612</v>
      </c>
      <c r="BS421" s="4">
        <f>IF(Table43[[#This Row],[SATUAN Fix Win]]&lt;&gt;"",1)</f>
        <v>1</v>
      </c>
      <c r="BU421" s="4">
        <f>Table43[[#This Row],[ISI/CTN]]</f>
        <v>12</v>
      </c>
    </row>
    <row r="422" spans="1:73">
      <c r="A422" s="4" t="str">
        <f>CONCATENATE(Table43[[#This Row],[Kode BARANG Win2]],Table43[[#This Row],[No. Urut
Item Sama]])</f>
        <v>G1261005017510</v>
      </c>
      <c r="B422" s="7"/>
      <c r="C422" s="31">
        <v>30500030042000</v>
      </c>
      <c r="D422" s="51">
        <v>40057478</v>
      </c>
      <c r="E422" s="27" t="s">
        <v>2096</v>
      </c>
      <c r="F422" s="51">
        <v>30490110200000</v>
      </c>
      <c r="G422" s="51">
        <v>0</v>
      </c>
      <c r="H422" s="27" t="s">
        <v>1414</v>
      </c>
      <c r="I422" s="27">
        <v>12</v>
      </c>
      <c r="J422" s="51" t="s">
        <v>1778</v>
      </c>
      <c r="K422" s="27" t="str">
        <f>Table43[[#This Row],[NamaJenisKemasan]]</f>
        <v>KLG</v>
      </c>
      <c r="L422" s="4" t="str">
        <f>TRIM(CONCATENATE(Table43[[#This Row],[Nama            KLP]]," ",Table43[[#This Row],[Nama            Sub KLP]]))</f>
        <v>STELLA AEROSOL</v>
      </c>
      <c r="M422" s="4" t="str">
        <f>CONCATENATE(Table43[[#This Row],[kode  2 Digit                (hrf+No)]],Table43[[#This Row],[kode  2 Digit                (Nomor)]],Table43[[#This Row],[kode  1 Digit                (Nomor)]])</f>
        <v>G1261</v>
      </c>
      <c r="N422" s="4" t="str">
        <f>IF(AI422="",CONCATENATE(S422,U422,W422,Y422,AA422,AC422,AE422,AG422,Table43[[#This Row],[Tanda Kode Revisi]]),CONCATENATE(S422,U422,W422,Y422,AA422,AC422,AE422,AI422))</f>
        <v>G1261005017510</v>
      </c>
      <c r="O422" s="11">
        <f t="shared" si="10"/>
        <v>14</v>
      </c>
      <c r="P422" s="14" t="str">
        <f>IF(AH422&lt;&gt;"",TRIM(UPPER(CONCATENATE(R422," ",T422," ",V422," ",X422," ",Z422," ",AB422," ","X"," ",Table43[[#This Row],[ISI/CTN]]," ",AH422," ",AD422," ",AF422," ",AJ422))),TRIM(UPPER(CONCATENATE(R422," ",T422," ",V422," ",X422," ",Z422," ",AB422," ","X"," ",Table43[[#This Row],[ISI/CTN]]," ",AD422," ",AF422," ",AJ422))))</f>
        <v>STELLA AEROSOL LAVENDER 175ML X 12 KLG</v>
      </c>
      <c r="Q422" s="11">
        <f t="shared" si="11"/>
        <v>38</v>
      </c>
      <c r="S422" s="7" t="s">
        <v>34</v>
      </c>
      <c r="T422" s="4" t="s">
        <v>2421</v>
      </c>
      <c r="U422" s="47" t="s">
        <v>2584</v>
      </c>
      <c r="V422" s="48" t="s">
        <v>2243</v>
      </c>
      <c r="W422" s="7">
        <v>1</v>
      </c>
      <c r="X422" s="48"/>
      <c r="Y422" s="47" t="s">
        <v>1116</v>
      </c>
      <c r="Z422" s="4" t="s">
        <v>2426</v>
      </c>
      <c r="AA422" s="49" t="s">
        <v>2541</v>
      </c>
      <c r="AB422" s="4" t="s">
        <v>2214</v>
      </c>
      <c r="AC422" s="49" t="s">
        <v>2600</v>
      </c>
      <c r="AD422" s="4" t="s">
        <v>2221</v>
      </c>
      <c r="AE422" s="7">
        <v>1</v>
      </c>
      <c r="AG422" s="7">
        <v>0</v>
      </c>
      <c r="AK422" s="70">
        <f>Table43[[#This Row],[Column4]]</f>
        <v>30490110200000</v>
      </c>
      <c r="AN422" s="7">
        <f>Table43[[#This Row],[ISI/CTN]]</f>
        <v>12</v>
      </c>
      <c r="AO422" s="38">
        <f>Table43[[#This Row],[Harga Jual Pcs GT
(-PPN)]]-(Table43[[#This Row],[Harga Jual Pcs GT
(-PPN)]]*6.5%)</f>
        <v>14025</v>
      </c>
      <c r="AP422" s="38">
        <f>Table43[[#This Row],[Harga Beli Pcs
(-PPN)]]*Table43[[#This Row],[ISI/CTN]]</f>
        <v>168300</v>
      </c>
      <c r="AQ422" s="38">
        <f>Table43[[#This Row],[Harga Beli Pcs
(-PPN)]]*1.11</f>
        <v>15567.750000000002</v>
      </c>
      <c r="AR422" s="38">
        <f>Table43[[#This Row],[Harga Beli Krt
(- PPN)]]*1.11</f>
        <v>186813.00000000003</v>
      </c>
      <c r="AS422" s="38">
        <v>15000</v>
      </c>
      <c r="AT422" s="38">
        <f>Table43[[#This Row],[Harga Jual Pcs GT
(-PPN)]]*Table43[[#This Row],[ISI/CTN]]</f>
        <v>180000</v>
      </c>
      <c r="AU422" s="38">
        <f>Table43[[#This Row],[Harga Jual Pcs GT
(-PPN)]]*1.11</f>
        <v>16650</v>
      </c>
      <c r="AV422" s="38">
        <f>Table43[[#This Row],[Harga Jual Krt GT
(- PPN)]]*1.11</f>
        <v>199800.00000000003</v>
      </c>
      <c r="AW422" s="38">
        <f>IFERROR(VLOOKUP(Table43[[#This Row],[Kode Pcpl]],'[1]FEB 2026'!$A$3:$X$312,24,0),0)</f>
        <v>0</v>
      </c>
      <c r="AX422" s="38">
        <f>Table43[[#This Row],[Harga Jual Pcs MT
(-PPN)]]*Table43[[#This Row],[ISI/CTN]]</f>
        <v>0</v>
      </c>
      <c r="AY422" s="38">
        <f>Table43[[#This Row],[Harga Jual Pcs MT
(-PPN)]]*1.11</f>
        <v>0</v>
      </c>
      <c r="AZ422" s="38">
        <f>Table43[[#This Row],[Harga Jual Pcs MT
(+PPN)]]*Table43[[#This Row],[ISI/CTN]]</f>
        <v>0</v>
      </c>
      <c r="BA422" s="46">
        <f>(Table43[[#This Row],[Harga Jual Pcs GT
(-PPN)]]-Table43[[#This Row],[Harga Beli Pcs
(-PPN)]])/Table43[[#This Row],[Harga Jual Pcs GT
(-PPN)]]</f>
        <v>6.5000000000000002E-2</v>
      </c>
      <c r="BB422" s="53">
        <f>Table43[[#This Row],[Harga Jual Pcs MT
(-PPN)]]-Table43[[#This Row],[Harga Beli Pcs
(-PPN)]]</f>
        <v>-14025</v>
      </c>
      <c r="BC422" s="54" t="e">
        <f>Table43[[#This Row],[Column1]]/Table43[[#This Row],[Harga Jual Pcs MT
(-PPN)]]</f>
        <v>#DIV/0!</v>
      </c>
      <c r="BD422" s="52"/>
      <c r="BE422" s="7"/>
      <c r="BF422" s="7" t="str">
        <f ca="1">IF(TODAY()-Table43[[#This Row],[Efektif
Pembuatan]]&gt;60,"Lama","Baru")</f>
        <v>Lama</v>
      </c>
      <c r="BG422" s="7" t="str">
        <f ca="1">IF(TODAY()-Table43[[#This Row],[Efektif Naik Harga]]&lt;30,"Naik","Sama")</f>
        <v>Sama</v>
      </c>
      <c r="BH422" s="7"/>
      <c r="BI422" s="7" t="str">
        <f>IF(Table43[[#This Row],[Kode BARANG Win2]]&lt;&gt;"","IDR","")</f>
        <v>IDR</v>
      </c>
      <c r="BJ422" s="7" t="str">
        <f>CONCATENATE(Table43[[#This Row],[kode  1 Digit
(Nomor)]],Table43[[#This Row],[kode  4 Digit                (Nomor)]])</f>
        <v>0175</v>
      </c>
      <c r="BK422" s="7" t="str">
        <f>Table43[[#This Row],[Nama            Gramasi atau Jumlah Pack per CTN]]</f>
        <v>175ML</v>
      </c>
      <c r="BL422" s="7"/>
      <c r="BM422" s="7"/>
      <c r="BN422" s="4" t="str">
        <f>IF(Table43[[#This Row],[SATUAN Fix Win]]&lt;&gt;"","KRT")</f>
        <v>KRT</v>
      </c>
      <c r="BO422" s="4" t="str">
        <f>IF(Table43[[#This Row],[SATUAN Fix Win]]&lt;&gt;"","GD01")</f>
        <v>GD01</v>
      </c>
      <c r="BP422" s="4">
        <f>IF(Table43[[#This Row],[SATUAN Fix Win]]&lt;&gt;"",11611)</f>
        <v>11611</v>
      </c>
      <c r="BQ422" s="4">
        <f>IF(Table43[[#This Row],[SATUAN Fix Win]]&lt;&gt;"",11612)</f>
        <v>11612</v>
      </c>
      <c r="BS422" s="4">
        <f>IF(Table43[[#This Row],[SATUAN Fix Win]]&lt;&gt;"",1)</f>
        <v>1</v>
      </c>
      <c r="BU422" s="4">
        <f>Table43[[#This Row],[ISI/CTN]]</f>
        <v>12</v>
      </c>
    </row>
    <row r="423" spans="1:73">
      <c r="A423" s="4" t="str">
        <f>CONCATENATE(Table43[[#This Row],[Kode BARANG Win2]],Table43[[#This Row],[No. Urut
Item Sama]])</f>
        <v>G1261005017510</v>
      </c>
      <c r="B423" s="7"/>
      <c r="C423" s="31"/>
      <c r="D423" s="51">
        <v>40029148</v>
      </c>
      <c r="E423" s="27"/>
      <c r="F423" s="51"/>
      <c r="G423" s="51"/>
      <c r="H423" s="27"/>
      <c r="I423" s="27">
        <v>12</v>
      </c>
      <c r="J423" s="51" t="s">
        <v>1778</v>
      </c>
      <c r="K423" s="27" t="str">
        <f>Table43[[#This Row],[NamaJenisKemasan]]</f>
        <v>KLG</v>
      </c>
      <c r="L423" s="4" t="str">
        <f>TRIM(CONCATENATE(Table43[[#This Row],[Nama            KLP]]," ",Table43[[#This Row],[Nama            Sub KLP]]))</f>
        <v>STELLA AEROSOL</v>
      </c>
      <c r="M423" s="4" t="str">
        <f>CONCATENATE(Table43[[#This Row],[kode  2 Digit                (hrf+No)]],Table43[[#This Row],[kode  2 Digit                (Nomor)]],Table43[[#This Row],[kode  1 Digit                (Nomor)]])</f>
        <v>G1261</v>
      </c>
      <c r="N423" s="4" t="str">
        <f>IF(AI423="",CONCATENATE(S423,U423,W423,Y423,AA423,AC423,AE423,AG423,Table43[[#This Row],[Tanda Kode Revisi]]),CONCATENATE(S423,U423,W423,Y423,AA423,AC423,AE423,AI423))</f>
        <v>G1261005017510</v>
      </c>
      <c r="O423" s="11">
        <f>LEN(N423)</f>
        <v>14</v>
      </c>
      <c r="P423" s="14" t="str">
        <f>IF(AH423&lt;&gt;"",TRIM(UPPER(CONCATENATE(R423," ",T423," ",V423," ",X423," ",Z423," ",AB423," ","X"," ",Table43[[#This Row],[ISI/CTN]]," ",AH423," ",AD423," ",AF423," ",AJ423))),TRIM(UPPER(CONCATENATE(R423," ",T423," ",V423," ",X423," ",Z423," ",AB423," ","X"," ",Table43[[#This Row],[ISI/CTN]]," ",AD423," ",AF423," ",AJ423))))</f>
        <v>STELLA AEROSOL LAVENDER 175ML X 12 KLG</v>
      </c>
      <c r="Q423" s="11">
        <f>LEN(P423)</f>
        <v>38</v>
      </c>
      <c r="S423" s="7" t="s">
        <v>34</v>
      </c>
      <c r="T423" s="4" t="s">
        <v>2421</v>
      </c>
      <c r="U423" s="47" t="s">
        <v>2584</v>
      </c>
      <c r="V423" s="48" t="s">
        <v>2243</v>
      </c>
      <c r="W423" s="7">
        <v>1</v>
      </c>
      <c r="X423" s="48"/>
      <c r="Y423" s="47" t="s">
        <v>1116</v>
      </c>
      <c r="Z423" s="4" t="s">
        <v>2426</v>
      </c>
      <c r="AA423" s="49" t="s">
        <v>2541</v>
      </c>
      <c r="AB423" s="4" t="s">
        <v>2214</v>
      </c>
      <c r="AC423" s="49" t="s">
        <v>2600</v>
      </c>
      <c r="AD423" s="4" t="s">
        <v>2221</v>
      </c>
      <c r="AE423" s="7">
        <v>1</v>
      </c>
      <c r="AG423" s="7">
        <v>0</v>
      </c>
      <c r="AK423" s="70">
        <f>Table43[[#This Row],[Column4]]</f>
        <v>0</v>
      </c>
      <c r="AN423" s="7">
        <f>Table43[[#This Row],[ISI/CTN]]</f>
        <v>12</v>
      </c>
      <c r="AO423" s="38">
        <f>Table43[[#This Row],[Harga Jual Pcs GT
(-PPN)]]-(Table43[[#This Row],[Harga Jual Pcs GT
(-PPN)]]*6.5%)</f>
        <v>0</v>
      </c>
      <c r="AP423" s="38">
        <f>Table43[[#This Row],[Harga Beli Pcs
(-PPN)]]*Table43[[#This Row],[ISI/CTN]]</f>
        <v>0</v>
      </c>
      <c r="AQ423" s="38">
        <f>Table43[[#This Row],[Harga Beli Pcs
(-PPN)]]*1.11</f>
        <v>0</v>
      </c>
      <c r="AR423" s="38">
        <f>Table43[[#This Row],[Harga Beli Krt
(- PPN)]]*1.11</f>
        <v>0</v>
      </c>
      <c r="AS423" s="38"/>
      <c r="AT423" s="38">
        <f>Table43[[#This Row],[Harga Jual Pcs GT
(-PPN)]]*Table43[[#This Row],[ISI/CTN]]</f>
        <v>0</v>
      </c>
      <c r="AU423" s="38">
        <f>Table43[[#This Row],[Harga Jual Pcs GT
(-PPN)]]*1.11</f>
        <v>0</v>
      </c>
      <c r="AV423" s="38">
        <f>Table43[[#This Row],[Harga Jual Krt GT
(- PPN)]]*1.11</f>
        <v>0</v>
      </c>
      <c r="AW423" s="38">
        <f>IFERROR(VLOOKUP(Table43[[#This Row],[Kode Pcpl]],'[1]FEB 2026'!$A$3:$X$312,24,0),0)</f>
        <v>0</v>
      </c>
      <c r="AX423" s="38">
        <f>Table43[[#This Row],[Harga Jual Pcs MT
(-PPN)]]*Table43[[#This Row],[ISI/CTN]]</f>
        <v>0</v>
      </c>
      <c r="AY423" s="38">
        <f>Table43[[#This Row],[Harga Jual Pcs MT
(-PPN)]]*1.11</f>
        <v>0</v>
      </c>
      <c r="AZ423" s="38">
        <f>Table43[[#This Row],[Harga Jual Pcs MT
(+PPN)]]*Table43[[#This Row],[ISI/CTN]]</f>
        <v>0</v>
      </c>
      <c r="BA423" s="46" t="e">
        <f>(Table43[[#This Row],[Harga Jual Pcs GT
(-PPN)]]-Table43[[#This Row],[Harga Beli Pcs
(-PPN)]])/Table43[[#This Row],[Harga Jual Pcs GT
(-PPN)]]</f>
        <v>#DIV/0!</v>
      </c>
      <c r="BB423" s="53">
        <f>Table43[[#This Row],[Harga Jual Pcs MT
(-PPN)]]-Table43[[#This Row],[Harga Beli Pcs
(-PPN)]]</f>
        <v>0</v>
      </c>
      <c r="BC423" s="54" t="e">
        <f>Table43[[#This Row],[Column1]]/Table43[[#This Row],[Harga Jual Pcs MT
(-PPN)]]</f>
        <v>#DIV/0!</v>
      </c>
      <c r="BD423" s="52"/>
      <c r="BE423" s="7"/>
      <c r="BF423" s="7" t="str">
        <f ca="1">IF(TODAY()-Table43[[#This Row],[Efektif
Pembuatan]]&gt;60,"Lama","Baru")</f>
        <v>Lama</v>
      </c>
      <c r="BG423" s="7" t="str">
        <f ca="1">IF(TODAY()-Table43[[#This Row],[Efektif Naik Harga]]&lt;30,"Naik","Sama")</f>
        <v>Sama</v>
      </c>
      <c r="BH423" s="7"/>
      <c r="BI423" s="7" t="str">
        <f>IF(Table43[[#This Row],[Kode BARANG Win2]]&lt;&gt;"","IDR","")</f>
        <v>IDR</v>
      </c>
      <c r="BJ423" s="7" t="str">
        <f>CONCATENATE(Table43[[#This Row],[kode  1 Digit
(Nomor)]],Table43[[#This Row],[kode  4 Digit                (Nomor)]])</f>
        <v>0175</v>
      </c>
      <c r="BK423" s="7" t="str">
        <f>Table43[[#This Row],[Nama            Gramasi atau Jumlah Pack per CTN]]</f>
        <v>175ML</v>
      </c>
      <c r="BL423" s="7"/>
      <c r="BM423" s="7"/>
      <c r="BN423" s="4" t="str">
        <f>IF(Table43[[#This Row],[SATUAN Fix Win]]&lt;&gt;"","KRT")</f>
        <v>KRT</v>
      </c>
      <c r="BO423" s="4" t="str">
        <f>IF(Table43[[#This Row],[SATUAN Fix Win]]&lt;&gt;"","GD01")</f>
        <v>GD01</v>
      </c>
      <c r="BP423" s="4">
        <f>IF(Table43[[#This Row],[SATUAN Fix Win]]&lt;&gt;"",11611)</f>
        <v>11611</v>
      </c>
      <c r="BQ423" s="4">
        <f>IF(Table43[[#This Row],[SATUAN Fix Win]]&lt;&gt;"",11612)</f>
        <v>11612</v>
      </c>
      <c r="BS423" s="4">
        <f>IF(Table43[[#This Row],[SATUAN Fix Win]]&lt;&gt;"",1)</f>
        <v>1</v>
      </c>
      <c r="BU423" s="4">
        <f>Table43[[#This Row],[ISI/CTN]]</f>
        <v>12</v>
      </c>
    </row>
    <row r="424" spans="1:73">
      <c r="A424" s="4" t="str">
        <f>CONCATENATE(Table43[[#This Row],[Kode BARANG Win2]],Table43[[#This Row],[No. Urut
Item Sama]])</f>
        <v>G1261005017510</v>
      </c>
      <c r="B424" s="7"/>
      <c r="C424" s="31">
        <v>30500030042002</v>
      </c>
      <c r="D424" s="51">
        <v>40059913</v>
      </c>
      <c r="E424" s="27" t="s">
        <v>2096</v>
      </c>
      <c r="F424" s="51">
        <v>30490110200000</v>
      </c>
      <c r="G424" s="51">
        <v>0</v>
      </c>
      <c r="H424" s="27" t="s">
        <v>1415</v>
      </c>
      <c r="I424" s="27">
        <v>12</v>
      </c>
      <c r="J424" s="51" t="s">
        <v>1778</v>
      </c>
      <c r="K424" s="27" t="str">
        <f>Table43[[#This Row],[NamaJenisKemasan]]</f>
        <v>KLG</v>
      </c>
      <c r="L424" s="4" t="str">
        <f>TRIM(CONCATENATE(Table43[[#This Row],[Nama            KLP]]," ",Table43[[#This Row],[Nama            Sub KLP]]))</f>
        <v>STELLA AEROSOL</v>
      </c>
      <c r="M424" s="4" t="str">
        <f>CONCATENATE(Table43[[#This Row],[kode  2 Digit                (hrf+No)]],Table43[[#This Row],[kode  2 Digit                (Nomor)]],Table43[[#This Row],[kode  1 Digit                (Nomor)]])</f>
        <v>G1261</v>
      </c>
      <c r="N424" s="4" t="str">
        <f>IF(AI424="",CONCATENATE(S424,U424,W424,Y424,AA424,AC424,AE424,AG424,Table43[[#This Row],[Tanda Kode Revisi]]),CONCATENATE(S424,U424,W424,Y424,AA424,AC424,AE424,AI424))</f>
        <v>G1261005017510</v>
      </c>
      <c r="O424" s="11">
        <f t="shared" si="10"/>
        <v>14</v>
      </c>
      <c r="P424" s="14" t="str">
        <f>IF(AH424&lt;&gt;"",TRIM(UPPER(CONCATENATE(R424," ",T424," ",V424," ",X424," ",Z424," ",AB424," ","X"," ",Table43[[#This Row],[ISI/CTN]]," ",AH424," ",AD424," ",AF424," ",AJ424))),TRIM(UPPER(CONCATENATE(R424," ",T424," ",V424," ",X424," ",Z424," ",AB424," ","X"," ",Table43[[#This Row],[ISI/CTN]]," ",AD424," ",AF424," ",AJ424))))</f>
        <v>STELLA AEROSOL LAVENDER 175ML X 12 KLG</v>
      </c>
      <c r="Q424" s="11">
        <f t="shared" si="11"/>
        <v>38</v>
      </c>
      <c r="S424" s="7" t="s">
        <v>34</v>
      </c>
      <c r="T424" s="4" t="s">
        <v>2421</v>
      </c>
      <c r="U424" s="47" t="s">
        <v>2584</v>
      </c>
      <c r="V424" s="48" t="s">
        <v>2243</v>
      </c>
      <c r="W424" s="7">
        <v>1</v>
      </c>
      <c r="X424" s="48"/>
      <c r="Y424" s="47" t="s">
        <v>1116</v>
      </c>
      <c r="Z424" s="4" t="s">
        <v>2426</v>
      </c>
      <c r="AA424" s="49" t="s">
        <v>2541</v>
      </c>
      <c r="AB424" s="4" t="s">
        <v>2214</v>
      </c>
      <c r="AC424" s="49" t="s">
        <v>2600</v>
      </c>
      <c r="AD424" s="4" t="s">
        <v>2221</v>
      </c>
      <c r="AE424" s="7">
        <v>1</v>
      </c>
      <c r="AG424" s="7">
        <v>0</v>
      </c>
      <c r="AK424" s="70">
        <f>Table43[[#This Row],[Column4]]</f>
        <v>30490110200000</v>
      </c>
      <c r="AN424" s="7">
        <f>Table43[[#This Row],[ISI/CTN]]</f>
        <v>12</v>
      </c>
      <c r="AO424" s="61">
        <f>Table43[[#This Row],[Harga Jual Pcs GT
(-PPN)]]-(Table43[[#This Row],[Harga Jual Pcs GT
(-PPN)]]*6.5%)</f>
        <v>14025</v>
      </c>
      <c r="AP424" s="61">
        <f>Table43[[#This Row],[Harga Beli Pcs
(-PPN)]]*Table43[[#This Row],[ISI/CTN]]</f>
        <v>168300</v>
      </c>
      <c r="AQ424" s="61">
        <f>Table43[[#This Row],[Harga Beli Pcs
(-PPN)]]*1.11</f>
        <v>15567.750000000002</v>
      </c>
      <c r="AR424" s="61">
        <f>Table43[[#This Row],[Harga Beli Krt
(- PPN)]]*1.11</f>
        <v>186813.00000000003</v>
      </c>
      <c r="AS424" s="61">
        <v>15000</v>
      </c>
      <c r="AT424" s="61">
        <f>Table43[[#This Row],[Harga Jual Pcs GT
(-PPN)]]*Table43[[#This Row],[ISI/CTN]]</f>
        <v>180000</v>
      </c>
      <c r="AU424" s="61">
        <f>Table43[[#This Row],[Harga Jual Pcs GT
(-PPN)]]*1.11</f>
        <v>16650</v>
      </c>
      <c r="AV424" s="61">
        <f>Table43[[#This Row],[Harga Jual Krt GT
(- PPN)]]*1.11</f>
        <v>199800.00000000003</v>
      </c>
      <c r="AW424" s="61">
        <f>IFERROR(VLOOKUP(Table43[[#This Row],[Kode Pcpl]],'[1]FEB 2026'!$A$3:$X$312,24,0),0)</f>
        <v>0</v>
      </c>
      <c r="AX424" s="61">
        <f>Table43[[#This Row],[Harga Jual Pcs MT
(-PPN)]]*Table43[[#This Row],[ISI/CTN]]</f>
        <v>0</v>
      </c>
      <c r="AY424" s="61">
        <f>Table43[[#This Row],[Harga Jual Pcs MT
(-PPN)]]*1.11</f>
        <v>0</v>
      </c>
      <c r="AZ424" s="61">
        <f>Table43[[#This Row],[Harga Jual Pcs MT
(+PPN)]]*Table43[[#This Row],[ISI/CTN]]</f>
        <v>0</v>
      </c>
      <c r="BA424" s="62">
        <f>(Table43[[#This Row],[Harga Jual Pcs GT
(-PPN)]]-Table43[[#This Row],[Harga Beli Pcs
(-PPN)]])/Table43[[#This Row],[Harga Jual Pcs GT
(-PPN)]]</f>
        <v>6.5000000000000002E-2</v>
      </c>
      <c r="BB424" s="63">
        <f>Table43[[#This Row],[Harga Jual Pcs MT
(-PPN)]]-Table43[[#This Row],[Harga Beli Pcs
(-PPN)]]</f>
        <v>-14025</v>
      </c>
      <c r="BC424" s="64" t="e">
        <f>Table43[[#This Row],[Column1]]/Table43[[#This Row],[Harga Jual Pcs MT
(-PPN)]]</f>
        <v>#DIV/0!</v>
      </c>
      <c r="BD424" s="52"/>
      <c r="BE424" s="7"/>
      <c r="BF424" s="7" t="str">
        <f ca="1">IF(TODAY()-Table43[[#This Row],[Efektif
Pembuatan]]&gt;60,"Lama","Baru")</f>
        <v>Lama</v>
      </c>
      <c r="BG424" s="7" t="str">
        <f ca="1">IF(TODAY()-Table43[[#This Row],[Efektif Naik Harga]]&lt;30,"Naik","Sama")</f>
        <v>Sama</v>
      </c>
      <c r="BH424" s="7"/>
      <c r="BI424" s="7" t="str">
        <f>IF(Table43[[#This Row],[Kode BARANG Win2]]&lt;&gt;"","IDR","")</f>
        <v>IDR</v>
      </c>
      <c r="BJ424" s="7" t="str">
        <f>CONCATENATE(Table43[[#This Row],[kode  1 Digit
(Nomor)]],Table43[[#This Row],[kode  4 Digit                (Nomor)]])</f>
        <v>0175</v>
      </c>
      <c r="BK424" s="7" t="str">
        <f>Table43[[#This Row],[Nama            Gramasi atau Jumlah Pack per CTN]]</f>
        <v>175ML</v>
      </c>
      <c r="BL424" s="7"/>
      <c r="BM424" s="7"/>
      <c r="BN424" s="4" t="str">
        <f>IF(Table43[[#This Row],[SATUAN Fix Win]]&lt;&gt;"","KRT")</f>
        <v>KRT</v>
      </c>
      <c r="BO424" s="4" t="str">
        <f>IF(Table43[[#This Row],[SATUAN Fix Win]]&lt;&gt;"","GD01")</f>
        <v>GD01</v>
      </c>
      <c r="BP424" s="4">
        <f>IF(Table43[[#This Row],[SATUAN Fix Win]]&lt;&gt;"",11611)</f>
        <v>11611</v>
      </c>
      <c r="BQ424" s="4">
        <f>IF(Table43[[#This Row],[SATUAN Fix Win]]&lt;&gt;"",11612)</f>
        <v>11612</v>
      </c>
      <c r="BS424" s="4">
        <f>IF(Table43[[#This Row],[SATUAN Fix Win]]&lt;&gt;"",1)</f>
        <v>1</v>
      </c>
      <c r="BU424" s="4">
        <f>Table43[[#This Row],[ISI/CTN]]</f>
        <v>12</v>
      </c>
    </row>
    <row r="425" spans="1:73">
      <c r="A425" s="4" t="str">
        <f>CONCATENATE(Table43[[#This Row],[Kode BARANG Win2]],Table43[[#This Row],[No. Urut
Item Sama]])</f>
        <v>G1261005035010</v>
      </c>
      <c r="B425" s="7"/>
      <c r="C425" s="31">
        <v>30500020042000</v>
      </c>
      <c r="D425" s="51">
        <v>40059930</v>
      </c>
      <c r="E425" s="27" t="s">
        <v>2097</v>
      </c>
      <c r="F425" s="51">
        <v>30490110350000</v>
      </c>
      <c r="G425" s="51">
        <v>0</v>
      </c>
      <c r="H425" s="27" t="s">
        <v>1417</v>
      </c>
      <c r="I425" s="27">
        <v>12</v>
      </c>
      <c r="J425" s="51" t="s">
        <v>1779</v>
      </c>
      <c r="K425" s="27" t="str">
        <f>Table43[[#This Row],[NamaJenisKemasan]]</f>
        <v>KLG</v>
      </c>
      <c r="L425" s="4" t="str">
        <f>TRIM(CONCATENATE(Table43[[#This Row],[Nama            KLP]]," ",Table43[[#This Row],[Nama            Sub KLP]]))</f>
        <v>STELLA AEROSOL</v>
      </c>
      <c r="M425" s="4" t="str">
        <f>CONCATENATE(Table43[[#This Row],[kode  2 Digit                (hrf+No)]],Table43[[#This Row],[kode  2 Digit                (Nomor)]],Table43[[#This Row],[kode  1 Digit                (Nomor)]])</f>
        <v>G1261</v>
      </c>
      <c r="N425" s="4" t="str">
        <f>IF(AI425="",CONCATENATE(S425,U425,W425,Y425,AA425,AC425,AE425,AG425,Table43[[#This Row],[Tanda Kode Revisi]]),CONCATENATE(S425,U425,W425,Y425,AA425,AC425,AE425,AI425))</f>
        <v>G1261005035010</v>
      </c>
      <c r="O425" s="11">
        <f t="shared" si="10"/>
        <v>14</v>
      </c>
      <c r="P425" s="14" t="str">
        <f>IF(AH425&lt;&gt;"",TRIM(UPPER(CONCATENATE(R425," ",T425," ",V425," ",X425," ",Z425," ",AB425," ","X"," ",Table43[[#This Row],[ISI/CTN]]," ",AH425," ",AD425," ",AF425," ",AJ425))),TRIM(UPPER(CONCATENATE(R425," ",T425," ",V425," ",X425," ",Z425," ",AB425," ","X"," ",Table43[[#This Row],[ISI/CTN]]," ",AD425," ",AF425," ",AJ425))))</f>
        <v>STELLA AEROSOL LAVENDER 350ML X 12 KLG</v>
      </c>
      <c r="Q425" s="11">
        <f t="shared" si="11"/>
        <v>38</v>
      </c>
      <c r="S425" s="7" t="s">
        <v>34</v>
      </c>
      <c r="T425" s="4" t="s">
        <v>2421</v>
      </c>
      <c r="U425" s="47" t="s">
        <v>2584</v>
      </c>
      <c r="V425" s="48" t="s">
        <v>2243</v>
      </c>
      <c r="W425" s="7">
        <v>1</v>
      </c>
      <c r="X425" s="48"/>
      <c r="Y425" s="47" t="s">
        <v>1116</v>
      </c>
      <c r="Z425" s="4" t="s">
        <v>2426</v>
      </c>
      <c r="AA425" s="49" t="s">
        <v>2541</v>
      </c>
      <c r="AB425" s="4" t="s">
        <v>2372</v>
      </c>
      <c r="AC425" s="49" t="s">
        <v>2619</v>
      </c>
      <c r="AD425" s="4" t="s">
        <v>2221</v>
      </c>
      <c r="AE425" s="7">
        <v>1</v>
      </c>
      <c r="AG425" s="7">
        <v>0</v>
      </c>
      <c r="AK425" s="70">
        <f>Table43[[#This Row],[Column4]]</f>
        <v>30490110350000</v>
      </c>
      <c r="AN425" s="7">
        <f>Table43[[#This Row],[ISI/CTN]]</f>
        <v>12</v>
      </c>
      <c r="AO425" s="61">
        <f>Table43[[#This Row],[Harga Jual Pcs GT
(-PPN)]]-(Table43[[#This Row],[Harga Jual Pcs GT
(-PPN)]]*6.5%)</f>
        <v>20383</v>
      </c>
      <c r="AP425" s="61">
        <f>Table43[[#This Row],[Harga Beli Pcs
(-PPN)]]*Table43[[#This Row],[ISI/CTN]]</f>
        <v>244596</v>
      </c>
      <c r="AQ425" s="61">
        <f>Table43[[#This Row],[Harga Beli Pcs
(-PPN)]]*1.11</f>
        <v>22625.13</v>
      </c>
      <c r="AR425" s="61">
        <f>Table43[[#This Row],[Harga Beli Krt
(- PPN)]]*1.11</f>
        <v>271501.56</v>
      </c>
      <c r="AS425" s="61">
        <v>21800</v>
      </c>
      <c r="AT425" s="61">
        <f>Table43[[#This Row],[Harga Jual Pcs GT
(-PPN)]]*Table43[[#This Row],[ISI/CTN]]</f>
        <v>261600</v>
      </c>
      <c r="AU425" s="61">
        <f>Table43[[#This Row],[Harga Jual Pcs GT
(-PPN)]]*1.11</f>
        <v>24198.000000000004</v>
      </c>
      <c r="AV425" s="61">
        <f>Table43[[#This Row],[Harga Jual Krt GT
(- PPN)]]*1.11</f>
        <v>290376</v>
      </c>
      <c r="AW425" s="61">
        <f>IFERROR(VLOOKUP(Table43[[#This Row],[Kode Pcpl]],'[1]FEB 2026'!$A$3:$X$312,24,0),0)</f>
        <v>0</v>
      </c>
      <c r="AX425" s="61">
        <f>Table43[[#This Row],[Harga Jual Pcs MT
(-PPN)]]*Table43[[#This Row],[ISI/CTN]]</f>
        <v>0</v>
      </c>
      <c r="AY425" s="61">
        <f>Table43[[#This Row],[Harga Jual Pcs MT
(-PPN)]]*1.11</f>
        <v>0</v>
      </c>
      <c r="AZ425" s="61">
        <f>Table43[[#This Row],[Harga Jual Pcs MT
(+PPN)]]*Table43[[#This Row],[ISI/CTN]]</f>
        <v>0</v>
      </c>
      <c r="BA425" s="62">
        <f>(Table43[[#This Row],[Harga Jual Pcs GT
(-PPN)]]-Table43[[#This Row],[Harga Beli Pcs
(-PPN)]])/Table43[[#This Row],[Harga Jual Pcs GT
(-PPN)]]</f>
        <v>6.5000000000000002E-2</v>
      </c>
      <c r="BB425" s="63">
        <f>Table43[[#This Row],[Harga Jual Pcs MT
(-PPN)]]-Table43[[#This Row],[Harga Beli Pcs
(-PPN)]]</f>
        <v>-20383</v>
      </c>
      <c r="BC425" s="64" t="e">
        <f>Table43[[#This Row],[Column1]]/Table43[[#This Row],[Harga Jual Pcs MT
(-PPN)]]</f>
        <v>#DIV/0!</v>
      </c>
      <c r="BD425" s="52"/>
      <c r="BE425" s="7"/>
      <c r="BF425" s="7" t="str">
        <f ca="1">IF(TODAY()-Table43[[#This Row],[Efektif
Pembuatan]]&gt;60,"Lama","Baru")</f>
        <v>Lama</v>
      </c>
      <c r="BG425" s="7" t="str">
        <f ca="1">IF(TODAY()-Table43[[#This Row],[Efektif Naik Harga]]&lt;30,"Naik","Sama")</f>
        <v>Sama</v>
      </c>
      <c r="BH425" s="7"/>
      <c r="BI425" s="7" t="str">
        <f>IF(Table43[[#This Row],[Kode BARANG Win2]]&lt;&gt;"","IDR","")</f>
        <v>IDR</v>
      </c>
      <c r="BJ425" s="7" t="str">
        <f>CONCATENATE(Table43[[#This Row],[kode  1 Digit
(Nomor)]],Table43[[#This Row],[kode  4 Digit                (Nomor)]])</f>
        <v>0350</v>
      </c>
      <c r="BK425" s="7" t="str">
        <f>Table43[[#This Row],[Nama            Gramasi atau Jumlah Pack per CTN]]</f>
        <v>350ML</v>
      </c>
      <c r="BL425" s="7"/>
      <c r="BM425" s="7"/>
      <c r="BN425" s="4" t="str">
        <f>IF(Table43[[#This Row],[SATUAN Fix Win]]&lt;&gt;"","KRT")</f>
        <v>KRT</v>
      </c>
      <c r="BO425" s="4" t="str">
        <f>IF(Table43[[#This Row],[SATUAN Fix Win]]&lt;&gt;"","GD01")</f>
        <v>GD01</v>
      </c>
      <c r="BP425" s="4">
        <f>IF(Table43[[#This Row],[SATUAN Fix Win]]&lt;&gt;"",11611)</f>
        <v>11611</v>
      </c>
      <c r="BQ425" s="4">
        <f>IF(Table43[[#This Row],[SATUAN Fix Win]]&lt;&gt;"",11612)</f>
        <v>11612</v>
      </c>
      <c r="BS425" s="4">
        <f>IF(Table43[[#This Row],[SATUAN Fix Win]]&lt;&gt;"",1)</f>
        <v>1</v>
      </c>
      <c r="BU425" s="4">
        <f>Table43[[#This Row],[ISI/CTN]]</f>
        <v>12</v>
      </c>
    </row>
    <row r="426" spans="1:73">
      <c r="A426" s="4" t="str">
        <f>CONCATENATE(Table43[[#This Row],[Kode BARANG Win2]],Table43[[#This Row],[No. Urut
Item Sama]])</f>
        <v>G1261005035010</v>
      </c>
      <c r="B426" s="7"/>
      <c r="C426" s="31"/>
      <c r="D426" s="51">
        <v>40043453</v>
      </c>
      <c r="E426" s="27"/>
      <c r="F426" s="51"/>
      <c r="G426" s="51"/>
      <c r="H426" s="27"/>
      <c r="I426" s="27">
        <v>12</v>
      </c>
      <c r="J426" s="51" t="s">
        <v>1779</v>
      </c>
      <c r="K426" s="27" t="str">
        <f>Table43[[#This Row],[NamaJenisKemasan]]</f>
        <v>KLG</v>
      </c>
      <c r="L426" s="4" t="str">
        <f>TRIM(CONCATENATE(Table43[[#This Row],[Nama            KLP]]," ",Table43[[#This Row],[Nama            Sub KLP]]))</f>
        <v>STELLA AEROSOL</v>
      </c>
      <c r="M426" s="4" t="str">
        <f>CONCATENATE(Table43[[#This Row],[kode  2 Digit                (hrf+No)]],Table43[[#This Row],[kode  2 Digit                (Nomor)]],Table43[[#This Row],[kode  1 Digit                (Nomor)]])</f>
        <v>G1261</v>
      </c>
      <c r="N426" s="4" t="str">
        <f>IF(AI426="",CONCATENATE(S426,U426,W426,Y426,AA426,AC426,AE426,AG426,Table43[[#This Row],[Tanda Kode Revisi]]),CONCATENATE(S426,U426,W426,Y426,AA426,AC426,AE426,AI426))</f>
        <v>G1261005035010</v>
      </c>
      <c r="O426" s="11">
        <f>LEN(N426)</f>
        <v>14</v>
      </c>
      <c r="P426" s="14" t="str">
        <f>IF(AH426&lt;&gt;"",TRIM(UPPER(CONCATENATE(R426," ",T426," ",V426," ",X426," ",Z426," ",AB426," ","X"," ",Table43[[#This Row],[ISI/CTN]]," ",AH426," ",AD426," ",AF426," ",AJ426))),TRIM(UPPER(CONCATENATE(R426," ",T426," ",V426," ",X426," ",Z426," ",AB426," ","X"," ",Table43[[#This Row],[ISI/CTN]]," ",AD426," ",AF426," ",AJ426))))</f>
        <v>STELLA AEROSOL LAVENDER 350ML X 12 KLG</v>
      </c>
      <c r="Q426" s="11">
        <f>LEN(P426)</f>
        <v>38</v>
      </c>
      <c r="S426" s="7" t="s">
        <v>34</v>
      </c>
      <c r="T426" s="4" t="s">
        <v>2421</v>
      </c>
      <c r="U426" s="47" t="s">
        <v>2584</v>
      </c>
      <c r="V426" s="48" t="s">
        <v>2243</v>
      </c>
      <c r="W426" s="7">
        <v>1</v>
      </c>
      <c r="X426" s="48"/>
      <c r="Y426" s="47" t="s">
        <v>1116</v>
      </c>
      <c r="Z426" s="4" t="s">
        <v>2426</v>
      </c>
      <c r="AA426" s="49" t="s">
        <v>2541</v>
      </c>
      <c r="AB426" s="4" t="s">
        <v>2372</v>
      </c>
      <c r="AC426" s="49" t="s">
        <v>2619</v>
      </c>
      <c r="AD426" s="4" t="s">
        <v>2221</v>
      </c>
      <c r="AE426" s="7">
        <v>1</v>
      </c>
      <c r="AG426" s="7">
        <v>0</v>
      </c>
      <c r="AK426" s="70">
        <f>Table43[[#This Row],[Column4]]</f>
        <v>0</v>
      </c>
      <c r="AN426" s="7">
        <f>Table43[[#This Row],[ISI/CTN]]</f>
        <v>12</v>
      </c>
      <c r="AO426" s="61">
        <f>Table43[[#This Row],[Harga Jual Pcs GT
(-PPN)]]-(Table43[[#This Row],[Harga Jual Pcs GT
(-PPN)]]*6.5%)</f>
        <v>0</v>
      </c>
      <c r="AP426" s="61">
        <f>Table43[[#This Row],[Harga Beli Pcs
(-PPN)]]*Table43[[#This Row],[ISI/CTN]]</f>
        <v>0</v>
      </c>
      <c r="AQ426" s="61">
        <f>Table43[[#This Row],[Harga Beli Pcs
(-PPN)]]*1.11</f>
        <v>0</v>
      </c>
      <c r="AR426" s="61">
        <f>Table43[[#This Row],[Harga Beli Krt
(- PPN)]]*1.11</f>
        <v>0</v>
      </c>
      <c r="AS426" s="61"/>
      <c r="AT426" s="61">
        <f>Table43[[#This Row],[Harga Jual Pcs GT
(-PPN)]]*Table43[[#This Row],[ISI/CTN]]</f>
        <v>0</v>
      </c>
      <c r="AU426" s="61">
        <f>Table43[[#This Row],[Harga Jual Pcs GT
(-PPN)]]*1.11</f>
        <v>0</v>
      </c>
      <c r="AV426" s="61">
        <f>Table43[[#This Row],[Harga Jual Krt GT
(- PPN)]]*1.11</f>
        <v>0</v>
      </c>
      <c r="AW426" s="61">
        <f>IFERROR(VLOOKUP(Table43[[#This Row],[Kode Pcpl]],'[1]FEB 2026'!$A$3:$X$312,24,0),0)</f>
        <v>0</v>
      </c>
      <c r="AX426" s="61">
        <f>Table43[[#This Row],[Harga Jual Pcs MT
(-PPN)]]*Table43[[#This Row],[ISI/CTN]]</f>
        <v>0</v>
      </c>
      <c r="AY426" s="61">
        <f>Table43[[#This Row],[Harga Jual Pcs MT
(-PPN)]]*1.11</f>
        <v>0</v>
      </c>
      <c r="AZ426" s="61">
        <f>Table43[[#This Row],[Harga Jual Pcs MT
(+PPN)]]*Table43[[#This Row],[ISI/CTN]]</f>
        <v>0</v>
      </c>
      <c r="BA426" s="62" t="e">
        <f>(Table43[[#This Row],[Harga Jual Pcs GT
(-PPN)]]-Table43[[#This Row],[Harga Beli Pcs
(-PPN)]])/Table43[[#This Row],[Harga Jual Pcs GT
(-PPN)]]</f>
        <v>#DIV/0!</v>
      </c>
      <c r="BB426" s="63">
        <f>Table43[[#This Row],[Harga Jual Pcs MT
(-PPN)]]-Table43[[#This Row],[Harga Beli Pcs
(-PPN)]]</f>
        <v>0</v>
      </c>
      <c r="BC426" s="64" t="e">
        <f>Table43[[#This Row],[Column1]]/Table43[[#This Row],[Harga Jual Pcs MT
(-PPN)]]</f>
        <v>#DIV/0!</v>
      </c>
      <c r="BD426" s="52"/>
      <c r="BE426" s="7"/>
      <c r="BF426" s="7" t="str">
        <f ca="1">IF(TODAY()-Table43[[#This Row],[Efektif
Pembuatan]]&gt;60,"Lama","Baru")</f>
        <v>Lama</v>
      </c>
      <c r="BG426" s="7" t="str">
        <f ca="1">IF(TODAY()-Table43[[#This Row],[Efektif Naik Harga]]&lt;30,"Naik","Sama")</f>
        <v>Sama</v>
      </c>
      <c r="BH426" s="7"/>
      <c r="BI426" s="7" t="str">
        <f>IF(Table43[[#This Row],[Kode BARANG Win2]]&lt;&gt;"","IDR","")</f>
        <v>IDR</v>
      </c>
      <c r="BJ426" s="7" t="str">
        <f>CONCATENATE(Table43[[#This Row],[kode  1 Digit
(Nomor)]],Table43[[#This Row],[kode  4 Digit                (Nomor)]])</f>
        <v>0350</v>
      </c>
      <c r="BK426" s="7" t="str">
        <f>Table43[[#This Row],[Nama            Gramasi atau Jumlah Pack per CTN]]</f>
        <v>350ML</v>
      </c>
      <c r="BL426" s="7"/>
      <c r="BM426" s="7"/>
      <c r="BN426" s="4" t="str">
        <f>IF(Table43[[#This Row],[SATUAN Fix Win]]&lt;&gt;"","KRT")</f>
        <v>KRT</v>
      </c>
      <c r="BO426" s="4" t="str">
        <f>IF(Table43[[#This Row],[SATUAN Fix Win]]&lt;&gt;"","GD01")</f>
        <v>GD01</v>
      </c>
      <c r="BP426" s="4">
        <f>IF(Table43[[#This Row],[SATUAN Fix Win]]&lt;&gt;"",11611)</f>
        <v>11611</v>
      </c>
      <c r="BQ426" s="4">
        <f>IF(Table43[[#This Row],[SATUAN Fix Win]]&lt;&gt;"",11612)</f>
        <v>11612</v>
      </c>
      <c r="BS426" s="4">
        <f>IF(Table43[[#This Row],[SATUAN Fix Win]]&lt;&gt;"",1)</f>
        <v>1</v>
      </c>
      <c r="BU426" s="4">
        <f>Table43[[#This Row],[ISI/CTN]]</f>
        <v>12</v>
      </c>
    </row>
    <row r="427" spans="1:73">
      <c r="A427" s="4" t="str">
        <f>CONCATENATE(Table43[[#This Row],[Kode BARANG Win2]],Table43[[#This Row],[No. Urut
Item Sama]])</f>
        <v>G1261005035010</v>
      </c>
      <c r="B427" s="7"/>
      <c r="C427" s="31">
        <v>30500020042002</v>
      </c>
      <c r="D427" s="59">
        <v>40057468</v>
      </c>
      <c r="E427" s="60" t="s">
        <v>2097</v>
      </c>
      <c r="F427" s="59">
        <v>30490110350000</v>
      </c>
      <c r="G427" s="59">
        <v>0</v>
      </c>
      <c r="H427" s="60" t="s">
        <v>1416</v>
      </c>
      <c r="I427" s="60">
        <v>12</v>
      </c>
      <c r="J427" s="59" t="s">
        <v>1779</v>
      </c>
      <c r="K427" s="60" t="str">
        <f>Table43[[#This Row],[NamaJenisKemasan]]</f>
        <v>KLG</v>
      </c>
      <c r="L427" s="4" t="str">
        <f>TRIM(CONCATENATE(Table43[[#This Row],[Nama            KLP]]," ",Table43[[#This Row],[Nama            Sub KLP]]))</f>
        <v>STELLA AEROSOL</v>
      </c>
      <c r="M427" s="4" t="str">
        <f>CONCATENATE(Table43[[#This Row],[kode  2 Digit                (hrf+No)]],Table43[[#This Row],[kode  2 Digit                (Nomor)]],Table43[[#This Row],[kode  1 Digit                (Nomor)]])</f>
        <v>G1261</v>
      </c>
      <c r="N427" s="4" t="str">
        <f>IF(AI427="",CONCATENATE(S427,U427,W427,Y427,AA427,AC427,AE427,AG427,Table43[[#This Row],[Tanda Kode Revisi]]),CONCATENATE(S427,U427,W427,Y427,AA427,AC427,AE427,AI427))</f>
        <v>G1261005035010</v>
      </c>
      <c r="O427" s="11">
        <f t="shared" si="10"/>
        <v>14</v>
      </c>
      <c r="P427" s="14" t="str">
        <f>IF(AH427&lt;&gt;"",TRIM(UPPER(CONCATENATE(R427," ",T427," ",V427," ",X427," ",Z427," ",AB427," ","X"," ",Table43[[#This Row],[ISI/CTN]]," ",AH427," ",AD427," ",AF427," ",AJ427))),TRIM(UPPER(CONCATENATE(R427," ",T427," ",V427," ",X427," ",Z427," ",AB427," ","X"," ",Table43[[#This Row],[ISI/CTN]]," ",AD427," ",AF427," ",AJ427))))</f>
        <v>STELLA AEROSOL LAVENDER 350ML X 12 KLG</v>
      </c>
      <c r="Q427" s="11">
        <f t="shared" si="11"/>
        <v>38</v>
      </c>
      <c r="S427" s="7" t="s">
        <v>34</v>
      </c>
      <c r="T427" s="4" t="s">
        <v>2421</v>
      </c>
      <c r="U427" s="47" t="s">
        <v>2584</v>
      </c>
      <c r="V427" s="48" t="s">
        <v>2243</v>
      </c>
      <c r="W427" s="7">
        <v>1</v>
      </c>
      <c r="X427" s="48"/>
      <c r="Y427" s="47" t="s">
        <v>1116</v>
      </c>
      <c r="Z427" s="4" t="s">
        <v>2426</v>
      </c>
      <c r="AA427" s="49" t="s">
        <v>2541</v>
      </c>
      <c r="AB427" s="4" t="s">
        <v>2372</v>
      </c>
      <c r="AC427" s="49" t="s">
        <v>2619</v>
      </c>
      <c r="AD427" s="4" t="s">
        <v>2221</v>
      </c>
      <c r="AE427" s="7">
        <v>1</v>
      </c>
      <c r="AG427" s="7">
        <v>0</v>
      </c>
      <c r="AK427" s="70">
        <f>Table43[[#This Row],[Column4]]</f>
        <v>30490110350000</v>
      </c>
      <c r="AN427" s="7">
        <f>Table43[[#This Row],[ISI/CTN]]</f>
        <v>12</v>
      </c>
      <c r="AO427" s="38">
        <f>Table43[[#This Row],[Harga Jual Pcs GT
(-PPN)]]-(Table43[[#This Row],[Harga Jual Pcs GT
(-PPN)]]*6.5%)</f>
        <v>20383</v>
      </c>
      <c r="AP427" s="38">
        <f>Table43[[#This Row],[Harga Beli Pcs
(-PPN)]]*Table43[[#This Row],[ISI/CTN]]</f>
        <v>244596</v>
      </c>
      <c r="AQ427" s="38">
        <f>Table43[[#This Row],[Harga Beli Pcs
(-PPN)]]*1.11</f>
        <v>22625.13</v>
      </c>
      <c r="AR427" s="38">
        <f>Table43[[#This Row],[Harga Beli Krt
(- PPN)]]*1.11</f>
        <v>271501.56</v>
      </c>
      <c r="AS427" s="38">
        <v>21800</v>
      </c>
      <c r="AT427" s="38">
        <f>Table43[[#This Row],[Harga Jual Pcs GT
(-PPN)]]*Table43[[#This Row],[ISI/CTN]]</f>
        <v>261600</v>
      </c>
      <c r="AU427" s="38">
        <f>Table43[[#This Row],[Harga Jual Pcs GT
(-PPN)]]*1.11</f>
        <v>24198.000000000004</v>
      </c>
      <c r="AV427" s="38">
        <f>Table43[[#This Row],[Harga Jual Krt GT
(- PPN)]]*1.11</f>
        <v>290376</v>
      </c>
      <c r="AW427" s="38">
        <f>IFERROR(VLOOKUP(Table43[[#This Row],[Kode Pcpl]],'[1]FEB 2026'!$A$3:$X$312,24,0),0)</f>
        <v>0</v>
      </c>
      <c r="AX427" s="38">
        <f>Table43[[#This Row],[Harga Jual Pcs MT
(-PPN)]]*Table43[[#This Row],[ISI/CTN]]</f>
        <v>0</v>
      </c>
      <c r="AY427" s="38">
        <f>Table43[[#This Row],[Harga Jual Pcs MT
(-PPN)]]*1.11</f>
        <v>0</v>
      </c>
      <c r="AZ427" s="38">
        <f>Table43[[#This Row],[Harga Jual Pcs MT
(+PPN)]]*Table43[[#This Row],[ISI/CTN]]</f>
        <v>0</v>
      </c>
      <c r="BA427" s="46">
        <f>(Table43[[#This Row],[Harga Jual Pcs GT
(-PPN)]]-Table43[[#This Row],[Harga Beli Pcs
(-PPN)]])/Table43[[#This Row],[Harga Jual Pcs GT
(-PPN)]]</f>
        <v>6.5000000000000002E-2</v>
      </c>
      <c r="BB427" s="53">
        <f>Table43[[#This Row],[Harga Jual Pcs MT
(-PPN)]]-Table43[[#This Row],[Harga Beli Pcs
(-PPN)]]</f>
        <v>-20383</v>
      </c>
      <c r="BC427" s="54" t="e">
        <f>Table43[[#This Row],[Column1]]/Table43[[#This Row],[Harga Jual Pcs MT
(-PPN)]]</f>
        <v>#DIV/0!</v>
      </c>
      <c r="BD427" s="52"/>
      <c r="BE427" s="7"/>
      <c r="BF427" s="7" t="str">
        <f ca="1">IF(TODAY()-Table43[[#This Row],[Efektif
Pembuatan]]&gt;60,"Lama","Baru")</f>
        <v>Lama</v>
      </c>
      <c r="BG427" s="7" t="str">
        <f ca="1">IF(TODAY()-Table43[[#This Row],[Efektif Naik Harga]]&lt;30,"Naik","Sama")</f>
        <v>Sama</v>
      </c>
      <c r="BH427" s="7"/>
      <c r="BI427" s="7" t="str">
        <f>IF(Table43[[#This Row],[Kode BARANG Win2]]&lt;&gt;"","IDR","")</f>
        <v>IDR</v>
      </c>
      <c r="BJ427" s="7" t="str">
        <f>CONCATENATE(Table43[[#This Row],[kode  1 Digit
(Nomor)]],Table43[[#This Row],[kode  4 Digit                (Nomor)]])</f>
        <v>0350</v>
      </c>
      <c r="BK427" s="7" t="str">
        <f>Table43[[#This Row],[Nama            Gramasi atau Jumlah Pack per CTN]]</f>
        <v>350ML</v>
      </c>
      <c r="BL427" s="7"/>
      <c r="BM427" s="7"/>
      <c r="BN427" s="4" t="str">
        <f>IF(Table43[[#This Row],[SATUAN Fix Win]]&lt;&gt;"","KRT")</f>
        <v>KRT</v>
      </c>
      <c r="BO427" s="4" t="str">
        <f>IF(Table43[[#This Row],[SATUAN Fix Win]]&lt;&gt;"","GD01")</f>
        <v>GD01</v>
      </c>
      <c r="BP427" s="4">
        <f>IF(Table43[[#This Row],[SATUAN Fix Win]]&lt;&gt;"",11611)</f>
        <v>11611</v>
      </c>
      <c r="BQ427" s="4">
        <f>IF(Table43[[#This Row],[SATUAN Fix Win]]&lt;&gt;"",11612)</f>
        <v>11612</v>
      </c>
      <c r="BS427" s="4">
        <f>IF(Table43[[#This Row],[SATUAN Fix Win]]&lt;&gt;"",1)</f>
        <v>1</v>
      </c>
      <c r="BU427" s="4">
        <f>Table43[[#This Row],[ISI/CTN]]</f>
        <v>12</v>
      </c>
    </row>
    <row r="428" spans="1:73">
      <c r="A428" s="4" t="str">
        <f>CONCATENATE(Table43[[#This Row],[Kode BARANG Win2]],Table43[[#This Row],[No. Urut
Item Sama]])</f>
        <v>G1261006017510</v>
      </c>
      <c r="B428" s="7"/>
      <c r="C428" s="31">
        <v>30490110350000</v>
      </c>
      <c r="D428" s="51">
        <v>40059910</v>
      </c>
      <c r="E428" s="27" t="s">
        <v>2090</v>
      </c>
      <c r="F428" s="59">
        <v>30490040200000</v>
      </c>
      <c r="G428" s="51">
        <v>0</v>
      </c>
      <c r="H428" s="27" t="s">
        <v>1404</v>
      </c>
      <c r="I428" s="27">
        <v>12</v>
      </c>
      <c r="J428" s="51" t="s">
        <v>1772</v>
      </c>
      <c r="K428" s="27" t="str">
        <f>Table43[[#This Row],[NamaJenisKemasan]]</f>
        <v>KLG</v>
      </c>
      <c r="L428" s="4" t="str">
        <f>TRIM(CONCATENATE(Table43[[#This Row],[Nama            KLP]]," ",Table43[[#This Row],[Nama            Sub KLP]]))</f>
        <v>STELLA AEROSOL</v>
      </c>
      <c r="M428" s="4" t="str">
        <f>CONCATENATE(Table43[[#This Row],[kode  2 Digit                (hrf+No)]],Table43[[#This Row],[kode  2 Digit                (Nomor)]],Table43[[#This Row],[kode  1 Digit                (Nomor)]])</f>
        <v>G1261</v>
      </c>
      <c r="N428" s="4" t="str">
        <f>IF(AI428="",CONCATENATE(S428,U428,W428,Y428,AA428,AC428,AE428,AG428,Table43[[#This Row],[Tanda Kode Revisi]]),CONCATENATE(S428,U428,W428,Y428,AA428,AC428,AE428,AI428))</f>
        <v>G1261006017510</v>
      </c>
      <c r="O428" s="11">
        <f t="shared" si="10"/>
        <v>14</v>
      </c>
      <c r="P428" s="14" t="str">
        <f>IF(AH428&lt;&gt;"",TRIM(UPPER(CONCATENATE(R428," ",T428," ",V428," ",X428," ",Z428," ",AB428," ","X"," ",Table43[[#This Row],[ISI/CTN]]," ",AH428," ",AD428," ",AF428," ",AJ428))),TRIM(UPPER(CONCATENATE(R428," ",T428," ",V428," ",X428," ",Z428," ",AB428," ","X"," ",Table43[[#This Row],[ISI/CTN]]," ",AD428," ",AF428," ",AJ428))))</f>
        <v>STELLA AEROSOL LEMON 175ML X 12 KLG</v>
      </c>
      <c r="Q428" s="11">
        <f t="shared" si="11"/>
        <v>35</v>
      </c>
      <c r="S428" s="7" t="s">
        <v>34</v>
      </c>
      <c r="T428" s="4" t="s">
        <v>2421</v>
      </c>
      <c r="U428" s="47" t="s">
        <v>2584</v>
      </c>
      <c r="V428" s="48" t="s">
        <v>2243</v>
      </c>
      <c r="W428" s="7">
        <v>1</v>
      </c>
      <c r="X428" s="48"/>
      <c r="Y428" s="47" t="s">
        <v>1116</v>
      </c>
      <c r="Z428" s="4" t="s">
        <v>2321</v>
      </c>
      <c r="AA428" s="49" t="s">
        <v>2542</v>
      </c>
      <c r="AB428" s="4" t="s">
        <v>2214</v>
      </c>
      <c r="AC428" s="49" t="s">
        <v>2600</v>
      </c>
      <c r="AD428" s="4" t="s">
        <v>2221</v>
      </c>
      <c r="AE428" s="7">
        <v>1</v>
      </c>
      <c r="AG428" s="7">
        <v>0</v>
      </c>
      <c r="AK428" s="70">
        <f>Table43[[#This Row],[Column4]]</f>
        <v>30490040200000</v>
      </c>
      <c r="AN428" s="7">
        <f>Table43[[#This Row],[ISI/CTN]]</f>
        <v>12</v>
      </c>
      <c r="AO428" s="61">
        <f>Table43[[#This Row],[Harga Jual Pcs GT
(-PPN)]]-(Table43[[#This Row],[Harga Jual Pcs GT
(-PPN)]]*6.5%)</f>
        <v>14025</v>
      </c>
      <c r="AP428" s="61">
        <f>Table43[[#This Row],[Harga Beli Pcs
(-PPN)]]*Table43[[#This Row],[ISI/CTN]]</f>
        <v>168300</v>
      </c>
      <c r="AQ428" s="61">
        <f>Table43[[#This Row],[Harga Beli Pcs
(-PPN)]]*1.11</f>
        <v>15567.750000000002</v>
      </c>
      <c r="AR428" s="61">
        <f>Table43[[#This Row],[Harga Beli Krt
(- PPN)]]*1.11</f>
        <v>186813.00000000003</v>
      </c>
      <c r="AS428" s="61">
        <v>15000</v>
      </c>
      <c r="AT428" s="61">
        <f>Table43[[#This Row],[Harga Jual Pcs GT
(-PPN)]]*Table43[[#This Row],[ISI/CTN]]</f>
        <v>180000</v>
      </c>
      <c r="AU428" s="61">
        <f>Table43[[#This Row],[Harga Jual Pcs GT
(-PPN)]]*1.11</f>
        <v>16650</v>
      </c>
      <c r="AV428" s="61">
        <f>Table43[[#This Row],[Harga Jual Krt GT
(- PPN)]]*1.11</f>
        <v>199800.00000000003</v>
      </c>
      <c r="AW428" s="61">
        <f>IFERROR(VLOOKUP(Table43[[#This Row],[Kode Pcpl]],'[1]FEB 2026'!$A$3:$X$312,24,0),0)</f>
        <v>0</v>
      </c>
      <c r="AX428" s="61">
        <f>Table43[[#This Row],[Harga Jual Pcs MT
(-PPN)]]*Table43[[#This Row],[ISI/CTN]]</f>
        <v>0</v>
      </c>
      <c r="AY428" s="61">
        <f>Table43[[#This Row],[Harga Jual Pcs MT
(-PPN)]]*1.11</f>
        <v>0</v>
      </c>
      <c r="AZ428" s="61">
        <f>Table43[[#This Row],[Harga Jual Pcs MT
(+PPN)]]*Table43[[#This Row],[ISI/CTN]]</f>
        <v>0</v>
      </c>
      <c r="BA428" s="62">
        <f>(Table43[[#This Row],[Harga Jual Pcs GT
(-PPN)]]-Table43[[#This Row],[Harga Beli Pcs
(-PPN)]])/Table43[[#This Row],[Harga Jual Pcs GT
(-PPN)]]</f>
        <v>6.5000000000000002E-2</v>
      </c>
      <c r="BB428" s="63">
        <f>Table43[[#This Row],[Harga Jual Pcs MT
(-PPN)]]-Table43[[#This Row],[Harga Beli Pcs
(-PPN)]]</f>
        <v>-14025</v>
      </c>
      <c r="BC428" s="64" t="e">
        <f>Table43[[#This Row],[Column1]]/Table43[[#This Row],[Harga Jual Pcs MT
(-PPN)]]</f>
        <v>#DIV/0!</v>
      </c>
      <c r="BD428" s="52"/>
      <c r="BE428" s="7"/>
      <c r="BF428" s="7" t="str">
        <f ca="1">IF(TODAY()-Table43[[#This Row],[Efektif
Pembuatan]]&gt;60,"Lama","Baru")</f>
        <v>Lama</v>
      </c>
      <c r="BG428" s="7" t="str">
        <f ca="1">IF(TODAY()-Table43[[#This Row],[Efektif Naik Harga]]&lt;30,"Naik","Sama")</f>
        <v>Sama</v>
      </c>
      <c r="BH428" s="7"/>
      <c r="BI428" s="7" t="str">
        <f>IF(Table43[[#This Row],[Kode BARANG Win2]]&lt;&gt;"","IDR","")</f>
        <v>IDR</v>
      </c>
      <c r="BJ428" s="7" t="str">
        <f>CONCATENATE(Table43[[#This Row],[kode  1 Digit
(Nomor)]],Table43[[#This Row],[kode  4 Digit                (Nomor)]])</f>
        <v>0175</v>
      </c>
      <c r="BK428" s="7" t="str">
        <f>Table43[[#This Row],[Nama            Gramasi atau Jumlah Pack per CTN]]</f>
        <v>175ML</v>
      </c>
      <c r="BL428" s="7"/>
      <c r="BM428" s="7"/>
      <c r="BN428" s="4" t="str">
        <f>IF(Table43[[#This Row],[SATUAN Fix Win]]&lt;&gt;"","KRT")</f>
        <v>KRT</v>
      </c>
      <c r="BO428" s="4" t="str">
        <f>IF(Table43[[#This Row],[SATUAN Fix Win]]&lt;&gt;"","GD01")</f>
        <v>GD01</v>
      </c>
      <c r="BP428" s="4">
        <f>IF(Table43[[#This Row],[SATUAN Fix Win]]&lt;&gt;"",11611)</f>
        <v>11611</v>
      </c>
      <c r="BQ428" s="4">
        <f>IF(Table43[[#This Row],[SATUAN Fix Win]]&lt;&gt;"",11612)</f>
        <v>11612</v>
      </c>
      <c r="BS428" s="4">
        <f>IF(Table43[[#This Row],[SATUAN Fix Win]]&lt;&gt;"",1)</f>
        <v>1</v>
      </c>
      <c r="BU428" s="4">
        <f>Table43[[#This Row],[ISI/CTN]]</f>
        <v>12</v>
      </c>
    </row>
    <row r="429" spans="1:73">
      <c r="A429" s="4" t="str">
        <f>CONCATENATE(Table43[[#This Row],[Kode BARANG Win2]],Table43[[#This Row],[No. Urut
Item Sama]])</f>
        <v>G1261006017510</v>
      </c>
      <c r="B429" s="7"/>
      <c r="C429" s="31"/>
      <c r="D429" s="51">
        <v>40043471</v>
      </c>
      <c r="E429" s="27"/>
      <c r="F429" s="51"/>
      <c r="G429" s="51"/>
      <c r="H429" s="27"/>
      <c r="I429" s="27">
        <v>12</v>
      </c>
      <c r="J429" s="51" t="s">
        <v>1772</v>
      </c>
      <c r="K429" s="27" t="str">
        <f>Table43[[#This Row],[NamaJenisKemasan]]</f>
        <v>KLG</v>
      </c>
      <c r="L429" s="4" t="str">
        <f>TRIM(CONCATENATE(Table43[[#This Row],[Nama            KLP]]," ",Table43[[#This Row],[Nama            Sub KLP]]))</f>
        <v>STELLA AEROSOL</v>
      </c>
      <c r="M429" s="4" t="str">
        <f>CONCATENATE(Table43[[#This Row],[kode  2 Digit                (hrf+No)]],Table43[[#This Row],[kode  2 Digit                (Nomor)]],Table43[[#This Row],[kode  1 Digit                (Nomor)]])</f>
        <v>G1261</v>
      </c>
      <c r="N429" s="4" t="str">
        <f>IF(AI429="",CONCATENATE(S429,U429,W429,Y429,AA429,AC429,AE429,AG429,Table43[[#This Row],[Tanda Kode Revisi]]),CONCATENATE(S429,U429,W429,Y429,AA429,AC429,AE429,AI429))</f>
        <v>G1261006017510</v>
      </c>
      <c r="O429" s="11">
        <f>LEN(N429)</f>
        <v>14</v>
      </c>
      <c r="P429" s="14" t="str">
        <f>IF(AH429&lt;&gt;"",TRIM(UPPER(CONCATENATE(R429," ",T429," ",V429," ",X429," ",Z429," ",AB429," ","X"," ",Table43[[#This Row],[ISI/CTN]]," ",AH429," ",AD429," ",AF429," ",AJ429))),TRIM(UPPER(CONCATENATE(R429," ",T429," ",V429," ",X429," ",Z429," ",AB429," ","X"," ",Table43[[#This Row],[ISI/CTN]]," ",AD429," ",AF429," ",AJ429))))</f>
        <v>STELLA AEROSOL LEMON 175ML X 12 KLG</v>
      </c>
      <c r="Q429" s="11">
        <f>LEN(P429)</f>
        <v>35</v>
      </c>
      <c r="S429" s="7" t="s">
        <v>34</v>
      </c>
      <c r="T429" s="4" t="s">
        <v>2421</v>
      </c>
      <c r="U429" s="47" t="s">
        <v>2584</v>
      </c>
      <c r="V429" s="48" t="s">
        <v>2243</v>
      </c>
      <c r="W429" s="7">
        <v>1</v>
      </c>
      <c r="X429" s="48"/>
      <c r="Y429" s="47" t="s">
        <v>1116</v>
      </c>
      <c r="Z429" s="4" t="s">
        <v>2321</v>
      </c>
      <c r="AA429" s="49" t="s">
        <v>2542</v>
      </c>
      <c r="AB429" s="4" t="s">
        <v>2214</v>
      </c>
      <c r="AC429" s="49" t="s">
        <v>2600</v>
      </c>
      <c r="AD429" s="4" t="s">
        <v>2221</v>
      </c>
      <c r="AE429" s="7">
        <v>1</v>
      </c>
      <c r="AG429" s="7">
        <v>0</v>
      </c>
      <c r="AK429" s="70">
        <f>Table43[[#This Row],[Column4]]</f>
        <v>0</v>
      </c>
      <c r="AN429" s="7">
        <f>Table43[[#This Row],[ISI/CTN]]</f>
        <v>12</v>
      </c>
      <c r="AO429" s="61">
        <f>Table43[[#This Row],[Harga Jual Pcs GT
(-PPN)]]-(Table43[[#This Row],[Harga Jual Pcs GT
(-PPN)]]*6.5%)</f>
        <v>0</v>
      </c>
      <c r="AP429" s="61">
        <f>Table43[[#This Row],[Harga Beli Pcs
(-PPN)]]*Table43[[#This Row],[ISI/CTN]]</f>
        <v>0</v>
      </c>
      <c r="AQ429" s="61">
        <f>Table43[[#This Row],[Harga Beli Pcs
(-PPN)]]*1.11</f>
        <v>0</v>
      </c>
      <c r="AR429" s="61">
        <f>Table43[[#This Row],[Harga Beli Krt
(- PPN)]]*1.11</f>
        <v>0</v>
      </c>
      <c r="AS429" s="61"/>
      <c r="AT429" s="61">
        <f>Table43[[#This Row],[Harga Jual Pcs GT
(-PPN)]]*Table43[[#This Row],[ISI/CTN]]</f>
        <v>0</v>
      </c>
      <c r="AU429" s="61">
        <f>Table43[[#This Row],[Harga Jual Pcs GT
(-PPN)]]*1.11</f>
        <v>0</v>
      </c>
      <c r="AV429" s="61">
        <f>Table43[[#This Row],[Harga Jual Krt GT
(- PPN)]]*1.11</f>
        <v>0</v>
      </c>
      <c r="AW429" s="61">
        <f>IFERROR(VLOOKUP(Table43[[#This Row],[Kode Pcpl]],'[1]FEB 2026'!$A$3:$X$312,24,0),0)</f>
        <v>0</v>
      </c>
      <c r="AX429" s="61">
        <f>Table43[[#This Row],[Harga Jual Pcs MT
(-PPN)]]*Table43[[#This Row],[ISI/CTN]]</f>
        <v>0</v>
      </c>
      <c r="AY429" s="61">
        <f>Table43[[#This Row],[Harga Jual Pcs MT
(-PPN)]]*1.11</f>
        <v>0</v>
      </c>
      <c r="AZ429" s="61">
        <f>Table43[[#This Row],[Harga Jual Pcs MT
(+PPN)]]*Table43[[#This Row],[ISI/CTN]]</f>
        <v>0</v>
      </c>
      <c r="BA429" s="62" t="e">
        <f>(Table43[[#This Row],[Harga Jual Pcs GT
(-PPN)]]-Table43[[#This Row],[Harga Beli Pcs
(-PPN)]])/Table43[[#This Row],[Harga Jual Pcs GT
(-PPN)]]</f>
        <v>#DIV/0!</v>
      </c>
      <c r="BB429" s="63">
        <f>Table43[[#This Row],[Harga Jual Pcs MT
(-PPN)]]-Table43[[#This Row],[Harga Beli Pcs
(-PPN)]]</f>
        <v>0</v>
      </c>
      <c r="BC429" s="64" t="e">
        <f>Table43[[#This Row],[Column1]]/Table43[[#This Row],[Harga Jual Pcs MT
(-PPN)]]</f>
        <v>#DIV/0!</v>
      </c>
      <c r="BD429" s="52"/>
      <c r="BE429" s="7"/>
      <c r="BF429" s="7" t="str">
        <f ca="1">IF(TODAY()-Table43[[#This Row],[Efektif
Pembuatan]]&gt;60,"Lama","Baru")</f>
        <v>Lama</v>
      </c>
      <c r="BG429" s="7" t="str">
        <f ca="1">IF(TODAY()-Table43[[#This Row],[Efektif Naik Harga]]&lt;30,"Naik","Sama")</f>
        <v>Sama</v>
      </c>
      <c r="BH429" s="7"/>
      <c r="BI429" s="7" t="str">
        <f>IF(Table43[[#This Row],[Kode BARANG Win2]]&lt;&gt;"","IDR","")</f>
        <v>IDR</v>
      </c>
      <c r="BJ429" s="7" t="str">
        <f>CONCATENATE(Table43[[#This Row],[kode  1 Digit
(Nomor)]],Table43[[#This Row],[kode  4 Digit                (Nomor)]])</f>
        <v>0175</v>
      </c>
      <c r="BK429" s="7" t="str">
        <f>Table43[[#This Row],[Nama            Gramasi atau Jumlah Pack per CTN]]</f>
        <v>175ML</v>
      </c>
      <c r="BL429" s="7"/>
      <c r="BM429" s="7"/>
      <c r="BN429" s="4" t="str">
        <f>IF(Table43[[#This Row],[SATUAN Fix Win]]&lt;&gt;"","KRT")</f>
        <v>KRT</v>
      </c>
      <c r="BO429" s="4" t="str">
        <f>IF(Table43[[#This Row],[SATUAN Fix Win]]&lt;&gt;"","GD01")</f>
        <v>GD01</v>
      </c>
      <c r="BP429" s="4">
        <f>IF(Table43[[#This Row],[SATUAN Fix Win]]&lt;&gt;"",11611)</f>
        <v>11611</v>
      </c>
      <c r="BQ429" s="4">
        <f>IF(Table43[[#This Row],[SATUAN Fix Win]]&lt;&gt;"",11612)</f>
        <v>11612</v>
      </c>
      <c r="BS429" s="4">
        <f>IF(Table43[[#This Row],[SATUAN Fix Win]]&lt;&gt;"",1)</f>
        <v>1</v>
      </c>
      <c r="BU429" s="4">
        <f>Table43[[#This Row],[ISI/CTN]]</f>
        <v>12</v>
      </c>
    </row>
    <row r="430" spans="1:73">
      <c r="A430" s="4" t="str">
        <f>CONCATENATE(Table43[[#This Row],[Kode BARANG Win2]],Table43[[#This Row],[No. Urut
Item Sama]])</f>
        <v>G1261006017510</v>
      </c>
      <c r="B430" s="7"/>
      <c r="C430" s="31">
        <v>30490140200000</v>
      </c>
      <c r="D430" s="51">
        <v>40057474</v>
      </c>
      <c r="E430" s="27" t="s">
        <v>2090</v>
      </c>
      <c r="F430" s="51">
        <v>30490040200000</v>
      </c>
      <c r="G430" s="51">
        <v>0</v>
      </c>
      <c r="H430" s="27" t="s">
        <v>1403</v>
      </c>
      <c r="I430" s="27">
        <v>12</v>
      </c>
      <c r="J430" s="51" t="s">
        <v>1772</v>
      </c>
      <c r="K430" s="27" t="str">
        <f>Table43[[#This Row],[NamaJenisKemasan]]</f>
        <v>KLG</v>
      </c>
      <c r="L430" s="4" t="str">
        <f>TRIM(CONCATENATE(Table43[[#This Row],[Nama            KLP]]," ",Table43[[#This Row],[Nama            Sub KLP]]))</f>
        <v>STELLA AEROSOL</v>
      </c>
      <c r="M430" s="4" t="str">
        <f>CONCATENATE(Table43[[#This Row],[kode  2 Digit                (hrf+No)]],Table43[[#This Row],[kode  2 Digit                (Nomor)]],Table43[[#This Row],[kode  1 Digit                (Nomor)]])</f>
        <v>G1261</v>
      </c>
      <c r="N430" s="4" t="str">
        <f>IF(AI430="",CONCATENATE(S430,U430,W430,Y430,AA430,AC430,AE430,AG430,Table43[[#This Row],[Tanda Kode Revisi]]),CONCATENATE(S430,U430,W430,Y430,AA430,AC430,AE430,AI430))</f>
        <v>G1261006017510</v>
      </c>
      <c r="O430" s="11">
        <f t="shared" si="10"/>
        <v>14</v>
      </c>
      <c r="P430" s="14" t="str">
        <f>IF(AH430&lt;&gt;"",TRIM(UPPER(CONCATENATE(R430," ",T430," ",V430," ",X430," ",Z430," ",AB430," ","X"," ",Table43[[#This Row],[ISI/CTN]]," ",AH430," ",AD430," ",AF430," ",AJ430))),TRIM(UPPER(CONCATENATE(R430," ",T430," ",V430," ",X430," ",Z430," ",AB430," ","X"," ",Table43[[#This Row],[ISI/CTN]]," ",AD430," ",AF430," ",AJ430))))</f>
        <v>STELLA AEROSOL LEMON 175ML X 12 KLG</v>
      </c>
      <c r="Q430" s="11">
        <f t="shared" si="11"/>
        <v>35</v>
      </c>
      <c r="S430" s="7" t="s">
        <v>34</v>
      </c>
      <c r="T430" s="4" t="s">
        <v>2421</v>
      </c>
      <c r="U430" s="47" t="s">
        <v>2584</v>
      </c>
      <c r="V430" s="48" t="s">
        <v>2243</v>
      </c>
      <c r="W430" s="7">
        <v>1</v>
      </c>
      <c r="X430" s="48"/>
      <c r="Y430" s="47" t="s">
        <v>1116</v>
      </c>
      <c r="Z430" s="4" t="s">
        <v>2321</v>
      </c>
      <c r="AA430" s="49" t="s">
        <v>2542</v>
      </c>
      <c r="AB430" s="4" t="s">
        <v>2214</v>
      </c>
      <c r="AC430" s="49" t="s">
        <v>2600</v>
      </c>
      <c r="AD430" s="4" t="s">
        <v>2221</v>
      </c>
      <c r="AE430" s="7">
        <v>1</v>
      </c>
      <c r="AG430" s="7">
        <v>0</v>
      </c>
      <c r="AK430" s="70">
        <f>Table43[[#This Row],[Column4]]</f>
        <v>30490040200000</v>
      </c>
      <c r="AN430" s="7">
        <f>Table43[[#This Row],[ISI/CTN]]</f>
        <v>12</v>
      </c>
      <c r="AO430" s="38">
        <f>Table43[[#This Row],[Harga Jual Pcs GT
(-PPN)]]-(Table43[[#This Row],[Harga Jual Pcs GT
(-PPN)]]*6.5%)</f>
        <v>14025</v>
      </c>
      <c r="AP430" s="38">
        <f>Table43[[#This Row],[Harga Beli Pcs
(-PPN)]]*Table43[[#This Row],[ISI/CTN]]</f>
        <v>168300</v>
      </c>
      <c r="AQ430" s="38">
        <f>Table43[[#This Row],[Harga Beli Pcs
(-PPN)]]*1.11</f>
        <v>15567.750000000002</v>
      </c>
      <c r="AR430" s="38">
        <f>Table43[[#This Row],[Harga Beli Krt
(- PPN)]]*1.11</f>
        <v>186813.00000000003</v>
      </c>
      <c r="AS430" s="38">
        <v>15000</v>
      </c>
      <c r="AT430" s="38">
        <f>Table43[[#This Row],[Harga Jual Pcs GT
(-PPN)]]*Table43[[#This Row],[ISI/CTN]]</f>
        <v>180000</v>
      </c>
      <c r="AU430" s="38">
        <f>Table43[[#This Row],[Harga Jual Pcs GT
(-PPN)]]*1.11</f>
        <v>16650</v>
      </c>
      <c r="AV430" s="38">
        <f>Table43[[#This Row],[Harga Jual Krt GT
(- PPN)]]*1.11</f>
        <v>199800.00000000003</v>
      </c>
      <c r="AW430" s="38">
        <f>IFERROR(VLOOKUP(Table43[[#This Row],[Kode Pcpl]],'[1]FEB 2026'!$A$3:$X$312,24,0),0)</f>
        <v>0</v>
      </c>
      <c r="AX430" s="38">
        <f>Table43[[#This Row],[Harga Jual Pcs MT
(-PPN)]]*Table43[[#This Row],[ISI/CTN]]</f>
        <v>0</v>
      </c>
      <c r="AY430" s="38">
        <f>Table43[[#This Row],[Harga Jual Pcs MT
(-PPN)]]*1.11</f>
        <v>0</v>
      </c>
      <c r="AZ430" s="38">
        <f>Table43[[#This Row],[Harga Jual Pcs MT
(+PPN)]]*Table43[[#This Row],[ISI/CTN]]</f>
        <v>0</v>
      </c>
      <c r="BA430" s="46">
        <f>(Table43[[#This Row],[Harga Jual Pcs GT
(-PPN)]]-Table43[[#This Row],[Harga Beli Pcs
(-PPN)]])/Table43[[#This Row],[Harga Jual Pcs GT
(-PPN)]]</f>
        <v>6.5000000000000002E-2</v>
      </c>
      <c r="BB430" s="53">
        <f>Table43[[#This Row],[Harga Jual Pcs MT
(-PPN)]]-Table43[[#This Row],[Harga Beli Pcs
(-PPN)]]</f>
        <v>-14025</v>
      </c>
      <c r="BC430" s="54" t="e">
        <f>Table43[[#This Row],[Column1]]/Table43[[#This Row],[Harga Jual Pcs MT
(-PPN)]]</f>
        <v>#DIV/0!</v>
      </c>
      <c r="BD430" s="52"/>
      <c r="BE430" s="7"/>
      <c r="BF430" s="7" t="str">
        <f ca="1">IF(TODAY()-Table43[[#This Row],[Efektif
Pembuatan]]&gt;60,"Lama","Baru")</f>
        <v>Lama</v>
      </c>
      <c r="BG430" s="7" t="str">
        <f ca="1">IF(TODAY()-Table43[[#This Row],[Efektif Naik Harga]]&lt;30,"Naik","Sama")</f>
        <v>Sama</v>
      </c>
      <c r="BH430" s="7"/>
      <c r="BI430" s="7" t="str">
        <f>IF(Table43[[#This Row],[Kode BARANG Win2]]&lt;&gt;"","IDR","")</f>
        <v>IDR</v>
      </c>
      <c r="BJ430" s="7" t="str">
        <f>CONCATENATE(Table43[[#This Row],[kode  1 Digit
(Nomor)]],Table43[[#This Row],[kode  4 Digit                (Nomor)]])</f>
        <v>0175</v>
      </c>
      <c r="BK430" s="7" t="str">
        <f>Table43[[#This Row],[Nama            Gramasi atau Jumlah Pack per CTN]]</f>
        <v>175ML</v>
      </c>
      <c r="BL430" s="7"/>
      <c r="BM430" s="7"/>
      <c r="BN430" s="4" t="str">
        <f>IF(Table43[[#This Row],[SATUAN Fix Win]]&lt;&gt;"","KRT")</f>
        <v>KRT</v>
      </c>
      <c r="BO430" s="4" t="str">
        <f>IF(Table43[[#This Row],[SATUAN Fix Win]]&lt;&gt;"","GD01")</f>
        <v>GD01</v>
      </c>
      <c r="BP430" s="4">
        <f>IF(Table43[[#This Row],[SATUAN Fix Win]]&lt;&gt;"",11611)</f>
        <v>11611</v>
      </c>
      <c r="BQ430" s="4">
        <f>IF(Table43[[#This Row],[SATUAN Fix Win]]&lt;&gt;"",11612)</f>
        <v>11612</v>
      </c>
      <c r="BS430" s="4">
        <f>IF(Table43[[#This Row],[SATUAN Fix Win]]&lt;&gt;"",1)</f>
        <v>1</v>
      </c>
      <c r="BU430" s="4">
        <f>Table43[[#This Row],[ISI/CTN]]</f>
        <v>12</v>
      </c>
    </row>
    <row r="431" spans="1:73">
      <c r="A431" s="4" t="str">
        <f>CONCATENATE(Table43[[#This Row],[Kode BARANG Win2]],Table43[[#This Row],[No. Urut
Item Sama]])</f>
        <v>G1261006017510</v>
      </c>
      <c r="B431" s="7"/>
      <c r="C431" s="31"/>
      <c r="D431" s="51">
        <v>40029993</v>
      </c>
      <c r="E431" s="27"/>
      <c r="F431" s="51"/>
      <c r="G431" s="51"/>
      <c r="H431" s="27"/>
      <c r="I431" s="27">
        <v>12</v>
      </c>
      <c r="J431" s="51" t="s">
        <v>1772</v>
      </c>
      <c r="K431" s="27" t="str">
        <f>Table43[[#This Row],[NamaJenisKemasan]]</f>
        <v>KLG</v>
      </c>
      <c r="L431" s="4" t="str">
        <f>TRIM(CONCATENATE(Table43[[#This Row],[Nama            KLP]]," ",Table43[[#This Row],[Nama            Sub KLP]]))</f>
        <v>STELLA AEROSOL</v>
      </c>
      <c r="M431" s="4" t="str">
        <f>CONCATENATE(Table43[[#This Row],[kode  2 Digit                (hrf+No)]],Table43[[#This Row],[kode  2 Digit                (Nomor)]],Table43[[#This Row],[kode  1 Digit                (Nomor)]])</f>
        <v>G1261</v>
      </c>
      <c r="N431" s="4" t="str">
        <f>IF(AI431="",CONCATENATE(S431,U431,W431,Y431,AA431,AC431,AE431,AG431,Table43[[#This Row],[Tanda Kode Revisi]]),CONCATENATE(S431,U431,W431,Y431,AA431,AC431,AE431,AI431))</f>
        <v>G1261006017510</v>
      </c>
      <c r="O431" s="11">
        <f t="shared" si="10"/>
        <v>14</v>
      </c>
      <c r="P431" s="14" t="str">
        <f>IF(AH431&lt;&gt;"",TRIM(UPPER(CONCATENATE(R431," ",T431," ",V431," ",X431," ",Z431," ",AB431," ","X"," ",Table43[[#This Row],[ISI/CTN]]," ",AH431," ",AD431," ",AF431," ",AJ431))),TRIM(UPPER(CONCATENATE(R431," ",T431," ",V431," ",X431," ",Z431," ",AB431," ","X"," ",Table43[[#This Row],[ISI/CTN]]," ",AD431," ",AF431," ",AJ431))))</f>
        <v>STELLA AEROSOL LEMON 175ML X 12 KLG</v>
      </c>
      <c r="Q431" s="11">
        <f t="shared" si="11"/>
        <v>35</v>
      </c>
      <c r="S431" s="7" t="s">
        <v>34</v>
      </c>
      <c r="T431" s="4" t="s">
        <v>2421</v>
      </c>
      <c r="U431" s="47" t="s">
        <v>2584</v>
      </c>
      <c r="V431" s="48" t="s">
        <v>2243</v>
      </c>
      <c r="W431" s="7">
        <v>1</v>
      </c>
      <c r="X431" s="48"/>
      <c r="Y431" s="47" t="s">
        <v>1116</v>
      </c>
      <c r="Z431" s="4" t="s">
        <v>2321</v>
      </c>
      <c r="AA431" s="49" t="s">
        <v>2542</v>
      </c>
      <c r="AB431" s="4" t="s">
        <v>2214</v>
      </c>
      <c r="AC431" s="49" t="s">
        <v>2600</v>
      </c>
      <c r="AD431" s="4" t="s">
        <v>2221</v>
      </c>
      <c r="AE431" s="7">
        <v>1</v>
      </c>
      <c r="AG431" s="7">
        <v>0</v>
      </c>
      <c r="AK431" s="70">
        <f>Table43[[#This Row],[Column4]]</f>
        <v>0</v>
      </c>
      <c r="AN431" s="7">
        <f>Table43[[#This Row],[ISI/CTN]]</f>
        <v>12</v>
      </c>
      <c r="AO431" s="38">
        <f>Table43[[#This Row],[Harga Jual Pcs GT
(-PPN)]]-(Table43[[#This Row],[Harga Jual Pcs GT
(-PPN)]]*6.5%)</f>
        <v>14025</v>
      </c>
      <c r="AP431" s="38">
        <f>Table43[[#This Row],[Harga Beli Pcs
(-PPN)]]*Table43[[#This Row],[ISI/CTN]]</f>
        <v>168300</v>
      </c>
      <c r="AQ431" s="38">
        <f>Table43[[#This Row],[Harga Beli Pcs
(-PPN)]]*1.11</f>
        <v>15567.750000000002</v>
      </c>
      <c r="AR431" s="38">
        <f>Table43[[#This Row],[Harga Beli Krt
(- PPN)]]*1.11</f>
        <v>186813.00000000003</v>
      </c>
      <c r="AS431" s="38">
        <v>15000</v>
      </c>
      <c r="AT431" s="38">
        <f>Table43[[#This Row],[Harga Jual Pcs GT
(-PPN)]]*Table43[[#This Row],[ISI/CTN]]</f>
        <v>180000</v>
      </c>
      <c r="AU431" s="38">
        <f>Table43[[#This Row],[Harga Jual Pcs GT
(-PPN)]]*1.11</f>
        <v>16650</v>
      </c>
      <c r="AV431" s="38">
        <f>Table43[[#This Row],[Harga Jual Krt GT
(- PPN)]]*1.11</f>
        <v>199800.00000000003</v>
      </c>
      <c r="AW431" s="38">
        <f>IFERROR(VLOOKUP(Table43[[#This Row],[Kode Pcpl]],'[1]FEB 2026'!$A$3:$X$312,24,0),0)</f>
        <v>0</v>
      </c>
      <c r="AX431" s="38">
        <f>Table43[[#This Row],[Harga Jual Pcs MT
(-PPN)]]*Table43[[#This Row],[ISI/CTN]]</f>
        <v>0</v>
      </c>
      <c r="AY431" s="38">
        <f>Table43[[#This Row],[Harga Jual Pcs MT
(-PPN)]]*1.11</f>
        <v>0</v>
      </c>
      <c r="AZ431" s="38">
        <f>Table43[[#This Row],[Harga Jual Pcs MT
(+PPN)]]*Table43[[#This Row],[ISI/CTN]]</f>
        <v>0</v>
      </c>
      <c r="BA431" s="46">
        <f>(Table43[[#This Row],[Harga Jual Pcs GT
(-PPN)]]-Table43[[#This Row],[Harga Beli Pcs
(-PPN)]])/Table43[[#This Row],[Harga Jual Pcs GT
(-PPN)]]</f>
        <v>6.5000000000000002E-2</v>
      </c>
      <c r="BB431" s="53">
        <f>Table43[[#This Row],[Harga Jual Pcs MT
(-PPN)]]-Table43[[#This Row],[Harga Beli Pcs
(-PPN)]]</f>
        <v>-14025</v>
      </c>
      <c r="BC431" s="54" t="e">
        <f>Table43[[#This Row],[Column1]]/Table43[[#This Row],[Harga Jual Pcs MT
(-PPN)]]</f>
        <v>#DIV/0!</v>
      </c>
      <c r="BD431" s="52"/>
      <c r="BE431" s="7"/>
      <c r="BF431" s="7" t="str">
        <f ca="1">IF(TODAY()-Table43[[#This Row],[Efektif
Pembuatan]]&gt;60,"Lama","Baru")</f>
        <v>Lama</v>
      </c>
      <c r="BG431" s="7" t="str">
        <f ca="1">IF(TODAY()-Table43[[#This Row],[Efektif Naik Harga]]&lt;30,"Naik","Sama")</f>
        <v>Sama</v>
      </c>
      <c r="BH431" s="7"/>
      <c r="BI431" s="7" t="str">
        <f>IF(Table43[[#This Row],[Kode BARANG Win2]]&lt;&gt;"","IDR","")</f>
        <v>IDR</v>
      </c>
      <c r="BJ431" s="7" t="str">
        <f>CONCATENATE(Table43[[#This Row],[kode  1 Digit
(Nomor)]],Table43[[#This Row],[kode  4 Digit                (Nomor)]])</f>
        <v>0175</v>
      </c>
      <c r="BK431" s="7" t="str">
        <f>Table43[[#This Row],[Nama            Gramasi atau Jumlah Pack per CTN]]</f>
        <v>175ML</v>
      </c>
      <c r="BL431" s="7"/>
      <c r="BM431" s="7"/>
      <c r="BN431" s="4" t="str">
        <f>IF(Table43[[#This Row],[SATUAN Fix Win]]&lt;&gt;"","KRT")</f>
        <v>KRT</v>
      </c>
      <c r="BO431" s="4" t="str">
        <f>IF(Table43[[#This Row],[SATUAN Fix Win]]&lt;&gt;"","GD01")</f>
        <v>GD01</v>
      </c>
      <c r="BP431" s="4">
        <f>IF(Table43[[#This Row],[SATUAN Fix Win]]&lt;&gt;"",11611)</f>
        <v>11611</v>
      </c>
      <c r="BQ431" s="4">
        <f>IF(Table43[[#This Row],[SATUAN Fix Win]]&lt;&gt;"",11612)</f>
        <v>11612</v>
      </c>
      <c r="BS431" s="4">
        <f>IF(Table43[[#This Row],[SATUAN Fix Win]]&lt;&gt;"",1)</f>
        <v>1</v>
      </c>
      <c r="BU431" s="4">
        <f>Table43[[#This Row],[ISI/CTN]]</f>
        <v>12</v>
      </c>
    </row>
    <row r="432" spans="1:73">
      <c r="A432" s="4" t="str">
        <f>CONCATENATE(Table43[[#This Row],[Kode BARANG Win2]],Table43[[#This Row],[No. Urut
Item Sama]])</f>
        <v>G1261006035010</v>
      </c>
      <c r="B432" s="7"/>
      <c r="C432" s="31">
        <v>30490140200000</v>
      </c>
      <c r="D432" s="51">
        <v>40059928</v>
      </c>
      <c r="E432" s="27" t="s">
        <v>2091</v>
      </c>
      <c r="F432" s="59">
        <v>30490040400000</v>
      </c>
      <c r="G432" s="51">
        <v>0</v>
      </c>
      <c r="H432" s="27" t="s">
        <v>1406</v>
      </c>
      <c r="I432" s="27">
        <v>12</v>
      </c>
      <c r="J432" s="51" t="s">
        <v>1773</v>
      </c>
      <c r="K432" s="27" t="str">
        <f>Table43[[#This Row],[NamaJenisKemasan]]</f>
        <v>KLG</v>
      </c>
      <c r="L432" s="4" t="str">
        <f>TRIM(CONCATENATE(Table43[[#This Row],[Nama            KLP]]," ",Table43[[#This Row],[Nama            Sub KLP]]))</f>
        <v>STELLA AEROSOL</v>
      </c>
      <c r="M432" s="4" t="str">
        <f>CONCATENATE(Table43[[#This Row],[kode  2 Digit                (hrf+No)]],Table43[[#This Row],[kode  2 Digit                (Nomor)]],Table43[[#This Row],[kode  1 Digit                (Nomor)]])</f>
        <v>G1261</v>
      </c>
      <c r="N432" s="4" t="str">
        <f>IF(AI432="",CONCATENATE(S432,U432,W432,Y432,AA432,AC432,AE432,AG432,Table43[[#This Row],[Tanda Kode Revisi]]),CONCATENATE(S432,U432,W432,Y432,AA432,AC432,AE432,AI432))</f>
        <v>G1261006035010</v>
      </c>
      <c r="O432" s="11">
        <f t="shared" si="10"/>
        <v>14</v>
      </c>
      <c r="P432" s="14" t="str">
        <f>IF(AH432&lt;&gt;"",TRIM(UPPER(CONCATENATE(R432," ",T432," ",V432," ",X432," ",Z432," ",AB432," ","X"," ",Table43[[#This Row],[ISI/CTN]]," ",AH432," ",AD432," ",AF432," ",AJ432))),TRIM(UPPER(CONCATENATE(R432," ",T432," ",V432," ",X432," ",Z432," ",AB432," ","X"," ",Table43[[#This Row],[ISI/CTN]]," ",AD432," ",AF432," ",AJ432))))</f>
        <v>STELLA AEROSOL LEMON 350ML X 12 KLG</v>
      </c>
      <c r="Q432" s="11">
        <f t="shared" si="11"/>
        <v>35</v>
      </c>
      <c r="S432" s="7" t="s">
        <v>34</v>
      </c>
      <c r="T432" s="4" t="s">
        <v>2421</v>
      </c>
      <c r="U432" s="47" t="s">
        <v>2584</v>
      </c>
      <c r="V432" s="48" t="s">
        <v>2243</v>
      </c>
      <c r="W432" s="7">
        <v>1</v>
      </c>
      <c r="X432" s="48"/>
      <c r="Y432" s="47" t="s">
        <v>1116</v>
      </c>
      <c r="Z432" s="4" t="s">
        <v>2321</v>
      </c>
      <c r="AA432" s="49" t="s">
        <v>2542</v>
      </c>
      <c r="AB432" s="4" t="s">
        <v>2372</v>
      </c>
      <c r="AC432" s="49" t="s">
        <v>2619</v>
      </c>
      <c r="AD432" s="4" t="s">
        <v>2221</v>
      </c>
      <c r="AE432" s="7">
        <v>1</v>
      </c>
      <c r="AG432" s="7">
        <v>0</v>
      </c>
      <c r="AK432" s="70">
        <f>Table43[[#This Row],[Column4]]</f>
        <v>30490040400000</v>
      </c>
      <c r="AN432" s="7">
        <f>Table43[[#This Row],[ISI/CTN]]</f>
        <v>12</v>
      </c>
      <c r="AO432" s="61">
        <f>Table43[[#This Row],[Harga Jual Pcs GT
(-PPN)]]-(Table43[[#This Row],[Harga Jual Pcs GT
(-PPN)]]*6.5%)</f>
        <v>20383</v>
      </c>
      <c r="AP432" s="61">
        <f>Table43[[#This Row],[Harga Beli Pcs
(-PPN)]]*Table43[[#This Row],[ISI/CTN]]</f>
        <v>244596</v>
      </c>
      <c r="AQ432" s="61">
        <f>Table43[[#This Row],[Harga Beli Pcs
(-PPN)]]*1.11</f>
        <v>22625.13</v>
      </c>
      <c r="AR432" s="61">
        <f>Table43[[#This Row],[Harga Beli Krt
(- PPN)]]*1.11</f>
        <v>271501.56</v>
      </c>
      <c r="AS432" s="61">
        <v>21800</v>
      </c>
      <c r="AT432" s="61">
        <f>Table43[[#This Row],[Harga Jual Pcs GT
(-PPN)]]*Table43[[#This Row],[ISI/CTN]]</f>
        <v>261600</v>
      </c>
      <c r="AU432" s="61">
        <f>Table43[[#This Row],[Harga Jual Pcs GT
(-PPN)]]*1.11</f>
        <v>24198.000000000004</v>
      </c>
      <c r="AV432" s="61">
        <f>Table43[[#This Row],[Harga Jual Krt GT
(- PPN)]]*1.11</f>
        <v>290376</v>
      </c>
      <c r="AW432" s="61">
        <f>IFERROR(VLOOKUP(Table43[[#This Row],[Kode Pcpl]],'[1]FEB 2026'!$A$3:$X$312,24,0),0)</f>
        <v>0</v>
      </c>
      <c r="AX432" s="61">
        <f>Table43[[#This Row],[Harga Jual Pcs MT
(-PPN)]]*Table43[[#This Row],[ISI/CTN]]</f>
        <v>0</v>
      </c>
      <c r="AY432" s="61">
        <f>Table43[[#This Row],[Harga Jual Pcs MT
(-PPN)]]*1.11</f>
        <v>0</v>
      </c>
      <c r="AZ432" s="61">
        <f>Table43[[#This Row],[Harga Jual Pcs MT
(+PPN)]]*Table43[[#This Row],[ISI/CTN]]</f>
        <v>0</v>
      </c>
      <c r="BA432" s="62">
        <f>(Table43[[#This Row],[Harga Jual Pcs GT
(-PPN)]]-Table43[[#This Row],[Harga Beli Pcs
(-PPN)]])/Table43[[#This Row],[Harga Jual Pcs GT
(-PPN)]]</f>
        <v>6.5000000000000002E-2</v>
      </c>
      <c r="BB432" s="63">
        <f>Table43[[#This Row],[Harga Jual Pcs MT
(-PPN)]]-Table43[[#This Row],[Harga Beli Pcs
(-PPN)]]</f>
        <v>-20383</v>
      </c>
      <c r="BC432" s="64" t="e">
        <f>Table43[[#This Row],[Column1]]/Table43[[#This Row],[Harga Jual Pcs MT
(-PPN)]]</f>
        <v>#DIV/0!</v>
      </c>
      <c r="BD432" s="52"/>
      <c r="BE432" s="7"/>
      <c r="BF432" s="7" t="str">
        <f ca="1">IF(TODAY()-Table43[[#This Row],[Efektif
Pembuatan]]&gt;60,"Lama","Baru")</f>
        <v>Lama</v>
      </c>
      <c r="BG432" s="7" t="str">
        <f ca="1">IF(TODAY()-Table43[[#This Row],[Efektif Naik Harga]]&lt;30,"Naik","Sama")</f>
        <v>Sama</v>
      </c>
      <c r="BH432" s="7"/>
      <c r="BI432" s="7" t="str">
        <f>IF(Table43[[#This Row],[Kode BARANG Win2]]&lt;&gt;"","IDR","")</f>
        <v>IDR</v>
      </c>
      <c r="BJ432" s="7" t="str">
        <f>CONCATENATE(Table43[[#This Row],[kode  1 Digit
(Nomor)]],Table43[[#This Row],[kode  4 Digit                (Nomor)]])</f>
        <v>0350</v>
      </c>
      <c r="BK432" s="7" t="str">
        <f>Table43[[#This Row],[Nama            Gramasi atau Jumlah Pack per CTN]]</f>
        <v>350ML</v>
      </c>
      <c r="BL432" s="7"/>
      <c r="BM432" s="7"/>
      <c r="BN432" s="4" t="str">
        <f>IF(Table43[[#This Row],[SATUAN Fix Win]]&lt;&gt;"","KRT")</f>
        <v>KRT</v>
      </c>
      <c r="BO432" s="4" t="str">
        <f>IF(Table43[[#This Row],[SATUAN Fix Win]]&lt;&gt;"","GD01")</f>
        <v>GD01</v>
      </c>
      <c r="BP432" s="4">
        <f>IF(Table43[[#This Row],[SATUAN Fix Win]]&lt;&gt;"",11611)</f>
        <v>11611</v>
      </c>
      <c r="BQ432" s="4">
        <f>IF(Table43[[#This Row],[SATUAN Fix Win]]&lt;&gt;"",11612)</f>
        <v>11612</v>
      </c>
      <c r="BS432" s="4">
        <f>IF(Table43[[#This Row],[SATUAN Fix Win]]&lt;&gt;"",1)</f>
        <v>1</v>
      </c>
      <c r="BU432" s="4">
        <f>Table43[[#This Row],[ISI/CTN]]</f>
        <v>12</v>
      </c>
    </row>
    <row r="433" spans="1:73">
      <c r="A433" s="4" t="str">
        <f>CONCATENATE(Table43[[#This Row],[Kode BARANG Win2]],Table43[[#This Row],[No. Urut
Item Sama]])</f>
        <v>G1261006035010</v>
      </c>
      <c r="B433" s="7"/>
      <c r="C433" s="31"/>
      <c r="D433" s="51">
        <v>40043463</v>
      </c>
      <c r="E433" s="27"/>
      <c r="F433" s="51"/>
      <c r="G433" s="51"/>
      <c r="H433" s="27"/>
      <c r="I433" s="27">
        <v>12</v>
      </c>
      <c r="J433" s="51" t="s">
        <v>1773</v>
      </c>
      <c r="K433" s="27" t="str">
        <f>Table43[[#This Row],[NamaJenisKemasan]]</f>
        <v>KLG</v>
      </c>
      <c r="L433" s="4" t="str">
        <f>TRIM(CONCATENATE(Table43[[#This Row],[Nama            KLP]]," ",Table43[[#This Row],[Nama            Sub KLP]]))</f>
        <v>STELLA AEROSOL</v>
      </c>
      <c r="M433" s="4" t="str">
        <f>CONCATENATE(Table43[[#This Row],[kode  2 Digit                (hrf+No)]],Table43[[#This Row],[kode  2 Digit                (Nomor)]],Table43[[#This Row],[kode  1 Digit                (Nomor)]])</f>
        <v>G1261</v>
      </c>
      <c r="N433" s="4" t="str">
        <f>IF(AI433="",CONCATENATE(S433,U433,W433,Y433,AA433,AC433,AE433,AG433,Table43[[#This Row],[Tanda Kode Revisi]]),CONCATENATE(S433,U433,W433,Y433,AA433,AC433,AE433,AI433))</f>
        <v>G1261006035010</v>
      </c>
      <c r="O433" s="11">
        <f>LEN(N433)</f>
        <v>14</v>
      </c>
      <c r="P433" s="14" t="str">
        <f>IF(AH433&lt;&gt;"",TRIM(UPPER(CONCATENATE(R433," ",T433," ",V433," ",X433," ",Z433," ",AB433," ","X"," ",Table43[[#This Row],[ISI/CTN]]," ",AH433," ",AD433," ",AF433," ",AJ433))),TRIM(UPPER(CONCATENATE(R433," ",T433," ",V433," ",X433," ",Z433," ",AB433," ","X"," ",Table43[[#This Row],[ISI/CTN]]," ",AD433," ",AF433," ",AJ433))))</f>
        <v>STELLA AEROSOL LEMON 350ML X 12 KLG</v>
      </c>
      <c r="Q433" s="11">
        <f>LEN(P433)</f>
        <v>35</v>
      </c>
      <c r="S433" s="7" t="s">
        <v>34</v>
      </c>
      <c r="T433" s="4" t="s">
        <v>2421</v>
      </c>
      <c r="U433" s="47" t="s">
        <v>2584</v>
      </c>
      <c r="V433" s="48" t="s">
        <v>2243</v>
      </c>
      <c r="W433" s="7">
        <v>1</v>
      </c>
      <c r="X433" s="48"/>
      <c r="Y433" s="47" t="s">
        <v>1116</v>
      </c>
      <c r="Z433" s="4" t="s">
        <v>2321</v>
      </c>
      <c r="AA433" s="49" t="s">
        <v>2542</v>
      </c>
      <c r="AB433" s="4" t="s">
        <v>2372</v>
      </c>
      <c r="AC433" s="49" t="s">
        <v>2619</v>
      </c>
      <c r="AD433" s="4" t="s">
        <v>2221</v>
      </c>
      <c r="AE433" s="7">
        <v>1</v>
      </c>
      <c r="AG433" s="7">
        <v>0</v>
      </c>
      <c r="AK433" s="70">
        <f>Table43[[#This Row],[Column4]]</f>
        <v>0</v>
      </c>
      <c r="AN433" s="7">
        <f>Table43[[#This Row],[ISI/CTN]]</f>
        <v>12</v>
      </c>
      <c r="AO433" s="61">
        <f>Table43[[#This Row],[Harga Jual Pcs GT
(-PPN)]]-(Table43[[#This Row],[Harga Jual Pcs GT
(-PPN)]]*6.5%)</f>
        <v>0</v>
      </c>
      <c r="AP433" s="61">
        <f>Table43[[#This Row],[Harga Beli Pcs
(-PPN)]]*Table43[[#This Row],[ISI/CTN]]</f>
        <v>0</v>
      </c>
      <c r="AQ433" s="61">
        <f>Table43[[#This Row],[Harga Beli Pcs
(-PPN)]]*1.11</f>
        <v>0</v>
      </c>
      <c r="AR433" s="61">
        <f>Table43[[#This Row],[Harga Beli Krt
(- PPN)]]*1.11</f>
        <v>0</v>
      </c>
      <c r="AS433" s="61"/>
      <c r="AT433" s="61">
        <f>Table43[[#This Row],[Harga Jual Pcs GT
(-PPN)]]*Table43[[#This Row],[ISI/CTN]]</f>
        <v>0</v>
      </c>
      <c r="AU433" s="61">
        <f>Table43[[#This Row],[Harga Jual Pcs GT
(-PPN)]]*1.11</f>
        <v>0</v>
      </c>
      <c r="AV433" s="61">
        <f>Table43[[#This Row],[Harga Jual Krt GT
(- PPN)]]*1.11</f>
        <v>0</v>
      </c>
      <c r="AW433" s="61">
        <f>IFERROR(VLOOKUP(Table43[[#This Row],[Kode Pcpl]],'[1]FEB 2026'!$A$3:$X$312,24,0),0)</f>
        <v>0</v>
      </c>
      <c r="AX433" s="61">
        <f>Table43[[#This Row],[Harga Jual Pcs MT
(-PPN)]]*Table43[[#This Row],[ISI/CTN]]</f>
        <v>0</v>
      </c>
      <c r="AY433" s="61">
        <f>Table43[[#This Row],[Harga Jual Pcs MT
(-PPN)]]*1.11</f>
        <v>0</v>
      </c>
      <c r="AZ433" s="61">
        <f>Table43[[#This Row],[Harga Jual Pcs MT
(+PPN)]]*Table43[[#This Row],[ISI/CTN]]</f>
        <v>0</v>
      </c>
      <c r="BA433" s="62" t="e">
        <f>(Table43[[#This Row],[Harga Jual Pcs GT
(-PPN)]]-Table43[[#This Row],[Harga Beli Pcs
(-PPN)]])/Table43[[#This Row],[Harga Jual Pcs GT
(-PPN)]]</f>
        <v>#DIV/0!</v>
      </c>
      <c r="BB433" s="63">
        <f>Table43[[#This Row],[Harga Jual Pcs MT
(-PPN)]]-Table43[[#This Row],[Harga Beli Pcs
(-PPN)]]</f>
        <v>0</v>
      </c>
      <c r="BC433" s="64" t="e">
        <f>Table43[[#This Row],[Column1]]/Table43[[#This Row],[Harga Jual Pcs MT
(-PPN)]]</f>
        <v>#DIV/0!</v>
      </c>
      <c r="BD433" s="52"/>
      <c r="BE433" s="7"/>
      <c r="BF433" s="7" t="str">
        <f ca="1">IF(TODAY()-Table43[[#This Row],[Efektif
Pembuatan]]&gt;60,"Lama","Baru")</f>
        <v>Lama</v>
      </c>
      <c r="BG433" s="7" t="str">
        <f ca="1">IF(TODAY()-Table43[[#This Row],[Efektif Naik Harga]]&lt;30,"Naik","Sama")</f>
        <v>Sama</v>
      </c>
      <c r="BH433" s="7"/>
      <c r="BI433" s="7" t="str">
        <f>IF(Table43[[#This Row],[Kode BARANG Win2]]&lt;&gt;"","IDR","")</f>
        <v>IDR</v>
      </c>
      <c r="BJ433" s="7" t="str">
        <f>CONCATENATE(Table43[[#This Row],[kode  1 Digit
(Nomor)]],Table43[[#This Row],[kode  4 Digit                (Nomor)]])</f>
        <v>0350</v>
      </c>
      <c r="BK433" s="7" t="str">
        <f>Table43[[#This Row],[Nama            Gramasi atau Jumlah Pack per CTN]]</f>
        <v>350ML</v>
      </c>
      <c r="BL433" s="7"/>
      <c r="BM433" s="7"/>
      <c r="BN433" s="4" t="str">
        <f>IF(Table43[[#This Row],[SATUAN Fix Win]]&lt;&gt;"","KRT")</f>
        <v>KRT</v>
      </c>
      <c r="BO433" s="4" t="str">
        <f>IF(Table43[[#This Row],[SATUAN Fix Win]]&lt;&gt;"","GD01")</f>
        <v>GD01</v>
      </c>
      <c r="BP433" s="4">
        <f>IF(Table43[[#This Row],[SATUAN Fix Win]]&lt;&gt;"",11611)</f>
        <v>11611</v>
      </c>
      <c r="BQ433" s="4">
        <f>IF(Table43[[#This Row],[SATUAN Fix Win]]&lt;&gt;"",11612)</f>
        <v>11612</v>
      </c>
      <c r="BS433" s="4">
        <f>IF(Table43[[#This Row],[SATUAN Fix Win]]&lt;&gt;"",1)</f>
        <v>1</v>
      </c>
      <c r="BU433" s="4">
        <f>Table43[[#This Row],[ISI/CTN]]</f>
        <v>12</v>
      </c>
    </row>
    <row r="434" spans="1:73">
      <c r="A434" s="4" t="str">
        <f>CONCATENATE(Table43[[#This Row],[Kode BARANG Win2]],Table43[[#This Row],[No. Urut
Item Sama]])</f>
        <v>G1261006035010</v>
      </c>
      <c r="B434" s="7"/>
      <c r="C434" s="31"/>
      <c r="D434" s="51">
        <v>40029998</v>
      </c>
      <c r="E434" s="27"/>
      <c r="F434" s="51"/>
      <c r="G434" s="51"/>
      <c r="H434" s="27"/>
      <c r="I434" s="27">
        <v>12</v>
      </c>
      <c r="J434" s="51" t="s">
        <v>1773</v>
      </c>
      <c r="K434" s="27" t="str">
        <f>Table43[[#This Row],[NamaJenisKemasan]]</f>
        <v>KLG</v>
      </c>
      <c r="L434" s="4" t="str">
        <f>TRIM(CONCATENATE(Table43[[#This Row],[Nama            KLP]]," ",Table43[[#This Row],[Nama            Sub KLP]]))</f>
        <v>STELLA AEROSOL</v>
      </c>
      <c r="M434" s="4" t="str">
        <f>CONCATENATE(Table43[[#This Row],[kode  2 Digit                (hrf+No)]],Table43[[#This Row],[kode  2 Digit                (Nomor)]],Table43[[#This Row],[kode  1 Digit                (Nomor)]])</f>
        <v>G1261</v>
      </c>
      <c r="N434" s="4" t="str">
        <f>IF(AI434="",CONCATENATE(S434,U434,W434,Y434,AA434,AC434,AE434,AG434,Table43[[#This Row],[Tanda Kode Revisi]]),CONCATENATE(S434,U434,W434,Y434,AA434,AC434,AE434,AI434))</f>
        <v>G1261006035010</v>
      </c>
      <c r="O434" s="11">
        <f>LEN(N434)</f>
        <v>14</v>
      </c>
      <c r="P434" s="14" t="str">
        <f>IF(AH434&lt;&gt;"",TRIM(UPPER(CONCATENATE(R434," ",T434," ",V434," ",X434," ",Z434," ",AB434," ","X"," ",Table43[[#This Row],[ISI/CTN]]," ",AH434," ",AD434," ",AF434," ",AJ434))),TRIM(UPPER(CONCATENATE(R434," ",T434," ",V434," ",X434," ",Z434," ",AB434," ","X"," ",Table43[[#This Row],[ISI/CTN]]," ",AD434," ",AF434," ",AJ434))))</f>
        <v>STELLA AEROSOL LEMON 350ML X 12 KLG</v>
      </c>
      <c r="Q434" s="11">
        <f>LEN(P434)</f>
        <v>35</v>
      </c>
      <c r="S434" s="7" t="s">
        <v>34</v>
      </c>
      <c r="T434" s="4" t="s">
        <v>2421</v>
      </c>
      <c r="U434" s="47" t="s">
        <v>2584</v>
      </c>
      <c r="V434" s="48" t="s">
        <v>2243</v>
      </c>
      <c r="W434" s="7">
        <v>1</v>
      </c>
      <c r="X434" s="48"/>
      <c r="Y434" s="47" t="s">
        <v>1116</v>
      </c>
      <c r="Z434" s="4" t="s">
        <v>2321</v>
      </c>
      <c r="AA434" s="49" t="s">
        <v>2542</v>
      </c>
      <c r="AB434" s="4" t="s">
        <v>2372</v>
      </c>
      <c r="AC434" s="49" t="s">
        <v>2619</v>
      </c>
      <c r="AD434" s="4" t="s">
        <v>2221</v>
      </c>
      <c r="AE434" s="7">
        <v>1</v>
      </c>
      <c r="AG434" s="7">
        <v>0</v>
      </c>
      <c r="AK434" s="70">
        <f>Table43[[#This Row],[Column4]]</f>
        <v>0</v>
      </c>
      <c r="AN434" s="7">
        <f>Table43[[#This Row],[ISI/CTN]]</f>
        <v>12</v>
      </c>
      <c r="AO434" s="61">
        <f>Table43[[#This Row],[Harga Jual Pcs GT
(-PPN)]]-(Table43[[#This Row],[Harga Jual Pcs GT
(-PPN)]]*6.5%)</f>
        <v>0</v>
      </c>
      <c r="AP434" s="61">
        <f>Table43[[#This Row],[Harga Beli Pcs
(-PPN)]]*Table43[[#This Row],[ISI/CTN]]</f>
        <v>0</v>
      </c>
      <c r="AQ434" s="61">
        <f>Table43[[#This Row],[Harga Beli Pcs
(-PPN)]]*1.11</f>
        <v>0</v>
      </c>
      <c r="AR434" s="61">
        <f>Table43[[#This Row],[Harga Beli Krt
(- PPN)]]*1.11</f>
        <v>0</v>
      </c>
      <c r="AS434" s="61"/>
      <c r="AT434" s="61">
        <f>Table43[[#This Row],[Harga Jual Pcs GT
(-PPN)]]*Table43[[#This Row],[ISI/CTN]]</f>
        <v>0</v>
      </c>
      <c r="AU434" s="61">
        <f>Table43[[#This Row],[Harga Jual Pcs GT
(-PPN)]]*1.11</f>
        <v>0</v>
      </c>
      <c r="AV434" s="61">
        <f>Table43[[#This Row],[Harga Jual Krt GT
(- PPN)]]*1.11</f>
        <v>0</v>
      </c>
      <c r="AW434" s="61">
        <f>IFERROR(VLOOKUP(Table43[[#This Row],[Kode Pcpl]],'[1]FEB 2026'!$A$3:$X$312,24,0),0)</f>
        <v>0</v>
      </c>
      <c r="AX434" s="61">
        <f>Table43[[#This Row],[Harga Jual Pcs MT
(-PPN)]]*Table43[[#This Row],[ISI/CTN]]</f>
        <v>0</v>
      </c>
      <c r="AY434" s="61">
        <f>Table43[[#This Row],[Harga Jual Pcs MT
(-PPN)]]*1.11</f>
        <v>0</v>
      </c>
      <c r="AZ434" s="61">
        <f>Table43[[#This Row],[Harga Jual Pcs MT
(+PPN)]]*Table43[[#This Row],[ISI/CTN]]</f>
        <v>0</v>
      </c>
      <c r="BA434" s="62" t="e">
        <f>(Table43[[#This Row],[Harga Jual Pcs GT
(-PPN)]]-Table43[[#This Row],[Harga Beli Pcs
(-PPN)]])/Table43[[#This Row],[Harga Jual Pcs GT
(-PPN)]]</f>
        <v>#DIV/0!</v>
      </c>
      <c r="BB434" s="63">
        <f>Table43[[#This Row],[Harga Jual Pcs MT
(-PPN)]]-Table43[[#This Row],[Harga Beli Pcs
(-PPN)]]</f>
        <v>0</v>
      </c>
      <c r="BC434" s="64" t="e">
        <f>Table43[[#This Row],[Column1]]/Table43[[#This Row],[Harga Jual Pcs MT
(-PPN)]]</f>
        <v>#DIV/0!</v>
      </c>
      <c r="BD434" s="52"/>
      <c r="BE434" s="7"/>
      <c r="BF434" s="7" t="str">
        <f ca="1">IF(TODAY()-Table43[[#This Row],[Efektif
Pembuatan]]&gt;60,"Lama","Baru")</f>
        <v>Lama</v>
      </c>
      <c r="BG434" s="7" t="str">
        <f ca="1">IF(TODAY()-Table43[[#This Row],[Efektif Naik Harga]]&lt;30,"Naik","Sama")</f>
        <v>Sama</v>
      </c>
      <c r="BH434" s="7"/>
      <c r="BI434" s="7" t="str">
        <f>IF(Table43[[#This Row],[Kode BARANG Win2]]&lt;&gt;"","IDR","")</f>
        <v>IDR</v>
      </c>
      <c r="BJ434" s="7" t="str">
        <f>CONCATENATE(Table43[[#This Row],[kode  1 Digit
(Nomor)]],Table43[[#This Row],[kode  4 Digit                (Nomor)]])</f>
        <v>0350</v>
      </c>
      <c r="BK434" s="7" t="str">
        <f>Table43[[#This Row],[Nama            Gramasi atau Jumlah Pack per CTN]]</f>
        <v>350ML</v>
      </c>
      <c r="BL434" s="7"/>
      <c r="BM434" s="7"/>
      <c r="BN434" s="4" t="str">
        <f>IF(Table43[[#This Row],[SATUAN Fix Win]]&lt;&gt;"","KRT")</f>
        <v>KRT</v>
      </c>
      <c r="BO434" s="4" t="str">
        <f>IF(Table43[[#This Row],[SATUAN Fix Win]]&lt;&gt;"","GD01")</f>
        <v>GD01</v>
      </c>
      <c r="BP434" s="4">
        <f>IF(Table43[[#This Row],[SATUAN Fix Win]]&lt;&gt;"",11611)</f>
        <v>11611</v>
      </c>
      <c r="BQ434" s="4">
        <f>IF(Table43[[#This Row],[SATUAN Fix Win]]&lt;&gt;"",11612)</f>
        <v>11612</v>
      </c>
      <c r="BS434" s="4">
        <f>IF(Table43[[#This Row],[SATUAN Fix Win]]&lt;&gt;"",1)</f>
        <v>1</v>
      </c>
      <c r="BU434" s="4">
        <f>Table43[[#This Row],[ISI/CTN]]</f>
        <v>12</v>
      </c>
    </row>
    <row r="435" spans="1:73">
      <c r="A435" s="4" t="str">
        <f>CONCATENATE(Table43[[#This Row],[Kode BARANG Win2]],Table43[[#This Row],[No. Urut
Item Sama]])</f>
        <v>G1261006035010</v>
      </c>
      <c r="B435" s="7"/>
      <c r="C435" s="31">
        <v>30490140400000</v>
      </c>
      <c r="D435" s="59">
        <v>40057466</v>
      </c>
      <c r="E435" s="60" t="s">
        <v>2091</v>
      </c>
      <c r="F435" s="59">
        <v>30490040400000</v>
      </c>
      <c r="G435" s="59">
        <v>0</v>
      </c>
      <c r="H435" s="60" t="s">
        <v>1405</v>
      </c>
      <c r="I435" s="60">
        <v>12</v>
      </c>
      <c r="J435" s="59" t="s">
        <v>1773</v>
      </c>
      <c r="K435" s="60" t="str">
        <f>Table43[[#This Row],[NamaJenisKemasan]]</f>
        <v>KLG</v>
      </c>
      <c r="L435" s="4" t="str">
        <f>TRIM(CONCATENATE(Table43[[#This Row],[Nama            KLP]]," ",Table43[[#This Row],[Nama            Sub KLP]]))</f>
        <v>STELLA AEROSOL</v>
      </c>
      <c r="M435" s="4" t="str">
        <f>CONCATENATE(Table43[[#This Row],[kode  2 Digit                (hrf+No)]],Table43[[#This Row],[kode  2 Digit                (Nomor)]],Table43[[#This Row],[kode  1 Digit                (Nomor)]])</f>
        <v>G1261</v>
      </c>
      <c r="N435" s="4" t="str">
        <f>IF(AI435="",CONCATENATE(S435,U435,W435,Y435,AA435,AC435,AE435,AG435,Table43[[#This Row],[Tanda Kode Revisi]]),CONCATENATE(S435,U435,W435,Y435,AA435,AC435,AE435,AI435))</f>
        <v>G1261006035010</v>
      </c>
      <c r="O435" s="11">
        <f t="shared" si="10"/>
        <v>14</v>
      </c>
      <c r="P435" s="14" t="str">
        <f>IF(AH435&lt;&gt;"",TRIM(UPPER(CONCATENATE(R435," ",T435," ",V435," ",X435," ",Z435," ",AB435," ","X"," ",Table43[[#This Row],[ISI/CTN]]," ",AH435," ",AD435," ",AF435," ",AJ435))),TRIM(UPPER(CONCATENATE(R435," ",T435," ",V435," ",X435," ",Z435," ",AB435," ","X"," ",Table43[[#This Row],[ISI/CTN]]," ",AD435," ",AF435," ",AJ435))))</f>
        <v>STELLA AEROSOL LEMON 350ML X 12 KLG</v>
      </c>
      <c r="Q435" s="11">
        <f t="shared" si="11"/>
        <v>35</v>
      </c>
      <c r="S435" s="7" t="s">
        <v>34</v>
      </c>
      <c r="T435" s="4" t="s">
        <v>2421</v>
      </c>
      <c r="U435" s="47" t="s">
        <v>2584</v>
      </c>
      <c r="V435" s="48" t="s">
        <v>2243</v>
      </c>
      <c r="W435" s="7">
        <v>1</v>
      </c>
      <c r="X435" s="48"/>
      <c r="Y435" s="47" t="s">
        <v>1116</v>
      </c>
      <c r="Z435" s="4" t="s">
        <v>2321</v>
      </c>
      <c r="AA435" s="49" t="s">
        <v>2542</v>
      </c>
      <c r="AB435" s="4" t="s">
        <v>2372</v>
      </c>
      <c r="AC435" s="49" t="s">
        <v>2619</v>
      </c>
      <c r="AD435" s="4" t="s">
        <v>2221</v>
      </c>
      <c r="AE435" s="7">
        <v>1</v>
      </c>
      <c r="AG435" s="7">
        <v>0</v>
      </c>
      <c r="AK435" s="70">
        <f>Table43[[#This Row],[Column4]]</f>
        <v>30490040400000</v>
      </c>
      <c r="AN435" s="7">
        <f>Table43[[#This Row],[ISI/CTN]]</f>
        <v>12</v>
      </c>
      <c r="AO435" s="38">
        <f>Table43[[#This Row],[Harga Jual Pcs GT
(-PPN)]]-(Table43[[#This Row],[Harga Jual Pcs GT
(-PPN)]]*6.5%)</f>
        <v>20383</v>
      </c>
      <c r="AP435" s="38">
        <f>Table43[[#This Row],[Harga Beli Pcs
(-PPN)]]*Table43[[#This Row],[ISI/CTN]]</f>
        <v>244596</v>
      </c>
      <c r="AQ435" s="38">
        <f>Table43[[#This Row],[Harga Beli Pcs
(-PPN)]]*1.11</f>
        <v>22625.13</v>
      </c>
      <c r="AR435" s="38">
        <f>Table43[[#This Row],[Harga Beli Krt
(- PPN)]]*1.11</f>
        <v>271501.56</v>
      </c>
      <c r="AS435" s="38">
        <v>21800</v>
      </c>
      <c r="AT435" s="38">
        <f>Table43[[#This Row],[Harga Jual Pcs GT
(-PPN)]]*Table43[[#This Row],[ISI/CTN]]</f>
        <v>261600</v>
      </c>
      <c r="AU435" s="38">
        <f>Table43[[#This Row],[Harga Jual Pcs GT
(-PPN)]]*1.11</f>
        <v>24198.000000000004</v>
      </c>
      <c r="AV435" s="38">
        <f>Table43[[#This Row],[Harga Jual Krt GT
(- PPN)]]*1.11</f>
        <v>290376</v>
      </c>
      <c r="AW435" s="38">
        <f>IFERROR(VLOOKUP(Table43[[#This Row],[Kode Pcpl]],'[1]FEB 2026'!$A$3:$X$312,24,0),0)</f>
        <v>0</v>
      </c>
      <c r="AX435" s="38">
        <f>Table43[[#This Row],[Harga Jual Pcs MT
(-PPN)]]*Table43[[#This Row],[ISI/CTN]]</f>
        <v>0</v>
      </c>
      <c r="AY435" s="38">
        <f>Table43[[#This Row],[Harga Jual Pcs MT
(-PPN)]]*1.11</f>
        <v>0</v>
      </c>
      <c r="AZ435" s="38">
        <f>Table43[[#This Row],[Harga Jual Pcs MT
(+PPN)]]*Table43[[#This Row],[ISI/CTN]]</f>
        <v>0</v>
      </c>
      <c r="BA435" s="46">
        <f>(Table43[[#This Row],[Harga Jual Pcs GT
(-PPN)]]-Table43[[#This Row],[Harga Beli Pcs
(-PPN)]])/Table43[[#This Row],[Harga Jual Pcs GT
(-PPN)]]</f>
        <v>6.5000000000000002E-2</v>
      </c>
      <c r="BB435" s="53">
        <f>Table43[[#This Row],[Harga Jual Pcs MT
(-PPN)]]-Table43[[#This Row],[Harga Beli Pcs
(-PPN)]]</f>
        <v>-20383</v>
      </c>
      <c r="BC435" s="54" t="e">
        <f>Table43[[#This Row],[Column1]]/Table43[[#This Row],[Harga Jual Pcs MT
(-PPN)]]</f>
        <v>#DIV/0!</v>
      </c>
      <c r="BD435" s="52"/>
      <c r="BE435" s="7"/>
      <c r="BF435" s="7" t="str">
        <f ca="1">IF(TODAY()-Table43[[#This Row],[Efektif
Pembuatan]]&gt;60,"Lama","Baru")</f>
        <v>Lama</v>
      </c>
      <c r="BG435" s="7" t="str">
        <f ca="1">IF(TODAY()-Table43[[#This Row],[Efektif Naik Harga]]&lt;30,"Naik","Sama")</f>
        <v>Sama</v>
      </c>
      <c r="BH435" s="7"/>
      <c r="BI435" s="7" t="str">
        <f>IF(Table43[[#This Row],[Kode BARANG Win2]]&lt;&gt;"","IDR","")</f>
        <v>IDR</v>
      </c>
      <c r="BJ435" s="7" t="str">
        <f>CONCATENATE(Table43[[#This Row],[kode  1 Digit
(Nomor)]],Table43[[#This Row],[kode  4 Digit                (Nomor)]])</f>
        <v>0350</v>
      </c>
      <c r="BK435" s="7" t="str">
        <f>Table43[[#This Row],[Nama            Gramasi atau Jumlah Pack per CTN]]</f>
        <v>350ML</v>
      </c>
      <c r="BL435" s="7"/>
      <c r="BM435" s="7"/>
      <c r="BN435" s="4" t="str">
        <f>IF(Table43[[#This Row],[SATUAN Fix Win]]&lt;&gt;"","KRT")</f>
        <v>KRT</v>
      </c>
      <c r="BO435" s="4" t="str">
        <f>IF(Table43[[#This Row],[SATUAN Fix Win]]&lt;&gt;"","GD01")</f>
        <v>GD01</v>
      </c>
      <c r="BP435" s="4">
        <f>IF(Table43[[#This Row],[SATUAN Fix Win]]&lt;&gt;"",11611)</f>
        <v>11611</v>
      </c>
      <c r="BQ435" s="4">
        <f>IF(Table43[[#This Row],[SATUAN Fix Win]]&lt;&gt;"",11612)</f>
        <v>11612</v>
      </c>
      <c r="BS435" s="4">
        <f>IF(Table43[[#This Row],[SATUAN Fix Win]]&lt;&gt;"",1)</f>
        <v>1</v>
      </c>
      <c r="BU435" s="4">
        <f>Table43[[#This Row],[ISI/CTN]]</f>
        <v>12</v>
      </c>
    </row>
    <row r="436" spans="1:73">
      <c r="A436" s="4" t="str">
        <f>CONCATENATE(Table43[[#This Row],[Kode BARANG Win2]],Table43[[#This Row],[No. Urut
Item Sama]])</f>
        <v>G1261007040010</v>
      </c>
      <c r="B436" s="7"/>
      <c r="C436" s="31">
        <v>30490120400000</v>
      </c>
      <c r="D436" s="51">
        <v>40030002</v>
      </c>
      <c r="E436" s="66" t="s">
        <v>2499</v>
      </c>
      <c r="F436" s="68">
        <v>30490120400000</v>
      </c>
      <c r="G436" s="68">
        <v>0</v>
      </c>
      <c r="H436" s="27">
        <v>0</v>
      </c>
      <c r="I436" s="27">
        <v>12</v>
      </c>
      <c r="J436" s="51">
        <v>0</v>
      </c>
      <c r="K436" s="27" t="str">
        <f>Table43[[#This Row],[NamaJenisKemasan]]</f>
        <v>KLG</v>
      </c>
      <c r="L436" s="4" t="str">
        <f>TRIM(CONCATENATE(Table43[[#This Row],[Nama            KLP]]," ",Table43[[#This Row],[Nama            Sub KLP]]))</f>
        <v>STELLA AEROSOL</v>
      </c>
      <c r="M436" s="4" t="str">
        <f>CONCATENATE(Table43[[#This Row],[kode  2 Digit                (hrf+No)]],Table43[[#This Row],[kode  2 Digit                (Nomor)]],Table43[[#This Row],[kode  1 Digit                (Nomor)]])</f>
        <v>G1261</v>
      </c>
      <c r="N436" s="4" t="str">
        <f>IF(AI436="",CONCATENATE(S436,U436,W436,Y436,AA436,AC436,AE436,AG436,Table43[[#This Row],[Tanda Kode Revisi]]),CONCATENATE(S436,U436,W436,Y436,AA436,AC436,AE436,AI436))</f>
        <v>G1261007040010</v>
      </c>
      <c r="O436" s="11">
        <f t="shared" si="10"/>
        <v>14</v>
      </c>
      <c r="P436" s="14" t="str">
        <f>IF(AH436&lt;&gt;"",TRIM(UPPER(CONCATENATE(R436," ",T436," ",V436," ",X436," ",Z436," ",AB436," ","X"," ",Table43[[#This Row],[ISI/CTN]]," ",AH436," ",AD436," ",AF436," ",AJ436))),TRIM(UPPER(CONCATENATE(R436," ",T436," ",V436," ",X436," ",Z436," ",AB436," ","X"," ",Table43[[#This Row],[ISI/CTN]]," ",AD436," ",AF436," ",AJ436))))</f>
        <v>STELLA AEROSOL ODOUR NETRALIZER 400ML X 12 KLG</v>
      </c>
      <c r="Q436" s="11">
        <f t="shared" si="11"/>
        <v>46</v>
      </c>
      <c r="S436" s="7" t="s">
        <v>34</v>
      </c>
      <c r="T436" s="4" t="s">
        <v>2421</v>
      </c>
      <c r="U436" s="47" t="s">
        <v>2584</v>
      </c>
      <c r="V436" s="48" t="s">
        <v>2243</v>
      </c>
      <c r="W436" s="7">
        <v>1</v>
      </c>
      <c r="X436" s="48"/>
      <c r="Y436" s="47" t="s">
        <v>1116</v>
      </c>
      <c r="Z436" s="4" t="s">
        <v>2530</v>
      </c>
      <c r="AA436" s="49" t="s">
        <v>2544</v>
      </c>
      <c r="AB436" s="4" t="s">
        <v>635</v>
      </c>
      <c r="AC436" s="49" t="s">
        <v>2624</v>
      </c>
      <c r="AD436" s="4" t="s">
        <v>2221</v>
      </c>
      <c r="AE436" s="7">
        <v>1</v>
      </c>
      <c r="AG436" s="7">
        <v>0</v>
      </c>
      <c r="AK436" s="70">
        <f>Table43[[#This Row],[Column4]]</f>
        <v>30490120400000</v>
      </c>
      <c r="AN436" s="7">
        <f>Table43[[#This Row],[ISI/CTN]]</f>
        <v>12</v>
      </c>
      <c r="AO436" s="38">
        <f>Table43[[#This Row],[Harga Jual Pcs GT
(-PPN)]]-(Table43[[#This Row],[Harga Jual Pcs GT
(-PPN)]]*6.5%)</f>
        <v>17952</v>
      </c>
      <c r="AP436" s="38">
        <f>Table43[[#This Row],[Harga Beli Pcs
(-PPN)]]*Table43[[#This Row],[ISI/CTN]]</f>
        <v>215424</v>
      </c>
      <c r="AQ436" s="38">
        <f>Table43[[#This Row],[Harga Beli Pcs
(-PPN)]]*1.11</f>
        <v>19926.72</v>
      </c>
      <c r="AR436" s="38">
        <f>Table43[[#This Row],[Harga Beli Krt
(- PPN)]]*1.11</f>
        <v>239120.64000000001</v>
      </c>
      <c r="AS436" s="38">
        <v>19200</v>
      </c>
      <c r="AT436" s="38">
        <f>Table43[[#This Row],[Harga Jual Pcs GT
(-PPN)]]*Table43[[#This Row],[ISI/CTN]]</f>
        <v>230400</v>
      </c>
      <c r="AU436" s="38">
        <f>Table43[[#This Row],[Harga Jual Pcs GT
(-PPN)]]*1.11</f>
        <v>21312.000000000004</v>
      </c>
      <c r="AV436" s="38">
        <f>Table43[[#This Row],[Harga Jual Krt GT
(- PPN)]]*1.11</f>
        <v>255744.00000000003</v>
      </c>
      <c r="AW436" s="38">
        <f>IFERROR(VLOOKUP(Table43[[#This Row],[Kode Pcpl]],'[1]FEB 2026'!$A$3:$X$312,24,0),0)</f>
        <v>0</v>
      </c>
      <c r="AX436" s="38">
        <f>Table43[[#This Row],[Harga Jual Pcs MT
(-PPN)]]*Table43[[#This Row],[ISI/CTN]]</f>
        <v>0</v>
      </c>
      <c r="AY436" s="38">
        <f>Table43[[#This Row],[Harga Jual Pcs MT
(-PPN)]]*1.11</f>
        <v>0</v>
      </c>
      <c r="AZ436" s="38">
        <f>Table43[[#This Row],[Harga Jual Pcs MT
(+PPN)]]*Table43[[#This Row],[ISI/CTN]]</f>
        <v>0</v>
      </c>
      <c r="BA436" s="46">
        <f>(Table43[[#This Row],[Harga Jual Pcs GT
(-PPN)]]-Table43[[#This Row],[Harga Beli Pcs
(-PPN)]])/Table43[[#This Row],[Harga Jual Pcs GT
(-PPN)]]</f>
        <v>6.5000000000000002E-2</v>
      </c>
      <c r="BB436" s="53">
        <f>Table43[[#This Row],[Harga Jual Pcs MT
(-PPN)]]-Table43[[#This Row],[Harga Beli Pcs
(-PPN)]]</f>
        <v>-17952</v>
      </c>
      <c r="BC436" s="54" t="e">
        <f>Table43[[#This Row],[Column1]]/Table43[[#This Row],[Harga Jual Pcs MT
(-PPN)]]</f>
        <v>#DIV/0!</v>
      </c>
      <c r="BD436" s="52"/>
      <c r="BE436" s="7"/>
      <c r="BF436" s="7" t="str">
        <f ca="1">IF(TODAY()-Table43[[#This Row],[Efektif
Pembuatan]]&gt;60,"Lama","Baru")</f>
        <v>Lama</v>
      </c>
      <c r="BG436" s="7" t="str">
        <f ca="1">IF(TODAY()-Table43[[#This Row],[Efektif Naik Harga]]&lt;30,"Naik","Sama")</f>
        <v>Sama</v>
      </c>
      <c r="BH436" s="7"/>
      <c r="BI436" s="7" t="str">
        <f>IF(Table43[[#This Row],[Kode BARANG Win2]]&lt;&gt;"","IDR","")</f>
        <v>IDR</v>
      </c>
      <c r="BJ436" s="7" t="str">
        <f>CONCATENATE(Table43[[#This Row],[kode  1 Digit
(Nomor)]],Table43[[#This Row],[kode  4 Digit                (Nomor)]])</f>
        <v>0400</v>
      </c>
      <c r="BK436" s="7" t="str">
        <f>Table43[[#This Row],[Nama            Gramasi atau Jumlah Pack per CTN]]</f>
        <v>400ML</v>
      </c>
      <c r="BL436" s="7"/>
      <c r="BM436" s="7"/>
      <c r="BN436" s="4" t="str">
        <f>IF(Table43[[#This Row],[SATUAN Fix Win]]&lt;&gt;"","KRT")</f>
        <v>KRT</v>
      </c>
      <c r="BO436" s="4" t="str">
        <f>IF(Table43[[#This Row],[SATUAN Fix Win]]&lt;&gt;"","GD01")</f>
        <v>GD01</v>
      </c>
      <c r="BP436" s="4">
        <f>IF(Table43[[#This Row],[SATUAN Fix Win]]&lt;&gt;"",11611)</f>
        <v>11611</v>
      </c>
      <c r="BQ436" s="4">
        <f>IF(Table43[[#This Row],[SATUAN Fix Win]]&lt;&gt;"",11612)</f>
        <v>11612</v>
      </c>
      <c r="BS436" s="4">
        <f>IF(Table43[[#This Row],[SATUAN Fix Win]]&lt;&gt;"",1)</f>
        <v>1</v>
      </c>
      <c r="BU436" s="4">
        <f>Table43[[#This Row],[ISI/CTN]]</f>
        <v>12</v>
      </c>
    </row>
    <row r="437" spans="1:73">
      <c r="A437" s="4" t="str">
        <f>CONCATENATE(Table43[[#This Row],[Kode BARANG Win2]],Table43[[#This Row],[No. Urut
Item Sama]])</f>
        <v>G1261008000010</v>
      </c>
      <c r="B437" s="7"/>
      <c r="C437" s="31">
        <v>30490010400010</v>
      </c>
      <c r="D437" s="51">
        <v>40043466</v>
      </c>
      <c r="E437" s="66" t="s">
        <v>2469</v>
      </c>
      <c r="F437" s="68">
        <v>30490010400010</v>
      </c>
      <c r="G437" s="68">
        <v>0</v>
      </c>
      <c r="H437" s="27" t="s">
        <v>2470</v>
      </c>
      <c r="I437" s="27">
        <v>6</v>
      </c>
      <c r="J437" s="51" t="s">
        <v>1765</v>
      </c>
      <c r="K437" s="27" t="str">
        <f>Table43[[#This Row],[NamaJenisKemasan]]</f>
        <v>KLG</v>
      </c>
      <c r="L437" s="4" t="str">
        <f>TRIM(CONCATENATE(Table43[[#This Row],[Nama            KLP]]," ",Table43[[#This Row],[Nama            Sub KLP]]))</f>
        <v>STELLA AEROSOL</v>
      </c>
      <c r="M437" s="4" t="str">
        <f>CONCATENATE(Table43[[#This Row],[kode  2 Digit                (hrf+No)]],Table43[[#This Row],[kode  2 Digit                (Nomor)]],Table43[[#This Row],[kode  1 Digit                (Nomor)]])</f>
        <v>G1261</v>
      </c>
      <c r="N437" s="4" t="str">
        <f>IF(AI437="",CONCATENATE(S437,U437,W437,Y437,AA437,AC437,AE437,AG437,Table43[[#This Row],[Tanda Kode Revisi]]),CONCATENATE(S437,U437,W437,Y437,AA437,AC437,AE437,AI437))</f>
        <v>G1261008000010</v>
      </c>
      <c r="O437" s="11">
        <f t="shared" si="10"/>
        <v>14</v>
      </c>
      <c r="P437" s="14" t="str">
        <f>IF(AH437&lt;&gt;"",TRIM(UPPER(CONCATENATE(R437," ",T437," ",V437," ",X437," ",Z437," ",AB437," ","X"," ",Table43[[#This Row],[ISI/CTN]]," ",AH437," ",AD437," ",AF437," ",AJ437))),TRIM(UPPER(CONCATENATE(R437," ",T437," ",V437," ",X437," ",Z437," ",AB437," ","X"," ",Table43[[#This Row],[ISI/CTN]]," ",AD437," ",AF437," ",AJ437))))</f>
        <v>STELLA AEROSOL MULTI PACK ORANGE 400ML X 6 KLG</v>
      </c>
      <c r="Q437" s="11">
        <f t="shared" si="11"/>
        <v>46</v>
      </c>
      <c r="S437" s="7" t="s">
        <v>34</v>
      </c>
      <c r="T437" s="4" t="s">
        <v>2421</v>
      </c>
      <c r="U437" s="47" t="s">
        <v>2584</v>
      </c>
      <c r="V437" s="48" t="s">
        <v>2243</v>
      </c>
      <c r="W437" s="7">
        <v>1</v>
      </c>
      <c r="X437" s="48" t="s">
        <v>2399</v>
      </c>
      <c r="Y437" s="47" t="s">
        <v>1116</v>
      </c>
      <c r="Z437" s="4" t="s">
        <v>2251</v>
      </c>
      <c r="AA437" s="49" t="s">
        <v>2545</v>
      </c>
      <c r="AB437" s="4" t="s">
        <v>635</v>
      </c>
      <c r="AC437" s="49" t="s">
        <v>2460</v>
      </c>
      <c r="AD437" s="4" t="s">
        <v>2221</v>
      </c>
      <c r="AE437" s="7">
        <v>1</v>
      </c>
      <c r="AG437" s="7">
        <v>0</v>
      </c>
      <c r="AK437" s="70">
        <f>Table43[[#This Row],[Column4]]</f>
        <v>30490010400010</v>
      </c>
      <c r="AN437" s="7">
        <f>Table43[[#This Row],[ISI/CTN]]</f>
        <v>6</v>
      </c>
      <c r="AO437" s="38">
        <f>Table43[[#This Row],[Harga Jual Pcs GT
(-PPN)]]-(Table43[[#This Row],[Harga Jual Pcs GT
(-PPN)]]*6.5%)</f>
        <v>38615.5</v>
      </c>
      <c r="AP437" s="38">
        <f>Table43[[#This Row],[Harga Beli Pcs
(-PPN)]]*Table43[[#This Row],[ISI/CTN]]</f>
        <v>231693</v>
      </c>
      <c r="AQ437" s="38">
        <f>Table43[[#This Row],[Harga Beli Pcs
(-PPN)]]*1.11</f>
        <v>42863.205000000002</v>
      </c>
      <c r="AR437" s="38">
        <f>Table43[[#This Row],[Harga Beli Krt
(- PPN)]]*1.11</f>
        <v>257179.23</v>
      </c>
      <c r="AS437" s="38">
        <v>41300</v>
      </c>
      <c r="AT437" s="38">
        <f>Table43[[#This Row],[Harga Jual Pcs GT
(-PPN)]]*Table43[[#This Row],[ISI/CTN]]</f>
        <v>247800</v>
      </c>
      <c r="AU437" s="38">
        <f>Table43[[#This Row],[Harga Jual Pcs GT
(-PPN)]]*1.11</f>
        <v>45843.000000000007</v>
      </c>
      <c r="AV437" s="38">
        <f>Table43[[#This Row],[Harga Jual Krt GT
(- PPN)]]*1.11</f>
        <v>275058</v>
      </c>
      <c r="AW437" s="38">
        <f>IFERROR(VLOOKUP(Table43[[#This Row],[Kode Pcpl]],'[1]FEB 2026'!$A$3:$X$312,24,0),0)</f>
        <v>0</v>
      </c>
      <c r="AX437" s="38">
        <f>Table43[[#This Row],[Harga Jual Pcs MT
(-PPN)]]*Table43[[#This Row],[ISI/CTN]]</f>
        <v>0</v>
      </c>
      <c r="AY437" s="38">
        <f>Table43[[#This Row],[Harga Jual Pcs MT
(-PPN)]]*1.11</f>
        <v>0</v>
      </c>
      <c r="AZ437" s="38">
        <f>Table43[[#This Row],[Harga Jual Pcs MT
(+PPN)]]*Table43[[#This Row],[ISI/CTN]]</f>
        <v>0</v>
      </c>
      <c r="BA437" s="46">
        <f>(Table43[[#This Row],[Harga Jual Pcs GT
(-PPN)]]-Table43[[#This Row],[Harga Beli Pcs
(-PPN)]])/Table43[[#This Row],[Harga Jual Pcs GT
(-PPN)]]</f>
        <v>6.5000000000000002E-2</v>
      </c>
      <c r="BB437" s="53">
        <f>Table43[[#This Row],[Harga Jual Pcs MT
(-PPN)]]-Table43[[#This Row],[Harga Beli Pcs
(-PPN)]]</f>
        <v>-38615.5</v>
      </c>
      <c r="BC437" s="54" t="e">
        <f>Table43[[#This Row],[Column1]]/Table43[[#This Row],[Harga Jual Pcs MT
(-PPN)]]</f>
        <v>#DIV/0!</v>
      </c>
      <c r="BD437" s="52"/>
      <c r="BE437" s="7"/>
      <c r="BF437" s="7" t="str">
        <f ca="1">IF(TODAY()-Table43[[#This Row],[Efektif
Pembuatan]]&gt;60,"Lama","Baru")</f>
        <v>Lama</v>
      </c>
      <c r="BG437" s="7" t="str">
        <f ca="1">IF(TODAY()-Table43[[#This Row],[Efektif Naik Harga]]&lt;30,"Naik","Sama")</f>
        <v>Sama</v>
      </c>
      <c r="BH437" s="7"/>
      <c r="BI437" s="7" t="str">
        <f>IF(Table43[[#This Row],[Kode BARANG Win2]]&lt;&gt;"","IDR","")</f>
        <v>IDR</v>
      </c>
      <c r="BJ437" s="7" t="str">
        <f>CONCATENATE(Table43[[#This Row],[kode  1 Digit
(Nomor)]],Table43[[#This Row],[kode  4 Digit                (Nomor)]])</f>
        <v>0000</v>
      </c>
      <c r="BK437" s="7" t="str">
        <f>Table43[[#This Row],[Nama            Gramasi atau Jumlah Pack per CTN]]</f>
        <v>400ML</v>
      </c>
      <c r="BL437" s="7"/>
      <c r="BM437" s="7"/>
      <c r="BN437" s="4" t="str">
        <f>IF(Table43[[#This Row],[SATUAN Fix Win]]&lt;&gt;"","KRT")</f>
        <v>KRT</v>
      </c>
      <c r="BO437" s="4" t="str">
        <f>IF(Table43[[#This Row],[SATUAN Fix Win]]&lt;&gt;"","GD01")</f>
        <v>GD01</v>
      </c>
      <c r="BP437" s="4">
        <f>IF(Table43[[#This Row],[SATUAN Fix Win]]&lt;&gt;"",11611)</f>
        <v>11611</v>
      </c>
      <c r="BQ437" s="4">
        <f>IF(Table43[[#This Row],[SATUAN Fix Win]]&lt;&gt;"",11612)</f>
        <v>11612</v>
      </c>
      <c r="BS437" s="4">
        <f>IF(Table43[[#This Row],[SATUAN Fix Win]]&lt;&gt;"",1)</f>
        <v>1</v>
      </c>
      <c r="BU437" s="4">
        <f>Table43[[#This Row],[ISI/CTN]]</f>
        <v>6</v>
      </c>
    </row>
    <row r="438" spans="1:73">
      <c r="A438" s="4" t="str">
        <f>CONCATENATE(Table43[[#This Row],[Kode BARANG Win2]],Table43[[#This Row],[No. Urut
Item Sama]])</f>
        <v>G1261008014010</v>
      </c>
      <c r="B438" s="7"/>
      <c r="C438" s="31">
        <v>30490140400000</v>
      </c>
      <c r="D438" s="59">
        <v>40043449</v>
      </c>
      <c r="E438" s="60" t="s">
        <v>2080</v>
      </c>
      <c r="F438" s="59">
        <v>30490010140000</v>
      </c>
      <c r="G438" s="59">
        <v>0</v>
      </c>
      <c r="H438" s="60" t="s">
        <v>1380</v>
      </c>
      <c r="I438" s="60">
        <v>12</v>
      </c>
      <c r="J438" s="59" t="s">
        <v>1763</v>
      </c>
      <c r="K438" s="60" t="str">
        <f>Table43[[#This Row],[NamaJenisKemasan]]</f>
        <v>KLG</v>
      </c>
      <c r="L438" s="4" t="str">
        <f>TRIM(CONCATENATE(Table43[[#This Row],[Nama            KLP]]," ",Table43[[#This Row],[Nama            Sub KLP]]))</f>
        <v>STELLA AEROSOL</v>
      </c>
      <c r="M438" s="4" t="str">
        <f>CONCATENATE(Table43[[#This Row],[kode  2 Digit                (hrf+No)]],Table43[[#This Row],[kode  2 Digit                (Nomor)]],Table43[[#This Row],[kode  1 Digit                (Nomor)]])</f>
        <v>G1261</v>
      </c>
      <c r="N438" s="4" t="str">
        <f>IF(AI438="",CONCATENATE(S438,U438,W438,Y438,AA438,AC438,AE438,AG438,Table43[[#This Row],[Tanda Kode Revisi]]),CONCATENATE(S438,U438,W438,Y438,AA438,AC438,AE438,AI438))</f>
        <v>G1261008014010</v>
      </c>
      <c r="O438" s="11">
        <f t="shared" si="10"/>
        <v>14</v>
      </c>
      <c r="P438" s="14" t="str">
        <f>IF(AH438&lt;&gt;"",TRIM(UPPER(CONCATENATE(R438," ",T438," ",V438," ",X438," ",Z438," ",AB438," ","X"," ",Table43[[#This Row],[ISI/CTN]]," ",AH438," ",AD438," ",AF438," ",AJ438))),TRIM(UPPER(CONCATENATE(R438," ",T438," ",V438," ",X438," ",Z438," ",AB438," ","X"," ",Table43[[#This Row],[ISI/CTN]]," ",AD438," ",AF438," ",AJ438))))</f>
        <v>STELLA AEROSOL ORANGE 140ML X 12 KLG</v>
      </c>
      <c r="Q438" s="11">
        <f t="shared" si="11"/>
        <v>36</v>
      </c>
      <c r="S438" s="7" t="s">
        <v>34</v>
      </c>
      <c r="T438" s="4" t="s">
        <v>2421</v>
      </c>
      <c r="U438" s="47" t="s">
        <v>2584</v>
      </c>
      <c r="V438" s="48" t="s">
        <v>2243</v>
      </c>
      <c r="W438" s="7">
        <v>1</v>
      </c>
      <c r="X438" s="48"/>
      <c r="Y438" s="47" t="s">
        <v>1116</v>
      </c>
      <c r="Z438" s="4" t="s">
        <v>2251</v>
      </c>
      <c r="AA438" s="49" t="s">
        <v>2545</v>
      </c>
      <c r="AB438" s="4" t="s">
        <v>2371</v>
      </c>
      <c r="AC438" s="49" t="s">
        <v>2598</v>
      </c>
      <c r="AD438" s="4" t="s">
        <v>2221</v>
      </c>
      <c r="AE438" s="7">
        <v>1</v>
      </c>
      <c r="AG438" s="7">
        <v>0</v>
      </c>
      <c r="AK438" s="70">
        <f>Table43[[#This Row],[Column4]]</f>
        <v>30490010140000</v>
      </c>
      <c r="AN438" s="7">
        <f>Table43[[#This Row],[ISI/CTN]]</f>
        <v>12</v>
      </c>
      <c r="AO438" s="61">
        <f>Table43[[#This Row],[Harga Jual Pcs GT
(-PPN)]]-(Table43[[#This Row],[Harga Jual Pcs GT
(-PPN)]]*6.5%)</f>
        <v>8508.5</v>
      </c>
      <c r="AP438" s="61">
        <f>Table43[[#This Row],[Harga Beli Pcs
(-PPN)]]*Table43[[#This Row],[ISI/CTN]]</f>
        <v>102102</v>
      </c>
      <c r="AQ438" s="61">
        <f>Table43[[#This Row],[Harga Beli Pcs
(-PPN)]]*1.11</f>
        <v>9444.4350000000013</v>
      </c>
      <c r="AR438" s="61">
        <f>Table43[[#This Row],[Harga Beli Krt
(- PPN)]]*1.11</f>
        <v>113333.22000000002</v>
      </c>
      <c r="AS438" s="61">
        <v>9100</v>
      </c>
      <c r="AT438" s="61">
        <f>Table43[[#This Row],[Harga Jual Pcs GT
(-PPN)]]*Table43[[#This Row],[ISI/CTN]]</f>
        <v>109200</v>
      </c>
      <c r="AU438" s="61">
        <f>Table43[[#This Row],[Harga Jual Pcs GT
(-PPN)]]*1.11</f>
        <v>10101</v>
      </c>
      <c r="AV438" s="61">
        <f>Table43[[#This Row],[Harga Jual Krt GT
(- PPN)]]*1.11</f>
        <v>121212.00000000001</v>
      </c>
      <c r="AW438" s="61">
        <f>IFERROR(VLOOKUP(Table43[[#This Row],[Kode Pcpl]],'[1]FEB 2026'!$A$3:$X$312,24,0),0)</f>
        <v>0</v>
      </c>
      <c r="AX438" s="61">
        <f>Table43[[#This Row],[Harga Jual Pcs MT
(-PPN)]]*Table43[[#This Row],[ISI/CTN]]</f>
        <v>0</v>
      </c>
      <c r="AY438" s="61">
        <f>Table43[[#This Row],[Harga Jual Pcs MT
(-PPN)]]*1.11</f>
        <v>0</v>
      </c>
      <c r="AZ438" s="61">
        <f>Table43[[#This Row],[Harga Jual Pcs MT
(+PPN)]]*Table43[[#This Row],[ISI/CTN]]</f>
        <v>0</v>
      </c>
      <c r="BA438" s="62">
        <f>(Table43[[#This Row],[Harga Jual Pcs GT
(-PPN)]]-Table43[[#This Row],[Harga Beli Pcs
(-PPN)]])/Table43[[#This Row],[Harga Jual Pcs GT
(-PPN)]]</f>
        <v>6.5000000000000002E-2</v>
      </c>
      <c r="BB438" s="63">
        <f>Table43[[#This Row],[Harga Jual Pcs MT
(-PPN)]]-Table43[[#This Row],[Harga Beli Pcs
(-PPN)]]</f>
        <v>-8508.5</v>
      </c>
      <c r="BC438" s="64" t="e">
        <f>Table43[[#This Row],[Column1]]/Table43[[#This Row],[Harga Jual Pcs MT
(-PPN)]]</f>
        <v>#DIV/0!</v>
      </c>
      <c r="BD438" s="52"/>
      <c r="BE438" s="7"/>
      <c r="BF438" s="7" t="str">
        <f ca="1">IF(TODAY()-Table43[[#This Row],[Efektif
Pembuatan]]&gt;60,"Lama","Baru")</f>
        <v>Lama</v>
      </c>
      <c r="BG438" s="7" t="str">
        <f ca="1">IF(TODAY()-Table43[[#This Row],[Efektif Naik Harga]]&lt;30,"Naik","Sama")</f>
        <v>Sama</v>
      </c>
      <c r="BH438" s="7"/>
      <c r="BI438" s="7" t="str">
        <f>IF(Table43[[#This Row],[Kode BARANG Win2]]&lt;&gt;"","IDR","")</f>
        <v>IDR</v>
      </c>
      <c r="BJ438" s="7" t="str">
        <f>CONCATENATE(Table43[[#This Row],[kode  1 Digit
(Nomor)]],Table43[[#This Row],[kode  4 Digit                (Nomor)]])</f>
        <v>0140</v>
      </c>
      <c r="BK438" s="7" t="str">
        <f>Table43[[#This Row],[Nama            Gramasi atau Jumlah Pack per CTN]]</f>
        <v>140ML</v>
      </c>
      <c r="BL438" s="7"/>
      <c r="BM438" s="7"/>
      <c r="BN438" s="4" t="str">
        <f>IF(Table43[[#This Row],[SATUAN Fix Win]]&lt;&gt;"","KRT")</f>
        <v>KRT</v>
      </c>
      <c r="BO438" s="4" t="str">
        <f>IF(Table43[[#This Row],[SATUAN Fix Win]]&lt;&gt;"","GD01")</f>
        <v>GD01</v>
      </c>
      <c r="BP438" s="4">
        <f>IF(Table43[[#This Row],[SATUAN Fix Win]]&lt;&gt;"",11611)</f>
        <v>11611</v>
      </c>
      <c r="BQ438" s="4">
        <f>IF(Table43[[#This Row],[SATUAN Fix Win]]&lt;&gt;"",11612)</f>
        <v>11612</v>
      </c>
      <c r="BS438" s="4">
        <f>IF(Table43[[#This Row],[SATUAN Fix Win]]&lt;&gt;"",1)</f>
        <v>1</v>
      </c>
      <c r="BU438" s="4">
        <f>Table43[[#This Row],[ISI/CTN]]</f>
        <v>12</v>
      </c>
    </row>
    <row r="439" spans="1:73">
      <c r="A439" s="4" t="str">
        <f>CONCATENATE(Table43[[#This Row],[Kode BARANG Win2]],Table43[[#This Row],[No. Urut
Item Sama]])</f>
        <v>G1261008014010</v>
      </c>
      <c r="B439" s="7"/>
      <c r="C439" s="31">
        <v>30490100350010</v>
      </c>
      <c r="D439" s="51">
        <v>40057843</v>
      </c>
      <c r="E439" s="27" t="s">
        <v>2084</v>
      </c>
      <c r="F439" s="59">
        <v>30490020140000</v>
      </c>
      <c r="G439" s="51">
        <v>0</v>
      </c>
      <c r="H439" s="27" t="s">
        <v>1389</v>
      </c>
      <c r="I439" s="27">
        <v>12</v>
      </c>
      <c r="J439" s="51" t="s">
        <v>1763</v>
      </c>
      <c r="K439" s="27" t="str">
        <f>Table43[[#This Row],[NamaJenisKemasan]]</f>
        <v>KLG</v>
      </c>
      <c r="L439" s="4" t="str">
        <f>TRIM(CONCATENATE(Table43[[#This Row],[Nama            KLP]]," ",Table43[[#This Row],[Nama            Sub KLP]]))</f>
        <v>STELLA AEROSOL</v>
      </c>
      <c r="M439" s="4" t="str">
        <f>CONCATENATE(Table43[[#This Row],[kode  2 Digit                (hrf+No)]],Table43[[#This Row],[kode  2 Digit                (Nomor)]],Table43[[#This Row],[kode  1 Digit                (Nomor)]])</f>
        <v>G1261</v>
      </c>
      <c r="N439" s="4" t="str">
        <f>IF(AI439="",CONCATENATE(S439,U439,W439,Y439,AA439,AC439,AE439,AG439,Table43[[#This Row],[Tanda Kode Revisi]]),CONCATENATE(S439,U439,W439,Y439,AA439,AC439,AE439,AI439))</f>
        <v>G1261008014010</v>
      </c>
      <c r="O439" s="11">
        <f t="shared" si="10"/>
        <v>14</v>
      </c>
      <c r="P439" s="14" t="str">
        <f>IF(AH439&lt;&gt;"",TRIM(UPPER(CONCATENATE(R439," ",T439," ",V439," ",X439," ",Z439," ",AB439," ","X"," ",Table43[[#This Row],[ISI/CTN]]," ",AH439," ",AD439," ",AF439," ",AJ439))),TRIM(UPPER(CONCATENATE(R439," ",T439," ",V439," ",X439," ",Z439," ",AB439," ","X"," ",Table43[[#This Row],[ISI/CTN]]," ",AD439," ",AF439," ",AJ439))))</f>
        <v>STELLA AEROSOL ORANGE 140ML X 12 KLG</v>
      </c>
      <c r="Q439" s="11">
        <f t="shared" si="11"/>
        <v>36</v>
      </c>
      <c r="S439" s="7" t="s">
        <v>34</v>
      </c>
      <c r="T439" s="4" t="s">
        <v>2421</v>
      </c>
      <c r="U439" s="47" t="s">
        <v>2584</v>
      </c>
      <c r="V439" s="48" t="s">
        <v>2243</v>
      </c>
      <c r="W439" s="7">
        <v>1</v>
      </c>
      <c r="X439" s="48"/>
      <c r="Y439" s="47" t="s">
        <v>1116</v>
      </c>
      <c r="Z439" s="4" t="s">
        <v>2251</v>
      </c>
      <c r="AA439" s="49" t="s">
        <v>2545</v>
      </c>
      <c r="AB439" s="4" t="s">
        <v>2371</v>
      </c>
      <c r="AC439" s="49" t="s">
        <v>2598</v>
      </c>
      <c r="AD439" s="4" t="s">
        <v>2221</v>
      </c>
      <c r="AE439" s="7">
        <v>1</v>
      </c>
      <c r="AG439" s="7">
        <v>0</v>
      </c>
      <c r="AK439" s="70">
        <f>Table43[[#This Row],[Column4]]</f>
        <v>30490020140000</v>
      </c>
      <c r="AN439" s="7">
        <f>Table43[[#This Row],[ISI/CTN]]</f>
        <v>12</v>
      </c>
      <c r="AO439" s="61">
        <f>Table43[[#This Row],[Harga Jual Pcs GT
(-PPN)]]-(Table43[[#This Row],[Harga Jual Pcs GT
(-PPN)]]*6.5%)</f>
        <v>8508.5</v>
      </c>
      <c r="AP439" s="61">
        <f>Table43[[#This Row],[Harga Beli Pcs
(-PPN)]]*Table43[[#This Row],[ISI/CTN]]</f>
        <v>102102</v>
      </c>
      <c r="AQ439" s="61">
        <f>Table43[[#This Row],[Harga Beli Pcs
(-PPN)]]*1.11</f>
        <v>9444.4350000000013</v>
      </c>
      <c r="AR439" s="61">
        <f>Table43[[#This Row],[Harga Beli Krt
(- PPN)]]*1.11</f>
        <v>113333.22000000002</v>
      </c>
      <c r="AS439" s="61">
        <v>9100</v>
      </c>
      <c r="AT439" s="61">
        <f>Table43[[#This Row],[Harga Jual Pcs GT
(-PPN)]]*Table43[[#This Row],[ISI/CTN]]</f>
        <v>109200</v>
      </c>
      <c r="AU439" s="61">
        <f>Table43[[#This Row],[Harga Jual Pcs GT
(-PPN)]]*1.11</f>
        <v>10101</v>
      </c>
      <c r="AV439" s="61">
        <f>Table43[[#This Row],[Harga Jual Krt GT
(- PPN)]]*1.11</f>
        <v>121212.00000000001</v>
      </c>
      <c r="AW439" s="61">
        <f>IFERROR(VLOOKUP(Table43[[#This Row],[Kode Pcpl]],'[1]FEB 2026'!$A$3:$X$312,24,0),0)</f>
        <v>0</v>
      </c>
      <c r="AX439" s="61">
        <f>Table43[[#This Row],[Harga Jual Pcs MT
(-PPN)]]*Table43[[#This Row],[ISI/CTN]]</f>
        <v>0</v>
      </c>
      <c r="AY439" s="61">
        <f>Table43[[#This Row],[Harga Jual Pcs MT
(-PPN)]]*1.11</f>
        <v>0</v>
      </c>
      <c r="AZ439" s="61">
        <f>Table43[[#This Row],[Harga Jual Pcs MT
(+PPN)]]*Table43[[#This Row],[ISI/CTN]]</f>
        <v>0</v>
      </c>
      <c r="BA439" s="62">
        <f>(Table43[[#This Row],[Harga Jual Pcs GT
(-PPN)]]-Table43[[#This Row],[Harga Beli Pcs
(-PPN)]])/Table43[[#This Row],[Harga Jual Pcs GT
(-PPN)]]</f>
        <v>6.5000000000000002E-2</v>
      </c>
      <c r="BB439" s="63">
        <f>Table43[[#This Row],[Harga Jual Pcs MT
(-PPN)]]-Table43[[#This Row],[Harga Beli Pcs
(-PPN)]]</f>
        <v>-8508.5</v>
      </c>
      <c r="BC439" s="64" t="e">
        <f>Table43[[#This Row],[Column1]]/Table43[[#This Row],[Harga Jual Pcs MT
(-PPN)]]</f>
        <v>#DIV/0!</v>
      </c>
      <c r="BD439" s="52"/>
      <c r="BE439" s="7"/>
      <c r="BF439" s="7" t="str">
        <f ca="1">IF(TODAY()-Table43[[#This Row],[Efektif
Pembuatan]]&gt;60,"Lama","Baru")</f>
        <v>Lama</v>
      </c>
      <c r="BG439" s="7" t="str">
        <f ca="1">IF(TODAY()-Table43[[#This Row],[Efektif Naik Harga]]&lt;30,"Naik","Sama")</f>
        <v>Sama</v>
      </c>
      <c r="BH439" s="7"/>
      <c r="BI439" s="7" t="str">
        <f>IF(Table43[[#This Row],[Kode BARANG Win2]]&lt;&gt;"","IDR","")</f>
        <v>IDR</v>
      </c>
      <c r="BJ439" s="7" t="str">
        <f>CONCATENATE(Table43[[#This Row],[kode  1 Digit
(Nomor)]],Table43[[#This Row],[kode  4 Digit                (Nomor)]])</f>
        <v>0140</v>
      </c>
      <c r="BK439" s="7" t="str">
        <f>Table43[[#This Row],[Nama            Gramasi atau Jumlah Pack per CTN]]</f>
        <v>140ML</v>
      </c>
      <c r="BL439" s="7"/>
      <c r="BM439" s="7"/>
      <c r="BN439" s="4" t="str">
        <f>IF(Table43[[#This Row],[SATUAN Fix Win]]&lt;&gt;"","KRT")</f>
        <v>KRT</v>
      </c>
      <c r="BO439" s="4" t="str">
        <f>IF(Table43[[#This Row],[SATUAN Fix Win]]&lt;&gt;"","GD01")</f>
        <v>GD01</v>
      </c>
      <c r="BP439" s="4">
        <f>IF(Table43[[#This Row],[SATUAN Fix Win]]&lt;&gt;"",11611)</f>
        <v>11611</v>
      </c>
      <c r="BQ439" s="4">
        <f>IF(Table43[[#This Row],[SATUAN Fix Win]]&lt;&gt;"",11612)</f>
        <v>11612</v>
      </c>
      <c r="BS439" s="4">
        <f>IF(Table43[[#This Row],[SATUAN Fix Win]]&lt;&gt;"",1)</f>
        <v>1</v>
      </c>
      <c r="BU439" s="4">
        <f>Table43[[#This Row],[ISI/CTN]]</f>
        <v>12</v>
      </c>
    </row>
    <row r="440" spans="1:73">
      <c r="A440" s="4" t="str">
        <f>CONCATENATE(Table43[[#This Row],[Kode BARANG Win2]],Table43[[#This Row],[No. Urut
Item Sama]])</f>
        <v>G1261008014010</v>
      </c>
      <c r="B440" s="7"/>
      <c r="C440" s="31"/>
      <c r="D440" s="51">
        <v>40017262</v>
      </c>
      <c r="E440" s="27"/>
      <c r="F440" s="51"/>
      <c r="G440" s="51"/>
      <c r="H440" s="27"/>
      <c r="I440" s="27">
        <v>12</v>
      </c>
      <c r="J440" s="51" t="s">
        <v>1763</v>
      </c>
      <c r="K440" s="27" t="str">
        <f>Table43[[#This Row],[NamaJenisKemasan]]</f>
        <v>KLG</v>
      </c>
      <c r="L440" s="4" t="str">
        <f>TRIM(CONCATENATE(Table43[[#This Row],[Nama            KLP]]," ",Table43[[#This Row],[Nama            Sub KLP]]))</f>
        <v>STELLA AEROSOL</v>
      </c>
      <c r="M440" s="4" t="str">
        <f>CONCATENATE(Table43[[#This Row],[kode  2 Digit                (hrf+No)]],Table43[[#This Row],[kode  2 Digit                (Nomor)]],Table43[[#This Row],[kode  1 Digit                (Nomor)]])</f>
        <v>G1261</v>
      </c>
      <c r="N440" s="4" t="str">
        <f>IF(AI440="",CONCATENATE(S440,U440,W440,Y440,AA440,AC440,AE440,AG440,Table43[[#This Row],[Tanda Kode Revisi]]),CONCATENATE(S440,U440,W440,Y440,AA440,AC440,AE440,AI440))</f>
        <v>G1261008014010</v>
      </c>
      <c r="O440" s="11">
        <f>LEN(N440)</f>
        <v>14</v>
      </c>
      <c r="P440" s="14" t="str">
        <f>IF(AH440&lt;&gt;"",TRIM(UPPER(CONCATENATE(R440," ",T440," ",V440," ",X440," ",Z440," ",AB440," ","X"," ",Table43[[#This Row],[ISI/CTN]]," ",AH440," ",AD440," ",AF440," ",AJ440))),TRIM(UPPER(CONCATENATE(R440," ",T440," ",V440," ",X440," ",Z440," ",AB440," ","X"," ",Table43[[#This Row],[ISI/CTN]]," ",AD440," ",AF440," ",AJ440))))</f>
        <v>STELLA AEROSOL ORANGE 140ML X 12 KLG</v>
      </c>
      <c r="Q440" s="11">
        <f>LEN(P440)</f>
        <v>36</v>
      </c>
      <c r="S440" s="7" t="s">
        <v>34</v>
      </c>
      <c r="T440" s="4" t="s">
        <v>2421</v>
      </c>
      <c r="U440" s="47" t="s">
        <v>2584</v>
      </c>
      <c r="V440" s="48" t="s">
        <v>2243</v>
      </c>
      <c r="W440" s="7">
        <v>1</v>
      </c>
      <c r="X440" s="48"/>
      <c r="Y440" s="47" t="s">
        <v>1116</v>
      </c>
      <c r="Z440" s="4" t="s">
        <v>2251</v>
      </c>
      <c r="AA440" s="49" t="s">
        <v>2545</v>
      </c>
      <c r="AB440" s="4" t="s">
        <v>2371</v>
      </c>
      <c r="AC440" s="49" t="s">
        <v>2598</v>
      </c>
      <c r="AD440" s="4" t="s">
        <v>2221</v>
      </c>
      <c r="AE440" s="7">
        <v>1</v>
      </c>
      <c r="AG440" s="7">
        <v>0</v>
      </c>
      <c r="AK440" s="70">
        <f>Table43[[#This Row],[Column4]]</f>
        <v>0</v>
      </c>
      <c r="AN440" s="7">
        <f>Table43[[#This Row],[ISI/CTN]]</f>
        <v>12</v>
      </c>
      <c r="AO440" s="61">
        <f>Table43[[#This Row],[Harga Jual Pcs GT
(-PPN)]]-(Table43[[#This Row],[Harga Jual Pcs GT
(-PPN)]]*6.5%)</f>
        <v>0</v>
      </c>
      <c r="AP440" s="61">
        <f>Table43[[#This Row],[Harga Beli Pcs
(-PPN)]]*Table43[[#This Row],[ISI/CTN]]</f>
        <v>0</v>
      </c>
      <c r="AQ440" s="61">
        <f>Table43[[#This Row],[Harga Beli Pcs
(-PPN)]]*1.11</f>
        <v>0</v>
      </c>
      <c r="AR440" s="61">
        <f>Table43[[#This Row],[Harga Beli Krt
(- PPN)]]*1.11</f>
        <v>0</v>
      </c>
      <c r="AS440" s="61"/>
      <c r="AT440" s="61">
        <f>Table43[[#This Row],[Harga Jual Pcs GT
(-PPN)]]*Table43[[#This Row],[ISI/CTN]]</f>
        <v>0</v>
      </c>
      <c r="AU440" s="61">
        <f>Table43[[#This Row],[Harga Jual Pcs GT
(-PPN)]]*1.11</f>
        <v>0</v>
      </c>
      <c r="AV440" s="61">
        <f>Table43[[#This Row],[Harga Jual Krt GT
(- PPN)]]*1.11</f>
        <v>0</v>
      </c>
      <c r="AW440" s="61">
        <f>IFERROR(VLOOKUP(Table43[[#This Row],[Kode Pcpl]],'[1]FEB 2026'!$A$3:$X$312,24,0),0)</f>
        <v>0</v>
      </c>
      <c r="AX440" s="61">
        <f>Table43[[#This Row],[Harga Jual Pcs MT
(-PPN)]]*Table43[[#This Row],[ISI/CTN]]</f>
        <v>0</v>
      </c>
      <c r="AY440" s="61">
        <f>Table43[[#This Row],[Harga Jual Pcs MT
(-PPN)]]*1.11</f>
        <v>0</v>
      </c>
      <c r="AZ440" s="61">
        <f>Table43[[#This Row],[Harga Jual Pcs MT
(+PPN)]]*Table43[[#This Row],[ISI/CTN]]</f>
        <v>0</v>
      </c>
      <c r="BA440" s="62" t="e">
        <f>(Table43[[#This Row],[Harga Jual Pcs GT
(-PPN)]]-Table43[[#This Row],[Harga Beli Pcs
(-PPN)]])/Table43[[#This Row],[Harga Jual Pcs GT
(-PPN)]]</f>
        <v>#DIV/0!</v>
      </c>
      <c r="BB440" s="63">
        <f>Table43[[#This Row],[Harga Jual Pcs MT
(-PPN)]]-Table43[[#This Row],[Harga Beli Pcs
(-PPN)]]</f>
        <v>0</v>
      </c>
      <c r="BC440" s="64" t="e">
        <f>Table43[[#This Row],[Column1]]/Table43[[#This Row],[Harga Jual Pcs MT
(-PPN)]]</f>
        <v>#DIV/0!</v>
      </c>
      <c r="BD440" s="52"/>
      <c r="BE440" s="7"/>
      <c r="BF440" s="7" t="str">
        <f ca="1">IF(TODAY()-Table43[[#This Row],[Efektif
Pembuatan]]&gt;60,"Lama","Baru")</f>
        <v>Lama</v>
      </c>
      <c r="BG440" s="7" t="str">
        <f ca="1">IF(TODAY()-Table43[[#This Row],[Efektif Naik Harga]]&lt;30,"Naik","Sama")</f>
        <v>Sama</v>
      </c>
      <c r="BH440" s="7"/>
      <c r="BI440" s="7" t="str">
        <f>IF(Table43[[#This Row],[Kode BARANG Win2]]&lt;&gt;"","IDR","")</f>
        <v>IDR</v>
      </c>
      <c r="BJ440" s="7" t="str">
        <f>CONCATENATE(Table43[[#This Row],[kode  1 Digit
(Nomor)]],Table43[[#This Row],[kode  4 Digit                (Nomor)]])</f>
        <v>0140</v>
      </c>
      <c r="BK440" s="7" t="str">
        <f>Table43[[#This Row],[Nama            Gramasi atau Jumlah Pack per CTN]]</f>
        <v>140ML</v>
      </c>
      <c r="BL440" s="7"/>
      <c r="BM440" s="7"/>
      <c r="BN440" s="4" t="str">
        <f>IF(Table43[[#This Row],[SATUAN Fix Win]]&lt;&gt;"","KRT")</f>
        <v>KRT</v>
      </c>
      <c r="BO440" s="4" t="str">
        <f>IF(Table43[[#This Row],[SATUAN Fix Win]]&lt;&gt;"","GD01")</f>
        <v>GD01</v>
      </c>
      <c r="BP440" s="4">
        <f>IF(Table43[[#This Row],[SATUAN Fix Win]]&lt;&gt;"",11611)</f>
        <v>11611</v>
      </c>
      <c r="BQ440" s="4">
        <f>IF(Table43[[#This Row],[SATUAN Fix Win]]&lt;&gt;"",11612)</f>
        <v>11612</v>
      </c>
      <c r="BS440" s="4">
        <f>IF(Table43[[#This Row],[SATUAN Fix Win]]&lt;&gt;"",1)</f>
        <v>1</v>
      </c>
      <c r="BU440" s="4">
        <f>Table43[[#This Row],[ISI/CTN]]</f>
        <v>12</v>
      </c>
    </row>
    <row r="441" spans="1:73">
      <c r="A441" s="4" t="str">
        <f>CONCATENATE(Table43[[#This Row],[Kode BARANG Win2]],Table43[[#This Row],[No. Urut
Item Sama]])</f>
        <v>G1261008017510</v>
      </c>
      <c r="B441" s="7"/>
      <c r="C441" s="31">
        <v>30490110200000</v>
      </c>
      <c r="D441" s="51">
        <v>40057842</v>
      </c>
      <c r="E441" s="27" t="s">
        <v>2081</v>
      </c>
      <c r="F441" s="51">
        <v>30490010200000</v>
      </c>
      <c r="G441" s="51">
        <v>0</v>
      </c>
      <c r="H441" s="27" t="s">
        <v>1382</v>
      </c>
      <c r="I441" s="27">
        <v>12</v>
      </c>
      <c r="J441" s="51" t="s">
        <v>1764</v>
      </c>
      <c r="K441" s="27" t="str">
        <f>Table43[[#This Row],[NamaJenisKemasan]]</f>
        <v>KLG</v>
      </c>
      <c r="L441" s="4" t="str">
        <f>TRIM(CONCATENATE(Table43[[#This Row],[Nama            KLP]]," ",Table43[[#This Row],[Nama            Sub KLP]]))</f>
        <v>STELLA AEROSOL</v>
      </c>
      <c r="M441" s="4" t="str">
        <f>CONCATENATE(Table43[[#This Row],[kode  2 Digit                (hrf+No)]],Table43[[#This Row],[kode  2 Digit                (Nomor)]],Table43[[#This Row],[kode  1 Digit                (Nomor)]])</f>
        <v>G1261</v>
      </c>
      <c r="N441" s="4" t="str">
        <f>IF(AI441="",CONCATENATE(S441,U441,W441,Y441,AA441,AC441,AE441,AG441,Table43[[#This Row],[Tanda Kode Revisi]]),CONCATENATE(S441,U441,W441,Y441,AA441,AC441,AE441,AI441))</f>
        <v>G1261008017510</v>
      </c>
      <c r="O441" s="11">
        <f t="shared" si="10"/>
        <v>14</v>
      </c>
      <c r="P441" s="14" t="str">
        <f>IF(AH441&lt;&gt;"",TRIM(UPPER(CONCATENATE(R441," ",T441," ",V441," ",X441," ",Z441," ",AB441," ","X"," ",Table43[[#This Row],[ISI/CTN]]," ",AH441," ",AD441," ",AF441," ",AJ441))),TRIM(UPPER(CONCATENATE(R441," ",T441," ",V441," ",X441," ",Z441," ",AB441," ","X"," ",Table43[[#This Row],[ISI/CTN]]," ",AD441," ",AF441," ",AJ441))))</f>
        <v>STELLA AEROSOL ORANGE 175ML X 12 KLG</v>
      </c>
      <c r="Q441" s="11">
        <f t="shared" si="11"/>
        <v>36</v>
      </c>
      <c r="S441" s="7" t="s">
        <v>34</v>
      </c>
      <c r="T441" s="4" t="s">
        <v>2421</v>
      </c>
      <c r="U441" s="47" t="s">
        <v>2584</v>
      </c>
      <c r="V441" s="48" t="s">
        <v>2243</v>
      </c>
      <c r="W441" s="7">
        <v>1</v>
      </c>
      <c r="X441" s="48"/>
      <c r="Y441" s="47" t="s">
        <v>1116</v>
      </c>
      <c r="Z441" s="4" t="s">
        <v>2251</v>
      </c>
      <c r="AA441" s="49" t="s">
        <v>2545</v>
      </c>
      <c r="AB441" s="4" t="s">
        <v>2214</v>
      </c>
      <c r="AC441" s="49" t="s">
        <v>2600</v>
      </c>
      <c r="AD441" s="4" t="s">
        <v>2221</v>
      </c>
      <c r="AE441" s="7">
        <v>1</v>
      </c>
      <c r="AG441" s="7">
        <v>0</v>
      </c>
      <c r="AK441" s="70">
        <f>Table43[[#This Row],[Column4]]</f>
        <v>30490010200000</v>
      </c>
      <c r="AN441" s="7">
        <f>Table43[[#This Row],[ISI/CTN]]</f>
        <v>12</v>
      </c>
      <c r="AO441" s="38">
        <f>Table43[[#This Row],[Harga Jual Pcs GT
(-PPN)]]-(Table43[[#This Row],[Harga Jual Pcs GT
(-PPN)]]*6.5%)</f>
        <v>14025</v>
      </c>
      <c r="AP441" s="38">
        <f>Table43[[#This Row],[Harga Beli Pcs
(-PPN)]]*Table43[[#This Row],[ISI/CTN]]</f>
        <v>168300</v>
      </c>
      <c r="AQ441" s="38">
        <f>Table43[[#This Row],[Harga Beli Pcs
(-PPN)]]*1.11</f>
        <v>15567.750000000002</v>
      </c>
      <c r="AR441" s="38">
        <f>Table43[[#This Row],[Harga Beli Krt
(- PPN)]]*1.11</f>
        <v>186813.00000000003</v>
      </c>
      <c r="AS441" s="38">
        <v>15000</v>
      </c>
      <c r="AT441" s="38">
        <f>Table43[[#This Row],[Harga Jual Pcs GT
(-PPN)]]*Table43[[#This Row],[ISI/CTN]]</f>
        <v>180000</v>
      </c>
      <c r="AU441" s="38">
        <f>Table43[[#This Row],[Harga Jual Pcs GT
(-PPN)]]*1.11</f>
        <v>16650</v>
      </c>
      <c r="AV441" s="38">
        <f>Table43[[#This Row],[Harga Jual Krt GT
(- PPN)]]*1.11</f>
        <v>199800.00000000003</v>
      </c>
      <c r="AW441" s="38">
        <f>IFERROR(VLOOKUP(Table43[[#This Row],[Kode Pcpl]],'[1]FEB 2026'!$A$3:$X$312,24,0),0)</f>
        <v>0</v>
      </c>
      <c r="AX441" s="38">
        <f>Table43[[#This Row],[Harga Jual Pcs MT
(-PPN)]]*Table43[[#This Row],[ISI/CTN]]</f>
        <v>0</v>
      </c>
      <c r="AY441" s="38">
        <f>Table43[[#This Row],[Harga Jual Pcs MT
(-PPN)]]*1.11</f>
        <v>0</v>
      </c>
      <c r="AZ441" s="38">
        <f>Table43[[#This Row],[Harga Jual Pcs MT
(+PPN)]]*Table43[[#This Row],[ISI/CTN]]</f>
        <v>0</v>
      </c>
      <c r="BA441" s="46">
        <f>(Table43[[#This Row],[Harga Jual Pcs GT
(-PPN)]]-Table43[[#This Row],[Harga Beli Pcs
(-PPN)]])/Table43[[#This Row],[Harga Jual Pcs GT
(-PPN)]]</f>
        <v>6.5000000000000002E-2</v>
      </c>
      <c r="BB441" s="53">
        <f>Table43[[#This Row],[Harga Jual Pcs MT
(-PPN)]]-Table43[[#This Row],[Harga Beli Pcs
(-PPN)]]</f>
        <v>-14025</v>
      </c>
      <c r="BC441" s="54" t="e">
        <f>Table43[[#This Row],[Column1]]/Table43[[#This Row],[Harga Jual Pcs MT
(-PPN)]]</f>
        <v>#DIV/0!</v>
      </c>
      <c r="BD441" s="52"/>
      <c r="BE441" s="7"/>
      <c r="BF441" s="7" t="str">
        <f ca="1">IF(TODAY()-Table43[[#This Row],[Efektif
Pembuatan]]&gt;60,"Lama","Baru")</f>
        <v>Lama</v>
      </c>
      <c r="BG441" s="7" t="str">
        <f ca="1">IF(TODAY()-Table43[[#This Row],[Efektif Naik Harga]]&lt;30,"Naik","Sama")</f>
        <v>Sama</v>
      </c>
      <c r="BH441" s="7"/>
      <c r="BI441" s="7" t="str">
        <f>IF(Table43[[#This Row],[Kode BARANG Win2]]&lt;&gt;"","IDR","")</f>
        <v>IDR</v>
      </c>
      <c r="BJ441" s="7" t="str">
        <f>CONCATENATE(Table43[[#This Row],[kode  1 Digit
(Nomor)]],Table43[[#This Row],[kode  4 Digit                (Nomor)]])</f>
        <v>0175</v>
      </c>
      <c r="BK441" s="7" t="str">
        <f>Table43[[#This Row],[Nama            Gramasi atau Jumlah Pack per CTN]]</f>
        <v>175ML</v>
      </c>
      <c r="BL441" s="7"/>
      <c r="BM441" s="7"/>
      <c r="BN441" s="4" t="str">
        <f>IF(Table43[[#This Row],[SATUAN Fix Win]]&lt;&gt;"","KRT")</f>
        <v>KRT</v>
      </c>
      <c r="BO441" s="4" t="str">
        <f>IF(Table43[[#This Row],[SATUAN Fix Win]]&lt;&gt;"","GD01")</f>
        <v>GD01</v>
      </c>
      <c r="BP441" s="4">
        <f>IF(Table43[[#This Row],[SATUAN Fix Win]]&lt;&gt;"",11611)</f>
        <v>11611</v>
      </c>
      <c r="BQ441" s="4">
        <f>IF(Table43[[#This Row],[SATUAN Fix Win]]&lt;&gt;"",11612)</f>
        <v>11612</v>
      </c>
      <c r="BS441" s="4">
        <f>IF(Table43[[#This Row],[SATUAN Fix Win]]&lt;&gt;"",1)</f>
        <v>1</v>
      </c>
      <c r="BU441" s="4">
        <f>Table43[[#This Row],[ISI/CTN]]</f>
        <v>12</v>
      </c>
    </row>
    <row r="442" spans="1:73">
      <c r="A442" s="4" t="str">
        <f>CONCATENATE(Table43[[#This Row],[Kode BARANG Win2]],Table43[[#This Row],[No. Urut
Item Sama]])</f>
        <v>G1261008017510</v>
      </c>
      <c r="B442" s="7"/>
      <c r="C442" s="31">
        <v>30490150350000</v>
      </c>
      <c r="D442" s="59">
        <v>40057476</v>
      </c>
      <c r="E442" s="60" t="s">
        <v>2081</v>
      </c>
      <c r="F442" s="59">
        <v>30490010200000</v>
      </c>
      <c r="G442" s="59">
        <v>0</v>
      </c>
      <c r="H442" s="60" t="s">
        <v>1381</v>
      </c>
      <c r="I442" s="60">
        <v>12</v>
      </c>
      <c r="J442" s="59" t="s">
        <v>1764</v>
      </c>
      <c r="K442" s="60" t="str">
        <f>Table43[[#This Row],[NamaJenisKemasan]]</f>
        <v>KLG</v>
      </c>
      <c r="L442" s="4" t="str">
        <f>TRIM(CONCATENATE(Table43[[#This Row],[Nama            KLP]]," ",Table43[[#This Row],[Nama            Sub KLP]]))</f>
        <v>STELLA AEROSOL</v>
      </c>
      <c r="M442" s="4" t="str">
        <f>CONCATENATE(Table43[[#This Row],[kode  2 Digit                (hrf+No)]],Table43[[#This Row],[kode  2 Digit                (Nomor)]],Table43[[#This Row],[kode  1 Digit                (Nomor)]])</f>
        <v>G1261</v>
      </c>
      <c r="N442" s="4" t="str">
        <f>IF(AI442="",CONCATENATE(S442,U442,W442,Y442,AA442,AC442,AE442,AG442,Table43[[#This Row],[Tanda Kode Revisi]]),CONCATENATE(S442,U442,W442,Y442,AA442,AC442,AE442,AI442))</f>
        <v>G1261008017510</v>
      </c>
      <c r="O442" s="11">
        <f t="shared" si="10"/>
        <v>14</v>
      </c>
      <c r="P442" s="14" t="str">
        <f>IF(AH442&lt;&gt;"",TRIM(UPPER(CONCATENATE(R442," ",T442," ",V442," ",X442," ",Z442," ",AB442," ","X"," ",Table43[[#This Row],[ISI/CTN]]," ",AH442," ",AD442," ",AF442," ",AJ442))),TRIM(UPPER(CONCATENATE(R442," ",T442," ",V442," ",X442," ",Z442," ",AB442," ","X"," ",Table43[[#This Row],[ISI/CTN]]," ",AD442," ",AF442," ",AJ442))))</f>
        <v>STELLA AEROSOL ORANGE 175ML X 12 KLG</v>
      </c>
      <c r="Q442" s="11">
        <f t="shared" si="11"/>
        <v>36</v>
      </c>
      <c r="S442" s="7" t="s">
        <v>34</v>
      </c>
      <c r="T442" s="4" t="s">
        <v>2421</v>
      </c>
      <c r="U442" s="47" t="s">
        <v>2584</v>
      </c>
      <c r="V442" s="48" t="s">
        <v>2243</v>
      </c>
      <c r="W442" s="7">
        <v>1</v>
      </c>
      <c r="X442" s="48"/>
      <c r="Y442" s="47" t="s">
        <v>1116</v>
      </c>
      <c r="Z442" s="4" t="s">
        <v>2251</v>
      </c>
      <c r="AA442" s="49" t="s">
        <v>2545</v>
      </c>
      <c r="AB442" s="4" t="s">
        <v>2214</v>
      </c>
      <c r="AC442" s="49" t="s">
        <v>2600</v>
      </c>
      <c r="AD442" s="4" t="s">
        <v>2221</v>
      </c>
      <c r="AE442" s="7">
        <v>1</v>
      </c>
      <c r="AG442" s="7">
        <v>0</v>
      </c>
      <c r="AK442" s="70">
        <f>Table43[[#This Row],[Column4]]</f>
        <v>30490010200000</v>
      </c>
      <c r="AN442" s="7">
        <f>Table43[[#This Row],[ISI/CTN]]</f>
        <v>12</v>
      </c>
      <c r="AO442" s="38">
        <f>Table43[[#This Row],[Harga Jual Pcs GT
(-PPN)]]-(Table43[[#This Row],[Harga Jual Pcs GT
(-PPN)]]*6.5%)</f>
        <v>14025</v>
      </c>
      <c r="AP442" s="38">
        <f>Table43[[#This Row],[Harga Beli Pcs
(-PPN)]]*Table43[[#This Row],[ISI/CTN]]</f>
        <v>168300</v>
      </c>
      <c r="AQ442" s="38">
        <f>Table43[[#This Row],[Harga Beli Pcs
(-PPN)]]*1.11</f>
        <v>15567.750000000002</v>
      </c>
      <c r="AR442" s="38">
        <f>Table43[[#This Row],[Harga Beli Krt
(- PPN)]]*1.11</f>
        <v>186813.00000000003</v>
      </c>
      <c r="AS442" s="38">
        <v>15000</v>
      </c>
      <c r="AT442" s="38">
        <f>Table43[[#This Row],[Harga Jual Pcs GT
(-PPN)]]*Table43[[#This Row],[ISI/CTN]]</f>
        <v>180000</v>
      </c>
      <c r="AU442" s="38">
        <f>Table43[[#This Row],[Harga Jual Pcs GT
(-PPN)]]*1.11</f>
        <v>16650</v>
      </c>
      <c r="AV442" s="38">
        <f>Table43[[#This Row],[Harga Jual Krt GT
(- PPN)]]*1.11</f>
        <v>199800.00000000003</v>
      </c>
      <c r="AW442" s="38">
        <f>IFERROR(VLOOKUP(Table43[[#This Row],[Kode Pcpl]],'[1]FEB 2026'!$A$3:$X$312,24,0),0)</f>
        <v>0</v>
      </c>
      <c r="AX442" s="38">
        <f>Table43[[#This Row],[Harga Jual Pcs MT
(-PPN)]]*Table43[[#This Row],[ISI/CTN]]</f>
        <v>0</v>
      </c>
      <c r="AY442" s="38">
        <f>Table43[[#This Row],[Harga Jual Pcs MT
(-PPN)]]*1.11</f>
        <v>0</v>
      </c>
      <c r="AZ442" s="38">
        <f>Table43[[#This Row],[Harga Jual Pcs MT
(+PPN)]]*Table43[[#This Row],[ISI/CTN]]</f>
        <v>0</v>
      </c>
      <c r="BA442" s="46">
        <f>(Table43[[#This Row],[Harga Jual Pcs GT
(-PPN)]]-Table43[[#This Row],[Harga Beli Pcs
(-PPN)]])/Table43[[#This Row],[Harga Jual Pcs GT
(-PPN)]]</f>
        <v>6.5000000000000002E-2</v>
      </c>
      <c r="BB442" s="53">
        <f>Table43[[#This Row],[Harga Jual Pcs MT
(-PPN)]]-Table43[[#This Row],[Harga Beli Pcs
(-PPN)]]</f>
        <v>-14025</v>
      </c>
      <c r="BC442" s="54" t="e">
        <f>Table43[[#This Row],[Column1]]/Table43[[#This Row],[Harga Jual Pcs MT
(-PPN)]]</f>
        <v>#DIV/0!</v>
      </c>
      <c r="BD442" s="52"/>
      <c r="BE442" s="7"/>
      <c r="BF442" s="7" t="str">
        <f ca="1">IF(TODAY()-Table43[[#This Row],[Efektif
Pembuatan]]&gt;60,"Lama","Baru")</f>
        <v>Lama</v>
      </c>
      <c r="BG442" s="7" t="str">
        <f ca="1">IF(TODAY()-Table43[[#This Row],[Efektif Naik Harga]]&lt;30,"Naik","Sama")</f>
        <v>Sama</v>
      </c>
      <c r="BH442" s="7"/>
      <c r="BI442" s="7" t="str">
        <f>IF(Table43[[#This Row],[Kode BARANG Win2]]&lt;&gt;"","IDR","")</f>
        <v>IDR</v>
      </c>
      <c r="BJ442" s="7" t="str">
        <f>CONCATENATE(Table43[[#This Row],[kode  1 Digit
(Nomor)]],Table43[[#This Row],[kode  4 Digit                (Nomor)]])</f>
        <v>0175</v>
      </c>
      <c r="BK442" s="7" t="str">
        <f>Table43[[#This Row],[Nama            Gramasi atau Jumlah Pack per CTN]]</f>
        <v>175ML</v>
      </c>
      <c r="BL442" s="7"/>
      <c r="BM442" s="7"/>
      <c r="BN442" s="4" t="str">
        <f>IF(Table43[[#This Row],[SATUAN Fix Win]]&lt;&gt;"","KRT")</f>
        <v>KRT</v>
      </c>
      <c r="BO442" s="4" t="str">
        <f>IF(Table43[[#This Row],[SATUAN Fix Win]]&lt;&gt;"","GD01")</f>
        <v>GD01</v>
      </c>
      <c r="BP442" s="4">
        <f>IF(Table43[[#This Row],[SATUAN Fix Win]]&lt;&gt;"",11611)</f>
        <v>11611</v>
      </c>
      <c r="BQ442" s="4">
        <f>IF(Table43[[#This Row],[SATUAN Fix Win]]&lt;&gt;"",11612)</f>
        <v>11612</v>
      </c>
      <c r="BS442" s="4">
        <f>IF(Table43[[#This Row],[SATUAN Fix Win]]&lt;&gt;"",1)</f>
        <v>1</v>
      </c>
      <c r="BU442" s="4">
        <f>Table43[[#This Row],[ISI/CTN]]</f>
        <v>12</v>
      </c>
    </row>
    <row r="443" spans="1:73">
      <c r="A443" s="4" t="str">
        <f>CONCATENATE(Table43[[#This Row],[Kode BARANG Win2]],Table43[[#This Row],[No. Urut
Item Sama]])</f>
        <v>G1261008017510</v>
      </c>
      <c r="B443" s="7"/>
      <c r="C443" s="31">
        <v>30490100350010</v>
      </c>
      <c r="D443" s="51">
        <v>40059909</v>
      </c>
      <c r="E443" s="27" t="s">
        <v>2081</v>
      </c>
      <c r="F443" s="59">
        <v>30490010200000</v>
      </c>
      <c r="G443" s="51">
        <v>0</v>
      </c>
      <c r="H443" s="27" t="s">
        <v>1383</v>
      </c>
      <c r="I443" s="27">
        <v>12</v>
      </c>
      <c r="J443" s="51" t="s">
        <v>1764</v>
      </c>
      <c r="K443" s="27" t="str">
        <f>Table43[[#This Row],[NamaJenisKemasan]]</f>
        <v>KLG</v>
      </c>
      <c r="L443" s="4" t="str">
        <f>TRIM(CONCATENATE(Table43[[#This Row],[Nama            KLP]]," ",Table43[[#This Row],[Nama            Sub KLP]]))</f>
        <v>STELLA AEROSOL</v>
      </c>
      <c r="M443" s="4" t="str">
        <f>CONCATENATE(Table43[[#This Row],[kode  2 Digit                (hrf+No)]],Table43[[#This Row],[kode  2 Digit                (Nomor)]],Table43[[#This Row],[kode  1 Digit                (Nomor)]])</f>
        <v>G1261</v>
      </c>
      <c r="N443" s="4" t="str">
        <f>IF(AI443="",CONCATENATE(S443,U443,W443,Y443,AA443,AC443,AE443,AG443,Table43[[#This Row],[Tanda Kode Revisi]]),CONCATENATE(S443,U443,W443,Y443,AA443,AC443,AE443,AI443))</f>
        <v>G1261008017510</v>
      </c>
      <c r="O443" s="11">
        <f t="shared" si="10"/>
        <v>14</v>
      </c>
      <c r="P443" s="14" t="str">
        <f>IF(AH443&lt;&gt;"",TRIM(UPPER(CONCATENATE(R443," ",T443," ",V443," ",X443," ",Z443," ",AB443," ","X"," ",Table43[[#This Row],[ISI/CTN]]," ",AH443," ",AD443," ",AF443," ",AJ443))),TRIM(UPPER(CONCATENATE(R443," ",T443," ",V443," ",X443," ",Z443," ",AB443," ","X"," ",Table43[[#This Row],[ISI/CTN]]," ",AD443," ",AF443," ",AJ443))))</f>
        <v>STELLA AEROSOL ORANGE 175ML X 12 KLG</v>
      </c>
      <c r="Q443" s="11">
        <f t="shared" si="11"/>
        <v>36</v>
      </c>
      <c r="S443" s="7" t="s">
        <v>34</v>
      </c>
      <c r="T443" s="4" t="s">
        <v>2421</v>
      </c>
      <c r="U443" s="47" t="s">
        <v>2584</v>
      </c>
      <c r="V443" s="48" t="s">
        <v>2243</v>
      </c>
      <c r="W443" s="7">
        <v>1</v>
      </c>
      <c r="X443" s="48"/>
      <c r="Y443" s="47" t="s">
        <v>1116</v>
      </c>
      <c r="Z443" s="4" t="s">
        <v>2251</v>
      </c>
      <c r="AA443" s="49" t="s">
        <v>2545</v>
      </c>
      <c r="AB443" s="4" t="s">
        <v>2214</v>
      </c>
      <c r="AC443" s="49" t="s">
        <v>2600</v>
      </c>
      <c r="AD443" s="4" t="s">
        <v>2221</v>
      </c>
      <c r="AE443" s="7">
        <v>1</v>
      </c>
      <c r="AG443" s="7">
        <v>0</v>
      </c>
      <c r="AK443" s="70">
        <f>Table43[[#This Row],[Column4]]</f>
        <v>30490010200000</v>
      </c>
      <c r="AN443" s="7">
        <f>Table43[[#This Row],[ISI/CTN]]</f>
        <v>12</v>
      </c>
      <c r="AO443" s="38">
        <f>Table43[[#This Row],[Harga Jual Pcs GT
(-PPN)]]-(Table43[[#This Row],[Harga Jual Pcs GT
(-PPN)]]*6.5%)</f>
        <v>14025</v>
      </c>
      <c r="AP443" s="38">
        <f>Table43[[#This Row],[Harga Beli Pcs
(-PPN)]]*Table43[[#This Row],[ISI/CTN]]</f>
        <v>168300</v>
      </c>
      <c r="AQ443" s="38">
        <f>Table43[[#This Row],[Harga Beli Pcs
(-PPN)]]*1.11</f>
        <v>15567.750000000002</v>
      </c>
      <c r="AR443" s="38">
        <f>Table43[[#This Row],[Harga Beli Krt
(- PPN)]]*1.11</f>
        <v>186813.00000000003</v>
      </c>
      <c r="AS443" s="38">
        <v>15000</v>
      </c>
      <c r="AT443" s="38">
        <f>Table43[[#This Row],[Harga Jual Pcs GT
(-PPN)]]*Table43[[#This Row],[ISI/CTN]]</f>
        <v>180000</v>
      </c>
      <c r="AU443" s="38">
        <f>Table43[[#This Row],[Harga Jual Pcs GT
(-PPN)]]*1.11</f>
        <v>16650</v>
      </c>
      <c r="AV443" s="38">
        <f>Table43[[#This Row],[Harga Jual Krt GT
(- PPN)]]*1.11</f>
        <v>199800.00000000003</v>
      </c>
      <c r="AW443" s="38">
        <f>IFERROR(VLOOKUP(Table43[[#This Row],[Kode Pcpl]],'[1]FEB 2026'!$A$3:$X$312,24,0),0)</f>
        <v>0</v>
      </c>
      <c r="AX443" s="38">
        <f>Table43[[#This Row],[Harga Jual Pcs MT
(-PPN)]]*Table43[[#This Row],[ISI/CTN]]</f>
        <v>0</v>
      </c>
      <c r="AY443" s="38">
        <f>Table43[[#This Row],[Harga Jual Pcs MT
(-PPN)]]*1.11</f>
        <v>0</v>
      </c>
      <c r="AZ443" s="38">
        <f>Table43[[#This Row],[Harga Jual Pcs MT
(+PPN)]]*Table43[[#This Row],[ISI/CTN]]</f>
        <v>0</v>
      </c>
      <c r="BA443" s="46">
        <f>(Table43[[#This Row],[Harga Jual Pcs GT
(-PPN)]]-Table43[[#This Row],[Harga Beli Pcs
(-PPN)]])/Table43[[#This Row],[Harga Jual Pcs GT
(-PPN)]]</f>
        <v>6.5000000000000002E-2</v>
      </c>
      <c r="BB443" s="53">
        <f>Table43[[#This Row],[Harga Jual Pcs MT
(-PPN)]]-Table43[[#This Row],[Harga Beli Pcs
(-PPN)]]</f>
        <v>-14025</v>
      </c>
      <c r="BC443" s="54" t="e">
        <f>Table43[[#This Row],[Column1]]/Table43[[#This Row],[Harga Jual Pcs MT
(-PPN)]]</f>
        <v>#DIV/0!</v>
      </c>
      <c r="BD443" s="52"/>
      <c r="BE443" s="7"/>
      <c r="BF443" s="7" t="str">
        <f ca="1">IF(TODAY()-Table43[[#This Row],[Efektif
Pembuatan]]&gt;60,"Lama","Baru")</f>
        <v>Lama</v>
      </c>
      <c r="BG443" s="7" t="str">
        <f ca="1">IF(TODAY()-Table43[[#This Row],[Efektif Naik Harga]]&lt;30,"Naik","Sama")</f>
        <v>Sama</v>
      </c>
      <c r="BH443" s="7"/>
      <c r="BI443" s="7" t="str">
        <f>IF(Table43[[#This Row],[Kode BARANG Win2]]&lt;&gt;"","IDR","")</f>
        <v>IDR</v>
      </c>
      <c r="BJ443" s="7" t="str">
        <f>CONCATENATE(Table43[[#This Row],[kode  1 Digit
(Nomor)]],Table43[[#This Row],[kode  4 Digit                (Nomor)]])</f>
        <v>0175</v>
      </c>
      <c r="BK443" s="7" t="str">
        <f>Table43[[#This Row],[Nama            Gramasi atau Jumlah Pack per CTN]]</f>
        <v>175ML</v>
      </c>
      <c r="BL443" s="7"/>
      <c r="BM443" s="7"/>
      <c r="BN443" s="4" t="str">
        <f>IF(Table43[[#This Row],[SATUAN Fix Win]]&lt;&gt;"","KRT")</f>
        <v>KRT</v>
      </c>
      <c r="BO443" s="4" t="str">
        <f>IF(Table43[[#This Row],[SATUAN Fix Win]]&lt;&gt;"","GD01")</f>
        <v>GD01</v>
      </c>
      <c r="BP443" s="4">
        <f>IF(Table43[[#This Row],[SATUAN Fix Win]]&lt;&gt;"",11611)</f>
        <v>11611</v>
      </c>
      <c r="BQ443" s="4">
        <f>IF(Table43[[#This Row],[SATUAN Fix Win]]&lt;&gt;"",11612)</f>
        <v>11612</v>
      </c>
      <c r="BS443" s="4">
        <f>IF(Table43[[#This Row],[SATUAN Fix Win]]&lt;&gt;"",1)</f>
        <v>1</v>
      </c>
      <c r="BU443" s="4">
        <f>Table43[[#This Row],[ISI/CTN]]</f>
        <v>12</v>
      </c>
    </row>
    <row r="444" spans="1:73">
      <c r="A444" s="4" t="str">
        <f>CONCATENATE(Table43[[#This Row],[Kode BARANG Win2]],Table43[[#This Row],[No. Urut
Item Sama]])</f>
        <v>G1261008017510</v>
      </c>
      <c r="B444" s="7"/>
      <c r="C444" s="31"/>
      <c r="D444" s="51">
        <v>40024822</v>
      </c>
      <c r="E444" s="27"/>
      <c r="F444" s="51"/>
      <c r="G444" s="51"/>
      <c r="H444" s="27"/>
      <c r="I444" s="27">
        <v>12</v>
      </c>
      <c r="J444" s="51" t="s">
        <v>1764</v>
      </c>
      <c r="K444" s="27" t="str">
        <f>Table43[[#This Row],[NamaJenisKemasan]]</f>
        <v>KLG</v>
      </c>
      <c r="L444" s="4" t="str">
        <f>TRIM(CONCATENATE(Table43[[#This Row],[Nama            KLP]]," ",Table43[[#This Row],[Nama            Sub KLP]]))</f>
        <v>STELLA AEROSOL</v>
      </c>
      <c r="M444" s="4" t="str">
        <f>CONCATENATE(Table43[[#This Row],[kode  2 Digit                (hrf+No)]],Table43[[#This Row],[kode  2 Digit                (Nomor)]],Table43[[#This Row],[kode  1 Digit                (Nomor)]])</f>
        <v>G1261</v>
      </c>
      <c r="N444" s="4" t="str">
        <f>IF(AI444="",CONCATENATE(S444,U444,W444,Y444,AA444,AC444,AE444,AG444,Table43[[#This Row],[Tanda Kode Revisi]]),CONCATENATE(S444,U444,W444,Y444,AA444,AC444,AE444,AI444))</f>
        <v>G1261008017510</v>
      </c>
      <c r="O444" s="11">
        <f>LEN(N444)</f>
        <v>14</v>
      </c>
      <c r="P444" s="14" t="str">
        <f>IF(AH444&lt;&gt;"",TRIM(UPPER(CONCATENATE(R444," ",T444," ",V444," ",X444," ",Z444," ",AB444," ","X"," ",Table43[[#This Row],[ISI/CTN]]," ",AH444," ",AD444," ",AF444," ",AJ444))),TRIM(UPPER(CONCATENATE(R444," ",T444," ",V444," ",X444," ",Z444," ",AB444," ","X"," ",Table43[[#This Row],[ISI/CTN]]," ",AD444," ",AF444," ",AJ444))))</f>
        <v>STELLA AEROSOL ORANGE 175ML X 12 KLG</v>
      </c>
      <c r="Q444" s="11">
        <f>LEN(P444)</f>
        <v>36</v>
      </c>
      <c r="S444" s="7" t="s">
        <v>34</v>
      </c>
      <c r="T444" s="4" t="s">
        <v>2421</v>
      </c>
      <c r="U444" s="47" t="s">
        <v>2584</v>
      </c>
      <c r="V444" s="48" t="s">
        <v>2243</v>
      </c>
      <c r="W444" s="7">
        <v>1</v>
      </c>
      <c r="X444" s="48"/>
      <c r="Y444" s="47" t="s">
        <v>1116</v>
      </c>
      <c r="Z444" s="4" t="s">
        <v>2251</v>
      </c>
      <c r="AA444" s="49" t="s">
        <v>2545</v>
      </c>
      <c r="AB444" s="4" t="s">
        <v>2214</v>
      </c>
      <c r="AC444" s="49" t="s">
        <v>2600</v>
      </c>
      <c r="AD444" s="4" t="s">
        <v>2221</v>
      </c>
      <c r="AE444" s="7">
        <v>1</v>
      </c>
      <c r="AG444" s="7">
        <v>0</v>
      </c>
      <c r="AK444" s="70">
        <f>Table43[[#This Row],[Column4]]</f>
        <v>0</v>
      </c>
      <c r="AN444" s="7">
        <f>Table43[[#This Row],[ISI/CTN]]</f>
        <v>12</v>
      </c>
      <c r="AO444" s="38">
        <f>Table43[[#This Row],[Harga Jual Pcs GT
(-PPN)]]-(Table43[[#This Row],[Harga Jual Pcs GT
(-PPN)]]*6.5%)</f>
        <v>0</v>
      </c>
      <c r="AP444" s="38">
        <f>Table43[[#This Row],[Harga Beli Pcs
(-PPN)]]*Table43[[#This Row],[ISI/CTN]]</f>
        <v>0</v>
      </c>
      <c r="AQ444" s="38">
        <f>Table43[[#This Row],[Harga Beli Pcs
(-PPN)]]*1.11</f>
        <v>0</v>
      </c>
      <c r="AR444" s="38">
        <f>Table43[[#This Row],[Harga Beli Krt
(- PPN)]]*1.11</f>
        <v>0</v>
      </c>
      <c r="AS444" s="38"/>
      <c r="AT444" s="38">
        <f>Table43[[#This Row],[Harga Jual Pcs GT
(-PPN)]]*Table43[[#This Row],[ISI/CTN]]</f>
        <v>0</v>
      </c>
      <c r="AU444" s="38">
        <f>Table43[[#This Row],[Harga Jual Pcs GT
(-PPN)]]*1.11</f>
        <v>0</v>
      </c>
      <c r="AV444" s="38">
        <f>Table43[[#This Row],[Harga Jual Krt GT
(- PPN)]]*1.11</f>
        <v>0</v>
      </c>
      <c r="AW444" s="38">
        <f>IFERROR(VLOOKUP(Table43[[#This Row],[Kode Pcpl]],'[1]FEB 2026'!$A$3:$X$312,24,0),0)</f>
        <v>0</v>
      </c>
      <c r="AX444" s="38">
        <f>Table43[[#This Row],[Harga Jual Pcs MT
(-PPN)]]*Table43[[#This Row],[ISI/CTN]]</f>
        <v>0</v>
      </c>
      <c r="AY444" s="38">
        <f>Table43[[#This Row],[Harga Jual Pcs MT
(-PPN)]]*1.11</f>
        <v>0</v>
      </c>
      <c r="AZ444" s="38">
        <f>Table43[[#This Row],[Harga Jual Pcs MT
(+PPN)]]*Table43[[#This Row],[ISI/CTN]]</f>
        <v>0</v>
      </c>
      <c r="BA444" s="46" t="e">
        <f>(Table43[[#This Row],[Harga Jual Pcs GT
(-PPN)]]-Table43[[#This Row],[Harga Beli Pcs
(-PPN)]])/Table43[[#This Row],[Harga Jual Pcs GT
(-PPN)]]</f>
        <v>#DIV/0!</v>
      </c>
      <c r="BB444" s="53">
        <f>Table43[[#This Row],[Harga Jual Pcs MT
(-PPN)]]-Table43[[#This Row],[Harga Beli Pcs
(-PPN)]]</f>
        <v>0</v>
      </c>
      <c r="BC444" s="54" t="e">
        <f>Table43[[#This Row],[Column1]]/Table43[[#This Row],[Harga Jual Pcs MT
(-PPN)]]</f>
        <v>#DIV/0!</v>
      </c>
      <c r="BD444" s="52"/>
      <c r="BE444" s="7"/>
      <c r="BF444" s="7" t="str">
        <f ca="1">IF(TODAY()-Table43[[#This Row],[Efektif
Pembuatan]]&gt;60,"Lama","Baru")</f>
        <v>Lama</v>
      </c>
      <c r="BG444" s="7" t="str">
        <f ca="1">IF(TODAY()-Table43[[#This Row],[Efektif Naik Harga]]&lt;30,"Naik","Sama")</f>
        <v>Sama</v>
      </c>
      <c r="BH444" s="7"/>
      <c r="BI444" s="7" t="str">
        <f>IF(Table43[[#This Row],[Kode BARANG Win2]]&lt;&gt;"","IDR","")</f>
        <v>IDR</v>
      </c>
      <c r="BJ444" s="7" t="str">
        <f>CONCATENATE(Table43[[#This Row],[kode  1 Digit
(Nomor)]],Table43[[#This Row],[kode  4 Digit                (Nomor)]])</f>
        <v>0175</v>
      </c>
      <c r="BK444" s="7" t="str">
        <f>Table43[[#This Row],[Nama            Gramasi atau Jumlah Pack per CTN]]</f>
        <v>175ML</v>
      </c>
      <c r="BL444" s="7"/>
      <c r="BM444" s="7"/>
      <c r="BN444" s="4" t="str">
        <f>IF(Table43[[#This Row],[SATUAN Fix Win]]&lt;&gt;"","KRT")</f>
        <v>KRT</v>
      </c>
      <c r="BO444" s="4" t="str">
        <f>IF(Table43[[#This Row],[SATUAN Fix Win]]&lt;&gt;"","GD01")</f>
        <v>GD01</v>
      </c>
      <c r="BP444" s="4">
        <f>IF(Table43[[#This Row],[SATUAN Fix Win]]&lt;&gt;"",11611)</f>
        <v>11611</v>
      </c>
      <c r="BQ444" s="4">
        <f>IF(Table43[[#This Row],[SATUAN Fix Win]]&lt;&gt;"",11612)</f>
        <v>11612</v>
      </c>
      <c r="BS444" s="4">
        <f>IF(Table43[[#This Row],[SATUAN Fix Win]]&lt;&gt;"",1)</f>
        <v>1</v>
      </c>
      <c r="BU444" s="4">
        <f>Table43[[#This Row],[ISI/CTN]]</f>
        <v>12</v>
      </c>
    </row>
    <row r="445" spans="1:73">
      <c r="A445" s="4" t="str">
        <f>CONCATENATE(Table43[[#This Row],[Kode BARANG Win2]],Table43[[#This Row],[No. Urut
Item Sama]])</f>
        <v>G1261008035010</v>
      </c>
      <c r="B445" s="7"/>
      <c r="C445" s="31">
        <v>30490110200000</v>
      </c>
      <c r="D445" s="59">
        <v>40059935</v>
      </c>
      <c r="E445" s="60" t="s">
        <v>2083</v>
      </c>
      <c r="F445" s="59">
        <v>30490010400000</v>
      </c>
      <c r="G445" s="59">
        <v>0</v>
      </c>
      <c r="H445" s="60" t="s">
        <v>1387</v>
      </c>
      <c r="I445" s="60">
        <v>12</v>
      </c>
      <c r="J445" s="59" t="s">
        <v>1766</v>
      </c>
      <c r="K445" s="60" t="str">
        <f>Table43[[#This Row],[NamaJenisKemasan]]</f>
        <v>KLG</v>
      </c>
      <c r="L445" s="4" t="str">
        <f>TRIM(CONCATENATE(Table43[[#This Row],[Nama            KLP]]," ",Table43[[#This Row],[Nama            Sub KLP]]))</f>
        <v>STELLA AEROSOL</v>
      </c>
      <c r="M445" s="4" t="str">
        <f>CONCATENATE(Table43[[#This Row],[kode  2 Digit                (hrf+No)]],Table43[[#This Row],[kode  2 Digit                (Nomor)]],Table43[[#This Row],[kode  1 Digit                (Nomor)]])</f>
        <v>G1261</v>
      </c>
      <c r="N445" s="4" t="str">
        <f>IF(AI445="",CONCATENATE(S445,U445,W445,Y445,AA445,AC445,AE445,AG445,Table43[[#This Row],[Tanda Kode Revisi]]),CONCATENATE(S445,U445,W445,Y445,AA445,AC445,AE445,AI445))</f>
        <v>G1261008035010</v>
      </c>
      <c r="O445" s="11">
        <f t="shared" si="10"/>
        <v>14</v>
      </c>
      <c r="P445" s="14" t="str">
        <f>IF(AH445&lt;&gt;"",TRIM(UPPER(CONCATENATE(R445," ",T445," ",V445," ",X445," ",Z445," ",AB445," ","X"," ",Table43[[#This Row],[ISI/CTN]]," ",AH445," ",AD445," ",AF445," ",AJ445))),TRIM(UPPER(CONCATENATE(R445," ",T445," ",V445," ",X445," ",Z445," ",AB445," ","X"," ",Table43[[#This Row],[ISI/CTN]]," ",AD445," ",AF445," ",AJ445))))</f>
        <v>STELLA AEROSOL ORANGE 350ML X 12 KLG</v>
      </c>
      <c r="Q445" s="11">
        <f t="shared" si="11"/>
        <v>36</v>
      </c>
      <c r="S445" s="7" t="s">
        <v>34</v>
      </c>
      <c r="T445" s="4" t="s">
        <v>2421</v>
      </c>
      <c r="U445" s="47" t="s">
        <v>2584</v>
      </c>
      <c r="V445" s="48" t="s">
        <v>2243</v>
      </c>
      <c r="W445" s="7">
        <v>1</v>
      </c>
      <c r="X445" s="48"/>
      <c r="Y445" s="47" t="s">
        <v>1116</v>
      </c>
      <c r="Z445" s="4" t="s">
        <v>2251</v>
      </c>
      <c r="AA445" s="49" t="s">
        <v>2545</v>
      </c>
      <c r="AB445" s="4" t="s">
        <v>2372</v>
      </c>
      <c r="AC445" s="49" t="s">
        <v>2619</v>
      </c>
      <c r="AD445" s="4" t="s">
        <v>2221</v>
      </c>
      <c r="AE445" s="7">
        <v>1</v>
      </c>
      <c r="AG445" s="7">
        <v>0</v>
      </c>
      <c r="AK445" s="70">
        <f>Table43[[#This Row],[Column4]]</f>
        <v>30490010400000</v>
      </c>
      <c r="AN445" s="7">
        <f>Table43[[#This Row],[ISI/CTN]]</f>
        <v>12</v>
      </c>
      <c r="AO445" s="38">
        <f>Table43[[#This Row],[Harga Jual Pcs GT
(-PPN)]]-(Table43[[#This Row],[Harga Jual Pcs GT
(-PPN)]]*6.5%)</f>
        <v>20383</v>
      </c>
      <c r="AP445" s="38">
        <f>Table43[[#This Row],[Harga Beli Pcs
(-PPN)]]*Table43[[#This Row],[ISI/CTN]]</f>
        <v>244596</v>
      </c>
      <c r="AQ445" s="38">
        <f>Table43[[#This Row],[Harga Beli Pcs
(-PPN)]]*1.11</f>
        <v>22625.13</v>
      </c>
      <c r="AR445" s="38">
        <f>Table43[[#This Row],[Harga Beli Krt
(- PPN)]]*1.11</f>
        <v>271501.56</v>
      </c>
      <c r="AS445" s="38">
        <v>21800</v>
      </c>
      <c r="AT445" s="38">
        <f>Table43[[#This Row],[Harga Jual Pcs GT
(-PPN)]]*Table43[[#This Row],[ISI/CTN]]</f>
        <v>261600</v>
      </c>
      <c r="AU445" s="38">
        <f>Table43[[#This Row],[Harga Jual Pcs GT
(-PPN)]]*1.11</f>
        <v>24198.000000000004</v>
      </c>
      <c r="AV445" s="38">
        <f>Table43[[#This Row],[Harga Jual Krt GT
(- PPN)]]*1.11</f>
        <v>290376</v>
      </c>
      <c r="AW445" s="38">
        <f>IFERROR(VLOOKUP(Table43[[#This Row],[Kode Pcpl]],'[1]FEB 2026'!$A$3:$X$312,24,0),0)</f>
        <v>0</v>
      </c>
      <c r="AX445" s="38">
        <f>Table43[[#This Row],[Harga Jual Pcs MT
(-PPN)]]*Table43[[#This Row],[ISI/CTN]]</f>
        <v>0</v>
      </c>
      <c r="AY445" s="38">
        <f>Table43[[#This Row],[Harga Jual Pcs MT
(-PPN)]]*1.11</f>
        <v>0</v>
      </c>
      <c r="AZ445" s="38">
        <f>Table43[[#This Row],[Harga Jual Pcs MT
(+PPN)]]*Table43[[#This Row],[ISI/CTN]]</f>
        <v>0</v>
      </c>
      <c r="BA445" s="46">
        <f>(Table43[[#This Row],[Harga Jual Pcs GT
(-PPN)]]-Table43[[#This Row],[Harga Beli Pcs
(-PPN)]])/Table43[[#This Row],[Harga Jual Pcs GT
(-PPN)]]</f>
        <v>6.5000000000000002E-2</v>
      </c>
      <c r="BB445" s="53">
        <f>Table43[[#This Row],[Harga Jual Pcs MT
(-PPN)]]-Table43[[#This Row],[Harga Beli Pcs
(-PPN)]]</f>
        <v>-20383</v>
      </c>
      <c r="BC445" s="54" t="e">
        <f>Table43[[#This Row],[Column1]]/Table43[[#This Row],[Harga Jual Pcs MT
(-PPN)]]</f>
        <v>#DIV/0!</v>
      </c>
      <c r="BD445" s="52"/>
      <c r="BE445" s="7"/>
      <c r="BF445" s="7" t="str">
        <f ca="1">IF(TODAY()-Table43[[#This Row],[Efektif
Pembuatan]]&gt;60,"Lama","Baru")</f>
        <v>Lama</v>
      </c>
      <c r="BG445" s="7" t="str">
        <f ca="1">IF(TODAY()-Table43[[#This Row],[Efektif Naik Harga]]&lt;30,"Naik","Sama")</f>
        <v>Sama</v>
      </c>
      <c r="BH445" s="7"/>
      <c r="BI445" s="7" t="str">
        <f>IF(Table43[[#This Row],[Kode BARANG Win2]]&lt;&gt;"","IDR","")</f>
        <v>IDR</v>
      </c>
      <c r="BJ445" s="7" t="str">
        <f>CONCATENATE(Table43[[#This Row],[kode  1 Digit
(Nomor)]],Table43[[#This Row],[kode  4 Digit                (Nomor)]])</f>
        <v>0350</v>
      </c>
      <c r="BK445" s="7" t="str">
        <f>Table43[[#This Row],[Nama            Gramasi atau Jumlah Pack per CTN]]</f>
        <v>350ML</v>
      </c>
      <c r="BL445" s="7"/>
      <c r="BM445" s="7"/>
      <c r="BN445" s="4" t="str">
        <f>IF(Table43[[#This Row],[SATUAN Fix Win]]&lt;&gt;"","KRT")</f>
        <v>KRT</v>
      </c>
      <c r="BO445" s="4" t="str">
        <f>IF(Table43[[#This Row],[SATUAN Fix Win]]&lt;&gt;"","GD01")</f>
        <v>GD01</v>
      </c>
      <c r="BP445" s="4">
        <f>IF(Table43[[#This Row],[SATUAN Fix Win]]&lt;&gt;"",11611)</f>
        <v>11611</v>
      </c>
      <c r="BQ445" s="4">
        <f>IF(Table43[[#This Row],[SATUAN Fix Win]]&lt;&gt;"",11612)</f>
        <v>11612</v>
      </c>
      <c r="BS445" s="4">
        <f>IF(Table43[[#This Row],[SATUAN Fix Win]]&lt;&gt;"",1)</f>
        <v>1</v>
      </c>
      <c r="BU445" s="4">
        <f>Table43[[#This Row],[ISI/CTN]]</f>
        <v>12</v>
      </c>
    </row>
    <row r="446" spans="1:73">
      <c r="A446" s="4" t="str">
        <f>CONCATENATE(Table43[[#This Row],[Kode BARANG Win2]],Table43[[#This Row],[No. Urut
Item Sama]])</f>
        <v>G1261008035010</v>
      </c>
      <c r="B446" s="7"/>
      <c r="C446" s="31">
        <v>30490110350000</v>
      </c>
      <c r="D446" s="51">
        <v>40057840</v>
      </c>
      <c r="E446" s="27" t="s">
        <v>2083</v>
      </c>
      <c r="F446" s="51">
        <v>30490010400000</v>
      </c>
      <c r="G446" s="51">
        <v>0</v>
      </c>
      <c r="H446" s="27" t="s">
        <v>1386</v>
      </c>
      <c r="I446" s="27">
        <v>12</v>
      </c>
      <c r="J446" s="51" t="s">
        <v>1766</v>
      </c>
      <c r="K446" s="27" t="str">
        <f>Table43[[#This Row],[NamaJenisKemasan]]</f>
        <v>KLG</v>
      </c>
      <c r="L446" s="4" t="str">
        <f>TRIM(CONCATENATE(Table43[[#This Row],[Nama            KLP]]," ",Table43[[#This Row],[Nama            Sub KLP]]))</f>
        <v>STELLA AEROSOL</v>
      </c>
      <c r="M446" s="4" t="str">
        <f>CONCATENATE(Table43[[#This Row],[kode  2 Digit                (hrf+No)]],Table43[[#This Row],[kode  2 Digit                (Nomor)]],Table43[[#This Row],[kode  1 Digit                (Nomor)]])</f>
        <v>G1261</v>
      </c>
      <c r="N446" s="4" t="str">
        <f>IF(AI446="",CONCATENATE(S446,U446,W446,Y446,AA446,AC446,AE446,AG446,Table43[[#This Row],[Tanda Kode Revisi]]),CONCATENATE(S446,U446,W446,Y446,AA446,AC446,AE446,AI446))</f>
        <v>G1261008035010</v>
      </c>
      <c r="O446" s="11">
        <f t="shared" si="10"/>
        <v>14</v>
      </c>
      <c r="P446" s="14" t="str">
        <f>IF(AH446&lt;&gt;"",TRIM(UPPER(CONCATENATE(R446," ",T446," ",V446," ",X446," ",Z446," ",AB446," ","X"," ",Table43[[#This Row],[ISI/CTN]]," ",AH446," ",AD446," ",AF446," ",AJ446))),TRIM(UPPER(CONCATENATE(R446," ",T446," ",V446," ",X446," ",Z446," ",AB446," ","X"," ",Table43[[#This Row],[ISI/CTN]]," ",AD446," ",AF446," ",AJ446))))</f>
        <v>STELLA AEROSOL ORANGE 350ML X 12 KLG</v>
      </c>
      <c r="Q446" s="11">
        <f t="shared" si="11"/>
        <v>36</v>
      </c>
      <c r="S446" s="7" t="s">
        <v>34</v>
      </c>
      <c r="T446" s="4" t="s">
        <v>2421</v>
      </c>
      <c r="U446" s="47" t="s">
        <v>2584</v>
      </c>
      <c r="V446" s="48" t="s">
        <v>2243</v>
      </c>
      <c r="W446" s="7">
        <v>1</v>
      </c>
      <c r="X446" s="48"/>
      <c r="Y446" s="47" t="s">
        <v>1116</v>
      </c>
      <c r="Z446" s="4" t="s">
        <v>2251</v>
      </c>
      <c r="AA446" s="49" t="s">
        <v>2545</v>
      </c>
      <c r="AB446" s="4" t="s">
        <v>2372</v>
      </c>
      <c r="AC446" s="49" t="s">
        <v>2619</v>
      </c>
      <c r="AD446" s="4" t="s">
        <v>2221</v>
      </c>
      <c r="AE446" s="7">
        <v>1</v>
      </c>
      <c r="AG446" s="7">
        <v>0</v>
      </c>
      <c r="AK446" s="70">
        <f>Table43[[#This Row],[Column4]]</f>
        <v>30490010400000</v>
      </c>
      <c r="AN446" s="7">
        <f>Table43[[#This Row],[ISI/CTN]]</f>
        <v>12</v>
      </c>
      <c r="AO446" s="38">
        <f>Table43[[#This Row],[Harga Jual Pcs GT
(-PPN)]]-(Table43[[#This Row],[Harga Jual Pcs GT
(-PPN)]]*6.5%)</f>
        <v>20383</v>
      </c>
      <c r="AP446" s="38">
        <f>Table43[[#This Row],[Harga Beli Pcs
(-PPN)]]*Table43[[#This Row],[ISI/CTN]]</f>
        <v>244596</v>
      </c>
      <c r="AQ446" s="38">
        <f>Table43[[#This Row],[Harga Beli Pcs
(-PPN)]]*1.11</f>
        <v>22625.13</v>
      </c>
      <c r="AR446" s="38">
        <f>Table43[[#This Row],[Harga Beli Krt
(- PPN)]]*1.11</f>
        <v>271501.56</v>
      </c>
      <c r="AS446" s="38">
        <v>21800</v>
      </c>
      <c r="AT446" s="38">
        <f>Table43[[#This Row],[Harga Jual Pcs GT
(-PPN)]]*Table43[[#This Row],[ISI/CTN]]</f>
        <v>261600</v>
      </c>
      <c r="AU446" s="38">
        <f>Table43[[#This Row],[Harga Jual Pcs GT
(-PPN)]]*1.11</f>
        <v>24198.000000000004</v>
      </c>
      <c r="AV446" s="38">
        <f>Table43[[#This Row],[Harga Jual Krt GT
(- PPN)]]*1.11</f>
        <v>290376</v>
      </c>
      <c r="AW446" s="38">
        <f>IFERROR(VLOOKUP(Table43[[#This Row],[Kode Pcpl]],'[1]FEB 2026'!$A$3:$X$312,24,0),0)</f>
        <v>0</v>
      </c>
      <c r="AX446" s="38">
        <f>Table43[[#This Row],[Harga Jual Pcs MT
(-PPN)]]*Table43[[#This Row],[ISI/CTN]]</f>
        <v>0</v>
      </c>
      <c r="AY446" s="38">
        <f>Table43[[#This Row],[Harga Jual Pcs MT
(-PPN)]]*1.11</f>
        <v>0</v>
      </c>
      <c r="AZ446" s="38">
        <f>Table43[[#This Row],[Harga Jual Pcs MT
(+PPN)]]*Table43[[#This Row],[ISI/CTN]]</f>
        <v>0</v>
      </c>
      <c r="BA446" s="46">
        <f>(Table43[[#This Row],[Harga Jual Pcs GT
(-PPN)]]-Table43[[#This Row],[Harga Beli Pcs
(-PPN)]])/Table43[[#This Row],[Harga Jual Pcs GT
(-PPN)]]</f>
        <v>6.5000000000000002E-2</v>
      </c>
      <c r="BB446" s="53">
        <f>Table43[[#This Row],[Harga Jual Pcs MT
(-PPN)]]-Table43[[#This Row],[Harga Beli Pcs
(-PPN)]]</f>
        <v>-20383</v>
      </c>
      <c r="BC446" s="54" t="e">
        <f>Table43[[#This Row],[Column1]]/Table43[[#This Row],[Harga Jual Pcs MT
(-PPN)]]</f>
        <v>#DIV/0!</v>
      </c>
      <c r="BD446" s="52"/>
      <c r="BE446" s="7"/>
      <c r="BF446" s="7" t="str">
        <f ca="1">IF(TODAY()-Table43[[#This Row],[Efektif
Pembuatan]]&gt;60,"Lama","Baru")</f>
        <v>Lama</v>
      </c>
      <c r="BG446" s="7" t="str">
        <f ca="1">IF(TODAY()-Table43[[#This Row],[Efektif Naik Harga]]&lt;30,"Naik","Sama")</f>
        <v>Sama</v>
      </c>
      <c r="BH446" s="7"/>
      <c r="BI446" s="7" t="str">
        <f>IF(Table43[[#This Row],[Kode BARANG Win2]]&lt;&gt;"","IDR","")</f>
        <v>IDR</v>
      </c>
      <c r="BJ446" s="7" t="str">
        <f>CONCATENATE(Table43[[#This Row],[kode  1 Digit
(Nomor)]],Table43[[#This Row],[kode  4 Digit                (Nomor)]])</f>
        <v>0350</v>
      </c>
      <c r="BK446" s="7" t="str">
        <f>Table43[[#This Row],[Nama            Gramasi atau Jumlah Pack per CTN]]</f>
        <v>350ML</v>
      </c>
      <c r="BL446" s="7"/>
      <c r="BM446" s="7"/>
      <c r="BN446" s="4" t="str">
        <f>IF(Table43[[#This Row],[SATUAN Fix Win]]&lt;&gt;"","KRT")</f>
        <v>KRT</v>
      </c>
      <c r="BO446" s="4" t="str">
        <f>IF(Table43[[#This Row],[SATUAN Fix Win]]&lt;&gt;"","GD01")</f>
        <v>GD01</v>
      </c>
      <c r="BP446" s="4">
        <f>IF(Table43[[#This Row],[SATUAN Fix Win]]&lt;&gt;"",11611)</f>
        <v>11611</v>
      </c>
      <c r="BQ446" s="4">
        <f>IF(Table43[[#This Row],[SATUAN Fix Win]]&lt;&gt;"",11612)</f>
        <v>11612</v>
      </c>
      <c r="BS446" s="4">
        <f>IF(Table43[[#This Row],[SATUAN Fix Win]]&lt;&gt;"",1)</f>
        <v>1</v>
      </c>
      <c r="BU446" s="4">
        <f>Table43[[#This Row],[ISI/CTN]]</f>
        <v>12</v>
      </c>
    </row>
    <row r="447" spans="1:73">
      <c r="A447" s="4" t="str">
        <f>CONCATENATE(Table43[[#This Row],[Kode BARANG Win2]],Table43[[#This Row],[No. Urut
Item Sama]])</f>
        <v>G1261008035010</v>
      </c>
      <c r="B447" s="7"/>
      <c r="C447" s="31">
        <v>30490170350000</v>
      </c>
      <c r="D447" s="51">
        <v>40057473</v>
      </c>
      <c r="E447" s="27" t="s">
        <v>2083</v>
      </c>
      <c r="F447" s="51">
        <v>30490010400000</v>
      </c>
      <c r="G447" s="51">
        <v>0</v>
      </c>
      <c r="H447" s="27" t="s">
        <v>1385</v>
      </c>
      <c r="I447" s="27">
        <v>12</v>
      </c>
      <c r="J447" s="51" t="s">
        <v>1766</v>
      </c>
      <c r="K447" s="27" t="str">
        <f>Table43[[#This Row],[NamaJenisKemasan]]</f>
        <v>KLG</v>
      </c>
      <c r="L447" s="4" t="str">
        <f>TRIM(CONCATENATE(Table43[[#This Row],[Nama            KLP]]," ",Table43[[#This Row],[Nama            Sub KLP]]))</f>
        <v>STELLA AEROSOL</v>
      </c>
      <c r="M447" s="4" t="str">
        <f>CONCATENATE(Table43[[#This Row],[kode  2 Digit                (hrf+No)]],Table43[[#This Row],[kode  2 Digit                (Nomor)]],Table43[[#This Row],[kode  1 Digit                (Nomor)]])</f>
        <v>G1261</v>
      </c>
      <c r="N447" s="4" t="str">
        <f>IF(AI447="",CONCATENATE(S447,U447,W447,Y447,AA447,AC447,AE447,AG447,Table43[[#This Row],[Tanda Kode Revisi]]),CONCATENATE(S447,U447,W447,Y447,AA447,AC447,AE447,AI447))</f>
        <v>G1261008035010</v>
      </c>
      <c r="O447" s="11">
        <f t="shared" si="10"/>
        <v>14</v>
      </c>
      <c r="P447" s="14" t="str">
        <f>IF(AH447&lt;&gt;"",TRIM(UPPER(CONCATENATE(R447," ",T447," ",V447," ",X447," ",Z447," ",AB447," ","X"," ",Table43[[#This Row],[ISI/CTN]]," ",AH447," ",AD447," ",AF447," ",AJ447))),TRIM(UPPER(CONCATENATE(R447," ",T447," ",V447," ",X447," ",Z447," ",AB447," ","X"," ",Table43[[#This Row],[ISI/CTN]]," ",AD447," ",AF447," ",AJ447))))</f>
        <v>STELLA AEROSOL ORANGE 350ML X 12 KLG</v>
      </c>
      <c r="Q447" s="11">
        <f t="shared" si="11"/>
        <v>36</v>
      </c>
      <c r="S447" s="7" t="s">
        <v>34</v>
      </c>
      <c r="T447" s="4" t="s">
        <v>2421</v>
      </c>
      <c r="U447" s="47" t="s">
        <v>2584</v>
      </c>
      <c r="V447" s="48" t="s">
        <v>2243</v>
      </c>
      <c r="W447" s="7">
        <v>1</v>
      </c>
      <c r="X447" s="48"/>
      <c r="Y447" s="47" t="s">
        <v>1116</v>
      </c>
      <c r="Z447" s="4" t="s">
        <v>2251</v>
      </c>
      <c r="AA447" s="49" t="s">
        <v>2545</v>
      </c>
      <c r="AB447" s="4" t="s">
        <v>2372</v>
      </c>
      <c r="AC447" s="49" t="s">
        <v>2619</v>
      </c>
      <c r="AD447" s="4" t="s">
        <v>2221</v>
      </c>
      <c r="AE447" s="7">
        <v>1</v>
      </c>
      <c r="AG447" s="7">
        <v>0</v>
      </c>
      <c r="AK447" s="70">
        <f>Table43[[#This Row],[Column4]]</f>
        <v>30490010400000</v>
      </c>
      <c r="AN447" s="7">
        <f>Table43[[#This Row],[ISI/CTN]]</f>
        <v>12</v>
      </c>
      <c r="AO447" s="38">
        <f>Table43[[#This Row],[Harga Jual Pcs GT
(-PPN)]]-(Table43[[#This Row],[Harga Jual Pcs GT
(-PPN)]]*6.5%)</f>
        <v>20383</v>
      </c>
      <c r="AP447" s="38">
        <f>Table43[[#This Row],[Harga Beli Pcs
(-PPN)]]*Table43[[#This Row],[ISI/CTN]]</f>
        <v>244596</v>
      </c>
      <c r="AQ447" s="38">
        <f>Table43[[#This Row],[Harga Beli Pcs
(-PPN)]]*1.11</f>
        <v>22625.13</v>
      </c>
      <c r="AR447" s="38">
        <f>Table43[[#This Row],[Harga Beli Krt
(- PPN)]]*1.11</f>
        <v>271501.56</v>
      </c>
      <c r="AS447" s="38">
        <v>21800</v>
      </c>
      <c r="AT447" s="38">
        <f>Table43[[#This Row],[Harga Jual Pcs GT
(-PPN)]]*Table43[[#This Row],[ISI/CTN]]</f>
        <v>261600</v>
      </c>
      <c r="AU447" s="38">
        <f>Table43[[#This Row],[Harga Jual Pcs GT
(-PPN)]]*1.11</f>
        <v>24198.000000000004</v>
      </c>
      <c r="AV447" s="38">
        <f>Table43[[#This Row],[Harga Jual Krt GT
(- PPN)]]*1.11</f>
        <v>290376</v>
      </c>
      <c r="AW447" s="38">
        <f>IFERROR(VLOOKUP(Table43[[#This Row],[Kode Pcpl]],'[1]FEB 2026'!$A$3:$X$312,24,0),0)</f>
        <v>0</v>
      </c>
      <c r="AX447" s="38">
        <f>Table43[[#This Row],[Harga Jual Pcs MT
(-PPN)]]*Table43[[#This Row],[ISI/CTN]]</f>
        <v>0</v>
      </c>
      <c r="AY447" s="38">
        <f>Table43[[#This Row],[Harga Jual Pcs MT
(-PPN)]]*1.11</f>
        <v>0</v>
      </c>
      <c r="AZ447" s="38">
        <f>Table43[[#This Row],[Harga Jual Pcs MT
(+PPN)]]*Table43[[#This Row],[ISI/CTN]]</f>
        <v>0</v>
      </c>
      <c r="BA447" s="46">
        <f>(Table43[[#This Row],[Harga Jual Pcs GT
(-PPN)]]-Table43[[#This Row],[Harga Beli Pcs
(-PPN)]])/Table43[[#This Row],[Harga Jual Pcs GT
(-PPN)]]</f>
        <v>6.5000000000000002E-2</v>
      </c>
      <c r="BB447" s="53">
        <f>Table43[[#This Row],[Harga Jual Pcs MT
(-PPN)]]-Table43[[#This Row],[Harga Beli Pcs
(-PPN)]]</f>
        <v>-20383</v>
      </c>
      <c r="BC447" s="54" t="e">
        <f>Table43[[#This Row],[Column1]]/Table43[[#This Row],[Harga Jual Pcs MT
(-PPN)]]</f>
        <v>#DIV/0!</v>
      </c>
      <c r="BD447" s="52"/>
      <c r="BE447" s="7"/>
      <c r="BF447" s="7" t="str">
        <f ca="1">IF(TODAY()-Table43[[#This Row],[Efektif
Pembuatan]]&gt;60,"Lama","Baru")</f>
        <v>Lama</v>
      </c>
      <c r="BG447" s="7" t="str">
        <f ca="1">IF(TODAY()-Table43[[#This Row],[Efektif Naik Harga]]&lt;30,"Naik","Sama")</f>
        <v>Sama</v>
      </c>
      <c r="BH447" s="7"/>
      <c r="BI447" s="7" t="str">
        <f>IF(Table43[[#This Row],[Kode BARANG Win2]]&lt;&gt;"","IDR","")</f>
        <v>IDR</v>
      </c>
      <c r="BJ447" s="7" t="str">
        <f>CONCATENATE(Table43[[#This Row],[kode  1 Digit
(Nomor)]],Table43[[#This Row],[kode  4 Digit                (Nomor)]])</f>
        <v>0350</v>
      </c>
      <c r="BK447" s="7" t="str">
        <f>Table43[[#This Row],[Nama            Gramasi atau Jumlah Pack per CTN]]</f>
        <v>350ML</v>
      </c>
      <c r="BL447" s="7"/>
      <c r="BM447" s="7"/>
      <c r="BN447" s="4" t="str">
        <f>IF(Table43[[#This Row],[SATUAN Fix Win]]&lt;&gt;"","KRT")</f>
        <v>KRT</v>
      </c>
      <c r="BO447" s="4" t="str">
        <f>IF(Table43[[#This Row],[SATUAN Fix Win]]&lt;&gt;"","GD01")</f>
        <v>GD01</v>
      </c>
      <c r="BP447" s="4">
        <f>IF(Table43[[#This Row],[SATUAN Fix Win]]&lt;&gt;"",11611)</f>
        <v>11611</v>
      </c>
      <c r="BQ447" s="4">
        <f>IF(Table43[[#This Row],[SATUAN Fix Win]]&lt;&gt;"",11612)</f>
        <v>11612</v>
      </c>
      <c r="BS447" s="4">
        <f>IF(Table43[[#This Row],[SATUAN Fix Win]]&lt;&gt;"",1)</f>
        <v>1</v>
      </c>
      <c r="BU447" s="4">
        <f>Table43[[#This Row],[ISI/CTN]]</f>
        <v>12</v>
      </c>
    </row>
    <row r="448" spans="1:73">
      <c r="A448" s="4" t="str">
        <f>CONCATENATE(Table43[[#This Row],[Kode BARANG Win2]],Table43[[#This Row],[No. Urut
Item Sama]])</f>
        <v>G1261008035010</v>
      </c>
      <c r="B448" s="7"/>
      <c r="C448" s="31">
        <v>30490180160000</v>
      </c>
      <c r="D448" s="59">
        <v>40060567</v>
      </c>
      <c r="E448" s="60" t="s">
        <v>2083</v>
      </c>
      <c r="F448" s="59">
        <v>30490010400000</v>
      </c>
      <c r="G448" s="59">
        <v>0</v>
      </c>
      <c r="H448" s="60" t="s">
        <v>1388</v>
      </c>
      <c r="I448" s="60">
        <v>12</v>
      </c>
      <c r="J448" s="59" t="s">
        <v>1766</v>
      </c>
      <c r="K448" s="60" t="str">
        <f>Table43[[#This Row],[NamaJenisKemasan]]</f>
        <v>KLG</v>
      </c>
      <c r="L448" s="4" t="str">
        <f>TRIM(CONCATENATE(Table43[[#This Row],[Nama            KLP]]," ",Table43[[#This Row],[Nama            Sub KLP]]))</f>
        <v>STELLA AEROSOL</v>
      </c>
      <c r="M448" s="4" t="str">
        <f>CONCATENATE(Table43[[#This Row],[kode  2 Digit                (hrf+No)]],Table43[[#This Row],[kode  2 Digit                (Nomor)]],Table43[[#This Row],[kode  1 Digit                (Nomor)]])</f>
        <v>G1261</v>
      </c>
      <c r="N448" s="4" t="str">
        <f>IF(AI448="",CONCATENATE(S448,U448,W448,Y448,AA448,AC448,AE448,AG448,Table43[[#This Row],[Tanda Kode Revisi]]),CONCATENATE(S448,U448,W448,Y448,AA448,AC448,AE448,AI448))</f>
        <v>G1261008035010</v>
      </c>
      <c r="O448" s="11">
        <f t="shared" si="10"/>
        <v>14</v>
      </c>
      <c r="P448" s="14" t="str">
        <f>IF(AH448&lt;&gt;"",TRIM(UPPER(CONCATENATE(R448," ",T448," ",V448," ",X448," ",Z448," ",AB448," ","X"," ",Table43[[#This Row],[ISI/CTN]]," ",AH448," ",AD448," ",AF448," ",AJ448))),TRIM(UPPER(CONCATENATE(R448," ",T448," ",V448," ",X448," ",Z448," ",AB448," ","X"," ",Table43[[#This Row],[ISI/CTN]]," ",AD448," ",AF448," ",AJ448))))</f>
        <v>STELLA AEROSOL ORANGE 350ML X 12 KLG</v>
      </c>
      <c r="Q448" s="11">
        <f t="shared" si="11"/>
        <v>36</v>
      </c>
      <c r="S448" s="7" t="s">
        <v>34</v>
      </c>
      <c r="T448" s="4" t="s">
        <v>2421</v>
      </c>
      <c r="U448" s="47" t="s">
        <v>2584</v>
      </c>
      <c r="V448" s="48" t="s">
        <v>2243</v>
      </c>
      <c r="W448" s="7">
        <v>1</v>
      </c>
      <c r="X448" s="48"/>
      <c r="Y448" s="47" t="s">
        <v>1116</v>
      </c>
      <c r="Z448" s="4" t="s">
        <v>2251</v>
      </c>
      <c r="AA448" s="49" t="s">
        <v>2545</v>
      </c>
      <c r="AB448" s="4" t="s">
        <v>2372</v>
      </c>
      <c r="AC448" s="49" t="s">
        <v>2619</v>
      </c>
      <c r="AD448" s="4" t="s">
        <v>2221</v>
      </c>
      <c r="AE448" s="7">
        <v>1</v>
      </c>
      <c r="AG448" s="7">
        <v>0</v>
      </c>
      <c r="AK448" s="70">
        <f>Table43[[#This Row],[Column4]]</f>
        <v>30490010400000</v>
      </c>
      <c r="AN448" s="7">
        <f>Table43[[#This Row],[ISI/CTN]]</f>
        <v>12</v>
      </c>
      <c r="AO448" s="61">
        <f>Table43[[#This Row],[Harga Jual Pcs GT
(-PPN)]]-(Table43[[#This Row],[Harga Jual Pcs GT
(-PPN)]]*6.5%)</f>
        <v>20383</v>
      </c>
      <c r="AP448" s="61">
        <f>Table43[[#This Row],[Harga Beli Pcs
(-PPN)]]*Table43[[#This Row],[ISI/CTN]]</f>
        <v>244596</v>
      </c>
      <c r="AQ448" s="61">
        <f>Table43[[#This Row],[Harga Beli Pcs
(-PPN)]]*1.11</f>
        <v>22625.13</v>
      </c>
      <c r="AR448" s="61">
        <f>Table43[[#This Row],[Harga Beli Krt
(- PPN)]]*1.11</f>
        <v>271501.56</v>
      </c>
      <c r="AS448" s="61">
        <v>21800</v>
      </c>
      <c r="AT448" s="61">
        <f>Table43[[#This Row],[Harga Jual Pcs GT
(-PPN)]]*Table43[[#This Row],[ISI/CTN]]</f>
        <v>261600</v>
      </c>
      <c r="AU448" s="61">
        <f>Table43[[#This Row],[Harga Jual Pcs GT
(-PPN)]]*1.11</f>
        <v>24198.000000000004</v>
      </c>
      <c r="AV448" s="61">
        <f>Table43[[#This Row],[Harga Jual Krt GT
(- PPN)]]*1.11</f>
        <v>290376</v>
      </c>
      <c r="AW448" s="61">
        <f>IFERROR(VLOOKUP(Table43[[#This Row],[Kode Pcpl]],'[1]FEB 2026'!$A$3:$X$312,24,0),0)</f>
        <v>0</v>
      </c>
      <c r="AX448" s="61">
        <f>Table43[[#This Row],[Harga Jual Pcs MT
(-PPN)]]*Table43[[#This Row],[ISI/CTN]]</f>
        <v>0</v>
      </c>
      <c r="AY448" s="61">
        <f>Table43[[#This Row],[Harga Jual Pcs MT
(-PPN)]]*1.11</f>
        <v>0</v>
      </c>
      <c r="AZ448" s="61">
        <f>Table43[[#This Row],[Harga Jual Pcs MT
(+PPN)]]*Table43[[#This Row],[ISI/CTN]]</f>
        <v>0</v>
      </c>
      <c r="BA448" s="62">
        <f>(Table43[[#This Row],[Harga Jual Pcs GT
(-PPN)]]-Table43[[#This Row],[Harga Beli Pcs
(-PPN)]])/Table43[[#This Row],[Harga Jual Pcs GT
(-PPN)]]</f>
        <v>6.5000000000000002E-2</v>
      </c>
      <c r="BB448" s="63">
        <f>Table43[[#This Row],[Harga Jual Pcs MT
(-PPN)]]-Table43[[#This Row],[Harga Beli Pcs
(-PPN)]]</f>
        <v>-20383</v>
      </c>
      <c r="BC448" s="64" t="e">
        <f>Table43[[#This Row],[Column1]]/Table43[[#This Row],[Harga Jual Pcs MT
(-PPN)]]</f>
        <v>#DIV/0!</v>
      </c>
      <c r="BD448" s="52"/>
      <c r="BE448" s="7"/>
      <c r="BF448" s="7" t="str">
        <f ca="1">IF(TODAY()-Table43[[#This Row],[Efektif
Pembuatan]]&gt;60,"Lama","Baru")</f>
        <v>Lama</v>
      </c>
      <c r="BG448" s="7" t="str">
        <f ca="1">IF(TODAY()-Table43[[#This Row],[Efektif Naik Harga]]&lt;30,"Naik","Sama")</f>
        <v>Sama</v>
      </c>
      <c r="BH448" s="7"/>
      <c r="BI448" s="7" t="str">
        <f>IF(Table43[[#This Row],[Kode BARANG Win2]]&lt;&gt;"","IDR","")</f>
        <v>IDR</v>
      </c>
      <c r="BJ448" s="7" t="str">
        <f>CONCATENATE(Table43[[#This Row],[kode  1 Digit
(Nomor)]],Table43[[#This Row],[kode  4 Digit                (Nomor)]])</f>
        <v>0350</v>
      </c>
      <c r="BK448" s="7" t="str">
        <f>Table43[[#This Row],[Nama            Gramasi atau Jumlah Pack per CTN]]</f>
        <v>350ML</v>
      </c>
      <c r="BL448" s="7"/>
      <c r="BM448" s="7"/>
      <c r="BN448" s="4" t="str">
        <f>IF(Table43[[#This Row],[SATUAN Fix Win]]&lt;&gt;"","KRT")</f>
        <v>KRT</v>
      </c>
      <c r="BO448" s="4" t="str">
        <f>IF(Table43[[#This Row],[SATUAN Fix Win]]&lt;&gt;"","GD01")</f>
        <v>GD01</v>
      </c>
      <c r="BP448" s="4">
        <f>IF(Table43[[#This Row],[SATUAN Fix Win]]&lt;&gt;"",11611)</f>
        <v>11611</v>
      </c>
      <c r="BQ448" s="4">
        <f>IF(Table43[[#This Row],[SATUAN Fix Win]]&lt;&gt;"",11612)</f>
        <v>11612</v>
      </c>
      <c r="BS448" s="4">
        <f>IF(Table43[[#This Row],[SATUAN Fix Win]]&lt;&gt;"",1)</f>
        <v>1</v>
      </c>
      <c r="BU448" s="4">
        <f>Table43[[#This Row],[ISI/CTN]]</f>
        <v>12</v>
      </c>
    </row>
    <row r="449" spans="1:75">
      <c r="A449" s="4" t="str">
        <f>CONCATENATE(Table43[[#This Row],[Kode BARANG Win2]],Table43[[#This Row],[No. Urut
Item Sama]])</f>
        <v>G1261008035010</v>
      </c>
      <c r="B449" s="7"/>
      <c r="C449" s="31"/>
      <c r="D449" s="51">
        <v>40007669</v>
      </c>
      <c r="E449" s="27"/>
      <c r="F449" s="51"/>
      <c r="G449" s="51"/>
      <c r="H449" s="27"/>
      <c r="I449" s="27">
        <v>12</v>
      </c>
      <c r="J449" s="59" t="s">
        <v>1766</v>
      </c>
      <c r="K449" s="27" t="str">
        <f>Table43[[#This Row],[NamaJenisKemasan]]</f>
        <v>KLG</v>
      </c>
      <c r="L449" s="4" t="str">
        <f>TRIM(CONCATENATE(Table43[[#This Row],[Nama            KLP]]," ",Table43[[#This Row],[Nama            Sub KLP]]))</f>
        <v>STELLA AEROSOL</v>
      </c>
      <c r="M449" s="4" t="str">
        <f>CONCATENATE(Table43[[#This Row],[kode  2 Digit                (hrf+No)]],Table43[[#This Row],[kode  2 Digit                (Nomor)]],Table43[[#This Row],[kode  1 Digit                (Nomor)]])</f>
        <v>G1261</v>
      </c>
      <c r="N449" s="4" t="str">
        <f>IF(AI449="",CONCATENATE(S449,U449,W449,Y449,AA449,AC449,AE449,AG449,Table43[[#This Row],[Tanda Kode Revisi]]),CONCATENATE(S449,U449,W449,Y449,AA449,AC449,AE449,AI449))</f>
        <v>G1261008035010</v>
      </c>
      <c r="O449" s="11">
        <f>LEN(N449)</f>
        <v>14</v>
      </c>
      <c r="P449" s="14" t="str">
        <f>IF(AH449&lt;&gt;"",TRIM(UPPER(CONCATENATE(R449," ",T449," ",V449," ",X449," ",Z449," ",AB449," ","X"," ",Table43[[#This Row],[ISI/CTN]]," ",AH449," ",AD449," ",AF449," ",AJ449))),TRIM(UPPER(CONCATENATE(R449," ",T449," ",V449," ",X449," ",Z449," ",AB449," ","X"," ",Table43[[#This Row],[ISI/CTN]]," ",AD449," ",AF449," ",AJ449))))</f>
        <v>STELLA AEROSOL ORANGE 350ML X 12 KLG</v>
      </c>
      <c r="Q449" s="11">
        <f>LEN(P449)</f>
        <v>36</v>
      </c>
      <c r="S449" s="7" t="s">
        <v>34</v>
      </c>
      <c r="T449" s="4" t="s">
        <v>2421</v>
      </c>
      <c r="U449" s="47" t="s">
        <v>2584</v>
      </c>
      <c r="V449" s="48" t="s">
        <v>2243</v>
      </c>
      <c r="W449" s="7">
        <v>1</v>
      </c>
      <c r="X449" s="48"/>
      <c r="Y449" s="47" t="s">
        <v>1116</v>
      </c>
      <c r="Z449" s="4" t="s">
        <v>2251</v>
      </c>
      <c r="AA449" s="49" t="s">
        <v>2545</v>
      </c>
      <c r="AB449" s="4" t="s">
        <v>2372</v>
      </c>
      <c r="AC449" s="49" t="s">
        <v>2619</v>
      </c>
      <c r="AD449" s="4" t="s">
        <v>2221</v>
      </c>
      <c r="AE449" s="7">
        <v>1</v>
      </c>
      <c r="AG449" s="7">
        <v>0</v>
      </c>
      <c r="AK449" s="70">
        <f>Table43[[#This Row],[Column4]]</f>
        <v>0</v>
      </c>
      <c r="AN449" s="7">
        <f>Table43[[#This Row],[ISI/CTN]]</f>
        <v>12</v>
      </c>
      <c r="AO449" s="61">
        <f>Table43[[#This Row],[Harga Jual Pcs GT
(-PPN)]]-(Table43[[#This Row],[Harga Jual Pcs GT
(-PPN)]]*6.5%)</f>
        <v>0</v>
      </c>
      <c r="AP449" s="61">
        <f>Table43[[#This Row],[Harga Beli Pcs
(-PPN)]]*Table43[[#This Row],[ISI/CTN]]</f>
        <v>0</v>
      </c>
      <c r="AQ449" s="61">
        <f>Table43[[#This Row],[Harga Beli Pcs
(-PPN)]]*1.11</f>
        <v>0</v>
      </c>
      <c r="AR449" s="61">
        <f>Table43[[#This Row],[Harga Beli Krt
(- PPN)]]*1.11</f>
        <v>0</v>
      </c>
      <c r="AS449" s="61"/>
      <c r="AT449" s="61">
        <f>Table43[[#This Row],[Harga Jual Pcs GT
(-PPN)]]*Table43[[#This Row],[ISI/CTN]]</f>
        <v>0</v>
      </c>
      <c r="AU449" s="61">
        <f>Table43[[#This Row],[Harga Jual Pcs GT
(-PPN)]]*1.11</f>
        <v>0</v>
      </c>
      <c r="AV449" s="61">
        <f>Table43[[#This Row],[Harga Jual Krt GT
(- PPN)]]*1.11</f>
        <v>0</v>
      </c>
      <c r="AW449" s="61">
        <f>IFERROR(VLOOKUP(Table43[[#This Row],[Kode Pcpl]],'[1]FEB 2026'!$A$3:$X$312,24,0),0)</f>
        <v>0</v>
      </c>
      <c r="AX449" s="61">
        <f>Table43[[#This Row],[Harga Jual Pcs MT
(-PPN)]]*Table43[[#This Row],[ISI/CTN]]</f>
        <v>0</v>
      </c>
      <c r="AY449" s="61">
        <f>Table43[[#This Row],[Harga Jual Pcs MT
(-PPN)]]*1.11</f>
        <v>0</v>
      </c>
      <c r="AZ449" s="61">
        <f>Table43[[#This Row],[Harga Jual Pcs MT
(+PPN)]]*Table43[[#This Row],[ISI/CTN]]</f>
        <v>0</v>
      </c>
      <c r="BA449" s="62" t="e">
        <f>(Table43[[#This Row],[Harga Jual Pcs GT
(-PPN)]]-Table43[[#This Row],[Harga Beli Pcs
(-PPN)]])/Table43[[#This Row],[Harga Jual Pcs GT
(-PPN)]]</f>
        <v>#DIV/0!</v>
      </c>
      <c r="BB449" s="63">
        <f>Table43[[#This Row],[Harga Jual Pcs MT
(-PPN)]]-Table43[[#This Row],[Harga Beli Pcs
(-PPN)]]</f>
        <v>0</v>
      </c>
      <c r="BC449" s="64" t="e">
        <f>Table43[[#This Row],[Column1]]/Table43[[#This Row],[Harga Jual Pcs MT
(-PPN)]]</f>
        <v>#DIV/0!</v>
      </c>
      <c r="BD449" s="52"/>
      <c r="BE449" s="7"/>
      <c r="BF449" s="7" t="str">
        <f ca="1">IF(TODAY()-Table43[[#This Row],[Efektif
Pembuatan]]&gt;60,"Lama","Baru")</f>
        <v>Lama</v>
      </c>
      <c r="BG449" s="7" t="str">
        <f ca="1">IF(TODAY()-Table43[[#This Row],[Efektif Naik Harga]]&lt;30,"Naik","Sama")</f>
        <v>Sama</v>
      </c>
      <c r="BH449" s="7"/>
      <c r="BI449" s="7" t="str">
        <f>IF(Table43[[#This Row],[Kode BARANG Win2]]&lt;&gt;"","IDR","")</f>
        <v>IDR</v>
      </c>
      <c r="BJ449" s="7" t="str">
        <f>CONCATENATE(Table43[[#This Row],[kode  1 Digit
(Nomor)]],Table43[[#This Row],[kode  4 Digit                (Nomor)]])</f>
        <v>0350</v>
      </c>
      <c r="BK449" s="7" t="str">
        <f>Table43[[#This Row],[Nama            Gramasi atau Jumlah Pack per CTN]]</f>
        <v>350ML</v>
      </c>
      <c r="BL449" s="7"/>
      <c r="BM449" s="7"/>
      <c r="BN449" s="4" t="str">
        <f>IF(Table43[[#This Row],[SATUAN Fix Win]]&lt;&gt;"","KRT")</f>
        <v>KRT</v>
      </c>
      <c r="BO449" s="4" t="str">
        <f>IF(Table43[[#This Row],[SATUAN Fix Win]]&lt;&gt;"","GD01")</f>
        <v>GD01</v>
      </c>
      <c r="BP449" s="4">
        <f>IF(Table43[[#This Row],[SATUAN Fix Win]]&lt;&gt;"",11611)</f>
        <v>11611</v>
      </c>
      <c r="BQ449" s="4">
        <f>IF(Table43[[#This Row],[SATUAN Fix Win]]&lt;&gt;"",11612)</f>
        <v>11612</v>
      </c>
      <c r="BS449" s="4">
        <f>IF(Table43[[#This Row],[SATUAN Fix Win]]&lt;&gt;"",1)</f>
        <v>1</v>
      </c>
      <c r="BU449" s="4">
        <f>Table43[[#This Row],[ISI/CTN]]</f>
        <v>12</v>
      </c>
    </row>
    <row r="450" spans="1:75">
      <c r="A450" s="4" t="str">
        <f>CONCATENATE(Table43[[#This Row],[Kode BARANG Win2]],Table43[[#This Row],[No. Urut
Item Sama]])</f>
        <v>G1261009017510</v>
      </c>
      <c r="B450" s="7"/>
      <c r="C450" s="31">
        <v>30500010042001</v>
      </c>
      <c r="D450" s="51">
        <v>40059926</v>
      </c>
      <c r="E450" s="27" t="s">
        <v>2101</v>
      </c>
      <c r="F450" s="59">
        <v>30490160175000</v>
      </c>
      <c r="G450" s="51">
        <v>0</v>
      </c>
      <c r="H450" s="27" t="s">
        <v>1423</v>
      </c>
      <c r="I450" s="27">
        <v>12</v>
      </c>
      <c r="J450" s="51" t="s">
        <v>1782</v>
      </c>
      <c r="K450" s="27" t="str">
        <f>Table43[[#This Row],[NamaJenisKemasan]]</f>
        <v>KLG</v>
      </c>
      <c r="L450" s="4" t="str">
        <f>TRIM(CONCATENATE(Table43[[#This Row],[Nama            KLP]]," ",Table43[[#This Row],[Nama            Sub KLP]]))</f>
        <v>STELLA AEROSOL</v>
      </c>
      <c r="M450" s="4" t="str">
        <f>CONCATENATE(Table43[[#This Row],[kode  2 Digit                (hrf+No)]],Table43[[#This Row],[kode  2 Digit                (Nomor)]],Table43[[#This Row],[kode  1 Digit                (Nomor)]])</f>
        <v>G1261</v>
      </c>
      <c r="N450" s="4" t="str">
        <f>IF(AI450="",CONCATENATE(S450,U450,W450,Y450,AA450,AC450,AE450,AG450,Table43[[#This Row],[Tanda Kode Revisi]]),CONCATENATE(S450,U450,W450,Y450,AA450,AC450,AE450,AI450))</f>
        <v>G1261009017510</v>
      </c>
      <c r="O450" s="11">
        <f t="shared" si="10"/>
        <v>14</v>
      </c>
      <c r="P450" s="14" t="str">
        <f>IF(AH450&lt;&gt;"",TRIM(UPPER(CONCATENATE(R450," ",T450," ",V450," ",X450," ",Z450," ",AB450," ","X"," ",Table43[[#This Row],[ISI/CTN]]," ",AH450," ",AD450," ",AF450," ",AJ450))),TRIM(UPPER(CONCATENATE(R450," ",T450," ",V450," ",X450," ",Z450," ",AB450," ","X"," ",Table43[[#This Row],[ISI/CTN]]," ",AD450," ",AF450," ",AJ450))))</f>
        <v>STELLA AEROSOL RAJA AMPAT LAGOON 175ML X 12 KLG</v>
      </c>
      <c r="Q450" s="11">
        <f t="shared" si="11"/>
        <v>47</v>
      </c>
      <c r="S450" s="7" t="s">
        <v>34</v>
      </c>
      <c r="T450" s="4" t="s">
        <v>2421</v>
      </c>
      <c r="U450" s="47" t="s">
        <v>2584</v>
      </c>
      <c r="V450" s="48" t="s">
        <v>2243</v>
      </c>
      <c r="W450" s="7">
        <v>1</v>
      </c>
      <c r="X450" s="48"/>
      <c r="Y450" s="47" t="s">
        <v>1116</v>
      </c>
      <c r="Z450" s="4" t="s">
        <v>2425</v>
      </c>
      <c r="AA450" s="49" t="s">
        <v>2546</v>
      </c>
      <c r="AB450" s="4" t="s">
        <v>2214</v>
      </c>
      <c r="AC450" s="49" t="s">
        <v>2600</v>
      </c>
      <c r="AD450" s="4" t="s">
        <v>2221</v>
      </c>
      <c r="AE450" s="7">
        <v>1</v>
      </c>
      <c r="AG450" s="7">
        <v>0</v>
      </c>
      <c r="AK450" s="70">
        <f>Table43[[#This Row],[Column4]]</f>
        <v>30490160175000</v>
      </c>
      <c r="AN450" s="7">
        <f>Table43[[#This Row],[ISI/CTN]]</f>
        <v>12</v>
      </c>
      <c r="AO450" s="38">
        <f>Table43[[#This Row],[Harga Jual Pcs GT
(-PPN)]]-(Table43[[#This Row],[Harga Jual Pcs GT
(-PPN)]]*6.5%)</f>
        <v>14025</v>
      </c>
      <c r="AP450" s="38">
        <f>Table43[[#This Row],[Harga Beli Pcs
(-PPN)]]*Table43[[#This Row],[ISI/CTN]]</f>
        <v>168300</v>
      </c>
      <c r="AQ450" s="38">
        <f>Table43[[#This Row],[Harga Beli Pcs
(-PPN)]]*1.11</f>
        <v>15567.750000000002</v>
      </c>
      <c r="AR450" s="38">
        <f>Table43[[#This Row],[Harga Beli Krt
(- PPN)]]*1.11</f>
        <v>186813.00000000003</v>
      </c>
      <c r="AS450" s="38">
        <v>15000</v>
      </c>
      <c r="AT450" s="38">
        <f>Table43[[#This Row],[Harga Jual Pcs GT
(-PPN)]]*Table43[[#This Row],[ISI/CTN]]</f>
        <v>180000</v>
      </c>
      <c r="AU450" s="38">
        <f>Table43[[#This Row],[Harga Jual Pcs GT
(-PPN)]]*1.11</f>
        <v>16650</v>
      </c>
      <c r="AV450" s="38">
        <f>Table43[[#This Row],[Harga Jual Krt GT
(- PPN)]]*1.11</f>
        <v>199800.00000000003</v>
      </c>
      <c r="AW450" s="38">
        <f>IFERROR(VLOOKUP(Table43[[#This Row],[Kode Pcpl]],'[1]FEB 2026'!$A$3:$X$312,24,0),0)</f>
        <v>0</v>
      </c>
      <c r="AX450" s="38">
        <f>Table43[[#This Row],[Harga Jual Pcs MT
(-PPN)]]*Table43[[#This Row],[ISI/CTN]]</f>
        <v>0</v>
      </c>
      <c r="AY450" s="38">
        <f>Table43[[#This Row],[Harga Jual Pcs MT
(-PPN)]]*1.11</f>
        <v>0</v>
      </c>
      <c r="AZ450" s="38">
        <f>Table43[[#This Row],[Harga Jual Pcs MT
(+PPN)]]*Table43[[#This Row],[ISI/CTN]]</f>
        <v>0</v>
      </c>
      <c r="BA450" s="46">
        <f>(Table43[[#This Row],[Harga Jual Pcs GT
(-PPN)]]-Table43[[#This Row],[Harga Beli Pcs
(-PPN)]])/Table43[[#This Row],[Harga Jual Pcs GT
(-PPN)]]</f>
        <v>6.5000000000000002E-2</v>
      </c>
      <c r="BB450" s="53">
        <f>Table43[[#This Row],[Harga Jual Pcs MT
(-PPN)]]-Table43[[#This Row],[Harga Beli Pcs
(-PPN)]]</f>
        <v>-14025</v>
      </c>
      <c r="BC450" s="54" t="e">
        <f>Table43[[#This Row],[Column1]]/Table43[[#This Row],[Harga Jual Pcs MT
(-PPN)]]</f>
        <v>#DIV/0!</v>
      </c>
      <c r="BD450" s="52"/>
      <c r="BE450" s="7"/>
      <c r="BF450" s="7" t="str">
        <f ca="1">IF(TODAY()-Table43[[#This Row],[Efektif
Pembuatan]]&gt;60,"Lama","Baru")</f>
        <v>Lama</v>
      </c>
      <c r="BG450" s="7" t="str">
        <f ca="1">IF(TODAY()-Table43[[#This Row],[Efektif Naik Harga]]&lt;30,"Naik","Sama")</f>
        <v>Sama</v>
      </c>
      <c r="BH450" s="7"/>
      <c r="BI450" s="7" t="str">
        <f>IF(Table43[[#This Row],[Kode BARANG Win2]]&lt;&gt;"","IDR","")</f>
        <v>IDR</v>
      </c>
      <c r="BJ450" s="7" t="str">
        <f>CONCATENATE(Table43[[#This Row],[kode  1 Digit
(Nomor)]],Table43[[#This Row],[kode  4 Digit                (Nomor)]])</f>
        <v>0175</v>
      </c>
      <c r="BK450" s="7" t="str">
        <f>Table43[[#This Row],[Nama            Gramasi atau Jumlah Pack per CTN]]</f>
        <v>175ML</v>
      </c>
      <c r="BL450" s="7"/>
      <c r="BM450" s="7"/>
      <c r="BN450" s="4" t="str">
        <f>IF(Table43[[#This Row],[SATUAN Fix Win]]&lt;&gt;"","KRT")</f>
        <v>KRT</v>
      </c>
      <c r="BO450" s="4" t="str">
        <f>IF(Table43[[#This Row],[SATUAN Fix Win]]&lt;&gt;"","GD01")</f>
        <v>GD01</v>
      </c>
      <c r="BP450" s="4">
        <f>IF(Table43[[#This Row],[SATUAN Fix Win]]&lt;&gt;"",11611)</f>
        <v>11611</v>
      </c>
      <c r="BQ450" s="4">
        <f>IF(Table43[[#This Row],[SATUAN Fix Win]]&lt;&gt;"",11612)</f>
        <v>11612</v>
      </c>
      <c r="BS450" s="4">
        <f>IF(Table43[[#This Row],[SATUAN Fix Win]]&lt;&gt;"",1)</f>
        <v>1</v>
      </c>
      <c r="BU450" s="4">
        <f>Table43[[#This Row],[ISI/CTN]]</f>
        <v>12</v>
      </c>
    </row>
    <row r="451" spans="1:75">
      <c r="A451" s="4" t="str">
        <f>CONCATENATE(Table43[[#This Row],[Kode BARANG Win2]],Table43[[#This Row],[No. Urut
Item Sama]])</f>
        <v>G1261009017510</v>
      </c>
      <c r="B451" s="7"/>
      <c r="C451" s="31"/>
      <c r="D451" s="51">
        <v>40059825</v>
      </c>
      <c r="E451" s="27" t="s">
        <v>3537</v>
      </c>
      <c r="F451" s="51"/>
      <c r="G451" s="51"/>
      <c r="H451" s="27"/>
      <c r="I451" s="27">
        <v>12</v>
      </c>
      <c r="J451" s="51"/>
      <c r="K451" s="27" t="str">
        <f>Table43[[#This Row],[NamaJenisKemasan]]</f>
        <v>KLG</v>
      </c>
      <c r="L451" s="4" t="str">
        <f>TRIM(CONCATENATE(Table43[[#This Row],[Nama            KLP]]," ",Table43[[#This Row],[Nama            Sub KLP]]))</f>
        <v>STELLA AEROSOL</v>
      </c>
      <c r="M451" s="4" t="str">
        <f>CONCATENATE(Table43[[#This Row],[kode  2 Digit                (hrf+No)]],Table43[[#This Row],[kode  2 Digit                (Nomor)]],Table43[[#This Row],[kode  1 Digit                (Nomor)]])</f>
        <v>G1261</v>
      </c>
      <c r="N451" s="4" t="str">
        <f>IF(AI451="",CONCATENATE(S451,U451,W451,Y451,AA451,AC451,AE451,AG451,Table43[[#This Row],[Tanda Kode Revisi]]),CONCATENATE(S451,U451,W451,Y451,AA451,AC451,AE451,AI451))</f>
        <v>G1261009017510</v>
      </c>
      <c r="O451" s="11">
        <f>LEN(N451)</f>
        <v>14</v>
      </c>
      <c r="P451" s="14" t="str">
        <f>IF(AH451&lt;&gt;"",TRIM(UPPER(CONCATENATE(R451," ",T451," ",V451," ",X451," ",Z451," ",AB451," ","X"," ",Table43[[#This Row],[ISI/CTN]]," ",AH451," ",AD451," ",AF451," ",AJ451))),TRIM(UPPER(CONCATENATE(R451," ",T451," ",V451," ",X451," ",Z451," ",AB451," ","X"," ",Table43[[#This Row],[ISI/CTN]]," ",AD451," ",AF451," ",AJ451))))</f>
        <v>STELLA AEROSOL RAJA AMPAT LAGOON 175ML X 12 KLG</v>
      </c>
      <c r="Q451" s="11">
        <f>LEN(P451)</f>
        <v>47</v>
      </c>
      <c r="S451" s="7" t="s">
        <v>34</v>
      </c>
      <c r="T451" s="4" t="s">
        <v>2421</v>
      </c>
      <c r="U451" s="47" t="s">
        <v>2584</v>
      </c>
      <c r="V451" s="48" t="s">
        <v>2243</v>
      </c>
      <c r="W451" s="7">
        <v>1</v>
      </c>
      <c r="X451" s="48"/>
      <c r="Y451" s="47" t="s">
        <v>1116</v>
      </c>
      <c r="Z451" s="4" t="s">
        <v>2425</v>
      </c>
      <c r="AA451" s="49" t="s">
        <v>2546</v>
      </c>
      <c r="AB451" s="4" t="s">
        <v>2214</v>
      </c>
      <c r="AC451" s="49" t="s">
        <v>2600</v>
      </c>
      <c r="AD451" s="4" t="s">
        <v>2221</v>
      </c>
      <c r="AE451" s="7">
        <v>1</v>
      </c>
      <c r="AG451" s="7">
        <v>0</v>
      </c>
      <c r="AK451" s="70">
        <f>Table43[[#This Row],[Column4]]</f>
        <v>0</v>
      </c>
      <c r="AN451" s="7">
        <f>Table43[[#This Row],[ISI/CTN]]</f>
        <v>12</v>
      </c>
      <c r="AO451" s="38">
        <f>Table43[[#This Row],[Harga Jual Pcs GT
(-PPN)]]-(Table43[[#This Row],[Harga Jual Pcs GT
(-PPN)]]*6.5%)</f>
        <v>0</v>
      </c>
      <c r="AP451" s="38">
        <f>Table43[[#This Row],[Harga Beli Pcs
(-PPN)]]*Table43[[#This Row],[ISI/CTN]]</f>
        <v>0</v>
      </c>
      <c r="AQ451" s="38">
        <f>Table43[[#This Row],[Harga Beli Pcs
(-PPN)]]*1.11</f>
        <v>0</v>
      </c>
      <c r="AR451" s="38">
        <f>Table43[[#This Row],[Harga Beli Krt
(- PPN)]]*1.11</f>
        <v>0</v>
      </c>
      <c r="AS451" s="38"/>
      <c r="AT451" s="38">
        <f>Table43[[#This Row],[Harga Jual Pcs GT
(-PPN)]]*Table43[[#This Row],[ISI/CTN]]</f>
        <v>0</v>
      </c>
      <c r="AU451" s="38">
        <f>Table43[[#This Row],[Harga Jual Pcs GT
(-PPN)]]*1.11</f>
        <v>0</v>
      </c>
      <c r="AV451" s="38">
        <f>Table43[[#This Row],[Harga Jual Krt GT
(- PPN)]]*1.11</f>
        <v>0</v>
      </c>
      <c r="AW451" s="38">
        <f>IFERROR(VLOOKUP(Table43[[#This Row],[Kode Pcpl]],'[1]FEB 2026'!$A$3:$X$312,24,0),0)</f>
        <v>0</v>
      </c>
      <c r="AX451" s="38">
        <f>Table43[[#This Row],[Harga Jual Pcs MT
(-PPN)]]*Table43[[#This Row],[ISI/CTN]]</f>
        <v>0</v>
      </c>
      <c r="AY451" s="38">
        <f>Table43[[#This Row],[Harga Jual Pcs MT
(-PPN)]]*1.11</f>
        <v>0</v>
      </c>
      <c r="AZ451" s="38">
        <f>Table43[[#This Row],[Harga Jual Pcs MT
(+PPN)]]*Table43[[#This Row],[ISI/CTN]]</f>
        <v>0</v>
      </c>
      <c r="BA451" s="46" t="e">
        <f>(Table43[[#This Row],[Harga Jual Pcs GT
(-PPN)]]-Table43[[#This Row],[Harga Beli Pcs
(-PPN)]])/Table43[[#This Row],[Harga Jual Pcs GT
(-PPN)]]</f>
        <v>#DIV/0!</v>
      </c>
      <c r="BB451" s="53">
        <f>Table43[[#This Row],[Harga Jual Pcs MT
(-PPN)]]-Table43[[#This Row],[Harga Beli Pcs
(-PPN)]]</f>
        <v>0</v>
      </c>
      <c r="BC451" s="54" t="e">
        <f>Table43[[#This Row],[Column1]]/Table43[[#This Row],[Harga Jual Pcs MT
(-PPN)]]</f>
        <v>#DIV/0!</v>
      </c>
      <c r="BD451" s="52"/>
      <c r="BE451" s="7"/>
      <c r="BF451" s="7" t="str">
        <f ca="1">IF(TODAY()-Table43[[#This Row],[Efektif
Pembuatan]]&gt;60,"Lama","Baru")</f>
        <v>Lama</v>
      </c>
      <c r="BG451" s="7" t="str">
        <f ca="1">IF(TODAY()-Table43[[#This Row],[Efektif Naik Harga]]&lt;30,"Naik","Sama")</f>
        <v>Sama</v>
      </c>
      <c r="BH451" s="7"/>
      <c r="BI451" s="7" t="str">
        <f>IF(Table43[[#This Row],[Kode BARANG Win2]]&lt;&gt;"","IDR","")</f>
        <v>IDR</v>
      </c>
      <c r="BJ451" s="7" t="str">
        <f>CONCATENATE(Table43[[#This Row],[kode  1 Digit
(Nomor)]],Table43[[#This Row],[kode  4 Digit                (Nomor)]])</f>
        <v>0175</v>
      </c>
      <c r="BK451" s="7" t="str">
        <f>Table43[[#This Row],[Nama            Gramasi atau Jumlah Pack per CTN]]</f>
        <v>175ML</v>
      </c>
      <c r="BL451" s="7"/>
      <c r="BM451" s="7"/>
      <c r="BN451" s="4" t="str">
        <f>IF(Table43[[#This Row],[SATUAN Fix Win]]&lt;&gt;"","KRT")</f>
        <v>KRT</v>
      </c>
      <c r="BO451" s="4" t="str">
        <f>IF(Table43[[#This Row],[SATUAN Fix Win]]&lt;&gt;"","GD01")</f>
        <v>GD01</v>
      </c>
      <c r="BP451" s="4">
        <f>IF(Table43[[#This Row],[SATUAN Fix Win]]&lt;&gt;"",11611)</f>
        <v>11611</v>
      </c>
      <c r="BQ451" s="4">
        <f>IF(Table43[[#This Row],[SATUAN Fix Win]]&lt;&gt;"",11612)</f>
        <v>11612</v>
      </c>
      <c r="BS451" s="4">
        <f>IF(Table43[[#This Row],[SATUAN Fix Win]]&lt;&gt;"",1)</f>
        <v>1</v>
      </c>
      <c r="BU451" s="4">
        <f>Table43[[#This Row],[ISI/CTN]]</f>
        <v>12</v>
      </c>
    </row>
    <row r="452" spans="1:75">
      <c r="A452" s="4" t="str">
        <f>CONCATENATE(Table43[[#This Row],[Kode BARANG Win2]],Table43[[#This Row],[No. Urut
Item Sama]])</f>
        <v>G1261009035010</v>
      </c>
      <c r="B452" s="7"/>
      <c r="C452" s="31">
        <v>30500010042002</v>
      </c>
      <c r="D452" s="59">
        <v>40059938</v>
      </c>
      <c r="E452" s="60" t="s">
        <v>2102</v>
      </c>
      <c r="F452" s="59">
        <v>30490170350000</v>
      </c>
      <c r="G452" s="59">
        <v>0</v>
      </c>
      <c r="H452" s="60" t="s">
        <v>1424</v>
      </c>
      <c r="I452" s="60">
        <v>12</v>
      </c>
      <c r="J452" s="59" t="s">
        <v>1783</v>
      </c>
      <c r="K452" s="60" t="str">
        <f>Table43[[#This Row],[NamaJenisKemasan]]</f>
        <v>KLG</v>
      </c>
      <c r="L452" s="4" t="str">
        <f>TRIM(CONCATENATE(Table43[[#This Row],[Nama            KLP]]," ",Table43[[#This Row],[Nama            Sub KLP]]))</f>
        <v>STELLA AEROSOL</v>
      </c>
      <c r="M452" s="4" t="str">
        <f>CONCATENATE(Table43[[#This Row],[kode  2 Digit                (hrf+No)]],Table43[[#This Row],[kode  2 Digit                (Nomor)]],Table43[[#This Row],[kode  1 Digit                (Nomor)]])</f>
        <v>G1261</v>
      </c>
      <c r="N452" s="4" t="str">
        <f>IF(AI452="",CONCATENATE(S452,U452,W452,Y452,AA452,AC452,AE452,AG452,Table43[[#This Row],[Tanda Kode Revisi]]),CONCATENATE(S452,U452,W452,Y452,AA452,AC452,AE452,AI452))</f>
        <v>G1261009035010</v>
      </c>
      <c r="O452" s="11">
        <f t="shared" ref="O452:O529" si="12">LEN(N452)</f>
        <v>14</v>
      </c>
      <c r="P452" s="14" t="str">
        <f>IF(AH452&lt;&gt;"",TRIM(UPPER(CONCATENATE(R452," ",T452," ",V452," ",X452," ",Z452," ",AB452," ","X"," ",Table43[[#This Row],[ISI/CTN]]," ",AH452," ",AD452," ",AF452," ",AJ452))),TRIM(UPPER(CONCATENATE(R452," ",T452," ",V452," ",X452," ",Z452," ",AB452," ","X"," ",Table43[[#This Row],[ISI/CTN]]," ",AD452," ",AF452," ",AJ452))))</f>
        <v>STELLA AEROSOL RAJA AMPAT LAGOON 350ML X 12 KLG</v>
      </c>
      <c r="Q452" s="11">
        <f t="shared" ref="Q452:Q529" si="13">LEN(P452)</f>
        <v>47</v>
      </c>
      <c r="S452" s="7" t="s">
        <v>34</v>
      </c>
      <c r="T452" s="4" t="s">
        <v>2421</v>
      </c>
      <c r="U452" s="47" t="s">
        <v>2584</v>
      </c>
      <c r="V452" s="48" t="s">
        <v>2243</v>
      </c>
      <c r="W452" s="7">
        <v>1</v>
      </c>
      <c r="X452" s="48"/>
      <c r="Y452" s="47" t="s">
        <v>1116</v>
      </c>
      <c r="Z452" s="4" t="s">
        <v>2425</v>
      </c>
      <c r="AA452" s="49" t="s">
        <v>2546</v>
      </c>
      <c r="AB452" s="4" t="s">
        <v>2372</v>
      </c>
      <c r="AC452" s="49" t="s">
        <v>2619</v>
      </c>
      <c r="AD452" s="4" t="s">
        <v>2221</v>
      </c>
      <c r="AE452" s="7">
        <v>1</v>
      </c>
      <c r="AG452" s="7">
        <v>0</v>
      </c>
      <c r="AK452" s="70">
        <f>Table43[[#This Row],[Column4]]</f>
        <v>30490170350000</v>
      </c>
      <c r="AN452" s="7">
        <f>Table43[[#This Row],[ISI/CTN]]</f>
        <v>12</v>
      </c>
      <c r="AO452" s="38">
        <f>Table43[[#This Row],[Harga Jual Pcs GT
(-PPN)]]-(Table43[[#This Row],[Harga Jual Pcs GT
(-PPN)]]*6.5%)</f>
        <v>20383</v>
      </c>
      <c r="AP452" s="38">
        <f>Table43[[#This Row],[Harga Beli Pcs
(-PPN)]]*Table43[[#This Row],[ISI/CTN]]</f>
        <v>244596</v>
      </c>
      <c r="AQ452" s="38">
        <f>Table43[[#This Row],[Harga Beli Pcs
(-PPN)]]*1.11</f>
        <v>22625.13</v>
      </c>
      <c r="AR452" s="38">
        <f>Table43[[#This Row],[Harga Beli Krt
(- PPN)]]*1.11</f>
        <v>271501.56</v>
      </c>
      <c r="AS452" s="38">
        <v>21800</v>
      </c>
      <c r="AT452" s="38">
        <f>Table43[[#This Row],[Harga Jual Pcs GT
(-PPN)]]*Table43[[#This Row],[ISI/CTN]]</f>
        <v>261600</v>
      </c>
      <c r="AU452" s="38">
        <f>Table43[[#This Row],[Harga Jual Pcs GT
(-PPN)]]*1.11</f>
        <v>24198.000000000004</v>
      </c>
      <c r="AV452" s="38">
        <f>Table43[[#This Row],[Harga Jual Krt GT
(- PPN)]]*1.11</f>
        <v>290376</v>
      </c>
      <c r="AW452" s="38">
        <f>IFERROR(VLOOKUP(Table43[[#This Row],[Kode Pcpl]],'[1]FEB 2026'!$A$3:$X$312,24,0),0)</f>
        <v>0</v>
      </c>
      <c r="AX452" s="38">
        <f>Table43[[#This Row],[Harga Jual Pcs MT
(-PPN)]]*Table43[[#This Row],[ISI/CTN]]</f>
        <v>0</v>
      </c>
      <c r="AY452" s="38">
        <f>Table43[[#This Row],[Harga Jual Pcs MT
(-PPN)]]*1.11</f>
        <v>0</v>
      </c>
      <c r="AZ452" s="38">
        <f>Table43[[#This Row],[Harga Jual Pcs MT
(+PPN)]]*Table43[[#This Row],[ISI/CTN]]</f>
        <v>0</v>
      </c>
      <c r="BA452" s="46">
        <f>(Table43[[#This Row],[Harga Jual Pcs GT
(-PPN)]]-Table43[[#This Row],[Harga Beli Pcs
(-PPN)]])/Table43[[#This Row],[Harga Jual Pcs GT
(-PPN)]]</f>
        <v>6.5000000000000002E-2</v>
      </c>
      <c r="BB452" s="53">
        <f>Table43[[#This Row],[Harga Jual Pcs MT
(-PPN)]]-Table43[[#This Row],[Harga Beli Pcs
(-PPN)]]</f>
        <v>-20383</v>
      </c>
      <c r="BC452" s="54" t="e">
        <f>Table43[[#This Row],[Column1]]/Table43[[#This Row],[Harga Jual Pcs MT
(-PPN)]]</f>
        <v>#DIV/0!</v>
      </c>
      <c r="BD452" s="52"/>
      <c r="BE452" s="7"/>
      <c r="BF452" s="7" t="str">
        <f ca="1">IF(TODAY()-Table43[[#This Row],[Efektif
Pembuatan]]&gt;60,"Lama","Baru")</f>
        <v>Lama</v>
      </c>
      <c r="BG452" s="7" t="str">
        <f ca="1">IF(TODAY()-Table43[[#This Row],[Efektif Naik Harga]]&lt;30,"Naik","Sama")</f>
        <v>Sama</v>
      </c>
      <c r="BH452" s="7"/>
      <c r="BI452" s="7" t="str">
        <f>IF(Table43[[#This Row],[Kode BARANG Win2]]&lt;&gt;"","IDR","")</f>
        <v>IDR</v>
      </c>
      <c r="BJ452" s="7" t="str">
        <f>CONCATENATE(Table43[[#This Row],[kode  1 Digit
(Nomor)]],Table43[[#This Row],[kode  4 Digit                (Nomor)]])</f>
        <v>0350</v>
      </c>
      <c r="BK452" s="7" t="str">
        <f>Table43[[#This Row],[Nama            Gramasi atau Jumlah Pack per CTN]]</f>
        <v>350ML</v>
      </c>
      <c r="BL452" s="7"/>
      <c r="BM452" s="7"/>
      <c r="BN452" s="4" t="str">
        <f>IF(Table43[[#This Row],[SATUAN Fix Win]]&lt;&gt;"","KRT")</f>
        <v>KRT</v>
      </c>
      <c r="BO452" s="4" t="str">
        <f>IF(Table43[[#This Row],[SATUAN Fix Win]]&lt;&gt;"","GD01")</f>
        <v>GD01</v>
      </c>
      <c r="BP452" s="4">
        <f>IF(Table43[[#This Row],[SATUAN Fix Win]]&lt;&gt;"",11611)</f>
        <v>11611</v>
      </c>
      <c r="BQ452" s="4">
        <f>IF(Table43[[#This Row],[SATUAN Fix Win]]&lt;&gt;"",11612)</f>
        <v>11612</v>
      </c>
      <c r="BS452" s="4">
        <f>IF(Table43[[#This Row],[SATUAN Fix Win]]&lt;&gt;"",1)</f>
        <v>1</v>
      </c>
      <c r="BU452" s="4">
        <f>Table43[[#This Row],[ISI/CTN]]</f>
        <v>12</v>
      </c>
    </row>
    <row r="453" spans="1:75">
      <c r="A453" s="4" t="str">
        <f>CONCATENATE(Table43[[#This Row],[Kode BARANG Win2]],Table43[[#This Row],[No. Urut
Item Sama]])</f>
        <v>G1261010035010</v>
      </c>
      <c r="B453" s="7"/>
      <c r="C453" s="31">
        <v>30490180160000</v>
      </c>
      <c r="D453" s="51">
        <v>40059932</v>
      </c>
      <c r="E453" s="27" t="s">
        <v>2095</v>
      </c>
      <c r="F453" s="51">
        <v>30490100350010</v>
      </c>
      <c r="G453" s="51">
        <v>0</v>
      </c>
      <c r="H453" s="27" t="s">
        <v>1413</v>
      </c>
      <c r="I453" s="27">
        <v>12</v>
      </c>
      <c r="J453" s="51" t="s">
        <v>1777</v>
      </c>
      <c r="K453" s="27" t="str">
        <f>Table43[[#This Row],[NamaJenisKemasan]]</f>
        <v>KLG</v>
      </c>
      <c r="L453" s="4" t="str">
        <f>TRIM(CONCATENATE(Table43[[#This Row],[Nama            KLP]]," ",Table43[[#This Row],[Nama            Sub KLP]]))</f>
        <v>STELLA AEROSOL</v>
      </c>
      <c r="M453" s="4" t="str">
        <f>CONCATENATE(Table43[[#This Row],[kode  2 Digit                (hrf+No)]],Table43[[#This Row],[kode  2 Digit                (Nomor)]],Table43[[#This Row],[kode  1 Digit                (Nomor)]])</f>
        <v>G1261</v>
      </c>
      <c r="N453" s="4" t="str">
        <f>IF(AI453="",CONCATENATE(S453,U453,W453,Y453,AA453,AC453,AE453,AG453,Table43[[#This Row],[Tanda Kode Revisi]]),CONCATENATE(S453,U453,W453,Y453,AA453,AC453,AE453,AI453))</f>
        <v>G1261010035010</v>
      </c>
      <c r="O453" s="11">
        <f t="shared" si="12"/>
        <v>14</v>
      </c>
      <c r="P453" s="14" t="str">
        <f>IF(AH453&lt;&gt;"",TRIM(UPPER(CONCATENATE(R453," ",T453," ",V453," ",X453," ",Z453," ",AB453," ","X"," ",Table43[[#This Row],[ISI/CTN]]," ",AH453," ",AD453," ",AF453," ",AJ453))),TRIM(UPPER(CONCATENATE(R453," ",T453," ",V453," ",X453," ",Z453," ",AB453," ","X"," ",Table43[[#This Row],[ISI/CTN]]," ",AD453," ",AF453," ",AJ453))))</f>
        <v>STELLA AEROSOL REFRESHING KENANGA 350ML X 12 KLG</v>
      </c>
      <c r="Q453" s="11">
        <f t="shared" si="13"/>
        <v>48</v>
      </c>
      <c r="S453" s="7" t="s">
        <v>34</v>
      </c>
      <c r="T453" s="4" t="s">
        <v>2421</v>
      </c>
      <c r="U453" s="47" t="s">
        <v>2584</v>
      </c>
      <c r="V453" s="48" t="s">
        <v>2243</v>
      </c>
      <c r="W453" s="7">
        <v>1</v>
      </c>
      <c r="X453" s="48"/>
      <c r="Y453" s="47" t="s">
        <v>1116</v>
      </c>
      <c r="Z453" s="4" t="s">
        <v>2450</v>
      </c>
      <c r="AA453" s="49" t="s">
        <v>2556</v>
      </c>
      <c r="AB453" s="4" t="s">
        <v>2372</v>
      </c>
      <c r="AC453" s="49" t="s">
        <v>2619</v>
      </c>
      <c r="AD453" s="4" t="s">
        <v>2221</v>
      </c>
      <c r="AE453" s="7">
        <v>1</v>
      </c>
      <c r="AG453" s="7">
        <v>0</v>
      </c>
      <c r="AK453" s="70">
        <f>Table43[[#This Row],[Column4]]</f>
        <v>30490100350010</v>
      </c>
      <c r="AN453" s="7">
        <f>Table43[[#This Row],[ISI/CTN]]</f>
        <v>12</v>
      </c>
      <c r="AO453" s="61">
        <f>Table43[[#This Row],[Harga Jual Pcs GT
(-PPN)]]-(Table43[[#This Row],[Harga Jual Pcs GT
(-PPN)]]*6.5%)</f>
        <v>20383</v>
      </c>
      <c r="AP453" s="61">
        <f>Table43[[#This Row],[Harga Beli Pcs
(-PPN)]]*Table43[[#This Row],[ISI/CTN]]</f>
        <v>244596</v>
      </c>
      <c r="AQ453" s="61">
        <f>Table43[[#This Row],[Harga Beli Pcs
(-PPN)]]*1.11</f>
        <v>22625.13</v>
      </c>
      <c r="AR453" s="61">
        <f>Table43[[#This Row],[Harga Beli Krt
(- PPN)]]*1.11</f>
        <v>271501.56</v>
      </c>
      <c r="AS453" s="61">
        <v>21800</v>
      </c>
      <c r="AT453" s="61">
        <f>Table43[[#This Row],[Harga Jual Pcs GT
(-PPN)]]*Table43[[#This Row],[ISI/CTN]]</f>
        <v>261600</v>
      </c>
      <c r="AU453" s="61">
        <f>Table43[[#This Row],[Harga Jual Pcs GT
(-PPN)]]*1.11</f>
        <v>24198.000000000004</v>
      </c>
      <c r="AV453" s="61">
        <f>Table43[[#This Row],[Harga Jual Krt GT
(- PPN)]]*1.11</f>
        <v>290376</v>
      </c>
      <c r="AW453" s="61">
        <f>IFERROR(VLOOKUP(Table43[[#This Row],[Kode Pcpl]],'[1]FEB 2026'!$A$3:$X$312,24,0),0)</f>
        <v>0</v>
      </c>
      <c r="AX453" s="61">
        <f>Table43[[#This Row],[Harga Jual Pcs MT
(-PPN)]]*Table43[[#This Row],[ISI/CTN]]</f>
        <v>0</v>
      </c>
      <c r="AY453" s="61">
        <f>Table43[[#This Row],[Harga Jual Pcs MT
(-PPN)]]*1.11</f>
        <v>0</v>
      </c>
      <c r="AZ453" s="61">
        <f>Table43[[#This Row],[Harga Jual Pcs MT
(+PPN)]]*Table43[[#This Row],[ISI/CTN]]</f>
        <v>0</v>
      </c>
      <c r="BA453" s="62">
        <f>(Table43[[#This Row],[Harga Jual Pcs GT
(-PPN)]]-Table43[[#This Row],[Harga Beli Pcs
(-PPN)]])/Table43[[#This Row],[Harga Jual Pcs GT
(-PPN)]]</f>
        <v>6.5000000000000002E-2</v>
      </c>
      <c r="BB453" s="63">
        <f>Table43[[#This Row],[Harga Jual Pcs MT
(-PPN)]]-Table43[[#This Row],[Harga Beli Pcs
(-PPN)]]</f>
        <v>-20383</v>
      </c>
      <c r="BC453" s="64" t="e">
        <f>Table43[[#This Row],[Column1]]/Table43[[#This Row],[Harga Jual Pcs MT
(-PPN)]]</f>
        <v>#DIV/0!</v>
      </c>
      <c r="BD453" s="52"/>
      <c r="BE453" s="7"/>
      <c r="BF453" s="7" t="str">
        <f ca="1">IF(TODAY()-Table43[[#This Row],[Efektif
Pembuatan]]&gt;60,"Lama","Baru")</f>
        <v>Lama</v>
      </c>
      <c r="BG453" s="7" t="str">
        <f ca="1">IF(TODAY()-Table43[[#This Row],[Efektif Naik Harga]]&lt;30,"Naik","Sama")</f>
        <v>Sama</v>
      </c>
      <c r="BH453" s="7"/>
      <c r="BI453" s="7" t="str">
        <f>IF(Table43[[#This Row],[Kode BARANG Win2]]&lt;&gt;"","IDR","")</f>
        <v>IDR</v>
      </c>
      <c r="BJ453" s="7" t="str">
        <f>CONCATENATE(Table43[[#This Row],[kode  1 Digit
(Nomor)]],Table43[[#This Row],[kode  4 Digit                (Nomor)]])</f>
        <v>0350</v>
      </c>
      <c r="BK453" s="7" t="str">
        <f>Table43[[#This Row],[Nama            Gramasi atau Jumlah Pack per CTN]]</f>
        <v>350ML</v>
      </c>
      <c r="BL453" s="7"/>
      <c r="BM453" s="7"/>
      <c r="BN453" s="4" t="str">
        <f>IF(Table43[[#This Row],[SATUAN Fix Win]]&lt;&gt;"","KRT")</f>
        <v>KRT</v>
      </c>
      <c r="BO453" s="4" t="str">
        <f>IF(Table43[[#This Row],[SATUAN Fix Win]]&lt;&gt;"","GD01")</f>
        <v>GD01</v>
      </c>
      <c r="BP453" s="4">
        <f>IF(Table43[[#This Row],[SATUAN Fix Win]]&lt;&gt;"",11611)</f>
        <v>11611</v>
      </c>
      <c r="BQ453" s="4">
        <f>IF(Table43[[#This Row],[SATUAN Fix Win]]&lt;&gt;"",11612)</f>
        <v>11612</v>
      </c>
      <c r="BS453" s="4">
        <f>IF(Table43[[#This Row],[SATUAN Fix Win]]&lt;&gt;"",1)</f>
        <v>1</v>
      </c>
      <c r="BU453" s="4">
        <f>Table43[[#This Row],[ISI/CTN]]</f>
        <v>12</v>
      </c>
    </row>
    <row r="454" spans="1:75">
      <c r="A454" s="4" t="str">
        <f>CONCATENATE(Table43[[#This Row],[Kode BARANG Win2]],Table43[[#This Row],[No. Urut
Item Sama]])</f>
        <v>G1261010035010</v>
      </c>
      <c r="B454" s="7"/>
      <c r="C454" s="31">
        <v>30500010042000</v>
      </c>
      <c r="D454" s="51">
        <v>40057470</v>
      </c>
      <c r="E454" s="27" t="s">
        <v>2095</v>
      </c>
      <c r="F454" s="51">
        <v>30490100350010</v>
      </c>
      <c r="G454" s="51">
        <v>0</v>
      </c>
      <c r="H454" s="27" t="s">
        <v>1412</v>
      </c>
      <c r="I454" s="27">
        <v>12</v>
      </c>
      <c r="J454" s="51" t="s">
        <v>1777</v>
      </c>
      <c r="K454" s="27" t="str">
        <f>Table43[[#This Row],[NamaJenisKemasan]]</f>
        <v>KLG</v>
      </c>
      <c r="L454" s="4" t="str">
        <f>TRIM(CONCATENATE(Table43[[#This Row],[Nama            KLP]]," ",Table43[[#This Row],[Nama            Sub KLP]]))</f>
        <v>STELLA AEROSOL</v>
      </c>
      <c r="M454" s="4" t="str">
        <f>CONCATENATE(Table43[[#This Row],[kode  2 Digit                (hrf+No)]],Table43[[#This Row],[kode  2 Digit                (Nomor)]],Table43[[#This Row],[kode  1 Digit                (Nomor)]])</f>
        <v>G1261</v>
      </c>
      <c r="N454" s="4" t="str">
        <f>IF(AI454="",CONCATENATE(S454,U454,W454,Y454,AA454,AC454,AE454,AG454,Table43[[#This Row],[Tanda Kode Revisi]]),CONCATENATE(S454,U454,W454,Y454,AA454,AC454,AE454,AI454))</f>
        <v>G1261010035010</v>
      </c>
      <c r="O454" s="11">
        <f t="shared" si="12"/>
        <v>14</v>
      </c>
      <c r="P454" s="14" t="str">
        <f>IF(AH454&lt;&gt;"",TRIM(UPPER(CONCATENATE(R454," ",T454," ",V454," ",X454," ",Z454," ",AB454," ","X"," ",Table43[[#This Row],[ISI/CTN]]," ",AH454," ",AD454," ",AF454," ",AJ454))),TRIM(UPPER(CONCATENATE(R454," ",T454," ",V454," ",X454," ",Z454," ",AB454," ","X"," ",Table43[[#This Row],[ISI/CTN]]," ",AD454," ",AF454," ",AJ454))))</f>
        <v>STELLA AEROSOL REFRESHING KENANGA 350ML X 12 KLG</v>
      </c>
      <c r="Q454" s="11">
        <f t="shared" si="13"/>
        <v>48</v>
      </c>
      <c r="S454" s="7" t="s">
        <v>34</v>
      </c>
      <c r="T454" s="4" t="s">
        <v>2421</v>
      </c>
      <c r="U454" s="47" t="s">
        <v>2584</v>
      </c>
      <c r="V454" s="48" t="s">
        <v>2243</v>
      </c>
      <c r="W454" s="7">
        <v>1</v>
      </c>
      <c r="X454" s="48"/>
      <c r="Y454" s="47" t="s">
        <v>1116</v>
      </c>
      <c r="Z454" s="4" t="s">
        <v>2450</v>
      </c>
      <c r="AA454" s="49" t="s">
        <v>2556</v>
      </c>
      <c r="AB454" s="4" t="s">
        <v>2372</v>
      </c>
      <c r="AC454" s="49" t="s">
        <v>2619</v>
      </c>
      <c r="AD454" s="4" t="s">
        <v>2221</v>
      </c>
      <c r="AE454" s="7">
        <v>1</v>
      </c>
      <c r="AG454" s="7">
        <v>0</v>
      </c>
      <c r="AK454" s="70">
        <f>Table43[[#This Row],[Column4]]</f>
        <v>30490100350010</v>
      </c>
      <c r="AN454" s="7">
        <f>Table43[[#This Row],[ISI/CTN]]</f>
        <v>12</v>
      </c>
      <c r="AO454" s="38">
        <f>Table43[[#This Row],[Harga Jual Pcs GT
(-PPN)]]-(Table43[[#This Row],[Harga Jual Pcs GT
(-PPN)]]*6.5%)</f>
        <v>20383</v>
      </c>
      <c r="AP454" s="38">
        <f>Table43[[#This Row],[Harga Beli Pcs
(-PPN)]]*Table43[[#This Row],[ISI/CTN]]</f>
        <v>244596</v>
      </c>
      <c r="AQ454" s="38">
        <f>Table43[[#This Row],[Harga Beli Pcs
(-PPN)]]*1.11</f>
        <v>22625.13</v>
      </c>
      <c r="AR454" s="38">
        <f>Table43[[#This Row],[Harga Beli Krt
(- PPN)]]*1.11</f>
        <v>271501.56</v>
      </c>
      <c r="AS454" s="38">
        <v>21800</v>
      </c>
      <c r="AT454" s="38">
        <f>Table43[[#This Row],[Harga Jual Pcs GT
(-PPN)]]*Table43[[#This Row],[ISI/CTN]]</f>
        <v>261600</v>
      </c>
      <c r="AU454" s="38">
        <f>Table43[[#This Row],[Harga Jual Pcs GT
(-PPN)]]*1.11</f>
        <v>24198.000000000004</v>
      </c>
      <c r="AV454" s="38">
        <f>Table43[[#This Row],[Harga Jual Krt GT
(- PPN)]]*1.11</f>
        <v>290376</v>
      </c>
      <c r="AW454" s="38">
        <f>IFERROR(VLOOKUP(Table43[[#This Row],[Kode Pcpl]],'[1]FEB 2026'!$A$3:$X$312,24,0),0)</f>
        <v>0</v>
      </c>
      <c r="AX454" s="38">
        <f>Table43[[#This Row],[Harga Jual Pcs MT
(-PPN)]]*Table43[[#This Row],[ISI/CTN]]</f>
        <v>0</v>
      </c>
      <c r="AY454" s="38">
        <f>Table43[[#This Row],[Harga Jual Pcs MT
(-PPN)]]*1.11</f>
        <v>0</v>
      </c>
      <c r="AZ454" s="38">
        <f>Table43[[#This Row],[Harga Jual Pcs MT
(+PPN)]]*Table43[[#This Row],[ISI/CTN]]</f>
        <v>0</v>
      </c>
      <c r="BA454" s="46">
        <f>(Table43[[#This Row],[Harga Jual Pcs GT
(-PPN)]]-Table43[[#This Row],[Harga Beli Pcs
(-PPN)]])/Table43[[#This Row],[Harga Jual Pcs GT
(-PPN)]]</f>
        <v>6.5000000000000002E-2</v>
      </c>
      <c r="BB454" s="53">
        <f>Table43[[#This Row],[Harga Jual Pcs MT
(-PPN)]]-Table43[[#This Row],[Harga Beli Pcs
(-PPN)]]</f>
        <v>-20383</v>
      </c>
      <c r="BC454" s="54" t="e">
        <f>Table43[[#This Row],[Column1]]/Table43[[#This Row],[Harga Jual Pcs MT
(-PPN)]]</f>
        <v>#DIV/0!</v>
      </c>
      <c r="BD454" s="52"/>
      <c r="BE454" s="7"/>
      <c r="BF454" s="7" t="str">
        <f ca="1">IF(TODAY()-Table43[[#This Row],[Efektif
Pembuatan]]&gt;60,"Lama","Baru")</f>
        <v>Lama</v>
      </c>
      <c r="BG454" s="7" t="str">
        <f ca="1">IF(TODAY()-Table43[[#This Row],[Efektif Naik Harga]]&lt;30,"Naik","Sama")</f>
        <v>Sama</v>
      </c>
      <c r="BH454" s="7"/>
      <c r="BI454" s="7" t="str">
        <f>IF(Table43[[#This Row],[Kode BARANG Win2]]&lt;&gt;"","IDR","")</f>
        <v>IDR</v>
      </c>
      <c r="BJ454" s="7" t="str">
        <f>CONCATENATE(Table43[[#This Row],[kode  1 Digit
(Nomor)]],Table43[[#This Row],[kode  4 Digit                (Nomor)]])</f>
        <v>0350</v>
      </c>
      <c r="BK454" s="7" t="str">
        <f>Table43[[#This Row],[Nama            Gramasi atau Jumlah Pack per CTN]]</f>
        <v>350ML</v>
      </c>
      <c r="BL454" s="7"/>
      <c r="BM454" s="7"/>
      <c r="BN454" s="4" t="str">
        <f>IF(Table43[[#This Row],[SATUAN Fix Win]]&lt;&gt;"","KRT")</f>
        <v>KRT</v>
      </c>
      <c r="BO454" s="4" t="str">
        <f>IF(Table43[[#This Row],[SATUAN Fix Win]]&lt;&gt;"","GD01")</f>
        <v>GD01</v>
      </c>
      <c r="BP454" s="4">
        <f>IF(Table43[[#This Row],[SATUAN Fix Win]]&lt;&gt;"",11611)</f>
        <v>11611</v>
      </c>
      <c r="BQ454" s="4">
        <f>IF(Table43[[#This Row],[SATUAN Fix Win]]&lt;&gt;"",11612)</f>
        <v>11612</v>
      </c>
      <c r="BS454" s="4">
        <f>IF(Table43[[#This Row],[SATUAN Fix Win]]&lt;&gt;"",1)</f>
        <v>1</v>
      </c>
      <c r="BU454" s="4">
        <f>Table43[[#This Row],[ISI/CTN]]</f>
        <v>12</v>
      </c>
    </row>
    <row r="455" spans="1:75">
      <c r="A455" s="4" t="str">
        <f>CONCATENATE(Table43[[#This Row],[Kode BARANG Win2]],Table43[[#This Row],[No. Urut
Item Sama]])</f>
        <v>G1261010035010</v>
      </c>
      <c r="B455" s="7"/>
      <c r="C455" s="31"/>
      <c r="D455" s="51">
        <v>40033728</v>
      </c>
      <c r="E455" s="27"/>
      <c r="F455" s="51"/>
      <c r="G455" s="51"/>
      <c r="H455" s="27"/>
      <c r="I455" s="27">
        <v>12</v>
      </c>
      <c r="J455" s="51" t="s">
        <v>1777</v>
      </c>
      <c r="K455" s="27" t="str">
        <f>Table43[[#This Row],[NamaJenisKemasan]]</f>
        <v>KLG</v>
      </c>
      <c r="L455" s="4" t="str">
        <f>TRIM(CONCATENATE(Table43[[#This Row],[Nama            KLP]]," ",Table43[[#This Row],[Nama            Sub KLP]]))</f>
        <v>STELLA AEROSOL</v>
      </c>
      <c r="M455" s="4" t="str">
        <f>CONCATENATE(Table43[[#This Row],[kode  2 Digit                (hrf+No)]],Table43[[#This Row],[kode  2 Digit                (Nomor)]],Table43[[#This Row],[kode  1 Digit                (Nomor)]])</f>
        <v>G1261</v>
      </c>
      <c r="N455" s="4" t="str">
        <f>IF(AI455="",CONCATENATE(S455,U455,W455,Y455,AA455,AC455,AE455,AG455,Table43[[#This Row],[Tanda Kode Revisi]]),CONCATENATE(S455,U455,W455,Y455,AA455,AC455,AE455,AI455))</f>
        <v>G1261010035010</v>
      </c>
      <c r="O455" s="11">
        <f t="shared" si="12"/>
        <v>14</v>
      </c>
      <c r="P455" s="14" t="str">
        <f>IF(AH455&lt;&gt;"",TRIM(UPPER(CONCATENATE(R455," ",T455," ",V455," ",X455," ",Z455," ",AB455," ","X"," ",Table43[[#This Row],[ISI/CTN]]," ",AH455," ",AD455," ",AF455," ",AJ455))),TRIM(UPPER(CONCATENATE(R455," ",T455," ",V455," ",X455," ",Z455," ",AB455," ","X"," ",Table43[[#This Row],[ISI/CTN]]," ",AD455," ",AF455," ",AJ455))))</f>
        <v>STELLA AEROSOL REFRESHING KENANGA 350ML X 12 KLG</v>
      </c>
      <c r="Q455" s="11">
        <f t="shared" si="13"/>
        <v>48</v>
      </c>
      <c r="S455" s="7" t="s">
        <v>34</v>
      </c>
      <c r="T455" s="4" t="s">
        <v>2421</v>
      </c>
      <c r="U455" s="47" t="s">
        <v>2584</v>
      </c>
      <c r="V455" s="48" t="s">
        <v>2243</v>
      </c>
      <c r="W455" s="7">
        <v>1</v>
      </c>
      <c r="X455" s="48"/>
      <c r="Y455" s="47" t="s">
        <v>1116</v>
      </c>
      <c r="Z455" s="4" t="s">
        <v>2450</v>
      </c>
      <c r="AA455" s="49" t="s">
        <v>2556</v>
      </c>
      <c r="AB455" s="4" t="s">
        <v>2372</v>
      </c>
      <c r="AC455" s="49" t="s">
        <v>2619</v>
      </c>
      <c r="AD455" s="4" t="s">
        <v>2221</v>
      </c>
      <c r="AE455" s="7">
        <v>1</v>
      </c>
      <c r="AG455" s="7">
        <v>0</v>
      </c>
      <c r="AK455" s="70">
        <f>Table43[[#This Row],[Column4]]</f>
        <v>0</v>
      </c>
      <c r="AN455" s="7">
        <f>Table43[[#This Row],[ISI/CTN]]</f>
        <v>12</v>
      </c>
      <c r="AO455" s="38">
        <f>Table43[[#This Row],[Harga Jual Pcs GT
(-PPN)]]-(Table43[[#This Row],[Harga Jual Pcs GT
(-PPN)]]*6.5%)</f>
        <v>20383</v>
      </c>
      <c r="AP455" s="38">
        <f>Table43[[#This Row],[Harga Beli Pcs
(-PPN)]]*Table43[[#This Row],[ISI/CTN]]</f>
        <v>244596</v>
      </c>
      <c r="AQ455" s="38">
        <f>Table43[[#This Row],[Harga Beli Pcs
(-PPN)]]*1.11</f>
        <v>22625.13</v>
      </c>
      <c r="AR455" s="38">
        <f>Table43[[#This Row],[Harga Beli Krt
(- PPN)]]*1.11</f>
        <v>271501.56</v>
      </c>
      <c r="AS455" s="38">
        <v>21800</v>
      </c>
      <c r="AT455" s="38">
        <f>Table43[[#This Row],[Harga Jual Pcs GT
(-PPN)]]*Table43[[#This Row],[ISI/CTN]]</f>
        <v>261600</v>
      </c>
      <c r="AU455" s="38">
        <f>Table43[[#This Row],[Harga Jual Pcs GT
(-PPN)]]*1.11</f>
        <v>24198.000000000004</v>
      </c>
      <c r="AV455" s="38">
        <f>Table43[[#This Row],[Harga Jual Krt GT
(- PPN)]]*1.11</f>
        <v>290376</v>
      </c>
      <c r="AW455" s="38">
        <f>IFERROR(VLOOKUP(Table43[[#This Row],[Kode Pcpl]],'[1]FEB 2026'!$A$3:$X$312,24,0),0)</f>
        <v>0</v>
      </c>
      <c r="AX455" s="38">
        <f>Table43[[#This Row],[Harga Jual Pcs MT
(-PPN)]]*Table43[[#This Row],[ISI/CTN]]</f>
        <v>0</v>
      </c>
      <c r="AY455" s="38">
        <f>Table43[[#This Row],[Harga Jual Pcs MT
(-PPN)]]*1.11</f>
        <v>0</v>
      </c>
      <c r="AZ455" s="38">
        <f>Table43[[#This Row],[Harga Jual Pcs MT
(+PPN)]]*Table43[[#This Row],[ISI/CTN]]</f>
        <v>0</v>
      </c>
      <c r="BA455" s="46">
        <f>(Table43[[#This Row],[Harga Jual Pcs GT
(-PPN)]]-Table43[[#This Row],[Harga Beli Pcs
(-PPN)]])/Table43[[#This Row],[Harga Jual Pcs GT
(-PPN)]]</f>
        <v>6.5000000000000002E-2</v>
      </c>
      <c r="BB455" s="53">
        <f>Table43[[#This Row],[Harga Jual Pcs MT
(-PPN)]]-Table43[[#This Row],[Harga Beli Pcs
(-PPN)]]</f>
        <v>-20383</v>
      </c>
      <c r="BC455" s="54" t="e">
        <f>Table43[[#This Row],[Column1]]/Table43[[#This Row],[Harga Jual Pcs MT
(-PPN)]]</f>
        <v>#DIV/0!</v>
      </c>
      <c r="BD455" s="52"/>
      <c r="BE455" s="7"/>
      <c r="BF455" s="7" t="str">
        <f ca="1">IF(TODAY()-Table43[[#This Row],[Efektif
Pembuatan]]&gt;60,"Lama","Baru")</f>
        <v>Lama</v>
      </c>
      <c r="BG455" s="7" t="str">
        <f ca="1">IF(TODAY()-Table43[[#This Row],[Efektif Naik Harga]]&lt;30,"Naik","Sama")</f>
        <v>Sama</v>
      </c>
      <c r="BH455" s="7"/>
      <c r="BI455" s="7" t="str">
        <f>IF(Table43[[#This Row],[Kode BARANG Win2]]&lt;&gt;"","IDR","")</f>
        <v>IDR</v>
      </c>
      <c r="BJ455" s="7" t="str">
        <f>CONCATENATE(Table43[[#This Row],[kode  1 Digit
(Nomor)]],Table43[[#This Row],[kode  4 Digit                (Nomor)]])</f>
        <v>0350</v>
      </c>
      <c r="BK455" s="7" t="str">
        <f>Table43[[#This Row],[Nama            Gramasi atau Jumlah Pack per CTN]]</f>
        <v>350ML</v>
      </c>
      <c r="BL455" s="7"/>
      <c r="BM455" s="7"/>
      <c r="BN455" s="4" t="str">
        <f>IF(Table43[[#This Row],[SATUAN Fix Win]]&lt;&gt;"","KRT")</f>
        <v>KRT</v>
      </c>
      <c r="BO455" s="4" t="str">
        <f>IF(Table43[[#This Row],[SATUAN Fix Win]]&lt;&gt;"","GD01")</f>
        <v>GD01</v>
      </c>
      <c r="BP455" s="4">
        <f>IF(Table43[[#This Row],[SATUAN Fix Win]]&lt;&gt;"",11611)</f>
        <v>11611</v>
      </c>
      <c r="BQ455" s="4">
        <f>IF(Table43[[#This Row],[SATUAN Fix Win]]&lt;&gt;"",11612)</f>
        <v>11612</v>
      </c>
      <c r="BS455" s="4">
        <f>IF(Table43[[#This Row],[SATUAN Fix Win]]&lt;&gt;"",1)</f>
        <v>1</v>
      </c>
      <c r="BU455" s="4">
        <f>Table43[[#This Row],[ISI/CTN]]</f>
        <v>12</v>
      </c>
    </row>
    <row r="456" spans="1:75">
      <c r="A456" s="4" t="str">
        <f>CONCATENATE(Table43[[#This Row],[Kode BARANG Win2]],Table43[[#This Row],[No. Urut
Item Sama]])</f>
        <v>G1261011020010</v>
      </c>
      <c r="B456" s="7"/>
      <c r="C456" s="31">
        <v>30490050200000</v>
      </c>
      <c r="D456" s="51">
        <v>40029992</v>
      </c>
      <c r="E456" s="66" t="s">
        <v>2497</v>
      </c>
      <c r="F456" s="68">
        <v>30490050200000</v>
      </c>
      <c r="G456" s="68">
        <v>0</v>
      </c>
      <c r="H456" s="27">
        <v>0</v>
      </c>
      <c r="I456" s="27">
        <v>12</v>
      </c>
      <c r="J456" s="51">
        <v>0</v>
      </c>
      <c r="K456" s="27" t="str">
        <f>Table43[[#This Row],[NamaJenisKemasan]]</f>
        <v>KLG</v>
      </c>
      <c r="L456" s="4" t="str">
        <f>TRIM(CONCATENATE(Table43[[#This Row],[Nama            KLP]]," ",Table43[[#This Row],[Nama            Sub KLP]]))</f>
        <v>STELLA AEROSOL</v>
      </c>
      <c r="M456" s="4" t="str">
        <f>CONCATENATE(Table43[[#This Row],[kode  2 Digit                (hrf+No)]],Table43[[#This Row],[kode  2 Digit                (Nomor)]],Table43[[#This Row],[kode  1 Digit                (Nomor)]])</f>
        <v>G1261</v>
      </c>
      <c r="N456" s="4" t="str">
        <f>IF(AI456="",CONCATENATE(S456,U456,W456,Y456,AA456,AC456,AE456,AG456,Table43[[#This Row],[Tanda Kode Revisi]]),CONCATENATE(S456,U456,W456,Y456,AA456,AC456,AE456,AI456))</f>
        <v>G1261011020010</v>
      </c>
      <c r="O456" s="11">
        <f t="shared" si="12"/>
        <v>14</v>
      </c>
      <c r="P456" s="14" t="str">
        <f>IF(AH456&lt;&gt;"",TRIM(UPPER(CONCATENATE(R456," ",T456," ",V456," ",X456," ",Z456," ",AB456," ","X"," ",Table43[[#This Row],[ISI/CTN]]," ",AH456," ",AD456," ",AF456," ",AJ456))),TRIM(UPPER(CONCATENATE(R456," ",T456," ",V456," ",X456," ",Z456," ",AB456," ","X"," ",Table43[[#This Row],[ISI/CTN]]," ",AD456," ",AF456," ",AJ456))))</f>
        <v>STELLA AEROSOL ROSE 200ML X 12 KLG</v>
      </c>
      <c r="Q456" s="11">
        <f t="shared" si="13"/>
        <v>34</v>
      </c>
      <c r="S456" s="7" t="s">
        <v>34</v>
      </c>
      <c r="T456" s="4" t="s">
        <v>2421</v>
      </c>
      <c r="U456" s="47" t="s">
        <v>2584</v>
      </c>
      <c r="V456" s="48" t="s">
        <v>2243</v>
      </c>
      <c r="W456" s="7">
        <v>1</v>
      </c>
      <c r="X456" s="48"/>
      <c r="Y456" s="47" t="s">
        <v>1116</v>
      </c>
      <c r="Z456" s="4" t="s">
        <v>2531</v>
      </c>
      <c r="AA456" s="49" t="s">
        <v>2557</v>
      </c>
      <c r="AB456" s="4" t="s">
        <v>640</v>
      </c>
      <c r="AC456" s="49" t="s">
        <v>2606</v>
      </c>
      <c r="AD456" s="4" t="s">
        <v>2221</v>
      </c>
      <c r="AE456" s="7">
        <v>1</v>
      </c>
      <c r="AG456" s="7">
        <v>0</v>
      </c>
      <c r="AK456" s="70">
        <f>Table43[[#This Row],[Column4]]</f>
        <v>30490050200000</v>
      </c>
      <c r="AN456" s="7">
        <f>Table43[[#This Row],[ISI/CTN]]</f>
        <v>12</v>
      </c>
      <c r="AO456" s="38">
        <f>Table43[[#This Row],[Harga Jual Pcs GT
(-PPN)]]-(Table43[[#This Row],[Harga Jual Pcs GT
(-PPN)]]*6.5%)</f>
        <v>11781</v>
      </c>
      <c r="AP456" s="38">
        <f>Table43[[#This Row],[Harga Beli Pcs
(-PPN)]]*Table43[[#This Row],[ISI/CTN]]</f>
        <v>141372</v>
      </c>
      <c r="AQ456" s="38">
        <f>Table43[[#This Row],[Harga Beli Pcs
(-PPN)]]*1.11</f>
        <v>13076.910000000002</v>
      </c>
      <c r="AR456" s="38">
        <f>Table43[[#This Row],[Harga Beli Krt
(- PPN)]]*1.11</f>
        <v>156922.92000000001</v>
      </c>
      <c r="AS456" s="38">
        <v>12600</v>
      </c>
      <c r="AT456" s="38">
        <f>Table43[[#This Row],[Harga Jual Pcs GT
(-PPN)]]*Table43[[#This Row],[ISI/CTN]]</f>
        <v>151200</v>
      </c>
      <c r="AU456" s="38">
        <f>Table43[[#This Row],[Harga Jual Pcs GT
(-PPN)]]*1.11</f>
        <v>13986.000000000002</v>
      </c>
      <c r="AV456" s="38">
        <f>Table43[[#This Row],[Harga Jual Krt GT
(- PPN)]]*1.11</f>
        <v>167832.00000000003</v>
      </c>
      <c r="AW456" s="38">
        <f>IFERROR(VLOOKUP(Table43[[#This Row],[Kode Pcpl]],'[1]FEB 2026'!$A$3:$X$312,24,0),0)</f>
        <v>0</v>
      </c>
      <c r="AX456" s="38">
        <f>Table43[[#This Row],[Harga Jual Pcs MT
(-PPN)]]*Table43[[#This Row],[ISI/CTN]]</f>
        <v>0</v>
      </c>
      <c r="AY456" s="38">
        <f>Table43[[#This Row],[Harga Jual Pcs MT
(-PPN)]]*1.11</f>
        <v>0</v>
      </c>
      <c r="AZ456" s="38">
        <f>Table43[[#This Row],[Harga Jual Pcs MT
(+PPN)]]*Table43[[#This Row],[ISI/CTN]]</f>
        <v>0</v>
      </c>
      <c r="BA456" s="46">
        <f>(Table43[[#This Row],[Harga Jual Pcs GT
(-PPN)]]-Table43[[#This Row],[Harga Beli Pcs
(-PPN)]])/Table43[[#This Row],[Harga Jual Pcs GT
(-PPN)]]</f>
        <v>6.5000000000000002E-2</v>
      </c>
      <c r="BB456" s="53">
        <f>Table43[[#This Row],[Harga Jual Pcs MT
(-PPN)]]-Table43[[#This Row],[Harga Beli Pcs
(-PPN)]]</f>
        <v>-11781</v>
      </c>
      <c r="BC456" s="54" t="e">
        <f>Table43[[#This Row],[Column1]]/Table43[[#This Row],[Harga Jual Pcs MT
(-PPN)]]</f>
        <v>#DIV/0!</v>
      </c>
      <c r="BD456" s="52"/>
      <c r="BE456" s="7"/>
      <c r="BF456" s="7" t="str">
        <f ca="1">IF(TODAY()-Table43[[#This Row],[Efektif
Pembuatan]]&gt;60,"Lama","Baru")</f>
        <v>Lama</v>
      </c>
      <c r="BG456" s="7" t="str">
        <f ca="1">IF(TODAY()-Table43[[#This Row],[Efektif Naik Harga]]&lt;30,"Naik","Sama")</f>
        <v>Sama</v>
      </c>
      <c r="BH456" s="7"/>
      <c r="BI456" s="7" t="str">
        <f>IF(Table43[[#This Row],[Kode BARANG Win2]]&lt;&gt;"","IDR","")</f>
        <v>IDR</v>
      </c>
      <c r="BJ456" s="7" t="str">
        <f>CONCATENATE(Table43[[#This Row],[kode  1 Digit
(Nomor)]],Table43[[#This Row],[kode  4 Digit                (Nomor)]])</f>
        <v>0200</v>
      </c>
      <c r="BK456" s="7" t="str">
        <f>Table43[[#This Row],[Nama            Gramasi atau Jumlah Pack per CTN]]</f>
        <v>200ML</v>
      </c>
      <c r="BL456" s="7"/>
      <c r="BM456" s="7"/>
      <c r="BN456" s="4" t="str">
        <f>IF(Table43[[#This Row],[SATUAN Fix Win]]&lt;&gt;"","KRT")</f>
        <v>KRT</v>
      </c>
      <c r="BO456" s="4" t="str">
        <f>IF(Table43[[#This Row],[SATUAN Fix Win]]&lt;&gt;"","GD01")</f>
        <v>GD01</v>
      </c>
      <c r="BP456" s="4">
        <f>IF(Table43[[#This Row],[SATUAN Fix Win]]&lt;&gt;"",11611)</f>
        <v>11611</v>
      </c>
      <c r="BQ456" s="4">
        <f>IF(Table43[[#This Row],[SATUAN Fix Win]]&lt;&gt;"",11612)</f>
        <v>11612</v>
      </c>
      <c r="BS456" s="4">
        <f>IF(Table43[[#This Row],[SATUAN Fix Win]]&lt;&gt;"",1)</f>
        <v>1</v>
      </c>
      <c r="BU456" s="4">
        <f>Table43[[#This Row],[ISI/CTN]]</f>
        <v>12</v>
      </c>
    </row>
    <row r="457" spans="1:75">
      <c r="A457" s="4" t="str">
        <f>CONCATENATE(Table43[[#This Row],[Kode BARANG Win2]],Table43[[#This Row],[No. Urut
Item Sama]])</f>
        <v>G1261011040010</v>
      </c>
      <c r="B457" s="7"/>
      <c r="C457" s="31">
        <v>30490050400010</v>
      </c>
      <c r="D457" s="59">
        <v>40029999</v>
      </c>
      <c r="E457" s="67" t="s">
        <v>2498</v>
      </c>
      <c r="F457" s="69">
        <v>30490050400010</v>
      </c>
      <c r="G457" s="69">
        <v>0</v>
      </c>
      <c r="H457" s="60">
        <v>0</v>
      </c>
      <c r="I457" s="60">
        <v>12</v>
      </c>
      <c r="J457" s="59">
        <v>0</v>
      </c>
      <c r="K457" s="60" t="str">
        <f>Table43[[#This Row],[NamaJenisKemasan]]</f>
        <v>KLG</v>
      </c>
      <c r="L457" s="4" t="str">
        <f>TRIM(CONCATENATE(Table43[[#This Row],[Nama            KLP]]," ",Table43[[#This Row],[Nama            Sub KLP]]))</f>
        <v>STELLA AEROSOL</v>
      </c>
      <c r="M457" s="4" t="str">
        <f>CONCATENATE(Table43[[#This Row],[kode  2 Digit                (hrf+No)]],Table43[[#This Row],[kode  2 Digit                (Nomor)]],Table43[[#This Row],[kode  1 Digit                (Nomor)]])</f>
        <v>G1261</v>
      </c>
      <c r="N457" s="4" t="str">
        <f>IF(AI457="",CONCATENATE(S457,U457,W457,Y457,AA457,AC457,AE457,AG457,Table43[[#This Row],[Tanda Kode Revisi]]),CONCATENATE(S457,U457,W457,Y457,AA457,AC457,AE457,AI457))</f>
        <v>G1261011040010</v>
      </c>
      <c r="O457" s="11">
        <f t="shared" si="12"/>
        <v>14</v>
      </c>
      <c r="P457" s="14" t="str">
        <f>IF(AH457&lt;&gt;"",TRIM(UPPER(CONCATENATE(R457," ",T457," ",V457," ",X457," ",Z457," ",AB457," ","X"," ",Table43[[#This Row],[ISI/CTN]]," ",AH457," ",AD457," ",AF457," ",AJ457))),TRIM(UPPER(CONCATENATE(R457," ",T457," ",V457," ",X457," ",Z457," ",AB457," ","X"," ",Table43[[#This Row],[ISI/CTN]]," ",AD457," ",AF457," ",AJ457))))</f>
        <v>STELLA AEROSOL ROSE 400ML X 12 KLG</v>
      </c>
      <c r="Q457" s="11">
        <f t="shared" si="13"/>
        <v>34</v>
      </c>
      <c r="S457" s="7" t="s">
        <v>34</v>
      </c>
      <c r="T457" s="4" t="s">
        <v>2421</v>
      </c>
      <c r="U457" s="47" t="s">
        <v>2584</v>
      </c>
      <c r="V457" s="48" t="s">
        <v>2243</v>
      </c>
      <c r="W457" s="7">
        <v>1</v>
      </c>
      <c r="X457" s="48"/>
      <c r="Y457" s="47" t="s">
        <v>1116</v>
      </c>
      <c r="Z457" s="4" t="s">
        <v>2531</v>
      </c>
      <c r="AA457" s="49" t="s">
        <v>2557</v>
      </c>
      <c r="AB457" s="4" t="s">
        <v>635</v>
      </c>
      <c r="AC457" s="49" t="s">
        <v>2624</v>
      </c>
      <c r="AD457" s="4" t="s">
        <v>2221</v>
      </c>
      <c r="AE457" s="7">
        <v>1</v>
      </c>
      <c r="AG457" s="7">
        <v>0</v>
      </c>
      <c r="AK457" s="70">
        <f>Table43[[#This Row],[Column4]]</f>
        <v>30490050400010</v>
      </c>
      <c r="AN457" s="7">
        <f>Table43[[#This Row],[ISI/CTN]]</f>
        <v>12</v>
      </c>
      <c r="AO457" s="38">
        <f>Table43[[#This Row],[Harga Jual Pcs GT
(-PPN)]]-(Table43[[#This Row],[Harga Jual Pcs GT
(-PPN)]]*6.5%)</f>
        <v>17952</v>
      </c>
      <c r="AP457" s="38">
        <f>Table43[[#This Row],[Harga Beli Pcs
(-PPN)]]*Table43[[#This Row],[ISI/CTN]]</f>
        <v>215424</v>
      </c>
      <c r="AQ457" s="38">
        <f>Table43[[#This Row],[Harga Beli Pcs
(-PPN)]]*1.11</f>
        <v>19926.72</v>
      </c>
      <c r="AR457" s="38">
        <f>Table43[[#This Row],[Harga Beli Krt
(- PPN)]]*1.11</f>
        <v>239120.64000000001</v>
      </c>
      <c r="AS457" s="38">
        <v>19200</v>
      </c>
      <c r="AT457" s="38">
        <f>Table43[[#This Row],[Harga Jual Pcs GT
(-PPN)]]*Table43[[#This Row],[ISI/CTN]]</f>
        <v>230400</v>
      </c>
      <c r="AU457" s="38">
        <f>Table43[[#This Row],[Harga Jual Pcs GT
(-PPN)]]*1.11</f>
        <v>21312.000000000004</v>
      </c>
      <c r="AV457" s="38">
        <f>Table43[[#This Row],[Harga Jual Krt GT
(- PPN)]]*1.11</f>
        <v>255744.00000000003</v>
      </c>
      <c r="AW457" s="38">
        <f>IFERROR(VLOOKUP(Table43[[#This Row],[Kode Pcpl]],'[1]FEB 2026'!$A$3:$X$312,24,0),0)</f>
        <v>0</v>
      </c>
      <c r="AX457" s="38">
        <f>Table43[[#This Row],[Harga Jual Pcs MT
(-PPN)]]*Table43[[#This Row],[ISI/CTN]]</f>
        <v>0</v>
      </c>
      <c r="AY457" s="38">
        <f>Table43[[#This Row],[Harga Jual Pcs MT
(-PPN)]]*1.11</f>
        <v>0</v>
      </c>
      <c r="AZ457" s="38">
        <f>Table43[[#This Row],[Harga Jual Pcs MT
(+PPN)]]*Table43[[#This Row],[ISI/CTN]]</f>
        <v>0</v>
      </c>
      <c r="BA457" s="46">
        <f>(Table43[[#This Row],[Harga Jual Pcs GT
(-PPN)]]-Table43[[#This Row],[Harga Beli Pcs
(-PPN)]])/Table43[[#This Row],[Harga Jual Pcs GT
(-PPN)]]</f>
        <v>6.5000000000000002E-2</v>
      </c>
      <c r="BB457" s="53">
        <f>Table43[[#This Row],[Harga Jual Pcs MT
(-PPN)]]-Table43[[#This Row],[Harga Beli Pcs
(-PPN)]]</f>
        <v>-17952</v>
      </c>
      <c r="BC457" s="54" t="e">
        <f>Table43[[#This Row],[Column1]]/Table43[[#This Row],[Harga Jual Pcs MT
(-PPN)]]</f>
        <v>#DIV/0!</v>
      </c>
      <c r="BD457" s="52"/>
      <c r="BE457" s="7"/>
      <c r="BF457" s="7" t="str">
        <f ca="1">IF(TODAY()-Table43[[#This Row],[Efektif
Pembuatan]]&gt;60,"Lama","Baru")</f>
        <v>Lama</v>
      </c>
      <c r="BG457" s="7" t="str">
        <f ca="1">IF(TODAY()-Table43[[#This Row],[Efektif Naik Harga]]&lt;30,"Naik","Sama")</f>
        <v>Sama</v>
      </c>
      <c r="BH457" s="7"/>
      <c r="BI457" s="7" t="str">
        <f>IF(Table43[[#This Row],[Kode BARANG Win2]]&lt;&gt;"","IDR","")</f>
        <v>IDR</v>
      </c>
      <c r="BJ457" s="7" t="str">
        <f>CONCATENATE(Table43[[#This Row],[kode  1 Digit
(Nomor)]],Table43[[#This Row],[kode  4 Digit                (Nomor)]])</f>
        <v>0400</v>
      </c>
      <c r="BK457" s="7" t="str">
        <f>Table43[[#This Row],[Nama            Gramasi atau Jumlah Pack per CTN]]</f>
        <v>400ML</v>
      </c>
      <c r="BL457" s="7"/>
      <c r="BM457" s="7"/>
      <c r="BN457" s="4" t="str">
        <f>IF(Table43[[#This Row],[SATUAN Fix Win]]&lt;&gt;"","KRT")</f>
        <v>KRT</v>
      </c>
      <c r="BO457" s="4" t="str">
        <f>IF(Table43[[#This Row],[SATUAN Fix Win]]&lt;&gt;"","GD01")</f>
        <v>GD01</v>
      </c>
      <c r="BP457" s="4">
        <f>IF(Table43[[#This Row],[SATUAN Fix Win]]&lt;&gt;"",11611)</f>
        <v>11611</v>
      </c>
      <c r="BQ457" s="4">
        <f>IF(Table43[[#This Row],[SATUAN Fix Win]]&lt;&gt;"",11612)</f>
        <v>11612</v>
      </c>
      <c r="BS457" s="4">
        <f>IF(Table43[[#This Row],[SATUAN Fix Win]]&lt;&gt;"",1)</f>
        <v>1</v>
      </c>
      <c r="BU457" s="4">
        <f>Table43[[#This Row],[ISI/CTN]]</f>
        <v>12</v>
      </c>
    </row>
    <row r="458" spans="1:75" s="107" customFormat="1">
      <c r="A458" s="94" t="str">
        <f>CONCATENATE(Table43[[#This Row],[Kode BARANG Win2]],Table43[[#This Row],[No. Urut
Item Sama]])</f>
        <v>G1261013040010</v>
      </c>
      <c r="B458" s="95"/>
      <c r="C458" s="96">
        <v>30490060400010</v>
      </c>
      <c r="D458" s="146">
        <v>40007683</v>
      </c>
      <c r="E458" s="147" t="s">
        <v>3486</v>
      </c>
      <c r="F458" s="146"/>
      <c r="G458" s="146"/>
      <c r="H458" s="147"/>
      <c r="I458" s="147">
        <v>12</v>
      </c>
      <c r="J458" s="146"/>
      <c r="K458" s="147" t="str">
        <f>Table43[[#This Row],[NamaJenisKemasan]]</f>
        <v>KLG</v>
      </c>
      <c r="L458" s="94" t="str">
        <f>TRIM(CONCATENATE(Table43[[#This Row],[Nama            KLP]]," ",Table43[[#This Row],[Nama            Sub KLP]]))</f>
        <v>STELLA AEROSOL</v>
      </c>
      <c r="M458" s="94" t="str">
        <f>CONCATENATE(Table43[[#This Row],[kode  2 Digit                (hrf+No)]],Table43[[#This Row],[kode  2 Digit                (Nomor)]],Table43[[#This Row],[kode  1 Digit                (Nomor)]])</f>
        <v>G1261</v>
      </c>
      <c r="N458" s="94" t="str">
        <f>IF(AI458="",CONCATENATE(S458,U458,W458,Y458,AA458,AC458,AE458,AG458,Table43[[#This Row],[Tanda Kode Revisi]]),CONCATENATE(S458,U458,W458,Y458,AA458,AC458,AE458,AI458))</f>
        <v>G1261013040010</v>
      </c>
      <c r="O458" s="97">
        <f>LEN(N458)</f>
        <v>14</v>
      </c>
      <c r="P458" s="98" t="str">
        <f>IF(AH458&lt;&gt;"",TRIM(UPPER(CONCATENATE(R458," ",T458," ",V458," ",X458," ",Z458," ",AB458," ","X"," ",Table43[[#This Row],[ISI/CTN]]," ",AH458," ",AD458," ",AF458," ",AJ458))),TRIM(UPPER(CONCATENATE(R458," ",T458," ",V458," ",X458," ",Z458," ",AB458," ","X"," ",Table43[[#This Row],[ISI/CTN]]," ",AD458," ",AF458," ",AJ458))))</f>
        <v>STELLA AEROSOL F. JASMINE 400ML X 12 KLG</v>
      </c>
      <c r="Q458" s="97">
        <f>LEN(P458)</f>
        <v>40</v>
      </c>
      <c r="R458" s="94"/>
      <c r="S458" s="95" t="s">
        <v>34</v>
      </c>
      <c r="T458" s="94" t="s">
        <v>2421</v>
      </c>
      <c r="U458" s="99" t="s">
        <v>2584</v>
      </c>
      <c r="V458" s="100" t="s">
        <v>2243</v>
      </c>
      <c r="W458" s="95">
        <v>1</v>
      </c>
      <c r="X458" s="100"/>
      <c r="Y458" s="99" t="s">
        <v>1116</v>
      </c>
      <c r="Z458" s="94" t="s">
        <v>3487</v>
      </c>
      <c r="AA458" s="101" t="s">
        <v>2559</v>
      </c>
      <c r="AB458" s="94" t="s">
        <v>635</v>
      </c>
      <c r="AC458" s="101" t="s">
        <v>2624</v>
      </c>
      <c r="AD458" s="94" t="s">
        <v>2221</v>
      </c>
      <c r="AE458" s="95">
        <v>1</v>
      </c>
      <c r="AF458" s="94"/>
      <c r="AG458" s="95">
        <v>0</v>
      </c>
      <c r="AH458" s="95"/>
      <c r="AI458" s="95"/>
      <c r="AJ458" s="95"/>
      <c r="AK458" s="148">
        <f>Table43[[#This Row],[Column4]]</f>
        <v>0</v>
      </c>
      <c r="AL458" s="95"/>
      <c r="AM458" s="95"/>
      <c r="AN458" s="95">
        <f>Table43[[#This Row],[ISI/CTN]]</f>
        <v>12</v>
      </c>
      <c r="AO458" s="102">
        <f>Table43[[#This Row],[Harga Jual Pcs GT
(-PPN)]]-(Table43[[#This Row],[Harga Jual Pcs GT
(-PPN)]]*6.5%)</f>
        <v>0</v>
      </c>
      <c r="AP458" s="102">
        <f>Table43[[#This Row],[Harga Beli Pcs
(-PPN)]]*Table43[[#This Row],[ISI/CTN]]</f>
        <v>0</v>
      </c>
      <c r="AQ458" s="102">
        <f>Table43[[#This Row],[Harga Beli Pcs
(-PPN)]]*1.11</f>
        <v>0</v>
      </c>
      <c r="AR458" s="102">
        <f>Table43[[#This Row],[Harga Beli Krt
(- PPN)]]*1.11</f>
        <v>0</v>
      </c>
      <c r="AS458" s="102"/>
      <c r="AT458" s="102">
        <f>Table43[[#This Row],[Harga Jual Pcs GT
(-PPN)]]*Table43[[#This Row],[ISI/CTN]]</f>
        <v>0</v>
      </c>
      <c r="AU458" s="102">
        <f>Table43[[#This Row],[Harga Jual Pcs GT
(-PPN)]]*1.11</f>
        <v>0</v>
      </c>
      <c r="AV458" s="102">
        <f>Table43[[#This Row],[Harga Jual Krt GT
(- PPN)]]*1.11</f>
        <v>0</v>
      </c>
      <c r="AW458" s="102">
        <f>IFERROR(VLOOKUP(Table43[[#This Row],[Kode Pcpl]],'[1]FEB 2026'!$A$3:$X$312,24,0),0)</f>
        <v>0</v>
      </c>
      <c r="AX458" s="102">
        <f>Table43[[#This Row],[Harga Jual Pcs MT
(-PPN)]]*Table43[[#This Row],[ISI/CTN]]</f>
        <v>0</v>
      </c>
      <c r="AY458" s="102">
        <f>Table43[[#This Row],[Harga Jual Pcs MT
(-PPN)]]*1.11</f>
        <v>0</v>
      </c>
      <c r="AZ458" s="102">
        <f>Table43[[#This Row],[Harga Jual Pcs MT
(+PPN)]]*Table43[[#This Row],[ISI/CTN]]</f>
        <v>0</v>
      </c>
      <c r="BA458" s="103" t="e">
        <f>(Table43[[#This Row],[Harga Jual Pcs GT
(-PPN)]]-Table43[[#This Row],[Harga Beli Pcs
(-PPN)]])/Table43[[#This Row],[Harga Jual Pcs GT
(-PPN)]]</f>
        <v>#DIV/0!</v>
      </c>
      <c r="BB458" s="104">
        <f>Table43[[#This Row],[Harga Jual Pcs MT
(-PPN)]]-Table43[[#This Row],[Harga Beli Pcs
(-PPN)]]</f>
        <v>0</v>
      </c>
      <c r="BC458" s="105" t="e">
        <f>Table43[[#This Row],[Column1]]/Table43[[#This Row],[Harga Jual Pcs MT
(-PPN)]]</f>
        <v>#DIV/0!</v>
      </c>
      <c r="BD458" s="106"/>
      <c r="BE458" s="95"/>
      <c r="BF458" s="95" t="str">
        <f ca="1">IF(TODAY()-Table43[[#This Row],[Efektif
Pembuatan]]&gt;60,"Lama","Baru")</f>
        <v>Lama</v>
      </c>
      <c r="BG458" s="95" t="str">
        <f ca="1">IF(TODAY()-Table43[[#This Row],[Efektif Naik Harga]]&lt;30,"Naik","Sama")</f>
        <v>Sama</v>
      </c>
      <c r="BH458" s="95"/>
      <c r="BI458" s="95" t="str">
        <f>IF(Table43[[#This Row],[Kode BARANG Win2]]&lt;&gt;"","IDR","")</f>
        <v>IDR</v>
      </c>
      <c r="BJ458" s="95" t="str">
        <f>CONCATENATE(Table43[[#This Row],[kode  1 Digit
(Nomor)]],Table43[[#This Row],[kode  4 Digit                (Nomor)]])</f>
        <v>0400</v>
      </c>
      <c r="BK458" s="95" t="str">
        <f>Table43[[#This Row],[Nama            Gramasi atau Jumlah Pack per CTN]]</f>
        <v>400ML</v>
      </c>
      <c r="BL458" s="95"/>
      <c r="BM458" s="95"/>
      <c r="BN458" s="94" t="str">
        <f>IF(Table43[[#This Row],[SATUAN Fix Win]]&lt;&gt;"","KRT")</f>
        <v>KRT</v>
      </c>
      <c r="BO458" s="94" t="str">
        <f>IF(Table43[[#This Row],[SATUAN Fix Win]]&lt;&gt;"","GD01")</f>
        <v>GD01</v>
      </c>
      <c r="BP458" s="94">
        <f>IF(Table43[[#This Row],[SATUAN Fix Win]]&lt;&gt;"",11611)</f>
        <v>11611</v>
      </c>
      <c r="BQ458" s="94">
        <f>IF(Table43[[#This Row],[SATUAN Fix Win]]&lt;&gt;"",11612)</f>
        <v>11612</v>
      </c>
      <c r="BR458" s="94"/>
      <c r="BS458" s="94">
        <f>IF(Table43[[#This Row],[SATUAN Fix Win]]&lt;&gt;"",1)</f>
        <v>1</v>
      </c>
      <c r="BT458" s="94"/>
      <c r="BU458" s="94">
        <f>Table43[[#This Row],[ISI/CTN]]</f>
        <v>12</v>
      </c>
      <c r="BV458" s="94"/>
      <c r="BW458" s="94"/>
    </row>
    <row r="459" spans="1:75">
      <c r="A459" s="4" t="str">
        <f>CONCATENATE(Table43[[#This Row],[Kode BARANG Win2]],Table43[[#This Row],[No. Urut
Item Sama]])</f>
        <v>G1261012035010</v>
      </c>
      <c r="B459" s="7"/>
      <c r="C459" s="31">
        <v>30500040042000</v>
      </c>
      <c r="D459" s="59">
        <v>40059933</v>
      </c>
      <c r="E459" s="27" t="s">
        <v>2094</v>
      </c>
      <c r="F459" s="51">
        <v>30490090350010</v>
      </c>
      <c r="G459" s="51">
        <v>0</v>
      </c>
      <c r="H459" s="27" t="s">
        <v>1411</v>
      </c>
      <c r="I459" s="27">
        <v>12</v>
      </c>
      <c r="J459" s="51" t="s">
        <v>1776</v>
      </c>
      <c r="K459" s="27" t="str">
        <f>Table43[[#This Row],[NamaJenisKemasan]]</f>
        <v>KLG</v>
      </c>
      <c r="L459" s="4" t="str">
        <f>TRIM(CONCATENATE(Table43[[#This Row],[Nama            KLP]]," ",Table43[[#This Row],[Nama            Sub KLP]]))</f>
        <v>STELLA AEROSOL</v>
      </c>
      <c r="M459" s="4" t="str">
        <f>CONCATENATE(Table43[[#This Row],[kode  2 Digit                (hrf+No)]],Table43[[#This Row],[kode  2 Digit                (Nomor)]],Table43[[#This Row],[kode  1 Digit                (Nomor)]])</f>
        <v>G1261</v>
      </c>
      <c r="N459" s="4" t="str">
        <f>IF(AI459="",CONCATENATE(S459,U459,W459,Y459,AA459,AC459,AE459,AG459,Table43[[#This Row],[Tanda Kode Revisi]]),CONCATENATE(S459,U459,W459,Y459,AA459,AC459,AE459,AI459))</f>
        <v>G1261012035010</v>
      </c>
      <c r="O459" s="11">
        <f t="shared" si="12"/>
        <v>14</v>
      </c>
      <c r="P459" s="14" t="str">
        <f>IF(AH459&lt;&gt;"",TRIM(UPPER(CONCATENATE(R459," ",T459," ",V459," ",X459," ",Z459," ",AB459," ","X"," ",Table43[[#This Row],[ISI/CTN]]," ",AH459," ",AD459," ",AF459," ",AJ459))),TRIM(UPPER(CONCATENATE(R459," ",T459," ",V459," ",X459," ",Z459," ",AB459," ","X"," ",Table43[[#This Row],[ISI/CTN]]," ",AD459," ",AF459," ",AJ459))))</f>
        <v>STELLA AEROSOL WARM VERBENA 350ML X 12 KLG</v>
      </c>
      <c r="Q459" s="11">
        <f t="shared" si="13"/>
        <v>42</v>
      </c>
      <c r="S459" s="7" t="s">
        <v>34</v>
      </c>
      <c r="T459" s="4" t="s">
        <v>2421</v>
      </c>
      <c r="U459" s="47" t="s">
        <v>2584</v>
      </c>
      <c r="V459" s="48" t="s">
        <v>2243</v>
      </c>
      <c r="W459" s="7">
        <v>1</v>
      </c>
      <c r="X459" s="48"/>
      <c r="Y459" s="47" t="s">
        <v>1116</v>
      </c>
      <c r="Z459" s="4" t="s">
        <v>2427</v>
      </c>
      <c r="AA459" s="49" t="s">
        <v>2558</v>
      </c>
      <c r="AB459" s="4" t="s">
        <v>2372</v>
      </c>
      <c r="AC459" s="49" t="s">
        <v>2619</v>
      </c>
      <c r="AD459" s="4" t="s">
        <v>2221</v>
      </c>
      <c r="AE459" s="7">
        <v>1</v>
      </c>
      <c r="AG459" s="7">
        <v>0</v>
      </c>
      <c r="AK459" s="70">
        <f>Table43[[#This Row],[Column4]]</f>
        <v>30490090350010</v>
      </c>
      <c r="AN459" s="7">
        <f>Table43[[#This Row],[ISI/CTN]]</f>
        <v>12</v>
      </c>
      <c r="AO459" s="61">
        <f>Table43[[#This Row],[Harga Jual Pcs GT
(-PPN)]]-(Table43[[#This Row],[Harga Jual Pcs GT
(-PPN)]]*6.5%)</f>
        <v>20383</v>
      </c>
      <c r="AP459" s="61">
        <f>Table43[[#This Row],[Harga Beli Pcs
(-PPN)]]*Table43[[#This Row],[ISI/CTN]]</f>
        <v>244596</v>
      </c>
      <c r="AQ459" s="61">
        <f>Table43[[#This Row],[Harga Beli Pcs
(-PPN)]]*1.11</f>
        <v>22625.13</v>
      </c>
      <c r="AR459" s="61">
        <f>Table43[[#This Row],[Harga Beli Krt
(- PPN)]]*1.11</f>
        <v>271501.56</v>
      </c>
      <c r="AS459" s="61">
        <v>21800</v>
      </c>
      <c r="AT459" s="61">
        <f>Table43[[#This Row],[Harga Jual Pcs GT
(-PPN)]]*Table43[[#This Row],[ISI/CTN]]</f>
        <v>261600</v>
      </c>
      <c r="AU459" s="61">
        <f>Table43[[#This Row],[Harga Jual Pcs GT
(-PPN)]]*1.11</f>
        <v>24198.000000000004</v>
      </c>
      <c r="AV459" s="61">
        <f>Table43[[#This Row],[Harga Jual Krt GT
(- PPN)]]*1.11</f>
        <v>290376</v>
      </c>
      <c r="AW459" s="61">
        <f>IFERROR(VLOOKUP(Table43[[#This Row],[Kode Pcpl]],'[1]FEB 2026'!$A$3:$X$312,24,0),0)</f>
        <v>0</v>
      </c>
      <c r="AX459" s="61">
        <f>Table43[[#This Row],[Harga Jual Pcs MT
(-PPN)]]*Table43[[#This Row],[ISI/CTN]]</f>
        <v>0</v>
      </c>
      <c r="AY459" s="61">
        <f>Table43[[#This Row],[Harga Jual Pcs MT
(-PPN)]]*1.11</f>
        <v>0</v>
      </c>
      <c r="AZ459" s="61">
        <f>Table43[[#This Row],[Harga Jual Pcs MT
(+PPN)]]*Table43[[#This Row],[ISI/CTN]]</f>
        <v>0</v>
      </c>
      <c r="BA459" s="62">
        <f>(Table43[[#This Row],[Harga Jual Pcs GT
(-PPN)]]-Table43[[#This Row],[Harga Beli Pcs
(-PPN)]])/Table43[[#This Row],[Harga Jual Pcs GT
(-PPN)]]</f>
        <v>6.5000000000000002E-2</v>
      </c>
      <c r="BB459" s="63">
        <f>Table43[[#This Row],[Harga Jual Pcs MT
(-PPN)]]-Table43[[#This Row],[Harga Beli Pcs
(-PPN)]]</f>
        <v>-20383</v>
      </c>
      <c r="BC459" s="64" t="e">
        <f>Table43[[#This Row],[Column1]]/Table43[[#This Row],[Harga Jual Pcs MT
(-PPN)]]</f>
        <v>#DIV/0!</v>
      </c>
      <c r="BD459" s="52"/>
      <c r="BE459" s="7"/>
      <c r="BF459" s="7" t="str">
        <f ca="1">IF(TODAY()-Table43[[#This Row],[Efektif
Pembuatan]]&gt;60,"Lama","Baru")</f>
        <v>Lama</v>
      </c>
      <c r="BG459" s="7" t="str">
        <f ca="1">IF(TODAY()-Table43[[#This Row],[Efektif Naik Harga]]&lt;30,"Naik","Sama")</f>
        <v>Sama</v>
      </c>
      <c r="BH459" s="7"/>
      <c r="BI459" s="7" t="str">
        <f>IF(Table43[[#This Row],[Kode BARANG Win2]]&lt;&gt;"","IDR","")</f>
        <v>IDR</v>
      </c>
      <c r="BJ459" s="7" t="str">
        <f>CONCATENATE(Table43[[#This Row],[kode  1 Digit
(Nomor)]],Table43[[#This Row],[kode  4 Digit                (Nomor)]])</f>
        <v>0350</v>
      </c>
      <c r="BK459" s="7" t="str">
        <f>Table43[[#This Row],[Nama            Gramasi atau Jumlah Pack per CTN]]</f>
        <v>350ML</v>
      </c>
      <c r="BL459" s="7"/>
      <c r="BM459" s="7"/>
      <c r="BN459" s="4" t="str">
        <f>IF(Table43[[#This Row],[SATUAN Fix Win]]&lt;&gt;"","KRT")</f>
        <v>KRT</v>
      </c>
      <c r="BO459" s="4" t="str">
        <f>IF(Table43[[#This Row],[SATUAN Fix Win]]&lt;&gt;"","GD01")</f>
        <v>GD01</v>
      </c>
      <c r="BP459" s="4">
        <f>IF(Table43[[#This Row],[SATUAN Fix Win]]&lt;&gt;"",11611)</f>
        <v>11611</v>
      </c>
      <c r="BQ459" s="4">
        <f>IF(Table43[[#This Row],[SATUAN Fix Win]]&lt;&gt;"",11612)</f>
        <v>11612</v>
      </c>
      <c r="BS459" s="4">
        <f>IF(Table43[[#This Row],[SATUAN Fix Win]]&lt;&gt;"",1)</f>
        <v>1</v>
      </c>
      <c r="BU459" s="4">
        <f>Table43[[#This Row],[ISI/CTN]]</f>
        <v>12</v>
      </c>
    </row>
    <row r="460" spans="1:75">
      <c r="A460" s="4" t="str">
        <f>CONCATENATE(Table43[[#This Row],[Kode BARANG Win2]],Table43[[#This Row],[No. Urut
Item Sama]])</f>
        <v>G1261012035010</v>
      </c>
      <c r="B460" s="7"/>
      <c r="C460" s="31"/>
      <c r="D460" s="51">
        <v>40043450</v>
      </c>
      <c r="E460" s="27"/>
      <c r="F460" s="51"/>
      <c r="G460" s="51"/>
      <c r="H460" s="27"/>
      <c r="I460" s="27">
        <v>12</v>
      </c>
      <c r="J460" s="51" t="s">
        <v>1776</v>
      </c>
      <c r="K460" s="27" t="str">
        <f>Table43[[#This Row],[NamaJenisKemasan]]</f>
        <v>KLG</v>
      </c>
      <c r="L460" s="4" t="str">
        <f>TRIM(CONCATENATE(Table43[[#This Row],[Nama            KLP]]," ",Table43[[#This Row],[Nama            Sub KLP]]))</f>
        <v>STELLA AEROSOL</v>
      </c>
      <c r="M460" s="4" t="str">
        <f>CONCATENATE(Table43[[#This Row],[kode  2 Digit                (hrf+No)]],Table43[[#This Row],[kode  2 Digit                (Nomor)]],Table43[[#This Row],[kode  1 Digit                (Nomor)]])</f>
        <v>G1261</v>
      </c>
      <c r="N460" s="4" t="str">
        <f>IF(AI460="",CONCATENATE(S460,U460,W460,Y460,AA460,AC460,AE460,AG460,Table43[[#This Row],[Tanda Kode Revisi]]),CONCATENATE(S460,U460,W460,Y460,AA460,AC460,AE460,AI460))</f>
        <v>G1261012035010</v>
      </c>
      <c r="O460" s="11">
        <f>LEN(N460)</f>
        <v>14</v>
      </c>
      <c r="P460" s="14" t="str">
        <f>IF(AH460&lt;&gt;"",TRIM(UPPER(CONCATENATE(R460," ",T460," ",V460," ",X460," ",Z460," ",AB460," ","X"," ",Table43[[#This Row],[ISI/CTN]]," ",AH460," ",AD460," ",AF460," ",AJ460))),TRIM(UPPER(CONCATENATE(R460," ",T460," ",V460," ",X460," ",Z460," ",AB460," ","X"," ",Table43[[#This Row],[ISI/CTN]]," ",AD460," ",AF460," ",AJ460))))</f>
        <v>STELLA AEROSOL WARM VERBENA 350ML X 12 KLG</v>
      </c>
      <c r="Q460" s="11">
        <f>LEN(P460)</f>
        <v>42</v>
      </c>
      <c r="S460" s="7" t="s">
        <v>34</v>
      </c>
      <c r="T460" s="4" t="s">
        <v>2421</v>
      </c>
      <c r="U460" s="47" t="s">
        <v>2584</v>
      </c>
      <c r="V460" s="48" t="s">
        <v>2243</v>
      </c>
      <c r="W460" s="7">
        <v>1</v>
      </c>
      <c r="X460" s="48"/>
      <c r="Y460" s="47" t="s">
        <v>1116</v>
      </c>
      <c r="Z460" s="4" t="s">
        <v>2427</v>
      </c>
      <c r="AA460" s="49" t="s">
        <v>2558</v>
      </c>
      <c r="AB460" s="4" t="s">
        <v>2372</v>
      </c>
      <c r="AC460" s="49" t="s">
        <v>2619</v>
      </c>
      <c r="AD460" s="4" t="s">
        <v>2221</v>
      </c>
      <c r="AE460" s="7">
        <v>1</v>
      </c>
      <c r="AG460" s="7">
        <v>0</v>
      </c>
      <c r="AK460" s="70">
        <f>Table43[[#This Row],[Column4]]</f>
        <v>0</v>
      </c>
      <c r="AN460" s="7">
        <f>Table43[[#This Row],[ISI/CTN]]</f>
        <v>12</v>
      </c>
      <c r="AO460" s="61">
        <f>Table43[[#This Row],[Harga Jual Pcs GT
(-PPN)]]-(Table43[[#This Row],[Harga Jual Pcs GT
(-PPN)]]*6.5%)</f>
        <v>0</v>
      </c>
      <c r="AP460" s="61">
        <f>Table43[[#This Row],[Harga Beli Pcs
(-PPN)]]*Table43[[#This Row],[ISI/CTN]]</f>
        <v>0</v>
      </c>
      <c r="AQ460" s="61">
        <f>Table43[[#This Row],[Harga Beli Pcs
(-PPN)]]*1.11</f>
        <v>0</v>
      </c>
      <c r="AR460" s="61">
        <f>Table43[[#This Row],[Harga Beli Krt
(- PPN)]]*1.11</f>
        <v>0</v>
      </c>
      <c r="AS460" s="61"/>
      <c r="AT460" s="61">
        <f>Table43[[#This Row],[Harga Jual Pcs GT
(-PPN)]]*Table43[[#This Row],[ISI/CTN]]</f>
        <v>0</v>
      </c>
      <c r="AU460" s="61">
        <f>Table43[[#This Row],[Harga Jual Pcs GT
(-PPN)]]*1.11</f>
        <v>0</v>
      </c>
      <c r="AV460" s="61">
        <f>Table43[[#This Row],[Harga Jual Krt GT
(- PPN)]]*1.11</f>
        <v>0</v>
      </c>
      <c r="AW460" s="61">
        <f>IFERROR(VLOOKUP(Table43[[#This Row],[Kode Pcpl]],'[1]FEB 2026'!$A$3:$X$312,24,0),0)</f>
        <v>0</v>
      </c>
      <c r="AX460" s="61">
        <f>Table43[[#This Row],[Harga Jual Pcs MT
(-PPN)]]*Table43[[#This Row],[ISI/CTN]]</f>
        <v>0</v>
      </c>
      <c r="AY460" s="61">
        <f>Table43[[#This Row],[Harga Jual Pcs MT
(-PPN)]]*1.11</f>
        <v>0</v>
      </c>
      <c r="AZ460" s="61">
        <f>Table43[[#This Row],[Harga Jual Pcs MT
(+PPN)]]*Table43[[#This Row],[ISI/CTN]]</f>
        <v>0</v>
      </c>
      <c r="BA460" s="62" t="e">
        <f>(Table43[[#This Row],[Harga Jual Pcs GT
(-PPN)]]-Table43[[#This Row],[Harga Beli Pcs
(-PPN)]])/Table43[[#This Row],[Harga Jual Pcs GT
(-PPN)]]</f>
        <v>#DIV/0!</v>
      </c>
      <c r="BB460" s="63">
        <f>Table43[[#This Row],[Harga Jual Pcs MT
(-PPN)]]-Table43[[#This Row],[Harga Beli Pcs
(-PPN)]]</f>
        <v>0</v>
      </c>
      <c r="BC460" s="64" t="e">
        <f>Table43[[#This Row],[Column1]]/Table43[[#This Row],[Harga Jual Pcs MT
(-PPN)]]</f>
        <v>#DIV/0!</v>
      </c>
      <c r="BD460" s="52"/>
      <c r="BE460" s="7"/>
      <c r="BF460" s="7" t="str">
        <f ca="1">IF(TODAY()-Table43[[#This Row],[Efektif
Pembuatan]]&gt;60,"Lama","Baru")</f>
        <v>Lama</v>
      </c>
      <c r="BG460" s="7" t="str">
        <f ca="1">IF(TODAY()-Table43[[#This Row],[Efektif Naik Harga]]&lt;30,"Naik","Sama")</f>
        <v>Sama</v>
      </c>
      <c r="BH460" s="7"/>
      <c r="BI460" s="7" t="str">
        <f>IF(Table43[[#This Row],[Kode BARANG Win2]]&lt;&gt;"","IDR","")</f>
        <v>IDR</v>
      </c>
      <c r="BJ460" s="7" t="str">
        <f>CONCATENATE(Table43[[#This Row],[kode  1 Digit
(Nomor)]],Table43[[#This Row],[kode  4 Digit                (Nomor)]])</f>
        <v>0350</v>
      </c>
      <c r="BK460" s="7" t="str">
        <f>Table43[[#This Row],[Nama            Gramasi atau Jumlah Pack per CTN]]</f>
        <v>350ML</v>
      </c>
      <c r="BL460" s="7"/>
      <c r="BM460" s="7"/>
      <c r="BN460" s="4" t="str">
        <f>IF(Table43[[#This Row],[SATUAN Fix Win]]&lt;&gt;"","KRT")</f>
        <v>KRT</v>
      </c>
      <c r="BO460" s="4" t="str">
        <f>IF(Table43[[#This Row],[SATUAN Fix Win]]&lt;&gt;"","GD01")</f>
        <v>GD01</v>
      </c>
      <c r="BP460" s="4">
        <f>IF(Table43[[#This Row],[SATUAN Fix Win]]&lt;&gt;"",11611)</f>
        <v>11611</v>
      </c>
      <c r="BQ460" s="4">
        <f>IF(Table43[[#This Row],[SATUAN Fix Win]]&lt;&gt;"",11612)</f>
        <v>11612</v>
      </c>
      <c r="BS460" s="4">
        <f>IF(Table43[[#This Row],[SATUAN Fix Win]]&lt;&gt;"",1)</f>
        <v>1</v>
      </c>
      <c r="BU460" s="4">
        <f>Table43[[#This Row],[ISI/CTN]]</f>
        <v>12</v>
      </c>
    </row>
    <row r="461" spans="1:75">
      <c r="A461" s="4" t="str">
        <f>CONCATENATE(Table43[[#This Row],[Kode BARANG Win2]],Table43[[#This Row],[No. Urut
Item Sama]])</f>
        <v>G1261012035010</v>
      </c>
      <c r="B461" s="7"/>
      <c r="C461" s="31">
        <v>30500040042001</v>
      </c>
      <c r="D461" s="59">
        <v>40057471</v>
      </c>
      <c r="E461" s="60" t="s">
        <v>2100</v>
      </c>
      <c r="F461" s="59">
        <v>30490150350000</v>
      </c>
      <c r="G461" s="59">
        <v>0</v>
      </c>
      <c r="H461" s="60" t="s">
        <v>1422</v>
      </c>
      <c r="I461" s="60">
        <v>12</v>
      </c>
      <c r="J461" s="59" t="s">
        <v>1776</v>
      </c>
      <c r="K461" s="60" t="str">
        <f>Table43[[#This Row],[NamaJenisKemasan]]</f>
        <v>KLG</v>
      </c>
      <c r="L461" s="4" t="str">
        <f>TRIM(CONCATENATE(Table43[[#This Row],[Nama            KLP]]," ",Table43[[#This Row],[Nama            Sub KLP]]))</f>
        <v>STELLA AEROSOL</v>
      </c>
      <c r="M461" s="4" t="str">
        <f>CONCATENATE(Table43[[#This Row],[kode  2 Digit                (hrf+No)]],Table43[[#This Row],[kode  2 Digit                (Nomor)]],Table43[[#This Row],[kode  1 Digit                (Nomor)]])</f>
        <v>G1261</v>
      </c>
      <c r="N461" s="4" t="str">
        <f>IF(AI461="",CONCATENATE(S461,U461,W461,Y461,AA461,AC461,AE461,AG461,Table43[[#This Row],[Tanda Kode Revisi]]),CONCATENATE(S461,U461,W461,Y461,AA461,AC461,AE461,AI461))</f>
        <v>G1261012035010</v>
      </c>
      <c r="O461" s="11">
        <f t="shared" si="12"/>
        <v>14</v>
      </c>
      <c r="P461" s="14" t="str">
        <f>IF(AH461&lt;&gt;"",TRIM(UPPER(CONCATENATE(R461," ",T461," ",V461," ",X461," ",Z461," ",AB461," ","X"," ",Table43[[#This Row],[ISI/CTN]]," ",AH461," ",AD461," ",AF461," ",AJ461))),TRIM(UPPER(CONCATENATE(R461," ",T461," ",V461," ",X461," ",Z461," ",AB461," ","X"," ",Table43[[#This Row],[ISI/CTN]]," ",AD461," ",AF461," ",AJ461))))</f>
        <v>STELLA AEROSOL WARM VERBENA 350ML X 12 KLG</v>
      </c>
      <c r="Q461" s="11">
        <f t="shared" si="13"/>
        <v>42</v>
      </c>
      <c r="S461" s="7" t="s">
        <v>34</v>
      </c>
      <c r="T461" s="4" t="s">
        <v>2421</v>
      </c>
      <c r="U461" s="47" t="s">
        <v>2584</v>
      </c>
      <c r="V461" s="48" t="s">
        <v>2243</v>
      </c>
      <c r="W461" s="7">
        <v>1</v>
      </c>
      <c r="X461" s="48"/>
      <c r="Y461" s="47" t="s">
        <v>1116</v>
      </c>
      <c r="Z461" s="4" t="s">
        <v>2427</v>
      </c>
      <c r="AA461" s="49" t="s">
        <v>2558</v>
      </c>
      <c r="AB461" s="4" t="s">
        <v>2372</v>
      </c>
      <c r="AC461" s="49" t="s">
        <v>2619</v>
      </c>
      <c r="AD461" s="4" t="s">
        <v>2221</v>
      </c>
      <c r="AE461" s="7">
        <v>1</v>
      </c>
      <c r="AG461" s="7">
        <v>0</v>
      </c>
      <c r="AK461" s="70">
        <f>Table43[[#This Row],[Column4]]</f>
        <v>30490150350000</v>
      </c>
      <c r="AN461" s="7">
        <f>Table43[[#This Row],[ISI/CTN]]</f>
        <v>12</v>
      </c>
      <c r="AO461" s="61">
        <f>Table43[[#This Row],[Harga Jual Pcs GT
(-PPN)]]-(Table43[[#This Row],[Harga Jual Pcs GT
(-PPN)]]*6.5%)</f>
        <v>20383</v>
      </c>
      <c r="AP461" s="61">
        <f>Table43[[#This Row],[Harga Beli Pcs
(-PPN)]]*Table43[[#This Row],[ISI/CTN]]</f>
        <v>244596</v>
      </c>
      <c r="AQ461" s="61">
        <f>Table43[[#This Row],[Harga Beli Pcs
(-PPN)]]*1.11</f>
        <v>22625.13</v>
      </c>
      <c r="AR461" s="61">
        <f>Table43[[#This Row],[Harga Beli Krt
(- PPN)]]*1.11</f>
        <v>271501.56</v>
      </c>
      <c r="AS461" s="61">
        <v>21800</v>
      </c>
      <c r="AT461" s="61">
        <f>Table43[[#This Row],[Harga Jual Pcs GT
(-PPN)]]*Table43[[#This Row],[ISI/CTN]]</f>
        <v>261600</v>
      </c>
      <c r="AU461" s="61">
        <f>Table43[[#This Row],[Harga Jual Pcs GT
(-PPN)]]*1.11</f>
        <v>24198.000000000004</v>
      </c>
      <c r="AV461" s="61">
        <f>Table43[[#This Row],[Harga Jual Krt GT
(- PPN)]]*1.11</f>
        <v>290376</v>
      </c>
      <c r="AW461" s="61">
        <f>IFERROR(VLOOKUP(Table43[[#This Row],[Kode Pcpl]],'[1]FEB 2026'!$A$3:$X$312,24,0),0)</f>
        <v>0</v>
      </c>
      <c r="AX461" s="61">
        <f>Table43[[#This Row],[Harga Jual Pcs MT
(-PPN)]]*Table43[[#This Row],[ISI/CTN]]</f>
        <v>0</v>
      </c>
      <c r="AY461" s="61">
        <f>Table43[[#This Row],[Harga Jual Pcs MT
(-PPN)]]*1.11</f>
        <v>0</v>
      </c>
      <c r="AZ461" s="61">
        <f>Table43[[#This Row],[Harga Jual Pcs MT
(+PPN)]]*Table43[[#This Row],[ISI/CTN]]</f>
        <v>0</v>
      </c>
      <c r="BA461" s="62">
        <f>(Table43[[#This Row],[Harga Jual Pcs GT
(-PPN)]]-Table43[[#This Row],[Harga Beli Pcs
(-PPN)]])/Table43[[#This Row],[Harga Jual Pcs GT
(-PPN)]]</f>
        <v>6.5000000000000002E-2</v>
      </c>
      <c r="BB461" s="63">
        <f>Table43[[#This Row],[Harga Jual Pcs MT
(-PPN)]]-Table43[[#This Row],[Harga Beli Pcs
(-PPN)]]</f>
        <v>-20383</v>
      </c>
      <c r="BC461" s="64" t="e">
        <f>Table43[[#This Row],[Column1]]/Table43[[#This Row],[Harga Jual Pcs MT
(-PPN)]]</f>
        <v>#DIV/0!</v>
      </c>
      <c r="BD461" s="52"/>
      <c r="BE461" s="7"/>
      <c r="BF461" s="7" t="str">
        <f ca="1">IF(TODAY()-Table43[[#This Row],[Efektif
Pembuatan]]&gt;60,"Lama","Baru")</f>
        <v>Lama</v>
      </c>
      <c r="BG461" s="7" t="str">
        <f ca="1">IF(TODAY()-Table43[[#This Row],[Efektif Naik Harga]]&lt;30,"Naik","Sama")</f>
        <v>Sama</v>
      </c>
      <c r="BH461" s="7"/>
      <c r="BI461" s="7" t="str">
        <f>IF(Table43[[#This Row],[Kode BARANG Win2]]&lt;&gt;"","IDR","")</f>
        <v>IDR</v>
      </c>
      <c r="BJ461" s="7" t="str">
        <f>CONCATENATE(Table43[[#This Row],[kode  1 Digit
(Nomor)]],Table43[[#This Row],[kode  4 Digit                (Nomor)]])</f>
        <v>0350</v>
      </c>
      <c r="BK461" s="7" t="str">
        <f>Table43[[#This Row],[Nama            Gramasi atau Jumlah Pack per CTN]]</f>
        <v>350ML</v>
      </c>
      <c r="BL461" s="7"/>
      <c r="BM461" s="7"/>
      <c r="BN461" s="4" t="str">
        <f>IF(Table43[[#This Row],[SATUAN Fix Win]]&lt;&gt;"","KRT")</f>
        <v>KRT</v>
      </c>
      <c r="BO461" s="4" t="str">
        <f>IF(Table43[[#This Row],[SATUAN Fix Win]]&lt;&gt;"","GD01")</f>
        <v>GD01</v>
      </c>
      <c r="BP461" s="4">
        <f>IF(Table43[[#This Row],[SATUAN Fix Win]]&lt;&gt;"",11611)</f>
        <v>11611</v>
      </c>
      <c r="BQ461" s="4">
        <f>IF(Table43[[#This Row],[SATUAN Fix Win]]&lt;&gt;"",11612)</f>
        <v>11612</v>
      </c>
      <c r="BS461" s="4">
        <f>IF(Table43[[#This Row],[SATUAN Fix Win]]&lt;&gt;"",1)</f>
        <v>1</v>
      </c>
      <c r="BU461" s="4">
        <f>Table43[[#This Row],[ISI/CTN]]</f>
        <v>12</v>
      </c>
    </row>
    <row r="462" spans="1:75">
      <c r="A462" s="4" t="str">
        <f>CONCATENATE(Table43[[#This Row],[Kode BARANG Win2]],Table43[[#This Row],[No. Urut
Item Sama]])</f>
        <v>G1261012035010</v>
      </c>
      <c r="B462" s="7"/>
      <c r="C462" s="31"/>
      <c r="D462" s="51">
        <v>40033727</v>
      </c>
      <c r="E462" s="27"/>
      <c r="F462" s="51"/>
      <c r="G462" s="51"/>
      <c r="H462" s="27"/>
      <c r="I462" s="27">
        <v>12</v>
      </c>
      <c r="J462" s="59" t="s">
        <v>1776</v>
      </c>
      <c r="K462" s="27" t="str">
        <f>Table43[[#This Row],[NamaJenisKemasan]]</f>
        <v>KLG</v>
      </c>
      <c r="L462" s="4" t="str">
        <f>TRIM(CONCATENATE(Table43[[#This Row],[Nama            KLP]]," ",Table43[[#This Row],[Nama            Sub KLP]]))</f>
        <v>STELLA AEROSOL</v>
      </c>
      <c r="M462" s="4" t="str">
        <f>CONCATENATE(Table43[[#This Row],[kode  2 Digit                (hrf+No)]],Table43[[#This Row],[kode  2 Digit                (Nomor)]],Table43[[#This Row],[kode  1 Digit                (Nomor)]])</f>
        <v>G1261</v>
      </c>
      <c r="N462" s="4" t="str">
        <f>IF(AI462="",CONCATENATE(S462,U462,W462,Y462,AA462,AC462,AE462,AG462,Table43[[#This Row],[Tanda Kode Revisi]]),CONCATENATE(S462,U462,W462,Y462,AA462,AC462,AE462,AI462))</f>
        <v>G1261012035010</v>
      </c>
      <c r="O462" s="11">
        <f>LEN(N462)</f>
        <v>14</v>
      </c>
      <c r="P462" s="14" t="str">
        <f>IF(AH462&lt;&gt;"",TRIM(UPPER(CONCATENATE(R462," ",T462," ",V462," ",X462," ",Z462," ",AB462," ","X"," ",Table43[[#This Row],[ISI/CTN]]," ",AH462," ",AD462," ",AF462," ",AJ462))),TRIM(UPPER(CONCATENATE(R462," ",T462," ",V462," ",X462," ",Z462," ",AB462," ","X"," ",Table43[[#This Row],[ISI/CTN]]," ",AD462," ",AF462," ",AJ462))))</f>
        <v>STELLA AEROSOL WARM VERBENA 350ML X 12 KLG</v>
      </c>
      <c r="Q462" s="11">
        <f>LEN(P462)</f>
        <v>42</v>
      </c>
      <c r="S462" s="7" t="s">
        <v>34</v>
      </c>
      <c r="T462" s="4" t="s">
        <v>2421</v>
      </c>
      <c r="U462" s="47" t="s">
        <v>2584</v>
      </c>
      <c r="V462" s="48" t="s">
        <v>2243</v>
      </c>
      <c r="W462" s="7">
        <v>1</v>
      </c>
      <c r="X462" s="48"/>
      <c r="Y462" s="47" t="s">
        <v>1116</v>
      </c>
      <c r="Z462" s="4" t="s">
        <v>2427</v>
      </c>
      <c r="AA462" s="49" t="s">
        <v>2558</v>
      </c>
      <c r="AB462" s="4" t="s">
        <v>2372</v>
      </c>
      <c r="AC462" s="49" t="s">
        <v>2619</v>
      </c>
      <c r="AD462" s="4" t="s">
        <v>2221</v>
      </c>
      <c r="AE462" s="7">
        <v>1</v>
      </c>
      <c r="AG462" s="7">
        <v>0</v>
      </c>
      <c r="AK462" s="70">
        <f>Table43[[#This Row],[Column4]]</f>
        <v>0</v>
      </c>
      <c r="AN462" s="7">
        <f>Table43[[#This Row],[ISI/CTN]]</f>
        <v>12</v>
      </c>
      <c r="AO462" s="61">
        <f>Table43[[#This Row],[Harga Jual Pcs GT
(-PPN)]]-(Table43[[#This Row],[Harga Jual Pcs GT
(-PPN)]]*6.5%)</f>
        <v>0</v>
      </c>
      <c r="AP462" s="61">
        <f>Table43[[#This Row],[Harga Beli Pcs
(-PPN)]]*Table43[[#This Row],[ISI/CTN]]</f>
        <v>0</v>
      </c>
      <c r="AQ462" s="61">
        <f>Table43[[#This Row],[Harga Beli Pcs
(-PPN)]]*1.11</f>
        <v>0</v>
      </c>
      <c r="AR462" s="61">
        <f>Table43[[#This Row],[Harga Beli Krt
(- PPN)]]*1.11</f>
        <v>0</v>
      </c>
      <c r="AS462" s="61"/>
      <c r="AT462" s="61">
        <f>Table43[[#This Row],[Harga Jual Pcs GT
(-PPN)]]*Table43[[#This Row],[ISI/CTN]]</f>
        <v>0</v>
      </c>
      <c r="AU462" s="61">
        <f>Table43[[#This Row],[Harga Jual Pcs GT
(-PPN)]]*1.11</f>
        <v>0</v>
      </c>
      <c r="AV462" s="61">
        <f>Table43[[#This Row],[Harga Jual Krt GT
(- PPN)]]*1.11</f>
        <v>0</v>
      </c>
      <c r="AW462" s="61">
        <f>IFERROR(VLOOKUP(Table43[[#This Row],[Kode Pcpl]],'[1]FEB 2026'!$A$3:$X$312,24,0),0)</f>
        <v>0</v>
      </c>
      <c r="AX462" s="61">
        <f>Table43[[#This Row],[Harga Jual Pcs MT
(-PPN)]]*Table43[[#This Row],[ISI/CTN]]</f>
        <v>0</v>
      </c>
      <c r="AY462" s="61">
        <f>Table43[[#This Row],[Harga Jual Pcs MT
(-PPN)]]*1.11</f>
        <v>0</v>
      </c>
      <c r="AZ462" s="61">
        <f>Table43[[#This Row],[Harga Jual Pcs MT
(+PPN)]]*Table43[[#This Row],[ISI/CTN]]</f>
        <v>0</v>
      </c>
      <c r="BA462" s="62" t="e">
        <f>(Table43[[#This Row],[Harga Jual Pcs GT
(-PPN)]]-Table43[[#This Row],[Harga Beli Pcs
(-PPN)]])/Table43[[#This Row],[Harga Jual Pcs GT
(-PPN)]]</f>
        <v>#DIV/0!</v>
      </c>
      <c r="BB462" s="63">
        <f>Table43[[#This Row],[Harga Jual Pcs MT
(-PPN)]]-Table43[[#This Row],[Harga Beli Pcs
(-PPN)]]</f>
        <v>0</v>
      </c>
      <c r="BC462" s="64" t="e">
        <f>Table43[[#This Row],[Column1]]/Table43[[#This Row],[Harga Jual Pcs MT
(-PPN)]]</f>
        <v>#DIV/0!</v>
      </c>
      <c r="BD462" s="52"/>
      <c r="BE462" s="7"/>
      <c r="BF462" s="7" t="str">
        <f ca="1">IF(TODAY()-Table43[[#This Row],[Efektif
Pembuatan]]&gt;60,"Lama","Baru")</f>
        <v>Lama</v>
      </c>
      <c r="BG462" s="7" t="str">
        <f ca="1">IF(TODAY()-Table43[[#This Row],[Efektif Naik Harga]]&lt;30,"Naik","Sama")</f>
        <v>Sama</v>
      </c>
      <c r="BH462" s="7"/>
      <c r="BI462" s="7" t="str">
        <f>IF(Table43[[#This Row],[Kode BARANG Win2]]&lt;&gt;"","IDR","")</f>
        <v>IDR</v>
      </c>
      <c r="BJ462" s="7" t="str">
        <f>CONCATENATE(Table43[[#This Row],[kode  1 Digit
(Nomor)]],Table43[[#This Row],[kode  4 Digit                (Nomor)]])</f>
        <v>0350</v>
      </c>
      <c r="BK462" s="7" t="str">
        <f>Table43[[#This Row],[Nama            Gramasi atau Jumlah Pack per CTN]]</f>
        <v>350ML</v>
      </c>
      <c r="BL462" s="7"/>
      <c r="BM462" s="7"/>
      <c r="BN462" s="4" t="str">
        <f>IF(Table43[[#This Row],[SATUAN Fix Win]]&lt;&gt;"","KRT")</f>
        <v>KRT</v>
      </c>
      <c r="BO462" s="4" t="str">
        <f>IF(Table43[[#This Row],[SATUAN Fix Win]]&lt;&gt;"","GD01")</f>
        <v>GD01</v>
      </c>
      <c r="BP462" s="4">
        <f>IF(Table43[[#This Row],[SATUAN Fix Win]]&lt;&gt;"",11611)</f>
        <v>11611</v>
      </c>
      <c r="BQ462" s="4">
        <f>IF(Table43[[#This Row],[SATUAN Fix Win]]&lt;&gt;"",11612)</f>
        <v>11612</v>
      </c>
      <c r="BS462" s="4">
        <f>IF(Table43[[#This Row],[SATUAN Fix Win]]&lt;&gt;"",1)</f>
        <v>1</v>
      </c>
      <c r="BU462" s="4">
        <f>Table43[[#This Row],[ISI/CTN]]</f>
        <v>12</v>
      </c>
    </row>
    <row r="463" spans="1:75">
      <c r="A463" s="4" t="str">
        <f>CONCATENATE(Table43[[#This Row],[Kode BARANG Win2]],Table43[[#This Row],[No. Urut
Item Sama]])</f>
        <v>G1261102030020</v>
      </c>
      <c r="B463" s="7"/>
      <c r="C463" s="31">
        <v>30490040400000</v>
      </c>
      <c r="D463" s="59">
        <v>40030010</v>
      </c>
      <c r="E463" s="60" t="s">
        <v>2140</v>
      </c>
      <c r="F463" s="59">
        <v>30580010300010</v>
      </c>
      <c r="G463" s="59">
        <v>0</v>
      </c>
      <c r="H463" s="60" t="s">
        <v>1469</v>
      </c>
      <c r="I463" s="60">
        <v>12</v>
      </c>
      <c r="J463" s="59" t="s">
        <v>1808</v>
      </c>
      <c r="K463" s="60" t="str">
        <f>Table43[[#This Row],[NamaJenisKemasan]]</f>
        <v>KLG</v>
      </c>
      <c r="L463" s="4" t="str">
        <f>TRIM(CONCATENATE(Table43[[#This Row],[Nama            KLP]]," ",Table43[[#This Row],[Nama            Sub KLP]]))</f>
        <v>STELLA AEROSOL</v>
      </c>
      <c r="M463" s="4" t="str">
        <f>CONCATENATE(Table43[[#This Row],[kode  2 Digit                (hrf+No)]],Table43[[#This Row],[kode  2 Digit                (Nomor)]],Table43[[#This Row],[kode  1 Digit                (Nomor)]])</f>
        <v>G1261</v>
      </c>
      <c r="N463" s="4" t="str">
        <f>IF(AI463="",CONCATENATE(S463,U463,W463,Y463,AA463,AC463,AE463,AG463,Table43[[#This Row],[Tanda Kode Revisi]]),CONCATENATE(S463,U463,W463,Y463,AA463,AC463,AE463,AI463))</f>
        <v>G1261102030020</v>
      </c>
      <c r="O463" s="11">
        <f t="shared" si="12"/>
        <v>14</v>
      </c>
      <c r="P463" s="14" t="str">
        <f>IF(AH463&lt;&gt;"",TRIM(UPPER(CONCATENATE(R463," ",T463," ",V463," ",X463," ",Z463," ",AB463," ","X"," ",Table43[[#This Row],[ISI/CTN]]," ",AH463," ",AD463," ",AF463," ",AJ463))),TRIM(UPPER(CONCATENATE(R463," ",T463," ",V463," ",X463," ",Z463," ",AB463," ","X"," ",Table43[[#This Row],[ISI/CTN]]," ",AD463," ",AF463," ",AJ463))))</f>
        <v>STELLA AEROSOL F&amp;P CITRUS 300ML X 12 KLG</v>
      </c>
      <c r="Q463" s="11">
        <f t="shared" si="13"/>
        <v>40</v>
      </c>
      <c r="S463" s="7" t="s">
        <v>34</v>
      </c>
      <c r="T463" s="4" t="s">
        <v>2421</v>
      </c>
      <c r="U463" s="47" t="s">
        <v>2584</v>
      </c>
      <c r="V463" s="48" t="s">
        <v>2243</v>
      </c>
      <c r="W463" s="7">
        <v>1</v>
      </c>
      <c r="X463" s="48" t="s">
        <v>2649</v>
      </c>
      <c r="Y463" s="47" t="s">
        <v>2539</v>
      </c>
      <c r="Z463" s="4" t="s">
        <v>2390</v>
      </c>
      <c r="AA463" s="49" t="s">
        <v>2459</v>
      </c>
      <c r="AB463" s="4" t="s">
        <v>2374</v>
      </c>
      <c r="AC463" s="49" t="s">
        <v>2618</v>
      </c>
      <c r="AD463" s="4" t="s">
        <v>2221</v>
      </c>
      <c r="AE463" s="7">
        <v>2</v>
      </c>
      <c r="AG463" s="7">
        <v>0</v>
      </c>
      <c r="AK463" s="70">
        <f>Table43[[#This Row],[Column4]]</f>
        <v>30580010300010</v>
      </c>
      <c r="AN463" s="7">
        <f>Table43[[#This Row],[ISI/CTN]]</f>
        <v>12</v>
      </c>
      <c r="AO463" s="38">
        <f>Table43[[#This Row],[Harga Jual Pcs GT
(-PPN)]]-(Table43[[#This Row],[Harga Jual Pcs GT
(-PPN)]]*6.5%)</f>
        <v>25993</v>
      </c>
      <c r="AP463" s="38">
        <f>Table43[[#This Row],[Harga Beli Pcs
(-PPN)]]*Table43[[#This Row],[ISI/CTN]]</f>
        <v>311916</v>
      </c>
      <c r="AQ463" s="38">
        <f>Table43[[#This Row],[Harga Beli Pcs
(-PPN)]]*1.11</f>
        <v>28852.230000000003</v>
      </c>
      <c r="AR463" s="38">
        <f>Table43[[#This Row],[Harga Beli Krt
(- PPN)]]*1.11</f>
        <v>346226.76</v>
      </c>
      <c r="AS463" s="38">
        <v>27800</v>
      </c>
      <c r="AT463" s="38">
        <f>Table43[[#This Row],[Harga Jual Pcs GT
(-PPN)]]*Table43[[#This Row],[ISI/CTN]]</f>
        <v>333600</v>
      </c>
      <c r="AU463" s="38">
        <f>Table43[[#This Row],[Harga Jual Pcs GT
(-PPN)]]*1.11</f>
        <v>30858.000000000004</v>
      </c>
      <c r="AV463" s="38">
        <f>Table43[[#This Row],[Harga Jual Krt GT
(- PPN)]]*1.11</f>
        <v>370296.00000000006</v>
      </c>
      <c r="AW463" s="38">
        <f>IFERROR(VLOOKUP(Table43[[#This Row],[Kode Pcpl]],'[1]FEB 2026'!$A$3:$X$312,24,0),0)</f>
        <v>0</v>
      </c>
      <c r="AX463" s="38">
        <f>Table43[[#This Row],[Harga Jual Pcs MT
(-PPN)]]*Table43[[#This Row],[ISI/CTN]]</f>
        <v>0</v>
      </c>
      <c r="AY463" s="38">
        <f>Table43[[#This Row],[Harga Jual Pcs MT
(-PPN)]]*1.11</f>
        <v>0</v>
      </c>
      <c r="AZ463" s="38">
        <f>Table43[[#This Row],[Harga Jual Pcs MT
(+PPN)]]*Table43[[#This Row],[ISI/CTN]]</f>
        <v>0</v>
      </c>
      <c r="BA463" s="46">
        <f>(Table43[[#This Row],[Harga Jual Pcs GT
(-PPN)]]-Table43[[#This Row],[Harga Beli Pcs
(-PPN)]])/Table43[[#This Row],[Harga Jual Pcs GT
(-PPN)]]</f>
        <v>6.5000000000000002E-2</v>
      </c>
      <c r="BB463" s="53">
        <f>Table43[[#This Row],[Harga Jual Pcs MT
(-PPN)]]-Table43[[#This Row],[Harga Beli Pcs
(-PPN)]]</f>
        <v>-25993</v>
      </c>
      <c r="BC463" s="54" t="e">
        <f>Table43[[#This Row],[Column1]]/Table43[[#This Row],[Harga Jual Pcs MT
(-PPN)]]</f>
        <v>#DIV/0!</v>
      </c>
      <c r="BD463" s="52"/>
      <c r="BE463" s="7"/>
      <c r="BF463" s="7" t="str">
        <f ca="1">IF(TODAY()-Table43[[#This Row],[Efektif
Pembuatan]]&gt;60,"Lama","Baru")</f>
        <v>Lama</v>
      </c>
      <c r="BG463" s="7" t="str">
        <f ca="1">IF(TODAY()-Table43[[#This Row],[Efektif Naik Harga]]&lt;30,"Naik","Sama")</f>
        <v>Sama</v>
      </c>
      <c r="BH463" s="7"/>
      <c r="BI463" s="7" t="str">
        <f>IF(Table43[[#This Row],[Kode BARANG Win2]]&lt;&gt;"","IDR","")</f>
        <v>IDR</v>
      </c>
      <c r="BJ463" s="7" t="str">
        <f>CONCATENATE(Table43[[#This Row],[kode  1 Digit
(Nomor)]],Table43[[#This Row],[kode  4 Digit                (Nomor)]])</f>
        <v>0300</v>
      </c>
      <c r="BK463" s="7" t="str">
        <f>Table43[[#This Row],[Nama            Gramasi atau Jumlah Pack per CTN]]</f>
        <v>300ML</v>
      </c>
      <c r="BL463" s="7"/>
      <c r="BM463" s="7"/>
      <c r="BN463" s="4" t="str">
        <f>IF(Table43[[#This Row],[SATUAN Fix Win]]&lt;&gt;"","KRT")</f>
        <v>KRT</v>
      </c>
      <c r="BO463" s="4" t="str">
        <f>IF(Table43[[#This Row],[SATUAN Fix Win]]&lt;&gt;"","GD01")</f>
        <v>GD01</v>
      </c>
      <c r="BP463" s="4">
        <f>IF(Table43[[#This Row],[SATUAN Fix Win]]&lt;&gt;"",11611)</f>
        <v>11611</v>
      </c>
      <c r="BQ463" s="4">
        <f>IF(Table43[[#This Row],[SATUAN Fix Win]]&lt;&gt;"",11612)</f>
        <v>11612</v>
      </c>
      <c r="BS463" s="4">
        <f>IF(Table43[[#This Row],[SATUAN Fix Win]]&lt;&gt;"",1)</f>
        <v>1</v>
      </c>
      <c r="BU463" s="4">
        <f>Table43[[#This Row],[ISI/CTN]]</f>
        <v>12</v>
      </c>
    </row>
    <row r="464" spans="1:75">
      <c r="A464" s="4" t="str">
        <f>CONCATENATE(Table43[[#This Row],[Kode BARANG Win2]],Table43[[#This Row],[No. Urut
Item Sama]])</f>
        <v>G1261103030020</v>
      </c>
      <c r="B464" s="7"/>
      <c r="C464" s="31">
        <v>30490080200010</v>
      </c>
      <c r="D464" s="51">
        <v>40030009</v>
      </c>
      <c r="E464" s="27" t="s">
        <v>2141</v>
      </c>
      <c r="F464" s="51">
        <v>30580020300010</v>
      </c>
      <c r="G464" s="51">
        <v>0</v>
      </c>
      <c r="H464" s="27" t="s">
        <v>1470</v>
      </c>
      <c r="I464" s="27">
        <v>12</v>
      </c>
      <c r="J464" s="51" t="s">
        <v>1809</v>
      </c>
      <c r="K464" s="27" t="str">
        <f>Table43[[#This Row],[NamaJenisKemasan]]</f>
        <v>KLG</v>
      </c>
      <c r="L464" s="4" t="str">
        <f>TRIM(CONCATENATE(Table43[[#This Row],[Nama            KLP]]," ",Table43[[#This Row],[Nama            Sub KLP]]))</f>
        <v>STELLA AEROSOL</v>
      </c>
      <c r="M464" s="4" t="str">
        <f>CONCATENATE(Table43[[#This Row],[kode  2 Digit                (hrf+No)]],Table43[[#This Row],[kode  2 Digit                (Nomor)]],Table43[[#This Row],[kode  1 Digit                (Nomor)]])</f>
        <v>G1261</v>
      </c>
      <c r="N464" s="4" t="str">
        <f>IF(AI464="",CONCATENATE(S464,U464,W464,Y464,AA464,AC464,AE464,AG464,Table43[[#This Row],[Tanda Kode Revisi]]),CONCATENATE(S464,U464,W464,Y464,AA464,AC464,AE464,AI464))</f>
        <v>G1261103030020</v>
      </c>
      <c r="O464" s="11">
        <f t="shared" si="12"/>
        <v>14</v>
      </c>
      <c r="P464" s="14" t="str">
        <f>IF(AH464&lt;&gt;"",TRIM(UPPER(CONCATENATE(R464," ",T464," ",V464," ",X464," ",Z464," ",AB464," ","X"," ",Table43[[#This Row],[ISI/CTN]]," ",AH464," ",AD464," ",AF464," ",AJ464))),TRIM(UPPER(CONCATENATE(R464," ",T464," ",V464," ",X464," ",Z464," ",AB464," ","X"," ",Table43[[#This Row],[ISI/CTN]]," ",AD464," ",AF464," ",AJ464))))</f>
        <v>STELLA AEROSOL F&amp;P FLORAL 300ML X 12 KLG</v>
      </c>
      <c r="Q464" s="11">
        <f t="shared" si="13"/>
        <v>40</v>
      </c>
      <c r="S464" s="7" t="s">
        <v>34</v>
      </c>
      <c r="T464" s="4" t="s">
        <v>2421</v>
      </c>
      <c r="U464" s="47" t="s">
        <v>2584</v>
      </c>
      <c r="V464" s="48" t="s">
        <v>2243</v>
      </c>
      <c r="W464" s="7">
        <v>1</v>
      </c>
      <c r="X464" s="48" t="s">
        <v>2649</v>
      </c>
      <c r="Y464" s="47" t="s">
        <v>2539</v>
      </c>
      <c r="Z464" s="4" t="s">
        <v>2232</v>
      </c>
      <c r="AA464" s="49" t="s">
        <v>2538</v>
      </c>
      <c r="AB464" s="4" t="s">
        <v>2374</v>
      </c>
      <c r="AC464" s="49" t="s">
        <v>2618</v>
      </c>
      <c r="AD464" s="4" t="s">
        <v>2221</v>
      </c>
      <c r="AE464" s="7">
        <v>2</v>
      </c>
      <c r="AG464" s="7">
        <v>0</v>
      </c>
      <c r="AK464" s="70">
        <f>Table43[[#This Row],[Column4]]</f>
        <v>30580020300010</v>
      </c>
      <c r="AN464" s="7">
        <f>Table43[[#This Row],[ISI/CTN]]</f>
        <v>12</v>
      </c>
      <c r="AO464" s="61">
        <f>Table43[[#This Row],[Harga Jual Pcs GT
(-PPN)]]-(Table43[[#This Row],[Harga Jual Pcs GT
(-PPN)]]*6.5%)</f>
        <v>25993</v>
      </c>
      <c r="AP464" s="61">
        <f>Table43[[#This Row],[Harga Beli Pcs
(-PPN)]]*Table43[[#This Row],[ISI/CTN]]</f>
        <v>311916</v>
      </c>
      <c r="AQ464" s="61">
        <f>Table43[[#This Row],[Harga Beli Pcs
(-PPN)]]*1.11</f>
        <v>28852.230000000003</v>
      </c>
      <c r="AR464" s="61">
        <f>Table43[[#This Row],[Harga Beli Krt
(- PPN)]]*1.11</f>
        <v>346226.76</v>
      </c>
      <c r="AS464" s="61">
        <v>27800</v>
      </c>
      <c r="AT464" s="61">
        <f>Table43[[#This Row],[Harga Jual Pcs GT
(-PPN)]]*Table43[[#This Row],[ISI/CTN]]</f>
        <v>333600</v>
      </c>
      <c r="AU464" s="61">
        <f>Table43[[#This Row],[Harga Jual Pcs GT
(-PPN)]]*1.11</f>
        <v>30858.000000000004</v>
      </c>
      <c r="AV464" s="61">
        <f>Table43[[#This Row],[Harga Jual Krt GT
(- PPN)]]*1.11</f>
        <v>370296.00000000006</v>
      </c>
      <c r="AW464" s="61">
        <f>IFERROR(VLOOKUP(Table43[[#This Row],[Kode Pcpl]],'[1]FEB 2026'!$A$3:$X$312,24,0),0)</f>
        <v>0</v>
      </c>
      <c r="AX464" s="61">
        <f>Table43[[#This Row],[Harga Jual Pcs MT
(-PPN)]]*Table43[[#This Row],[ISI/CTN]]</f>
        <v>0</v>
      </c>
      <c r="AY464" s="61">
        <f>Table43[[#This Row],[Harga Jual Pcs MT
(-PPN)]]*1.11</f>
        <v>0</v>
      </c>
      <c r="AZ464" s="61">
        <f>Table43[[#This Row],[Harga Jual Pcs MT
(+PPN)]]*Table43[[#This Row],[ISI/CTN]]</f>
        <v>0</v>
      </c>
      <c r="BA464" s="62">
        <f>(Table43[[#This Row],[Harga Jual Pcs GT
(-PPN)]]-Table43[[#This Row],[Harga Beli Pcs
(-PPN)]])/Table43[[#This Row],[Harga Jual Pcs GT
(-PPN)]]</f>
        <v>6.5000000000000002E-2</v>
      </c>
      <c r="BB464" s="63">
        <f>Table43[[#This Row],[Harga Jual Pcs MT
(-PPN)]]-Table43[[#This Row],[Harga Beli Pcs
(-PPN)]]</f>
        <v>-25993</v>
      </c>
      <c r="BC464" s="64" t="e">
        <f>Table43[[#This Row],[Column1]]/Table43[[#This Row],[Harga Jual Pcs MT
(-PPN)]]</f>
        <v>#DIV/0!</v>
      </c>
      <c r="BD464" s="52"/>
      <c r="BE464" s="7"/>
      <c r="BF464" s="7" t="str">
        <f ca="1">IF(TODAY()-Table43[[#This Row],[Efektif
Pembuatan]]&gt;60,"Lama","Baru")</f>
        <v>Lama</v>
      </c>
      <c r="BG464" s="7" t="str">
        <f ca="1">IF(TODAY()-Table43[[#This Row],[Efektif Naik Harga]]&lt;30,"Naik","Sama")</f>
        <v>Sama</v>
      </c>
      <c r="BH464" s="7"/>
      <c r="BI464" s="7" t="str">
        <f>IF(Table43[[#This Row],[Kode BARANG Win2]]&lt;&gt;"","IDR","")</f>
        <v>IDR</v>
      </c>
      <c r="BJ464" s="7" t="str">
        <f>CONCATENATE(Table43[[#This Row],[kode  1 Digit
(Nomor)]],Table43[[#This Row],[kode  4 Digit                (Nomor)]])</f>
        <v>0300</v>
      </c>
      <c r="BK464" s="7" t="str">
        <f>Table43[[#This Row],[Nama            Gramasi atau Jumlah Pack per CTN]]</f>
        <v>300ML</v>
      </c>
      <c r="BL464" s="7"/>
      <c r="BM464" s="7"/>
      <c r="BN464" s="4" t="str">
        <f>IF(Table43[[#This Row],[SATUAN Fix Win]]&lt;&gt;"","KRT")</f>
        <v>KRT</v>
      </c>
      <c r="BO464" s="4" t="str">
        <f>IF(Table43[[#This Row],[SATUAN Fix Win]]&lt;&gt;"","GD01")</f>
        <v>GD01</v>
      </c>
      <c r="BP464" s="4">
        <f>IF(Table43[[#This Row],[SATUAN Fix Win]]&lt;&gt;"",11611)</f>
        <v>11611</v>
      </c>
      <c r="BQ464" s="4">
        <f>IF(Table43[[#This Row],[SATUAN Fix Win]]&lt;&gt;"",11612)</f>
        <v>11612</v>
      </c>
      <c r="BS464" s="4">
        <f>IF(Table43[[#This Row],[SATUAN Fix Win]]&lt;&gt;"",1)</f>
        <v>1</v>
      </c>
      <c r="BU464" s="4">
        <f>Table43[[#This Row],[ISI/CTN]]</f>
        <v>12</v>
      </c>
    </row>
    <row r="465" spans="1:75">
      <c r="A465" s="4" t="str">
        <f>CONCATENATE(Table43[[#This Row],[Kode BARANG Win2]],Table43[[#This Row],[No. Urut
Item Sama]])</f>
        <v>G1261201024510</v>
      </c>
      <c r="B465" s="7"/>
      <c r="C465" s="31">
        <v>30602010000010</v>
      </c>
      <c r="D465" s="59">
        <v>40030007</v>
      </c>
      <c r="E465" s="60" t="s">
        <v>2139</v>
      </c>
      <c r="F465" s="51">
        <v>30560020245000</v>
      </c>
      <c r="G465" s="59">
        <v>0</v>
      </c>
      <c r="H465" s="60" t="s">
        <v>1468</v>
      </c>
      <c r="I465" s="60">
        <v>12</v>
      </c>
      <c r="J465" s="59" t="s">
        <v>1807</v>
      </c>
      <c r="K465" s="60" t="str">
        <f>Table43[[#This Row],[NamaJenisKemasan]]</f>
        <v>PCS</v>
      </c>
      <c r="L465" s="4" t="str">
        <f>TRIM(CONCATENATE(Table43[[#This Row],[Nama            KLP]]," ",Table43[[#This Row],[Nama            Sub KLP]]))</f>
        <v>STELLA AEROSOL</v>
      </c>
      <c r="M465" s="4" t="str">
        <f>CONCATENATE(Table43[[#This Row],[kode  2 Digit                (hrf+No)]],Table43[[#This Row],[kode  2 Digit                (Nomor)]],Table43[[#This Row],[kode  1 Digit                (Nomor)]])</f>
        <v>G1261</v>
      </c>
      <c r="N465" s="4" t="str">
        <f>IF(AI465="",CONCATENATE(S465,U465,W465,Y465,AA465,AC465,AE465,AG465,Table43[[#This Row],[Tanda Kode Revisi]]),CONCATENATE(S465,U465,W465,Y465,AA465,AC465,AE465,AI465))</f>
        <v>G1261201024510</v>
      </c>
      <c r="O465" s="11">
        <f t="shared" si="12"/>
        <v>14</v>
      </c>
      <c r="P465" s="14" t="str">
        <f>IF(AH465&lt;&gt;"",TRIM(UPPER(CONCATENATE(R465," ",T465," ",V465," ",X465," ",Z465," ",AB465," ","X"," ",Table43[[#This Row],[ISI/CTN]]," ",AH465," ",AD465," ",AF465," ",AJ465))),TRIM(UPPER(CONCATENATE(R465," ",T465," ",V465," ",X465," ",Z465," ",AB465," ","X"," ",Table43[[#This Row],[ISI/CTN]]," ",AD465," ",AF465," ",AJ465))))</f>
        <v>STELLA AEROSOL F&amp;P FABRIC SPRAY COTTON BLOOM 245ML X 12 PCS</v>
      </c>
      <c r="Q465" s="11">
        <f t="shared" si="13"/>
        <v>59</v>
      </c>
      <c r="S465" s="7" t="s">
        <v>34</v>
      </c>
      <c r="T465" s="4" t="s">
        <v>2421</v>
      </c>
      <c r="U465" s="47" t="s">
        <v>2584</v>
      </c>
      <c r="V465" s="48" t="s">
        <v>2243</v>
      </c>
      <c r="W465" s="7">
        <v>1</v>
      </c>
      <c r="X465" s="48" t="s">
        <v>2648</v>
      </c>
      <c r="Y465" s="47" t="s">
        <v>2572</v>
      </c>
      <c r="Z465" s="4" t="s">
        <v>3391</v>
      </c>
      <c r="AA465" s="49" t="s">
        <v>1115</v>
      </c>
      <c r="AB465" s="4" t="s">
        <v>2375</v>
      </c>
      <c r="AC465" s="49" t="s">
        <v>2611</v>
      </c>
      <c r="AD465" s="4" t="s">
        <v>185</v>
      </c>
      <c r="AE465" s="7">
        <v>1</v>
      </c>
      <c r="AG465" s="7">
        <v>0</v>
      </c>
      <c r="AK465" s="70">
        <f>Table43[[#This Row],[Column4]]</f>
        <v>30560020245000</v>
      </c>
      <c r="AN465" s="7">
        <f>Table43[[#This Row],[ISI/CTN]]</f>
        <v>12</v>
      </c>
      <c r="AO465" s="61">
        <f>Table43[[#This Row],[Harga Jual Pcs GT
(-PPN)]]-(Table43[[#This Row],[Harga Jual Pcs GT
(-PPN)]]*6.5%)</f>
        <v>19480.724999999999</v>
      </c>
      <c r="AP465" s="61">
        <f>Table43[[#This Row],[Harga Beli Pcs
(-PPN)]]*Table43[[#This Row],[ISI/CTN]]</f>
        <v>233768.69999999998</v>
      </c>
      <c r="AQ465" s="61">
        <f>Table43[[#This Row],[Harga Beli Pcs
(-PPN)]]*1.11</f>
        <v>21623.604749999999</v>
      </c>
      <c r="AR465" s="61">
        <f>Table43[[#This Row],[Harga Beli Krt
(- PPN)]]*1.11</f>
        <v>259483.25700000001</v>
      </c>
      <c r="AS465" s="61">
        <v>20835</v>
      </c>
      <c r="AT465" s="61">
        <f>Table43[[#This Row],[Harga Jual Pcs GT
(-PPN)]]*Table43[[#This Row],[ISI/CTN]]</f>
        <v>250020</v>
      </c>
      <c r="AU465" s="61">
        <f>Table43[[#This Row],[Harga Jual Pcs GT
(-PPN)]]*1.11</f>
        <v>23126.850000000002</v>
      </c>
      <c r="AV465" s="61">
        <f>Table43[[#This Row],[Harga Jual Krt GT
(- PPN)]]*1.11</f>
        <v>277522.2</v>
      </c>
      <c r="AW465" s="61">
        <f>IFERROR(VLOOKUP(Table43[[#This Row],[Kode Pcpl]],'[1]FEB 2026'!$A$3:$X$312,24,0),0)</f>
        <v>0</v>
      </c>
      <c r="AX465" s="61">
        <f>Table43[[#This Row],[Harga Jual Pcs MT
(-PPN)]]*Table43[[#This Row],[ISI/CTN]]</f>
        <v>0</v>
      </c>
      <c r="AY465" s="61">
        <f>Table43[[#This Row],[Harga Jual Pcs MT
(-PPN)]]*1.11</f>
        <v>0</v>
      </c>
      <c r="AZ465" s="61">
        <f>Table43[[#This Row],[Harga Jual Pcs MT
(+PPN)]]*Table43[[#This Row],[ISI/CTN]]</f>
        <v>0</v>
      </c>
      <c r="BA465" s="62">
        <f>(Table43[[#This Row],[Harga Jual Pcs GT
(-PPN)]]-Table43[[#This Row],[Harga Beli Pcs
(-PPN)]])/Table43[[#This Row],[Harga Jual Pcs GT
(-PPN)]]</f>
        <v>6.5000000000000072E-2</v>
      </c>
      <c r="BB465" s="63">
        <f>Table43[[#This Row],[Harga Jual Pcs MT
(-PPN)]]-Table43[[#This Row],[Harga Beli Pcs
(-PPN)]]</f>
        <v>-19480.724999999999</v>
      </c>
      <c r="BC465" s="64" t="e">
        <f>Table43[[#This Row],[Column1]]/Table43[[#This Row],[Harga Jual Pcs MT
(-PPN)]]</f>
        <v>#DIV/0!</v>
      </c>
      <c r="BD465" s="52"/>
      <c r="BE465" s="7"/>
      <c r="BF465" s="7" t="str">
        <f ca="1">IF(TODAY()-Table43[[#This Row],[Efektif
Pembuatan]]&gt;60,"Lama","Baru")</f>
        <v>Lama</v>
      </c>
      <c r="BG465" s="7" t="str">
        <f ca="1">IF(TODAY()-Table43[[#This Row],[Efektif Naik Harga]]&lt;30,"Naik","Sama")</f>
        <v>Sama</v>
      </c>
      <c r="BH465" s="7"/>
      <c r="BI465" s="7" t="str">
        <f>IF(Table43[[#This Row],[Kode BARANG Win2]]&lt;&gt;"","IDR","")</f>
        <v>IDR</v>
      </c>
      <c r="BJ465" s="7" t="str">
        <f>CONCATENATE(Table43[[#This Row],[kode  1 Digit
(Nomor)]],Table43[[#This Row],[kode  4 Digit                (Nomor)]])</f>
        <v>0245</v>
      </c>
      <c r="BK465" s="7" t="str">
        <f>Table43[[#This Row],[Nama            Gramasi atau Jumlah Pack per CTN]]</f>
        <v>245ML</v>
      </c>
      <c r="BL465" s="7"/>
      <c r="BM465" s="7"/>
      <c r="BN465" s="4" t="str">
        <f>IF(Table43[[#This Row],[SATUAN Fix Win]]&lt;&gt;"","KRT")</f>
        <v>KRT</v>
      </c>
      <c r="BO465" s="4" t="str">
        <f>IF(Table43[[#This Row],[SATUAN Fix Win]]&lt;&gt;"","GD01")</f>
        <v>GD01</v>
      </c>
      <c r="BP465" s="4">
        <f>IF(Table43[[#This Row],[SATUAN Fix Win]]&lt;&gt;"",11611)</f>
        <v>11611</v>
      </c>
      <c r="BQ465" s="4">
        <f>IF(Table43[[#This Row],[SATUAN Fix Win]]&lt;&gt;"",11612)</f>
        <v>11612</v>
      </c>
      <c r="BS465" s="4">
        <f>IF(Table43[[#This Row],[SATUAN Fix Win]]&lt;&gt;"",1)</f>
        <v>1</v>
      </c>
      <c r="BU465" s="4">
        <f>Table43[[#This Row],[ISI/CTN]]</f>
        <v>12</v>
      </c>
    </row>
    <row r="466" spans="1:75">
      <c r="A466" s="4" t="str">
        <f>CONCATENATE(Table43[[#This Row],[Kode BARANG Win2]],Table43[[#This Row],[No. Urut
Item Sama]])</f>
        <v>G1261201024510</v>
      </c>
      <c r="B466" s="7"/>
      <c r="C466" s="31"/>
      <c r="D466" s="51">
        <v>40026846</v>
      </c>
      <c r="E466" s="27"/>
      <c r="F466" s="51"/>
      <c r="G466" s="51"/>
      <c r="H466" s="27"/>
      <c r="I466" s="27"/>
      <c r="J466" s="51"/>
      <c r="K466" s="27" t="str">
        <f>Table43[[#This Row],[NamaJenisKemasan]]</f>
        <v>PCS</v>
      </c>
      <c r="L466" s="4" t="str">
        <f>TRIM(CONCATENATE(Table43[[#This Row],[Nama            KLP]]," ",Table43[[#This Row],[Nama            Sub KLP]]))</f>
        <v>STELLA AEROSOL</v>
      </c>
      <c r="M466" s="4" t="str">
        <f>CONCATENATE(Table43[[#This Row],[kode  2 Digit                (hrf+No)]],Table43[[#This Row],[kode  2 Digit                (Nomor)]],Table43[[#This Row],[kode  1 Digit                (Nomor)]])</f>
        <v>G1261</v>
      </c>
      <c r="N466" s="4" t="str">
        <f>IF(AI466="",CONCATENATE(S466,U466,W466,Y466,AA466,AC466,AE466,AG466,Table43[[#This Row],[Tanda Kode Revisi]]),CONCATENATE(S466,U466,W466,Y466,AA466,AC466,AE466,AI466))</f>
        <v>G1261201024510</v>
      </c>
      <c r="O466" s="11">
        <f>LEN(N466)</f>
        <v>14</v>
      </c>
      <c r="P466" s="14" t="str">
        <f>IF(AH466&lt;&gt;"",TRIM(UPPER(CONCATENATE(R466," ",T466," ",V466," ",X466," ",Z466," ",AB466," ","X"," ",Table43[[#This Row],[ISI/CTN]]," ",AH466," ",AD466," ",AF466," ",AJ466))),TRIM(UPPER(CONCATENATE(R466," ",T466," ",V466," ",X466," ",Z466," ",AB466," ","X"," ",Table43[[#This Row],[ISI/CTN]]," ",AD466," ",AF466," ",AJ466))))</f>
        <v>STELLA AEROSOL F&amp;P FABRIC SPRAY COTTON BLOOM 245ML X PCS</v>
      </c>
      <c r="Q466" s="11">
        <f>LEN(P466)</f>
        <v>56</v>
      </c>
      <c r="S466" s="7" t="s">
        <v>34</v>
      </c>
      <c r="T466" s="4" t="s">
        <v>2421</v>
      </c>
      <c r="U466" s="47" t="s">
        <v>2584</v>
      </c>
      <c r="V466" s="48" t="s">
        <v>2243</v>
      </c>
      <c r="W466" s="7">
        <v>1</v>
      </c>
      <c r="X466" s="48" t="s">
        <v>2648</v>
      </c>
      <c r="Y466" s="47" t="s">
        <v>2572</v>
      </c>
      <c r="Z466" s="4" t="s">
        <v>3391</v>
      </c>
      <c r="AA466" s="49" t="s">
        <v>1115</v>
      </c>
      <c r="AB466" s="4" t="s">
        <v>2375</v>
      </c>
      <c r="AC466" s="49" t="s">
        <v>2611</v>
      </c>
      <c r="AD466" s="4" t="s">
        <v>185</v>
      </c>
      <c r="AE466" s="7">
        <v>1</v>
      </c>
      <c r="AG466" s="7">
        <v>0</v>
      </c>
      <c r="AK466" s="70">
        <f>Table43[[#This Row],[Column4]]</f>
        <v>0</v>
      </c>
      <c r="AN466" s="7">
        <f>Table43[[#This Row],[ISI/CTN]]</f>
        <v>0</v>
      </c>
      <c r="AO466" s="61">
        <f>Table43[[#This Row],[Harga Jual Pcs GT
(-PPN)]]-(Table43[[#This Row],[Harga Jual Pcs GT
(-PPN)]]*6.5%)</f>
        <v>0</v>
      </c>
      <c r="AP466" s="61">
        <f>Table43[[#This Row],[Harga Beli Pcs
(-PPN)]]*Table43[[#This Row],[ISI/CTN]]</f>
        <v>0</v>
      </c>
      <c r="AQ466" s="61">
        <f>Table43[[#This Row],[Harga Beli Pcs
(-PPN)]]*1.11</f>
        <v>0</v>
      </c>
      <c r="AR466" s="61">
        <f>Table43[[#This Row],[Harga Beli Krt
(- PPN)]]*1.11</f>
        <v>0</v>
      </c>
      <c r="AS466" s="61"/>
      <c r="AT466" s="61">
        <f>Table43[[#This Row],[Harga Jual Pcs GT
(-PPN)]]*Table43[[#This Row],[ISI/CTN]]</f>
        <v>0</v>
      </c>
      <c r="AU466" s="61">
        <f>Table43[[#This Row],[Harga Jual Pcs GT
(-PPN)]]*1.11</f>
        <v>0</v>
      </c>
      <c r="AV466" s="61">
        <f>Table43[[#This Row],[Harga Jual Krt GT
(- PPN)]]*1.11</f>
        <v>0</v>
      </c>
      <c r="AW466" s="61">
        <f>IFERROR(VLOOKUP(Table43[[#This Row],[Kode Pcpl]],'[1]FEB 2026'!$A$3:$X$312,24,0),0)</f>
        <v>0</v>
      </c>
      <c r="AX466" s="61">
        <f>Table43[[#This Row],[Harga Jual Pcs MT
(-PPN)]]*Table43[[#This Row],[ISI/CTN]]</f>
        <v>0</v>
      </c>
      <c r="AY466" s="61">
        <f>Table43[[#This Row],[Harga Jual Pcs MT
(-PPN)]]*1.11</f>
        <v>0</v>
      </c>
      <c r="AZ466" s="61">
        <f>Table43[[#This Row],[Harga Jual Pcs MT
(+PPN)]]*Table43[[#This Row],[ISI/CTN]]</f>
        <v>0</v>
      </c>
      <c r="BA466" s="62" t="e">
        <f>(Table43[[#This Row],[Harga Jual Pcs GT
(-PPN)]]-Table43[[#This Row],[Harga Beli Pcs
(-PPN)]])/Table43[[#This Row],[Harga Jual Pcs GT
(-PPN)]]</f>
        <v>#DIV/0!</v>
      </c>
      <c r="BB466" s="63">
        <f>Table43[[#This Row],[Harga Jual Pcs MT
(-PPN)]]-Table43[[#This Row],[Harga Beli Pcs
(-PPN)]]</f>
        <v>0</v>
      </c>
      <c r="BC466" s="64" t="e">
        <f>Table43[[#This Row],[Column1]]/Table43[[#This Row],[Harga Jual Pcs MT
(-PPN)]]</f>
        <v>#DIV/0!</v>
      </c>
      <c r="BD466" s="52"/>
      <c r="BE466" s="7"/>
      <c r="BF466" s="7" t="str">
        <f ca="1">IF(TODAY()-Table43[[#This Row],[Efektif
Pembuatan]]&gt;60,"Lama","Baru")</f>
        <v>Lama</v>
      </c>
      <c r="BG466" s="7" t="str">
        <f ca="1">IF(TODAY()-Table43[[#This Row],[Efektif Naik Harga]]&lt;30,"Naik","Sama")</f>
        <v>Sama</v>
      </c>
      <c r="BH466" s="7"/>
      <c r="BI466" s="7" t="str">
        <f>IF(Table43[[#This Row],[Kode BARANG Win2]]&lt;&gt;"","IDR","")</f>
        <v>IDR</v>
      </c>
      <c r="BJ466" s="7" t="str">
        <f>CONCATENATE(Table43[[#This Row],[kode  1 Digit
(Nomor)]],Table43[[#This Row],[kode  4 Digit                (Nomor)]])</f>
        <v>0245</v>
      </c>
      <c r="BK466" s="7" t="str">
        <f>Table43[[#This Row],[Nama            Gramasi atau Jumlah Pack per CTN]]</f>
        <v>245ML</v>
      </c>
      <c r="BL466" s="7"/>
      <c r="BM466" s="7"/>
      <c r="BN466" s="4" t="str">
        <f>IF(Table43[[#This Row],[SATUAN Fix Win]]&lt;&gt;"","KRT")</f>
        <v>KRT</v>
      </c>
      <c r="BO466" s="4" t="str">
        <f>IF(Table43[[#This Row],[SATUAN Fix Win]]&lt;&gt;"","GD01")</f>
        <v>GD01</v>
      </c>
      <c r="BP466" s="4">
        <f>IF(Table43[[#This Row],[SATUAN Fix Win]]&lt;&gt;"",11611)</f>
        <v>11611</v>
      </c>
      <c r="BQ466" s="4">
        <f>IF(Table43[[#This Row],[SATUAN Fix Win]]&lt;&gt;"",11612)</f>
        <v>11612</v>
      </c>
      <c r="BS466" s="4">
        <f>IF(Table43[[#This Row],[SATUAN Fix Win]]&lt;&gt;"",1)</f>
        <v>1</v>
      </c>
      <c r="BU466" s="4">
        <f>Table43[[#This Row],[ISI/CTN]]</f>
        <v>0</v>
      </c>
    </row>
    <row r="467" spans="1:75">
      <c r="A467" s="4" t="str">
        <f>CONCATENATE(Table43[[#This Row],[Kode BARANG Win2]],Table43[[#This Row],[No. Urut
Item Sama]])</f>
        <v>G1261201040010</v>
      </c>
      <c r="B467" s="7"/>
      <c r="C467" s="31">
        <v>30490020200000</v>
      </c>
      <c r="D467" s="51">
        <v>40057616</v>
      </c>
      <c r="E467" s="27" t="s">
        <v>2087</v>
      </c>
      <c r="F467" s="51">
        <v>30490020400010</v>
      </c>
      <c r="G467" s="51">
        <v>0</v>
      </c>
      <c r="H467" s="27" t="s">
        <v>1397</v>
      </c>
      <c r="I467" s="27">
        <v>6</v>
      </c>
      <c r="J467" s="59" t="s">
        <v>1769</v>
      </c>
      <c r="K467" s="27" t="str">
        <f>Table43[[#This Row],[NamaJenisKemasan]]</f>
        <v>KLG</v>
      </c>
      <c r="L467" s="4" t="str">
        <f>TRIM(CONCATENATE(Table43[[#This Row],[Nama            KLP]]," ",Table43[[#This Row],[Nama            Sub KLP]]))</f>
        <v>STELLA AEROSOL</v>
      </c>
      <c r="M467" s="4" t="str">
        <f>CONCATENATE(Table43[[#This Row],[kode  2 Digit                (hrf+No)]],Table43[[#This Row],[kode  2 Digit                (Nomor)]],Table43[[#This Row],[kode  1 Digit                (Nomor)]])</f>
        <v>G1261</v>
      </c>
      <c r="N467" s="4" t="str">
        <f>IF(AI467="",CONCATENATE(S467,U467,W467,Y467,AA467,AC467,AE467,AG467,Table43[[#This Row],[Tanda Kode Revisi]]),CONCATENATE(S467,U467,W467,Y467,AA467,AC467,AE467,AI467))</f>
        <v>G1261201040010</v>
      </c>
      <c r="O467" s="11">
        <f t="shared" si="12"/>
        <v>14</v>
      </c>
      <c r="P467" s="14" t="str">
        <f>IF(AH467&lt;&gt;"",TRIM(UPPER(CONCATENATE(R467," ",T467," ",V467," ",X467," ",Z467," ",AB467," ","X"," ",Table43[[#This Row],[ISI/CTN]]," ",AH467," ",AD467," ",AF467," ",AJ467))),TRIM(UPPER(CONCATENATE(R467," ",T467," ",V467," ",X467," ",Z467," ",AB467," ","X"," ",Table43[[#This Row],[ISI/CTN]]," ",AD467," ",AF467," ",AJ467))))</f>
        <v>STELLA AEROSOL MULTI PACK APPLE 400ML X 6 KLG</v>
      </c>
      <c r="Q467" s="11">
        <f t="shared" si="13"/>
        <v>45</v>
      </c>
      <c r="S467" s="7" t="s">
        <v>34</v>
      </c>
      <c r="T467" s="4" t="s">
        <v>2421</v>
      </c>
      <c r="U467" s="47" t="s">
        <v>2584</v>
      </c>
      <c r="V467" s="48" t="s">
        <v>2243</v>
      </c>
      <c r="W467" s="7">
        <v>1</v>
      </c>
      <c r="X467" s="48" t="s">
        <v>2399</v>
      </c>
      <c r="Y467" s="47" t="s">
        <v>2572</v>
      </c>
      <c r="Z467" s="4" t="s">
        <v>2264</v>
      </c>
      <c r="AA467" s="49" t="s">
        <v>1115</v>
      </c>
      <c r="AB467" s="4" t="s">
        <v>635</v>
      </c>
      <c r="AC467" s="49" t="s">
        <v>2624</v>
      </c>
      <c r="AD467" s="4" t="s">
        <v>2221</v>
      </c>
      <c r="AE467" s="7">
        <v>1</v>
      </c>
      <c r="AG467" s="7">
        <v>0</v>
      </c>
      <c r="AK467" s="70">
        <f>Table43[[#This Row],[Column4]]</f>
        <v>30490020400010</v>
      </c>
      <c r="AN467" s="7">
        <f>Table43[[#This Row],[ISI/CTN]]</f>
        <v>6</v>
      </c>
      <c r="AO467" s="38">
        <f>Table43[[#This Row],[Harga Jual Pcs GT
(-PPN)]]-(Table43[[#This Row],[Harga Jual Pcs GT
(-PPN)]]*6.5%)</f>
        <v>38615.5</v>
      </c>
      <c r="AP467" s="38">
        <f>Table43[[#This Row],[Harga Beli Pcs
(-PPN)]]*Table43[[#This Row],[ISI/CTN]]</f>
        <v>231693</v>
      </c>
      <c r="AQ467" s="38">
        <f>Table43[[#This Row],[Harga Beli Pcs
(-PPN)]]*1.11</f>
        <v>42863.205000000002</v>
      </c>
      <c r="AR467" s="38">
        <f>Table43[[#This Row],[Harga Beli Krt
(- PPN)]]*1.11</f>
        <v>257179.23</v>
      </c>
      <c r="AS467" s="38">
        <v>41300</v>
      </c>
      <c r="AT467" s="38">
        <f>Table43[[#This Row],[Harga Jual Pcs GT
(-PPN)]]*Table43[[#This Row],[ISI/CTN]]</f>
        <v>247800</v>
      </c>
      <c r="AU467" s="38">
        <f>Table43[[#This Row],[Harga Jual Pcs GT
(-PPN)]]*1.11</f>
        <v>45843.000000000007</v>
      </c>
      <c r="AV467" s="38">
        <f>Table43[[#This Row],[Harga Jual Krt GT
(- PPN)]]*1.11</f>
        <v>275058</v>
      </c>
      <c r="AW467" s="38">
        <f>IFERROR(VLOOKUP(Table43[[#This Row],[Kode Pcpl]],'[1]FEB 2026'!$A$3:$X$312,24,0),0)</f>
        <v>0</v>
      </c>
      <c r="AX467" s="38">
        <f>Table43[[#This Row],[Harga Jual Pcs MT
(-PPN)]]*Table43[[#This Row],[ISI/CTN]]</f>
        <v>0</v>
      </c>
      <c r="AY467" s="38">
        <f>Table43[[#This Row],[Harga Jual Pcs MT
(-PPN)]]*1.11</f>
        <v>0</v>
      </c>
      <c r="AZ467" s="38">
        <f>Table43[[#This Row],[Harga Jual Pcs MT
(+PPN)]]*Table43[[#This Row],[ISI/CTN]]</f>
        <v>0</v>
      </c>
      <c r="BA467" s="46">
        <f>(Table43[[#This Row],[Harga Jual Pcs GT
(-PPN)]]-Table43[[#This Row],[Harga Beli Pcs
(-PPN)]])/Table43[[#This Row],[Harga Jual Pcs GT
(-PPN)]]</f>
        <v>6.5000000000000002E-2</v>
      </c>
      <c r="BB467" s="53">
        <f>Table43[[#This Row],[Harga Jual Pcs MT
(-PPN)]]-Table43[[#This Row],[Harga Beli Pcs
(-PPN)]]</f>
        <v>-38615.5</v>
      </c>
      <c r="BC467" s="54" t="e">
        <f>Table43[[#This Row],[Column1]]/Table43[[#This Row],[Harga Jual Pcs MT
(-PPN)]]</f>
        <v>#DIV/0!</v>
      </c>
      <c r="BD467" s="52"/>
      <c r="BE467" s="7"/>
      <c r="BF467" s="7" t="str">
        <f ca="1">IF(TODAY()-Table43[[#This Row],[Efektif
Pembuatan]]&gt;60,"Lama","Baru")</f>
        <v>Lama</v>
      </c>
      <c r="BG467" s="7" t="str">
        <f ca="1">IF(TODAY()-Table43[[#This Row],[Efektif Naik Harga]]&lt;30,"Naik","Sama")</f>
        <v>Sama</v>
      </c>
      <c r="BH467" s="7"/>
      <c r="BI467" s="7" t="str">
        <f>IF(Table43[[#This Row],[Kode BARANG Win2]]&lt;&gt;"","IDR","")</f>
        <v>IDR</v>
      </c>
      <c r="BJ467" s="7" t="str">
        <f>CONCATENATE(Table43[[#This Row],[kode  1 Digit
(Nomor)]],Table43[[#This Row],[kode  4 Digit                (Nomor)]])</f>
        <v>0400</v>
      </c>
      <c r="BK467" s="7" t="str">
        <f>Table43[[#This Row],[Nama            Gramasi atau Jumlah Pack per CTN]]</f>
        <v>400ML</v>
      </c>
      <c r="BL467" s="7"/>
      <c r="BM467" s="7"/>
      <c r="BN467" s="4" t="str">
        <f>IF(Table43[[#This Row],[SATUAN Fix Win]]&lt;&gt;"","KRT")</f>
        <v>KRT</v>
      </c>
      <c r="BO467" s="4" t="str">
        <f>IF(Table43[[#This Row],[SATUAN Fix Win]]&lt;&gt;"","GD01")</f>
        <v>GD01</v>
      </c>
      <c r="BP467" s="4">
        <f>IF(Table43[[#This Row],[SATUAN Fix Win]]&lt;&gt;"",11611)</f>
        <v>11611</v>
      </c>
      <c r="BQ467" s="4">
        <f>IF(Table43[[#This Row],[SATUAN Fix Win]]&lt;&gt;"",11612)</f>
        <v>11612</v>
      </c>
      <c r="BS467" s="4">
        <f>IF(Table43[[#This Row],[SATUAN Fix Win]]&lt;&gt;"",1)</f>
        <v>1</v>
      </c>
      <c r="BU467" s="4">
        <f>Table43[[#This Row],[ISI/CTN]]</f>
        <v>6</v>
      </c>
    </row>
    <row r="468" spans="1:75">
      <c r="A468" s="4" t="str">
        <f>CONCATENATE(Table43[[#This Row],[Kode BARANG Win2]],Table43[[#This Row],[No. Urut
Item Sama]])</f>
        <v>G1261201040010</v>
      </c>
      <c r="B468" s="7"/>
      <c r="C468" s="31">
        <v>30490020400000</v>
      </c>
      <c r="D468" s="51">
        <v>40043467</v>
      </c>
      <c r="E468" s="27" t="s">
        <v>2087</v>
      </c>
      <c r="F468" s="51">
        <v>30490020400010</v>
      </c>
      <c r="G468" s="51">
        <v>0</v>
      </c>
      <c r="H468" s="27" t="s">
        <v>1396</v>
      </c>
      <c r="I468" s="27">
        <v>6</v>
      </c>
      <c r="J468" s="51" t="s">
        <v>1769</v>
      </c>
      <c r="K468" s="27" t="str">
        <f>Table43[[#This Row],[NamaJenisKemasan]]</f>
        <v>KLG</v>
      </c>
      <c r="L468" s="4" t="str">
        <f>TRIM(CONCATENATE(Table43[[#This Row],[Nama            KLP]]," ",Table43[[#This Row],[Nama            Sub KLP]]))</f>
        <v>STELLA AEROSOL</v>
      </c>
      <c r="M468" s="4" t="str">
        <f>CONCATENATE(Table43[[#This Row],[kode  2 Digit                (hrf+No)]],Table43[[#This Row],[kode  2 Digit                (Nomor)]],Table43[[#This Row],[kode  1 Digit                (Nomor)]])</f>
        <v>G1261</v>
      </c>
      <c r="N468" s="4" t="str">
        <f>IF(AI468="",CONCATENATE(S468,U468,W468,Y468,AA468,AC468,AE468,AG468,Table43[[#This Row],[Tanda Kode Revisi]]),CONCATENATE(S468,U468,W468,Y468,AA468,AC468,AE468,AI468))</f>
        <v>G1261201040010</v>
      </c>
      <c r="O468" s="11">
        <f t="shared" si="12"/>
        <v>14</v>
      </c>
      <c r="P468" s="14" t="str">
        <f>IF(AH468&lt;&gt;"",TRIM(UPPER(CONCATENATE(R468," ",T468," ",V468," ",X468," ",Z468," ",AB468," ","X"," ",Table43[[#This Row],[ISI/CTN]]," ",AH468," ",AD468," ",AF468," ",AJ468))),TRIM(UPPER(CONCATENATE(R468," ",T468," ",V468," ",X468," ",Z468," ",AB468," ","X"," ",Table43[[#This Row],[ISI/CTN]]," ",AD468," ",AF468," ",AJ468))))</f>
        <v>STELLA AEROSOL MULTI PACK APPLE 400ML X 6 KLG</v>
      </c>
      <c r="Q468" s="11">
        <f t="shared" si="13"/>
        <v>45</v>
      </c>
      <c r="S468" s="7" t="s">
        <v>34</v>
      </c>
      <c r="T468" s="4" t="s">
        <v>2421</v>
      </c>
      <c r="U468" s="47" t="s">
        <v>2584</v>
      </c>
      <c r="V468" s="48" t="s">
        <v>2243</v>
      </c>
      <c r="W468" s="7">
        <v>1</v>
      </c>
      <c r="X468" s="48" t="s">
        <v>2399</v>
      </c>
      <c r="Y468" s="47" t="s">
        <v>2572</v>
      </c>
      <c r="Z468" s="4" t="s">
        <v>2264</v>
      </c>
      <c r="AA468" s="49" t="s">
        <v>1115</v>
      </c>
      <c r="AB468" s="4" t="s">
        <v>635</v>
      </c>
      <c r="AC468" s="49" t="s">
        <v>2624</v>
      </c>
      <c r="AD468" s="4" t="s">
        <v>2221</v>
      </c>
      <c r="AE468" s="7">
        <v>1</v>
      </c>
      <c r="AG468" s="7">
        <v>0</v>
      </c>
      <c r="AK468" s="70">
        <f>Table43[[#This Row],[Column4]]</f>
        <v>30490020400010</v>
      </c>
      <c r="AN468" s="7">
        <f>Table43[[#This Row],[ISI/CTN]]</f>
        <v>6</v>
      </c>
      <c r="AO468" s="38">
        <f>Table43[[#This Row],[Harga Jual Pcs GT
(-PPN)]]-(Table43[[#This Row],[Harga Jual Pcs GT
(-PPN)]]*6.5%)</f>
        <v>38615.5</v>
      </c>
      <c r="AP468" s="38">
        <f>Table43[[#This Row],[Harga Beli Pcs
(-PPN)]]*Table43[[#This Row],[ISI/CTN]]</f>
        <v>231693</v>
      </c>
      <c r="AQ468" s="38">
        <f>Table43[[#This Row],[Harga Beli Pcs
(-PPN)]]*1.11</f>
        <v>42863.205000000002</v>
      </c>
      <c r="AR468" s="38">
        <f>Table43[[#This Row],[Harga Beli Krt
(- PPN)]]*1.11</f>
        <v>257179.23</v>
      </c>
      <c r="AS468" s="38">
        <v>41300</v>
      </c>
      <c r="AT468" s="38">
        <f>Table43[[#This Row],[Harga Jual Pcs GT
(-PPN)]]*Table43[[#This Row],[ISI/CTN]]</f>
        <v>247800</v>
      </c>
      <c r="AU468" s="38">
        <f>Table43[[#This Row],[Harga Jual Pcs GT
(-PPN)]]*1.11</f>
        <v>45843.000000000007</v>
      </c>
      <c r="AV468" s="38">
        <f>Table43[[#This Row],[Harga Jual Krt GT
(- PPN)]]*1.11</f>
        <v>275058</v>
      </c>
      <c r="AW468" s="38">
        <f>IFERROR(VLOOKUP(Table43[[#This Row],[Kode Pcpl]],'[1]FEB 2026'!$A$3:$X$312,24,0),0)</f>
        <v>0</v>
      </c>
      <c r="AX468" s="38">
        <f>Table43[[#This Row],[Harga Jual Pcs MT
(-PPN)]]*Table43[[#This Row],[ISI/CTN]]</f>
        <v>0</v>
      </c>
      <c r="AY468" s="38">
        <f>Table43[[#This Row],[Harga Jual Pcs MT
(-PPN)]]*1.11</f>
        <v>0</v>
      </c>
      <c r="AZ468" s="38">
        <f>Table43[[#This Row],[Harga Jual Pcs MT
(+PPN)]]*Table43[[#This Row],[ISI/CTN]]</f>
        <v>0</v>
      </c>
      <c r="BA468" s="46">
        <f>(Table43[[#This Row],[Harga Jual Pcs GT
(-PPN)]]-Table43[[#This Row],[Harga Beli Pcs
(-PPN)]])/Table43[[#This Row],[Harga Jual Pcs GT
(-PPN)]]</f>
        <v>6.5000000000000002E-2</v>
      </c>
      <c r="BB468" s="53">
        <f>Table43[[#This Row],[Harga Jual Pcs MT
(-PPN)]]-Table43[[#This Row],[Harga Beli Pcs
(-PPN)]]</f>
        <v>-38615.5</v>
      </c>
      <c r="BC468" s="54" t="e">
        <f>Table43[[#This Row],[Column1]]/Table43[[#This Row],[Harga Jual Pcs MT
(-PPN)]]</f>
        <v>#DIV/0!</v>
      </c>
      <c r="BD468" s="52"/>
      <c r="BE468" s="7"/>
      <c r="BF468" s="7" t="str">
        <f ca="1">IF(TODAY()-Table43[[#This Row],[Efektif
Pembuatan]]&gt;60,"Lama","Baru")</f>
        <v>Lama</v>
      </c>
      <c r="BG468" s="7" t="str">
        <f ca="1">IF(TODAY()-Table43[[#This Row],[Efektif Naik Harga]]&lt;30,"Naik","Sama")</f>
        <v>Sama</v>
      </c>
      <c r="BH468" s="7"/>
      <c r="BI468" s="7" t="str">
        <f>IF(Table43[[#This Row],[Kode BARANG Win2]]&lt;&gt;"","IDR","")</f>
        <v>IDR</v>
      </c>
      <c r="BJ468" s="7" t="str">
        <f>CONCATENATE(Table43[[#This Row],[kode  1 Digit
(Nomor)]],Table43[[#This Row],[kode  4 Digit                (Nomor)]])</f>
        <v>0400</v>
      </c>
      <c r="BK468" s="7" t="str">
        <f>Table43[[#This Row],[Nama            Gramasi atau Jumlah Pack per CTN]]</f>
        <v>400ML</v>
      </c>
      <c r="BL468" s="7"/>
      <c r="BM468" s="7"/>
      <c r="BN468" s="4" t="str">
        <f>IF(Table43[[#This Row],[SATUAN Fix Win]]&lt;&gt;"","KRT")</f>
        <v>KRT</v>
      </c>
      <c r="BO468" s="4" t="str">
        <f>IF(Table43[[#This Row],[SATUAN Fix Win]]&lt;&gt;"","GD01")</f>
        <v>GD01</v>
      </c>
      <c r="BP468" s="4">
        <f>IF(Table43[[#This Row],[SATUAN Fix Win]]&lt;&gt;"",11611)</f>
        <v>11611</v>
      </c>
      <c r="BQ468" s="4">
        <f>IF(Table43[[#This Row],[SATUAN Fix Win]]&lt;&gt;"",11612)</f>
        <v>11612</v>
      </c>
      <c r="BS468" s="4">
        <f>IF(Table43[[#This Row],[SATUAN Fix Win]]&lt;&gt;"",1)</f>
        <v>1</v>
      </c>
      <c r="BU468" s="4">
        <f>Table43[[#This Row],[ISI/CTN]]</f>
        <v>6</v>
      </c>
    </row>
    <row r="469" spans="1:75">
      <c r="A469" s="4" t="str">
        <f>CONCATENATE(Table43[[#This Row],[Kode BARANG Win2]],Table43[[#This Row],[No. Urut
Item Sama]])</f>
        <v>G1261201040010</v>
      </c>
      <c r="B469" s="7"/>
      <c r="C469" s="31">
        <v>30490020400000</v>
      </c>
      <c r="D469" s="59">
        <v>40059936</v>
      </c>
      <c r="E469" s="60" t="s">
        <v>2087</v>
      </c>
      <c r="F469" s="59">
        <v>30490020400010</v>
      </c>
      <c r="G469" s="59">
        <v>0</v>
      </c>
      <c r="H469" s="60" t="s">
        <v>1398</v>
      </c>
      <c r="I469" s="60">
        <v>6</v>
      </c>
      <c r="J469" s="59" t="s">
        <v>1769</v>
      </c>
      <c r="K469" s="60" t="str">
        <f>Table43[[#This Row],[NamaJenisKemasan]]</f>
        <v>KLG</v>
      </c>
      <c r="L469" s="4" t="str">
        <f>TRIM(CONCATENATE(Table43[[#This Row],[Nama            KLP]]," ",Table43[[#This Row],[Nama            Sub KLP]]))</f>
        <v>STELLA AEROSOL</v>
      </c>
      <c r="M469" s="4" t="str">
        <f>CONCATENATE(Table43[[#This Row],[kode  2 Digit                (hrf+No)]],Table43[[#This Row],[kode  2 Digit                (Nomor)]],Table43[[#This Row],[kode  1 Digit                (Nomor)]])</f>
        <v>G1261</v>
      </c>
      <c r="N469" s="4" t="str">
        <f>IF(AI469="",CONCATENATE(S469,U469,W469,Y469,AA469,AC469,AE469,AG469,Table43[[#This Row],[Tanda Kode Revisi]]),CONCATENATE(S469,U469,W469,Y469,AA469,AC469,AE469,AI469))</f>
        <v>G1261201040010</v>
      </c>
      <c r="O469" s="11">
        <f t="shared" si="12"/>
        <v>14</v>
      </c>
      <c r="P469" s="14" t="str">
        <f>IF(AH469&lt;&gt;"",TRIM(UPPER(CONCATENATE(R469," ",T469," ",V469," ",X469," ",Z469," ",AB469," ","X"," ",Table43[[#This Row],[ISI/CTN]]," ",AH469," ",AD469," ",AF469," ",AJ469))),TRIM(UPPER(CONCATENATE(R469," ",T469," ",V469," ",X469," ",Z469," ",AB469," ","X"," ",Table43[[#This Row],[ISI/CTN]]," ",AD469," ",AF469," ",AJ469))))</f>
        <v>STELLA AEROSOL MULTI PACK APPLE 400ML X 6 KLG</v>
      </c>
      <c r="Q469" s="11">
        <f t="shared" si="13"/>
        <v>45</v>
      </c>
      <c r="S469" s="7" t="s">
        <v>34</v>
      </c>
      <c r="T469" s="4" t="s">
        <v>2421</v>
      </c>
      <c r="U469" s="47" t="s">
        <v>2584</v>
      </c>
      <c r="V469" s="48" t="s">
        <v>2243</v>
      </c>
      <c r="W469" s="7">
        <v>1</v>
      </c>
      <c r="X469" s="48" t="s">
        <v>2399</v>
      </c>
      <c r="Y469" s="47" t="s">
        <v>2572</v>
      </c>
      <c r="Z469" s="4" t="s">
        <v>2264</v>
      </c>
      <c r="AA469" s="49" t="s">
        <v>1115</v>
      </c>
      <c r="AB469" s="4" t="s">
        <v>635</v>
      </c>
      <c r="AC469" s="49" t="s">
        <v>2624</v>
      </c>
      <c r="AD469" s="4" t="s">
        <v>2221</v>
      </c>
      <c r="AE469" s="7">
        <v>1</v>
      </c>
      <c r="AG469" s="7">
        <v>0</v>
      </c>
      <c r="AK469" s="70">
        <f>Table43[[#This Row],[Column4]]</f>
        <v>30490020400010</v>
      </c>
      <c r="AN469" s="7">
        <f>Table43[[#This Row],[ISI/CTN]]</f>
        <v>6</v>
      </c>
      <c r="AO469" s="61">
        <f>Table43[[#This Row],[Harga Jual Pcs GT
(-PPN)]]-(Table43[[#This Row],[Harga Jual Pcs GT
(-PPN)]]*6.5%)</f>
        <v>38615.5</v>
      </c>
      <c r="AP469" s="61">
        <f>Table43[[#This Row],[Harga Beli Pcs
(-PPN)]]*Table43[[#This Row],[ISI/CTN]]</f>
        <v>231693</v>
      </c>
      <c r="AQ469" s="61">
        <f>Table43[[#This Row],[Harga Beli Pcs
(-PPN)]]*1.11</f>
        <v>42863.205000000002</v>
      </c>
      <c r="AR469" s="61">
        <f>Table43[[#This Row],[Harga Beli Krt
(- PPN)]]*1.11</f>
        <v>257179.23</v>
      </c>
      <c r="AS469" s="61">
        <v>41300</v>
      </c>
      <c r="AT469" s="61">
        <f>Table43[[#This Row],[Harga Jual Pcs GT
(-PPN)]]*Table43[[#This Row],[ISI/CTN]]</f>
        <v>247800</v>
      </c>
      <c r="AU469" s="61">
        <f>Table43[[#This Row],[Harga Jual Pcs GT
(-PPN)]]*1.11</f>
        <v>45843.000000000007</v>
      </c>
      <c r="AV469" s="61">
        <f>Table43[[#This Row],[Harga Jual Krt GT
(- PPN)]]*1.11</f>
        <v>275058</v>
      </c>
      <c r="AW469" s="61">
        <f>IFERROR(VLOOKUP(Table43[[#This Row],[Kode Pcpl]],'[1]FEB 2026'!$A$3:$X$312,24,0),0)</f>
        <v>0</v>
      </c>
      <c r="AX469" s="61">
        <f>Table43[[#This Row],[Harga Jual Pcs MT
(-PPN)]]*Table43[[#This Row],[ISI/CTN]]</f>
        <v>0</v>
      </c>
      <c r="AY469" s="61">
        <f>Table43[[#This Row],[Harga Jual Pcs MT
(-PPN)]]*1.11</f>
        <v>0</v>
      </c>
      <c r="AZ469" s="61">
        <f>Table43[[#This Row],[Harga Jual Pcs MT
(+PPN)]]*Table43[[#This Row],[ISI/CTN]]</f>
        <v>0</v>
      </c>
      <c r="BA469" s="62">
        <f>(Table43[[#This Row],[Harga Jual Pcs GT
(-PPN)]]-Table43[[#This Row],[Harga Beli Pcs
(-PPN)]])/Table43[[#This Row],[Harga Jual Pcs GT
(-PPN)]]</f>
        <v>6.5000000000000002E-2</v>
      </c>
      <c r="BB469" s="63">
        <f>Table43[[#This Row],[Harga Jual Pcs MT
(-PPN)]]-Table43[[#This Row],[Harga Beli Pcs
(-PPN)]]</f>
        <v>-38615.5</v>
      </c>
      <c r="BC469" s="64" t="e">
        <f>Table43[[#This Row],[Column1]]/Table43[[#This Row],[Harga Jual Pcs MT
(-PPN)]]</f>
        <v>#DIV/0!</v>
      </c>
      <c r="BD469" s="52"/>
      <c r="BE469" s="7"/>
      <c r="BF469" s="7" t="str">
        <f ca="1">IF(TODAY()-Table43[[#This Row],[Efektif
Pembuatan]]&gt;60,"Lama","Baru")</f>
        <v>Lama</v>
      </c>
      <c r="BG469" s="7" t="str">
        <f ca="1">IF(TODAY()-Table43[[#This Row],[Efektif Naik Harga]]&lt;30,"Naik","Sama")</f>
        <v>Sama</v>
      </c>
      <c r="BH469" s="7"/>
      <c r="BI469" s="7" t="str">
        <f>IF(Table43[[#This Row],[Kode BARANG Win2]]&lt;&gt;"","IDR","")</f>
        <v>IDR</v>
      </c>
      <c r="BJ469" s="7" t="str">
        <f>CONCATENATE(Table43[[#This Row],[kode  1 Digit
(Nomor)]],Table43[[#This Row],[kode  4 Digit                (Nomor)]])</f>
        <v>0400</v>
      </c>
      <c r="BK469" s="7" t="str">
        <f>Table43[[#This Row],[Nama            Gramasi atau Jumlah Pack per CTN]]</f>
        <v>400ML</v>
      </c>
      <c r="BL469" s="7"/>
      <c r="BM469" s="7"/>
      <c r="BN469" s="4" t="str">
        <f>IF(Table43[[#This Row],[SATUAN Fix Win]]&lt;&gt;"","KRT")</f>
        <v>KRT</v>
      </c>
      <c r="BO469" s="4" t="str">
        <f>IF(Table43[[#This Row],[SATUAN Fix Win]]&lt;&gt;"","GD01")</f>
        <v>GD01</v>
      </c>
      <c r="BP469" s="4">
        <f>IF(Table43[[#This Row],[SATUAN Fix Win]]&lt;&gt;"",11611)</f>
        <v>11611</v>
      </c>
      <c r="BQ469" s="4">
        <f>IF(Table43[[#This Row],[SATUAN Fix Win]]&lt;&gt;"",11612)</f>
        <v>11612</v>
      </c>
      <c r="BS469" s="4">
        <f>IF(Table43[[#This Row],[SATUAN Fix Win]]&lt;&gt;"",1)</f>
        <v>1</v>
      </c>
      <c r="BU469" s="4">
        <f>Table43[[#This Row],[ISI/CTN]]</f>
        <v>6</v>
      </c>
    </row>
    <row r="470" spans="1:75">
      <c r="A470" s="4" t="str">
        <f>CONCATENATE(Table43[[#This Row],[Kode BARANG Win2]],Table43[[#This Row],[No. Urut
Item Sama]])</f>
        <v>G1261202035010</v>
      </c>
      <c r="B470" s="7"/>
      <c r="C470" s="31">
        <v>30490160175000</v>
      </c>
      <c r="D470" s="59">
        <v>40057617</v>
      </c>
      <c r="E470" s="60" t="s">
        <v>2082</v>
      </c>
      <c r="F470" s="59">
        <v>30490010350011</v>
      </c>
      <c r="G470" s="59">
        <v>0</v>
      </c>
      <c r="H470" s="60" t="s">
        <v>1384</v>
      </c>
      <c r="I470" s="60">
        <v>6</v>
      </c>
      <c r="J470" s="59" t="s">
        <v>1765</v>
      </c>
      <c r="K470" s="60" t="str">
        <f>Table43[[#This Row],[NamaJenisKemasan]]</f>
        <v>KLG</v>
      </c>
      <c r="L470" s="4" t="str">
        <f>TRIM(CONCATENATE(Table43[[#This Row],[Nama            KLP]]," ",Table43[[#This Row],[Nama            Sub KLP]]))</f>
        <v>STELLA AEROSOL</v>
      </c>
      <c r="M470" s="4" t="str">
        <f>CONCATENATE(Table43[[#This Row],[kode  2 Digit                (hrf+No)]],Table43[[#This Row],[kode  2 Digit                (Nomor)]],Table43[[#This Row],[kode  1 Digit                (Nomor)]])</f>
        <v>G1261</v>
      </c>
      <c r="N470" s="4" t="str">
        <f>IF(AI470="",CONCATENATE(S470,U470,W470,Y470,AA470,AC470,AE470,AG470,Table43[[#This Row],[Tanda Kode Revisi]]),CONCATENATE(S470,U470,W470,Y470,AA470,AC470,AE470,AI470))</f>
        <v>G1261202035010</v>
      </c>
      <c r="O470" s="11">
        <f t="shared" si="12"/>
        <v>14</v>
      </c>
      <c r="P470" s="14" t="str">
        <f>IF(AH470&lt;&gt;"",TRIM(UPPER(CONCATENATE(R470," ",T470," ",V470," ",X470," ",Z470," ",AB470," ","X"," ",Table43[[#This Row],[ISI/CTN]]," ",AH470," ",AD470," ",AF470," ",AJ470))),TRIM(UPPER(CONCATENATE(R470," ",T470," ",V470," ",X470," ",Z470," ",AB470," ","X"," ",Table43[[#This Row],[ISI/CTN]]," ",AD470," ",AF470," ",AJ470))))</f>
        <v>STELLA AEROSOL MULTI PACK ORANGE 350ML X 6 KLG</v>
      </c>
      <c r="Q470" s="11">
        <f t="shared" si="13"/>
        <v>46</v>
      </c>
      <c r="S470" s="7" t="s">
        <v>34</v>
      </c>
      <c r="T470" s="4" t="s">
        <v>2421</v>
      </c>
      <c r="U470" s="47" t="s">
        <v>2584</v>
      </c>
      <c r="V470" s="48" t="s">
        <v>2243</v>
      </c>
      <c r="W470" s="7">
        <v>1</v>
      </c>
      <c r="X470" s="48" t="s">
        <v>2399</v>
      </c>
      <c r="Y470" s="47" t="s">
        <v>2572</v>
      </c>
      <c r="Z470" s="4" t="s">
        <v>2251</v>
      </c>
      <c r="AA470" s="49" t="s">
        <v>2459</v>
      </c>
      <c r="AB470" s="4" t="s">
        <v>2372</v>
      </c>
      <c r="AC470" s="49" t="s">
        <v>2619</v>
      </c>
      <c r="AD470" s="4" t="s">
        <v>2221</v>
      </c>
      <c r="AE470" s="7">
        <v>1</v>
      </c>
      <c r="AG470" s="7">
        <v>0</v>
      </c>
      <c r="AK470" s="70">
        <f>Table43[[#This Row],[Column4]]</f>
        <v>30490010350011</v>
      </c>
      <c r="AN470" s="7">
        <f>Table43[[#This Row],[ISI/CTN]]</f>
        <v>6</v>
      </c>
      <c r="AO470" s="61">
        <f>Table43[[#This Row],[Harga Jual Pcs GT
(-PPN)]]-(Table43[[#This Row],[Harga Jual Pcs GT
(-PPN)]]*6.5%)</f>
        <v>38615.5</v>
      </c>
      <c r="AP470" s="61">
        <f>Table43[[#This Row],[Harga Beli Pcs
(-PPN)]]*Table43[[#This Row],[ISI/CTN]]</f>
        <v>231693</v>
      </c>
      <c r="AQ470" s="61">
        <f>Table43[[#This Row],[Harga Beli Pcs
(-PPN)]]*1.11</f>
        <v>42863.205000000002</v>
      </c>
      <c r="AR470" s="61">
        <f>Table43[[#This Row],[Harga Beli Krt
(- PPN)]]*1.11</f>
        <v>257179.23</v>
      </c>
      <c r="AS470" s="61">
        <v>41300</v>
      </c>
      <c r="AT470" s="61">
        <f>Table43[[#This Row],[Harga Jual Pcs GT
(-PPN)]]*Table43[[#This Row],[ISI/CTN]]</f>
        <v>247800</v>
      </c>
      <c r="AU470" s="61">
        <f>Table43[[#This Row],[Harga Jual Pcs GT
(-PPN)]]*1.11</f>
        <v>45843.000000000007</v>
      </c>
      <c r="AV470" s="61">
        <f>Table43[[#This Row],[Harga Jual Krt GT
(- PPN)]]*1.11</f>
        <v>275058</v>
      </c>
      <c r="AW470" s="61">
        <f>IFERROR(VLOOKUP(Table43[[#This Row],[Kode Pcpl]],'[1]FEB 2026'!$A$3:$X$312,24,0),0)</f>
        <v>0</v>
      </c>
      <c r="AX470" s="61">
        <f>Table43[[#This Row],[Harga Jual Pcs MT
(-PPN)]]*Table43[[#This Row],[ISI/CTN]]</f>
        <v>0</v>
      </c>
      <c r="AY470" s="61">
        <f>Table43[[#This Row],[Harga Jual Pcs MT
(-PPN)]]*1.11</f>
        <v>0</v>
      </c>
      <c r="AZ470" s="61">
        <f>Table43[[#This Row],[Harga Jual Pcs MT
(+PPN)]]*Table43[[#This Row],[ISI/CTN]]</f>
        <v>0</v>
      </c>
      <c r="BA470" s="62">
        <f>(Table43[[#This Row],[Harga Jual Pcs GT
(-PPN)]]-Table43[[#This Row],[Harga Beli Pcs
(-PPN)]])/Table43[[#This Row],[Harga Jual Pcs GT
(-PPN)]]</f>
        <v>6.5000000000000002E-2</v>
      </c>
      <c r="BB470" s="63">
        <f>Table43[[#This Row],[Harga Jual Pcs MT
(-PPN)]]-Table43[[#This Row],[Harga Beli Pcs
(-PPN)]]</f>
        <v>-38615.5</v>
      </c>
      <c r="BC470" s="64" t="e">
        <f>Table43[[#This Row],[Column1]]/Table43[[#This Row],[Harga Jual Pcs MT
(-PPN)]]</f>
        <v>#DIV/0!</v>
      </c>
      <c r="BD470" s="52"/>
      <c r="BE470" s="7"/>
      <c r="BF470" s="7" t="str">
        <f ca="1">IF(TODAY()-Table43[[#This Row],[Efektif
Pembuatan]]&gt;60,"Lama","Baru")</f>
        <v>Lama</v>
      </c>
      <c r="BG470" s="7" t="str">
        <f ca="1">IF(TODAY()-Table43[[#This Row],[Efektif Naik Harga]]&lt;30,"Naik","Sama")</f>
        <v>Sama</v>
      </c>
      <c r="BH470" s="7"/>
      <c r="BI470" s="7" t="str">
        <f>IF(Table43[[#This Row],[Kode BARANG Win2]]&lt;&gt;"","IDR","")</f>
        <v>IDR</v>
      </c>
      <c r="BJ470" s="7" t="str">
        <f>CONCATENATE(Table43[[#This Row],[kode  1 Digit
(Nomor)]],Table43[[#This Row],[kode  4 Digit                (Nomor)]])</f>
        <v>0350</v>
      </c>
      <c r="BK470" s="7" t="str">
        <f>Table43[[#This Row],[Nama            Gramasi atau Jumlah Pack per CTN]]</f>
        <v>350ML</v>
      </c>
      <c r="BL470" s="7"/>
      <c r="BM470" s="7"/>
      <c r="BN470" s="4" t="str">
        <f>IF(Table43[[#This Row],[SATUAN Fix Win]]&lt;&gt;"","KRT")</f>
        <v>KRT</v>
      </c>
      <c r="BO470" s="4" t="str">
        <f>IF(Table43[[#This Row],[SATUAN Fix Win]]&lt;&gt;"","GD01")</f>
        <v>GD01</v>
      </c>
      <c r="BP470" s="4">
        <f>IF(Table43[[#This Row],[SATUAN Fix Win]]&lt;&gt;"",11611)</f>
        <v>11611</v>
      </c>
      <c r="BQ470" s="4">
        <f>IF(Table43[[#This Row],[SATUAN Fix Win]]&lt;&gt;"",11612)</f>
        <v>11612</v>
      </c>
      <c r="BS470" s="4">
        <f>IF(Table43[[#This Row],[SATUAN Fix Win]]&lt;&gt;"",1)</f>
        <v>1</v>
      </c>
      <c r="BU470" s="4">
        <f>Table43[[#This Row],[ISI/CTN]]</f>
        <v>6</v>
      </c>
    </row>
    <row r="471" spans="1:75">
      <c r="A471" s="4" t="str">
        <f>CONCATENATE(Table43[[#This Row],[Kode BARANG Win2]],Table43[[#This Row],[No. Urut
Item Sama]])</f>
        <v>G1261202035010</v>
      </c>
      <c r="B471" s="7"/>
      <c r="C471" s="31"/>
      <c r="D471" s="59">
        <v>40059937</v>
      </c>
      <c r="E471" s="60"/>
      <c r="F471" s="69"/>
      <c r="G471" s="69"/>
      <c r="H471" s="60"/>
      <c r="I471" s="60">
        <v>6</v>
      </c>
      <c r="J471" s="59"/>
      <c r="K471" s="60" t="str">
        <f>Table43[[#This Row],[NamaJenisKemasan]]</f>
        <v>KLG</v>
      </c>
      <c r="L471" s="4" t="str">
        <f>TRIM(CONCATENATE(Table43[[#This Row],[Nama            KLP]]," ",Table43[[#This Row],[Nama            Sub KLP]]))</f>
        <v>STELLA AEROSOL</v>
      </c>
      <c r="M471" s="4" t="str">
        <f>CONCATENATE(Table43[[#This Row],[kode  2 Digit                (hrf+No)]],Table43[[#This Row],[kode  2 Digit                (Nomor)]],Table43[[#This Row],[kode  1 Digit                (Nomor)]])</f>
        <v>G1261</v>
      </c>
      <c r="N471" s="4" t="str">
        <f>IF(AI471="",CONCATENATE(S471,U471,W471,Y471,AA471,AC471,AE471,AG471,Table43[[#This Row],[Tanda Kode Revisi]]),CONCATENATE(S471,U471,W471,Y471,AA471,AC471,AE471,AI471))</f>
        <v>G1261202035010</v>
      </c>
      <c r="O471" s="11">
        <f t="shared" si="12"/>
        <v>14</v>
      </c>
      <c r="P471" s="14" t="str">
        <f>IF(AH471&lt;&gt;"",TRIM(UPPER(CONCATENATE(R471," ",T471," ",V471," ",X471," ",Z471," ",AB471," ","X"," ",Table43[[#This Row],[ISI/CTN]]," ",AH471," ",AD471," ",AF471," ",AJ471))),TRIM(UPPER(CONCATENATE(R471," ",T471," ",V471," ",X471," ",Z471," ",AB471," ","X"," ",Table43[[#This Row],[ISI/CTN]]," ",AD471," ",AF471," ",AJ471))))</f>
        <v>STELLA AEROSOL MULTI PACK ORANGE 350ML X 6 KLG</v>
      </c>
      <c r="Q471" s="11">
        <f t="shared" si="13"/>
        <v>46</v>
      </c>
      <c r="S471" s="7" t="s">
        <v>34</v>
      </c>
      <c r="T471" s="4" t="s">
        <v>2421</v>
      </c>
      <c r="U471" s="47" t="s">
        <v>2584</v>
      </c>
      <c r="V471" s="48" t="s">
        <v>2243</v>
      </c>
      <c r="W471" s="7">
        <v>1</v>
      </c>
      <c r="X471" s="48" t="s">
        <v>2399</v>
      </c>
      <c r="Y471" s="47" t="s">
        <v>2572</v>
      </c>
      <c r="Z471" s="4" t="s">
        <v>2251</v>
      </c>
      <c r="AA471" s="49" t="s">
        <v>2459</v>
      </c>
      <c r="AB471" s="4" t="s">
        <v>2372</v>
      </c>
      <c r="AC471" s="49" t="s">
        <v>2619</v>
      </c>
      <c r="AD471" s="4" t="s">
        <v>2221</v>
      </c>
      <c r="AE471" s="7">
        <v>1</v>
      </c>
      <c r="AG471" s="7">
        <v>0</v>
      </c>
      <c r="AK471" s="70">
        <f>Table43[[#This Row],[Column4]]</f>
        <v>0</v>
      </c>
      <c r="AN471" s="7">
        <f>Table43[[#This Row],[ISI/CTN]]</f>
        <v>6</v>
      </c>
      <c r="AO471" s="38">
        <f>Table43[[#This Row],[Harga Jual Pcs GT
(-PPN)]]-(Table43[[#This Row],[Harga Jual Pcs GT
(-PPN)]]*6.5%)</f>
        <v>38615.5</v>
      </c>
      <c r="AP471" s="38">
        <f>Table43[[#This Row],[Harga Beli Pcs
(-PPN)]]*Table43[[#This Row],[ISI/CTN]]</f>
        <v>231693</v>
      </c>
      <c r="AQ471" s="38">
        <f>Table43[[#This Row],[Harga Beli Pcs
(-PPN)]]*1.11</f>
        <v>42863.205000000002</v>
      </c>
      <c r="AR471" s="38">
        <f>Table43[[#This Row],[Harga Beli Krt
(- PPN)]]*1.11</f>
        <v>257179.23</v>
      </c>
      <c r="AS471" s="38">
        <v>41300</v>
      </c>
      <c r="AT471" s="38">
        <f>Table43[[#This Row],[Harga Jual Pcs GT
(-PPN)]]*Table43[[#This Row],[ISI/CTN]]</f>
        <v>247800</v>
      </c>
      <c r="AU471" s="38">
        <f>Table43[[#This Row],[Harga Jual Pcs GT
(-PPN)]]*1.11</f>
        <v>45843.000000000007</v>
      </c>
      <c r="AV471" s="38">
        <f>Table43[[#This Row],[Harga Jual Krt GT
(- PPN)]]*1.11</f>
        <v>275058</v>
      </c>
      <c r="AW471" s="38">
        <f>IFERROR(VLOOKUP(Table43[[#This Row],[Kode Pcpl]],'[1]FEB 2026'!$A$3:$X$312,24,0),0)</f>
        <v>0</v>
      </c>
      <c r="AX471" s="38">
        <f>Table43[[#This Row],[Harga Jual Pcs MT
(-PPN)]]*Table43[[#This Row],[ISI/CTN]]</f>
        <v>0</v>
      </c>
      <c r="AY471" s="38">
        <f>Table43[[#This Row],[Harga Jual Pcs MT
(-PPN)]]*1.11</f>
        <v>0</v>
      </c>
      <c r="AZ471" s="38">
        <f>Table43[[#This Row],[Harga Jual Pcs MT
(+PPN)]]*Table43[[#This Row],[ISI/CTN]]</f>
        <v>0</v>
      </c>
      <c r="BA471" s="46">
        <f>(Table43[[#This Row],[Harga Jual Pcs GT
(-PPN)]]-Table43[[#This Row],[Harga Beli Pcs
(-PPN)]])/Table43[[#This Row],[Harga Jual Pcs GT
(-PPN)]]</f>
        <v>6.5000000000000002E-2</v>
      </c>
      <c r="BB471" s="53">
        <f>Table43[[#This Row],[Harga Jual Pcs MT
(-PPN)]]-Table43[[#This Row],[Harga Beli Pcs
(-PPN)]]</f>
        <v>-38615.5</v>
      </c>
      <c r="BC471" s="54" t="e">
        <f>Table43[[#This Row],[Column1]]/Table43[[#This Row],[Harga Jual Pcs MT
(-PPN)]]</f>
        <v>#DIV/0!</v>
      </c>
      <c r="BD471" s="52"/>
      <c r="BE471" s="7"/>
      <c r="BF471" s="7" t="str">
        <f ca="1">IF(TODAY()-Table43[[#This Row],[Efektif
Pembuatan]]&gt;60,"Lama","Baru")</f>
        <v>Lama</v>
      </c>
      <c r="BG471" s="7" t="str">
        <f ca="1">IF(TODAY()-Table43[[#This Row],[Efektif Naik Harga]]&lt;30,"Naik","Sama")</f>
        <v>Sama</v>
      </c>
      <c r="BH471" s="7"/>
      <c r="BI471" s="7" t="str">
        <f>IF(Table43[[#This Row],[Kode BARANG Win2]]&lt;&gt;"","IDR","")</f>
        <v>IDR</v>
      </c>
      <c r="BJ471" s="7" t="str">
        <f>CONCATENATE(Table43[[#This Row],[kode  1 Digit
(Nomor)]],Table43[[#This Row],[kode  4 Digit                (Nomor)]])</f>
        <v>0350</v>
      </c>
      <c r="BK471" s="7" t="str">
        <f>Table43[[#This Row],[Nama            Gramasi atau Jumlah Pack per CTN]]</f>
        <v>350ML</v>
      </c>
      <c r="BL471" s="7"/>
      <c r="BM471" s="7"/>
      <c r="BN471" s="4" t="str">
        <f>IF(Table43[[#This Row],[SATUAN Fix Win]]&lt;&gt;"","KRT")</f>
        <v>KRT</v>
      </c>
      <c r="BO471" s="4" t="str">
        <f>IF(Table43[[#This Row],[SATUAN Fix Win]]&lt;&gt;"","GD01")</f>
        <v>GD01</v>
      </c>
      <c r="BP471" s="4">
        <f>IF(Table43[[#This Row],[SATUAN Fix Win]]&lt;&gt;"",11611)</f>
        <v>11611</v>
      </c>
      <c r="BQ471" s="4">
        <f>IF(Table43[[#This Row],[SATUAN Fix Win]]&lt;&gt;"",11612)</f>
        <v>11612</v>
      </c>
      <c r="BS471" s="4">
        <f>IF(Table43[[#This Row],[SATUAN Fix Win]]&lt;&gt;"",1)</f>
        <v>1</v>
      </c>
      <c r="BU471" s="4">
        <f>Table43[[#This Row],[ISI/CTN]]</f>
        <v>6</v>
      </c>
    </row>
    <row r="472" spans="1:75">
      <c r="A472" s="4" t="str">
        <f>CONCATENATE(Table43[[#This Row],[Kode BARANG Win2]],Table43[[#This Row],[No. Urut
Item Sama]])</f>
        <v>G1261204024510</v>
      </c>
      <c r="B472" s="7"/>
      <c r="C472" s="31">
        <v>30602010000010</v>
      </c>
      <c r="D472" s="51">
        <v>40030008</v>
      </c>
      <c r="E472" s="27" t="s">
        <v>2138</v>
      </c>
      <c r="F472" s="51">
        <v>30560010245000</v>
      </c>
      <c r="G472" s="51">
        <v>0</v>
      </c>
      <c r="H472" s="27" t="s">
        <v>1467</v>
      </c>
      <c r="I472" s="27">
        <v>12</v>
      </c>
      <c r="J472" s="51" t="s">
        <v>1806</v>
      </c>
      <c r="K472" s="27" t="str">
        <f>Table43[[#This Row],[NamaJenisKemasan]]</f>
        <v>PCS</v>
      </c>
      <c r="L472" s="4" t="str">
        <f>TRIM(CONCATENATE(Table43[[#This Row],[Nama            KLP]]," ",Table43[[#This Row],[Nama            Sub KLP]]))</f>
        <v>STELLA AEROSOL</v>
      </c>
      <c r="M472" s="4" t="str">
        <f>CONCATENATE(Table43[[#This Row],[kode  2 Digit                (hrf+No)]],Table43[[#This Row],[kode  2 Digit                (Nomor)]],Table43[[#This Row],[kode  1 Digit                (Nomor)]])</f>
        <v>G1261</v>
      </c>
      <c r="N472" s="4" t="str">
        <f>IF(AI472="",CONCATENATE(S472,U472,W472,Y472,AA472,AC472,AE472,AG472,Table43[[#This Row],[Tanda Kode Revisi]]),CONCATENATE(S472,U472,W472,Y472,AA472,AC472,AE472,AI472))</f>
        <v>G1261204024510</v>
      </c>
      <c r="O472" s="11">
        <f t="shared" si="12"/>
        <v>14</v>
      </c>
      <c r="P472" s="14" t="str">
        <f>IF(AH472&lt;&gt;"",TRIM(UPPER(CONCATENATE(R472," ",T472," ",V472," ",X472," ",Z472," ",AB472," ","X"," ",Table43[[#This Row],[ISI/CTN]]," ",AH472," ",AD472," ",AF472," ",AJ472))),TRIM(UPPER(CONCATENATE(R472," ",T472," ",V472," ",X472," ",Z472," ",AB472," ","X"," ",Table43[[#This Row],[ISI/CTN]]," ",AD472," ",AF472," ",AJ472))))</f>
        <v>STELLA AEROSOL F&amp;P FABRIC SPRAY PINK PEONY 245ML X 12 PCS</v>
      </c>
      <c r="Q472" s="11">
        <f t="shared" si="13"/>
        <v>57</v>
      </c>
      <c r="S472" s="7" t="s">
        <v>34</v>
      </c>
      <c r="T472" s="4" t="s">
        <v>2421</v>
      </c>
      <c r="U472" s="47" t="s">
        <v>2584</v>
      </c>
      <c r="V472" s="48" t="s">
        <v>2243</v>
      </c>
      <c r="W472" s="7">
        <v>1</v>
      </c>
      <c r="X472" s="48" t="s">
        <v>2648</v>
      </c>
      <c r="Y472" s="47" t="s">
        <v>2572</v>
      </c>
      <c r="Z472" s="4" t="s">
        <v>2441</v>
      </c>
      <c r="AA472" s="49" t="s">
        <v>2540</v>
      </c>
      <c r="AB472" s="4" t="s">
        <v>2375</v>
      </c>
      <c r="AC472" s="49" t="s">
        <v>2611</v>
      </c>
      <c r="AD472" s="4" t="s">
        <v>185</v>
      </c>
      <c r="AE472" s="7">
        <v>1</v>
      </c>
      <c r="AG472" s="7">
        <v>0</v>
      </c>
      <c r="AK472" s="70">
        <f>Table43[[#This Row],[Column4]]</f>
        <v>30560010245000</v>
      </c>
      <c r="AN472" s="7">
        <f>Table43[[#This Row],[ISI/CTN]]</f>
        <v>12</v>
      </c>
      <c r="AO472" s="61">
        <f>Table43[[#This Row],[Harga Jual Pcs GT
(-PPN)]]-(Table43[[#This Row],[Harga Jual Pcs GT
(-PPN)]]*6.5%)</f>
        <v>19480.724999999999</v>
      </c>
      <c r="AP472" s="61">
        <f>Table43[[#This Row],[Harga Beli Pcs
(-PPN)]]*Table43[[#This Row],[ISI/CTN]]</f>
        <v>233768.69999999998</v>
      </c>
      <c r="AQ472" s="61">
        <f>Table43[[#This Row],[Harga Beli Pcs
(-PPN)]]*1.11</f>
        <v>21623.604749999999</v>
      </c>
      <c r="AR472" s="61">
        <f>Table43[[#This Row],[Harga Beli Krt
(- PPN)]]*1.11</f>
        <v>259483.25700000001</v>
      </c>
      <c r="AS472" s="61">
        <v>20835</v>
      </c>
      <c r="AT472" s="61">
        <f>Table43[[#This Row],[Harga Jual Pcs GT
(-PPN)]]*Table43[[#This Row],[ISI/CTN]]</f>
        <v>250020</v>
      </c>
      <c r="AU472" s="61">
        <f>Table43[[#This Row],[Harga Jual Pcs GT
(-PPN)]]*1.11</f>
        <v>23126.850000000002</v>
      </c>
      <c r="AV472" s="61">
        <f>Table43[[#This Row],[Harga Jual Krt GT
(- PPN)]]*1.11</f>
        <v>277522.2</v>
      </c>
      <c r="AW472" s="61">
        <f>IFERROR(VLOOKUP(Table43[[#This Row],[Kode Pcpl]],'[1]FEB 2026'!$A$3:$X$312,24,0),0)</f>
        <v>0</v>
      </c>
      <c r="AX472" s="61">
        <f>Table43[[#This Row],[Harga Jual Pcs MT
(-PPN)]]*Table43[[#This Row],[ISI/CTN]]</f>
        <v>0</v>
      </c>
      <c r="AY472" s="61">
        <f>Table43[[#This Row],[Harga Jual Pcs MT
(-PPN)]]*1.11</f>
        <v>0</v>
      </c>
      <c r="AZ472" s="61">
        <f>Table43[[#This Row],[Harga Jual Pcs MT
(+PPN)]]*Table43[[#This Row],[ISI/CTN]]</f>
        <v>0</v>
      </c>
      <c r="BA472" s="62">
        <f>(Table43[[#This Row],[Harga Jual Pcs GT
(-PPN)]]-Table43[[#This Row],[Harga Beli Pcs
(-PPN)]])/Table43[[#This Row],[Harga Jual Pcs GT
(-PPN)]]</f>
        <v>6.5000000000000072E-2</v>
      </c>
      <c r="BB472" s="63">
        <f>Table43[[#This Row],[Harga Jual Pcs MT
(-PPN)]]-Table43[[#This Row],[Harga Beli Pcs
(-PPN)]]</f>
        <v>-19480.724999999999</v>
      </c>
      <c r="BC472" s="64" t="e">
        <f>Table43[[#This Row],[Column1]]/Table43[[#This Row],[Harga Jual Pcs MT
(-PPN)]]</f>
        <v>#DIV/0!</v>
      </c>
      <c r="BD472" s="52"/>
      <c r="BE472" s="7"/>
      <c r="BF472" s="7" t="str">
        <f ca="1">IF(TODAY()-Table43[[#This Row],[Efektif
Pembuatan]]&gt;60,"Lama","Baru")</f>
        <v>Lama</v>
      </c>
      <c r="BG472" s="7" t="str">
        <f ca="1">IF(TODAY()-Table43[[#This Row],[Efektif Naik Harga]]&lt;30,"Naik","Sama")</f>
        <v>Sama</v>
      </c>
      <c r="BH472" s="7"/>
      <c r="BI472" s="7" t="str">
        <f>IF(Table43[[#This Row],[Kode BARANG Win2]]&lt;&gt;"","IDR","")</f>
        <v>IDR</v>
      </c>
      <c r="BJ472" s="7" t="str">
        <f>CONCATENATE(Table43[[#This Row],[kode  1 Digit
(Nomor)]],Table43[[#This Row],[kode  4 Digit                (Nomor)]])</f>
        <v>0245</v>
      </c>
      <c r="BK472" s="7" t="str">
        <f>Table43[[#This Row],[Nama            Gramasi atau Jumlah Pack per CTN]]</f>
        <v>245ML</v>
      </c>
      <c r="BL472" s="7"/>
      <c r="BM472" s="7"/>
      <c r="BN472" s="4" t="str">
        <f>IF(Table43[[#This Row],[SATUAN Fix Win]]&lt;&gt;"","KRT")</f>
        <v>KRT</v>
      </c>
      <c r="BO472" s="4" t="str">
        <f>IF(Table43[[#This Row],[SATUAN Fix Win]]&lt;&gt;"","GD01")</f>
        <v>GD01</v>
      </c>
      <c r="BP472" s="4">
        <f>IF(Table43[[#This Row],[SATUAN Fix Win]]&lt;&gt;"",11611)</f>
        <v>11611</v>
      </c>
      <c r="BQ472" s="4">
        <f>IF(Table43[[#This Row],[SATUAN Fix Win]]&lt;&gt;"",11612)</f>
        <v>11612</v>
      </c>
      <c r="BS472" s="4">
        <f>IF(Table43[[#This Row],[SATUAN Fix Win]]&lt;&gt;"",1)</f>
        <v>1</v>
      </c>
      <c r="BU472" s="4">
        <f>Table43[[#This Row],[ISI/CTN]]</f>
        <v>12</v>
      </c>
    </row>
    <row r="473" spans="1:75">
      <c r="A473" s="4" t="str">
        <f>CONCATENATE(Table43[[#This Row],[Kode BARANG Win2]],Table43[[#This Row],[No. Urut
Item Sama]])</f>
        <v>G1261204024510</v>
      </c>
      <c r="B473" s="7"/>
      <c r="C473" s="31"/>
      <c r="D473" s="51">
        <v>40026845</v>
      </c>
      <c r="E473" s="27"/>
      <c r="F473" s="51"/>
      <c r="G473" s="51"/>
      <c r="H473" s="27"/>
      <c r="I473" s="27">
        <v>12</v>
      </c>
      <c r="J473" s="51" t="s">
        <v>1806</v>
      </c>
      <c r="K473" s="27" t="str">
        <f>Table43[[#This Row],[NamaJenisKemasan]]</f>
        <v>PCS</v>
      </c>
      <c r="L473" s="4" t="str">
        <f>TRIM(CONCATENATE(Table43[[#This Row],[Nama            KLP]]," ",Table43[[#This Row],[Nama            Sub KLP]]))</f>
        <v>STELLA AEROSOL</v>
      </c>
      <c r="M473" s="4" t="str">
        <f>CONCATENATE(Table43[[#This Row],[kode  2 Digit                (hrf+No)]],Table43[[#This Row],[kode  2 Digit                (Nomor)]],Table43[[#This Row],[kode  1 Digit                (Nomor)]])</f>
        <v>G1261</v>
      </c>
      <c r="N473" s="4" t="str">
        <f>IF(AI473="",CONCATENATE(S473,U473,W473,Y473,AA473,AC473,AE473,AG473,Table43[[#This Row],[Tanda Kode Revisi]]),CONCATENATE(S473,U473,W473,Y473,AA473,AC473,AE473,AI473))</f>
        <v>G1261204024510</v>
      </c>
      <c r="O473" s="11">
        <f>LEN(N473)</f>
        <v>14</v>
      </c>
      <c r="P473" s="14" t="str">
        <f>IF(AH473&lt;&gt;"",TRIM(UPPER(CONCATENATE(R473," ",T473," ",V473," ",X473," ",Z473," ",AB473," ","X"," ",Table43[[#This Row],[ISI/CTN]]," ",AH473," ",AD473," ",AF473," ",AJ473))),TRIM(UPPER(CONCATENATE(R473," ",T473," ",V473," ",X473," ",Z473," ",AB473," ","X"," ",Table43[[#This Row],[ISI/CTN]]," ",AD473," ",AF473," ",AJ473))))</f>
        <v>STELLA AEROSOL F&amp;P FABRIC SPRAY PINK PEONY 245ML X 12 PCS</v>
      </c>
      <c r="Q473" s="11">
        <f>LEN(P473)</f>
        <v>57</v>
      </c>
      <c r="S473" s="7" t="s">
        <v>34</v>
      </c>
      <c r="T473" s="4" t="s">
        <v>2421</v>
      </c>
      <c r="U473" s="47" t="s">
        <v>2584</v>
      </c>
      <c r="V473" s="48" t="s">
        <v>2243</v>
      </c>
      <c r="W473" s="7">
        <v>1</v>
      </c>
      <c r="X473" s="48" t="s">
        <v>2648</v>
      </c>
      <c r="Y473" s="47" t="s">
        <v>2572</v>
      </c>
      <c r="Z473" s="4" t="s">
        <v>2441</v>
      </c>
      <c r="AA473" s="49" t="s">
        <v>2540</v>
      </c>
      <c r="AB473" s="4" t="s">
        <v>2375</v>
      </c>
      <c r="AC473" s="49" t="s">
        <v>2611</v>
      </c>
      <c r="AD473" s="4" t="s">
        <v>185</v>
      </c>
      <c r="AE473" s="7">
        <v>1</v>
      </c>
      <c r="AG473" s="7">
        <v>0</v>
      </c>
      <c r="AK473" s="70">
        <f>Table43[[#This Row],[Column4]]</f>
        <v>0</v>
      </c>
      <c r="AN473" s="7">
        <f>Table43[[#This Row],[ISI/CTN]]</f>
        <v>12</v>
      </c>
      <c r="AO473" s="61">
        <f>Table43[[#This Row],[Harga Jual Pcs GT
(-PPN)]]-(Table43[[#This Row],[Harga Jual Pcs GT
(-PPN)]]*6.5%)</f>
        <v>0</v>
      </c>
      <c r="AP473" s="61">
        <f>Table43[[#This Row],[Harga Beli Pcs
(-PPN)]]*Table43[[#This Row],[ISI/CTN]]</f>
        <v>0</v>
      </c>
      <c r="AQ473" s="61">
        <f>Table43[[#This Row],[Harga Beli Pcs
(-PPN)]]*1.11</f>
        <v>0</v>
      </c>
      <c r="AR473" s="61">
        <f>Table43[[#This Row],[Harga Beli Krt
(- PPN)]]*1.11</f>
        <v>0</v>
      </c>
      <c r="AS473" s="61"/>
      <c r="AT473" s="61">
        <f>Table43[[#This Row],[Harga Jual Pcs GT
(-PPN)]]*Table43[[#This Row],[ISI/CTN]]</f>
        <v>0</v>
      </c>
      <c r="AU473" s="61">
        <f>Table43[[#This Row],[Harga Jual Pcs GT
(-PPN)]]*1.11</f>
        <v>0</v>
      </c>
      <c r="AV473" s="61">
        <f>Table43[[#This Row],[Harga Jual Krt GT
(- PPN)]]*1.11</f>
        <v>0</v>
      </c>
      <c r="AW473" s="61">
        <f>IFERROR(VLOOKUP(Table43[[#This Row],[Kode Pcpl]],'[1]FEB 2026'!$A$3:$X$312,24,0),0)</f>
        <v>0</v>
      </c>
      <c r="AX473" s="61">
        <f>Table43[[#This Row],[Harga Jual Pcs MT
(-PPN)]]*Table43[[#This Row],[ISI/CTN]]</f>
        <v>0</v>
      </c>
      <c r="AY473" s="61">
        <f>Table43[[#This Row],[Harga Jual Pcs MT
(-PPN)]]*1.11</f>
        <v>0</v>
      </c>
      <c r="AZ473" s="61">
        <f>Table43[[#This Row],[Harga Jual Pcs MT
(+PPN)]]*Table43[[#This Row],[ISI/CTN]]</f>
        <v>0</v>
      </c>
      <c r="BA473" s="62" t="e">
        <f>(Table43[[#This Row],[Harga Jual Pcs GT
(-PPN)]]-Table43[[#This Row],[Harga Beli Pcs
(-PPN)]])/Table43[[#This Row],[Harga Jual Pcs GT
(-PPN)]]</f>
        <v>#DIV/0!</v>
      </c>
      <c r="BB473" s="63">
        <f>Table43[[#This Row],[Harga Jual Pcs MT
(-PPN)]]-Table43[[#This Row],[Harga Beli Pcs
(-PPN)]]</f>
        <v>0</v>
      </c>
      <c r="BC473" s="64" t="e">
        <f>Table43[[#This Row],[Column1]]/Table43[[#This Row],[Harga Jual Pcs MT
(-PPN)]]</f>
        <v>#DIV/0!</v>
      </c>
      <c r="BD473" s="52"/>
      <c r="BE473" s="7"/>
      <c r="BF473" s="7" t="str">
        <f ca="1">IF(TODAY()-Table43[[#This Row],[Efektif
Pembuatan]]&gt;60,"Lama","Baru")</f>
        <v>Lama</v>
      </c>
      <c r="BG473" s="7" t="str">
        <f ca="1">IF(TODAY()-Table43[[#This Row],[Efektif Naik Harga]]&lt;30,"Naik","Sama")</f>
        <v>Sama</v>
      </c>
      <c r="BH473" s="7"/>
      <c r="BI473" s="7" t="str">
        <f>IF(Table43[[#This Row],[Kode BARANG Win2]]&lt;&gt;"","IDR","")</f>
        <v>IDR</v>
      </c>
      <c r="BJ473" s="7" t="str">
        <f>CONCATENATE(Table43[[#This Row],[kode  1 Digit
(Nomor)]],Table43[[#This Row],[kode  4 Digit                (Nomor)]])</f>
        <v>0245</v>
      </c>
      <c r="BK473" s="7" t="str">
        <f>Table43[[#This Row],[Nama            Gramasi atau Jumlah Pack per CTN]]</f>
        <v>245ML</v>
      </c>
      <c r="BL473" s="7"/>
      <c r="BM473" s="7"/>
      <c r="BN473" s="4" t="str">
        <f>IF(Table43[[#This Row],[SATUAN Fix Win]]&lt;&gt;"","KRT")</f>
        <v>KRT</v>
      </c>
      <c r="BO473" s="4" t="str">
        <f>IF(Table43[[#This Row],[SATUAN Fix Win]]&lt;&gt;"","GD01")</f>
        <v>GD01</v>
      </c>
      <c r="BP473" s="4">
        <f>IF(Table43[[#This Row],[SATUAN Fix Win]]&lt;&gt;"",11611)</f>
        <v>11611</v>
      </c>
      <c r="BQ473" s="4">
        <f>IF(Table43[[#This Row],[SATUAN Fix Win]]&lt;&gt;"",11612)</f>
        <v>11612</v>
      </c>
      <c r="BS473" s="4">
        <f>IF(Table43[[#This Row],[SATUAN Fix Win]]&lt;&gt;"",1)</f>
        <v>1</v>
      </c>
      <c r="BU473" s="4">
        <f>Table43[[#This Row],[ISI/CTN]]</f>
        <v>12</v>
      </c>
    </row>
    <row r="474" spans="1:75">
      <c r="A474" s="4" t="str">
        <f>CONCATENATE(Table43[[#This Row],[Kode BARANG Win2]],Table43[[#This Row],[No. Urut
Item Sama]])</f>
        <v>G1262001004210</v>
      </c>
      <c r="B474" s="7"/>
      <c r="C474" s="31">
        <v>30500060042000</v>
      </c>
      <c r="D474" s="51">
        <v>40043508</v>
      </c>
      <c r="E474" s="27" t="s">
        <v>2108</v>
      </c>
      <c r="F474" s="51">
        <v>30500020042000</v>
      </c>
      <c r="G474" s="51">
        <v>0</v>
      </c>
      <c r="H474" s="27" t="s">
        <v>1430</v>
      </c>
      <c r="I474" s="27">
        <v>72</v>
      </c>
      <c r="J474" s="51" t="s">
        <v>1787</v>
      </c>
      <c r="K474" s="27" t="str">
        <f>Table43[[#This Row],[NamaJenisKemasan]]</f>
        <v>PCS</v>
      </c>
      <c r="L474" s="4" t="str">
        <f>TRIM(CONCATENATE(Table43[[#This Row],[Nama            KLP]]," ",Table43[[#This Row],[Nama            Sub KLP]]))</f>
        <v>STELLA ALL IN ONE</v>
      </c>
      <c r="M474" s="4" t="str">
        <f>CONCATENATE(Table43[[#This Row],[kode  2 Digit                (hrf+No)]],Table43[[#This Row],[kode  2 Digit                (Nomor)]],Table43[[#This Row],[kode  1 Digit                (Nomor)]])</f>
        <v>G1262</v>
      </c>
      <c r="N474" s="4" t="str">
        <f>IF(AI474="",CONCATENATE(S474,U474,W474,Y474,AA474,AC474,AE474,AG474,Table43[[#This Row],[Tanda Kode Revisi]]),CONCATENATE(S474,U474,W474,Y474,AA474,AC474,AE474,AI474))</f>
        <v>G1262001004210</v>
      </c>
      <c r="O474" s="11">
        <f t="shared" si="12"/>
        <v>14</v>
      </c>
      <c r="P474" s="14" t="str">
        <f>IF(AH474&lt;&gt;"",TRIM(UPPER(CONCATENATE(R474," ",T474," ",V474," ",X474," ",Z474," ",AB474," ","X"," ",Table43[[#This Row],[ISI/CTN]]," ",AH474," ",AD474," ",AF474," ",AJ474))),TRIM(UPPER(CONCATENATE(R474," ",T474," ",V474," ",X474," ",Z474," ",AB474," ","X"," ",Table43[[#This Row],[ISI/CTN]]," ",AD474," ",AF474," ",AJ474))))</f>
        <v>STELLA ALL IN ONE APPLE 42GR X 72 PCS</v>
      </c>
      <c r="Q474" s="11">
        <f t="shared" si="13"/>
        <v>37</v>
      </c>
      <c r="S474" s="7" t="s">
        <v>34</v>
      </c>
      <c r="T474" s="4" t="s">
        <v>2421</v>
      </c>
      <c r="U474" s="47" t="s">
        <v>2584</v>
      </c>
      <c r="V474" s="48" t="s">
        <v>2418</v>
      </c>
      <c r="W474" s="7">
        <v>2</v>
      </c>
      <c r="X474" s="48"/>
      <c r="Y474" s="47" t="s">
        <v>1116</v>
      </c>
      <c r="Z474" s="4" t="s">
        <v>2264</v>
      </c>
      <c r="AA474" s="49" t="s">
        <v>1115</v>
      </c>
      <c r="AB474" s="4" t="s">
        <v>2373</v>
      </c>
      <c r="AC474" s="49" t="s">
        <v>2655</v>
      </c>
      <c r="AD474" s="4" t="s">
        <v>185</v>
      </c>
      <c r="AE474" s="7">
        <v>1</v>
      </c>
      <c r="AG474" s="7">
        <v>0</v>
      </c>
      <c r="AK474" s="70">
        <f>Table43[[#This Row],[Column4]]</f>
        <v>30500020042000</v>
      </c>
      <c r="AN474" s="7">
        <f>Table43[[#This Row],[ISI/CTN]]</f>
        <v>72</v>
      </c>
      <c r="AO474" s="38">
        <f>Table43[[#This Row],[Harga Jual Pcs GT
(-PPN)]]-(Table43[[#This Row],[Harga Jual Pcs GT
(-PPN)]]*6.5%)</f>
        <v>8321.5</v>
      </c>
      <c r="AP474" s="38">
        <f>Table43[[#This Row],[Harga Beli Pcs
(-PPN)]]*Table43[[#This Row],[ISI/CTN]]</f>
        <v>599148</v>
      </c>
      <c r="AQ474" s="38">
        <f>Table43[[#This Row],[Harga Beli Pcs
(-PPN)]]*1.11</f>
        <v>9236.8650000000016</v>
      </c>
      <c r="AR474" s="38">
        <f>Table43[[#This Row],[Harga Beli Krt
(- PPN)]]*1.11</f>
        <v>665054.28</v>
      </c>
      <c r="AS474" s="38">
        <v>8900</v>
      </c>
      <c r="AT474" s="38">
        <f>Table43[[#This Row],[Harga Jual Pcs GT
(-PPN)]]*Table43[[#This Row],[ISI/CTN]]</f>
        <v>640800</v>
      </c>
      <c r="AU474" s="38">
        <f>Table43[[#This Row],[Harga Jual Pcs GT
(-PPN)]]*1.11</f>
        <v>9879</v>
      </c>
      <c r="AV474" s="38">
        <f>Table43[[#This Row],[Harga Jual Krt GT
(- PPN)]]*1.11</f>
        <v>711288.00000000012</v>
      </c>
      <c r="AW474" s="38">
        <f>IFERROR(VLOOKUP(Table43[[#This Row],[Kode Pcpl]],'[1]FEB 2026'!$A$3:$X$312,24,0),0)</f>
        <v>0</v>
      </c>
      <c r="AX474" s="38">
        <f>Table43[[#This Row],[Harga Jual Pcs MT
(-PPN)]]*Table43[[#This Row],[ISI/CTN]]</f>
        <v>0</v>
      </c>
      <c r="AY474" s="38">
        <f>Table43[[#This Row],[Harga Jual Pcs MT
(-PPN)]]*1.11</f>
        <v>0</v>
      </c>
      <c r="AZ474" s="38">
        <f>Table43[[#This Row],[Harga Jual Pcs MT
(+PPN)]]*Table43[[#This Row],[ISI/CTN]]</f>
        <v>0</v>
      </c>
      <c r="BA474" s="46">
        <f>(Table43[[#This Row],[Harga Jual Pcs GT
(-PPN)]]-Table43[[#This Row],[Harga Beli Pcs
(-PPN)]])/Table43[[#This Row],[Harga Jual Pcs GT
(-PPN)]]</f>
        <v>6.5000000000000002E-2</v>
      </c>
      <c r="BB474" s="53">
        <f>Table43[[#This Row],[Harga Jual Pcs MT
(-PPN)]]-Table43[[#This Row],[Harga Beli Pcs
(-PPN)]]</f>
        <v>-8321.5</v>
      </c>
      <c r="BC474" s="54" t="e">
        <f>Table43[[#This Row],[Column1]]/Table43[[#This Row],[Harga Jual Pcs MT
(-PPN)]]</f>
        <v>#DIV/0!</v>
      </c>
      <c r="BD474" s="52"/>
      <c r="BE474" s="7"/>
      <c r="BF474" s="7" t="str">
        <f ca="1">IF(TODAY()-Table43[[#This Row],[Efektif
Pembuatan]]&gt;60,"Lama","Baru")</f>
        <v>Lama</v>
      </c>
      <c r="BG474" s="7" t="str">
        <f ca="1">IF(TODAY()-Table43[[#This Row],[Efektif Naik Harga]]&lt;30,"Naik","Sama")</f>
        <v>Sama</v>
      </c>
      <c r="BH474" s="7"/>
      <c r="BI474" s="7" t="str">
        <f>IF(Table43[[#This Row],[Kode BARANG Win2]]&lt;&gt;"","IDR","")</f>
        <v>IDR</v>
      </c>
      <c r="BJ474" s="7" t="str">
        <f>CONCATENATE(Table43[[#This Row],[kode  1 Digit
(Nomor)]],Table43[[#This Row],[kode  4 Digit                (Nomor)]])</f>
        <v>0042</v>
      </c>
      <c r="BK474" s="7" t="str">
        <f>Table43[[#This Row],[Nama            Gramasi atau Jumlah Pack per CTN]]</f>
        <v>42GR</v>
      </c>
      <c r="BL474" s="7"/>
      <c r="BM474" s="7"/>
      <c r="BN474" s="4" t="str">
        <f>IF(Table43[[#This Row],[SATUAN Fix Win]]&lt;&gt;"","KRT")</f>
        <v>KRT</v>
      </c>
      <c r="BO474" s="4" t="str">
        <f>IF(Table43[[#This Row],[SATUAN Fix Win]]&lt;&gt;"","GD01")</f>
        <v>GD01</v>
      </c>
      <c r="BP474" s="4">
        <f>IF(Table43[[#This Row],[SATUAN Fix Win]]&lt;&gt;"",11611)</f>
        <v>11611</v>
      </c>
      <c r="BQ474" s="4">
        <f>IF(Table43[[#This Row],[SATUAN Fix Win]]&lt;&gt;"",11612)</f>
        <v>11612</v>
      </c>
      <c r="BS474" s="4">
        <f>IF(Table43[[#This Row],[SATUAN Fix Win]]&lt;&gt;"",1)</f>
        <v>1</v>
      </c>
      <c r="BU474" s="4">
        <f>Table43[[#This Row],[ISI/CTN]]</f>
        <v>72</v>
      </c>
    </row>
    <row r="475" spans="1:75" s="87" customFormat="1">
      <c r="A475" s="71" t="str">
        <f>CONCATENATE(Table43[[#This Row],[Kode BARANG Win2]],Table43[[#This Row],[No. Urut
Item Sama]])</f>
        <v>G1262001004210</v>
      </c>
      <c r="B475" s="72"/>
      <c r="C475" s="73"/>
      <c r="D475" s="74">
        <v>40061767</v>
      </c>
      <c r="E475" s="75"/>
      <c r="F475" s="74"/>
      <c r="G475" s="74"/>
      <c r="H475" s="75" t="s">
        <v>1430</v>
      </c>
      <c r="I475" s="75"/>
      <c r="J475" s="74"/>
      <c r="K475" s="75" t="str">
        <f>Table43[[#This Row],[NamaJenisKemasan]]</f>
        <v>PCS</v>
      </c>
      <c r="L475" s="71" t="str">
        <f>TRIM(CONCATENATE(Table43[[#This Row],[Nama            KLP]]," ",Table43[[#This Row],[Nama            Sub KLP]]))</f>
        <v>STELLA ALL IN ONE</v>
      </c>
      <c r="M475" s="71" t="str">
        <f>CONCATENATE(Table43[[#This Row],[kode  2 Digit                (hrf+No)]],Table43[[#This Row],[kode  2 Digit                (Nomor)]],Table43[[#This Row],[kode  1 Digit                (Nomor)]])</f>
        <v>G1262</v>
      </c>
      <c r="N475" s="71" t="str">
        <f>IF(AI475="",CONCATENATE(S475,U475,W475,Y475,AA475,AC475,AE475,AG475,Table43[[#This Row],[Tanda Kode Revisi]]),CONCATENATE(S475,U475,W475,Y475,AA475,AC475,AE475,AI475))</f>
        <v>G1262001004210</v>
      </c>
      <c r="O475" s="76">
        <f>LEN(N475)</f>
        <v>14</v>
      </c>
      <c r="P475" s="77" t="str">
        <f>IF(AH475&lt;&gt;"",TRIM(UPPER(CONCATENATE(R475," ",T475," ",V475," ",X475," ",Z475," ",AB475," ","X"," ",Table43[[#This Row],[ISI/CTN]]," ",AH475," ",AD475," ",AF475," ",AJ475))),TRIM(UPPER(CONCATENATE(R475," ",T475," ",V475," ",X475," ",Z475," ",AB475," ","X"," ",Table43[[#This Row],[ISI/CTN]]," ",AD475," ",AF475," ",AJ475))))</f>
        <v>STELLA ALL IN ONE APPLE 42GR X PCS</v>
      </c>
      <c r="Q475" s="76">
        <f>LEN(P475)</f>
        <v>34</v>
      </c>
      <c r="R475" s="71"/>
      <c r="S475" s="72" t="s">
        <v>34</v>
      </c>
      <c r="T475" s="71" t="s">
        <v>2421</v>
      </c>
      <c r="U475" s="78" t="s">
        <v>2584</v>
      </c>
      <c r="V475" s="79" t="s">
        <v>2418</v>
      </c>
      <c r="W475" s="72">
        <v>2</v>
      </c>
      <c r="X475" s="79"/>
      <c r="Y475" s="78" t="s">
        <v>1116</v>
      </c>
      <c r="Z475" s="71" t="s">
        <v>2264</v>
      </c>
      <c r="AA475" s="80" t="s">
        <v>1115</v>
      </c>
      <c r="AB475" s="71" t="s">
        <v>2373</v>
      </c>
      <c r="AC475" s="80" t="s">
        <v>2655</v>
      </c>
      <c r="AD475" s="71" t="s">
        <v>185</v>
      </c>
      <c r="AE475" s="72">
        <v>1</v>
      </c>
      <c r="AF475" s="71"/>
      <c r="AG475" s="72">
        <v>0</v>
      </c>
      <c r="AH475" s="72"/>
      <c r="AI475" s="72"/>
      <c r="AJ475" s="72"/>
      <c r="AK475" s="81">
        <f>Table43[[#This Row],[Column4]]</f>
        <v>0</v>
      </c>
      <c r="AL475" s="72"/>
      <c r="AM475" s="72"/>
      <c r="AN475" s="72">
        <f>Table43[[#This Row],[ISI/CTN]]</f>
        <v>0</v>
      </c>
      <c r="AO475" s="88">
        <f>Table43[[#This Row],[Harga Jual Pcs GT
(-PPN)]]-(Table43[[#This Row],[Harga Jual Pcs GT
(-PPN)]]*6.5%)</f>
        <v>0</v>
      </c>
      <c r="AP475" s="88">
        <f>Table43[[#This Row],[Harga Beli Pcs
(-PPN)]]*Table43[[#This Row],[ISI/CTN]]</f>
        <v>0</v>
      </c>
      <c r="AQ475" s="88">
        <f>Table43[[#This Row],[Harga Beli Pcs
(-PPN)]]*1.11</f>
        <v>0</v>
      </c>
      <c r="AR475" s="88">
        <f>Table43[[#This Row],[Harga Beli Krt
(- PPN)]]*1.11</f>
        <v>0</v>
      </c>
      <c r="AS475" s="88"/>
      <c r="AT475" s="88">
        <f>Table43[[#This Row],[Harga Jual Pcs GT
(-PPN)]]*Table43[[#This Row],[ISI/CTN]]</f>
        <v>0</v>
      </c>
      <c r="AU475" s="88">
        <f>Table43[[#This Row],[Harga Jual Pcs GT
(-PPN)]]*1.11</f>
        <v>0</v>
      </c>
      <c r="AV475" s="88">
        <f>Table43[[#This Row],[Harga Jual Krt GT
(- PPN)]]*1.11</f>
        <v>0</v>
      </c>
      <c r="AW475" s="88">
        <f>IFERROR(VLOOKUP(Table43[[#This Row],[Kode Pcpl]],'[1]FEB 2026'!$A$3:$X$312,24,0),0)</f>
        <v>0</v>
      </c>
      <c r="AX475" s="88">
        <f>Table43[[#This Row],[Harga Jual Pcs MT
(-PPN)]]*Table43[[#This Row],[ISI/CTN]]</f>
        <v>0</v>
      </c>
      <c r="AY475" s="88">
        <f>Table43[[#This Row],[Harga Jual Pcs MT
(-PPN)]]*1.11</f>
        <v>0</v>
      </c>
      <c r="AZ475" s="88">
        <f>Table43[[#This Row],[Harga Jual Pcs MT
(+PPN)]]*Table43[[#This Row],[ISI/CTN]]</f>
        <v>0</v>
      </c>
      <c r="BA475" s="89" t="e">
        <f>(Table43[[#This Row],[Harga Jual Pcs GT
(-PPN)]]-Table43[[#This Row],[Harga Beli Pcs
(-PPN)]])/Table43[[#This Row],[Harga Jual Pcs GT
(-PPN)]]</f>
        <v>#DIV/0!</v>
      </c>
      <c r="BB475" s="90">
        <f>Table43[[#This Row],[Harga Jual Pcs MT
(-PPN)]]-Table43[[#This Row],[Harga Beli Pcs
(-PPN)]]</f>
        <v>0</v>
      </c>
      <c r="BC475" s="91" t="e">
        <f>Table43[[#This Row],[Column1]]/Table43[[#This Row],[Harga Jual Pcs MT
(-PPN)]]</f>
        <v>#DIV/0!</v>
      </c>
      <c r="BD475" s="86"/>
      <c r="BE475" s="72"/>
      <c r="BF475" s="72" t="str">
        <f ca="1">IF(TODAY()-Table43[[#This Row],[Efektif
Pembuatan]]&gt;60,"Lama","Baru")</f>
        <v>Lama</v>
      </c>
      <c r="BG475" s="72" t="str">
        <f ca="1">IF(TODAY()-Table43[[#This Row],[Efektif Naik Harga]]&lt;30,"Naik","Sama")</f>
        <v>Sama</v>
      </c>
      <c r="BH475" s="72"/>
      <c r="BI475" s="72" t="str">
        <f>IF(Table43[[#This Row],[Kode BARANG Win2]]&lt;&gt;"","IDR","")</f>
        <v>IDR</v>
      </c>
      <c r="BJ475" s="72" t="str">
        <f>CONCATENATE(Table43[[#This Row],[kode  1 Digit
(Nomor)]],Table43[[#This Row],[kode  4 Digit                (Nomor)]])</f>
        <v>0042</v>
      </c>
      <c r="BK475" s="72" t="str">
        <f>Table43[[#This Row],[Nama            Gramasi atau Jumlah Pack per CTN]]</f>
        <v>42GR</v>
      </c>
      <c r="BL475" s="72"/>
      <c r="BM475" s="72"/>
      <c r="BN475" s="71" t="str">
        <f>IF(Table43[[#This Row],[SATUAN Fix Win]]&lt;&gt;"","KRT")</f>
        <v>KRT</v>
      </c>
      <c r="BO475" s="71" t="str">
        <f>IF(Table43[[#This Row],[SATUAN Fix Win]]&lt;&gt;"","GD01")</f>
        <v>GD01</v>
      </c>
      <c r="BP475" s="71">
        <f>IF(Table43[[#This Row],[SATUAN Fix Win]]&lt;&gt;"",11611)</f>
        <v>11611</v>
      </c>
      <c r="BQ475" s="71">
        <f>IF(Table43[[#This Row],[SATUAN Fix Win]]&lt;&gt;"",11612)</f>
        <v>11612</v>
      </c>
      <c r="BR475" s="71"/>
      <c r="BS475" s="71">
        <f>IF(Table43[[#This Row],[SATUAN Fix Win]]&lt;&gt;"",1)</f>
        <v>1</v>
      </c>
      <c r="BT475" s="71"/>
      <c r="BU475" s="71">
        <f>Table43[[#This Row],[ISI/CTN]]</f>
        <v>0</v>
      </c>
      <c r="BV475" s="71"/>
      <c r="BW475" s="71"/>
    </row>
    <row r="476" spans="1:75">
      <c r="A476" s="4" t="str">
        <f>CONCATENATE(Table43[[#This Row],[Kode BARANG Win2]],Table43[[#This Row],[No. Urut
Item Sama]])</f>
        <v>G1262001004210</v>
      </c>
      <c r="B476" s="7"/>
      <c r="C476" s="31"/>
      <c r="D476" s="51">
        <v>40033250</v>
      </c>
      <c r="E476" s="27"/>
      <c r="F476" s="51"/>
      <c r="G476" s="51"/>
      <c r="H476" s="27"/>
      <c r="I476" s="27">
        <v>72</v>
      </c>
      <c r="J476" s="51" t="s">
        <v>1787</v>
      </c>
      <c r="K476" s="27" t="str">
        <f>Table43[[#This Row],[NamaJenisKemasan]]</f>
        <v>PCS</v>
      </c>
      <c r="L476" s="4" t="str">
        <f>TRIM(CONCATENATE(Table43[[#This Row],[Nama            KLP]]," ",Table43[[#This Row],[Nama            Sub KLP]]))</f>
        <v>STELLA ALL IN ONE</v>
      </c>
      <c r="M476" s="4" t="str">
        <f>CONCATENATE(Table43[[#This Row],[kode  2 Digit                (hrf+No)]],Table43[[#This Row],[kode  2 Digit                (Nomor)]],Table43[[#This Row],[kode  1 Digit                (Nomor)]])</f>
        <v>G1262</v>
      </c>
      <c r="N476" s="4" t="str">
        <f>IF(AI476="",CONCATENATE(S476,U476,W476,Y476,AA476,AC476,AE476,AG476,Table43[[#This Row],[Tanda Kode Revisi]]),CONCATENATE(S476,U476,W476,Y476,AA476,AC476,AE476,AI476))</f>
        <v>G1262001004210</v>
      </c>
      <c r="O476" s="11">
        <f t="shared" si="12"/>
        <v>14</v>
      </c>
      <c r="P476" s="14" t="str">
        <f>IF(AH476&lt;&gt;"",TRIM(UPPER(CONCATENATE(R476," ",T476," ",V476," ",X476," ",Z476," ",AB476," ","X"," ",Table43[[#This Row],[ISI/CTN]]," ",AH476," ",AD476," ",AF476," ",AJ476))),TRIM(UPPER(CONCATENATE(R476," ",T476," ",V476," ",X476," ",Z476," ",AB476," ","X"," ",Table43[[#This Row],[ISI/CTN]]," ",AD476," ",AF476," ",AJ476))))</f>
        <v>STELLA ALL IN ONE APPLE 42GR X 72 PCS</v>
      </c>
      <c r="Q476" s="11">
        <f t="shared" si="13"/>
        <v>37</v>
      </c>
      <c r="S476" s="7" t="s">
        <v>34</v>
      </c>
      <c r="T476" s="4" t="s">
        <v>2421</v>
      </c>
      <c r="U476" s="47" t="s">
        <v>2584</v>
      </c>
      <c r="V476" s="48" t="s">
        <v>2418</v>
      </c>
      <c r="W476" s="7">
        <v>2</v>
      </c>
      <c r="X476" s="48"/>
      <c r="Y476" s="47" t="s">
        <v>1116</v>
      </c>
      <c r="Z476" s="4" t="s">
        <v>2264</v>
      </c>
      <c r="AA476" s="49" t="s">
        <v>1115</v>
      </c>
      <c r="AB476" s="4" t="s">
        <v>2373</v>
      </c>
      <c r="AC476" s="49" t="s">
        <v>2655</v>
      </c>
      <c r="AD476" s="4" t="s">
        <v>185</v>
      </c>
      <c r="AE476" s="7">
        <v>1</v>
      </c>
      <c r="AG476" s="7">
        <v>0</v>
      </c>
      <c r="AK476" s="70">
        <f>Table43[[#This Row],[Column4]]</f>
        <v>0</v>
      </c>
      <c r="AN476" s="7">
        <f>Table43[[#This Row],[ISI/CTN]]</f>
        <v>72</v>
      </c>
      <c r="AO476" s="38">
        <f>Table43[[#This Row],[Harga Jual Pcs GT
(-PPN)]]-(Table43[[#This Row],[Harga Jual Pcs GT
(-PPN)]]*6.5%)</f>
        <v>8321.5</v>
      </c>
      <c r="AP476" s="38">
        <f>Table43[[#This Row],[Harga Beli Pcs
(-PPN)]]*Table43[[#This Row],[ISI/CTN]]</f>
        <v>599148</v>
      </c>
      <c r="AQ476" s="38">
        <f>Table43[[#This Row],[Harga Beli Pcs
(-PPN)]]*1.11</f>
        <v>9236.8650000000016</v>
      </c>
      <c r="AR476" s="38">
        <f>Table43[[#This Row],[Harga Beli Krt
(- PPN)]]*1.11</f>
        <v>665054.28</v>
      </c>
      <c r="AS476" s="38">
        <v>8900</v>
      </c>
      <c r="AT476" s="38">
        <f>Table43[[#This Row],[Harga Jual Pcs GT
(-PPN)]]*Table43[[#This Row],[ISI/CTN]]</f>
        <v>640800</v>
      </c>
      <c r="AU476" s="38">
        <f>Table43[[#This Row],[Harga Jual Pcs GT
(-PPN)]]*1.11</f>
        <v>9879</v>
      </c>
      <c r="AV476" s="38">
        <f>Table43[[#This Row],[Harga Jual Krt GT
(- PPN)]]*1.11</f>
        <v>711288.00000000012</v>
      </c>
      <c r="AW476" s="38">
        <f>IFERROR(VLOOKUP(Table43[[#This Row],[Kode Pcpl]],'[1]FEB 2026'!$A$3:$X$312,24,0),0)</f>
        <v>0</v>
      </c>
      <c r="AX476" s="38">
        <f>Table43[[#This Row],[Harga Jual Pcs MT
(-PPN)]]*Table43[[#This Row],[ISI/CTN]]</f>
        <v>0</v>
      </c>
      <c r="AY476" s="38">
        <f>Table43[[#This Row],[Harga Jual Pcs MT
(-PPN)]]*1.11</f>
        <v>0</v>
      </c>
      <c r="AZ476" s="38">
        <f>Table43[[#This Row],[Harga Jual Pcs MT
(+PPN)]]*Table43[[#This Row],[ISI/CTN]]</f>
        <v>0</v>
      </c>
      <c r="BA476" s="46">
        <f>(Table43[[#This Row],[Harga Jual Pcs GT
(-PPN)]]-Table43[[#This Row],[Harga Beli Pcs
(-PPN)]])/Table43[[#This Row],[Harga Jual Pcs GT
(-PPN)]]</f>
        <v>6.5000000000000002E-2</v>
      </c>
      <c r="BB476" s="53">
        <f>Table43[[#This Row],[Harga Jual Pcs MT
(-PPN)]]-Table43[[#This Row],[Harga Beli Pcs
(-PPN)]]</f>
        <v>-8321.5</v>
      </c>
      <c r="BC476" s="54" t="e">
        <f>Table43[[#This Row],[Column1]]/Table43[[#This Row],[Harga Jual Pcs MT
(-PPN)]]</f>
        <v>#DIV/0!</v>
      </c>
      <c r="BD476" s="52"/>
      <c r="BE476" s="7"/>
      <c r="BF476" s="7" t="str">
        <f ca="1">IF(TODAY()-Table43[[#This Row],[Efektif
Pembuatan]]&gt;60,"Lama","Baru")</f>
        <v>Lama</v>
      </c>
      <c r="BG476" s="7" t="str">
        <f ca="1">IF(TODAY()-Table43[[#This Row],[Efektif Naik Harga]]&lt;30,"Naik","Sama")</f>
        <v>Sama</v>
      </c>
      <c r="BH476" s="7"/>
      <c r="BI476" s="7" t="str">
        <f>IF(Table43[[#This Row],[Kode BARANG Win2]]&lt;&gt;"","IDR","")</f>
        <v>IDR</v>
      </c>
      <c r="BJ476" s="7" t="str">
        <f>CONCATENATE(Table43[[#This Row],[kode  1 Digit
(Nomor)]],Table43[[#This Row],[kode  4 Digit                (Nomor)]])</f>
        <v>0042</v>
      </c>
      <c r="BK476" s="7" t="str">
        <f>Table43[[#This Row],[Nama            Gramasi atau Jumlah Pack per CTN]]</f>
        <v>42GR</v>
      </c>
      <c r="BL476" s="7"/>
      <c r="BM476" s="7"/>
      <c r="BN476" s="4" t="str">
        <f>IF(Table43[[#This Row],[SATUAN Fix Win]]&lt;&gt;"","KRT")</f>
        <v>KRT</v>
      </c>
      <c r="BO476" s="4" t="str">
        <f>IF(Table43[[#This Row],[SATUAN Fix Win]]&lt;&gt;"","GD01")</f>
        <v>GD01</v>
      </c>
      <c r="BP476" s="4">
        <f>IF(Table43[[#This Row],[SATUAN Fix Win]]&lt;&gt;"",11611)</f>
        <v>11611</v>
      </c>
      <c r="BQ476" s="4">
        <f>IF(Table43[[#This Row],[SATUAN Fix Win]]&lt;&gt;"",11612)</f>
        <v>11612</v>
      </c>
      <c r="BS476" s="4">
        <f>IF(Table43[[#This Row],[SATUAN Fix Win]]&lt;&gt;"",1)</f>
        <v>1</v>
      </c>
      <c r="BU476" s="4">
        <f>Table43[[#This Row],[ISI/CTN]]</f>
        <v>72</v>
      </c>
    </row>
    <row r="477" spans="1:75">
      <c r="A477" s="4" t="str">
        <f>CONCATENATE(Table43[[#This Row],[Kode BARANG Win2]],Table43[[#This Row],[No. Urut
Item Sama]])</f>
        <v>G1262001004211</v>
      </c>
      <c r="B477" s="7"/>
      <c r="C477" s="31">
        <v>30500060042000</v>
      </c>
      <c r="D477" s="51">
        <v>40049991</v>
      </c>
      <c r="E477" s="27" t="s">
        <v>2109</v>
      </c>
      <c r="F477" s="51">
        <v>30500020042002</v>
      </c>
      <c r="G477" s="51">
        <v>0</v>
      </c>
      <c r="H477" s="27" t="s">
        <v>1431</v>
      </c>
      <c r="I477" s="27">
        <v>72</v>
      </c>
      <c r="J477" s="51" t="s">
        <v>1787</v>
      </c>
      <c r="K477" s="27" t="str">
        <f>Table43[[#This Row],[NamaJenisKemasan]]</f>
        <v>PCS</v>
      </c>
      <c r="L477" s="4" t="str">
        <f>TRIM(CONCATENATE(Table43[[#This Row],[Nama            KLP]]," ",Table43[[#This Row],[Nama            Sub KLP]]))</f>
        <v>STELLA ALL IN ONE</v>
      </c>
      <c r="M477" s="4" t="str">
        <f>CONCATENATE(Table43[[#This Row],[kode  2 Digit                (hrf+No)]],Table43[[#This Row],[kode  2 Digit                (Nomor)]],Table43[[#This Row],[kode  1 Digit                (Nomor)]])</f>
        <v>G1262</v>
      </c>
      <c r="N477" s="4" t="str">
        <f>IF(AI477="",CONCATENATE(S477,U477,W477,Y477,AA477,AC477,AE477,AG477,Table43[[#This Row],[Tanda Kode Revisi]]),CONCATENATE(S477,U477,W477,Y477,AA477,AC477,AE477,AI477))</f>
        <v>G1262001004211</v>
      </c>
      <c r="O477" s="11">
        <f t="shared" si="12"/>
        <v>14</v>
      </c>
      <c r="P477" s="14" t="str">
        <f>IF(AH477&lt;&gt;"",TRIM(UPPER(CONCATENATE(R477," ",T477," ",V477," ",X477," ",Z477," ",AB477," ","X"," ",Table43[[#This Row],[ISI/CTN]]," ",AH477," ",AD477," ",AF477," ",AJ477))),TRIM(UPPER(CONCATENATE(R477," ",T477," ",V477," ",X477," ",Z477," ",AB477," ","X"," ",Table43[[#This Row],[ISI/CTN]]," ",AD477," ",AF477," ",AJ477))))</f>
        <v>STELLA ALL IN ONE APPLE 42GR X 72 PCS BANDED</v>
      </c>
      <c r="Q477" s="11">
        <f t="shared" si="13"/>
        <v>44</v>
      </c>
      <c r="S477" s="7" t="s">
        <v>34</v>
      </c>
      <c r="T477" s="4" t="s">
        <v>2421</v>
      </c>
      <c r="U477" s="47" t="s">
        <v>2584</v>
      </c>
      <c r="V477" s="48" t="s">
        <v>2418</v>
      </c>
      <c r="W477" s="7">
        <v>2</v>
      </c>
      <c r="X477" s="48"/>
      <c r="Y477" s="47" t="s">
        <v>1116</v>
      </c>
      <c r="Z477" s="4" t="s">
        <v>2264</v>
      </c>
      <c r="AA477" s="49" t="s">
        <v>1115</v>
      </c>
      <c r="AB477" s="4" t="s">
        <v>2373</v>
      </c>
      <c r="AC477" s="49" t="s">
        <v>2655</v>
      </c>
      <c r="AD477" s="4" t="s">
        <v>185</v>
      </c>
      <c r="AE477" s="7">
        <v>1</v>
      </c>
      <c r="AF477" s="4" t="s">
        <v>2269</v>
      </c>
      <c r="AG477" s="7">
        <v>1</v>
      </c>
      <c r="AK477" s="70">
        <f>Table43[[#This Row],[Column4]]</f>
        <v>30500020042002</v>
      </c>
      <c r="AN477" s="7">
        <f>Table43[[#This Row],[ISI/CTN]]</f>
        <v>72</v>
      </c>
      <c r="AO477" s="38">
        <f>Table43[[#This Row],[Harga Jual Pcs GT
(-PPN)]]-(Table43[[#This Row],[Harga Jual Pcs GT
(-PPN)]]*6.5%)</f>
        <v>8321.5</v>
      </c>
      <c r="AP477" s="38">
        <f>Table43[[#This Row],[Harga Beli Pcs
(-PPN)]]*Table43[[#This Row],[ISI/CTN]]</f>
        <v>599148</v>
      </c>
      <c r="AQ477" s="38">
        <f>Table43[[#This Row],[Harga Beli Pcs
(-PPN)]]*1.11</f>
        <v>9236.8650000000016</v>
      </c>
      <c r="AR477" s="38">
        <f>Table43[[#This Row],[Harga Beli Krt
(- PPN)]]*1.11</f>
        <v>665054.28</v>
      </c>
      <c r="AS477" s="38">
        <v>8900</v>
      </c>
      <c r="AT477" s="38">
        <f>Table43[[#This Row],[Harga Jual Pcs GT
(-PPN)]]*Table43[[#This Row],[ISI/CTN]]</f>
        <v>640800</v>
      </c>
      <c r="AU477" s="38">
        <f>Table43[[#This Row],[Harga Jual Pcs GT
(-PPN)]]*1.11</f>
        <v>9879</v>
      </c>
      <c r="AV477" s="38">
        <f>Table43[[#This Row],[Harga Jual Krt GT
(- PPN)]]*1.11</f>
        <v>711288.00000000012</v>
      </c>
      <c r="AW477" s="38">
        <f>IFERROR(VLOOKUP(Table43[[#This Row],[Kode Pcpl]],'[1]FEB 2026'!$A$3:$X$312,24,0),0)</f>
        <v>0</v>
      </c>
      <c r="AX477" s="38">
        <f>Table43[[#This Row],[Harga Jual Pcs MT
(-PPN)]]*Table43[[#This Row],[ISI/CTN]]</f>
        <v>0</v>
      </c>
      <c r="AY477" s="38">
        <f>Table43[[#This Row],[Harga Jual Pcs MT
(-PPN)]]*1.11</f>
        <v>0</v>
      </c>
      <c r="AZ477" s="38">
        <f>Table43[[#This Row],[Harga Jual Pcs MT
(+PPN)]]*Table43[[#This Row],[ISI/CTN]]</f>
        <v>0</v>
      </c>
      <c r="BA477" s="46">
        <f>(Table43[[#This Row],[Harga Jual Pcs GT
(-PPN)]]-Table43[[#This Row],[Harga Beli Pcs
(-PPN)]])/Table43[[#This Row],[Harga Jual Pcs GT
(-PPN)]]</f>
        <v>6.5000000000000002E-2</v>
      </c>
      <c r="BB477" s="53">
        <f>Table43[[#This Row],[Harga Jual Pcs MT
(-PPN)]]-Table43[[#This Row],[Harga Beli Pcs
(-PPN)]]</f>
        <v>-8321.5</v>
      </c>
      <c r="BC477" s="54" t="e">
        <f>Table43[[#This Row],[Column1]]/Table43[[#This Row],[Harga Jual Pcs MT
(-PPN)]]</f>
        <v>#DIV/0!</v>
      </c>
      <c r="BD477" s="52"/>
      <c r="BE477" s="7"/>
      <c r="BF477" s="7" t="str">
        <f ca="1">IF(TODAY()-Table43[[#This Row],[Efektif
Pembuatan]]&gt;60,"Lama","Baru")</f>
        <v>Lama</v>
      </c>
      <c r="BG477" s="7" t="str">
        <f ca="1">IF(TODAY()-Table43[[#This Row],[Efektif Naik Harga]]&lt;30,"Naik","Sama")</f>
        <v>Sama</v>
      </c>
      <c r="BH477" s="7"/>
      <c r="BI477" s="7" t="str">
        <f>IF(Table43[[#This Row],[Kode BARANG Win2]]&lt;&gt;"","IDR","")</f>
        <v>IDR</v>
      </c>
      <c r="BJ477" s="7" t="str">
        <f>CONCATENATE(Table43[[#This Row],[kode  1 Digit
(Nomor)]],Table43[[#This Row],[kode  4 Digit                (Nomor)]])</f>
        <v>0042</v>
      </c>
      <c r="BK477" s="7" t="str">
        <f>Table43[[#This Row],[Nama            Gramasi atau Jumlah Pack per CTN]]</f>
        <v>42GR</v>
      </c>
      <c r="BL477" s="7"/>
      <c r="BM477" s="7"/>
      <c r="BN477" s="4" t="str">
        <f>IF(Table43[[#This Row],[SATUAN Fix Win]]&lt;&gt;"","KRT")</f>
        <v>KRT</v>
      </c>
      <c r="BO477" s="4" t="str">
        <f>IF(Table43[[#This Row],[SATUAN Fix Win]]&lt;&gt;"","GD01")</f>
        <v>GD01</v>
      </c>
      <c r="BP477" s="4">
        <f>IF(Table43[[#This Row],[SATUAN Fix Win]]&lt;&gt;"",11611)</f>
        <v>11611</v>
      </c>
      <c r="BQ477" s="4">
        <f>IF(Table43[[#This Row],[SATUAN Fix Win]]&lt;&gt;"",11612)</f>
        <v>11612</v>
      </c>
      <c r="BS477" s="4">
        <f>IF(Table43[[#This Row],[SATUAN Fix Win]]&lt;&gt;"",1)</f>
        <v>1</v>
      </c>
      <c r="BU477" s="4">
        <f>Table43[[#This Row],[ISI/CTN]]</f>
        <v>72</v>
      </c>
    </row>
    <row r="478" spans="1:75">
      <c r="A478" s="4" t="str">
        <f>CONCATENATE(Table43[[#This Row],[Kode BARANG Win2]],Table43[[#This Row],[No. Urut
Item Sama]])</f>
        <v>G1262002004210</v>
      </c>
      <c r="B478" s="7"/>
      <c r="C478" s="31">
        <v>30500060042001</v>
      </c>
      <c r="D478" s="51">
        <v>40050038</v>
      </c>
      <c r="E478" s="27" t="s">
        <v>2124</v>
      </c>
      <c r="F478" s="51">
        <v>30500090040003</v>
      </c>
      <c r="G478" s="51">
        <v>0</v>
      </c>
      <c r="H478" s="27" t="s">
        <v>1447</v>
      </c>
      <c r="I478" s="27">
        <v>72</v>
      </c>
      <c r="J478" s="51" t="s">
        <v>1795</v>
      </c>
      <c r="K478" s="27" t="str">
        <f>Table43[[#This Row],[NamaJenisKemasan]]</f>
        <v>PCS</v>
      </c>
      <c r="L478" s="4" t="str">
        <f>TRIM(CONCATENATE(Table43[[#This Row],[Nama            KLP]]," ",Table43[[#This Row],[Nama            Sub KLP]]))</f>
        <v>STELLA ALL IN ONE</v>
      </c>
      <c r="M478" s="4" t="str">
        <f>CONCATENATE(Table43[[#This Row],[kode  2 Digit                (hrf+No)]],Table43[[#This Row],[kode  2 Digit                (Nomor)]],Table43[[#This Row],[kode  1 Digit                (Nomor)]])</f>
        <v>G1262</v>
      </c>
      <c r="N478" s="4" t="str">
        <f>IF(AI478="",CONCATENATE(S478,U478,W478,Y478,AA478,AC478,AE478,AG478,Table43[[#This Row],[Tanda Kode Revisi]]),CONCATENATE(S478,U478,W478,Y478,AA478,AC478,AE478,AI478))</f>
        <v>G1262002004210</v>
      </c>
      <c r="O478" s="11">
        <f t="shared" si="12"/>
        <v>14</v>
      </c>
      <c r="P478" s="14" t="str">
        <f>IF(AH478&lt;&gt;"",TRIM(UPPER(CONCATENATE(R478," ",T478," ",V478," ",X478," ",Z478," ",AB478," ","X"," ",Table43[[#This Row],[ISI/CTN]]," ",AH478," ",AD478," ",AF478," ",AJ478))),TRIM(UPPER(CONCATENATE(R478," ",T478," ",V478," ",X478," ",Z478," ",AB478," ","X"," ",Table43[[#This Row],[ISI/CTN]]," ",AD478," ",AF478," ",AJ478))))</f>
        <v>STELLA ALL IN ONE BALINESE JASMIN 42GR X 72 PCS</v>
      </c>
      <c r="Q478" s="11">
        <f t="shared" si="13"/>
        <v>47</v>
      </c>
      <c r="S478" s="7" t="s">
        <v>34</v>
      </c>
      <c r="T478" s="4" t="s">
        <v>2421</v>
      </c>
      <c r="U478" s="47" t="s">
        <v>2584</v>
      </c>
      <c r="V478" s="48" t="s">
        <v>2418</v>
      </c>
      <c r="W478" s="7">
        <v>2</v>
      </c>
      <c r="X478" s="48"/>
      <c r="Y478" s="47" t="s">
        <v>1116</v>
      </c>
      <c r="Z478" s="4" t="s">
        <v>3425</v>
      </c>
      <c r="AA478" s="49" t="s">
        <v>2459</v>
      </c>
      <c r="AB478" s="4" t="s">
        <v>2373</v>
      </c>
      <c r="AC478" s="49" t="s">
        <v>2655</v>
      </c>
      <c r="AD478" s="4" t="s">
        <v>185</v>
      </c>
      <c r="AE478" s="7">
        <v>1</v>
      </c>
      <c r="AG478" s="7">
        <v>0</v>
      </c>
      <c r="AK478" s="70">
        <f>Table43[[#This Row],[Column4]]</f>
        <v>30500090040003</v>
      </c>
      <c r="AN478" s="7">
        <f>Table43[[#This Row],[ISI/CTN]]</f>
        <v>72</v>
      </c>
      <c r="AO478" s="38">
        <f>Table43[[#This Row],[Harga Jual Pcs GT
(-PPN)]]-(Table43[[#This Row],[Harga Jual Pcs GT
(-PPN)]]*6.5%)</f>
        <v>8321.5</v>
      </c>
      <c r="AP478" s="38">
        <f>Table43[[#This Row],[Harga Beli Pcs
(-PPN)]]*Table43[[#This Row],[ISI/CTN]]</f>
        <v>599148</v>
      </c>
      <c r="AQ478" s="38">
        <f>Table43[[#This Row],[Harga Beli Pcs
(-PPN)]]*1.11</f>
        <v>9236.8650000000016</v>
      </c>
      <c r="AR478" s="38">
        <f>Table43[[#This Row],[Harga Beli Krt
(- PPN)]]*1.11</f>
        <v>665054.28</v>
      </c>
      <c r="AS478" s="38">
        <v>8900</v>
      </c>
      <c r="AT478" s="38">
        <f>Table43[[#This Row],[Harga Jual Pcs GT
(-PPN)]]*Table43[[#This Row],[ISI/CTN]]</f>
        <v>640800</v>
      </c>
      <c r="AU478" s="38">
        <f>Table43[[#This Row],[Harga Jual Pcs GT
(-PPN)]]*1.11</f>
        <v>9879</v>
      </c>
      <c r="AV478" s="38">
        <f>Table43[[#This Row],[Harga Jual Krt GT
(- PPN)]]*1.11</f>
        <v>711288.00000000012</v>
      </c>
      <c r="AW478" s="38">
        <f>IFERROR(VLOOKUP(Table43[[#This Row],[Kode Pcpl]],'[1]FEB 2026'!$A$3:$X$312,24,0),0)</f>
        <v>0</v>
      </c>
      <c r="AX478" s="38">
        <f>Table43[[#This Row],[Harga Jual Pcs MT
(-PPN)]]*Table43[[#This Row],[ISI/CTN]]</f>
        <v>0</v>
      </c>
      <c r="AY478" s="38">
        <f>Table43[[#This Row],[Harga Jual Pcs MT
(-PPN)]]*1.11</f>
        <v>0</v>
      </c>
      <c r="AZ478" s="38">
        <f>Table43[[#This Row],[Harga Jual Pcs MT
(+PPN)]]*Table43[[#This Row],[ISI/CTN]]</f>
        <v>0</v>
      </c>
      <c r="BA478" s="46">
        <f>(Table43[[#This Row],[Harga Jual Pcs GT
(-PPN)]]-Table43[[#This Row],[Harga Beli Pcs
(-PPN)]])/Table43[[#This Row],[Harga Jual Pcs GT
(-PPN)]]</f>
        <v>6.5000000000000002E-2</v>
      </c>
      <c r="BB478" s="53">
        <f>Table43[[#This Row],[Harga Jual Pcs MT
(-PPN)]]-Table43[[#This Row],[Harga Beli Pcs
(-PPN)]]</f>
        <v>-8321.5</v>
      </c>
      <c r="BC478" s="54" t="e">
        <f>Table43[[#This Row],[Column1]]/Table43[[#This Row],[Harga Jual Pcs MT
(-PPN)]]</f>
        <v>#DIV/0!</v>
      </c>
      <c r="BD478" s="52"/>
      <c r="BE478" s="7"/>
      <c r="BF478" s="7" t="str">
        <f ca="1">IF(TODAY()-Table43[[#This Row],[Efektif
Pembuatan]]&gt;60,"Lama","Baru")</f>
        <v>Lama</v>
      </c>
      <c r="BG478" s="7" t="str">
        <f ca="1">IF(TODAY()-Table43[[#This Row],[Efektif Naik Harga]]&lt;30,"Naik","Sama")</f>
        <v>Sama</v>
      </c>
      <c r="BH478" s="7"/>
      <c r="BI478" s="7" t="str">
        <f>IF(Table43[[#This Row],[Kode BARANG Win2]]&lt;&gt;"","IDR","")</f>
        <v>IDR</v>
      </c>
      <c r="BJ478" s="7" t="str">
        <f>CONCATENATE(Table43[[#This Row],[kode  1 Digit
(Nomor)]],Table43[[#This Row],[kode  4 Digit                (Nomor)]])</f>
        <v>0042</v>
      </c>
      <c r="BK478" s="7" t="str">
        <f>Table43[[#This Row],[Nama            Gramasi atau Jumlah Pack per CTN]]</f>
        <v>42GR</v>
      </c>
      <c r="BL478" s="7"/>
      <c r="BM478" s="7"/>
      <c r="BN478" s="4" t="str">
        <f>IF(Table43[[#This Row],[SATUAN Fix Win]]&lt;&gt;"","KRT")</f>
        <v>KRT</v>
      </c>
      <c r="BO478" s="4" t="str">
        <f>IF(Table43[[#This Row],[SATUAN Fix Win]]&lt;&gt;"","GD01")</f>
        <v>GD01</v>
      </c>
      <c r="BP478" s="4">
        <f>IF(Table43[[#This Row],[SATUAN Fix Win]]&lt;&gt;"",11611)</f>
        <v>11611</v>
      </c>
      <c r="BQ478" s="4">
        <f>IF(Table43[[#This Row],[SATUAN Fix Win]]&lt;&gt;"",11612)</f>
        <v>11612</v>
      </c>
      <c r="BS478" s="4">
        <f>IF(Table43[[#This Row],[SATUAN Fix Win]]&lt;&gt;"",1)</f>
        <v>1</v>
      </c>
      <c r="BU478" s="4">
        <f>Table43[[#This Row],[ISI/CTN]]</f>
        <v>72</v>
      </c>
    </row>
    <row r="479" spans="1:75">
      <c r="A479" s="4" t="str">
        <f>CONCATENATE(Table43[[#This Row],[Kode BARANG Win2]],Table43[[#This Row],[No. Urut
Item Sama]])</f>
        <v>G1262002004211</v>
      </c>
      <c r="B479" s="7"/>
      <c r="C479" s="31">
        <v>30500060042001</v>
      </c>
      <c r="D479" s="51">
        <v>40057312</v>
      </c>
      <c r="E479" s="27" t="s">
        <v>2125</v>
      </c>
      <c r="F479" s="51">
        <v>30500090042002</v>
      </c>
      <c r="G479" s="51">
        <v>0</v>
      </c>
      <c r="H479" s="27" t="s">
        <v>1448</v>
      </c>
      <c r="I479" s="27">
        <v>72</v>
      </c>
      <c r="J479" s="51" t="s">
        <v>1795</v>
      </c>
      <c r="K479" s="27" t="str">
        <f>Table43[[#This Row],[NamaJenisKemasan]]</f>
        <v>PCS</v>
      </c>
      <c r="L479" s="4" t="str">
        <f>TRIM(CONCATENATE(Table43[[#This Row],[Nama            KLP]]," ",Table43[[#This Row],[Nama            Sub KLP]]))</f>
        <v>STELLA ALL IN ONE</v>
      </c>
      <c r="M479" s="4" t="str">
        <f>CONCATENATE(Table43[[#This Row],[kode  2 Digit                (hrf+No)]],Table43[[#This Row],[kode  2 Digit                (Nomor)]],Table43[[#This Row],[kode  1 Digit                (Nomor)]])</f>
        <v>G1262</v>
      </c>
      <c r="N479" s="4" t="str">
        <f>IF(AI479="",CONCATENATE(S479,U479,W479,Y479,AA479,AC479,AE479,AG479,Table43[[#This Row],[Tanda Kode Revisi]]),CONCATENATE(S479,U479,W479,Y479,AA479,AC479,AE479,AI479))</f>
        <v>G1262002004211</v>
      </c>
      <c r="O479" s="11">
        <f t="shared" si="12"/>
        <v>14</v>
      </c>
      <c r="P479" s="14" t="str">
        <f>IF(AH479&lt;&gt;"",TRIM(UPPER(CONCATENATE(R479," ",T479," ",V479," ",X479," ",Z479," ",AB479," ","X"," ",Table43[[#This Row],[ISI/CTN]]," ",AH479," ",AD479," ",AF479," ",AJ479))),TRIM(UPPER(CONCATENATE(R479," ",T479," ",V479," ",X479," ",Z479," ",AB479," ","X"," ",Table43[[#This Row],[ISI/CTN]]," ",AD479," ",AF479," ",AJ479))))</f>
        <v>STELLA ALL IN ONE BALINESE JASMIN 42GR X 72 PCS BANDED</v>
      </c>
      <c r="Q479" s="11">
        <f t="shared" si="13"/>
        <v>54</v>
      </c>
      <c r="S479" s="7" t="s">
        <v>34</v>
      </c>
      <c r="T479" s="4" t="s">
        <v>2421</v>
      </c>
      <c r="U479" s="47" t="s">
        <v>2584</v>
      </c>
      <c r="V479" s="48" t="s">
        <v>2418</v>
      </c>
      <c r="W479" s="7">
        <v>2</v>
      </c>
      <c r="X479" s="48"/>
      <c r="Y479" s="47" t="s">
        <v>1116</v>
      </c>
      <c r="Z479" s="4" t="s">
        <v>3425</v>
      </c>
      <c r="AA479" s="49" t="s">
        <v>2459</v>
      </c>
      <c r="AB479" s="4" t="s">
        <v>2373</v>
      </c>
      <c r="AC479" s="49" t="s">
        <v>2655</v>
      </c>
      <c r="AD479" s="4" t="s">
        <v>185</v>
      </c>
      <c r="AE479" s="7">
        <v>1</v>
      </c>
      <c r="AF479" s="4" t="s">
        <v>2269</v>
      </c>
      <c r="AG479" s="7">
        <v>1</v>
      </c>
      <c r="AK479" s="70">
        <f>Table43[[#This Row],[Column4]]</f>
        <v>30500090042002</v>
      </c>
      <c r="AN479" s="7">
        <f>Table43[[#This Row],[ISI/CTN]]</f>
        <v>72</v>
      </c>
      <c r="AO479" s="38">
        <f>Table43[[#This Row],[Harga Jual Pcs GT
(-PPN)]]-(Table43[[#This Row],[Harga Jual Pcs GT
(-PPN)]]*6.5%)</f>
        <v>8321.5</v>
      </c>
      <c r="AP479" s="38">
        <f>Table43[[#This Row],[Harga Beli Pcs
(-PPN)]]*Table43[[#This Row],[ISI/CTN]]</f>
        <v>599148</v>
      </c>
      <c r="AQ479" s="38">
        <f>Table43[[#This Row],[Harga Beli Pcs
(-PPN)]]*1.11</f>
        <v>9236.8650000000016</v>
      </c>
      <c r="AR479" s="38">
        <f>Table43[[#This Row],[Harga Beli Krt
(- PPN)]]*1.11</f>
        <v>665054.28</v>
      </c>
      <c r="AS479" s="38">
        <v>8900</v>
      </c>
      <c r="AT479" s="38">
        <f>Table43[[#This Row],[Harga Jual Pcs GT
(-PPN)]]*Table43[[#This Row],[ISI/CTN]]</f>
        <v>640800</v>
      </c>
      <c r="AU479" s="38">
        <f>Table43[[#This Row],[Harga Jual Pcs GT
(-PPN)]]*1.11</f>
        <v>9879</v>
      </c>
      <c r="AV479" s="38">
        <f>Table43[[#This Row],[Harga Jual Krt GT
(- PPN)]]*1.11</f>
        <v>711288.00000000012</v>
      </c>
      <c r="AW479" s="38">
        <f>IFERROR(VLOOKUP(Table43[[#This Row],[Kode Pcpl]],'[1]FEB 2026'!$A$3:$X$312,24,0),0)</f>
        <v>0</v>
      </c>
      <c r="AX479" s="38">
        <f>Table43[[#This Row],[Harga Jual Pcs MT
(-PPN)]]*Table43[[#This Row],[ISI/CTN]]</f>
        <v>0</v>
      </c>
      <c r="AY479" s="38">
        <f>Table43[[#This Row],[Harga Jual Pcs MT
(-PPN)]]*1.11</f>
        <v>0</v>
      </c>
      <c r="AZ479" s="38">
        <f>Table43[[#This Row],[Harga Jual Pcs MT
(+PPN)]]*Table43[[#This Row],[ISI/CTN]]</f>
        <v>0</v>
      </c>
      <c r="BA479" s="46">
        <f>(Table43[[#This Row],[Harga Jual Pcs GT
(-PPN)]]-Table43[[#This Row],[Harga Beli Pcs
(-PPN)]])/Table43[[#This Row],[Harga Jual Pcs GT
(-PPN)]]</f>
        <v>6.5000000000000002E-2</v>
      </c>
      <c r="BB479" s="53">
        <f>Table43[[#This Row],[Harga Jual Pcs MT
(-PPN)]]-Table43[[#This Row],[Harga Beli Pcs
(-PPN)]]</f>
        <v>-8321.5</v>
      </c>
      <c r="BC479" s="54" t="e">
        <f>Table43[[#This Row],[Column1]]/Table43[[#This Row],[Harga Jual Pcs MT
(-PPN)]]</f>
        <v>#DIV/0!</v>
      </c>
      <c r="BD479" s="52"/>
      <c r="BE479" s="7"/>
      <c r="BF479" s="7" t="str">
        <f ca="1">IF(TODAY()-Table43[[#This Row],[Efektif
Pembuatan]]&gt;60,"Lama","Baru")</f>
        <v>Lama</v>
      </c>
      <c r="BG479" s="7" t="str">
        <f ca="1">IF(TODAY()-Table43[[#This Row],[Efektif Naik Harga]]&lt;30,"Naik","Sama")</f>
        <v>Sama</v>
      </c>
      <c r="BH479" s="7"/>
      <c r="BI479" s="7" t="str">
        <f>IF(Table43[[#This Row],[Kode BARANG Win2]]&lt;&gt;"","IDR","")</f>
        <v>IDR</v>
      </c>
      <c r="BJ479" s="7" t="str">
        <f>CONCATENATE(Table43[[#This Row],[kode  1 Digit
(Nomor)]],Table43[[#This Row],[kode  4 Digit                (Nomor)]])</f>
        <v>0042</v>
      </c>
      <c r="BK479" s="7" t="str">
        <f>Table43[[#This Row],[Nama            Gramasi atau Jumlah Pack per CTN]]</f>
        <v>42GR</v>
      </c>
      <c r="BL479" s="7"/>
      <c r="BM479" s="7"/>
      <c r="BN479" s="4" t="str">
        <f>IF(Table43[[#This Row],[SATUAN Fix Win]]&lt;&gt;"","KRT")</f>
        <v>KRT</v>
      </c>
      <c r="BO479" s="4" t="str">
        <f>IF(Table43[[#This Row],[SATUAN Fix Win]]&lt;&gt;"","GD01")</f>
        <v>GD01</v>
      </c>
      <c r="BP479" s="4">
        <f>IF(Table43[[#This Row],[SATUAN Fix Win]]&lt;&gt;"",11611)</f>
        <v>11611</v>
      </c>
      <c r="BQ479" s="4">
        <f>IF(Table43[[#This Row],[SATUAN Fix Win]]&lt;&gt;"",11612)</f>
        <v>11612</v>
      </c>
      <c r="BS479" s="4">
        <f>IF(Table43[[#This Row],[SATUAN Fix Win]]&lt;&gt;"",1)</f>
        <v>1</v>
      </c>
      <c r="BU479" s="4">
        <f>Table43[[#This Row],[ISI/CTN]]</f>
        <v>72</v>
      </c>
    </row>
    <row r="480" spans="1:75">
      <c r="A480" s="4" t="str">
        <f>CONCATENATE(Table43[[#This Row],[Kode BARANG Win2]],Table43[[#This Row],[No. Urut
Item Sama]])</f>
        <v>G1262011004210</v>
      </c>
      <c r="B480" s="7"/>
      <c r="C480" s="31">
        <v>30500040042002</v>
      </c>
      <c r="D480" s="51">
        <v>40033254</v>
      </c>
      <c r="E480" s="27" t="s">
        <v>2110</v>
      </c>
      <c r="F480" s="51">
        <v>30500030042000</v>
      </c>
      <c r="G480" s="51">
        <v>0</v>
      </c>
      <c r="H480" s="27" t="s">
        <v>1432</v>
      </c>
      <c r="I480" s="27">
        <v>72</v>
      </c>
      <c r="J480" s="51" t="s">
        <v>1788</v>
      </c>
      <c r="K480" s="27" t="str">
        <f>Table43[[#This Row],[NamaJenisKemasan]]</f>
        <v>PCS</v>
      </c>
      <c r="L480" s="4" t="str">
        <f>TRIM(CONCATENATE(Table43[[#This Row],[Nama            KLP]]," ",Table43[[#This Row],[Nama            Sub KLP]]))</f>
        <v>STELLA ALL IN ONE</v>
      </c>
      <c r="M480" s="4" t="str">
        <f>CONCATENATE(Table43[[#This Row],[kode  2 Digit                (hrf+No)]],Table43[[#This Row],[kode  2 Digit                (Nomor)]],Table43[[#This Row],[kode  1 Digit                (Nomor)]])</f>
        <v>G1262</v>
      </c>
      <c r="N480" s="4" t="str">
        <f>IF(AI480="",CONCATENATE(S480,U480,W480,Y480,AA480,AC480,AE480,AG480,Table43[[#This Row],[Tanda Kode Revisi]]),CONCATENATE(S480,U480,W480,Y480,AA480,AC480,AE480,AI480))</f>
        <v>G1262011004210</v>
      </c>
      <c r="O480" s="11">
        <f t="shared" si="12"/>
        <v>14</v>
      </c>
      <c r="P480" s="14" t="str">
        <f>IF(AH480&lt;&gt;"",TRIM(UPPER(CONCATENATE(R480," ",T480," ",V480," ",X480," ",Z480," ",AB480," ","X"," ",Table43[[#This Row],[ISI/CTN]]," ",AH480," ",AD480," ",AF480," ",AJ480))),TRIM(UPPER(CONCATENATE(R480," ",T480," ",V480," ",X480," ",Z480," ",AB480," ","X"," ",Table43[[#This Row],[ISI/CTN]]," ",AD480," ",AF480," ",AJ480))))</f>
        <v>STELLA ALL IN ONE BOUGENVILLE 42GR X 72 PCS</v>
      </c>
      <c r="Q480" s="11">
        <f t="shared" si="13"/>
        <v>43</v>
      </c>
      <c r="S480" s="7" t="s">
        <v>34</v>
      </c>
      <c r="T480" s="4" t="s">
        <v>2421</v>
      </c>
      <c r="U480" s="47" t="s">
        <v>2584</v>
      </c>
      <c r="V480" s="48" t="s">
        <v>2418</v>
      </c>
      <c r="W480" s="7">
        <v>2</v>
      </c>
      <c r="X480" s="48"/>
      <c r="Y480" s="47" t="s">
        <v>1116</v>
      </c>
      <c r="Z480" s="4" t="s">
        <v>2428</v>
      </c>
      <c r="AA480" s="49" t="s">
        <v>2557</v>
      </c>
      <c r="AB480" s="4" t="s">
        <v>2373</v>
      </c>
      <c r="AC480" s="49" t="s">
        <v>2655</v>
      </c>
      <c r="AD480" s="4" t="s">
        <v>185</v>
      </c>
      <c r="AE480" s="7">
        <v>1</v>
      </c>
      <c r="AG480" s="7">
        <v>0</v>
      </c>
      <c r="AK480" s="70">
        <f>Table43[[#This Row],[Column4]]</f>
        <v>30500030042000</v>
      </c>
      <c r="AN480" s="7">
        <f>Table43[[#This Row],[ISI/CTN]]</f>
        <v>72</v>
      </c>
      <c r="AO480" s="38">
        <f>Table43[[#This Row],[Harga Jual Pcs GT
(-PPN)]]-(Table43[[#This Row],[Harga Jual Pcs GT
(-PPN)]]*6.5%)</f>
        <v>8321.5</v>
      </c>
      <c r="AP480" s="38">
        <f>Table43[[#This Row],[Harga Beli Pcs
(-PPN)]]*Table43[[#This Row],[ISI/CTN]]</f>
        <v>599148</v>
      </c>
      <c r="AQ480" s="38">
        <f>Table43[[#This Row],[Harga Beli Pcs
(-PPN)]]*1.11</f>
        <v>9236.8650000000016</v>
      </c>
      <c r="AR480" s="38">
        <f>Table43[[#This Row],[Harga Beli Krt
(- PPN)]]*1.11</f>
        <v>665054.28</v>
      </c>
      <c r="AS480" s="38">
        <v>8900</v>
      </c>
      <c r="AT480" s="38">
        <f>Table43[[#This Row],[Harga Jual Pcs GT
(-PPN)]]*Table43[[#This Row],[ISI/CTN]]</f>
        <v>640800</v>
      </c>
      <c r="AU480" s="38">
        <f>Table43[[#This Row],[Harga Jual Pcs GT
(-PPN)]]*1.11</f>
        <v>9879</v>
      </c>
      <c r="AV480" s="38">
        <f>Table43[[#This Row],[Harga Jual Krt GT
(- PPN)]]*1.11</f>
        <v>711288.00000000012</v>
      </c>
      <c r="AW480" s="38">
        <f>IFERROR(VLOOKUP(Table43[[#This Row],[Kode Pcpl]],'[1]FEB 2026'!$A$3:$X$312,24,0),0)</f>
        <v>0</v>
      </c>
      <c r="AX480" s="38">
        <f>Table43[[#This Row],[Harga Jual Pcs MT
(-PPN)]]*Table43[[#This Row],[ISI/CTN]]</f>
        <v>0</v>
      </c>
      <c r="AY480" s="38">
        <f>Table43[[#This Row],[Harga Jual Pcs MT
(-PPN)]]*1.11</f>
        <v>0</v>
      </c>
      <c r="AZ480" s="38">
        <f>Table43[[#This Row],[Harga Jual Pcs MT
(+PPN)]]*Table43[[#This Row],[ISI/CTN]]</f>
        <v>0</v>
      </c>
      <c r="BA480" s="46">
        <f>(Table43[[#This Row],[Harga Jual Pcs GT
(-PPN)]]-Table43[[#This Row],[Harga Beli Pcs
(-PPN)]])/Table43[[#This Row],[Harga Jual Pcs GT
(-PPN)]]</f>
        <v>6.5000000000000002E-2</v>
      </c>
      <c r="BB480" s="53">
        <f>Table43[[#This Row],[Harga Jual Pcs MT
(-PPN)]]-Table43[[#This Row],[Harga Beli Pcs
(-PPN)]]</f>
        <v>-8321.5</v>
      </c>
      <c r="BC480" s="54" t="e">
        <f>Table43[[#This Row],[Column1]]/Table43[[#This Row],[Harga Jual Pcs MT
(-PPN)]]</f>
        <v>#DIV/0!</v>
      </c>
      <c r="BD480" s="52"/>
      <c r="BE480" s="7"/>
      <c r="BF480" s="7" t="str">
        <f ca="1">IF(TODAY()-Table43[[#This Row],[Efektif
Pembuatan]]&gt;60,"Lama","Baru")</f>
        <v>Lama</v>
      </c>
      <c r="BG480" s="7" t="str">
        <f ca="1">IF(TODAY()-Table43[[#This Row],[Efektif Naik Harga]]&lt;30,"Naik","Sama")</f>
        <v>Sama</v>
      </c>
      <c r="BH480" s="7"/>
      <c r="BI480" s="7" t="str">
        <f>IF(Table43[[#This Row],[Kode BARANG Win2]]&lt;&gt;"","IDR","")</f>
        <v>IDR</v>
      </c>
      <c r="BJ480" s="7" t="str">
        <f>CONCATENATE(Table43[[#This Row],[kode  1 Digit
(Nomor)]],Table43[[#This Row],[kode  4 Digit                (Nomor)]])</f>
        <v>0042</v>
      </c>
      <c r="BK480" s="7" t="str">
        <f>Table43[[#This Row],[Nama            Gramasi atau Jumlah Pack per CTN]]</f>
        <v>42GR</v>
      </c>
      <c r="BL480" s="7"/>
      <c r="BM480" s="7"/>
      <c r="BN480" s="4" t="str">
        <f>IF(Table43[[#This Row],[SATUAN Fix Win]]&lt;&gt;"","KRT")</f>
        <v>KRT</v>
      </c>
      <c r="BO480" s="4" t="str">
        <f>IF(Table43[[#This Row],[SATUAN Fix Win]]&lt;&gt;"","GD01")</f>
        <v>GD01</v>
      </c>
      <c r="BP480" s="4">
        <f>IF(Table43[[#This Row],[SATUAN Fix Win]]&lt;&gt;"",11611)</f>
        <v>11611</v>
      </c>
      <c r="BQ480" s="4">
        <f>IF(Table43[[#This Row],[SATUAN Fix Win]]&lt;&gt;"",11612)</f>
        <v>11612</v>
      </c>
      <c r="BS480" s="4">
        <f>IF(Table43[[#This Row],[SATUAN Fix Win]]&lt;&gt;"",1)</f>
        <v>1</v>
      </c>
      <c r="BU480" s="4">
        <f>Table43[[#This Row],[ISI/CTN]]</f>
        <v>72</v>
      </c>
    </row>
    <row r="481" spans="1:75">
      <c r="A481" s="4" t="str">
        <f>CONCATENATE(Table43[[#This Row],[Kode BARANG Win2]],Table43[[#This Row],[No. Urut
Item Sama]])</f>
        <v>G1262003004211</v>
      </c>
      <c r="B481" s="7"/>
      <c r="C481" s="31">
        <v>30500060042002</v>
      </c>
      <c r="D481" s="51">
        <v>40049974</v>
      </c>
      <c r="E481" s="27" t="s">
        <v>2111</v>
      </c>
      <c r="F481" s="51">
        <v>30500030042002</v>
      </c>
      <c r="G481" s="51">
        <v>0</v>
      </c>
      <c r="H481" s="27" t="s">
        <v>1433</v>
      </c>
      <c r="I481" s="27">
        <v>72</v>
      </c>
      <c r="J481" s="51" t="s">
        <v>1788</v>
      </c>
      <c r="K481" s="27" t="str">
        <f>Table43[[#This Row],[NamaJenisKemasan]]</f>
        <v>PCS</v>
      </c>
      <c r="L481" s="4" t="str">
        <f>TRIM(CONCATENATE(Table43[[#This Row],[Nama            KLP]]," ",Table43[[#This Row],[Nama            Sub KLP]]))</f>
        <v>STELLA ALL IN ONE</v>
      </c>
      <c r="M481" s="4" t="str">
        <f>CONCATENATE(Table43[[#This Row],[kode  2 Digit                (hrf+No)]],Table43[[#This Row],[kode  2 Digit                (Nomor)]],Table43[[#This Row],[kode  1 Digit                (Nomor)]])</f>
        <v>G1262</v>
      </c>
      <c r="N481" s="4" t="str">
        <f>IF(AI481="",CONCATENATE(S481,U481,W481,Y481,AA481,AC481,AE481,AG481,Table43[[#This Row],[Tanda Kode Revisi]]),CONCATENATE(S481,U481,W481,Y481,AA481,AC481,AE481,AI481))</f>
        <v>G1262003004211</v>
      </c>
      <c r="O481" s="11">
        <f t="shared" si="12"/>
        <v>14</v>
      </c>
      <c r="P481" s="14" t="str">
        <f>IF(AH481&lt;&gt;"",TRIM(UPPER(CONCATENATE(R481," ",T481," ",V481," ",X481," ",Z481," ",AB481," ","X"," ",Table43[[#This Row],[ISI/CTN]]," ",AH481," ",AD481," ",AF481," ",AJ481))),TRIM(UPPER(CONCATENATE(R481," ",T481," ",V481," ",X481," ",Z481," ",AB481," ","X"," ",Table43[[#This Row],[ISI/CTN]]," ",AD481," ",AF481," ",AJ481))))</f>
        <v>STELLA ALL IN ONE BOUGENVILLE 42GR X 72 PCS BANDED</v>
      </c>
      <c r="Q481" s="11">
        <f t="shared" si="13"/>
        <v>50</v>
      </c>
      <c r="S481" s="7" t="s">
        <v>34</v>
      </c>
      <c r="T481" s="4" t="s">
        <v>2421</v>
      </c>
      <c r="U481" s="47" t="s">
        <v>2584</v>
      </c>
      <c r="V481" s="48" t="s">
        <v>2418</v>
      </c>
      <c r="W481" s="7">
        <v>2</v>
      </c>
      <c r="X481" s="48"/>
      <c r="Y481" s="47" t="s">
        <v>1116</v>
      </c>
      <c r="Z481" s="4" t="s">
        <v>2428</v>
      </c>
      <c r="AA481" s="49" t="s">
        <v>2538</v>
      </c>
      <c r="AB481" s="4" t="s">
        <v>2373</v>
      </c>
      <c r="AC481" s="49" t="s">
        <v>2655</v>
      </c>
      <c r="AD481" s="4" t="s">
        <v>185</v>
      </c>
      <c r="AE481" s="7">
        <v>1</v>
      </c>
      <c r="AF481" s="4" t="s">
        <v>2269</v>
      </c>
      <c r="AG481" s="7">
        <v>1</v>
      </c>
      <c r="AK481" s="70">
        <f>Table43[[#This Row],[Column4]]</f>
        <v>30500030042002</v>
      </c>
      <c r="AN481" s="7">
        <f>Table43[[#This Row],[ISI/CTN]]</f>
        <v>72</v>
      </c>
      <c r="AO481" s="61">
        <f>Table43[[#This Row],[Harga Jual Pcs GT
(-PPN)]]-(Table43[[#This Row],[Harga Jual Pcs GT
(-PPN)]]*6.5%)</f>
        <v>8321.5</v>
      </c>
      <c r="AP481" s="61">
        <f>Table43[[#This Row],[Harga Beli Pcs
(-PPN)]]*Table43[[#This Row],[ISI/CTN]]</f>
        <v>599148</v>
      </c>
      <c r="AQ481" s="61">
        <f>Table43[[#This Row],[Harga Beli Pcs
(-PPN)]]*1.11</f>
        <v>9236.8650000000016</v>
      </c>
      <c r="AR481" s="61">
        <f>Table43[[#This Row],[Harga Beli Krt
(- PPN)]]*1.11</f>
        <v>665054.28</v>
      </c>
      <c r="AS481" s="61">
        <v>8900</v>
      </c>
      <c r="AT481" s="61">
        <f>Table43[[#This Row],[Harga Jual Pcs GT
(-PPN)]]*Table43[[#This Row],[ISI/CTN]]</f>
        <v>640800</v>
      </c>
      <c r="AU481" s="61">
        <f>Table43[[#This Row],[Harga Jual Pcs GT
(-PPN)]]*1.11</f>
        <v>9879</v>
      </c>
      <c r="AV481" s="61">
        <f>Table43[[#This Row],[Harga Jual Krt GT
(- PPN)]]*1.11</f>
        <v>711288.00000000012</v>
      </c>
      <c r="AW481" s="61">
        <f>IFERROR(VLOOKUP(Table43[[#This Row],[Kode Pcpl]],'[1]FEB 2026'!$A$3:$X$312,24,0),0)</f>
        <v>0</v>
      </c>
      <c r="AX481" s="61">
        <f>Table43[[#This Row],[Harga Jual Pcs MT
(-PPN)]]*Table43[[#This Row],[ISI/CTN]]</f>
        <v>0</v>
      </c>
      <c r="AY481" s="61">
        <f>Table43[[#This Row],[Harga Jual Pcs MT
(-PPN)]]*1.11</f>
        <v>0</v>
      </c>
      <c r="AZ481" s="61">
        <f>Table43[[#This Row],[Harga Jual Pcs MT
(+PPN)]]*Table43[[#This Row],[ISI/CTN]]</f>
        <v>0</v>
      </c>
      <c r="BA481" s="62">
        <f>(Table43[[#This Row],[Harga Jual Pcs GT
(-PPN)]]-Table43[[#This Row],[Harga Beli Pcs
(-PPN)]])/Table43[[#This Row],[Harga Jual Pcs GT
(-PPN)]]</f>
        <v>6.5000000000000002E-2</v>
      </c>
      <c r="BB481" s="63">
        <f>Table43[[#This Row],[Harga Jual Pcs MT
(-PPN)]]-Table43[[#This Row],[Harga Beli Pcs
(-PPN)]]</f>
        <v>-8321.5</v>
      </c>
      <c r="BC481" s="64" t="e">
        <f>Table43[[#This Row],[Column1]]/Table43[[#This Row],[Harga Jual Pcs MT
(-PPN)]]</f>
        <v>#DIV/0!</v>
      </c>
      <c r="BD481" s="52"/>
      <c r="BE481" s="7"/>
      <c r="BF481" s="7" t="str">
        <f ca="1">IF(TODAY()-Table43[[#This Row],[Efektif
Pembuatan]]&gt;60,"Lama","Baru")</f>
        <v>Lama</v>
      </c>
      <c r="BG481" s="7" t="str">
        <f ca="1">IF(TODAY()-Table43[[#This Row],[Efektif Naik Harga]]&lt;30,"Naik","Sama")</f>
        <v>Sama</v>
      </c>
      <c r="BH481" s="7"/>
      <c r="BI481" s="7" t="str">
        <f>IF(Table43[[#This Row],[Kode BARANG Win2]]&lt;&gt;"","IDR","")</f>
        <v>IDR</v>
      </c>
      <c r="BJ481" s="7" t="str">
        <f>CONCATENATE(Table43[[#This Row],[kode  1 Digit
(Nomor)]],Table43[[#This Row],[kode  4 Digit                (Nomor)]])</f>
        <v>0042</v>
      </c>
      <c r="BK481" s="7" t="str">
        <f>Table43[[#This Row],[Nama            Gramasi atau Jumlah Pack per CTN]]</f>
        <v>42GR</v>
      </c>
      <c r="BL481" s="7"/>
      <c r="BM481" s="7"/>
      <c r="BN481" s="4" t="str">
        <f>IF(Table43[[#This Row],[SATUAN Fix Win]]&lt;&gt;"","KRT")</f>
        <v>KRT</v>
      </c>
      <c r="BO481" s="4" t="str">
        <f>IF(Table43[[#This Row],[SATUAN Fix Win]]&lt;&gt;"","GD01")</f>
        <v>GD01</v>
      </c>
      <c r="BP481" s="4">
        <f>IF(Table43[[#This Row],[SATUAN Fix Win]]&lt;&gt;"",11611)</f>
        <v>11611</v>
      </c>
      <c r="BQ481" s="4">
        <f>IF(Table43[[#This Row],[SATUAN Fix Win]]&lt;&gt;"",11612)</f>
        <v>11612</v>
      </c>
      <c r="BS481" s="4">
        <f>IF(Table43[[#This Row],[SATUAN Fix Win]]&lt;&gt;"",1)</f>
        <v>1</v>
      </c>
      <c r="BU481" s="4">
        <f>Table43[[#This Row],[ISI/CTN]]</f>
        <v>72</v>
      </c>
    </row>
    <row r="482" spans="1:75">
      <c r="A482" s="4" t="str">
        <f>CONCATENATE(Table43[[#This Row],[Kode BARANG Win2]],Table43[[#This Row],[No. Urut
Item Sama]])</f>
        <v>G1262004004210</v>
      </c>
      <c r="B482" s="7"/>
      <c r="C482" s="31">
        <v>30500070042000</v>
      </c>
      <c r="D482" s="59">
        <v>40043509</v>
      </c>
      <c r="E482" s="60" t="s">
        <v>2105</v>
      </c>
      <c r="F482" s="59">
        <v>30500010042000</v>
      </c>
      <c r="G482" s="59">
        <v>30500010042000</v>
      </c>
      <c r="H482" s="60" t="s">
        <v>1427</v>
      </c>
      <c r="I482" s="60">
        <v>72</v>
      </c>
      <c r="J482" s="59" t="s">
        <v>1785</v>
      </c>
      <c r="K482" s="60" t="str">
        <f>Table43[[#This Row],[NamaJenisKemasan]]</f>
        <v>PCS</v>
      </c>
      <c r="L482" s="4" t="str">
        <f>TRIM(CONCATENATE(Table43[[#This Row],[Nama            KLP]]," ",Table43[[#This Row],[Nama            Sub KLP]]))</f>
        <v>STELLA ALL IN ONE</v>
      </c>
      <c r="M482" s="4" t="str">
        <f>CONCATENATE(Table43[[#This Row],[kode  2 Digit                (hrf+No)]],Table43[[#This Row],[kode  2 Digit                (Nomor)]],Table43[[#This Row],[kode  1 Digit                (Nomor)]])</f>
        <v>G1262</v>
      </c>
      <c r="N482" s="4" t="str">
        <f>IF(AI482="",CONCATENATE(S482,U482,W482,Y482,AA482,AC482,AE482,AG482,Table43[[#This Row],[Tanda Kode Revisi]]),CONCATENATE(S482,U482,W482,Y482,AA482,AC482,AE482,AI482))</f>
        <v>G1262004004210</v>
      </c>
      <c r="O482" s="11">
        <f t="shared" si="12"/>
        <v>14</v>
      </c>
      <c r="P482" s="14" t="str">
        <f>IF(AH482&lt;&gt;"",TRIM(UPPER(CONCATENATE(R482," ",T482," ",V482," ",X482," ",Z482," ",AB482," ","X"," ",Table43[[#This Row],[ISI/CTN]]," ",AH482," ",AD482," ",AF482," ",AJ482))),TRIM(UPPER(CONCATENATE(R482," ",T482," ",V482," ",X482," ",Z482," ",AB482," ","X"," ",Table43[[#This Row],[ISI/CTN]]," ",AD482," ",AF482," ",AJ482))))</f>
        <v>STELLA ALL IN ONE CAFFE LATTE 42GR X 72 PCS</v>
      </c>
      <c r="Q482" s="11">
        <f t="shared" si="13"/>
        <v>43</v>
      </c>
      <c r="S482" s="7" t="s">
        <v>34</v>
      </c>
      <c r="T482" s="4" t="s">
        <v>2421</v>
      </c>
      <c r="U482" s="47" t="s">
        <v>2584</v>
      </c>
      <c r="V482" s="48" t="s">
        <v>2418</v>
      </c>
      <c r="W482" s="7">
        <v>2</v>
      </c>
      <c r="X482" s="48"/>
      <c r="Y482" s="47" t="s">
        <v>1116</v>
      </c>
      <c r="Z482" s="4" t="s">
        <v>2419</v>
      </c>
      <c r="AA482" s="49" t="s">
        <v>2540</v>
      </c>
      <c r="AB482" s="4" t="s">
        <v>2373</v>
      </c>
      <c r="AC482" s="49" t="s">
        <v>2655</v>
      </c>
      <c r="AD482" s="4" t="s">
        <v>185</v>
      </c>
      <c r="AE482" s="7">
        <v>1</v>
      </c>
      <c r="AG482" s="7">
        <v>0</v>
      </c>
      <c r="AK482" s="70">
        <f>Table43[[#This Row],[Column4]]</f>
        <v>30500010042000</v>
      </c>
      <c r="AN482" s="7">
        <f>Table43[[#This Row],[ISI/CTN]]</f>
        <v>72</v>
      </c>
      <c r="AO482" s="61">
        <f>Table43[[#This Row],[Harga Jual Pcs GT
(-PPN)]]-(Table43[[#This Row],[Harga Jual Pcs GT
(-PPN)]]*6.5%)</f>
        <v>8321.5</v>
      </c>
      <c r="AP482" s="61">
        <f>Table43[[#This Row],[Harga Beli Pcs
(-PPN)]]*Table43[[#This Row],[ISI/CTN]]</f>
        <v>599148</v>
      </c>
      <c r="AQ482" s="61">
        <f>Table43[[#This Row],[Harga Beli Pcs
(-PPN)]]*1.11</f>
        <v>9236.8650000000016</v>
      </c>
      <c r="AR482" s="61">
        <f>Table43[[#This Row],[Harga Beli Krt
(- PPN)]]*1.11</f>
        <v>665054.28</v>
      </c>
      <c r="AS482" s="61">
        <v>8900</v>
      </c>
      <c r="AT482" s="61">
        <f>Table43[[#This Row],[Harga Jual Pcs GT
(-PPN)]]*Table43[[#This Row],[ISI/CTN]]</f>
        <v>640800</v>
      </c>
      <c r="AU482" s="61">
        <f>Table43[[#This Row],[Harga Jual Pcs GT
(-PPN)]]*1.11</f>
        <v>9879</v>
      </c>
      <c r="AV482" s="61">
        <f>Table43[[#This Row],[Harga Jual Krt GT
(- PPN)]]*1.11</f>
        <v>711288.00000000012</v>
      </c>
      <c r="AW482" s="61">
        <f>IFERROR(VLOOKUP(Table43[[#This Row],[Kode Pcpl]],'[1]FEB 2026'!$A$3:$X$312,24,0),0)</f>
        <v>0</v>
      </c>
      <c r="AX482" s="61">
        <f>Table43[[#This Row],[Harga Jual Pcs MT
(-PPN)]]*Table43[[#This Row],[ISI/CTN]]</f>
        <v>0</v>
      </c>
      <c r="AY482" s="61">
        <f>Table43[[#This Row],[Harga Jual Pcs MT
(-PPN)]]*1.11</f>
        <v>0</v>
      </c>
      <c r="AZ482" s="61">
        <f>Table43[[#This Row],[Harga Jual Pcs MT
(+PPN)]]*Table43[[#This Row],[ISI/CTN]]</f>
        <v>0</v>
      </c>
      <c r="BA482" s="62">
        <f>(Table43[[#This Row],[Harga Jual Pcs GT
(-PPN)]]-Table43[[#This Row],[Harga Beli Pcs
(-PPN)]])/Table43[[#This Row],[Harga Jual Pcs GT
(-PPN)]]</f>
        <v>6.5000000000000002E-2</v>
      </c>
      <c r="BB482" s="63">
        <f>Table43[[#This Row],[Harga Jual Pcs MT
(-PPN)]]-Table43[[#This Row],[Harga Beli Pcs
(-PPN)]]</f>
        <v>-8321.5</v>
      </c>
      <c r="BC482" s="64" t="e">
        <f>Table43[[#This Row],[Column1]]/Table43[[#This Row],[Harga Jual Pcs MT
(-PPN)]]</f>
        <v>#DIV/0!</v>
      </c>
      <c r="BD482" s="52"/>
      <c r="BE482" s="7"/>
      <c r="BF482" s="7" t="str">
        <f ca="1">IF(TODAY()-Table43[[#This Row],[Efektif
Pembuatan]]&gt;60,"Lama","Baru")</f>
        <v>Lama</v>
      </c>
      <c r="BG482" s="7" t="str">
        <f ca="1">IF(TODAY()-Table43[[#This Row],[Efektif Naik Harga]]&lt;30,"Naik","Sama")</f>
        <v>Sama</v>
      </c>
      <c r="BH482" s="7"/>
      <c r="BI482" s="7" t="str">
        <f>IF(Table43[[#This Row],[Kode BARANG Win2]]&lt;&gt;"","IDR","")</f>
        <v>IDR</v>
      </c>
      <c r="BJ482" s="7" t="str">
        <f>CONCATENATE(Table43[[#This Row],[kode  1 Digit
(Nomor)]],Table43[[#This Row],[kode  4 Digit                (Nomor)]])</f>
        <v>0042</v>
      </c>
      <c r="BK482" s="7" t="str">
        <f>Table43[[#This Row],[Nama            Gramasi atau Jumlah Pack per CTN]]</f>
        <v>42GR</v>
      </c>
      <c r="BL482" s="7"/>
      <c r="BM482" s="7"/>
      <c r="BN482" s="4" t="str">
        <f>IF(Table43[[#This Row],[SATUAN Fix Win]]&lt;&gt;"","KRT")</f>
        <v>KRT</v>
      </c>
      <c r="BO482" s="4" t="str">
        <f>IF(Table43[[#This Row],[SATUAN Fix Win]]&lt;&gt;"","GD01")</f>
        <v>GD01</v>
      </c>
      <c r="BP482" s="4">
        <f>IF(Table43[[#This Row],[SATUAN Fix Win]]&lt;&gt;"",11611)</f>
        <v>11611</v>
      </c>
      <c r="BQ482" s="4">
        <f>IF(Table43[[#This Row],[SATUAN Fix Win]]&lt;&gt;"",11612)</f>
        <v>11612</v>
      </c>
      <c r="BS482" s="4">
        <f>IF(Table43[[#This Row],[SATUAN Fix Win]]&lt;&gt;"",1)</f>
        <v>1</v>
      </c>
      <c r="BU482" s="4">
        <f>Table43[[#This Row],[ISI/CTN]]</f>
        <v>72</v>
      </c>
    </row>
    <row r="483" spans="1:75">
      <c r="A483" s="4" t="str">
        <f>CONCATENATE(Table43[[#This Row],[Kode BARANG Win2]],Table43[[#This Row],[No. Urut
Item Sama]])</f>
        <v>G1262004004210</v>
      </c>
      <c r="B483" s="7"/>
      <c r="C483" s="31"/>
      <c r="D483" s="51">
        <v>40033311</v>
      </c>
      <c r="E483" s="27"/>
      <c r="F483" s="51"/>
      <c r="G483" s="51"/>
      <c r="H483" s="27"/>
      <c r="I483" s="27">
        <v>72</v>
      </c>
      <c r="J483" s="51" t="s">
        <v>1785</v>
      </c>
      <c r="K483" s="27" t="str">
        <f>Table43[[#This Row],[NamaJenisKemasan]]</f>
        <v>PCS</v>
      </c>
      <c r="L483" s="4" t="str">
        <f>TRIM(CONCATENATE(Table43[[#This Row],[Nama            KLP]]," ",Table43[[#This Row],[Nama            Sub KLP]]))</f>
        <v>STELLA ALL IN ONE</v>
      </c>
      <c r="M483" s="4" t="str">
        <f>CONCATENATE(Table43[[#This Row],[kode  2 Digit                (hrf+No)]],Table43[[#This Row],[kode  2 Digit                (Nomor)]],Table43[[#This Row],[kode  1 Digit                (Nomor)]])</f>
        <v>G1262</v>
      </c>
      <c r="N483" s="4" t="str">
        <f>IF(AI483="",CONCATENATE(S483,U483,W483,Y483,AA483,AC483,AE483,AG483,Table43[[#This Row],[Tanda Kode Revisi]]),CONCATENATE(S483,U483,W483,Y483,AA483,AC483,AE483,AI483))</f>
        <v>G1262004004210</v>
      </c>
      <c r="O483" s="11">
        <f t="shared" si="12"/>
        <v>14</v>
      </c>
      <c r="P483" s="14" t="str">
        <f>IF(AH483&lt;&gt;"",TRIM(UPPER(CONCATENATE(R483," ",T483," ",V483," ",X483," ",Z483," ",AB483," ","X"," ",Table43[[#This Row],[ISI/CTN]]," ",AH483," ",AD483," ",AF483," ",AJ483))),TRIM(UPPER(CONCATENATE(R483," ",T483," ",V483," ",X483," ",Z483," ",AB483," ","X"," ",Table43[[#This Row],[ISI/CTN]]," ",AD483," ",AF483," ",AJ483))))</f>
        <v>STELLA ALL IN ONE CAFFE LATTE 42GR X 72 PCS</v>
      </c>
      <c r="Q483" s="11">
        <f t="shared" si="13"/>
        <v>43</v>
      </c>
      <c r="S483" s="7" t="s">
        <v>34</v>
      </c>
      <c r="T483" s="4" t="s">
        <v>2421</v>
      </c>
      <c r="U483" s="47" t="s">
        <v>2584</v>
      </c>
      <c r="V483" s="48" t="s">
        <v>2418</v>
      </c>
      <c r="W483" s="7">
        <v>2</v>
      </c>
      <c r="X483" s="48"/>
      <c r="Y483" s="47" t="s">
        <v>1116</v>
      </c>
      <c r="Z483" s="4" t="s">
        <v>2419</v>
      </c>
      <c r="AA483" s="49" t="s">
        <v>2540</v>
      </c>
      <c r="AB483" s="4" t="s">
        <v>2373</v>
      </c>
      <c r="AC483" s="49" t="s">
        <v>2655</v>
      </c>
      <c r="AD483" s="4" t="s">
        <v>185</v>
      </c>
      <c r="AE483" s="7">
        <v>1</v>
      </c>
      <c r="AG483" s="7">
        <v>0</v>
      </c>
      <c r="AK483" s="70">
        <f>Table43[[#This Row],[Column4]]</f>
        <v>0</v>
      </c>
      <c r="AN483" s="7">
        <f>Table43[[#This Row],[ISI/CTN]]</f>
        <v>72</v>
      </c>
      <c r="AO483" s="61">
        <f>Table43[[#This Row],[Harga Jual Pcs GT
(-PPN)]]-(Table43[[#This Row],[Harga Jual Pcs GT
(-PPN)]]*6.5%)</f>
        <v>8321.5</v>
      </c>
      <c r="AP483" s="61">
        <f>Table43[[#This Row],[Harga Beli Pcs
(-PPN)]]*Table43[[#This Row],[ISI/CTN]]</f>
        <v>599148</v>
      </c>
      <c r="AQ483" s="61">
        <f>Table43[[#This Row],[Harga Beli Pcs
(-PPN)]]*1.11</f>
        <v>9236.8650000000016</v>
      </c>
      <c r="AR483" s="61">
        <f>Table43[[#This Row],[Harga Beli Krt
(- PPN)]]*1.11</f>
        <v>665054.28</v>
      </c>
      <c r="AS483" s="61">
        <v>8900</v>
      </c>
      <c r="AT483" s="61">
        <f>Table43[[#This Row],[Harga Jual Pcs GT
(-PPN)]]*Table43[[#This Row],[ISI/CTN]]</f>
        <v>640800</v>
      </c>
      <c r="AU483" s="61">
        <f>Table43[[#This Row],[Harga Jual Pcs GT
(-PPN)]]*1.11</f>
        <v>9879</v>
      </c>
      <c r="AV483" s="61">
        <f>Table43[[#This Row],[Harga Jual Krt GT
(- PPN)]]*1.11</f>
        <v>711288.00000000012</v>
      </c>
      <c r="AW483" s="61">
        <f>IFERROR(VLOOKUP(Table43[[#This Row],[Kode Pcpl]],'[1]FEB 2026'!$A$3:$X$312,24,0),0)</f>
        <v>0</v>
      </c>
      <c r="AX483" s="61">
        <f>Table43[[#This Row],[Harga Jual Pcs MT
(-PPN)]]*Table43[[#This Row],[ISI/CTN]]</f>
        <v>0</v>
      </c>
      <c r="AY483" s="61">
        <f>Table43[[#This Row],[Harga Jual Pcs MT
(-PPN)]]*1.11</f>
        <v>0</v>
      </c>
      <c r="AZ483" s="61">
        <f>Table43[[#This Row],[Harga Jual Pcs MT
(+PPN)]]*Table43[[#This Row],[ISI/CTN]]</f>
        <v>0</v>
      </c>
      <c r="BA483" s="62">
        <f>(Table43[[#This Row],[Harga Jual Pcs GT
(-PPN)]]-Table43[[#This Row],[Harga Beli Pcs
(-PPN)]])/Table43[[#This Row],[Harga Jual Pcs GT
(-PPN)]]</f>
        <v>6.5000000000000002E-2</v>
      </c>
      <c r="BB483" s="63">
        <f>Table43[[#This Row],[Harga Jual Pcs MT
(-PPN)]]-Table43[[#This Row],[Harga Beli Pcs
(-PPN)]]</f>
        <v>-8321.5</v>
      </c>
      <c r="BC483" s="64" t="e">
        <f>Table43[[#This Row],[Column1]]/Table43[[#This Row],[Harga Jual Pcs MT
(-PPN)]]</f>
        <v>#DIV/0!</v>
      </c>
      <c r="BD483" s="52"/>
      <c r="BE483" s="7"/>
      <c r="BF483" s="7" t="str">
        <f ca="1">IF(TODAY()-Table43[[#This Row],[Efektif
Pembuatan]]&gt;60,"Lama","Baru")</f>
        <v>Lama</v>
      </c>
      <c r="BG483" s="7" t="str">
        <f ca="1">IF(TODAY()-Table43[[#This Row],[Efektif Naik Harga]]&lt;30,"Naik","Sama")</f>
        <v>Sama</v>
      </c>
      <c r="BH483" s="7"/>
      <c r="BI483" s="7" t="str">
        <f>IF(Table43[[#This Row],[Kode BARANG Win2]]&lt;&gt;"","IDR","")</f>
        <v>IDR</v>
      </c>
      <c r="BJ483" s="7" t="str">
        <f>CONCATENATE(Table43[[#This Row],[kode  1 Digit
(Nomor)]],Table43[[#This Row],[kode  4 Digit                (Nomor)]])</f>
        <v>0042</v>
      </c>
      <c r="BK483" s="7" t="str">
        <f>Table43[[#This Row],[Nama            Gramasi atau Jumlah Pack per CTN]]</f>
        <v>42GR</v>
      </c>
      <c r="BL483" s="7"/>
      <c r="BM483" s="7"/>
      <c r="BN483" s="4" t="str">
        <f>IF(Table43[[#This Row],[SATUAN Fix Win]]&lt;&gt;"","KRT")</f>
        <v>KRT</v>
      </c>
      <c r="BO483" s="4" t="str">
        <f>IF(Table43[[#This Row],[SATUAN Fix Win]]&lt;&gt;"","GD01")</f>
        <v>GD01</v>
      </c>
      <c r="BP483" s="4">
        <f>IF(Table43[[#This Row],[SATUAN Fix Win]]&lt;&gt;"",11611)</f>
        <v>11611</v>
      </c>
      <c r="BQ483" s="4">
        <f>IF(Table43[[#This Row],[SATUAN Fix Win]]&lt;&gt;"",11612)</f>
        <v>11612</v>
      </c>
      <c r="BS483" s="4">
        <f>IF(Table43[[#This Row],[SATUAN Fix Win]]&lt;&gt;"",1)</f>
        <v>1</v>
      </c>
      <c r="BU483" s="4">
        <f>Table43[[#This Row],[ISI/CTN]]</f>
        <v>72</v>
      </c>
    </row>
    <row r="484" spans="1:75" s="87" customFormat="1">
      <c r="A484" s="71" t="str">
        <f>CONCATENATE(Table43[[#This Row],[Kode BARANG Win2]],Table43[[#This Row],[No. Urut
Item Sama]])</f>
        <v>G1262004004210</v>
      </c>
      <c r="B484" s="72"/>
      <c r="C484" s="73"/>
      <c r="D484" s="74">
        <v>40061772</v>
      </c>
      <c r="E484" s="75" t="s">
        <v>3439</v>
      </c>
      <c r="F484" s="74"/>
      <c r="G484" s="74"/>
      <c r="H484" s="75"/>
      <c r="I484" s="75"/>
      <c r="J484" s="74"/>
      <c r="K484" s="75" t="str">
        <f>Table43[[#This Row],[NamaJenisKemasan]]</f>
        <v>PCS</v>
      </c>
      <c r="L484" s="71" t="str">
        <f>TRIM(CONCATENATE(Table43[[#This Row],[Nama            KLP]]," ",Table43[[#This Row],[Nama            Sub KLP]]))</f>
        <v>STELLA ALL IN ONE</v>
      </c>
      <c r="M484" s="71" t="str">
        <f>CONCATENATE(Table43[[#This Row],[kode  2 Digit                (hrf+No)]],Table43[[#This Row],[kode  2 Digit                (Nomor)]],Table43[[#This Row],[kode  1 Digit                (Nomor)]])</f>
        <v>G1262</v>
      </c>
      <c r="N484" s="71" t="str">
        <f>IF(AI484="",CONCATENATE(S484,U484,W484,Y484,AA484,AC484,AE484,AG484,Table43[[#This Row],[Tanda Kode Revisi]]),CONCATENATE(S484,U484,W484,Y484,AA484,AC484,AE484,AI484))</f>
        <v>G1262004004210</v>
      </c>
      <c r="O484" s="76">
        <f>LEN(N484)</f>
        <v>14</v>
      </c>
      <c r="P484" s="77" t="str">
        <f>IF(AH484&lt;&gt;"",TRIM(UPPER(CONCATENATE(R484," ",T484," ",V484," ",X484," ",Z484," ",AB484," ","X"," ",Table43[[#This Row],[ISI/CTN]]," ",AH484," ",AD484," ",AF484," ",AJ484))),TRIM(UPPER(CONCATENATE(R484," ",T484," ",V484," ",X484," ",Z484," ",AB484," ","X"," ",Table43[[#This Row],[ISI/CTN]]," ",AD484," ",AF484," ",AJ484))))</f>
        <v>STELLA ALL IN ONE CAFFE LATTE 42GR X PCS</v>
      </c>
      <c r="Q484" s="76">
        <f>LEN(P484)</f>
        <v>40</v>
      </c>
      <c r="R484" s="71"/>
      <c r="S484" s="72" t="s">
        <v>34</v>
      </c>
      <c r="T484" s="71" t="s">
        <v>2421</v>
      </c>
      <c r="U484" s="78" t="s">
        <v>2584</v>
      </c>
      <c r="V484" s="79" t="s">
        <v>2418</v>
      </c>
      <c r="W484" s="72">
        <v>2</v>
      </c>
      <c r="X484" s="79"/>
      <c r="Y484" s="78" t="s">
        <v>1116</v>
      </c>
      <c r="Z484" s="71" t="s">
        <v>2419</v>
      </c>
      <c r="AA484" s="80" t="s">
        <v>2540</v>
      </c>
      <c r="AB484" s="71" t="s">
        <v>2373</v>
      </c>
      <c r="AC484" s="80" t="s">
        <v>2655</v>
      </c>
      <c r="AD484" s="71" t="s">
        <v>185</v>
      </c>
      <c r="AE484" s="72">
        <v>1</v>
      </c>
      <c r="AF484" s="71"/>
      <c r="AG484" s="72">
        <v>0</v>
      </c>
      <c r="AH484" s="72"/>
      <c r="AI484" s="72"/>
      <c r="AJ484" s="72"/>
      <c r="AK484" s="81">
        <f>Table43[[#This Row],[Column4]]</f>
        <v>0</v>
      </c>
      <c r="AL484" s="72"/>
      <c r="AM484" s="72"/>
      <c r="AN484" s="72">
        <f>Table43[[#This Row],[ISI/CTN]]</f>
        <v>0</v>
      </c>
      <c r="AO484" s="82">
        <f>Table43[[#This Row],[Harga Jual Pcs GT
(-PPN)]]-(Table43[[#This Row],[Harga Jual Pcs GT
(-PPN)]]*6.5%)</f>
        <v>0</v>
      </c>
      <c r="AP484" s="82">
        <f>Table43[[#This Row],[Harga Beli Pcs
(-PPN)]]*Table43[[#This Row],[ISI/CTN]]</f>
        <v>0</v>
      </c>
      <c r="AQ484" s="82">
        <f>Table43[[#This Row],[Harga Beli Pcs
(-PPN)]]*1.11</f>
        <v>0</v>
      </c>
      <c r="AR484" s="82">
        <f>Table43[[#This Row],[Harga Beli Krt
(- PPN)]]*1.11</f>
        <v>0</v>
      </c>
      <c r="AS484" s="82"/>
      <c r="AT484" s="82">
        <f>Table43[[#This Row],[Harga Jual Pcs GT
(-PPN)]]*Table43[[#This Row],[ISI/CTN]]</f>
        <v>0</v>
      </c>
      <c r="AU484" s="82">
        <f>Table43[[#This Row],[Harga Jual Pcs GT
(-PPN)]]*1.11</f>
        <v>0</v>
      </c>
      <c r="AV484" s="82">
        <f>Table43[[#This Row],[Harga Jual Krt GT
(- PPN)]]*1.11</f>
        <v>0</v>
      </c>
      <c r="AW484" s="82">
        <f>IFERROR(VLOOKUP(Table43[[#This Row],[Kode Pcpl]],'[1]FEB 2026'!$A$3:$X$312,24,0),0)</f>
        <v>0</v>
      </c>
      <c r="AX484" s="82">
        <f>Table43[[#This Row],[Harga Jual Pcs MT
(-PPN)]]*Table43[[#This Row],[ISI/CTN]]</f>
        <v>0</v>
      </c>
      <c r="AY484" s="82">
        <f>Table43[[#This Row],[Harga Jual Pcs MT
(-PPN)]]*1.11</f>
        <v>0</v>
      </c>
      <c r="AZ484" s="82">
        <f>Table43[[#This Row],[Harga Jual Pcs MT
(+PPN)]]*Table43[[#This Row],[ISI/CTN]]</f>
        <v>0</v>
      </c>
      <c r="BA484" s="83" t="e">
        <f>(Table43[[#This Row],[Harga Jual Pcs GT
(-PPN)]]-Table43[[#This Row],[Harga Beli Pcs
(-PPN)]])/Table43[[#This Row],[Harga Jual Pcs GT
(-PPN)]]</f>
        <v>#DIV/0!</v>
      </c>
      <c r="BB484" s="84">
        <f>Table43[[#This Row],[Harga Jual Pcs MT
(-PPN)]]-Table43[[#This Row],[Harga Beli Pcs
(-PPN)]]</f>
        <v>0</v>
      </c>
      <c r="BC484" s="85" t="e">
        <f>Table43[[#This Row],[Column1]]/Table43[[#This Row],[Harga Jual Pcs MT
(-PPN)]]</f>
        <v>#DIV/0!</v>
      </c>
      <c r="BD484" s="86"/>
      <c r="BE484" s="72"/>
      <c r="BF484" s="72" t="str">
        <f ca="1">IF(TODAY()-Table43[[#This Row],[Efektif
Pembuatan]]&gt;60,"Lama","Baru")</f>
        <v>Lama</v>
      </c>
      <c r="BG484" s="72" t="str">
        <f ca="1">IF(TODAY()-Table43[[#This Row],[Efektif Naik Harga]]&lt;30,"Naik","Sama")</f>
        <v>Sama</v>
      </c>
      <c r="BH484" s="72"/>
      <c r="BI484" s="72" t="str">
        <f>IF(Table43[[#This Row],[Kode BARANG Win2]]&lt;&gt;"","IDR","")</f>
        <v>IDR</v>
      </c>
      <c r="BJ484" s="72" t="str">
        <f>CONCATENATE(Table43[[#This Row],[kode  1 Digit
(Nomor)]],Table43[[#This Row],[kode  4 Digit                (Nomor)]])</f>
        <v>0042</v>
      </c>
      <c r="BK484" s="72" t="str">
        <f>Table43[[#This Row],[Nama            Gramasi atau Jumlah Pack per CTN]]</f>
        <v>42GR</v>
      </c>
      <c r="BL484" s="72"/>
      <c r="BM484" s="72"/>
      <c r="BN484" s="71" t="str">
        <f>IF(Table43[[#This Row],[SATUAN Fix Win]]&lt;&gt;"","KRT")</f>
        <v>KRT</v>
      </c>
      <c r="BO484" s="71" t="str">
        <f>IF(Table43[[#This Row],[SATUAN Fix Win]]&lt;&gt;"","GD01")</f>
        <v>GD01</v>
      </c>
      <c r="BP484" s="71">
        <f>IF(Table43[[#This Row],[SATUAN Fix Win]]&lt;&gt;"",11611)</f>
        <v>11611</v>
      </c>
      <c r="BQ484" s="71">
        <f>IF(Table43[[#This Row],[SATUAN Fix Win]]&lt;&gt;"",11612)</f>
        <v>11612</v>
      </c>
      <c r="BR484" s="71"/>
      <c r="BS484" s="71">
        <f>IF(Table43[[#This Row],[SATUAN Fix Win]]&lt;&gt;"",1)</f>
        <v>1</v>
      </c>
      <c r="BT484" s="71"/>
      <c r="BU484" s="71">
        <f>Table43[[#This Row],[ISI/CTN]]</f>
        <v>0</v>
      </c>
      <c r="BV484" s="71"/>
      <c r="BW484" s="71"/>
    </row>
    <row r="485" spans="1:75">
      <c r="A485" s="4" t="str">
        <f>CONCATENATE(Table43[[#This Row],[Kode BARANG Win2]],Table43[[#This Row],[No. Urut
Item Sama]])</f>
        <v>G1262004004211</v>
      </c>
      <c r="B485" s="7"/>
      <c r="C485" s="31">
        <v>30500060042004</v>
      </c>
      <c r="D485" s="51">
        <v>40049992</v>
      </c>
      <c r="E485" s="27" t="s">
        <v>2107</v>
      </c>
      <c r="F485" s="51">
        <v>30500010042002</v>
      </c>
      <c r="G485" s="51">
        <v>0</v>
      </c>
      <c r="H485" s="27" t="s">
        <v>1429</v>
      </c>
      <c r="I485" s="27">
        <v>72</v>
      </c>
      <c r="J485" s="51" t="s">
        <v>1785</v>
      </c>
      <c r="K485" s="27" t="str">
        <f>Table43[[#This Row],[NamaJenisKemasan]]</f>
        <v>PCS</v>
      </c>
      <c r="L485" s="4" t="str">
        <f>TRIM(CONCATENATE(Table43[[#This Row],[Nama            KLP]]," ",Table43[[#This Row],[Nama            Sub KLP]]))</f>
        <v>STELLA ALL IN ONE</v>
      </c>
      <c r="M485" s="4" t="str">
        <f>CONCATENATE(Table43[[#This Row],[kode  2 Digit                (hrf+No)]],Table43[[#This Row],[kode  2 Digit                (Nomor)]],Table43[[#This Row],[kode  1 Digit                (Nomor)]])</f>
        <v>G1262</v>
      </c>
      <c r="N485" s="4" t="str">
        <f>IF(AI485="",CONCATENATE(S485,U485,W485,Y485,AA485,AC485,AE485,AG485,Table43[[#This Row],[Tanda Kode Revisi]]),CONCATENATE(S485,U485,W485,Y485,AA485,AC485,AE485,AI485))</f>
        <v>G1262004004211</v>
      </c>
      <c r="O485" s="11">
        <f t="shared" si="12"/>
        <v>14</v>
      </c>
      <c r="P485" s="14" t="str">
        <f>IF(AH485&lt;&gt;"",TRIM(UPPER(CONCATENATE(R485," ",T485," ",V485," ",X485," ",Z485," ",AB485," ","X"," ",Table43[[#This Row],[ISI/CTN]]," ",AH485," ",AD485," ",AF485," ",AJ485))),TRIM(UPPER(CONCATENATE(R485," ",T485," ",V485," ",X485," ",Z485," ",AB485," ","X"," ",Table43[[#This Row],[ISI/CTN]]," ",AD485," ",AF485," ",AJ485))))</f>
        <v>STELLA ALL IN ONE CAFFE LATTE 42GR X 72 PCS BANDED</v>
      </c>
      <c r="Q485" s="11">
        <f t="shared" si="13"/>
        <v>50</v>
      </c>
      <c r="S485" s="7" t="s">
        <v>34</v>
      </c>
      <c r="T485" s="4" t="s">
        <v>2421</v>
      </c>
      <c r="U485" s="47" t="s">
        <v>2584</v>
      </c>
      <c r="V485" s="48" t="s">
        <v>2418</v>
      </c>
      <c r="W485" s="7">
        <v>2</v>
      </c>
      <c r="X485" s="48"/>
      <c r="Y485" s="47" t="s">
        <v>1116</v>
      </c>
      <c r="Z485" s="4" t="s">
        <v>2419</v>
      </c>
      <c r="AA485" s="49" t="s">
        <v>2540</v>
      </c>
      <c r="AB485" s="4" t="s">
        <v>2373</v>
      </c>
      <c r="AC485" s="49" t="s">
        <v>2655</v>
      </c>
      <c r="AD485" s="4" t="s">
        <v>185</v>
      </c>
      <c r="AE485" s="7">
        <v>1</v>
      </c>
      <c r="AF485" s="4" t="s">
        <v>2269</v>
      </c>
      <c r="AG485" s="7">
        <v>1</v>
      </c>
      <c r="AK485" s="70">
        <f>Table43[[#This Row],[Column4]]</f>
        <v>30500010042002</v>
      </c>
      <c r="AN485" s="7">
        <f>Table43[[#This Row],[ISI/CTN]]</f>
        <v>72</v>
      </c>
      <c r="AO485" s="61">
        <f>Table43[[#This Row],[Harga Jual Pcs GT
(-PPN)]]-(Table43[[#This Row],[Harga Jual Pcs GT
(-PPN)]]*6.5%)</f>
        <v>8321.5</v>
      </c>
      <c r="AP485" s="61">
        <f>Table43[[#This Row],[Harga Beli Pcs
(-PPN)]]*Table43[[#This Row],[ISI/CTN]]</f>
        <v>599148</v>
      </c>
      <c r="AQ485" s="61">
        <f>Table43[[#This Row],[Harga Beli Pcs
(-PPN)]]*1.11</f>
        <v>9236.8650000000016</v>
      </c>
      <c r="AR485" s="61">
        <f>Table43[[#This Row],[Harga Beli Krt
(- PPN)]]*1.11</f>
        <v>665054.28</v>
      </c>
      <c r="AS485" s="61">
        <v>8900</v>
      </c>
      <c r="AT485" s="61">
        <f>Table43[[#This Row],[Harga Jual Pcs GT
(-PPN)]]*Table43[[#This Row],[ISI/CTN]]</f>
        <v>640800</v>
      </c>
      <c r="AU485" s="61">
        <f>Table43[[#This Row],[Harga Jual Pcs GT
(-PPN)]]*1.11</f>
        <v>9879</v>
      </c>
      <c r="AV485" s="61">
        <f>Table43[[#This Row],[Harga Jual Krt GT
(- PPN)]]*1.11</f>
        <v>711288.00000000012</v>
      </c>
      <c r="AW485" s="61">
        <f>IFERROR(VLOOKUP(Table43[[#This Row],[Kode Pcpl]],'[1]FEB 2026'!$A$3:$X$312,24,0),0)</f>
        <v>0</v>
      </c>
      <c r="AX485" s="61">
        <f>Table43[[#This Row],[Harga Jual Pcs MT
(-PPN)]]*Table43[[#This Row],[ISI/CTN]]</f>
        <v>0</v>
      </c>
      <c r="AY485" s="61">
        <f>Table43[[#This Row],[Harga Jual Pcs MT
(-PPN)]]*1.11</f>
        <v>0</v>
      </c>
      <c r="AZ485" s="61">
        <f>Table43[[#This Row],[Harga Jual Pcs MT
(+PPN)]]*Table43[[#This Row],[ISI/CTN]]</f>
        <v>0</v>
      </c>
      <c r="BA485" s="62">
        <f>(Table43[[#This Row],[Harga Jual Pcs GT
(-PPN)]]-Table43[[#This Row],[Harga Beli Pcs
(-PPN)]])/Table43[[#This Row],[Harga Jual Pcs GT
(-PPN)]]</f>
        <v>6.5000000000000002E-2</v>
      </c>
      <c r="BB485" s="63">
        <f>Table43[[#This Row],[Harga Jual Pcs MT
(-PPN)]]-Table43[[#This Row],[Harga Beli Pcs
(-PPN)]]</f>
        <v>-8321.5</v>
      </c>
      <c r="BC485" s="64" t="e">
        <f>Table43[[#This Row],[Column1]]/Table43[[#This Row],[Harga Jual Pcs MT
(-PPN)]]</f>
        <v>#DIV/0!</v>
      </c>
      <c r="BD485" s="52"/>
      <c r="BE485" s="7"/>
      <c r="BF485" s="7" t="str">
        <f ca="1">IF(TODAY()-Table43[[#This Row],[Efektif
Pembuatan]]&gt;60,"Lama","Baru")</f>
        <v>Lama</v>
      </c>
      <c r="BG485" s="7" t="str">
        <f ca="1">IF(TODAY()-Table43[[#This Row],[Efektif Naik Harga]]&lt;30,"Naik","Sama")</f>
        <v>Sama</v>
      </c>
      <c r="BH485" s="7"/>
      <c r="BI485" s="7" t="str">
        <f>IF(Table43[[#This Row],[Kode BARANG Win2]]&lt;&gt;"","IDR","")</f>
        <v>IDR</v>
      </c>
      <c r="BJ485" s="7" t="str">
        <f>CONCATENATE(Table43[[#This Row],[kode  1 Digit
(Nomor)]],Table43[[#This Row],[kode  4 Digit                (Nomor)]])</f>
        <v>0042</v>
      </c>
      <c r="BK485" s="7" t="str">
        <f>Table43[[#This Row],[Nama            Gramasi atau Jumlah Pack per CTN]]</f>
        <v>42GR</v>
      </c>
      <c r="BL485" s="7"/>
      <c r="BM485" s="7"/>
      <c r="BN485" s="4" t="str">
        <f>IF(Table43[[#This Row],[SATUAN Fix Win]]&lt;&gt;"","KRT")</f>
        <v>KRT</v>
      </c>
      <c r="BO485" s="4" t="str">
        <f>IF(Table43[[#This Row],[SATUAN Fix Win]]&lt;&gt;"","GD01")</f>
        <v>GD01</v>
      </c>
      <c r="BP485" s="4">
        <f>IF(Table43[[#This Row],[SATUAN Fix Win]]&lt;&gt;"",11611)</f>
        <v>11611</v>
      </c>
      <c r="BQ485" s="4">
        <f>IF(Table43[[#This Row],[SATUAN Fix Win]]&lt;&gt;"",11612)</f>
        <v>11612</v>
      </c>
      <c r="BS485" s="4">
        <f>IF(Table43[[#This Row],[SATUAN Fix Win]]&lt;&gt;"",1)</f>
        <v>1</v>
      </c>
      <c r="BU485" s="4">
        <f>Table43[[#This Row],[ISI/CTN]]</f>
        <v>72</v>
      </c>
    </row>
    <row r="486" spans="1:75">
      <c r="A486" s="4" t="str">
        <f>CONCATENATE(Table43[[#This Row],[Kode BARANG Win2]],Table43[[#This Row],[No. Urut
Item Sama]])</f>
        <v>G1262005004210</v>
      </c>
      <c r="B486" s="7"/>
      <c r="C486" s="31">
        <v>30500090040003</v>
      </c>
      <c r="D486" s="51">
        <v>40043510</v>
      </c>
      <c r="E486" s="27" t="s">
        <v>2122</v>
      </c>
      <c r="F486" s="51">
        <v>30500080042000</v>
      </c>
      <c r="G486" s="51">
        <v>0</v>
      </c>
      <c r="H486" s="27" t="s">
        <v>1445</v>
      </c>
      <c r="I486" s="27">
        <v>72</v>
      </c>
      <c r="J486" s="51" t="s">
        <v>1794</v>
      </c>
      <c r="K486" s="27" t="str">
        <f>Table43[[#This Row],[NamaJenisKemasan]]</f>
        <v>PCS</v>
      </c>
      <c r="L486" s="4" t="str">
        <f>TRIM(CONCATENATE(Table43[[#This Row],[Nama            KLP]]," ",Table43[[#This Row],[Nama            Sub KLP]]))</f>
        <v>STELLA ALL IN ONE</v>
      </c>
      <c r="M486" s="4" t="str">
        <f>CONCATENATE(Table43[[#This Row],[kode  2 Digit                (hrf+No)]],Table43[[#This Row],[kode  2 Digit                (Nomor)]],Table43[[#This Row],[kode  1 Digit                (Nomor)]])</f>
        <v>G1262</v>
      </c>
      <c r="N486" s="4" t="str">
        <f>IF(AI486="",CONCATENATE(S486,U486,W486,Y486,AA486,AC486,AE486,AG486,Table43[[#This Row],[Tanda Kode Revisi]]),CONCATENATE(S486,U486,W486,Y486,AA486,AC486,AE486,AI486))</f>
        <v>G1262005004210</v>
      </c>
      <c r="O486" s="11">
        <f t="shared" si="12"/>
        <v>14</v>
      </c>
      <c r="P486" s="14" t="str">
        <f>IF(AH486&lt;&gt;"",TRIM(UPPER(CONCATENATE(R486," ",T486," ",V486," ",X486," ",Z486," ",AB486," ","X"," ",Table43[[#This Row],[ISI/CTN]]," ",AH486," ",AD486," ",AF486," ",AJ486))),TRIM(UPPER(CONCATENATE(R486," ",T486," ",V486," ",X486," ",Z486," ",AB486," ","X"," ",Table43[[#This Row],[ISI/CTN]]," ",AD486," ",AF486," ",AJ486))))</f>
        <v>STELLA ALL IN ONE LAVENDER 42GR X 72 PCS</v>
      </c>
      <c r="Q486" s="11">
        <f t="shared" si="13"/>
        <v>40</v>
      </c>
      <c r="S486" s="7" t="s">
        <v>34</v>
      </c>
      <c r="T486" s="4" t="s">
        <v>2421</v>
      </c>
      <c r="U486" s="47" t="s">
        <v>2584</v>
      </c>
      <c r="V486" s="48" t="s">
        <v>2418</v>
      </c>
      <c r="W486" s="7">
        <v>2</v>
      </c>
      <c r="X486" s="48"/>
      <c r="Y486" s="47" t="s">
        <v>1116</v>
      </c>
      <c r="Z486" s="4" t="s">
        <v>2426</v>
      </c>
      <c r="AA486" s="49" t="s">
        <v>2541</v>
      </c>
      <c r="AB486" s="4" t="s">
        <v>2373</v>
      </c>
      <c r="AC486" s="49" t="s">
        <v>2655</v>
      </c>
      <c r="AD486" s="4" t="s">
        <v>185</v>
      </c>
      <c r="AE486" s="7">
        <v>1</v>
      </c>
      <c r="AG486" s="7">
        <v>0</v>
      </c>
      <c r="AK486" s="70">
        <f>Table43[[#This Row],[Column4]]</f>
        <v>30500080042000</v>
      </c>
      <c r="AN486" s="7">
        <f>Table43[[#This Row],[ISI/CTN]]</f>
        <v>72</v>
      </c>
      <c r="AO486" s="38">
        <f>Table43[[#This Row],[Harga Jual Pcs GT
(-PPN)]]-(Table43[[#This Row],[Harga Jual Pcs GT
(-PPN)]]*6.5%)</f>
        <v>8321.5</v>
      </c>
      <c r="AP486" s="38">
        <f>Table43[[#This Row],[Harga Beli Pcs
(-PPN)]]*Table43[[#This Row],[ISI/CTN]]</f>
        <v>599148</v>
      </c>
      <c r="AQ486" s="38">
        <f>Table43[[#This Row],[Harga Beli Pcs
(-PPN)]]*1.11</f>
        <v>9236.8650000000016</v>
      </c>
      <c r="AR486" s="38">
        <f>Table43[[#This Row],[Harga Beli Krt
(- PPN)]]*1.11</f>
        <v>665054.28</v>
      </c>
      <c r="AS486" s="38">
        <v>8900</v>
      </c>
      <c r="AT486" s="38">
        <f>Table43[[#This Row],[Harga Jual Pcs GT
(-PPN)]]*Table43[[#This Row],[ISI/CTN]]</f>
        <v>640800</v>
      </c>
      <c r="AU486" s="38">
        <f>Table43[[#This Row],[Harga Jual Pcs GT
(-PPN)]]*1.11</f>
        <v>9879</v>
      </c>
      <c r="AV486" s="38">
        <f>Table43[[#This Row],[Harga Jual Krt GT
(- PPN)]]*1.11</f>
        <v>711288.00000000012</v>
      </c>
      <c r="AW486" s="38">
        <f>IFERROR(VLOOKUP(Table43[[#This Row],[Kode Pcpl]],'[1]FEB 2026'!$A$3:$X$312,24,0),0)</f>
        <v>0</v>
      </c>
      <c r="AX486" s="38">
        <f>Table43[[#This Row],[Harga Jual Pcs MT
(-PPN)]]*Table43[[#This Row],[ISI/CTN]]</f>
        <v>0</v>
      </c>
      <c r="AY486" s="38">
        <f>Table43[[#This Row],[Harga Jual Pcs MT
(-PPN)]]*1.11</f>
        <v>0</v>
      </c>
      <c r="AZ486" s="38">
        <f>Table43[[#This Row],[Harga Jual Pcs MT
(+PPN)]]*Table43[[#This Row],[ISI/CTN]]</f>
        <v>0</v>
      </c>
      <c r="BA486" s="46">
        <f>(Table43[[#This Row],[Harga Jual Pcs GT
(-PPN)]]-Table43[[#This Row],[Harga Beli Pcs
(-PPN)]])/Table43[[#This Row],[Harga Jual Pcs GT
(-PPN)]]</f>
        <v>6.5000000000000002E-2</v>
      </c>
      <c r="BB486" s="53">
        <f>Table43[[#This Row],[Harga Jual Pcs MT
(-PPN)]]-Table43[[#This Row],[Harga Beli Pcs
(-PPN)]]</f>
        <v>-8321.5</v>
      </c>
      <c r="BC486" s="54" t="e">
        <f>Table43[[#This Row],[Column1]]/Table43[[#This Row],[Harga Jual Pcs MT
(-PPN)]]</f>
        <v>#DIV/0!</v>
      </c>
      <c r="BD486" s="52"/>
      <c r="BE486" s="7"/>
      <c r="BF486" s="7" t="str">
        <f ca="1">IF(TODAY()-Table43[[#This Row],[Efektif
Pembuatan]]&gt;60,"Lama","Baru")</f>
        <v>Lama</v>
      </c>
      <c r="BG486" s="7" t="str">
        <f ca="1">IF(TODAY()-Table43[[#This Row],[Efektif Naik Harga]]&lt;30,"Naik","Sama")</f>
        <v>Sama</v>
      </c>
      <c r="BH486" s="7"/>
      <c r="BI486" s="7" t="str">
        <f>IF(Table43[[#This Row],[Kode BARANG Win2]]&lt;&gt;"","IDR","")</f>
        <v>IDR</v>
      </c>
      <c r="BJ486" s="7" t="str">
        <f>CONCATENATE(Table43[[#This Row],[kode  1 Digit
(Nomor)]],Table43[[#This Row],[kode  4 Digit                (Nomor)]])</f>
        <v>0042</v>
      </c>
      <c r="BK486" s="7" t="str">
        <f>Table43[[#This Row],[Nama            Gramasi atau Jumlah Pack per CTN]]</f>
        <v>42GR</v>
      </c>
      <c r="BL486" s="7"/>
      <c r="BM486" s="7"/>
      <c r="BN486" s="4" t="str">
        <f>IF(Table43[[#This Row],[SATUAN Fix Win]]&lt;&gt;"","KRT")</f>
        <v>KRT</v>
      </c>
      <c r="BO486" s="4" t="str">
        <f>IF(Table43[[#This Row],[SATUAN Fix Win]]&lt;&gt;"","GD01")</f>
        <v>GD01</v>
      </c>
      <c r="BP486" s="4">
        <f>IF(Table43[[#This Row],[SATUAN Fix Win]]&lt;&gt;"",11611)</f>
        <v>11611</v>
      </c>
      <c r="BQ486" s="4">
        <f>IF(Table43[[#This Row],[SATUAN Fix Win]]&lt;&gt;"",11612)</f>
        <v>11612</v>
      </c>
      <c r="BS486" s="4">
        <f>IF(Table43[[#This Row],[SATUAN Fix Win]]&lt;&gt;"",1)</f>
        <v>1</v>
      </c>
      <c r="BU486" s="4">
        <f>Table43[[#This Row],[ISI/CTN]]</f>
        <v>72</v>
      </c>
    </row>
    <row r="487" spans="1:75">
      <c r="A487" s="4" t="str">
        <f>CONCATENATE(Table43[[#This Row],[Kode BARANG Win2]],Table43[[#This Row],[No. Urut
Item Sama]])</f>
        <v>G1262005004210</v>
      </c>
      <c r="B487" s="7"/>
      <c r="C487" s="31"/>
      <c r="D487" s="51">
        <v>40033312</v>
      </c>
      <c r="E487" s="27"/>
      <c r="F487" s="51"/>
      <c r="G487" s="51"/>
      <c r="H487" s="27"/>
      <c r="I487" s="27">
        <v>72</v>
      </c>
      <c r="J487" s="51"/>
      <c r="K487" s="27" t="str">
        <f>Table43[[#This Row],[NamaJenisKemasan]]</f>
        <v>PCS</v>
      </c>
      <c r="L487" s="4" t="str">
        <f>TRIM(CONCATENATE(Table43[[#This Row],[Nama            KLP]]," ",Table43[[#This Row],[Nama            Sub KLP]]))</f>
        <v>STELLA ALL IN ONE</v>
      </c>
      <c r="M487" s="4" t="str">
        <f>CONCATENATE(Table43[[#This Row],[kode  2 Digit                (hrf+No)]],Table43[[#This Row],[kode  2 Digit                (Nomor)]],Table43[[#This Row],[kode  1 Digit                (Nomor)]])</f>
        <v>G1262</v>
      </c>
      <c r="N487" s="4" t="str">
        <f>IF(AI487="",CONCATENATE(S487,U487,W487,Y487,AA487,AC487,AE487,AG487,Table43[[#This Row],[Tanda Kode Revisi]]),CONCATENATE(S487,U487,W487,Y487,AA487,AC487,AE487,AI487))</f>
        <v>G1262005004210</v>
      </c>
      <c r="O487" s="11">
        <f t="shared" si="12"/>
        <v>14</v>
      </c>
      <c r="P487" s="14" t="str">
        <f>IF(AH487&lt;&gt;"",TRIM(UPPER(CONCATENATE(R487," ",T487," ",V487," ",X487," ",Z487," ",AB487," ","X"," ",Table43[[#This Row],[ISI/CTN]]," ",AH487," ",AD487," ",AF487," ",AJ487))),TRIM(UPPER(CONCATENATE(R487," ",T487," ",V487," ",X487," ",Z487," ",AB487," ","X"," ",Table43[[#This Row],[ISI/CTN]]," ",AD487," ",AF487," ",AJ487))))</f>
        <v>STELLA ALL IN ONE LAVENDER 42GR X 72 PCS</v>
      </c>
      <c r="Q487" s="11">
        <f t="shared" si="13"/>
        <v>40</v>
      </c>
      <c r="S487" s="7" t="s">
        <v>34</v>
      </c>
      <c r="T487" s="4" t="s">
        <v>2421</v>
      </c>
      <c r="U487" s="47" t="s">
        <v>2584</v>
      </c>
      <c r="V487" s="48" t="s">
        <v>2418</v>
      </c>
      <c r="W487" s="7">
        <v>2</v>
      </c>
      <c r="X487" s="48"/>
      <c r="Y487" s="47" t="s">
        <v>1116</v>
      </c>
      <c r="Z487" s="4" t="s">
        <v>2426</v>
      </c>
      <c r="AA487" s="49" t="s">
        <v>2541</v>
      </c>
      <c r="AB487" s="4" t="s">
        <v>2373</v>
      </c>
      <c r="AC487" s="49" t="s">
        <v>2655</v>
      </c>
      <c r="AD487" s="4" t="s">
        <v>185</v>
      </c>
      <c r="AE487" s="7">
        <v>1</v>
      </c>
      <c r="AG487" s="7">
        <v>0</v>
      </c>
      <c r="AK487" s="70">
        <f>Table43[[#This Row],[Column4]]</f>
        <v>0</v>
      </c>
      <c r="AN487" s="7">
        <f>Table43[[#This Row],[ISI/CTN]]</f>
        <v>72</v>
      </c>
      <c r="AO487" s="38">
        <f>Table43[[#This Row],[Harga Jual Pcs GT
(-PPN)]]-(Table43[[#This Row],[Harga Jual Pcs GT
(-PPN)]]*6.5%)</f>
        <v>8321.5</v>
      </c>
      <c r="AP487" s="38">
        <f>Table43[[#This Row],[Harga Beli Pcs
(-PPN)]]*Table43[[#This Row],[ISI/CTN]]</f>
        <v>599148</v>
      </c>
      <c r="AQ487" s="38">
        <f>Table43[[#This Row],[Harga Beli Pcs
(-PPN)]]*1.11</f>
        <v>9236.8650000000016</v>
      </c>
      <c r="AR487" s="38">
        <f>Table43[[#This Row],[Harga Beli Krt
(- PPN)]]*1.11</f>
        <v>665054.28</v>
      </c>
      <c r="AS487" s="38">
        <v>8900</v>
      </c>
      <c r="AT487" s="38">
        <f>Table43[[#This Row],[Harga Jual Pcs GT
(-PPN)]]*Table43[[#This Row],[ISI/CTN]]</f>
        <v>640800</v>
      </c>
      <c r="AU487" s="38">
        <f>Table43[[#This Row],[Harga Jual Pcs GT
(-PPN)]]*1.11</f>
        <v>9879</v>
      </c>
      <c r="AV487" s="38">
        <f>Table43[[#This Row],[Harga Jual Krt GT
(- PPN)]]*1.11</f>
        <v>711288.00000000012</v>
      </c>
      <c r="AW487" s="38">
        <f>IFERROR(VLOOKUP(Table43[[#This Row],[Kode Pcpl]],'[1]FEB 2026'!$A$3:$X$312,24,0),0)</f>
        <v>0</v>
      </c>
      <c r="AX487" s="38">
        <f>Table43[[#This Row],[Harga Jual Pcs MT
(-PPN)]]*Table43[[#This Row],[ISI/CTN]]</f>
        <v>0</v>
      </c>
      <c r="AY487" s="38">
        <f>Table43[[#This Row],[Harga Jual Pcs MT
(-PPN)]]*1.11</f>
        <v>0</v>
      </c>
      <c r="AZ487" s="38">
        <f>Table43[[#This Row],[Harga Jual Pcs MT
(+PPN)]]*Table43[[#This Row],[ISI/CTN]]</f>
        <v>0</v>
      </c>
      <c r="BA487" s="46">
        <f>(Table43[[#This Row],[Harga Jual Pcs GT
(-PPN)]]-Table43[[#This Row],[Harga Beli Pcs
(-PPN)]])/Table43[[#This Row],[Harga Jual Pcs GT
(-PPN)]]</f>
        <v>6.5000000000000002E-2</v>
      </c>
      <c r="BB487" s="53">
        <f>Table43[[#This Row],[Harga Jual Pcs MT
(-PPN)]]-Table43[[#This Row],[Harga Beli Pcs
(-PPN)]]</f>
        <v>-8321.5</v>
      </c>
      <c r="BC487" s="54" t="e">
        <f>Table43[[#This Row],[Column1]]/Table43[[#This Row],[Harga Jual Pcs MT
(-PPN)]]</f>
        <v>#DIV/0!</v>
      </c>
      <c r="BD487" s="52"/>
      <c r="BE487" s="7"/>
      <c r="BF487" s="7" t="str">
        <f ca="1">IF(TODAY()-Table43[[#This Row],[Efektif
Pembuatan]]&gt;60,"Lama","Baru")</f>
        <v>Lama</v>
      </c>
      <c r="BG487" s="7" t="str">
        <f ca="1">IF(TODAY()-Table43[[#This Row],[Efektif Naik Harga]]&lt;30,"Naik","Sama")</f>
        <v>Sama</v>
      </c>
      <c r="BH487" s="7"/>
      <c r="BI487" s="7" t="str">
        <f>IF(Table43[[#This Row],[Kode BARANG Win2]]&lt;&gt;"","IDR","")</f>
        <v>IDR</v>
      </c>
      <c r="BJ487" s="7" t="str">
        <f>CONCATENATE(Table43[[#This Row],[kode  1 Digit
(Nomor)]],Table43[[#This Row],[kode  4 Digit                (Nomor)]])</f>
        <v>0042</v>
      </c>
      <c r="BK487" s="7" t="str">
        <f>Table43[[#This Row],[Nama            Gramasi atau Jumlah Pack per CTN]]</f>
        <v>42GR</v>
      </c>
      <c r="BL487" s="7"/>
      <c r="BM487" s="7"/>
      <c r="BN487" s="4" t="str">
        <f>IF(Table43[[#This Row],[SATUAN Fix Win]]&lt;&gt;"","KRT")</f>
        <v>KRT</v>
      </c>
      <c r="BO487" s="4" t="str">
        <f>IF(Table43[[#This Row],[SATUAN Fix Win]]&lt;&gt;"","GD01")</f>
        <v>GD01</v>
      </c>
      <c r="BP487" s="4">
        <f>IF(Table43[[#This Row],[SATUAN Fix Win]]&lt;&gt;"",11611)</f>
        <v>11611</v>
      </c>
      <c r="BQ487" s="4">
        <f>IF(Table43[[#This Row],[SATUAN Fix Win]]&lt;&gt;"",11612)</f>
        <v>11612</v>
      </c>
      <c r="BS487" s="4">
        <f>IF(Table43[[#This Row],[SATUAN Fix Win]]&lt;&gt;"",1)</f>
        <v>1</v>
      </c>
      <c r="BU487" s="4">
        <f>Table43[[#This Row],[ISI/CTN]]</f>
        <v>72</v>
      </c>
    </row>
    <row r="488" spans="1:75">
      <c r="A488" s="4" t="str">
        <f>CONCATENATE(Table43[[#This Row],[Kode BARANG Win2]],Table43[[#This Row],[No. Urut
Item Sama]])</f>
        <v>G1262005004211</v>
      </c>
      <c r="B488" s="7"/>
      <c r="C488" s="31">
        <v>30540020007000</v>
      </c>
      <c r="D488" s="51">
        <v>40049993</v>
      </c>
      <c r="E488" s="27" t="s">
        <v>2123</v>
      </c>
      <c r="F488" s="51">
        <v>30500080042002</v>
      </c>
      <c r="G488" s="51">
        <v>0</v>
      </c>
      <c r="H488" s="27" t="s">
        <v>1446</v>
      </c>
      <c r="I488" s="27">
        <v>72</v>
      </c>
      <c r="J488" s="51" t="s">
        <v>1794</v>
      </c>
      <c r="K488" s="27" t="str">
        <f>Table43[[#This Row],[NamaJenisKemasan]]</f>
        <v>PCS</v>
      </c>
      <c r="L488" s="4" t="str">
        <f>TRIM(CONCATENATE(Table43[[#This Row],[Nama            KLP]]," ",Table43[[#This Row],[Nama            Sub KLP]]))</f>
        <v>STELLA ALL IN ONE</v>
      </c>
      <c r="M488" s="4" t="str">
        <f>CONCATENATE(Table43[[#This Row],[kode  2 Digit                (hrf+No)]],Table43[[#This Row],[kode  2 Digit                (Nomor)]],Table43[[#This Row],[kode  1 Digit                (Nomor)]])</f>
        <v>G1262</v>
      </c>
      <c r="N488" s="4" t="str">
        <f>IF(AI488="",CONCATENATE(S488,U488,W488,Y488,AA488,AC488,AE488,AG488,Table43[[#This Row],[Tanda Kode Revisi]]),CONCATENATE(S488,U488,W488,Y488,AA488,AC488,AE488,AI488))</f>
        <v>G1262005004211</v>
      </c>
      <c r="O488" s="11">
        <f t="shared" si="12"/>
        <v>14</v>
      </c>
      <c r="P488" s="14" t="str">
        <f>IF(AH488&lt;&gt;"",TRIM(UPPER(CONCATENATE(R488," ",T488," ",V488," ",X488," ",Z488," ",AB488," ","X"," ",Table43[[#This Row],[ISI/CTN]]," ",AH488," ",AD488," ",AF488," ",AJ488))),TRIM(UPPER(CONCATENATE(R488," ",T488," ",V488," ",X488," ",Z488," ",AB488," ","X"," ",Table43[[#This Row],[ISI/CTN]]," ",AD488," ",AF488," ",AJ488))))</f>
        <v>STELLA ALL IN ONE LAVENDER 42GR X 72 PCS BANDED</v>
      </c>
      <c r="Q488" s="11">
        <f t="shared" si="13"/>
        <v>47</v>
      </c>
      <c r="S488" s="7" t="s">
        <v>34</v>
      </c>
      <c r="T488" s="4" t="s">
        <v>2421</v>
      </c>
      <c r="U488" s="47" t="s">
        <v>2584</v>
      </c>
      <c r="V488" s="48" t="s">
        <v>2418</v>
      </c>
      <c r="W488" s="7">
        <v>2</v>
      </c>
      <c r="X488" s="48"/>
      <c r="Y488" s="47" t="s">
        <v>1116</v>
      </c>
      <c r="Z488" s="4" t="s">
        <v>2426</v>
      </c>
      <c r="AA488" s="49" t="s">
        <v>2541</v>
      </c>
      <c r="AB488" s="4" t="s">
        <v>2373</v>
      </c>
      <c r="AC488" s="49" t="s">
        <v>2655</v>
      </c>
      <c r="AD488" s="4" t="s">
        <v>185</v>
      </c>
      <c r="AE488" s="7">
        <v>1</v>
      </c>
      <c r="AF488" s="4" t="s">
        <v>2269</v>
      </c>
      <c r="AG488" s="7">
        <v>1</v>
      </c>
      <c r="AK488" s="70">
        <f>Table43[[#This Row],[Column4]]</f>
        <v>30500080042002</v>
      </c>
      <c r="AN488" s="7">
        <f>Table43[[#This Row],[ISI/CTN]]</f>
        <v>72</v>
      </c>
      <c r="AO488" s="38">
        <f>Table43[[#This Row],[Harga Jual Pcs GT
(-PPN)]]-(Table43[[#This Row],[Harga Jual Pcs GT
(-PPN)]]*6.5%)</f>
        <v>8321.5</v>
      </c>
      <c r="AP488" s="38">
        <f>Table43[[#This Row],[Harga Beli Pcs
(-PPN)]]*Table43[[#This Row],[ISI/CTN]]</f>
        <v>599148</v>
      </c>
      <c r="AQ488" s="38">
        <f>Table43[[#This Row],[Harga Beli Pcs
(-PPN)]]*1.11</f>
        <v>9236.8650000000016</v>
      </c>
      <c r="AR488" s="38">
        <f>Table43[[#This Row],[Harga Beli Krt
(- PPN)]]*1.11</f>
        <v>665054.28</v>
      </c>
      <c r="AS488" s="38">
        <v>8900</v>
      </c>
      <c r="AT488" s="38">
        <f>Table43[[#This Row],[Harga Jual Pcs GT
(-PPN)]]*Table43[[#This Row],[ISI/CTN]]</f>
        <v>640800</v>
      </c>
      <c r="AU488" s="38">
        <f>Table43[[#This Row],[Harga Jual Pcs GT
(-PPN)]]*1.11</f>
        <v>9879</v>
      </c>
      <c r="AV488" s="38">
        <f>Table43[[#This Row],[Harga Jual Krt GT
(- PPN)]]*1.11</f>
        <v>711288.00000000012</v>
      </c>
      <c r="AW488" s="38">
        <f>IFERROR(VLOOKUP(Table43[[#This Row],[Kode Pcpl]],'[1]FEB 2026'!$A$3:$X$312,24,0),0)</f>
        <v>0</v>
      </c>
      <c r="AX488" s="38">
        <f>Table43[[#This Row],[Harga Jual Pcs MT
(-PPN)]]*Table43[[#This Row],[ISI/CTN]]</f>
        <v>0</v>
      </c>
      <c r="AY488" s="38">
        <f>Table43[[#This Row],[Harga Jual Pcs MT
(-PPN)]]*1.11</f>
        <v>0</v>
      </c>
      <c r="AZ488" s="38">
        <f>Table43[[#This Row],[Harga Jual Pcs MT
(+PPN)]]*Table43[[#This Row],[ISI/CTN]]</f>
        <v>0</v>
      </c>
      <c r="BA488" s="46">
        <f>(Table43[[#This Row],[Harga Jual Pcs GT
(-PPN)]]-Table43[[#This Row],[Harga Beli Pcs
(-PPN)]])/Table43[[#This Row],[Harga Jual Pcs GT
(-PPN)]]</f>
        <v>6.5000000000000002E-2</v>
      </c>
      <c r="BB488" s="53">
        <f>Table43[[#This Row],[Harga Jual Pcs MT
(-PPN)]]-Table43[[#This Row],[Harga Beli Pcs
(-PPN)]]</f>
        <v>-8321.5</v>
      </c>
      <c r="BC488" s="54" t="e">
        <f>Table43[[#This Row],[Column1]]/Table43[[#This Row],[Harga Jual Pcs MT
(-PPN)]]</f>
        <v>#DIV/0!</v>
      </c>
      <c r="BD488" s="52"/>
      <c r="BE488" s="7"/>
      <c r="BF488" s="7" t="str">
        <f ca="1">IF(TODAY()-Table43[[#This Row],[Efektif
Pembuatan]]&gt;60,"Lama","Baru")</f>
        <v>Lama</v>
      </c>
      <c r="BG488" s="7" t="str">
        <f ca="1">IF(TODAY()-Table43[[#This Row],[Efektif Naik Harga]]&lt;30,"Naik","Sama")</f>
        <v>Sama</v>
      </c>
      <c r="BH488" s="7"/>
      <c r="BI488" s="7" t="str">
        <f>IF(Table43[[#This Row],[Kode BARANG Win2]]&lt;&gt;"","IDR","")</f>
        <v>IDR</v>
      </c>
      <c r="BJ488" s="7" t="str">
        <f>CONCATENATE(Table43[[#This Row],[kode  1 Digit
(Nomor)]],Table43[[#This Row],[kode  4 Digit                (Nomor)]])</f>
        <v>0042</v>
      </c>
      <c r="BK488" s="7" t="str">
        <f>Table43[[#This Row],[Nama            Gramasi atau Jumlah Pack per CTN]]</f>
        <v>42GR</v>
      </c>
      <c r="BL488" s="7"/>
      <c r="BM488" s="7"/>
      <c r="BN488" s="4" t="str">
        <f>IF(Table43[[#This Row],[SATUAN Fix Win]]&lt;&gt;"","KRT")</f>
        <v>KRT</v>
      </c>
      <c r="BO488" s="4" t="str">
        <f>IF(Table43[[#This Row],[SATUAN Fix Win]]&lt;&gt;"","GD01")</f>
        <v>GD01</v>
      </c>
      <c r="BP488" s="4">
        <f>IF(Table43[[#This Row],[SATUAN Fix Win]]&lt;&gt;"",11611)</f>
        <v>11611</v>
      </c>
      <c r="BQ488" s="4">
        <f>IF(Table43[[#This Row],[SATUAN Fix Win]]&lt;&gt;"",11612)</f>
        <v>11612</v>
      </c>
      <c r="BS488" s="4">
        <f>IF(Table43[[#This Row],[SATUAN Fix Win]]&lt;&gt;"",1)</f>
        <v>1</v>
      </c>
      <c r="BU488" s="4">
        <f>Table43[[#This Row],[ISI/CTN]]</f>
        <v>72</v>
      </c>
    </row>
    <row r="489" spans="1:75">
      <c r="A489" s="4" t="str">
        <f>CONCATENATE(Table43[[#This Row],[Kode BARANG Win2]],Table43[[#This Row],[No. Urut
Item Sama]])</f>
        <v>G1262006004210</v>
      </c>
      <c r="B489" s="7"/>
      <c r="C489" s="31">
        <v>30540010007000</v>
      </c>
      <c r="D489" s="51">
        <v>40043506</v>
      </c>
      <c r="E489" s="27" t="s">
        <v>2112</v>
      </c>
      <c r="F489" s="51">
        <v>30500040042000</v>
      </c>
      <c r="G489" s="51">
        <v>0</v>
      </c>
      <c r="H489" s="27" t="s">
        <v>1434</v>
      </c>
      <c r="I489" s="27">
        <v>72</v>
      </c>
      <c r="J489" s="51" t="s">
        <v>1789</v>
      </c>
      <c r="K489" s="27" t="str">
        <f>Table43[[#This Row],[NamaJenisKemasan]]</f>
        <v>PCS</v>
      </c>
      <c r="L489" s="4" t="str">
        <f>TRIM(CONCATENATE(Table43[[#This Row],[Nama            KLP]]," ",Table43[[#This Row],[Nama            Sub KLP]]))</f>
        <v>STELLA ALL IN ONE</v>
      </c>
      <c r="M489" s="4" t="str">
        <f>CONCATENATE(Table43[[#This Row],[kode  2 Digit                (hrf+No)]],Table43[[#This Row],[kode  2 Digit                (Nomor)]],Table43[[#This Row],[kode  1 Digit                (Nomor)]])</f>
        <v>G1262</v>
      </c>
      <c r="N489" s="4" t="str">
        <f>IF(AI489="",CONCATENATE(S489,U489,W489,Y489,AA489,AC489,AE489,AG489,Table43[[#This Row],[Tanda Kode Revisi]]),CONCATENATE(S489,U489,W489,Y489,AA489,AC489,AE489,AI489))</f>
        <v>G1262006004210</v>
      </c>
      <c r="O489" s="11">
        <f t="shared" si="12"/>
        <v>14</v>
      </c>
      <c r="P489" s="14" t="str">
        <f>IF(AH489&lt;&gt;"",TRIM(UPPER(CONCATENATE(R489," ",T489," ",V489," ",X489," ",Z489," ",AB489," ","X"," ",Table43[[#This Row],[ISI/CTN]]," ",AH489," ",AD489," ",AF489," ",AJ489))),TRIM(UPPER(CONCATENATE(R489," ",T489," ",V489," ",X489," ",Z489," ",AB489," ","X"," ",Table43[[#This Row],[ISI/CTN]]," ",AD489," ",AF489," ",AJ489))))</f>
        <v>STELLA ALL IN ONE LEMON 42GR X 72 PCS</v>
      </c>
      <c r="Q489" s="11">
        <f t="shared" si="13"/>
        <v>37</v>
      </c>
      <c r="S489" s="7" t="s">
        <v>34</v>
      </c>
      <c r="T489" s="4" t="s">
        <v>2421</v>
      </c>
      <c r="U489" s="47" t="s">
        <v>2584</v>
      </c>
      <c r="V489" s="48" t="s">
        <v>2418</v>
      </c>
      <c r="W489" s="7">
        <v>2</v>
      </c>
      <c r="X489" s="48"/>
      <c r="Y489" s="47" t="s">
        <v>1116</v>
      </c>
      <c r="Z489" s="4" t="s">
        <v>2321</v>
      </c>
      <c r="AA489" s="49" t="s">
        <v>2542</v>
      </c>
      <c r="AB489" s="4" t="s">
        <v>2373</v>
      </c>
      <c r="AC489" s="49" t="s">
        <v>2655</v>
      </c>
      <c r="AD489" s="4" t="s">
        <v>185</v>
      </c>
      <c r="AE489" s="7">
        <v>1</v>
      </c>
      <c r="AG489" s="7">
        <v>0</v>
      </c>
      <c r="AK489" s="70">
        <f>Table43[[#This Row],[Column4]]</f>
        <v>30500040042000</v>
      </c>
      <c r="AN489" s="7">
        <f>Table43[[#This Row],[ISI/CTN]]</f>
        <v>72</v>
      </c>
      <c r="AO489" s="61">
        <f>Table43[[#This Row],[Harga Jual Pcs GT
(-PPN)]]-(Table43[[#This Row],[Harga Jual Pcs GT
(-PPN)]]*6.5%)</f>
        <v>8321.5</v>
      </c>
      <c r="AP489" s="61">
        <f>Table43[[#This Row],[Harga Beli Pcs
(-PPN)]]*Table43[[#This Row],[ISI/CTN]]</f>
        <v>599148</v>
      </c>
      <c r="AQ489" s="61">
        <f>Table43[[#This Row],[Harga Beli Pcs
(-PPN)]]*1.11</f>
        <v>9236.8650000000016</v>
      </c>
      <c r="AR489" s="61">
        <f>Table43[[#This Row],[Harga Beli Krt
(- PPN)]]*1.11</f>
        <v>665054.28</v>
      </c>
      <c r="AS489" s="61">
        <v>8900</v>
      </c>
      <c r="AT489" s="61">
        <f>Table43[[#This Row],[Harga Jual Pcs GT
(-PPN)]]*Table43[[#This Row],[ISI/CTN]]</f>
        <v>640800</v>
      </c>
      <c r="AU489" s="61">
        <f>Table43[[#This Row],[Harga Jual Pcs GT
(-PPN)]]*1.11</f>
        <v>9879</v>
      </c>
      <c r="AV489" s="61">
        <f>Table43[[#This Row],[Harga Jual Krt GT
(- PPN)]]*1.11</f>
        <v>711288.00000000012</v>
      </c>
      <c r="AW489" s="61">
        <f>IFERROR(VLOOKUP(Table43[[#This Row],[Kode Pcpl]],'[1]FEB 2026'!$A$3:$X$312,24,0),0)</f>
        <v>0</v>
      </c>
      <c r="AX489" s="61">
        <f>Table43[[#This Row],[Harga Jual Pcs MT
(-PPN)]]*Table43[[#This Row],[ISI/CTN]]</f>
        <v>0</v>
      </c>
      <c r="AY489" s="61">
        <f>Table43[[#This Row],[Harga Jual Pcs MT
(-PPN)]]*1.11</f>
        <v>0</v>
      </c>
      <c r="AZ489" s="61">
        <f>Table43[[#This Row],[Harga Jual Pcs MT
(+PPN)]]*Table43[[#This Row],[ISI/CTN]]</f>
        <v>0</v>
      </c>
      <c r="BA489" s="62">
        <f>(Table43[[#This Row],[Harga Jual Pcs GT
(-PPN)]]-Table43[[#This Row],[Harga Beli Pcs
(-PPN)]])/Table43[[#This Row],[Harga Jual Pcs GT
(-PPN)]]</f>
        <v>6.5000000000000002E-2</v>
      </c>
      <c r="BB489" s="63">
        <f>Table43[[#This Row],[Harga Jual Pcs MT
(-PPN)]]-Table43[[#This Row],[Harga Beli Pcs
(-PPN)]]</f>
        <v>-8321.5</v>
      </c>
      <c r="BC489" s="64" t="e">
        <f>Table43[[#This Row],[Column1]]/Table43[[#This Row],[Harga Jual Pcs MT
(-PPN)]]</f>
        <v>#DIV/0!</v>
      </c>
      <c r="BD489" s="52"/>
      <c r="BE489" s="7"/>
      <c r="BF489" s="7" t="str">
        <f ca="1">IF(TODAY()-Table43[[#This Row],[Efektif
Pembuatan]]&gt;60,"Lama","Baru")</f>
        <v>Lama</v>
      </c>
      <c r="BG489" s="7" t="str">
        <f ca="1">IF(TODAY()-Table43[[#This Row],[Efektif Naik Harga]]&lt;30,"Naik","Sama")</f>
        <v>Sama</v>
      </c>
      <c r="BH489" s="7"/>
      <c r="BI489" s="7" t="str">
        <f>IF(Table43[[#This Row],[Kode BARANG Win2]]&lt;&gt;"","IDR","")</f>
        <v>IDR</v>
      </c>
      <c r="BJ489" s="7" t="str">
        <f>CONCATENATE(Table43[[#This Row],[kode  1 Digit
(Nomor)]],Table43[[#This Row],[kode  4 Digit                (Nomor)]])</f>
        <v>0042</v>
      </c>
      <c r="BK489" s="7" t="str">
        <f>Table43[[#This Row],[Nama            Gramasi atau Jumlah Pack per CTN]]</f>
        <v>42GR</v>
      </c>
      <c r="BL489" s="7"/>
      <c r="BM489" s="7"/>
      <c r="BN489" s="4" t="str">
        <f>IF(Table43[[#This Row],[SATUAN Fix Win]]&lt;&gt;"","KRT")</f>
        <v>KRT</v>
      </c>
      <c r="BO489" s="4" t="str">
        <f>IF(Table43[[#This Row],[SATUAN Fix Win]]&lt;&gt;"","GD01")</f>
        <v>GD01</v>
      </c>
      <c r="BP489" s="4">
        <f>IF(Table43[[#This Row],[SATUAN Fix Win]]&lt;&gt;"",11611)</f>
        <v>11611</v>
      </c>
      <c r="BQ489" s="4">
        <f>IF(Table43[[#This Row],[SATUAN Fix Win]]&lt;&gt;"",11612)</f>
        <v>11612</v>
      </c>
      <c r="BS489" s="4">
        <f>IF(Table43[[#This Row],[SATUAN Fix Win]]&lt;&gt;"",1)</f>
        <v>1</v>
      </c>
      <c r="BU489" s="4">
        <f>Table43[[#This Row],[ISI/CTN]]</f>
        <v>72</v>
      </c>
    </row>
    <row r="490" spans="1:75">
      <c r="A490" s="4" t="str">
        <f>CONCATENATE(Table43[[#This Row],[Kode BARANG Win2]],Table43[[#This Row],[No. Urut
Item Sama]])</f>
        <v>G1262006004210</v>
      </c>
      <c r="B490" s="7"/>
      <c r="C490" s="31"/>
      <c r="D490" s="51">
        <v>40033248</v>
      </c>
      <c r="E490" s="27"/>
      <c r="F490" s="51">
        <v>30500040042000</v>
      </c>
      <c r="G490" s="51"/>
      <c r="H490" s="27"/>
      <c r="I490" s="27">
        <v>72</v>
      </c>
      <c r="J490" s="51"/>
      <c r="K490" s="27" t="str">
        <f>Table43[[#This Row],[NamaJenisKemasan]]</f>
        <v>PCS</v>
      </c>
      <c r="L490" s="4" t="str">
        <f>TRIM(CONCATENATE(Table43[[#This Row],[Nama            KLP]]," ",Table43[[#This Row],[Nama            Sub KLP]]))</f>
        <v>STELLA ALL IN ONE</v>
      </c>
      <c r="M490" s="4" t="str">
        <f>CONCATENATE(Table43[[#This Row],[kode  2 Digit                (hrf+No)]],Table43[[#This Row],[kode  2 Digit                (Nomor)]],Table43[[#This Row],[kode  1 Digit                (Nomor)]])</f>
        <v>G1262</v>
      </c>
      <c r="N490" s="4" t="str">
        <f>IF(AI490="",CONCATENATE(S490,U490,W490,Y490,AA490,AC490,AE490,AG490,Table43[[#This Row],[Tanda Kode Revisi]]),CONCATENATE(S490,U490,W490,Y490,AA490,AC490,AE490,AI490))</f>
        <v>G1262006004210</v>
      </c>
      <c r="O490" s="11">
        <f t="shared" si="12"/>
        <v>14</v>
      </c>
      <c r="P490" s="14" t="str">
        <f>IF(AH490&lt;&gt;"",TRIM(UPPER(CONCATENATE(R490," ",T490," ",V490," ",X490," ",Z490," ",AB490," ","X"," ",Table43[[#This Row],[ISI/CTN]]," ",AH490," ",AD490," ",AF490," ",AJ490))),TRIM(UPPER(CONCATENATE(R490," ",T490," ",V490," ",X490," ",Z490," ",AB490," ","X"," ",Table43[[#This Row],[ISI/CTN]]," ",AD490," ",AF490," ",AJ490))))</f>
        <v>STELLA ALL IN ONE LEMON 42GR X 72 PCS</v>
      </c>
      <c r="Q490" s="11">
        <f t="shared" si="13"/>
        <v>37</v>
      </c>
      <c r="S490" s="7" t="s">
        <v>34</v>
      </c>
      <c r="T490" s="4" t="s">
        <v>2421</v>
      </c>
      <c r="U490" s="47" t="s">
        <v>2584</v>
      </c>
      <c r="V490" s="48" t="s">
        <v>2418</v>
      </c>
      <c r="W490" s="7">
        <v>2</v>
      </c>
      <c r="X490" s="48"/>
      <c r="Y490" s="47" t="s">
        <v>1116</v>
      </c>
      <c r="Z490" s="4" t="s">
        <v>2321</v>
      </c>
      <c r="AA490" s="49" t="s">
        <v>2542</v>
      </c>
      <c r="AB490" s="4" t="s">
        <v>2373</v>
      </c>
      <c r="AC490" s="49" t="s">
        <v>2655</v>
      </c>
      <c r="AD490" s="4" t="s">
        <v>185</v>
      </c>
      <c r="AE490" s="7">
        <v>1</v>
      </c>
      <c r="AG490" s="7">
        <v>0</v>
      </c>
      <c r="AK490" s="70">
        <f>Table43[[#This Row],[Column4]]</f>
        <v>30500040042000</v>
      </c>
      <c r="AN490" s="7">
        <f>Table43[[#This Row],[ISI/CTN]]</f>
        <v>72</v>
      </c>
      <c r="AO490" s="61">
        <f>Table43[[#This Row],[Harga Jual Pcs GT
(-PPN)]]-(Table43[[#This Row],[Harga Jual Pcs GT
(-PPN)]]*6.5%)</f>
        <v>8321.5</v>
      </c>
      <c r="AP490" s="61">
        <f>Table43[[#This Row],[Harga Beli Pcs
(-PPN)]]*Table43[[#This Row],[ISI/CTN]]</f>
        <v>599148</v>
      </c>
      <c r="AQ490" s="61">
        <f>Table43[[#This Row],[Harga Beli Pcs
(-PPN)]]*1.11</f>
        <v>9236.8650000000016</v>
      </c>
      <c r="AR490" s="61">
        <f>Table43[[#This Row],[Harga Beli Krt
(- PPN)]]*1.11</f>
        <v>665054.28</v>
      </c>
      <c r="AS490" s="61">
        <v>8900</v>
      </c>
      <c r="AT490" s="61">
        <f>Table43[[#This Row],[Harga Jual Pcs GT
(-PPN)]]*Table43[[#This Row],[ISI/CTN]]</f>
        <v>640800</v>
      </c>
      <c r="AU490" s="61">
        <f>Table43[[#This Row],[Harga Jual Pcs GT
(-PPN)]]*1.11</f>
        <v>9879</v>
      </c>
      <c r="AV490" s="61">
        <f>Table43[[#This Row],[Harga Jual Krt GT
(- PPN)]]*1.11</f>
        <v>711288.00000000012</v>
      </c>
      <c r="AW490" s="61">
        <f>IFERROR(VLOOKUP(Table43[[#This Row],[Kode Pcpl]],'[1]FEB 2026'!$A$3:$X$312,24,0),0)</f>
        <v>0</v>
      </c>
      <c r="AX490" s="61">
        <f>Table43[[#This Row],[Harga Jual Pcs MT
(-PPN)]]*Table43[[#This Row],[ISI/CTN]]</f>
        <v>0</v>
      </c>
      <c r="AY490" s="61">
        <f>Table43[[#This Row],[Harga Jual Pcs MT
(-PPN)]]*1.11</f>
        <v>0</v>
      </c>
      <c r="AZ490" s="61">
        <f>Table43[[#This Row],[Harga Jual Pcs MT
(+PPN)]]*Table43[[#This Row],[ISI/CTN]]</f>
        <v>0</v>
      </c>
      <c r="BA490" s="62">
        <f>(Table43[[#This Row],[Harga Jual Pcs GT
(-PPN)]]-Table43[[#This Row],[Harga Beli Pcs
(-PPN)]])/Table43[[#This Row],[Harga Jual Pcs GT
(-PPN)]]</f>
        <v>6.5000000000000002E-2</v>
      </c>
      <c r="BB490" s="63">
        <f>Table43[[#This Row],[Harga Jual Pcs MT
(-PPN)]]-Table43[[#This Row],[Harga Beli Pcs
(-PPN)]]</f>
        <v>-8321.5</v>
      </c>
      <c r="BC490" s="64" t="e">
        <f>Table43[[#This Row],[Column1]]/Table43[[#This Row],[Harga Jual Pcs MT
(-PPN)]]</f>
        <v>#DIV/0!</v>
      </c>
      <c r="BD490" s="52"/>
      <c r="BE490" s="7"/>
      <c r="BF490" s="7" t="str">
        <f ca="1">IF(TODAY()-Table43[[#This Row],[Efektif
Pembuatan]]&gt;60,"Lama","Baru")</f>
        <v>Lama</v>
      </c>
      <c r="BG490" s="7" t="str">
        <f ca="1">IF(TODAY()-Table43[[#This Row],[Efektif Naik Harga]]&lt;30,"Naik","Sama")</f>
        <v>Sama</v>
      </c>
      <c r="BH490" s="7"/>
      <c r="BI490" s="7" t="str">
        <f>IF(Table43[[#This Row],[Kode BARANG Win2]]&lt;&gt;"","IDR","")</f>
        <v>IDR</v>
      </c>
      <c r="BJ490" s="7" t="str">
        <f>CONCATENATE(Table43[[#This Row],[kode  1 Digit
(Nomor)]],Table43[[#This Row],[kode  4 Digit                (Nomor)]])</f>
        <v>0042</v>
      </c>
      <c r="BK490" s="7" t="str">
        <f>Table43[[#This Row],[Nama            Gramasi atau Jumlah Pack per CTN]]</f>
        <v>42GR</v>
      </c>
      <c r="BL490" s="7"/>
      <c r="BM490" s="7"/>
      <c r="BN490" s="4" t="str">
        <f>IF(Table43[[#This Row],[SATUAN Fix Win]]&lt;&gt;"","KRT")</f>
        <v>KRT</v>
      </c>
      <c r="BO490" s="4" t="str">
        <f>IF(Table43[[#This Row],[SATUAN Fix Win]]&lt;&gt;"","GD01")</f>
        <v>GD01</v>
      </c>
      <c r="BP490" s="4">
        <f>IF(Table43[[#This Row],[SATUAN Fix Win]]&lt;&gt;"",11611)</f>
        <v>11611</v>
      </c>
      <c r="BQ490" s="4">
        <f>IF(Table43[[#This Row],[SATUAN Fix Win]]&lt;&gt;"",11612)</f>
        <v>11612</v>
      </c>
      <c r="BS490" s="4">
        <f>IF(Table43[[#This Row],[SATUAN Fix Win]]&lt;&gt;"",1)</f>
        <v>1</v>
      </c>
      <c r="BU490" s="4">
        <f>Table43[[#This Row],[ISI/CTN]]</f>
        <v>72</v>
      </c>
    </row>
    <row r="491" spans="1:75" s="87" customFormat="1">
      <c r="A491" s="71" t="str">
        <f>CONCATENATE(Table43[[#This Row],[Kode BARANG Win2]],Table43[[#This Row],[No. Urut
Item Sama]])</f>
        <v>G1262006004210</v>
      </c>
      <c r="B491" s="72"/>
      <c r="C491" s="73"/>
      <c r="D491" s="74">
        <v>40061765</v>
      </c>
      <c r="E491" s="75" t="s">
        <v>3471</v>
      </c>
      <c r="F491" s="74"/>
      <c r="G491" s="74"/>
      <c r="H491" s="75" t="s">
        <v>3471</v>
      </c>
      <c r="I491" s="75">
        <v>72</v>
      </c>
      <c r="J491" s="74"/>
      <c r="K491" s="75" t="str">
        <f>Table43[[#This Row],[NamaJenisKemasan]]</f>
        <v>PCS</v>
      </c>
      <c r="L491" s="71" t="str">
        <f>TRIM(CONCATENATE(Table43[[#This Row],[Nama            KLP]]," ",Table43[[#This Row],[Nama            Sub KLP]]))</f>
        <v>STELLA ALL IN ONE</v>
      </c>
      <c r="M491" s="71" t="str">
        <f>CONCATENATE(Table43[[#This Row],[kode  2 Digit                (hrf+No)]],Table43[[#This Row],[kode  2 Digit                (Nomor)]],Table43[[#This Row],[kode  1 Digit                (Nomor)]])</f>
        <v>G1262</v>
      </c>
      <c r="N491" s="71" t="str">
        <f>IF(AI491="",CONCATENATE(S491,U491,W491,Y491,AA491,AC491,AE491,AG491,Table43[[#This Row],[Tanda Kode Revisi]]),CONCATENATE(S491,U491,W491,Y491,AA491,AC491,AE491,AI491))</f>
        <v>G1262006004210</v>
      </c>
      <c r="O491" s="76">
        <f>LEN(N491)</f>
        <v>14</v>
      </c>
      <c r="P491" s="77" t="str">
        <f>IF(AH491&lt;&gt;"",TRIM(UPPER(CONCATENATE(R491," ",T491," ",V491," ",X491," ",Z491," ",AB491," ","X"," ",Table43[[#This Row],[ISI/CTN]]," ",AH491," ",AD491," ",AF491," ",AJ491))),TRIM(UPPER(CONCATENATE(R491," ",T491," ",V491," ",X491," ",Z491," ",AB491," ","X"," ",Table43[[#This Row],[ISI/CTN]]," ",AD491," ",AF491," ",AJ491))))</f>
        <v>STELLA ALL IN ONE LEMON 42GR X 72 PCS +10</v>
      </c>
      <c r="Q491" s="76">
        <f>LEN(P491)</f>
        <v>41</v>
      </c>
      <c r="R491" s="71"/>
      <c r="S491" s="72" t="s">
        <v>34</v>
      </c>
      <c r="T491" s="71" t="s">
        <v>2421</v>
      </c>
      <c r="U491" s="78" t="s">
        <v>2584</v>
      </c>
      <c r="V491" s="79" t="s">
        <v>2418</v>
      </c>
      <c r="W491" s="72">
        <v>2</v>
      </c>
      <c r="X491" s="79"/>
      <c r="Y491" s="78" t="s">
        <v>1116</v>
      </c>
      <c r="Z491" s="71" t="s">
        <v>2321</v>
      </c>
      <c r="AA491" s="80" t="s">
        <v>2542</v>
      </c>
      <c r="AB491" s="71" t="s">
        <v>2373</v>
      </c>
      <c r="AC491" s="80" t="s">
        <v>2655</v>
      </c>
      <c r="AD491" s="71" t="s">
        <v>185</v>
      </c>
      <c r="AE491" s="72">
        <v>1</v>
      </c>
      <c r="AF491" s="92" t="s">
        <v>3472</v>
      </c>
      <c r="AG491" s="72">
        <v>0</v>
      </c>
      <c r="AH491" s="72"/>
      <c r="AI491" s="72"/>
      <c r="AJ491" s="72"/>
      <c r="AK491" s="81">
        <f>Table43[[#This Row],[Column4]]</f>
        <v>0</v>
      </c>
      <c r="AL491" s="72"/>
      <c r="AM491" s="72"/>
      <c r="AN491" s="72">
        <f>Table43[[#This Row],[ISI/CTN]]</f>
        <v>72</v>
      </c>
      <c r="AO491" s="82">
        <f>Table43[[#This Row],[Harga Jual Pcs GT
(-PPN)]]-(Table43[[#This Row],[Harga Jual Pcs GT
(-PPN)]]*6.5%)</f>
        <v>0</v>
      </c>
      <c r="AP491" s="82">
        <f>Table43[[#This Row],[Harga Beli Pcs
(-PPN)]]*Table43[[#This Row],[ISI/CTN]]</f>
        <v>0</v>
      </c>
      <c r="AQ491" s="82">
        <f>Table43[[#This Row],[Harga Beli Pcs
(-PPN)]]*1.11</f>
        <v>0</v>
      </c>
      <c r="AR491" s="82">
        <f>Table43[[#This Row],[Harga Beli Krt
(- PPN)]]*1.11</f>
        <v>0</v>
      </c>
      <c r="AS491" s="82"/>
      <c r="AT491" s="82">
        <f>Table43[[#This Row],[Harga Jual Pcs GT
(-PPN)]]*Table43[[#This Row],[ISI/CTN]]</f>
        <v>0</v>
      </c>
      <c r="AU491" s="82">
        <f>Table43[[#This Row],[Harga Jual Pcs GT
(-PPN)]]*1.11</f>
        <v>0</v>
      </c>
      <c r="AV491" s="82">
        <f>Table43[[#This Row],[Harga Jual Krt GT
(- PPN)]]*1.11</f>
        <v>0</v>
      </c>
      <c r="AW491" s="82">
        <f>IFERROR(VLOOKUP(Table43[[#This Row],[Kode Pcpl]],'[1]FEB 2026'!$A$3:$X$312,24,0),0)</f>
        <v>0</v>
      </c>
      <c r="AX491" s="82">
        <f>Table43[[#This Row],[Harga Jual Pcs MT
(-PPN)]]*Table43[[#This Row],[ISI/CTN]]</f>
        <v>0</v>
      </c>
      <c r="AY491" s="82">
        <f>Table43[[#This Row],[Harga Jual Pcs MT
(-PPN)]]*1.11</f>
        <v>0</v>
      </c>
      <c r="AZ491" s="82">
        <f>Table43[[#This Row],[Harga Jual Pcs MT
(+PPN)]]*Table43[[#This Row],[ISI/CTN]]</f>
        <v>0</v>
      </c>
      <c r="BA491" s="83" t="e">
        <f>(Table43[[#This Row],[Harga Jual Pcs GT
(-PPN)]]-Table43[[#This Row],[Harga Beli Pcs
(-PPN)]])/Table43[[#This Row],[Harga Jual Pcs GT
(-PPN)]]</f>
        <v>#DIV/0!</v>
      </c>
      <c r="BB491" s="84">
        <f>Table43[[#This Row],[Harga Jual Pcs MT
(-PPN)]]-Table43[[#This Row],[Harga Beli Pcs
(-PPN)]]</f>
        <v>0</v>
      </c>
      <c r="BC491" s="85" t="e">
        <f>Table43[[#This Row],[Column1]]/Table43[[#This Row],[Harga Jual Pcs MT
(-PPN)]]</f>
        <v>#DIV/0!</v>
      </c>
      <c r="BD491" s="86"/>
      <c r="BE491" s="72"/>
      <c r="BF491" s="72" t="str">
        <f ca="1">IF(TODAY()-Table43[[#This Row],[Efektif
Pembuatan]]&gt;60,"Lama","Baru")</f>
        <v>Lama</v>
      </c>
      <c r="BG491" s="72" t="str">
        <f ca="1">IF(TODAY()-Table43[[#This Row],[Efektif Naik Harga]]&lt;30,"Naik","Sama")</f>
        <v>Sama</v>
      </c>
      <c r="BH491" s="72"/>
      <c r="BI491" s="72" t="str">
        <f>IF(Table43[[#This Row],[Kode BARANG Win2]]&lt;&gt;"","IDR","")</f>
        <v>IDR</v>
      </c>
      <c r="BJ491" s="72" t="str">
        <f>CONCATENATE(Table43[[#This Row],[kode  1 Digit
(Nomor)]],Table43[[#This Row],[kode  4 Digit                (Nomor)]])</f>
        <v>0042</v>
      </c>
      <c r="BK491" s="72" t="str">
        <f>Table43[[#This Row],[Nama            Gramasi atau Jumlah Pack per CTN]]</f>
        <v>42GR</v>
      </c>
      <c r="BL491" s="72"/>
      <c r="BM491" s="72"/>
      <c r="BN491" s="71" t="str">
        <f>IF(Table43[[#This Row],[SATUAN Fix Win]]&lt;&gt;"","KRT")</f>
        <v>KRT</v>
      </c>
      <c r="BO491" s="71" t="str">
        <f>IF(Table43[[#This Row],[SATUAN Fix Win]]&lt;&gt;"","GD01")</f>
        <v>GD01</v>
      </c>
      <c r="BP491" s="71">
        <f>IF(Table43[[#This Row],[SATUAN Fix Win]]&lt;&gt;"",11611)</f>
        <v>11611</v>
      </c>
      <c r="BQ491" s="71">
        <f>IF(Table43[[#This Row],[SATUAN Fix Win]]&lt;&gt;"",11612)</f>
        <v>11612</v>
      </c>
      <c r="BR491" s="71"/>
      <c r="BS491" s="71">
        <f>IF(Table43[[#This Row],[SATUAN Fix Win]]&lt;&gt;"",1)</f>
        <v>1</v>
      </c>
      <c r="BT491" s="71"/>
      <c r="BU491" s="71">
        <f>Table43[[#This Row],[ISI/CTN]]</f>
        <v>72</v>
      </c>
      <c r="BV491" s="71"/>
      <c r="BW491" s="71"/>
    </row>
    <row r="492" spans="1:75" s="87" customFormat="1">
      <c r="A492" s="4" t="str">
        <f>CONCATENATE(Table43[[#This Row],[Kode BARANG Win2]],Table43[[#This Row],[No. Urut
Item Sama]])</f>
        <v>G1262006004211</v>
      </c>
      <c r="B492" s="7"/>
      <c r="C492" s="31">
        <v>30501100042003</v>
      </c>
      <c r="D492" s="51">
        <v>40049989</v>
      </c>
      <c r="E492" s="27" t="s">
        <v>2114</v>
      </c>
      <c r="F492" s="51">
        <v>30500040042002</v>
      </c>
      <c r="G492" s="51">
        <v>0</v>
      </c>
      <c r="H492" s="27" t="s">
        <v>1436</v>
      </c>
      <c r="I492" s="27">
        <v>72</v>
      </c>
      <c r="J492" s="51" t="s">
        <v>1789</v>
      </c>
      <c r="K492" s="27" t="str">
        <f>Table43[[#This Row],[NamaJenisKemasan]]</f>
        <v>PCS</v>
      </c>
      <c r="L492" s="4" t="str">
        <f>TRIM(CONCATENATE(Table43[[#This Row],[Nama            KLP]]," ",Table43[[#This Row],[Nama            Sub KLP]]))</f>
        <v>STELLA ALL IN ONE</v>
      </c>
      <c r="M492" s="4" t="str">
        <f>CONCATENATE(Table43[[#This Row],[kode  2 Digit                (hrf+No)]],Table43[[#This Row],[kode  2 Digit                (Nomor)]],Table43[[#This Row],[kode  1 Digit                (Nomor)]])</f>
        <v>G1262</v>
      </c>
      <c r="N492" s="4" t="str">
        <f>IF(AI492="",CONCATENATE(S492,U492,W492,Y492,AA492,AC492,AE492,AG492,Table43[[#This Row],[Tanda Kode Revisi]]),CONCATENATE(S492,U492,W492,Y492,AA492,AC492,AE492,AI492))</f>
        <v>G1262006004211</v>
      </c>
      <c r="O492" s="11">
        <f t="shared" si="12"/>
        <v>14</v>
      </c>
      <c r="P492" s="14" t="str">
        <f>IF(AH492&lt;&gt;"",TRIM(UPPER(CONCATENATE(R492," ",T492," ",V492," ",X492," ",Z492," ",AB492," ","X"," ",Table43[[#This Row],[ISI/CTN]]," ",AH492," ",AD492," ",AF492," ",AJ492))),TRIM(UPPER(CONCATENATE(R492," ",T492," ",V492," ",X492," ",Z492," ",AB492," ","X"," ",Table43[[#This Row],[ISI/CTN]]," ",AD492," ",AF492," ",AJ492))))</f>
        <v>STELLA ALL IN ONE LEMON 42GR X 72 PCS BANDED</v>
      </c>
      <c r="Q492" s="11">
        <f t="shared" si="13"/>
        <v>44</v>
      </c>
      <c r="R492" s="4"/>
      <c r="S492" s="7" t="s">
        <v>34</v>
      </c>
      <c r="T492" s="4" t="s">
        <v>2421</v>
      </c>
      <c r="U492" s="47" t="s">
        <v>2584</v>
      </c>
      <c r="V492" s="48" t="s">
        <v>2418</v>
      </c>
      <c r="W492" s="7">
        <v>2</v>
      </c>
      <c r="X492" s="48"/>
      <c r="Y492" s="47" t="s">
        <v>1116</v>
      </c>
      <c r="Z492" s="4" t="s">
        <v>2321</v>
      </c>
      <c r="AA492" s="49" t="s">
        <v>2542</v>
      </c>
      <c r="AB492" s="4" t="s">
        <v>2373</v>
      </c>
      <c r="AC492" s="49" t="s">
        <v>2655</v>
      </c>
      <c r="AD492" s="4" t="s">
        <v>185</v>
      </c>
      <c r="AE492" s="7">
        <v>1</v>
      </c>
      <c r="AF492" s="4" t="s">
        <v>2269</v>
      </c>
      <c r="AG492" s="7">
        <v>1</v>
      </c>
      <c r="AH492" s="7"/>
      <c r="AI492" s="7"/>
      <c r="AJ492" s="7"/>
      <c r="AK492" s="70">
        <f>Table43[[#This Row],[Column4]]</f>
        <v>30500040042002</v>
      </c>
      <c r="AL492" s="7"/>
      <c r="AM492" s="7"/>
      <c r="AN492" s="7">
        <f>Table43[[#This Row],[ISI/CTN]]</f>
        <v>72</v>
      </c>
      <c r="AO492" s="61">
        <f>Table43[[#This Row],[Harga Jual Pcs GT
(-PPN)]]-(Table43[[#This Row],[Harga Jual Pcs GT
(-PPN)]]*6.5%)</f>
        <v>8321.5</v>
      </c>
      <c r="AP492" s="61">
        <f>Table43[[#This Row],[Harga Beli Pcs
(-PPN)]]*Table43[[#This Row],[ISI/CTN]]</f>
        <v>599148</v>
      </c>
      <c r="AQ492" s="61">
        <f>Table43[[#This Row],[Harga Beli Pcs
(-PPN)]]*1.11</f>
        <v>9236.8650000000016</v>
      </c>
      <c r="AR492" s="61">
        <f>Table43[[#This Row],[Harga Beli Krt
(- PPN)]]*1.11</f>
        <v>665054.28</v>
      </c>
      <c r="AS492" s="61">
        <v>8900</v>
      </c>
      <c r="AT492" s="61">
        <f>Table43[[#This Row],[Harga Jual Pcs GT
(-PPN)]]*Table43[[#This Row],[ISI/CTN]]</f>
        <v>640800</v>
      </c>
      <c r="AU492" s="61">
        <f>Table43[[#This Row],[Harga Jual Pcs GT
(-PPN)]]*1.11</f>
        <v>9879</v>
      </c>
      <c r="AV492" s="61">
        <f>Table43[[#This Row],[Harga Jual Krt GT
(- PPN)]]*1.11</f>
        <v>711288.00000000012</v>
      </c>
      <c r="AW492" s="61">
        <f>IFERROR(VLOOKUP(Table43[[#This Row],[Kode Pcpl]],'[1]FEB 2026'!$A$3:$X$312,24,0),0)</f>
        <v>0</v>
      </c>
      <c r="AX492" s="61">
        <f>Table43[[#This Row],[Harga Jual Pcs MT
(-PPN)]]*Table43[[#This Row],[ISI/CTN]]</f>
        <v>0</v>
      </c>
      <c r="AY492" s="61">
        <f>Table43[[#This Row],[Harga Jual Pcs MT
(-PPN)]]*1.11</f>
        <v>0</v>
      </c>
      <c r="AZ492" s="61">
        <f>Table43[[#This Row],[Harga Jual Pcs MT
(+PPN)]]*Table43[[#This Row],[ISI/CTN]]</f>
        <v>0</v>
      </c>
      <c r="BA492" s="62">
        <f>(Table43[[#This Row],[Harga Jual Pcs GT
(-PPN)]]-Table43[[#This Row],[Harga Beli Pcs
(-PPN)]])/Table43[[#This Row],[Harga Jual Pcs GT
(-PPN)]]</f>
        <v>6.5000000000000002E-2</v>
      </c>
      <c r="BB492" s="63">
        <f>Table43[[#This Row],[Harga Jual Pcs MT
(-PPN)]]-Table43[[#This Row],[Harga Beli Pcs
(-PPN)]]</f>
        <v>-8321.5</v>
      </c>
      <c r="BC492" s="64" t="e">
        <f>Table43[[#This Row],[Column1]]/Table43[[#This Row],[Harga Jual Pcs MT
(-PPN)]]</f>
        <v>#DIV/0!</v>
      </c>
      <c r="BD492" s="52"/>
      <c r="BE492" s="7"/>
      <c r="BF492" s="7" t="str">
        <f ca="1">IF(TODAY()-Table43[[#This Row],[Efektif
Pembuatan]]&gt;60,"Lama","Baru")</f>
        <v>Lama</v>
      </c>
      <c r="BG492" s="7" t="str">
        <f ca="1">IF(TODAY()-Table43[[#This Row],[Efektif Naik Harga]]&lt;30,"Naik","Sama")</f>
        <v>Sama</v>
      </c>
      <c r="BH492" s="7"/>
      <c r="BI492" s="7" t="str">
        <f>IF(Table43[[#This Row],[Kode BARANG Win2]]&lt;&gt;"","IDR","")</f>
        <v>IDR</v>
      </c>
      <c r="BJ492" s="7" t="str">
        <f>CONCATENATE(Table43[[#This Row],[kode  1 Digit
(Nomor)]],Table43[[#This Row],[kode  4 Digit                (Nomor)]])</f>
        <v>0042</v>
      </c>
      <c r="BK492" s="7" t="str">
        <f>Table43[[#This Row],[Nama            Gramasi atau Jumlah Pack per CTN]]</f>
        <v>42GR</v>
      </c>
      <c r="BL492" s="7"/>
      <c r="BM492" s="7"/>
      <c r="BN492" s="4" t="str">
        <f>IF(Table43[[#This Row],[SATUAN Fix Win]]&lt;&gt;"","KRT")</f>
        <v>KRT</v>
      </c>
      <c r="BO492" s="4" t="str">
        <f>IF(Table43[[#This Row],[SATUAN Fix Win]]&lt;&gt;"","GD01")</f>
        <v>GD01</v>
      </c>
      <c r="BP492" s="4">
        <f>IF(Table43[[#This Row],[SATUAN Fix Win]]&lt;&gt;"",11611)</f>
        <v>11611</v>
      </c>
      <c r="BQ492" s="4">
        <f>IF(Table43[[#This Row],[SATUAN Fix Win]]&lt;&gt;"",11612)</f>
        <v>11612</v>
      </c>
      <c r="BR492" s="4"/>
      <c r="BS492" s="4">
        <f>IF(Table43[[#This Row],[SATUAN Fix Win]]&lt;&gt;"",1)</f>
        <v>1</v>
      </c>
      <c r="BT492" s="4"/>
      <c r="BU492" s="4">
        <f>Table43[[#This Row],[ISI/CTN]]</f>
        <v>72</v>
      </c>
      <c r="BV492" s="71"/>
      <c r="BW492" s="71"/>
    </row>
    <row r="493" spans="1:75">
      <c r="A493" s="4" t="str">
        <f>CONCATENATE(Table43[[#This Row],[Kode BARANG Win2]],Table43[[#This Row],[No. Urut
Item Sama]])</f>
        <v>G1262007004210</v>
      </c>
      <c r="B493" s="7"/>
      <c r="C493" s="31">
        <v>30500050042000</v>
      </c>
      <c r="D493" s="51">
        <v>40033252</v>
      </c>
      <c r="E493" s="66" t="s">
        <v>2500</v>
      </c>
      <c r="F493" s="68">
        <v>30500050042000</v>
      </c>
      <c r="G493" s="68">
        <v>0</v>
      </c>
      <c r="H493" s="27">
        <v>0</v>
      </c>
      <c r="I493" s="27">
        <v>72</v>
      </c>
      <c r="J493" s="51">
        <v>0</v>
      </c>
      <c r="K493" s="27" t="str">
        <f>Table43[[#This Row],[NamaJenisKemasan]]</f>
        <v>PCS</v>
      </c>
      <c r="L493" s="4" t="str">
        <f>TRIM(CONCATENATE(Table43[[#This Row],[Nama            KLP]]," ",Table43[[#This Row],[Nama            Sub KLP]]))</f>
        <v>STELLA ALL IN ONE</v>
      </c>
      <c r="M493" s="4" t="str">
        <f>CONCATENATE(Table43[[#This Row],[kode  2 Digit                (hrf+No)]],Table43[[#This Row],[kode  2 Digit                (Nomor)]],Table43[[#This Row],[kode  1 Digit                (Nomor)]])</f>
        <v>G1262</v>
      </c>
      <c r="N493" s="4" t="str">
        <f>IF(AI493="",CONCATENATE(S493,U493,W493,Y493,AA493,AC493,AE493,AG493,Table43[[#This Row],[Tanda Kode Revisi]]),CONCATENATE(S493,U493,W493,Y493,AA493,AC493,AE493,AI493))</f>
        <v>G1262007004210</v>
      </c>
      <c r="O493" s="11">
        <f t="shared" si="12"/>
        <v>14</v>
      </c>
      <c r="P493" s="14" t="str">
        <f>IF(AH493&lt;&gt;"",TRIM(UPPER(CONCATENATE(R493," ",T493," ",V493," ",X493," ",Z493," ",AB493," ","X"," ",Table43[[#This Row],[ISI/CTN]]," ",AH493," ",AD493," ",AF493," ",AJ493))),TRIM(UPPER(CONCATENATE(R493," ",T493," ",V493," ",X493," ",Z493," ",AB493," ","X"," ",Table43[[#This Row],[ISI/CTN]]," ",AD493," ",AF493," ",AJ493))))</f>
        <v>STELLA ALL IN ONE LIME 42GR X 72 PCS</v>
      </c>
      <c r="Q493" s="11">
        <f t="shared" si="13"/>
        <v>36</v>
      </c>
      <c r="S493" s="7" t="s">
        <v>34</v>
      </c>
      <c r="T493" s="4" t="s">
        <v>2421</v>
      </c>
      <c r="U493" s="47" t="s">
        <v>2584</v>
      </c>
      <c r="V493" s="48" t="s">
        <v>2418</v>
      </c>
      <c r="W493" s="7">
        <v>2</v>
      </c>
      <c r="X493" s="48"/>
      <c r="Y493" s="47" t="s">
        <v>1116</v>
      </c>
      <c r="Z493" s="4" t="s">
        <v>2532</v>
      </c>
      <c r="AA493" s="49" t="s">
        <v>2544</v>
      </c>
      <c r="AB493" s="4" t="s">
        <v>2373</v>
      </c>
      <c r="AC493" s="49" t="s">
        <v>2655</v>
      </c>
      <c r="AD493" s="4" t="s">
        <v>185</v>
      </c>
      <c r="AE493" s="7">
        <v>1</v>
      </c>
      <c r="AG493" s="7">
        <v>0</v>
      </c>
      <c r="AK493" s="70">
        <f>Table43[[#This Row],[Column4]]</f>
        <v>30500050042000</v>
      </c>
      <c r="AN493" s="7">
        <f>Table43[[#This Row],[ISI/CTN]]</f>
        <v>72</v>
      </c>
      <c r="AO493" s="38">
        <f>Table43[[#This Row],[Harga Jual Pcs GT
(-PPN)]]-(Table43[[#This Row],[Harga Jual Pcs GT
(-PPN)]]*6.5%)</f>
        <v>8321.5</v>
      </c>
      <c r="AP493" s="38">
        <f>Table43[[#This Row],[Harga Beli Pcs
(-PPN)]]*Table43[[#This Row],[ISI/CTN]]</f>
        <v>599148</v>
      </c>
      <c r="AQ493" s="38">
        <f>Table43[[#This Row],[Harga Beli Pcs
(-PPN)]]*1.11</f>
        <v>9236.8650000000016</v>
      </c>
      <c r="AR493" s="38">
        <f>Table43[[#This Row],[Harga Beli Krt
(- PPN)]]*1.11</f>
        <v>665054.28</v>
      </c>
      <c r="AS493" s="38">
        <v>8900</v>
      </c>
      <c r="AT493" s="38">
        <f>Table43[[#This Row],[Harga Jual Pcs GT
(-PPN)]]*Table43[[#This Row],[ISI/CTN]]</f>
        <v>640800</v>
      </c>
      <c r="AU493" s="38">
        <f>Table43[[#This Row],[Harga Jual Pcs GT
(-PPN)]]*1.11</f>
        <v>9879</v>
      </c>
      <c r="AV493" s="38">
        <f>Table43[[#This Row],[Harga Jual Krt GT
(- PPN)]]*1.11</f>
        <v>711288.00000000012</v>
      </c>
      <c r="AW493" s="38">
        <f>IFERROR(VLOOKUP(Table43[[#This Row],[Kode Pcpl]],'[1]FEB 2026'!$A$3:$X$312,24,0),0)</f>
        <v>0</v>
      </c>
      <c r="AX493" s="38">
        <f>Table43[[#This Row],[Harga Jual Pcs MT
(-PPN)]]*Table43[[#This Row],[ISI/CTN]]</f>
        <v>0</v>
      </c>
      <c r="AY493" s="38">
        <f>Table43[[#This Row],[Harga Jual Pcs MT
(-PPN)]]*1.11</f>
        <v>0</v>
      </c>
      <c r="AZ493" s="38">
        <f>Table43[[#This Row],[Harga Jual Pcs MT
(+PPN)]]*Table43[[#This Row],[ISI/CTN]]</f>
        <v>0</v>
      </c>
      <c r="BA493" s="46">
        <f>(Table43[[#This Row],[Harga Jual Pcs GT
(-PPN)]]-Table43[[#This Row],[Harga Beli Pcs
(-PPN)]])/Table43[[#This Row],[Harga Jual Pcs GT
(-PPN)]]</f>
        <v>6.5000000000000002E-2</v>
      </c>
      <c r="BB493" s="53">
        <f>Table43[[#This Row],[Harga Jual Pcs MT
(-PPN)]]-Table43[[#This Row],[Harga Beli Pcs
(-PPN)]]</f>
        <v>-8321.5</v>
      </c>
      <c r="BC493" s="54" t="e">
        <f>Table43[[#This Row],[Column1]]/Table43[[#This Row],[Harga Jual Pcs MT
(-PPN)]]</f>
        <v>#DIV/0!</v>
      </c>
      <c r="BD493" s="52"/>
      <c r="BE493" s="7"/>
      <c r="BF493" s="7" t="str">
        <f ca="1">IF(TODAY()-Table43[[#This Row],[Efektif
Pembuatan]]&gt;60,"Lama","Baru")</f>
        <v>Lama</v>
      </c>
      <c r="BG493" s="7" t="str">
        <f ca="1">IF(TODAY()-Table43[[#This Row],[Efektif Naik Harga]]&lt;30,"Naik","Sama")</f>
        <v>Sama</v>
      </c>
      <c r="BH493" s="7"/>
      <c r="BI493" s="7" t="str">
        <f>IF(Table43[[#This Row],[Kode BARANG Win2]]&lt;&gt;"","IDR","")</f>
        <v>IDR</v>
      </c>
      <c r="BJ493" s="7" t="str">
        <f>CONCATENATE(Table43[[#This Row],[kode  1 Digit
(Nomor)]],Table43[[#This Row],[kode  4 Digit                (Nomor)]])</f>
        <v>0042</v>
      </c>
      <c r="BK493" s="7" t="str">
        <f>Table43[[#This Row],[Nama            Gramasi atau Jumlah Pack per CTN]]</f>
        <v>42GR</v>
      </c>
      <c r="BL493" s="7"/>
      <c r="BM493" s="7"/>
      <c r="BN493" s="4" t="str">
        <f>IF(Table43[[#This Row],[SATUAN Fix Win]]&lt;&gt;"","KRT")</f>
        <v>KRT</v>
      </c>
      <c r="BO493" s="4" t="str">
        <f>IF(Table43[[#This Row],[SATUAN Fix Win]]&lt;&gt;"","GD01")</f>
        <v>GD01</v>
      </c>
      <c r="BP493" s="4">
        <f>IF(Table43[[#This Row],[SATUAN Fix Win]]&lt;&gt;"",11611)</f>
        <v>11611</v>
      </c>
      <c r="BQ493" s="4">
        <f>IF(Table43[[#This Row],[SATUAN Fix Win]]&lt;&gt;"",11612)</f>
        <v>11612</v>
      </c>
      <c r="BS493" s="4">
        <f>IF(Table43[[#This Row],[SATUAN Fix Win]]&lt;&gt;"",1)</f>
        <v>1</v>
      </c>
      <c r="BU493" s="4">
        <f>Table43[[#This Row],[ISI/CTN]]</f>
        <v>72</v>
      </c>
    </row>
    <row r="494" spans="1:75">
      <c r="A494" s="4" t="str">
        <f>CONCATENATE(Table43[[#This Row],[Kode BARANG Win2]],Table43[[#This Row],[No. Urut
Item Sama]])</f>
        <v>G1262008004210</v>
      </c>
      <c r="B494" s="7"/>
      <c r="C494" s="31">
        <v>30500080042002</v>
      </c>
      <c r="D494" s="59">
        <v>40058076</v>
      </c>
      <c r="E494" s="60" t="s">
        <v>2116</v>
      </c>
      <c r="F494" s="59">
        <v>30500060042000</v>
      </c>
      <c r="G494" s="59">
        <v>0</v>
      </c>
      <c r="H494" s="60" t="s">
        <v>1438</v>
      </c>
      <c r="I494" s="60">
        <v>72</v>
      </c>
      <c r="J494" s="59" t="s">
        <v>1791</v>
      </c>
      <c r="K494" s="60" t="str">
        <f>Table43[[#This Row],[NamaJenisKemasan]]</f>
        <v>PCS</v>
      </c>
      <c r="L494" s="4" t="str">
        <f>TRIM(CONCATENATE(Table43[[#This Row],[Nama            KLP]]," ",Table43[[#This Row],[Nama            Sub KLP]]))</f>
        <v>STELLA ALL IN ONE</v>
      </c>
      <c r="M494" s="4" t="str">
        <f>CONCATENATE(Table43[[#This Row],[kode  2 Digit                (hrf+No)]],Table43[[#This Row],[kode  2 Digit                (Nomor)]],Table43[[#This Row],[kode  1 Digit                (Nomor)]])</f>
        <v>G1262</v>
      </c>
      <c r="N494" s="4" t="str">
        <f>IF(AI494="",CONCATENATE(S494,U494,W494,Y494,AA494,AC494,AE494,AG494,Table43[[#This Row],[Tanda Kode Revisi]]),CONCATENATE(S494,U494,W494,Y494,AA494,AC494,AE494,AI494))</f>
        <v>G1262008004210</v>
      </c>
      <c r="O494" s="11">
        <f t="shared" si="12"/>
        <v>14</v>
      </c>
      <c r="P494" s="14" t="str">
        <f>IF(AH494&lt;&gt;"",TRIM(UPPER(CONCATENATE(R494," ",T494," ",V494," ",X494," ",Z494," ",AB494," ","X"," ",Table43[[#This Row],[ISI/CTN]]," ",AH494," ",AD494," ",AF494," ",AJ494))),TRIM(UPPER(CONCATENATE(R494," ",T494," ",V494," ",X494," ",Z494," ",AB494," ","X"," ",Table43[[#This Row],[ISI/CTN]]," ",AD494," ",AF494," ",AJ494))))</f>
        <v>STELLA ALL IN ONE ORANGE 42GR X 72 PCS</v>
      </c>
      <c r="Q494" s="11">
        <f t="shared" si="13"/>
        <v>38</v>
      </c>
      <c r="S494" s="7" t="s">
        <v>34</v>
      </c>
      <c r="T494" s="4" t="s">
        <v>2421</v>
      </c>
      <c r="U494" s="47" t="s">
        <v>2584</v>
      </c>
      <c r="V494" s="48" t="s">
        <v>2418</v>
      </c>
      <c r="W494" s="7">
        <v>2</v>
      </c>
      <c r="X494" s="48"/>
      <c r="Y494" s="47" t="s">
        <v>1116</v>
      </c>
      <c r="Z494" s="4" t="s">
        <v>2251</v>
      </c>
      <c r="AA494" s="49" t="s">
        <v>2545</v>
      </c>
      <c r="AB494" s="4" t="s">
        <v>2373</v>
      </c>
      <c r="AC494" s="49" t="s">
        <v>2655</v>
      </c>
      <c r="AD494" s="4" t="s">
        <v>185</v>
      </c>
      <c r="AE494" s="7">
        <v>1</v>
      </c>
      <c r="AG494" s="7">
        <v>0</v>
      </c>
      <c r="AK494" s="70">
        <f>Table43[[#This Row],[Column4]]</f>
        <v>30500060042000</v>
      </c>
      <c r="AN494" s="7">
        <f>Table43[[#This Row],[ISI/CTN]]</f>
        <v>72</v>
      </c>
      <c r="AO494" s="61">
        <f>Table43[[#This Row],[Harga Jual Pcs GT
(-PPN)]]-(Table43[[#This Row],[Harga Jual Pcs GT
(-PPN)]]*6.5%)</f>
        <v>8321.5</v>
      </c>
      <c r="AP494" s="61">
        <f>Table43[[#This Row],[Harga Beli Pcs
(-PPN)]]*Table43[[#This Row],[ISI/CTN]]</f>
        <v>599148</v>
      </c>
      <c r="AQ494" s="61">
        <f>Table43[[#This Row],[Harga Beli Pcs
(-PPN)]]*1.11</f>
        <v>9236.8650000000016</v>
      </c>
      <c r="AR494" s="61">
        <f>Table43[[#This Row],[Harga Beli Krt
(- PPN)]]*1.11</f>
        <v>665054.28</v>
      </c>
      <c r="AS494" s="61">
        <v>8900</v>
      </c>
      <c r="AT494" s="61">
        <f>Table43[[#This Row],[Harga Jual Pcs GT
(-PPN)]]*Table43[[#This Row],[ISI/CTN]]</f>
        <v>640800</v>
      </c>
      <c r="AU494" s="61">
        <f>Table43[[#This Row],[Harga Jual Pcs GT
(-PPN)]]*1.11</f>
        <v>9879</v>
      </c>
      <c r="AV494" s="61">
        <f>Table43[[#This Row],[Harga Jual Krt GT
(- PPN)]]*1.11</f>
        <v>711288.00000000012</v>
      </c>
      <c r="AW494" s="61">
        <f>IFERROR(VLOOKUP(Table43[[#This Row],[Kode Pcpl]],'[1]FEB 2026'!$A$3:$X$312,24,0),0)</f>
        <v>0</v>
      </c>
      <c r="AX494" s="61">
        <f>Table43[[#This Row],[Harga Jual Pcs MT
(-PPN)]]*Table43[[#This Row],[ISI/CTN]]</f>
        <v>0</v>
      </c>
      <c r="AY494" s="61">
        <f>Table43[[#This Row],[Harga Jual Pcs MT
(-PPN)]]*1.11</f>
        <v>0</v>
      </c>
      <c r="AZ494" s="61">
        <f>Table43[[#This Row],[Harga Jual Pcs MT
(+PPN)]]*Table43[[#This Row],[ISI/CTN]]</f>
        <v>0</v>
      </c>
      <c r="BA494" s="62">
        <f>(Table43[[#This Row],[Harga Jual Pcs GT
(-PPN)]]-Table43[[#This Row],[Harga Beli Pcs
(-PPN)]])/Table43[[#This Row],[Harga Jual Pcs GT
(-PPN)]]</f>
        <v>6.5000000000000002E-2</v>
      </c>
      <c r="BB494" s="63">
        <f>Table43[[#This Row],[Harga Jual Pcs MT
(-PPN)]]-Table43[[#This Row],[Harga Beli Pcs
(-PPN)]]</f>
        <v>-8321.5</v>
      </c>
      <c r="BC494" s="64" t="e">
        <f>Table43[[#This Row],[Column1]]/Table43[[#This Row],[Harga Jual Pcs MT
(-PPN)]]</f>
        <v>#DIV/0!</v>
      </c>
      <c r="BD494" s="52"/>
      <c r="BE494" s="7"/>
      <c r="BF494" s="7" t="str">
        <f ca="1">IF(TODAY()-Table43[[#This Row],[Efektif
Pembuatan]]&gt;60,"Lama","Baru")</f>
        <v>Lama</v>
      </c>
      <c r="BG494" s="7" t="str">
        <f ca="1">IF(TODAY()-Table43[[#This Row],[Efektif Naik Harga]]&lt;30,"Naik","Sama")</f>
        <v>Sama</v>
      </c>
      <c r="BH494" s="7"/>
      <c r="BI494" s="7" t="str">
        <f>IF(Table43[[#This Row],[Kode BARANG Win2]]&lt;&gt;"","IDR","")</f>
        <v>IDR</v>
      </c>
      <c r="BJ494" s="7" t="str">
        <f>CONCATENATE(Table43[[#This Row],[kode  1 Digit
(Nomor)]],Table43[[#This Row],[kode  4 Digit                (Nomor)]])</f>
        <v>0042</v>
      </c>
      <c r="BK494" s="7" t="str">
        <f>Table43[[#This Row],[Nama            Gramasi atau Jumlah Pack per CTN]]</f>
        <v>42GR</v>
      </c>
      <c r="BL494" s="7"/>
      <c r="BM494" s="7"/>
      <c r="BN494" s="4" t="str">
        <f>IF(Table43[[#This Row],[SATUAN Fix Win]]&lt;&gt;"","KRT")</f>
        <v>KRT</v>
      </c>
      <c r="BO494" s="4" t="str">
        <f>IF(Table43[[#This Row],[SATUAN Fix Win]]&lt;&gt;"","GD01")</f>
        <v>GD01</v>
      </c>
      <c r="BP494" s="4">
        <f>IF(Table43[[#This Row],[SATUAN Fix Win]]&lt;&gt;"",11611)</f>
        <v>11611</v>
      </c>
      <c r="BQ494" s="4">
        <f>IF(Table43[[#This Row],[SATUAN Fix Win]]&lt;&gt;"",11612)</f>
        <v>11612</v>
      </c>
      <c r="BS494" s="4">
        <f>IF(Table43[[#This Row],[SATUAN Fix Win]]&lt;&gt;"",1)</f>
        <v>1</v>
      </c>
      <c r="BU494" s="4">
        <f>Table43[[#This Row],[ISI/CTN]]</f>
        <v>72</v>
      </c>
    </row>
    <row r="495" spans="1:75">
      <c r="A495" s="4" t="str">
        <f>CONCATENATE(Table43[[#This Row],[Kode BARANG Win2]],Table43[[#This Row],[No. Urut
Item Sama]])</f>
        <v>G1262008004210</v>
      </c>
      <c r="B495" s="7"/>
      <c r="C495" s="31">
        <v>30550010007001</v>
      </c>
      <c r="D495" s="31">
        <v>40043507</v>
      </c>
      <c r="E495" s="27" t="s">
        <v>2115</v>
      </c>
      <c r="F495" s="51">
        <v>30500060042000</v>
      </c>
      <c r="G495" s="51">
        <v>0</v>
      </c>
      <c r="H495" s="27" t="s">
        <v>1437</v>
      </c>
      <c r="I495" s="27">
        <v>72</v>
      </c>
      <c r="J495" s="59" t="s">
        <v>1791</v>
      </c>
      <c r="K495" s="27" t="str">
        <f>Table43[[#This Row],[NamaJenisKemasan]]</f>
        <v>PCS</v>
      </c>
      <c r="L495" s="4" t="str">
        <f>TRIM(CONCATENATE(Table43[[#This Row],[Nama            KLP]]," ",Table43[[#This Row],[Nama            Sub KLP]]))</f>
        <v>STELLA ALL IN ONE</v>
      </c>
      <c r="M495" s="4" t="str">
        <f>CONCATENATE(Table43[[#This Row],[kode  2 Digit                (hrf+No)]],Table43[[#This Row],[kode  2 Digit                (Nomor)]],Table43[[#This Row],[kode  1 Digit                (Nomor)]])</f>
        <v>G1262</v>
      </c>
      <c r="N495" s="4" t="str">
        <f>IF(AI495="",CONCATENATE(S495,U495,W495,Y495,AA495,AC495,AE495,AG495,Table43[[#This Row],[Tanda Kode Revisi]]),CONCATENATE(S495,U495,W495,Y495,AA495,AC495,AE495,AI495))</f>
        <v>G1262008004210</v>
      </c>
      <c r="O495" s="11">
        <f t="shared" si="12"/>
        <v>14</v>
      </c>
      <c r="P495" s="14" t="str">
        <f>IF(AH495&lt;&gt;"",TRIM(UPPER(CONCATENATE(R495," ",T495," ",V495," ",X495," ",Z495," ",AB495," ","X"," ",Table43[[#This Row],[ISI/CTN]]," ",AH495," ",AD495," ",AF495," ",AJ495))),TRIM(UPPER(CONCATENATE(R495," ",T495," ",V495," ",X495," ",Z495," ",AB495," ","X"," ",Table43[[#This Row],[ISI/CTN]]," ",AD495," ",AF495," ",AJ495))))</f>
        <v>STELLA ALL IN ONE ORANGE 42GR X 72 PCS</v>
      </c>
      <c r="Q495" s="11">
        <f t="shared" si="13"/>
        <v>38</v>
      </c>
      <c r="S495" s="7" t="s">
        <v>34</v>
      </c>
      <c r="T495" s="4" t="s">
        <v>2421</v>
      </c>
      <c r="U495" s="47" t="s">
        <v>2584</v>
      </c>
      <c r="V495" s="48" t="s">
        <v>2418</v>
      </c>
      <c r="W495" s="7">
        <v>2</v>
      </c>
      <c r="X495" s="48"/>
      <c r="Y495" s="47" t="s">
        <v>1116</v>
      </c>
      <c r="Z495" s="4" t="s">
        <v>2251</v>
      </c>
      <c r="AA495" s="49" t="s">
        <v>2545</v>
      </c>
      <c r="AB495" s="4" t="s">
        <v>2373</v>
      </c>
      <c r="AC495" s="49" t="s">
        <v>2655</v>
      </c>
      <c r="AD495" s="4" t="s">
        <v>185</v>
      </c>
      <c r="AE495" s="7">
        <v>1</v>
      </c>
      <c r="AG495" s="7">
        <v>0</v>
      </c>
      <c r="AK495" s="70">
        <f>Table43[[#This Row],[Column4]]</f>
        <v>30500060042000</v>
      </c>
      <c r="AN495" s="7">
        <f>Table43[[#This Row],[ISI/CTN]]</f>
        <v>72</v>
      </c>
      <c r="AO495" s="38">
        <f>Table43[[#This Row],[Harga Jual Pcs GT
(-PPN)]]-(Table43[[#This Row],[Harga Jual Pcs GT
(-PPN)]]*6.5%)</f>
        <v>8321.5</v>
      </c>
      <c r="AP495" s="38">
        <f>Table43[[#This Row],[Harga Beli Pcs
(-PPN)]]*Table43[[#This Row],[ISI/CTN]]</f>
        <v>599148</v>
      </c>
      <c r="AQ495" s="38">
        <f>Table43[[#This Row],[Harga Beli Pcs
(-PPN)]]*1.11</f>
        <v>9236.8650000000016</v>
      </c>
      <c r="AR495" s="38">
        <f>Table43[[#This Row],[Harga Beli Krt
(- PPN)]]*1.11</f>
        <v>665054.28</v>
      </c>
      <c r="AS495" s="38">
        <v>8900</v>
      </c>
      <c r="AT495" s="38">
        <f>Table43[[#This Row],[Harga Jual Pcs GT
(-PPN)]]*Table43[[#This Row],[ISI/CTN]]</f>
        <v>640800</v>
      </c>
      <c r="AU495" s="38">
        <f>Table43[[#This Row],[Harga Jual Pcs GT
(-PPN)]]*1.11</f>
        <v>9879</v>
      </c>
      <c r="AV495" s="38">
        <f>Table43[[#This Row],[Harga Jual Krt GT
(- PPN)]]*1.11</f>
        <v>711288.00000000012</v>
      </c>
      <c r="AW495" s="38">
        <f>IFERROR(VLOOKUP(Table43[[#This Row],[Kode Pcpl]],'[1]FEB 2026'!$A$3:$X$312,24,0),0)</f>
        <v>0</v>
      </c>
      <c r="AX495" s="38">
        <f>Table43[[#This Row],[Harga Jual Pcs MT
(-PPN)]]*Table43[[#This Row],[ISI/CTN]]</f>
        <v>0</v>
      </c>
      <c r="AY495" s="38">
        <f>Table43[[#This Row],[Harga Jual Pcs MT
(-PPN)]]*1.11</f>
        <v>0</v>
      </c>
      <c r="AZ495" s="38">
        <f>Table43[[#This Row],[Harga Jual Pcs MT
(+PPN)]]*Table43[[#This Row],[ISI/CTN]]</f>
        <v>0</v>
      </c>
      <c r="BA495" s="46">
        <f>(Table43[[#This Row],[Harga Jual Pcs GT
(-PPN)]]-Table43[[#This Row],[Harga Beli Pcs
(-PPN)]])/Table43[[#This Row],[Harga Jual Pcs GT
(-PPN)]]</f>
        <v>6.5000000000000002E-2</v>
      </c>
      <c r="BB495" s="53">
        <f>Table43[[#This Row],[Harga Jual Pcs MT
(-PPN)]]-Table43[[#This Row],[Harga Beli Pcs
(-PPN)]]</f>
        <v>-8321.5</v>
      </c>
      <c r="BC495" s="54" t="e">
        <f>Table43[[#This Row],[Column1]]/Table43[[#This Row],[Harga Jual Pcs MT
(-PPN)]]</f>
        <v>#DIV/0!</v>
      </c>
      <c r="BD495" s="52"/>
      <c r="BE495" s="7"/>
      <c r="BF495" s="7" t="str">
        <f ca="1">IF(TODAY()-Table43[[#This Row],[Efektif
Pembuatan]]&gt;60,"Lama","Baru")</f>
        <v>Lama</v>
      </c>
      <c r="BG495" s="7" t="str">
        <f ca="1">IF(TODAY()-Table43[[#This Row],[Efektif Naik Harga]]&lt;30,"Naik","Sama")</f>
        <v>Sama</v>
      </c>
      <c r="BH495" s="7"/>
      <c r="BI495" s="7" t="str">
        <f>IF(Table43[[#This Row],[Kode BARANG Win2]]&lt;&gt;"","IDR","")</f>
        <v>IDR</v>
      </c>
      <c r="BJ495" s="7" t="str">
        <f>CONCATENATE(Table43[[#This Row],[kode  1 Digit
(Nomor)]],Table43[[#This Row],[kode  4 Digit                (Nomor)]])</f>
        <v>0042</v>
      </c>
      <c r="BK495" s="7" t="str">
        <f>Table43[[#This Row],[Nama            Gramasi atau Jumlah Pack per CTN]]</f>
        <v>42GR</v>
      </c>
      <c r="BL495" s="7"/>
      <c r="BM495" s="7"/>
      <c r="BN495" s="4" t="str">
        <f>IF(Table43[[#This Row],[SATUAN Fix Win]]&lt;&gt;"","KRT")</f>
        <v>KRT</v>
      </c>
      <c r="BO495" s="4" t="str">
        <f>IF(Table43[[#This Row],[SATUAN Fix Win]]&lt;&gt;"","GD01")</f>
        <v>GD01</v>
      </c>
      <c r="BP495" s="4">
        <f>IF(Table43[[#This Row],[SATUAN Fix Win]]&lt;&gt;"",11611)</f>
        <v>11611</v>
      </c>
      <c r="BQ495" s="4">
        <f>IF(Table43[[#This Row],[SATUAN Fix Win]]&lt;&gt;"",11612)</f>
        <v>11612</v>
      </c>
      <c r="BS495" s="4">
        <f>IF(Table43[[#This Row],[SATUAN Fix Win]]&lt;&gt;"",1)</f>
        <v>1</v>
      </c>
      <c r="BU495" s="4">
        <f>Table43[[#This Row],[ISI/CTN]]</f>
        <v>72</v>
      </c>
    </row>
    <row r="496" spans="1:75">
      <c r="A496" s="4" t="str">
        <f>CONCATENATE(Table43[[#This Row],[Kode BARANG Win2]],Table43[[#This Row],[No. Urut
Item Sama]])</f>
        <v>G1262008004210</v>
      </c>
      <c r="B496" s="7"/>
      <c r="C496" s="31"/>
      <c r="D496" s="51">
        <v>40033249</v>
      </c>
      <c r="E496" s="27"/>
      <c r="F496" s="51"/>
      <c r="G496" s="51"/>
      <c r="H496" s="27"/>
      <c r="I496" s="27">
        <v>72</v>
      </c>
      <c r="J496" s="51" t="s">
        <v>1791</v>
      </c>
      <c r="K496" s="27" t="str">
        <f>Table43[[#This Row],[NamaJenisKemasan]]</f>
        <v>PCS</v>
      </c>
      <c r="L496" s="4" t="str">
        <f>TRIM(CONCATENATE(Table43[[#This Row],[Nama            KLP]]," ",Table43[[#This Row],[Nama            Sub KLP]]))</f>
        <v>STELLA ALL IN ONE</v>
      </c>
      <c r="M496" s="4" t="str">
        <f>CONCATENATE(Table43[[#This Row],[kode  2 Digit                (hrf+No)]],Table43[[#This Row],[kode  2 Digit                (Nomor)]],Table43[[#This Row],[kode  1 Digit                (Nomor)]])</f>
        <v>G1262</v>
      </c>
      <c r="N496" s="4" t="str">
        <f>IF(AI496="",CONCATENATE(S496,U496,W496,Y496,AA496,AC496,AE496,AG496,Table43[[#This Row],[Tanda Kode Revisi]]),CONCATENATE(S496,U496,W496,Y496,AA496,AC496,AE496,AI496))</f>
        <v>G1262008004210</v>
      </c>
      <c r="O496" s="11">
        <f t="shared" si="12"/>
        <v>14</v>
      </c>
      <c r="P496" s="14" t="str">
        <f>IF(AH496&lt;&gt;"",TRIM(UPPER(CONCATENATE(R496," ",T496," ",V496," ",X496," ",Z496," ",AB496," ","X"," ",Table43[[#This Row],[ISI/CTN]]," ",AH496," ",AD496," ",AF496," ",AJ496))),TRIM(UPPER(CONCATENATE(R496," ",T496," ",V496," ",X496," ",Z496," ",AB496," ","X"," ",Table43[[#This Row],[ISI/CTN]]," ",AD496," ",AF496," ",AJ496))))</f>
        <v>STELLA ALL IN ONE ORANGE 42GR X 72 PCS</v>
      </c>
      <c r="Q496" s="11">
        <f t="shared" si="13"/>
        <v>38</v>
      </c>
      <c r="S496" s="7" t="s">
        <v>34</v>
      </c>
      <c r="T496" s="4" t="s">
        <v>2421</v>
      </c>
      <c r="U496" s="47" t="s">
        <v>2584</v>
      </c>
      <c r="V496" s="48" t="s">
        <v>2418</v>
      </c>
      <c r="W496" s="7">
        <v>2</v>
      </c>
      <c r="X496" s="48"/>
      <c r="Y496" s="47" t="s">
        <v>1116</v>
      </c>
      <c r="Z496" s="4" t="s">
        <v>2251</v>
      </c>
      <c r="AA496" s="49" t="s">
        <v>2545</v>
      </c>
      <c r="AB496" s="4" t="s">
        <v>2373</v>
      </c>
      <c r="AC496" s="49" t="s">
        <v>2655</v>
      </c>
      <c r="AD496" s="4" t="s">
        <v>185</v>
      </c>
      <c r="AE496" s="7">
        <v>1</v>
      </c>
      <c r="AG496" s="7">
        <v>0</v>
      </c>
      <c r="AK496" s="70">
        <f>Table43[[#This Row],[Column4]]</f>
        <v>0</v>
      </c>
      <c r="AN496" s="7">
        <f>Table43[[#This Row],[ISI/CTN]]</f>
        <v>72</v>
      </c>
      <c r="AO496" s="38">
        <f>Table43[[#This Row],[Harga Jual Pcs GT
(-PPN)]]-(Table43[[#This Row],[Harga Jual Pcs GT
(-PPN)]]*6.5%)</f>
        <v>8321.5</v>
      </c>
      <c r="AP496" s="38">
        <f>Table43[[#This Row],[Harga Beli Pcs
(-PPN)]]*Table43[[#This Row],[ISI/CTN]]</f>
        <v>599148</v>
      </c>
      <c r="AQ496" s="38">
        <f>Table43[[#This Row],[Harga Beli Pcs
(-PPN)]]*1.11</f>
        <v>9236.8650000000016</v>
      </c>
      <c r="AR496" s="38">
        <f>Table43[[#This Row],[Harga Beli Krt
(- PPN)]]*1.11</f>
        <v>665054.28</v>
      </c>
      <c r="AS496" s="38">
        <v>8900</v>
      </c>
      <c r="AT496" s="38">
        <f>Table43[[#This Row],[Harga Jual Pcs GT
(-PPN)]]*Table43[[#This Row],[ISI/CTN]]</f>
        <v>640800</v>
      </c>
      <c r="AU496" s="38">
        <f>Table43[[#This Row],[Harga Jual Pcs GT
(-PPN)]]*1.11</f>
        <v>9879</v>
      </c>
      <c r="AV496" s="38">
        <f>Table43[[#This Row],[Harga Jual Krt GT
(- PPN)]]*1.11</f>
        <v>711288.00000000012</v>
      </c>
      <c r="AW496" s="38">
        <f>IFERROR(VLOOKUP(Table43[[#This Row],[Kode Pcpl]],'[1]FEB 2026'!$A$3:$X$312,24,0),0)</f>
        <v>0</v>
      </c>
      <c r="AX496" s="38">
        <f>Table43[[#This Row],[Harga Jual Pcs MT
(-PPN)]]*Table43[[#This Row],[ISI/CTN]]</f>
        <v>0</v>
      </c>
      <c r="AY496" s="38">
        <f>Table43[[#This Row],[Harga Jual Pcs MT
(-PPN)]]*1.11</f>
        <v>0</v>
      </c>
      <c r="AZ496" s="38">
        <f>Table43[[#This Row],[Harga Jual Pcs MT
(+PPN)]]*Table43[[#This Row],[ISI/CTN]]</f>
        <v>0</v>
      </c>
      <c r="BA496" s="46">
        <f>(Table43[[#This Row],[Harga Jual Pcs GT
(-PPN)]]-Table43[[#This Row],[Harga Beli Pcs
(-PPN)]])/Table43[[#This Row],[Harga Jual Pcs GT
(-PPN)]]</f>
        <v>6.5000000000000002E-2</v>
      </c>
      <c r="BB496" s="53">
        <f>Table43[[#This Row],[Harga Jual Pcs MT
(-PPN)]]-Table43[[#This Row],[Harga Beli Pcs
(-PPN)]]</f>
        <v>-8321.5</v>
      </c>
      <c r="BC496" s="54" t="e">
        <f>Table43[[#This Row],[Column1]]/Table43[[#This Row],[Harga Jual Pcs MT
(-PPN)]]</f>
        <v>#DIV/0!</v>
      </c>
      <c r="BD496" s="52"/>
      <c r="BE496" s="7"/>
      <c r="BF496" s="7" t="str">
        <f ca="1">IF(TODAY()-Table43[[#This Row],[Efektif
Pembuatan]]&gt;60,"Lama","Baru")</f>
        <v>Lama</v>
      </c>
      <c r="BG496" s="7" t="str">
        <f ca="1">IF(TODAY()-Table43[[#This Row],[Efektif Naik Harga]]&lt;30,"Naik","Sama")</f>
        <v>Sama</v>
      </c>
      <c r="BH496" s="7"/>
      <c r="BI496" s="7" t="str">
        <f>IF(Table43[[#This Row],[Kode BARANG Win2]]&lt;&gt;"","IDR","")</f>
        <v>IDR</v>
      </c>
      <c r="BJ496" s="7" t="str">
        <f>CONCATENATE(Table43[[#This Row],[kode  1 Digit
(Nomor)]],Table43[[#This Row],[kode  4 Digit                (Nomor)]])</f>
        <v>0042</v>
      </c>
      <c r="BK496" s="7" t="str">
        <f>Table43[[#This Row],[Nama            Gramasi atau Jumlah Pack per CTN]]</f>
        <v>42GR</v>
      </c>
      <c r="BL496" s="7"/>
      <c r="BM496" s="7"/>
      <c r="BN496" s="4" t="str">
        <f>IF(Table43[[#This Row],[SATUAN Fix Win]]&lt;&gt;"","KRT")</f>
        <v>KRT</v>
      </c>
      <c r="BO496" s="4" t="str">
        <f>IF(Table43[[#This Row],[SATUAN Fix Win]]&lt;&gt;"","GD01")</f>
        <v>GD01</v>
      </c>
      <c r="BP496" s="4">
        <f>IF(Table43[[#This Row],[SATUAN Fix Win]]&lt;&gt;"",11611)</f>
        <v>11611</v>
      </c>
      <c r="BQ496" s="4">
        <f>IF(Table43[[#This Row],[SATUAN Fix Win]]&lt;&gt;"",11612)</f>
        <v>11612</v>
      </c>
      <c r="BS496" s="4">
        <f>IF(Table43[[#This Row],[SATUAN Fix Win]]&lt;&gt;"",1)</f>
        <v>1</v>
      </c>
      <c r="BU496" s="4">
        <f>Table43[[#This Row],[ISI/CTN]]</f>
        <v>72</v>
      </c>
    </row>
    <row r="497" spans="1:75">
      <c r="A497" s="4" t="str">
        <f>CONCATENATE(Table43[[#This Row],[Kode BARANG Win2]],Table43[[#This Row],[No. Urut
Item Sama]])</f>
        <v>G1262008004210</v>
      </c>
      <c r="B497" s="7"/>
      <c r="C497" s="31"/>
      <c r="D497" s="59">
        <v>40061766</v>
      </c>
      <c r="E497" s="60" t="s">
        <v>3400</v>
      </c>
      <c r="F497" s="59"/>
      <c r="G497" s="59">
        <v>0</v>
      </c>
      <c r="H497" s="60" t="s">
        <v>3400</v>
      </c>
      <c r="I497" s="60">
        <v>72</v>
      </c>
      <c r="J497" s="59"/>
      <c r="K497" s="60" t="str">
        <f>Table43[[#This Row],[NamaJenisKemasan]]</f>
        <v>PCS</v>
      </c>
      <c r="L497" s="4" t="str">
        <f>TRIM(CONCATENATE(Table43[[#This Row],[Nama            KLP]]," ",Table43[[#This Row],[Nama            Sub KLP]]))</f>
        <v>STELLA ALL IN ONE</v>
      </c>
      <c r="M497" s="4" t="str">
        <f>CONCATENATE(Table43[[#This Row],[kode  2 Digit                (hrf+No)]],Table43[[#This Row],[kode  2 Digit                (Nomor)]],Table43[[#This Row],[kode  1 Digit                (Nomor)]])</f>
        <v>G1262</v>
      </c>
      <c r="N497" s="4" t="str">
        <f>IF(AI497="",CONCATENATE(S497,U497,W497,Y497,AA497,AC497,AE497,AG497,Table43[[#This Row],[Tanda Kode Revisi]]),CONCATENATE(S497,U497,W497,Y497,AA497,AC497,AE497,AI497))</f>
        <v>G1262008004210</v>
      </c>
      <c r="O497" s="11">
        <f t="shared" si="12"/>
        <v>14</v>
      </c>
      <c r="P497" s="14" t="str">
        <f>IF(AH497&lt;&gt;"",TRIM(UPPER(CONCATENATE(R497," ",T497," ",V497," ",X497," ",Z497," ",AB497," ","X"," ",Table43[[#This Row],[ISI/CTN]]," ",AH497," ",AD497," ",AF497," ",AJ497))),TRIM(UPPER(CONCATENATE(R497," ",T497," ",V497," ",X497," ",Z497," ",AB497," ","X"," ",Table43[[#This Row],[ISI/CTN]]," ",AD497," ",AF497," ",AJ497))))</f>
        <v>STELLA ALL IN ONE ORANGE 42GR+10GR X 72 PCS</v>
      </c>
      <c r="Q497" s="11">
        <f t="shared" si="13"/>
        <v>43</v>
      </c>
      <c r="S497" s="7" t="s">
        <v>34</v>
      </c>
      <c r="T497" s="4" t="s">
        <v>2421</v>
      </c>
      <c r="U497" s="47" t="s">
        <v>2584</v>
      </c>
      <c r="V497" s="48" t="s">
        <v>2418</v>
      </c>
      <c r="W497" s="7">
        <v>2</v>
      </c>
      <c r="X497" s="48"/>
      <c r="Y497" s="47" t="s">
        <v>1116</v>
      </c>
      <c r="Z497" s="4" t="s">
        <v>2251</v>
      </c>
      <c r="AA497" s="49" t="s">
        <v>2545</v>
      </c>
      <c r="AB497" s="4" t="s">
        <v>3401</v>
      </c>
      <c r="AC497" s="49" t="s">
        <v>2655</v>
      </c>
      <c r="AD497" s="4" t="s">
        <v>185</v>
      </c>
      <c r="AE497" s="7">
        <v>1</v>
      </c>
      <c r="AF497" s="65"/>
      <c r="AG497" s="7">
        <v>0</v>
      </c>
      <c r="AK497" s="70">
        <f>Table43[[#This Row],[Column4]]</f>
        <v>0</v>
      </c>
      <c r="AN497" s="7">
        <f>Table43[[#This Row],[ISI/CTN]]</f>
        <v>72</v>
      </c>
      <c r="AO497" s="38">
        <f>Table43[[#This Row],[Harga Jual Pcs GT
(-PPN)]]-(Table43[[#This Row],[Harga Jual Pcs GT
(-PPN)]]*6.5%)</f>
        <v>8321.5</v>
      </c>
      <c r="AP497" s="38">
        <f>Table43[[#This Row],[Harga Beli Pcs
(-PPN)]]*Table43[[#This Row],[ISI/CTN]]</f>
        <v>599148</v>
      </c>
      <c r="AQ497" s="38">
        <f>Table43[[#This Row],[Harga Beli Pcs
(-PPN)]]*1.11</f>
        <v>9236.8650000000016</v>
      </c>
      <c r="AR497" s="38">
        <f>Table43[[#This Row],[Harga Beli Krt
(- PPN)]]*1.11</f>
        <v>665054.28</v>
      </c>
      <c r="AS497" s="38">
        <v>8900</v>
      </c>
      <c r="AT497" s="38">
        <f>Table43[[#This Row],[Harga Jual Pcs GT
(-PPN)]]*Table43[[#This Row],[ISI/CTN]]</f>
        <v>640800</v>
      </c>
      <c r="AU497" s="38">
        <f>Table43[[#This Row],[Harga Jual Pcs GT
(-PPN)]]*1.11</f>
        <v>9879</v>
      </c>
      <c r="AV497" s="38">
        <f>Table43[[#This Row],[Harga Jual Krt GT
(- PPN)]]*1.11</f>
        <v>711288.00000000012</v>
      </c>
      <c r="AW497" s="38">
        <f>IFERROR(VLOOKUP(Table43[[#This Row],[Kode Pcpl]],'[1]FEB 2026'!$A$3:$X$312,24,0),0)</f>
        <v>0</v>
      </c>
      <c r="AX497" s="38">
        <f>Table43[[#This Row],[Harga Jual Pcs MT
(-PPN)]]*Table43[[#This Row],[ISI/CTN]]</f>
        <v>0</v>
      </c>
      <c r="AY497" s="38">
        <f>Table43[[#This Row],[Harga Jual Pcs MT
(-PPN)]]*1.11</f>
        <v>0</v>
      </c>
      <c r="AZ497" s="38">
        <f>Table43[[#This Row],[Harga Jual Pcs MT
(+PPN)]]*Table43[[#This Row],[ISI/CTN]]</f>
        <v>0</v>
      </c>
      <c r="BA497" s="46">
        <f>(Table43[[#This Row],[Harga Jual Pcs GT
(-PPN)]]-Table43[[#This Row],[Harga Beli Pcs
(-PPN)]])/Table43[[#This Row],[Harga Jual Pcs GT
(-PPN)]]</f>
        <v>6.5000000000000002E-2</v>
      </c>
      <c r="BB497" s="53">
        <f>Table43[[#This Row],[Harga Jual Pcs MT
(-PPN)]]-Table43[[#This Row],[Harga Beli Pcs
(-PPN)]]</f>
        <v>-8321.5</v>
      </c>
      <c r="BC497" s="54" t="e">
        <f>Table43[[#This Row],[Column1]]/Table43[[#This Row],[Harga Jual Pcs MT
(-PPN)]]</f>
        <v>#DIV/0!</v>
      </c>
      <c r="BD497" s="52"/>
      <c r="BE497" s="7"/>
      <c r="BF497" s="7" t="str">
        <f ca="1">IF(TODAY()-Table43[[#This Row],[Efektif
Pembuatan]]&gt;60,"Lama","Baru")</f>
        <v>Lama</v>
      </c>
      <c r="BG497" s="7" t="str">
        <f ca="1">IF(TODAY()-Table43[[#This Row],[Efektif Naik Harga]]&lt;30,"Naik","Sama")</f>
        <v>Sama</v>
      </c>
      <c r="BH497" s="7"/>
      <c r="BI497" s="7" t="str">
        <f>IF(Table43[[#This Row],[Kode BARANG Win2]]&lt;&gt;"","IDR","")</f>
        <v>IDR</v>
      </c>
      <c r="BJ497" s="7" t="str">
        <f>CONCATENATE(Table43[[#This Row],[kode  1 Digit
(Nomor)]],Table43[[#This Row],[kode  4 Digit                (Nomor)]])</f>
        <v>0042</v>
      </c>
      <c r="BK497" s="7" t="str">
        <f>Table43[[#This Row],[Nama            Gramasi atau Jumlah Pack per CTN]]</f>
        <v>42GR+10GR</v>
      </c>
      <c r="BL497" s="7"/>
      <c r="BM497" s="7"/>
      <c r="BN497" s="4" t="str">
        <f>IF(Table43[[#This Row],[SATUAN Fix Win]]&lt;&gt;"","KRT")</f>
        <v>KRT</v>
      </c>
      <c r="BO497" s="4" t="str">
        <f>IF(Table43[[#This Row],[SATUAN Fix Win]]&lt;&gt;"","GD01")</f>
        <v>GD01</v>
      </c>
      <c r="BP497" s="4">
        <f>IF(Table43[[#This Row],[SATUAN Fix Win]]&lt;&gt;"",11611)</f>
        <v>11611</v>
      </c>
      <c r="BQ497" s="4">
        <f>IF(Table43[[#This Row],[SATUAN Fix Win]]&lt;&gt;"",11612)</f>
        <v>11612</v>
      </c>
      <c r="BS497" s="4">
        <f>IF(Table43[[#This Row],[SATUAN Fix Win]]&lt;&gt;"",1)</f>
        <v>1</v>
      </c>
      <c r="BU497" s="4">
        <f>Table43[[#This Row],[ISI/CTN]]</f>
        <v>72</v>
      </c>
    </row>
    <row r="498" spans="1:75">
      <c r="A498" s="4" t="str">
        <f>CONCATENATE(Table43[[#This Row],[Kode BARANG Win2]],Table43[[#This Row],[No. Urut
Item Sama]])</f>
        <v>G1262008004211</v>
      </c>
      <c r="B498" s="7"/>
      <c r="C498" s="31">
        <v>30540050007000</v>
      </c>
      <c r="D498" s="51">
        <v>40049990</v>
      </c>
      <c r="E498" s="27" t="s">
        <v>2118</v>
      </c>
      <c r="F498" s="51">
        <v>30500060042002</v>
      </c>
      <c r="G498" s="51">
        <v>0</v>
      </c>
      <c r="H498" s="27" t="s">
        <v>1441</v>
      </c>
      <c r="I498" s="27">
        <v>72</v>
      </c>
      <c r="J498" s="51" t="s">
        <v>1791</v>
      </c>
      <c r="K498" s="27" t="str">
        <f>Table43[[#This Row],[NamaJenisKemasan]]</f>
        <v>PCS</v>
      </c>
      <c r="L498" s="4" t="str">
        <f>TRIM(CONCATENATE(Table43[[#This Row],[Nama            KLP]]," ",Table43[[#This Row],[Nama            Sub KLP]]))</f>
        <v>STELLA ALL IN ONE</v>
      </c>
      <c r="M498" s="4" t="str">
        <f>CONCATENATE(Table43[[#This Row],[kode  2 Digit                (hrf+No)]],Table43[[#This Row],[kode  2 Digit                (Nomor)]],Table43[[#This Row],[kode  1 Digit                (Nomor)]])</f>
        <v>G1262</v>
      </c>
      <c r="N498" s="4" t="str">
        <f>IF(AI498="",CONCATENATE(S498,U498,W498,Y498,AA498,AC498,AE498,AG498,Table43[[#This Row],[Tanda Kode Revisi]]),CONCATENATE(S498,U498,W498,Y498,AA498,AC498,AE498,AI498))</f>
        <v>G1262008004211</v>
      </c>
      <c r="O498" s="11">
        <f t="shared" si="12"/>
        <v>14</v>
      </c>
      <c r="P498" s="14" t="str">
        <f>IF(AH498&lt;&gt;"",TRIM(UPPER(CONCATENATE(R498," ",T498," ",V498," ",X498," ",Z498," ",AB498," ","X"," ",Table43[[#This Row],[ISI/CTN]]," ",AH498," ",AD498," ",AF498," ",AJ498))),TRIM(UPPER(CONCATENATE(R498," ",T498," ",V498," ",X498," ",Z498," ",AB498," ","X"," ",Table43[[#This Row],[ISI/CTN]]," ",AD498," ",AF498," ",AJ498))))</f>
        <v>STELLA ALL IN ONE ORANGE 42GR X 72 PCS BANDED</v>
      </c>
      <c r="Q498" s="11">
        <f t="shared" si="13"/>
        <v>45</v>
      </c>
      <c r="S498" s="7" t="s">
        <v>34</v>
      </c>
      <c r="T498" s="4" t="s">
        <v>2421</v>
      </c>
      <c r="U498" s="47" t="s">
        <v>2584</v>
      </c>
      <c r="V498" s="48" t="s">
        <v>2418</v>
      </c>
      <c r="W498" s="7">
        <v>2</v>
      </c>
      <c r="X498" s="48"/>
      <c r="Y498" s="47" t="s">
        <v>1116</v>
      </c>
      <c r="Z498" s="4" t="s">
        <v>2251</v>
      </c>
      <c r="AA498" s="49" t="s">
        <v>2545</v>
      </c>
      <c r="AB498" s="4" t="s">
        <v>2373</v>
      </c>
      <c r="AC498" s="49" t="s">
        <v>2655</v>
      </c>
      <c r="AD498" s="4" t="s">
        <v>185</v>
      </c>
      <c r="AE498" s="7">
        <v>1</v>
      </c>
      <c r="AF498" s="4" t="s">
        <v>2269</v>
      </c>
      <c r="AG498" s="7">
        <v>1</v>
      </c>
      <c r="AK498" s="70">
        <f>Table43[[#This Row],[Column4]]</f>
        <v>30500060042002</v>
      </c>
      <c r="AN498" s="7">
        <f>Table43[[#This Row],[ISI/CTN]]</f>
        <v>72</v>
      </c>
      <c r="AO498" s="38">
        <f>Table43[[#This Row],[Harga Jual Pcs GT
(-PPN)]]-(Table43[[#This Row],[Harga Jual Pcs GT
(-PPN)]]*6.5%)</f>
        <v>8321.5</v>
      </c>
      <c r="AP498" s="38">
        <f>Table43[[#This Row],[Harga Beli Pcs
(-PPN)]]*Table43[[#This Row],[ISI/CTN]]</f>
        <v>599148</v>
      </c>
      <c r="AQ498" s="38">
        <f>Table43[[#This Row],[Harga Beli Pcs
(-PPN)]]*1.11</f>
        <v>9236.8650000000016</v>
      </c>
      <c r="AR498" s="38">
        <f>Table43[[#This Row],[Harga Beli Krt
(- PPN)]]*1.11</f>
        <v>665054.28</v>
      </c>
      <c r="AS498" s="38">
        <v>8900</v>
      </c>
      <c r="AT498" s="38">
        <f>Table43[[#This Row],[Harga Jual Pcs GT
(-PPN)]]*Table43[[#This Row],[ISI/CTN]]</f>
        <v>640800</v>
      </c>
      <c r="AU498" s="38">
        <f>Table43[[#This Row],[Harga Jual Pcs GT
(-PPN)]]*1.11</f>
        <v>9879</v>
      </c>
      <c r="AV498" s="38">
        <f>Table43[[#This Row],[Harga Jual Krt GT
(- PPN)]]*1.11</f>
        <v>711288.00000000012</v>
      </c>
      <c r="AW498" s="38">
        <f>IFERROR(VLOOKUP(Table43[[#This Row],[Kode Pcpl]],'[1]FEB 2026'!$A$3:$X$312,24,0),0)</f>
        <v>0</v>
      </c>
      <c r="AX498" s="38">
        <f>Table43[[#This Row],[Harga Jual Pcs MT
(-PPN)]]*Table43[[#This Row],[ISI/CTN]]</f>
        <v>0</v>
      </c>
      <c r="AY498" s="38">
        <f>Table43[[#This Row],[Harga Jual Pcs MT
(-PPN)]]*1.11</f>
        <v>0</v>
      </c>
      <c r="AZ498" s="38">
        <f>Table43[[#This Row],[Harga Jual Pcs MT
(+PPN)]]*Table43[[#This Row],[ISI/CTN]]</f>
        <v>0</v>
      </c>
      <c r="BA498" s="46">
        <f>(Table43[[#This Row],[Harga Jual Pcs GT
(-PPN)]]-Table43[[#This Row],[Harga Beli Pcs
(-PPN)]])/Table43[[#This Row],[Harga Jual Pcs GT
(-PPN)]]</f>
        <v>6.5000000000000002E-2</v>
      </c>
      <c r="BB498" s="53">
        <f>Table43[[#This Row],[Harga Jual Pcs MT
(-PPN)]]-Table43[[#This Row],[Harga Beli Pcs
(-PPN)]]</f>
        <v>-8321.5</v>
      </c>
      <c r="BC498" s="54" t="e">
        <f>Table43[[#This Row],[Column1]]/Table43[[#This Row],[Harga Jual Pcs MT
(-PPN)]]</f>
        <v>#DIV/0!</v>
      </c>
      <c r="BD498" s="52"/>
      <c r="BE498" s="7"/>
      <c r="BF498" s="7" t="str">
        <f ca="1">IF(TODAY()-Table43[[#This Row],[Efektif
Pembuatan]]&gt;60,"Lama","Baru")</f>
        <v>Lama</v>
      </c>
      <c r="BG498" s="7" t="str">
        <f ca="1">IF(TODAY()-Table43[[#This Row],[Efektif Naik Harga]]&lt;30,"Naik","Sama")</f>
        <v>Sama</v>
      </c>
      <c r="BH498" s="7"/>
      <c r="BI498" s="7" t="str">
        <f>IF(Table43[[#This Row],[Kode BARANG Win2]]&lt;&gt;"","IDR","")</f>
        <v>IDR</v>
      </c>
      <c r="BJ498" s="7" t="str">
        <f>CONCATENATE(Table43[[#This Row],[kode  1 Digit
(Nomor)]],Table43[[#This Row],[kode  4 Digit                (Nomor)]])</f>
        <v>0042</v>
      </c>
      <c r="BK498" s="7" t="str">
        <f>Table43[[#This Row],[Nama            Gramasi atau Jumlah Pack per CTN]]</f>
        <v>42GR</v>
      </c>
      <c r="BL498" s="7"/>
      <c r="BM498" s="7"/>
      <c r="BN498" s="4" t="str">
        <f>IF(Table43[[#This Row],[SATUAN Fix Win]]&lt;&gt;"","KRT")</f>
        <v>KRT</v>
      </c>
      <c r="BO498" s="4" t="str">
        <f>IF(Table43[[#This Row],[SATUAN Fix Win]]&lt;&gt;"","GD01")</f>
        <v>GD01</v>
      </c>
      <c r="BP498" s="4">
        <f>IF(Table43[[#This Row],[SATUAN Fix Win]]&lt;&gt;"",11611)</f>
        <v>11611</v>
      </c>
      <c r="BQ498" s="4">
        <f>IF(Table43[[#This Row],[SATUAN Fix Win]]&lt;&gt;"",11612)</f>
        <v>11612</v>
      </c>
      <c r="BS498" s="4">
        <f>IF(Table43[[#This Row],[SATUAN Fix Win]]&lt;&gt;"",1)</f>
        <v>1</v>
      </c>
      <c r="BU498" s="4">
        <f>Table43[[#This Row],[ISI/CTN]]</f>
        <v>72</v>
      </c>
    </row>
    <row r="499" spans="1:75">
      <c r="A499" s="4" t="str">
        <f>CONCATENATE(Table43[[#This Row],[Kode BARANG Win2]],Table43[[#This Row],[No. Urut
Item Sama]])</f>
        <v>G1262009004210</v>
      </c>
      <c r="B499" s="7"/>
      <c r="C499" s="31">
        <v>30550020007001</v>
      </c>
      <c r="D499" s="51">
        <v>40033253</v>
      </c>
      <c r="E499" s="27" t="s">
        <v>2120</v>
      </c>
      <c r="F499" s="51">
        <v>30500070042000</v>
      </c>
      <c r="G499" s="51">
        <v>0</v>
      </c>
      <c r="H499" s="27" t="s">
        <v>1443</v>
      </c>
      <c r="I499" s="27">
        <v>72</v>
      </c>
      <c r="J499" s="51" t="s">
        <v>1793</v>
      </c>
      <c r="K499" s="27" t="str">
        <f>Table43[[#This Row],[NamaJenisKemasan]]</f>
        <v>PCS</v>
      </c>
      <c r="L499" s="4" t="str">
        <f>TRIM(CONCATENATE(Table43[[#This Row],[Nama            KLP]]," ",Table43[[#This Row],[Nama            Sub KLP]]))</f>
        <v>STELLA ALL IN ONE</v>
      </c>
      <c r="M499" s="4" t="str">
        <f>CONCATENATE(Table43[[#This Row],[kode  2 Digit                (hrf+No)]],Table43[[#This Row],[kode  2 Digit                (Nomor)]],Table43[[#This Row],[kode  1 Digit                (Nomor)]])</f>
        <v>G1262</v>
      </c>
      <c r="N499" s="4" t="str">
        <f>IF(AI499="",CONCATENATE(S499,U499,W499,Y499,AA499,AC499,AE499,AG499,Table43[[#This Row],[Tanda Kode Revisi]]),CONCATENATE(S499,U499,W499,Y499,AA499,AC499,AE499,AI499))</f>
        <v>G1262009004210</v>
      </c>
      <c r="O499" s="11">
        <f t="shared" si="12"/>
        <v>14</v>
      </c>
      <c r="P499" s="14" t="str">
        <f>IF(AH499&lt;&gt;"",TRIM(UPPER(CONCATENATE(R499," ",T499," ",V499," ",X499," ",Z499," ",AB499," ","X"," ",Table43[[#This Row],[ISI/CTN]]," ",AH499," ",AD499," ",AF499," ",AJ499))),TRIM(UPPER(CONCATENATE(R499," ",T499," ",V499," ",X499," ",Z499," ",AB499," ","X"," ",Table43[[#This Row],[ISI/CTN]]," ",AD499," ",AF499," ",AJ499))))</f>
        <v>STELLA ALL IN ONE SENSATION 42GR X 72 PCS</v>
      </c>
      <c r="Q499" s="11">
        <f t="shared" si="13"/>
        <v>41</v>
      </c>
      <c r="S499" s="7" t="s">
        <v>34</v>
      </c>
      <c r="T499" s="4" t="s">
        <v>2421</v>
      </c>
      <c r="U499" s="47" t="s">
        <v>2584</v>
      </c>
      <c r="V499" s="48" t="s">
        <v>2418</v>
      </c>
      <c r="W499" s="7">
        <v>2</v>
      </c>
      <c r="X499" s="48"/>
      <c r="Y499" s="47" t="s">
        <v>1116</v>
      </c>
      <c r="Z499" s="4" t="s">
        <v>2429</v>
      </c>
      <c r="AA499" s="49" t="s">
        <v>2546</v>
      </c>
      <c r="AB499" s="4" t="s">
        <v>2373</v>
      </c>
      <c r="AC499" s="49" t="s">
        <v>2655</v>
      </c>
      <c r="AD499" s="4" t="s">
        <v>185</v>
      </c>
      <c r="AE499" s="7">
        <v>1</v>
      </c>
      <c r="AG499" s="7">
        <v>0</v>
      </c>
      <c r="AK499" s="70">
        <f>Table43[[#This Row],[Column4]]</f>
        <v>30500070042000</v>
      </c>
      <c r="AN499" s="7">
        <f>Table43[[#This Row],[ISI/CTN]]</f>
        <v>72</v>
      </c>
      <c r="AO499" s="38">
        <f>Table43[[#This Row],[Harga Jual Pcs GT
(-PPN)]]-(Table43[[#This Row],[Harga Jual Pcs GT
(-PPN)]]*6.5%)</f>
        <v>8321.5</v>
      </c>
      <c r="AP499" s="38">
        <f>Table43[[#This Row],[Harga Beli Pcs
(-PPN)]]*Table43[[#This Row],[ISI/CTN]]</f>
        <v>599148</v>
      </c>
      <c r="AQ499" s="38">
        <f>Table43[[#This Row],[Harga Beli Pcs
(-PPN)]]*1.11</f>
        <v>9236.8650000000016</v>
      </c>
      <c r="AR499" s="38">
        <f>Table43[[#This Row],[Harga Beli Krt
(- PPN)]]*1.11</f>
        <v>665054.28</v>
      </c>
      <c r="AS499" s="38">
        <v>8900</v>
      </c>
      <c r="AT499" s="38">
        <f>Table43[[#This Row],[Harga Jual Pcs GT
(-PPN)]]*Table43[[#This Row],[ISI/CTN]]</f>
        <v>640800</v>
      </c>
      <c r="AU499" s="38">
        <f>Table43[[#This Row],[Harga Jual Pcs GT
(-PPN)]]*1.11</f>
        <v>9879</v>
      </c>
      <c r="AV499" s="38">
        <f>Table43[[#This Row],[Harga Jual Krt GT
(- PPN)]]*1.11</f>
        <v>711288.00000000012</v>
      </c>
      <c r="AW499" s="38">
        <f>IFERROR(VLOOKUP(Table43[[#This Row],[Kode Pcpl]],'[1]FEB 2026'!$A$3:$X$312,24,0),0)</f>
        <v>0</v>
      </c>
      <c r="AX499" s="38">
        <f>Table43[[#This Row],[Harga Jual Pcs MT
(-PPN)]]*Table43[[#This Row],[ISI/CTN]]</f>
        <v>0</v>
      </c>
      <c r="AY499" s="38">
        <f>Table43[[#This Row],[Harga Jual Pcs MT
(-PPN)]]*1.11</f>
        <v>0</v>
      </c>
      <c r="AZ499" s="38">
        <f>Table43[[#This Row],[Harga Jual Pcs MT
(+PPN)]]*Table43[[#This Row],[ISI/CTN]]</f>
        <v>0</v>
      </c>
      <c r="BA499" s="46">
        <f>(Table43[[#This Row],[Harga Jual Pcs GT
(-PPN)]]-Table43[[#This Row],[Harga Beli Pcs
(-PPN)]])/Table43[[#This Row],[Harga Jual Pcs GT
(-PPN)]]</f>
        <v>6.5000000000000002E-2</v>
      </c>
      <c r="BB499" s="53">
        <f>Table43[[#This Row],[Harga Jual Pcs MT
(-PPN)]]-Table43[[#This Row],[Harga Beli Pcs
(-PPN)]]</f>
        <v>-8321.5</v>
      </c>
      <c r="BC499" s="54" t="e">
        <f>Table43[[#This Row],[Column1]]/Table43[[#This Row],[Harga Jual Pcs MT
(-PPN)]]</f>
        <v>#DIV/0!</v>
      </c>
      <c r="BD499" s="52"/>
      <c r="BE499" s="7"/>
      <c r="BF499" s="7" t="str">
        <f ca="1">IF(TODAY()-Table43[[#This Row],[Efektif
Pembuatan]]&gt;60,"Lama","Baru")</f>
        <v>Lama</v>
      </c>
      <c r="BG499" s="7" t="str">
        <f ca="1">IF(TODAY()-Table43[[#This Row],[Efektif Naik Harga]]&lt;30,"Naik","Sama")</f>
        <v>Sama</v>
      </c>
      <c r="BH499" s="7"/>
      <c r="BI499" s="7" t="str">
        <f>IF(Table43[[#This Row],[Kode BARANG Win2]]&lt;&gt;"","IDR","")</f>
        <v>IDR</v>
      </c>
      <c r="BJ499" s="7" t="str">
        <f>CONCATENATE(Table43[[#This Row],[kode  1 Digit
(Nomor)]],Table43[[#This Row],[kode  4 Digit                (Nomor)]])</f>
        <v>0042</v>
      </c>
      <c r="BK499" s="7" t="str">
        <f>Table43[[#This Row],[Nama            Gramasi atau Jumlah Pack per CTN]]</f>
        <v>42GR</v>
      </c>
      <c r="BL499" s="7"/>
      <c r="BM499" s="7"/>
      <c r="BN499" s="4" t="str">
        <f>IF(Table43[[#This Row],[SATUAN Fix Win]]&lt;&gt;"","KRT")</f>
        <v>KRT</v>
      </c>
      <c r="BO499" s="4" t="str">
        <f>IF(Table43[[#This Row],[SATUAN Fix Win]]&lt;&gt;"","GD01")</f>
        <v>GD01</v>
      </c>
      <c r="BP499" s="4">
        <f>IF(Table43[[#This Row],[SATUAN Fix Win]]&lt;&gt;"",11611)</f>
        <v>11611</v>
      </c>
      <c r="BQ499" s="4">
        <f>IF(Table43[[#This Row],[SATUAN Fix Win]]&lt;&gt;"",11612)</f>
        <v>11612</v>
      </c>
      <c r="BS499" s="4">
        <f>IF(Table43[[#This Row],[SATUAN Fix Win]]&lt;&gt;"",1)</f>
        <v>1</v>
      </c>
      <c r="BU499" s="4">
        <f>Table43[[#This Row],[ISI/CTN]]</f>
        <v>72</v>
      </c>
    </row>
    <row r="500" spans="1:75">
      <c r="A500" s="4" t="str">
        <f>CONCATENATE(Table43[[#This Row],[Kode BARANG Win2]],Table43[[#This Row],[No. Urut
Item Sama]])</f>
        <v>G1262009004211</v>
      </c>
      <c r="B500" s="7"/>
      <c r="C500" s="31">
        <v>30550020007000</v>
      </c>
      <c r="D500" s="59">
        <v>40049995</v>
      </c>
      <c r="E500" s="60" t="s">
        <v>2121</v>
      </c>
      <c r="F500" s="59">
        <v>30500070042002</v>
      </c>
      <c r="G500" s="59">
        <v>0</v>
      </c>
      <c r="H500" s="60" t="s">
        <v>1444</v>
      </c>
      <c r="I500" s="60">
        <v>72</v>
      </c>
      <c r="J500" s="59" t="s">
        <v>1793</v>
      </c>
      <c r="K500" s="60" t="str">
        <f>Table43[[#This Row],[NamaJenisKemasan]]</f>
        <v>PCS</v>
      </c>
      <c r="L500" s="4" t="str">
        <f>TRIM(CONCATENATE(Table43[[#This Row],[Nama            KLP]]," ",Table43[[#This Row],[Nama            Sub KLP]]))</f>
        <v>STELLA ALL IN ONE</v>
      </c>
      <c r="M500" s="4" t="str">
        <f>CONCATENATE(Table43[[#This Row],[kode  2 Digit                (hrf+No)]],Table43[[#This Row],[kode  2 Digit                (Nomor)]],Table43[[#This Row],[kode  1 Digit                (Nomor)]])</f>
        <v>G1262</v>
      </c>
      <c r="N500" s="4" t="str">
        <f>IF(AI500="",CONCATENATE(S500,U500,W500,Y500,AA500,AC500,AE500,AG500,Table43[[#This Row],[Tanda Kode Revisi]]),CONCATENATE(S500,U500,W500,Y500,AA500,AC500,AE500,AI500))</f>
        <v>G1262009004211</v>
      </c>
      <c r="O500" s="11">
        <f t="shared" si="12"/>
        <v>14</v>
      </c>
      <c r="P500" s="14" t="str">
        <f>IF(AH500&lt;&gt;"",TRIM(UPPER(CONCATENATE(R500," ",T500," ",V500," ",X500," ",Z500," ",AB500," ","X"," ",Table43[[#This Row],[ISI/CTN]]," ",AH500," ",AD500," ",AF500," ",AJ500))),TRIM(UPPER(CONCATENATE(R500," ",T500," ",V500," ",X500," ",Z500," ",AB500," ","X"," ",Table43[[#This Row],[ISI/CTN]]," ",AD500," ",AF500," ",AJ500))))</f>
        <v>STELLA ALL IN ONE SENSATION 42GR X 72 PCS BANDED</v>
      </c>
      <c r="Q500" s="11">
        <f t="shared" si="13"/>
        <v>48</v>
      </c>
      <c r="S500" s="7" t="s">
        <v>34</v>
      </c>
      <c r="T500" s="4" t="s">
        <v>2421</v>
      </c>
      <c r="U500" s="47" t="s">
        <v>2584</v>
      </c>
      <c r="V500" s="48" t="s">
        <v>2418</v>
      </c>
      <c r="W500" s="7">
        <v>2</v>
      </c>
      <c r="X500" s="48"/>
      <c r="Y500" s="47" t="s">
        <v>1116</v>
      </c>
      <c r="Z500" s="4" t="s">
        <v>2429</v>
      </c>
      <c r="AA500" s="49" t="s">
        <v>2546</v>
      </c>
      <c r="AB500" s="4" t="s">
        <v>2373</v>
      </c>
      <c r="AC500" s="49" t="s">
        <v>2655</v>
      </c>
      <c r="AD500" s="4" t="s">
        <v>185</v>
      </c>
      <c r="AE500" s="7">
        <v>1</v>
      </c>
      <c r="AF500" s="4" t="s">
        <v>2269</v>
      </c>
      <c r="AG500" s="7">
        <v>1</v>
      </c>
      <c r="AK500" s="70">
        <f>Table43[[#This Row],[Column4]]</f>
        <v>30500070042002</v>
      </c>
      <c r="AN500" s="7">
        <f>Table43[[#This Row],[ISI/CTN]]</f>
        <v>72</v>
      </c>
      <c r="AO500" s="61">
        <f>Table43[[#This Row],[Harga Jual Pcs GT
(-PPN)]]-(Table43[[#This Row],[Harga Jual Pcs GT
(-PPN)]]*6.5%)</f>
        <v>8321.5</v>
      </c>
      <c r="AP500" s="61">
        <f>Table43[[#This Row],[Harga Beli Pcs
(-PPN)]]*Table43[[#This Row],[ISI/CTN]]</f>
        <v>599148</v>
      </c>
      <c r="AQ500" s="61">
        <f>Table43[[#This Row],[Harga Beli Pcs
(-PPN)]]*1.11</f>
        <v>9236.8650000000016</v>
      </c>
      <c r="AR500" s="61">
        <f>Table43[[#This Row],[Harga Beli Krt
(- PPN)]]*1.11</f>
        <v>665054.28</v>
      </c>
      <c r="AS500" s="61">
        <v>8900</v>
      </c>
      <c r="AT500" s="61">
        <f>Table43[[#This Row],[Harga Jual Pcs GT
(-PPN)]]*Table43[[#This Row],[ISI/CTN]]</f>
        <v>640800</v>
      </c>
      <c r="AU500" s="61">
        <f>Table43[[#This Row],[Harga Jual Pcs GT
(-PPN)]]*1.11</f>
        <v>9879</v>
      </c>
      <c r="AV500" s="61">
        <f>Table43[[#This Row],[Harga Jual Krt GT
(- PPN)]]*1.11</f>
        <v>711288.00000000012</v>
      </c>
      <c r="AW500" s="61">
        <f>IFERROR(VLOOKUP(Table43[[#This Row],[Kode Pcpl]],'[1]FEB 2026'!$A$3:$X$312,24,0),0)</f>
        <v>0</v>
      </c>
      <c r="AX500" s="61">
        <f>Table43[[#This Row],[Harga Jual Pcs MT
(-PPN)]]*Table43[[#This Row],[ISI/CTN]]</f>
        <v>0</v>
      </c>
      <c r="AY500" s="61">
        <f>Table43[[#This Row],[Harga Jual Pcs MT
(-PPN)]]*1.11</f>
        <v>0</v>
      </c>
      <c r="AZ500" s="61">
        <f>Table43[[#This Row],[Harga Jual Pcs MT
(+PPN)]]*Table43[[#This Row],[ISI/CTN]]</f>
        <v>0</v>
      </c>
      <c r="BA500" s="62">
        <f>(Table43[[#This Row],[Harga Jual Pcs GT
(-PPN)]]-Table43[[#This Row],[Harga Beli Pcs
(-PPN)]])/Table43[[#This Row],[Harga Jual Pcs GT
(-PPN)]]</f>
        <v>6.5000000000000002E-2</v>
      </c>
      <c r="BB500" s="63">
        <f>Table43[[#This Row],[Harga Jual Pcs MT
(-PPN)]]-Table43[[#This Row],[Harga Beli Pcs
(-PPN)]]</f>
        <v>-8321.5</v>
      </c>
      <c r="BC500" s="64" t="e">
        <f>Table43[[#This Row],[Column1]]/Table43[[#This Row],[Harga Jual Pcs MT
(-PPN)]]</f>
        <v>#DIV/0!</v>
      </c>
      <c r="BD500" s="52"/>
      <c r="BE500" s="7"/>
      <c r="BF500" s="7" t="str">
        <f ca="1">IF(TODAY()-Table43[[#This Row],[Efektif
Pembuatan]]&gt;60,"Lama","Baru")</f>
        <v>Lama</v>
      </c>
      <c r="BG500" s="7" t="str">
        <f ca="1">IF(TODAY()-Table43[[#This Row],[Efektif Naik Harga]]&lt;30,"Naik","Sama")</f>
        <v>Sama</v>
      </c>
      <c r="BH500" s="7"/>
      <c r="BI500" s="7" t="str">
        <f>IF(Table43[[#This Row],[Kode BARANG Win2]]&lt;&gt;"","IDR","")</f>
        <v>IDR</v>
      </c>
      <c r="BJ500" s="7" t="str">
        <f>CONCATENATE(Table43[[#This Row],[kode  1 Digit
(Nomor)]],Table43[[#This Row],[kode  4 Digit                (Nomor)]])</f>
        <v>0042</v>
      </c>
      <c r="BK500" s="7" t="str">
        <f>Table43[[#This Row],[Nama            Gramasi atau Jumlah Pack per CTN]]</f>
        <v>42GR</v>
      </c>
      <c r="BL500" s="7"/>
      <c r="BM500" s="7"/>
      <c r="BN500" s="4" t="str">
        <f>IF(Table43[[#This Row],[SATUAN Fix Win]]&lt;&gt;"","KRT")</f>
        <v>KRT</v>
      </c>
      <c r="BO500" s="4" t="str">
        <f>IF(Table43[[#This Row],[SATUAN Fix Win]]&lt;&gt;"","GD01")</f>
        <v>GD01</v>
      </c>
      <c r="BP500" s="4">
        <f>IF(Table43[[#This Row],[SATUAN Fix Win]]&lt;&gt;"",11611)</f>
        <v>11611</v>
      </c>
      <c r="BQ500" s="4">
        <f>IF(Table43[[#This Row],[SATUAN Fix Win]]&lt;&gt;"",11612)</f>
        <v>11612</v>
      </c>
      <c r="BS500" s="4">
        <f>IF(Table43[[#This Row],[SATUAN Fix Win]]&lt;&gt;"",1)</f>
        <v>1</v>
      </c>
      <c r="BU500" s="4">
        <f>Table43[[#This Row],[ISI/CTN]]</f>
        <v>72</v>
      </c>
    </row>
    <row r="501" spans="1:75">
      <c r="A501" s="4" t="str">
        <f>CONCATENATE(Table43[[#This Row],[Kode BARANG Win2]],Table43[[#This Row],[No. Urut
Item Sama]])</f>
        <v>G1262010004210</v>
      </c>
      <c r="B501" s="7"/>
      <c r="C501" s="31"/>
      <c r="D501" s="51">
        <v>40061769</v>
      </c>
      <c r="E501" s="27" t="s">
        <v>3423</v>
      </c>
      <c r="F501" s="59"/>
      <c r="G501" s="51"/>
      <c r="H501" s="27" t="s">
        <v>3423</v>
      </c>
      <c r="I501" s="27">
        <v>72</v>
      </c>
      <c r="J501" s="51"/>
      <c r="K501" s="27" t="str">
        <f>Table43[[#This Row],[NamaJenisKemasan]]</f>
        <v>PCS</v>
      </c>
      <c r="L501" s="4" t="str">
        <f>TRIM(CONCATENATE(Table43[[#This Row],[Nama            KLP]]," ",Table43[[#This Row],[Nama            Sub KLP]]))</f>
        <v>STELLA ALL IN ONE</v>
      </c>
      <c r="M501" s="4" t="str">
        <f>CONCATENATE(Table43[[#This Row],[kode  2 Digit                (hrf+No)]],Table43[[#This Row],[kode  2 Digit                (Nomor)]],Table43[[#This Row],[kode  1 Digit                (Nomor)]])</f>
        <v>G1262</v>
      </c>
      <c r="N501" s="4" t="str">
        <f>IF(AI501="",CONCATENATE(S501,U501,W501,Y501,AA501,AC501,AE501,AG501,Table43[[#This Row],[Tanda Kode Revisi]]),CONCATENATE(S501,U501,W501,Y501,AA501,AC501,AE501,AI501))</f>
        <v>G1262010004210</v>
      </c>
      <c r="O501" s="11">
        <f t="shared" si="12"/>
        <v>14</v>
      </c>
      <c r="P501" s="14" t="str">
        <f>IF(AH501&lt;&gt;"",TRIM(UPPER(CONCATENATE(R501," ",T501," ",V501," ",X501," ",Z501," ",AB501," ","X"," ",Table43[[#This Row],[ISI/CTN]]," ",AH501," ",AD501," ",AF501," ",AJ501))),TRIM(UPPER(CONCATENATE(R501," ",T501," ",V501," ",X501," ",Z501," ",AB501," ","X"," ",Table43[[#This Row],[ISI/CTN]]," ",AD501," ",AF501," ",AJ501))))</f>
        <v>STELLA ALL IN ONE BALINESE JASMIN 42GR+10GR X 72 PCS</v>
      </c>
      <c r="Q501" s="11">
        <f t="shared" si="13"/>
        <v>52</v>
      </c>
      <c r="S501" s="7" t="s">
        <v>34</v>
      </c>
      <c r="T501" s="4" t="s">
        <v>2421</v>
      </c>
      <c r="U501" s="47" t="s">
        <v>2584</v>
      </c>
      <c r="V501" s="48" t="s">
        <v>2418</v>
      </c>
      <c r="W501" s="7">
        <v>2</v>
      </c>
      <c r="X501" s="48"/>
      <c r="Y501" s="47" t="s">
        <v>1116</v>
      </c>
      <c r="Z501" s="4" t="s">
        <v>3425</v>
      </c>
      <c r="AA501" s="49" t="s">
        <v>2556</v>
      </c>
      <c r="AB501" s="4" t="s">
        <v>3401</v>
      </c>
      <c r="AC501" s="49" t="s">
        <v>2655</v>
      </c>
      <c r="AD501" s="4" t="s">
        <v>185</v>
      </c>
      <c r="AE501" s="7">
        <v>1</v>
      </c>
      <c r="AF501" s="65"/>
      <c r="AG501" s="7">
        <v>0</v>
      </c>
      <c r="AK501" s="70">
        <f>Table43[[#This Row],[Column4]]</f>
        <v>0</v>
      </c>
      <c r="AN501" s="7">
        <f>Table43[[#This Row],[ISI/CTN]]</f>
        <v>72</v>
      </c>
      <c r="AO501" s="38">
        <f>Table43[[#This Row],[Harga Jual Pcs GT
(-PPN)]]-(Table43[[#This Row],[Harga Jual Pcs GT
(-PPN)]]*6.5%)</f>
        <v>8321.5</v>
      </c>
      <c r="AP501" s="38">
        <f>Table43[[#This Row],[Harga Beli Pcs
(-PPN)]]*Table43[[#This Row],[ISI/CTN]]</f>
        <v>599148</v>
      </c>
      <c r="AQ501" s="38">
        <f>Table43[[#This Row],[Harga Beli Pcs
(-PPN)]]*1.11</f>
        <v>9236.8650000000016</v>
      </c>
      <c r="AR501" s="38">
        <f>Table43[[#This Row],[Harga Beli Krt
(- PPN)]]*1.11</f>
        <v>665054.28</v>
      </c>
      <c r="AS501" s="38">
        <v>8900</v>
      </c>
      <c r="AT501" s="38">
        <f>Table43[[#This Row],[Harga Jual Pcs GT
(-PPN)]]*Table43[[#This Row],[ISI/CTN]]</f>
        <v>640800</v>
      </c>
      <c r="AU501" s="38">
        <f>Table43[[#This Row],[Harga Jual Pcs GT
(-PPN)]]*1.11</f>
        <v>9879</v>
      </c>
      <c r="AV501" s="38">
        <f>Table43[[#This Row],[Harga Jual Krt GT
(- PPN)]]*1.11</f>
        <v>711288.00000000012</v>
      </c>
      <c r="AW501" s="38">
        <f>IFERROR(VLOOKUP(Table43[[#This Row],[Kode Pcpl]],'[1]FEB 2026'!$A$3:$X$312,24,0),0)</f>
        <v>0</v>
      </c>
      <c r="AX501" s="38">
        <f>Table43[[#This Row],[Harga Jual Pcs MT
(-PPN)]]*Table43[[#This Row],[ISI/CTN]]</f>
        <v>0</v>
      </c>
      <c r="AY501" s="38">
        <f>Table43[[#This Row],[Harga Jual Pcs MT
(-PPN)]]*1.11</f>
        <v>0</v>
      </c>
      <c r="AZ501" s="38">
        <f>Table43[[#This Row],[Harga Jual Pcs MT
(+PPN)]]*Table43[[#This Row],[ISI/CTN]]</f>
        <v>0</v>
      </c>
      <c r="BA501" s="46">
        <f>(Table43[[#This Row],[Harga Jual Pcs GT
(-PPN)]]-Table43[[#This Row],[Harga Beli Pcs
(-PPN)]])/Table43[[#This Row],[Harga Jual Pcs GT
(-PPN)]]</f>
        <v>6.5000000000000002E-2</v>
      </c>
      <c r="BB501" s="53">
        <f>Table43[[#This Row],[Harga Jual Pcs MT
(-PPN)]]-Table43[[#This Row],[Harga Beli Pcs
(-PPN)]]</f>
        <v>-8321.5</v>
      </c>
      <c r="BC501" s="54" t="e">
        <f>Table43[[#This Row],[Column1]]/Table43[[#This Row],[Harga Jual Pcs MT
(-PPN)]]</f>
        <v>#DIV/0!</v>
      </c>
      <c r="BD501" s="52"/>
      <c r="BE501" s="7"/>
      <c r="BF501" s="7" t="str">
        <f ca="1">IF(TODAY()-Table43[[#This Row],[Efektif
Pembuatan]]&gt;60,"Lama","Baru")</f>
        <v>Lama</v>
      </c>
      <c r="BG501" s="7" t="str">
        <f ca="1">IF(TODAY()-Table43[[#This Row],[Efektif Naik Harga]]&lt;30,"Naik","Sama")</f>
        <v>Sama</v>
      </c>
      <c r="BH501" s="7"/>
      <c r="BI501" s="7" t="str">
        <f>IF(Table43[[#This Row],[Kode BARANG Win2]]&lt;&gt;"","IDR","")</f>
        <v>IDR</v>
      </c>
      <c r="BJ501" s="7" t="str">
        <f>CONCATENATE(Table43[[#This Row],[kode  1 Digit
(Nomor)]],Table43[[#This Row],[kode  4 Digit                (Nomor)]])</f>
        <v>0042</v>
      </c>
      <c r="BK501" s="7" t="str">
        <f>Table43[[#This Row],[Nama            Gramasi atau Jumlah Pack per CTN]]</f>
        <v>42GR+10GR</v>
      </c>
      <c r="BL501" s="7"/>
      <c r="BM501" s="7"/>
      <c r="BN501" s="4" t="str">
        <f>IF(Table43[[#This Row],[SATUAN Fix Win]]&lt;&gt;"","KRT")</f>
        <v>KRT</v>
      </c>
      <c r="BO501" s="4" t="str">
        <f>IF(Table43[[#This Row],[SATUAN Fix Win]]&lt;&gt;"","GD01")</f>
        <v>GD01</v>
      </c>
      <c r="BP501" s="4">
        <f>IF(Table43[[#This Row],[SATUAN Fix Win]]&lt;&gt;"",11611)</f>
        <v>11611</v>
      </c>
      <c r="BQ501" s="4">
        <f>IF(Table43[[#This Row],[SATUAN Fix Win]]&lt;&gt;"",11612)</f>
        <v>11612</v>
      </c>
      <c r="BS501" s="4">
        <f>IF(Table43[[#This Row],[SATUAN Fix Win]]&lt;&gt;"",1)</f>
        <v>1</v>
      </c>
      <c r="BU501" s="4">
        <f>Table43[[#This Row],[ISI/CTN]]</f>
        <v>72</v>
      </c>
    </row>
    <row r="502" spans="1:75">
      <c r="A502" s="4" t="str">
        <f>CONCATENATE(Table43[[#This Row],[Kode BARANG Win2]],Table43[[#This Row],[No. Urut
Item Sama]])</f>
        <v>G1262011004210</v>
      </c>
      <c r="B502" s="7"/>
      <c r="C502" s="31"/>
      <c r="D502" s="51">
        <v>40061771</v>
      </c>
      <c r="E502" s="27" t="s">
        <v>3424</v>
      </c>
      <c r="F502" s="51"/>
      <c r="G502" s="51"/>
      <c r="H502" s="27" t="s">
        <v>3424</v>
      </c>
      <c r="I502" s="27">
        <v>72</v>
      </c>
      <c r="J502" s="51"/>
      <c r="K502" s="27" t="str">
        <f>Table43[[#This Row],[NamaJenisKemasan]]</f>
        <v>PCS</v>
      </c>
      <c r="L502" s="4" t="str">
        <f>TRIM(CONCATENATE(Table43[[#This Row],[Nama            KLP]]," ",Table43[[#This Row],[Nama            Sub KLP]]))</f>
        <v>STELLA ALL IN ONE</v>
      </c>
      <c r="M502" s="4" t="str">
        <f>CONCATENATE(Table43[[#This Row],[kode  2 Digit                (hrf+No)]],Table43[[#This Row],[kode  2 Digit                (Nomor)]],Table43[[#This Row],[kode  1 Digit                (Nomor)]])</f>
        <v>G1262</v>
      </c>
      <c r="N502" s="4" t="str">
        <f>IF(AI502="",CONCATENATE(S502,U502,W502,Y502,AA502,AC502,AE502,AG502,Table43[[#This Row],[Tanda Kode Revisi]]),CONCATENATE(S502,U502,W502,Y502,AA502,AC502,AE502,AI502))</f>
        <v>G1262011004210</v>
      </c>
      <c r="O502" s="11">
        <f t="shared" si="12"/>
        <v>14</v>
      </c>
      <c r="P502" s="14" t="str">
        <f>IF(AH502&lt;&gt;"",TRIM(UPPER(CONCATENATE(R502," ",T502," ",V502," ",X502," ",Z502," ",AB502," ","X"," ",Table43[[#This Row],[ISI/CTN]]," ",AH502," ",AD502," ",AF502," ",AJ502))),TRIM(UPPER(CONCATENATE(R502," ",T502," ",V502," ",X502," ",Z502," ",AB502," ","X"," ",Table43[[#This Row],[ISI/CTN]]," ",AD502," ",AF502," ",AJ502))))</f>
        <v>STELLA ALL IN ONE BOUGENVILLE 42GR X 72 PCS</v>
      </c>
      <c r="Q502" s="11">
        <f t="shared" si="13"/>
        <v>43</v>
      </c>
      <c r="S502" s="7" t="s">
        <v>34</v>
      </c>
      <c r="T502" s="4" t="s">
        <v>2421</v>
      </c>
      <c r="U502" s="47" t="s">
        <v>2584</v>
      </c>
      <c r="V502" s="48" t="s">
        <v>2418</v>
      </c>
      <c r="W502" s="7">
        <v>2</v>
      </c>
      <c r="X502" s="48"/>
      <c r="Y502" s="47" t="s">
        <v>1116</v>
      </c>
      <c r="Z502" s="4" t="s">
        <v>2428</v>
      </c>
      <c r="AA502" s="49" t="s">
        <v>2557</v>
      </c>
      <c r="AB502" s="4" t="s">
        <v>2373</v>
      </c>
      <c r="AC502" s="49" t="s">
        <v>2655</v>
      </c>
      <c r="AD502" s="4" t="s">
        <v>185</v>
      </c>
      <c r="AE502" s="7">
        <v>1</v>
      </c>
      <c r="AF502" s="65"/>
      <c r="AG502" s="7">
        <v>0</v>
      </c>
      <c r="AK502" s="70">
        <f>Table43[[#This Row],[Column4]]</f>
        <v>0</v>
      </c>
      <c r="AN502" s="7">
        <f>Table43[[#This Row],[ISI/CTN]]</f>
        <v>72</v>
      </c>
      <c r="AO502" s="38">
        <f>Table43[[#This Row],[Harga Jual Pcs GT
(-PPN)]]-(Table43[[#This Row],[Harga Jual Pcs GT
(-PPN)]]*6.5%)</f>
        <v>8321.5</v>
      </c>
      <c r="AP502" s="38">
        <f>Table43[[#This Row],[Harga Beli Pcs
(-PPN)]]*Table43[[#This Row],[ISI/CTN]]</f>
        <v>599148</v>
      </c>
      <c r="AQ502" s="38">
        <f>Table43[[#This Row],[Harga Beli Pcs
(-PPN)]]*1.11</f>
        <v>9236.8650000000016</v>
      </c>
      <c r="AR502" s="38">
        <f>Table43[[#This Row],[Harga Beli Krt
(- PPN)]]*1.11</f>
        <v>665054.28</v>
      </c>
      <c r="AS502" s="38">
        <v>8900</v>
      </c>
      <c r="AT502" s="38">
        <f>Table43[[#This Row],[Harga Jual Pcs GT
(-PPN)]]*Table43[[#This Row],[ISI/CTN]]</f>
        <v>640800</v>
      </c>
      <c r="AU502" s="38">
        <f>Table43[[#This Row],[Harga Jual Pcs GT
(-PPN)]]*1.11</f>
        <v>9879</v>
      </c>
      <c r="AV502" s="38">
        <f>Table43[[#This Row],[Harga Jual Krt GT
(- PPN)]]*1.11</f>
        <v>711288.00000000012</v>
      </c>
      <c r="AW502" s="38">
        <f>IFERROR(VLOOKUP(Table43[[#This Row],[Kode Pcpl]],'[1]FEB 2026'!$A$3:$X$312,24,0),0)</f>
        <v>0</v>
      </c>
      <c r="AX502" s="38">
        <f>Table43[[#This Row],[Harga Jual Pcs MT
(-PPN)]]*Table43[[#This Row],[ISI/CTN]]</f>
        <v>0</v>
      </c>
      <c r="AY502" s="38">
        <f>Table43[[#This Row],[Harga Jual Pcs MT
(-PPN)]]*1.11</f>
        <v>0</v>
      </c>
      <c r="AZ502" s="38">
        <f>Table43[[#This Row],[Harga Jual Pcs MT
(+PPN)]]*Table43[[#This Row],[ISI/CTN]]</f>
        <v>0</v>
      </c>
      <c r="BA502" s="46">
        <f>(Table43[[#This Row],[Harga Jual Pcs GT
(-PPN)]]-Table43[[#This Row],[Harga Beli Pcs
(-PPN)]])/Table43[[#This Row],[Harga Jual Pcs GT
(-PPN)]]</f>
        <v>6.5000000000000002E-2</v>
      </c>
      <c r="BB502" s="53">
        <f>Table43[[#This Row],[Harga Jual Pcs MT
(-PPN)]]-Table43[[#This Row],[Harga Beli Pcs
(-PPN)]]</f>
        <v>-8321.5</v>
      </c>
      <c r="BC502" s="54" t="e">
        <f>Table43[[#This Row],[Column1]]/Table43[[#This Row],[Harga Jual Pcs MT
(-PPN)]]</f>
        <v>#DIV/0!</v>
      </c>
      <c r="BD502" s="52"/>
      <c r="BE502" s="7"/>
      <c r="BF502" s="7" t="str">
        <f ca="1">IF(TODAY()-Table43[[#This Row],[Efektif
Pembuatan]]&gt;60,"Lama","Baru")</f>
        <v>Lama</v>
      </c>
      <c r="BG502" s="7" t="str">
        <f ca="1">IF(TODAY()-Table43[[#This Row],[Efektif Naik Harga]]&lt;30,"Naik","Sama")</f>
        <v>Sama</v>
      </c>
      <c r="BH502" s="7"/>
      <c r="BI502" s="7" t="str">
        <f>IF(Table43[[#This Row],[Kode BARANG Win2]]&lt;&gt;"","IDR","")</f>
        <v>IDR</v>
      </c>
      <c r="BJ502" s="7" t="str">
        <f>CONCATENATE(Table43[[#This Row],[kode  1 Digit
(Nomor)]],Table43[[#This Row],[kode  4 Digit                (Nomor)]])</f>
        <v>0042</v>
      </c>
      <c r="BK502" s="7" t="str">
        <f>Table43[[#This Row],[Nama            Gramasi atau Jumlah Pack per CTN]]</f>
        <v>42GR</v>
      </c>
      <c r="BL502" s="7"/>
      <c r="BM502" s="7"/>
      <c r="BN502" s="4" t="str">
        <f>IF(Table43[[#This Row],[SATUAN Fix Win]]&lt;&gt;"","KRT")</f>
        <v>KRT</v>
      </c>
      <c r="BO502" s="4" t="str">
        <f>IF(Table43[[#This Row],[SATUAN Fix Win]]&lt;&gt;"","GD01")</f>
        <v>GD01</v>
      </c>
      <c r="BP502" s="4">
        <f>IF(Table43[[#This Row],[SATUAN Fix Win]]&lt;&gt;"",11611)</f>
        <v>11611</v>
      </c>
      <c r="BQ502" s="4">
        <f>IF(Table43[[#This Row],[SATUAN Fix Win]]&lt;&gt;"",11612)</f>
        <v>11612</v>
      </c>
      <c r="BS502" s="4">
        <f>IF(Table43[[#This Row],[SATUAN Fix Win]]&lt;&gt;"",1)</f>
        <v>1</v>
      </c>
      <c r="BU502" s="4">
        <f>Table43[[#This Row],[ISI/CTN]]</f>
        <v>72</v>
      </c>
    </row>
    <row r="503" spans="1:75">
      <c r="A503" s="94" t="str">
        <f>CONCATENATE(Table43[[#This Row],[Kode BARANG Win2]],Table43[[#This Row],[No. Urut
Item Sama]])</f>
        <v>G1262005004210</v>
      </c>
      <c r="B503" s="95"/>
      <c r="C503" s="96"/>
      <c r="D503" s="109">
        <v>40061768</v>
      </c>
      <c r="E503" s="110" t="s">
        <v>3428</v>
      </c>
      <c r="F503" s="109"/>
      <c r="G503" s="109">
        <v>0</v>
      </c>
      <c r="H503" s="110" t="s">
        <v>3428</v>
      </c>
      <c r="I503" s="110">
        <v>72</v>
      </c>
      <c r="J503" s="109"/>
      <c r="K503" s="110" t="str">
        <f>Table43[[#This Row],[NamaJenisKemasan]]</f>
        <v>PCS</v>
      </c>
      <c r="L503" s="94" t="str">
        <f>TRIM(CONCATENATE(Table43[[#This Row],[Nama            KLP]]," ",Table43[[#This Row],[Nama            Sub KLP]]))</f>
        <v>STELLA ALL IN ONE</v>
      </c>
      <c r="M503" s="94" t="str">
        <f>CONCATENATE(Table43[[#This Row],[kode  2 Digit                (hrf+No)]],Table43[[#This Row],[kode  2 Digit                (Nomor)]],Table43[[#This Row],[kode  1 Digit                (Nomor)]])</f>
        <v>G1262</v>
      </c>
      <c r="N503" s="94" t="str">
        <f>IF(AI503="",CONCATENATE(S503,U503,W503,Y503,AA503,AC503,AE503,AG503,Table43[[#This Row],[Tanda Kode Revisi]]),CONCATENATE(S503,U503,W503,Y503,AA503,AC503,AE503,AI503))</f>
        <v>G1262005004210</v>
      </c>
      <c r="O503" s="97">
        <f t="shared" si="12"/>
        <v>14</v>
      </c>
      <c r="P503" s="98" t="str">
        <f>IF(AH503&lt;&gt;"",TRIM(UPPER(CONCATENATE(R503," ",T503," ",V503," ",X503," ",Z503," ",AB503," ","X"," ",Table43[[#This Row],[ISI/CTN]]," ",AH503," ",AD503," ",AF503," ",AJ503))),TRIM(UPPER(CONCATENATE(R503," ",T503," ",V503," ",X503," ",Z503," ",AB503," ","X"," ",Table43[[#This Row],[ISI/CTN]]," ",AD503," ",AF503," ",AJ503))))</f>
        <v>STELLA ALL IN ONE LAVENDER 42GR X 72 PCS</v>
      </c>
      <c r="Q503" s="97">
        <f t="shared" si="13"/>
        <v>40</v>
      </c>
      <c r="R503" s="94"/>
      <c r="S503" s="95" t="s">
        <v>34</v>
      </c>
      <c r="T503" s="94" t="s">
        <v>2421</v>
      </c>
      <c r="U503" s="99" t="s">
        <v>2584</v>
      </c>
      <c r="V503" s="100" t="s">
        <v>2418</v>
      </c>
      <c r="W503" s="95">
        <v>2</v>
      </c>
      <c r="X503" s="100"/>
      <c r="Y503" s="99" t="s">
        <v>1116</v>
      </c>
      <c r="Z503" s="94" t="s">
        <v>2426</v>
      </c>
      <c r="AA503" s="101" t="s">
        <v>2541</v>
      </c>
      <c r="AB503" s="4" t="s">
        <v>2373</v>
      </c>
      <c r="AC503" s="101" t="s">
        <v>2655</v>
      </c>
      <c r="AD503" s="4" t="s">
        <v>185</v>
      </c>
      <c r="AE503" s="7">
        <v>1</v>
      </c>
      <c r="AF503" s="65"/>
      <c r="AG503" s="7">
        <v>0</v>
      </c>
      <c r="AK503" s="70">
        <f>Table43[[#This Row],[Column4]]</f>
        <v>0</v>
      </c>
      <c r="AL503" s="95"/>
      <c r="AM503" s="95"/>
      <c r="AN503" s="95">
        <f>Table43[[#This Row],[ISI/CTN]]</f>
        <v>72</v>
      </c>
      <c r="AO503" s="102">
        <f>Table43[[#This Row],[Harga Jual Pcs GT
(-PPN)]]-(Table43[[#This Row],[Harga Jual Pcs GT
(-PPN)]]*6.5%)</f>
        <v>8321.5</v>
      </c>
      <c r="AP503" s="102">
        <f>Table43[[#This Row],[Harga Beli Pcs
(-PPN)]]*Table43[[#This Row],[ISI/CTN]]</f>
        <v>599148</v>
      </c>
      <c r="AQ503" s="102">
        <f>Table43[[#This Row],[Harga Beli Pcs
(-PPN)]]*1.11</f>
        <v>9236.8650000000016</v>
      </c>
      <c r="AR503" s="102">
        <f>Table43[[#This Row],[Harga Beli Krt
(- PPN)]]*1.11</f>
        <v>665054.28</v>
      </c>
      <c r="AS503" s="102">
        <v>8900</v>
      </c>
      <c r="AT503" s="102">
        <f>Table43[[#This Row],[Harga Jual Pcs GT
(-PPN)]]*Table43[[#This Row],[ISI/CTN]]</f>
        <v>640800</v>
      </c>
      <c r="AU503" s="102">
        <f>Table43[[#This Row],[Harga Jual Pcs GT
(-PPN)]]*1.11</f>
        <v>9879</v>
      </c>
      <c r="AV503" s="102">
        <f>Table43[[#This Row],[Harga Jual Krt GT
(- PPN)]]*1.11</f>
        <v>711288.00000000012</v>
      </c>
      <c r="AW503" s="102">
        <f>IFERROR(VLOOKUP(Table43[[#This Row],[Kode Pcpl]],'[1]FEB 2026'!$A$3:$X$312,24,0),0)</f>
        <v>0</v>
      </c>
      <c r="AX503" s="102">
        <f>Table43[[#This Row],[Harga Jual Pcs MT
(-PPN)]]*Table43[[#This Row],[ISI/CTN]]</f>
        <v>0</v>
      </c>
      <c r="AY503" s="102">
        <f>Table43[[#This Row],[Harga Jual Pcs MT
(-PPN)]]*1.11</f>
        <v>0</v>
      </c>
      <c r="AZ503" s="102">
        <f>Table43[[#This Row],[Harga Jual Pcs MT
(+PPN)]]*Table43[[#This Row],[ISI/CTN]]</f>
        <v>0</v>
      </c>
      <c r="BA503" s="103">
        <f>(Table43[[#This Row],[Harga Jual Pcs GT
(-PPN)]]-Table43[[#This Row],[Harga Beli Pcs
(-PPN)]])/Table43[[#This Row],[Harga Jual Pcs GT
(-PPN)]]</f>
        <v>6.5000000000000002E-2</v>
      </c>
      <c r="BB503" s="104">
        <f>Table43[[#This Row],[Harga Jual Pcs MT
(-PPN)]]-Table43[[#This Row],[Harga Beli Pcs
(-PPN)]]</f>
        <v>-8321.5</v>
      </c>
      <c r="BC503" s="105" t="e">
        <f>Table43[[#This Row],[Column1]]/Table43[[#This Row],[Harga Jual Pcs MT
(-PPN)]]</f>
        <v>#DIV/0!</v>
      </c>
      <c r="BD503" s="106"/>
      <c r="BE503" s="95"/>
      <c r="BF503" s="95" t="str">
        <f ca="1">IF(TODAY()-Table43[[#This Row],[Efektif
Pembuatan]]&gt;60,"Lama","Baru")</f>
        <v>Lama</v>
      </c>
      <c r="BG503" s="95" t="str">
        <f ca="1">IF(TODAY()-Table43[[#This Row],[Efektif Naik Harga]]&lt;30,"Naik","Sama")</f>
        <v>Sama</v>
      </c>
      <c r="BH503" s="95"/>
      <c r="BI503" s="95" t="str">
        <f>IF(Table43[[#This Row],[Kode BARANG Win2]]&lt;&gt;"","IDR","")</f>
        <v>IDR</v>
      </c>
      <c r="BJ503" s="95" t="str">
        <f>CONCATENATE(Table43[[#This Row],[kode  1 Digit
(Nomor)]],Table43[[#This Row],[kode  4 Digit                (Nomor)]])</f>
        <v>0042</v>
      </c>
      <c r="BK503" s="95" t="str">
        <f>Table43[[#This Row],[Nama            Gramasi atau Jumlah Pack per CTN]]</f>
        <v>42GR</v>
      </c>
      <c r="BL503" s="95"/>
      <c r="BM503" s="95"/>
      <c r="BN503" s="94" t="str">
        <f>IF(Table43[[#This Row],[SATUAN Fix Win]]&lt;&gt;"","KRT")</f>
        <v>KRT</v>
      </c>
      <c r="BO503" s="94" t="str">
        <f>IF(Table43[[#This Row],[SATUAN Fix Win]]&lt;&gt;"","GD01")</f>
        <v>GD01</v>
      </c>
      <c r="BP503" s="94">
        <f>IF(Table43[[#This Row],[SATUAN Fix Win]]&lt;&gt;"",11611)</f>
        <v>11611</v>
      </c>
      <c r="BQ503" s="94">
        <f>IF(Table43[[#This Row],[SATUAN Fix Win]]&lt;&gt;"",11612)</f>
        <v>11612</v>
      </c>
      <c r="BR503" s="94"/>
      <c r="BS503" s="94">
        <f>IF(Table43[[#This Row],[SATUAN Fix Win]]&lt;&gt;"",1)</f>
        <v>1</v>
      </c>
      <c r="BT503" s="94"/>
      <c r="BU503" s="94">
        <f>Table43[[#This Row],[ISI/CTN]]</f>
        <v>72</v>
      </c>
    </row>
    <row r="504" spans="1:75">
      <c r="A504" s="71" t="str">
        <f>CONCATENATE(Table43[[#This Row],[Kode BARANG Win2]],Table43[[#This Row],[No. Urut
Item Sama]])</f>
        <v>G1262013004210</v>
      </c>
      <c r="B504" s="72"/>
      <c r="C504" s="73"/>
      <c r="D504" s="74">
        <v>40061770</v>
      </c>
      <c r="E504" s="75" t="s">
        <v>3431</v>
      </c>
      <c r="F504" s="74"/>
      <c r="G504" s="74">
        <v>0</v>
      </c>
      <c r="H504" s="75" t="s">
        <v>3431</v>
      </c>
      <c r="I504" s="75">
        <v>72</v>
      </c>
      <c r="J504" s="74"/>
      <c r="K504" s="75" t="str">
        <f>Table43[[#This Row],[NamaJenisKemasan]]</f>
        <v>PCS</v>
      </c>
      <c r="L504" s="71" t="str">
        <f>TRIM(CONCATENATE(Table43[[#This Row],[Nama            KLP]]," ",Table43[[#This Row],[Nama            Sub KLP]]))</f>
        <v>STELLA ALL IN ONE</v>
      </c>
      <c r="M504" s="71" t="str">
        <f>CONCATENATE(Table43[[#This Row],[kode  2 Digit                (hrf+No)]],Table43[[#This Row],[kode  2 Digit                (Nomor)]],Table43[[#This Row],[kode  1 Digit                (Nomor)]])</f>
        <v>G1262</v>
      </c>
      <c r="N504" s="71" t="str">
        <f>IF(AI504="",CONCATENATE(S504,U504,W504,Y504,AA504,AC504,AE504,AG504,Table43[[#This Row],[Tanda Kode Revisi]]),CONCATENATE(S504,U504,W504,Y504,AA504,AC504,AE504,AI504))</f>
        <v>G1262013004210</v>
      </c>
      <c r="O504" s="76">
        <f t="shared" si="12"/>
        <v>14</v>
      </c>
      <c r="P504" s="77" t="str">
        <f>IF(AH504&lt;&gt;"",TRIM(UPPER(CONCATENATE(R504," ",T504," ",V504," ",X504," ",Z504," ",AB504," ","X"," ",Table43[[#This Row],[ISI/CTN]]," ",AH504," ",AD504," ",AF504," ",AJ504))),TRIM(UPPER(CONCATENATE(R504," ",T504," ",V504," ",X504," ",Z504," ",AB504," ","X"," ",Table43[[#This Row],[ISI/CTN]]," ",AD504," ",AF504," ",AJ504))))</f>
        <v>STELLA ALL IN ONE F.SENSATION 42GR X 72 PCS</v>
      </c>
      <c r="Q504" s="76">
        <f t="shared" si="13"/>
        <v>43</v>
      </c>
      <c r="R504" s="71"/>
      <c r="S504" s="72" t="s">
        <v>34</v>
      </c>
      <c r="T504" s="71" t="s">
        <v>2421</v>
      </c>
      <c r="U504" s="78" t="s">
        <v>2584</v>
      </c>
      <c r="V504" s="79" t="s">
        <v>2418</v>
      </c>
      <c r="W504" s="72">
        <v>2</v>
      </c>
      <c r="X504" s="79"/>
      <c r="Y504" s="78" t="s">
        <v>1116</v>
      </c>
      <c r="Z504" s="71" t="s">
        <v>3432</v>
      </c>
      <c r="AA504" s="80" t="s">
        <v>2559</v>
      </c>
      <c r="AB504" s="71" t="s">
        <v>2373</v>
      </c>
      <c r="AC504" s="80" t="s">
        <v>2655</v>
      </c>
      <c r="AD504" s="71" t="s">
        <v>185</v>
      </c>
      <c r="AE504" s="72">
        <v>1</v>
      </c>
      <c r="AF504" s="71"/>
      <c r="AG504" s="72">
        <v>0</v>
      </c>
      <c r="AH504" s="72"/>
      <c r="AI504" s="72"/>
      <c r="AJ504" s="72"/>
      <c r="AK504" s="81">
        <f>Table43[[#This Row],[Column4]]</f>
        <v>0</v>
      </c>
      <c r="AL504" s="72"/>
      <c r="AM504" s="72"/>
      <c r="AN504" s="72">
        <f>Table43[[#This Row],[ISI/CTN]]</f>
        <v>72</v>
      </c>
      <c r="AO504" s="88">
        <f>Table43[[#This Row],[Harga Jual Pcs GT
(-PPN)]]-(Table43[[#This Row],[Harga Jual Pcs GT
(-PPN)]]*6.5%)</f>
        <v>8321.5</v>
      </c>
      <c r="AP504" s="88">
        <f>Table43[[#This Row],[Harga Beli Pcs
(-PPN)]]*Table43[[#This Row],[ISI/CTN]]</f>
        <v>599148</v>
      </c>
      <c r="AQ504" s="88">
        <f>Table43[[#This Row],[Harga Beli Pcs
(-PPN)]]*1.11</f>
        <v>9236.8650000000016</v>
      </c>
      <c r="AR504" s="88">
        <f>Table43[[#This Row],[Harga Beli Krt
(- PPN)]]*1.11</f>
        <v>665054.28</v>
      </c>
      <c r="AS504" s="88">
        <v>8900</v>
      </c>
      <c r="AT504" s="88">
        <f>Table43[[#This Row],[Harga Jual Pcs GT
(-PPN)]]*Table43[[#This Row],[ISI/CTN]]</f>
        <v>640800</v>
      </c>
      <c r="AU504" s="88">
        <f>Table43[[#This Row],[Harga Jual Pcs GT
(-PPN)]]*1.11</f>
        <v>9879</v>
      </c>
      <c r="AV504" s="88">
        <f>Table43[[#This Row],[Harga Jual Krt GT
(- PPN)]]*1.11</f>
        <v>711288.00000000012</v>
      </c>
      <c r="AW504" s="88">
        <f>IFERROR(VLOOKUP(Table43[[#This Row],[Kode Pcpl]],'[1]FEB 2026'!$A$3:$X$312,24,0),0)</f>
        <v>0</v>
      </c>
      <c r="AX504" s="88">
        <f>Table43[[#This Row],[Harga Jual Pcs MT
(-PPN)]]*Table43[[#This Row],[ISI/CTN]]</f>
        <v>0</v>
      </c>
      <c r="AY504" s="88">
        <f>Table43[[#This Row],[Harga Jual Pcs MT
(-PPN)]]*1.11</f>
        <v>0</v>
      </c>
      <c r="AZ504" s="88">
        <f>Table43[[#This Row],[Harga Jual Pcs MT
(+PPN)]]*Table43[[#This Row],[ISI/CTN]]</f>
        <v>0</v>
      </c>
      <c r="BA504" s="89">
        <f>(Table43[[#This Row],[Harga Jual Pcs GT
(-PPN)]]-Table43[[#This Row],[Harga Beli Pcs
(-PPN)]])/Table43[[#This Row],[Harga Jual Pcs GT
(-PPN)]]</f>
        <v>6.5000000000000002E-2</v>
      </c>
      <c r="BB504" s="90">
        <f>Table43[[#This Row],[Harga Jual Pcs MT
(-PPN)]]-Table43[[#This Row],[Harga Beli Pcs
(-PPN)]]</f>
        <v>-8321.5</v>
      </c>
      <c r="BC504" s="91" t="e">
        <f>Table43[[#This Row],[Column1]]/Table43[[#This Row],[Harga Jual Pcs MT
(-PPN)]]</f>
        <v>#DIV/0!</v>
      </c>
      <c r="BD504" s="86"/>
      <c r="BE504" s="72"/>
      <c r="BF504" s="72" t="str">
        <f ca="1">IF(TODAY()-Table43[[#This Row],[Efektif
Pembuatan]]&gt;60,"Lama","Baru")</f>
        <v>Lama</v>
      </c>
      <c r="BG504" s="72" t="str">
        <f ca="1">IF(TODAY()-Table43[[#This Row],[Efektif Naik Harga]]&lt;30,"Naik","Sama")</f>
        <v>Sama</v>
      </c>
      <c r="BH504" s="72"/>
      <c r="BI504" s="72" t="str">
        <f>IF(Table43[[#This Row],[Kode BARANG Win2]]&lt;&gt;"","IDR","")</f>
        <v>IDR</v>
      </c>
      <c r="BJ504" s="72" t="str">
        <f>CONCATENATE(Table43[[#This Row],[kode  1 Digit
(Nomor)]],Table43[[#This Row],[kode  4 Digit                (Nomor)]])</f>
        <v>0042</v>
      </c>
      <c r="BK504" s="72" t="str">
        <f>Table43[[#This Row],[Nama            Gramasi atau Jumlah Pack per CTN]]</f>
        <v>42GR</v>
      </c>
      <c r="BL504" s="72"/>
      <c r="BM504" s="72"/>
      <c r="BN504" s="71" t="str">
        <f>IF(Table43[[#This Row],[SATUAN Fix Win]]&lt;&gt;"","KRT")</f>
        <v>KRT</v>
      </c>
      <c r="BO504" s="71" t="str">
        <f>IF(Table43[[#This Row],[SATUAN Fix Win]]&lt;&gt;"","GD01")</f>
        <v>GD01</v>
      </c>
      <c r="BP504" s="71">
        <f>IF(Table43[[#This Row],[SATUAN Fix Win]]&lt;&gt;"",11611)</f>
        <v>11611</v>
      </c>
      <c r="BQ504" s="71">
        <f>IF(Table43[[#This Row],[SATUAN Fix Win]]&lt;&gt;"",11612)</f>
        <v>11612</v>
      </c>
      <c r="BR504" s="71"/>
      <c r="BS504" s="71">
        <f>IF(Table43[[#This Row],[SATUAN Fix Win]]&lt;&gt;"",1)</f>
        <v>1</v>
      </c>
      <c r="BT504" s="71"/>
      <c r="BU504" s="71">
        <f>Table43[[#This Row],[ISI/CTN]]</f>
        <v>72</v>
      </c>
    </row>
    <row r="505" spans="1:75">
      <c r="A505" s="4" t="str">
        <f>CONCATENATE(Table43[[#This Row],[Kode BARANG Win2]],Table43[[#This Row],[No. Urut
Item Sama]])</f>
        <v>G1262101004211</v>
      </c>
      <c r="B505" s="7"/>
      <c r="C505" s="31">
        <v>30500070042002</v>
      </c>
      <c r="D505" s="51">
        <v>40043490</v>
      </c>
      <c r="E505" s="27" t="s">
        <v>2106</v>
      </c>
      <c r="F505" s="51">
        <v>30500010042001</v>
      </c>
      <c r="G505" s="51">
        <v>0</v>
      </c>
      <c r="H505" s="27" t="s">
        <v>1428</v>
      </c>
      <c r="I505" s="27">
        <v>18</v>
      </c>
      <c r="J505" s="51" t="s">
        <v>1786</v>
      </c>
      <c r="K505" s="27" t="str">
        <f>Table43[[#This Row],[NamaJenisKemasan]]</f>
        <v>PCS</v>
      </c>
      <c r="L505" s="4" t="str">
        <f>TRIM(CONCATENATE(Table43[[#This Row],[Nama            KLP]]," ",Table43[[#This Row],[Nama            Sub KLP]]))</f>
        <v>STELLA ALL IN ONE</v>
      </c>
      <c r="M505" s="4" t="str">
        <f>CONCATENATE(Table43[[#This Row],[kode  2 Digit                (hrf+No)]],Table43[[#This Row],[kode  2 Digit                (Nomor)]],Table43[[#This Row],[kode  1 Digit                (Nomor)]])</f>
        <v>G1262</v>
      </c>
      <c r="N505" s="4" t="str">
        <f>IF(AI505="",CONCATENATE(S505,U505,W505,Y505,AA505,AC505,AE505,AG505,Table43[[#This Row],[Tanda Kode Revisi]]),CONCATENATE(S505,U505,W505,Y505,AA505,AC505,AE505,AI505))</f>
        <v>G1262101004211</v>
      </c>
      <c r="O505" s="11">
        <f t="shared" si="12"/>
        <v>14</v>
      </c>
      <c r="P505" s="14" t="str">
        <f>IF(AH505&lt;&gt;"",TRIM(UPPER(CONCATENATE(R505," ",T505," ",V505," ",X505," ",Z505," ",AB505," ","X"," ",Table43[[#This Row],[ISI/CTN]]," ",AH505," ",AD505," ",AF505," ",AJ505))),TRIM(UPPER(CONCATENATE(R505," ",T505," ",V505," ",X505," ",Z505," ",AB505," ","X"," ",Table43[[#This Row],[ISI/CTN]]," ",AD505," ",AF505," ",AJ505))))</f>
        <v>STELLA ALL IN ONE MULTI PACK CAFFE LATTE 42GR X 18 PCS 3+1</v>
      </c>
      <c r="Q505" s="11">
        <f t="shared" si="13"/>
        <v>58</v>
      </c>
      <c r="S505" s="7" t="s">
        <v>34</v>
      </c>
      <c r="T505" s="4" t="s">
        <v>2421</v>
      </c>
      <c r="U505" s="47" t="s">
        <v>2584</v>
      </c>
      <c r="V505" s="48" t="s">
        <v>2418</v>
      </c>
      <c r="W505" s="7">
        <v>2</v>
      </c>
      <c r="X505" s="48" t="s">
        <v>2399</v>
      </c>
      <c r="Y505" s="47" t="s">
        <v>2539</v>
      </c>
      <c r="Z505" s="4" t="s">
        <v>2419</v>
      </c>
      <c r="AA505" s="49" t="s">
        <v>1115</v>
      </c>
      <c r="AB505" s="4" t="s">
        <v>2373</v>
      </c>
      <c r="AC505" s="49" t="s">
        <v>2655</v>
      </c>
      <c r="AD505" s="4" t="s">
        <v>185</v>
      </c>
      <c r="AE505" s="7">
        <v>1</v>
      </c>
      <c r="AF505" s="65" t="s">
        <v>2420</v>
      </c>
      <c r="AG505" s="7">
        <v>1</v>
      </c>
      <c r="AK505" s="70">
        <f>Table43[[#This Row],[Column4]]</f>
        <v>30500010042001</v>
      </c>
      <c r="AN505" s="7">
        <f>Table43[[#This Row],[ISI/CTN]]</f>
        <v>18</v>
      </c>
      <c r="AO505" s="38">
        <f>Table43[[#This Row],[Harga Jual Pcs GT
(-PPN)]]-(Table43[[#This Row],[Harga Jual Pcs GT
(-PPN)]]*6.5%)</f>
        <v>31416</v>
      </c>
      <c r="AP505" s="38">
        <f>Table43[[#This Row],[Harga Beli Pcs
(-PPN)]]*Table43[[#This Row],[ISI/CTN]]</f>
        <v>565488</v>
      </c>
      <c r="AQ505" s="38">
        <f>Table43[[#This Row],[Harga Beli Pcs
(-PPN)]]*1.11</f>
        <v>34871.760000000002</v>
      </c>
      <c r="AR505" s="38">
        <f>Table43[[#This Row],[Harga Beli Krt
(- PPN)]]*1.11</f>
        <v>627691.68000000005</v>
      </c>
      <c r="AS505" s="38">
        <v>33600</v>
      </c>
      <c r="AT505" s="38">
        <f>Table43[[#This Row],[Harga Jual Pcs GT
(-PPN)]]*Table43[[#This Row],[ISI/CTN]]</f>
        <v>604800</v>
      </c>
      <c r="AU505" s="38">
        <f>Table43[[#This Row],[Harga Jual Pcs GT
(-PPN)]]*1.11</f>
        <v>37296</v>
      </c>
      <c r="AV505" s="38">
        <f>Table43[[#This Row],[Harga Jual Krt GT
(- PPN)]]*1.11</f>
        <v>671328.00000000012</v>
      </c>
      <c r="AW505" s="38">
        <f>IFERROR(VLOOKUP(Table43[[#This Row],[Kode Pcpl]],'[1]FEB 2026'!$A$3:$X$312,24,0),0)</f>
        <v>0</v>
      </c>
      <c r="AX505" s="38">
        <f>Table43[[#This Row],[Harga Jual Pcs MT
(-PPN)]]*Table43[[#This Row],[ISI/CTN]]</f>
        <v>0</v>
      </c>
      <c r="AY505" s="38">
        <f>Table43[[#This Row],[Harga Jual Pcs MT
(-PPN)]]*1.11</f>
        <v>0</v>
      </c>
      <c r="AZ505" s="38">
        <f>Table43[[#This Row],[Harga Jual Pcs MT
(+PPN)]]*Table43[[#This Row],[ISI/CTN]]</f>
        <v>0</v>
      </c>
      <c r="BA505" s="46">
        <f>(Table43[[#This Row],[Harga Jual Pcs GT
(-PPN)]]-Table43[[#This Row],[Harga Beli Pcs
(-PPN)]])/Table43[[#This Row],[Harga Jual Pcs GT
(-PPN)]]</f>
        <v>6.5000000000000002E-2</v>
      </c>
      <c r="BB505" s="53">
        <f>Table43[[#This Row],[Harga Jual Pcs MT
(-PPN)]]-Table43[[#This Row],[Harga Beli Pcs
(-PPN)]]</f>
        <v>-31416</v>
      </c>
      <c r="BC505" s="54" t="e">
        <f>Table43[[#This Row],[Column1]]/Table43[[#This Row],[Harga Jual Pcs MT
(-PPN)]]</f>
        <v>#DIV/0!</v>
      </c>
      <c r="BD505" s="52"/>
      <c r="BE505" s="7"/>
      <c r="BF505" s="7" t="str">
        <f ca="1">IF(TODAY()-Table43[[#This Row],[Efektif
Pembuatan]]&gt;60,"Lama","Baru")</f>
        <v>Lama</v>
      </c>
      <c r="BG505" s="7" t="str">
        <f ca="1">IF(TODAY()-Table43[[#This Row],[Efektif Naik Harga]]&lt;30,"Naik","Sama")</f>
        <v>Sama</v>
      </c>
      <c r="BH505" s="7"/>
      <c r="BI505" s="7" t="str">
        <f>IF(Table43[[#This Row],[Kode BARANG Win2]]&lt;&gt;"","IDR","")</f>
        <v>IDR</v>
      </c>
      <c r="BJ505" s="7" t="str">
        <f>CONCATENATE(Table43[[#This Row],[kode  1 Digit
(Nomor)]],Table43[[#This Row],[kode  4 Digit                (Nomor)]])</f>
        <v>0042</v>
      </c>
      <c r="BK505" s="7" t="str">
        <f>Table43[[#This Row],[Nama            Gramasi atau Jumlah Pack per CTN]]</f>
        <v>42GR</v>
      </c>
      <c r="BL505" s="7"/>
      <c r="BM505" s="7"/>
      <c r="BN505" s="4" t="str">
        <f>IF(Table43[[#This Row],[SATUAN Fix Win]]&lt;&gt;"","KRT")</f>
        <v>KRT</v>
      </c>
      <c r="BO505" s="4" t="str">
        <f>IF(Table43[[#This Row],[SATUAN Fix Win]]&lt;&gt;"","GD01")</f>
        <v>GD01</v>
      </c>
      <c r="BP505" s="4">
        <f>IF(Table43[[#This Row],[SATUAN Fix Win]]&lt;&gt;"",11611)</f>
        <v>11611</v>
      </c>
      <c r="BQ505" s="4">
        <f>IF(Table43[[#This Row],[SATUAN Fix Win]]&lt;&gt;"",11612)</f>
        <v>11612</v>
      </c>
      <c r="BS505" s="4">
        <f>IF(Table43[[#This Row],[SATUAN Fix Win]]&lt;&gt;"",1)</f>
        <v>1</v>
      </c>
      <c r="BU505" s="4">
        <f>Table43[[#This Row],[ISI/CTN]]</f>
        <v>18</v>
      </c>
    </row>
    <row r="506" spans="1:75">
      <c r="A506" s="4" t="str">
        <f>CONCATENATE(Table43[[#This Row],[Kode BARANG Win2]],Table43[[#This Row],[No. Urut
Item Sama]])</f>
        <v>G1262101004211</v>
      </c>
      <c r="B506" s="7"/>
      <c r="C506" s="31"/>
      <c r="D506" s="51">
        <v>40033267</v>
      </c>
      <c r="E506" s="27"/>
      <c r="F506" s="51"/>
      <c r="G506" s="51"/>
      <c r="H506" s="27"/>
      <c r="I506" s="27">
        <v>18</v>
      </c>
      <c r="J506" s="51" t="s">
        <v>1786</v>
      </c>
      <c r="K506" s="27" t="str">
        <f>Table43[[#This Row],[NamaJenisKemasan]]</f>
        <v>PCS</v>
      </c>
      <c r="L506" s="4" t="str">
        <f>TRIM(CONCATENATE(Table43[[#This Row],[Nama            KLP]]," ",Table43[[#This Row],[Nama            Sub KLP]]))</f>
        <v>STELLA ALL IN ONE</v>
      </c>
      <c r="M506" s="4" t="str">
        <f>CONCATENATE(Table43[[#This Row],[kode  2 Digit                (hrf+No)]],Table43[[#This Row],[kode  2 Digit                (Nomor)]],Table43[[#This Row],[kode  1 Digit                (Nomor)]])</f>
        <v>G1262</v>
      </c>
      <c r="N506" s="4" t="str">
        <f>IF(AI506="",CONCATENATE(S506,U506,W506,Y506,AA506,AC506,AE506,AG506,Table43[[#This Row],[Tanda Kode Revisi]]),CONCATENATE(S506,U506,W506,Y506,AA506,AC506,AE506,AI506))</f>
        <v>G1262101004211</v>
      </c>
      <c r="O506" s="11">
        <f>LEN(N506)</f>
        <v>14</v>
      </c>
      <c r="P506" s="14" t="str">
        <f>IF(AH506&lt;&gt;"",TRIM(UPPER(CONCATENATE(R506," ",T506," ",V506," ",X506," ",Z506," ",AB506," ","X"," ",Table43[[#This Row],[ISI/CTN]]," ",AH506," ",AD506," ",AF506," ",AJ506))),TRIM(UPPER(CONCATENATE(R506," ",T506," ",V506," ",X506," ",Z506," ",AB506," ","X"," ",Table43[[#This Row],[ISI/CTN]]," ",AD506," ",AF506," ",AJ506))))</f>
        <v>STELLA ALL IN ONE MULTI PACK CAFFE LATTE 42GR X 18 PCS 3+1</v>
      </c>
      <c r="Q506" s="11">
        <f>LEN(P506)</f>
        <v>58</v>
      </c>
      <c r="S506" s="7" t="s">
        <v>34</v>
      </c>
      <c r="T506" s="4" t="s">
        <v>2421</v>
      </c>
      <c r="U506" s="47" t="s">
        <v>2584</v>
      </c>
      <c r="V506" s="48" t="s">
        <v>2418</v>
      </c>
      <c r="W506" s="7">
        <v>2</v>
      </c>
      <c r="X506" s="48" t="s">
        <v>2399</v>
      </c>
      <c r="Y506" s="47" t="s">
        <v>2539</v>
      </c>
      <c r="Z506" s="4" t="s">
        <v>2419</v>
      </c>
      <c r="AA506" s="49" t="s">
        <v>1115</v>
      </c>
      <c r="AB506" s="4" t="s">
        <v>2373</v>
      </c>
      <c r="AC506" s="49" t="s">
        <v>2655</v>
      </c>
      <c r="AD506" s="4" t="s">
        <v>185</v>
      </c>
      <c r="AE506" s="7">
        <v>1</v>
      </c>
      <c r="AF506" s="65" t="s">
        <v>2420</v>
      </c>
      <c r="AG506" s="7">
        <v>1</v>
      </c>
      <c r="AK506" s="70">
        <f>Table43[[#This Row],[Column4]]</f>
        <v>0</v>
      </c>
      <c r="AN506" s="7">
        <f>Table43[[#This Row],[ISI/CTN]]</f>
        <v>18</v>
      </c>
      <c r="AO506" s="38">
        <f>Table43[[#This Row],[Harga Jual Pcs GT
(-PPN)]]-(Table43[[#This Row],[Harga Jual Pcs GT
(-PPN)]]*6.5%)</f>
        <v>0</v>
      </c>
      <c r="AP506" s="38">
        <f>Table43[[#This Row],[Harga Beli Pcs
(-PPN)]]*Table43[[#This Row],[ISI/CTN]]</f>
        <v>0</v>
      </c>
      <c r="AQ506" s="38">
        <f>Table43[[#This Row],[Harga Beli Pcs
(-PPN)]]*1.11</f>
        <v>0</v>
      </c>
      <c r="AR506" s="38">
        <f>Table43[[#This Row],[Harga Beli Krt
(- PPN)]]*1.11</f>
        <v>0</v>
      </c>
      <c r="AS506" s="38"/>
      <c r="AT506" s="38">
        <f>Table43[[#This Row],[Harga Jual Pcs GT
(-PPN)]]*Table43[[#This Row],[ISI/CTN]]</f>
        <v>0</v>
      </c>
      <c r="AU506" s="38">
        <f>Table43[[#This Row],[Harga Jual Pcs GT
(-PPN)]]*1.11</f>
        <v>0</v>
      </c>
      <c r="AV506" s="38">
        <f>Table43[[#This Row],[Harga Jual Krt GT
(- PPN)]]*1.11</f>
        <v>0</v>
      </c>
      <c r="AW506" s="38">
        <f>IFERROR(VLOOKUP(Table43[[#This Row],[Kode Pcpl]],'[1]FEB 2026'!$A$3:$X$312,24,0),0)</f>
        <v>0</v>
      </c>
      <c r="AX506" s="38">
        <f>Table43[[#This Row],[Harga Jual Pcs MT
(-PPN)]]*Table43[[#This Row],[ISI/CTN]]</f>
        <v>0</v>
      </c>
      <c r="AY506" s="38">
        <f>Table43[[#This Row],[Harga Jual Pcs MT
(-PPN)]]*1.11</f>
        <v>0</v>
      </c>
      <c r="AZ506" s="38">
        <f>Table43[[#This Row],[Harga Jual Pcs MT
(+PPN)]]*Table43[[#This Row],[ISI/CTN]]</f>
        <v>0</v>
      </c>
      <c r="BA506" s="46" t="e">
        <f>(Table43[[#This Row],[Harga Jual Pcs GT
(-PPN)]]-Table43[[#This Row],[Harga Beli Pcs
(-PPN)]])/Table43[[#This Row],[Harga Jual Pcs GT
(-PPN)]]</f>
        <v>#DIV/0!</v>
      </c>
      <c r="BB506" s="53">
        <f>Table43[[#This Row],[Harga Jual Pcs MT
(-PPN)]]-Table43[[#This Row],[Harga Beli Pcs
(-PPN)]]</f>
        <v>0</v>
      </c>
      <c r="BC506" s="54" t="e">
        <f>Table43[[#This Row],[Column1]]/Table43[[#This Row],[Harga Jual Pcs MT
(-PPN)]]</f>
        <v>#DIV/0!</v>
      </c>
      <c r="BD506" s="52"/>
      <c r="BE506" s="7"/>
      <c r="BF506" s="7" t="str">
        <f ca="1">IF(TODAY()-Table43[[#This Row],[Efektif
Pembuatan]]&gt;60,"Lama","Baru")</f>
        <v>Lama</v>
      </c>
      <c r="BG506" s="7" t="str">
        <f ca="1">IF(TODAY()-Table43[[#This Row],[Efektif Naik Harga]]&lt;30,"Naik","Sama")</f>
        <v>Sama</v>
      </c>
      <c r="BH506" s="7"/>
      <c r="BI506" s="7" t="str">
        <f>IF(Table43[[#This Row],[Kode BARANG Win2]]&lt;&gt;"","IDR","")</f>
        <v>IDR</v>
      </c>
      <c r="BJ506" s="7" t="str">
        <f>CONCATENATE(Table43[[#This Row],[kode  1 Digit
(Nomor)]],Table43[[#This Row],[kode  4 Digit                (Nomor)]])</f>
        <v>0042</v>
      </c>
      <c r="BK506" s="7" t="str">
        <f>Table43[[#This Row],[Nama            Gramasi atau Jumlah Pack per CTN]]</f>
        <v>42GR</v>
      </c>
      <c r="BL506" s="7"/>
      <c r="BM506" s="7"/>
      <c r="BN506" s="4" t="str">
        <f>IF(Table43[[#This Row],[SATUAN Fix Win]]&lt;&gt;"","KRT")</f>
        <v>KRT</v>
      </c>
      <c r="BO506" s="4" t="str">
        <f>IF(Table43[[#This Row],[SATUAN Fix Win]]&lt;&gt;"","GD01")</f>
        <v>GD01</v>
      </c>
      <c r="BP506" s="4">
        <f>IF(Table43[[#This Row],[SATUAN Fix Win]]&lt;&gt;"",11611)</f>
        <v>11611</v>
      </c>
      <c r="BQ506" s="4">
        <f>IF(Table43[[#This Row],[SATUAN Fix Win]]&lt;&gt;"",11612)</f>
        <v>11612</v>
      </c>
      <c r="BS506" s="4">
        <f>IF(Table43[[#This Row],[SATUAN Fix Win]]&lt;&gt;"",1)</f>
        <v>1</v>
      </c>
      <c r="BU506" s="4">
        <f>Table43[[#This Row],[ISI/CTN]]</f>
        <v>18</v>
      </c>
    </row>
    <row r="507" spans="1:75">
      <c r="A507" s="4" t="str">
        <f>CONCATENATE(Table43[[#This Row],[Kode BARANG Win2]],Table43[[#This Row],[No. Urut
Item Sama]])</f>
        <v>G1262102004211</v>
      </c>
      <c r="B507" s="7"/>
      <c r="C507" s="31">
        <v>30500090042002</v>
      </c>
      <c r="D507" s="51">
        <v>40043491</v>
      </c>
      <c r="E507" s="27" t="s">
        <v>2126</v>
      </c>
      <c r="F507" s="51">
        <v>30501100042003</v>
      </c>
      <c r="G507" s="51">
        <v>0</v>
      </c>
      <c r="H507" s="27" t="s">
        <v>1449</v>
      </c>
      <c r="I507" s="27">
        <v>18</v>
      </c>
      <c r="J507" s="51" t="s">
        <v>1796</v>
      </c>
      <c r="K507" s="27" t="str">
        <f>Table43[[#This Row],[NamaJenisKemasan]]</f>
        <v>PCS</v>
      </c>
      <c r="L507" s="4" t="str">
        <f>TRIM(CONCATENATE(Table43[[#This Row],[Nama            KLP]]," ",Table43[[#This Row],[Nama            Sub KLP]]))</f>
        <v>STELLA ALL IN ONE</v>
      </c>
      <c r="M507" s="4" t="str">
        <f>CONCATENATE(Table43[[#This Row],[kode  2 Digit                (hrf+No)]],Table43[[#This Row],[kode  2 Digit                (Nomor)]],Table43[[#This Row],[kode  1 Digit                (Nomor)]])</f>
        <v>G1262</v>
      </c>
      <c r="N507" s="4" t="str">
        <f>IF(AI507="",CONCATENATE(S507,U507,W507,Y507,AA507,AC507,AE507,AG507,Table43[[#This Row],[Tanda Kode Revisi]]),CONCATENATE(S507,U507,W507,Y507,AA507,AC507,AE507,AI507))</f>
        <v>G1262102004211</v>
      </c>
      <c r="O507" s="11">
        <f t="shared" si="12"/>
        <v>14</v>
      </c>
      <c r="P507" s="14" t="str">
        <f>IF(AH507&lt;&gt;"",TRIM(UPPER(CONCATENATE(R507," ",T507," ",V507," ",X507," ",Z507," ",AB507," ","X"," ",Table43[[#This Row],[ISI/CTN]]," ",AH507," ",AD507," ",AF507," ",AJ507))),TRIM(UPPER(CONCATENATE(R507," ",T507," ",V507," ",X507," ",Z507," ",AB507," ","X"," ",Table43[[#This Row],[ISI/CTN]]," ",AD507," ",AF507," ",AJ507))))</f>
        <v>STELLA ALL IN ONE MULTI PACK LAVENDER 42GR X 18 PCS 3+1</v>
      </c>
      <c r="Q507" s="11">
        <f t="shared" si="13"/>
        <v>55</v>
      </c>
      <c r="S507" s="7" t="s">
        <v>34</v>
      </c>
      <c r="T507" s="4" t="s">
        <v>2421</v>
      </c>
      <c r="U507" s="47" t="s">
        <v>2584</v>
      </c>
      <c r="V507" s="48" t="s">
        <v>2418</v>
      </c>
      <c r="W507" s="7">
        <v>2</v>
      </c>
      <c r="X507" s="48" t="s">
        <v>2399</v>
      </c>
      <c r="Y507" s="47" t="s">
        <v>2539</v>
      </c>
      <c r="Z507" s="4" t="s">
        <v>2426</v>
      </c>
      <c r="AA507" s="49" t="s">
        <v>2459</v>
      </c>
      <c r="AB507" s="4" t="s">
        <v>2373</v>
      </c>
      <c r="AC507" s="49" t="s">
        <v>2655</v>
      </c>
      <c r="AD507" s="4" t="s">
        <v>185</v>
      </c>
      <c r="AE507" s="7">
        <v>1</v>
      </c>
      <c r="AF507" s="65" t="s">
        <v>2420</v>
      </c>
      <c r="AG507" s="7">
        <v>1</v>
      </c>
      <c r="AK507" s="70">
        <f>Table43[[#This Row],[Column4]]</f>
        <v>30501100042003</v>
      </c>
      <c r="AN507" s="7">
        <f>Table43[[#This Row],[ISI/CTN]]</f>
        <v>18</v>
      </c>
      <c r="AO507" s="61">
        <f>Table43[[#This Row],[Harga Jual Pcs GT
(-PPN)]]-(Table43[[#This Row],[Harga Jual Pcs GT
(-PPN)]]*6.5%)</f>
        <v>31416</v>
      </c>
      <c r="AP507" s="61">
        <f>Table43[[#This Row],[Harga Beli Pcs
(-PPN)]]*Table43[[#This Row],[ISI/CTN]]</f>
        <v>565488</v>
      </c>
      <c r="AQ507" s="61">
        <f>Table43[[#This Row],[Harga Beli Pcs
(-PPN)]]*1.11</f>
        <v>34871.760000000002</v>
      </c>
      <c r="AR507" s="61">
        <f>Table43[[#This Row],[Harga Beli Krt
(- PPN)]]*1.11</f>
        <v>627691.68000000005</v>
      </c>
      <c r="AS507" s="61">
        <v>33600</v>
      </c>
      <c r="AT507" s="61">
        <f>Table43[[#This Row],[Harga Jual Pcs GT
(-PPN)]]*Table43[[#This Row],[ISI/CTN]]</f>
        <v>604800</v>
      </c>
      <c r="AU507" s="61">
        <f>Table43[[#This Row],[Harga Jual Pcs GT
(-PPN)]]*1.11</f>
        <v>37296</v>
      </c>
      <c r="AV507" s="61">
        <f>Table43[[#This Row],[Harga Jual Krt GT
(- PPN)]]*1.11</f>
        <v>671328.00000000012</v>
      </c>
      <c r="AW507" s="61">
        <f>IFERROR(VLOOKUP(Table43[[#This Row],[Kode Pcpl]],'[1]FEB 2026'!$A$3:$X$312,24,0),0)</f>
        <v>0</v>
      </c>
      <c r="AX507" s="61">
        <f>Table43[[#This Row],[Harga Jual Pcs MT
(-PPN)]]*Table43[[#This Row],[ISI/CTN]]</f>
        <v>0</v>
      </c>
      <c r="AY507" s="61">
        <f>Table43[[#This Row],[Harga Jual Pcs MT
(-PPN)]]*1.11</f>
        <v>0</v>
      </c>
      <c r="AZ507" s="61">
        <f>Table43[[#This Row],[Harga Jual Pcs MT
(+PPN)]]*Table43[[#This Row],[ISI/CTN]]</f>
        <v>0</v>
      </c>
      <c r="BA507" s="62">
        <f>(Table43[[#This Row],[Harga Jual Pcs GT
(-PPN)]]-Table43[[#This Row],[Harga Beli Pcs
(-PPN)]])/Table43[[#This Row],[Harga Jual Pcs GT
(-PPN)]]</f>
        <v>6.5000000000000002E-2</v>
      </c>
      <c r="BB507" s="63">
        <f>Table43[[#This Row],[Harga Jual Pcs MT
(-PPN)]]-Table43[[#This Row],[Harga Beli Pcs
(-PPN)]]</f>
        <v>-31416</v>
      </c>
      <c r="BC507" s="64" t="e">
        <f>Table43[[#This Row],[Column1]]/Table43[[#This Row],[Harga Jual Pcs MT
(-PPN)]]</f>
        <v>#DIV/0!</v>
      </c>
      <c r="BD507" s="52"/>
      <c r="BE507" s="7"/>
      <c r="BF507" s="7" t="str">
        <f ca="1">IF(TODAY()-Table43[[#This Row],[Efektif
Pembuatan]]&gt;60,"Lama","Baru")</f>
        <v>Lama</v>
      </c>
      <c r="BG507" s="7" t="str">
        <f ca="1">IF(TODAY()-Table43[[#This Row],[Efektif Naik Harga]]&lt;30,"Naik","Sama")</f>
        <v>Sama</v>
      </c>
      <c r="BH507" s="7"/>
      <c r="BI507" s="7" t="str">
        <f>IF(Table43[[#This Row],[Kode BARANG Win2]]&lt;&gt;"","IDR","")</f>
        <v>IDR</v>
      </c>
      <c r="BJ507" s="7" t="str">
        <f>CONCATENATE(Table43[[#This Row],[kode  1 Digit
(Nomor)]],Table43[[#This Row],[kode  4 Digit                (Nomor)]])</f>
        <v>0042</v>
      </c>
      <c r="BK507" s="7" t="str">
        <f>Table43[[#This Row],[Nama            Gramasi atau Jumlah Pack per CTN]]</f>
        <v>42GR</v>
      </c>
      <c r="BL507" s="7"/>
      <c r="BM507" s="7"/>
      <c r="BN507" s="4" t="str">
        <f>IF(Table43[[#This Row],[SATUAN Fix Win]]&lt;&gt;"","KRT")</f>
        <v>KRT</v>
      </c>
      <c r="BO507" s="4" t="str">
        <f>IF(Table43[[#This Row],[SATUAN Fix Win]]&lt;&gt;"","GD01")</f>
        <v>GD01</v>
      </c>
      <c r="BP507" s="4">
        <f>IF(Table43[[#This Row],[SATUAN Fix Win]]&lt;&gt;"",11611)</f>
        <v>11611</v>
      </c>
      <c r="BQ507" s="4">
        <f>IF(Table43[[#This Row],[SATUAN Fix Win]]&lt;&gt;"",11612)</f>
        <v>11612</v>
      </c>
      <c r="BS507" s="4">
        <f>IF(Table43[[#This Row],[SATUAN Fix Win]]&lt;&gt;"",1)</f>
        <v>1</v>
      </c>
      <c r="BU507" s="4">
        <f>Table43[[#This Row],[ISI/CTN]]</f>
        <v>18</v>
      </c>
    </row>
    <row r="508" spans="1:75">
      <c r="A508" s="4" t="str">
        <f>CONCATENATE(Table43[[#This Row],[Kode BARANG Win2]],Table43[[#This Row],[No. Urut
Item Sama]])</f>
        <v>G1262102004211</v>
      </c>
      <c r="B508" s="7"/>
      <c r="C508" s="31">
        <v>30500090042002</v>
      </c>
      <c r="D508" s="51">
        <v>40061775</v>
      </c>
      <c r="E508" s="27"/>
      <c r="F508" s="51">
        <v>30501100042003</v>
      </c>
      <c r="G508" s="51">
        <v>0</v>
      </c>
      <c r="H508" s="27" t="s">
        <v>2651</v>
      </c>
      <c r="I508" s="27">
        <v>18</v>
      </c>
      <c r="J508" s="51" t="s">
        <v>1796</v>
      </c>
      <c r="K508" s="27" t="str">
        <f>Table43[[#This Row],[NamaJenisKemasan]]</f>
        <v>PCS</v>
      </c>
      <c r="L508" s="4" t="str">
        <f>TRIM(CONCATENATE(Table43[[#This Row],[Nama            KLP]]," ",Table43[[#This Row],[Nama            Sub KLP]]))</f>
        <v>STELLA ALL IN ONE</v>
      </c>
      <c r="M508" s="4" t="str">
        <f>CONCATENATE(Table43[[#This Row],[kode  2 Digit                (hrf+No)]],Table43[[#This Row],[kode  2 Digit                (Nomor)]],Table43[[#This Row],[kode  1 Digit                (Nomor)]])</f>
        <v>G1262</v>
      </c>
      <c r="N508" s="4" t="str">
        <f>IF(AI508="",CONCATENATE(S508,U508,W508,Y508,AA508,AC508,AE508,AG508,Table43[[#This Row],[Tanda Kode Revisi]]),CONCATENATE(S508,U508,W508,Y508,AA508,AC508,AE508,AI508))</f>
        <v>G1262102004211</v>
      </c>
      <c r="O508" s="11">
        <f t="shared" si="12"/>
        <v>14</v>
      </c>
      <c r="P508" s="14" t="str">
        <f>IF(AH508&lt;&gt;"",TRIM(UPPER(CONCATENATE(R508," ",T508," ",V508," ",X508," ",Z508," ",AB508," ","X"," ",Table43[[#This Row],[ISI/CTN]]," ",AH508," ",AD508," ",AF508," ",AJ508))),TRIM(UPPER(CONCATENATE(R508," ",T508," ",V508," ",X508," ",Z508," ",AB508," ","X"," ",Table43[[#This Row],[ISI/CTN]]," ",AD508," ",AF508," ",AJ508))))</f>
        <v>STELLA ALL IN ONE MULTI PACK LAVENDER 42GR X 18 PCS 3+1</v>
      </c>
      <c r="Q508" s="11">
        <f t="shared" si="13"/>
        <v>55</v>
      </c>
      <c r="S508" s="7" t="s">
        <v>34</v>
      </c>
      <c r="T508" s="4" t="s">
        <v>2421</v>
      </c>
      <c r="U508" s="47" t="s">
        <v>2584</v>
      </c>
      <c r="V508" s="48" t="s">
        <v>2418</v>
      </c>
      <c r="W508" s="7">
        <v>2</v>
      </c>
      <c r="X508" s="48" t="s">
        <v>2399</v>
      </c>
      <c r="Y508" s="47" t="s">
        <v>2539</v>
      </c>
      <c r="Z508" s="4" t="s">
        <v>2426</v>
      </c>
      <c r="AA508" s="49" t="s">
        <v>2459</v>
      </c>
      <c r="AB508" s="4" t="s">
        <v>2373</v>
      </c>
      <c r="AC508" s="49" t="s">
        <v>2655</v>
      </c>
      <c r="AD508" s="4" t="s">
        <v>185</v>
      </c>
      <c r="AE508" s="7">
        <v>1</v>
      </c>
      <c r="AF508" s="65" t="s">
        <v>2420</v>
      </c>
      <c r="AG508" s="7">
        <v>1</v>
      </c>
      <c r="AK508" s="70">
        <f>Table43[[#This Row],[Column4]]</f>
        <v>30501100042003</v>
      </c>
      <c r="AN508" s="7">
        <f>Table43[[#This Row],[ISI/CTN]]</f>
        <v>18</v>
      </c>
      <c r="AO508" s="61">
        <f>Table43[[#This Row],[Harga Jual Pcs GT
(-PPN)]]-(Table43[[#This Row],[Harga Jual Pcs GT
(-PPN)]]*6.5%)</f>
        <v>31416</v>
      </c>
      <c r="AP508" s="61">
        <f>Table43[[#This Row],[Harga Beli Pcs
(-PPN)]]*Table43[[#This Row],[ISI/CTN]]</f>
        <v>565488</v>
      </c>
      <c r="AQ508" s="61">
        <f>Table43[[#This Row],[Harga Beli Pcs
(-PPN)]]*1.11</f>
        <v>34871.760000000002</v>
      </c>
      <c r="AR508" s="61">
        <f>Table43[[#This Row],[Harga Beli Krt
(- PPN)]]*1.11</f>
        <v>627691.68000000005</v>
      </c>
      <c r="AS508" s="61">
        <v>33600</v>
      </c>
      <c r="AT508" s="61">
        <f>Table43[[#This Row],[Harga Jual Pcs GT
(-PPN)]]*Table43[[#This Row],[ISI/CTN]]</f>
        <v>604800</v>
      </c>
      <c r="AU508" s="61">
        <f>Table43[[#This Row],[Harga Jual Pcs GT
(-PPN)]]*1.11</f>
        <v>37296</v>
      </c>
      <c r="AV508" s="61">
        <f>Table43[[#This Row],[Harga Jual Krt GT
(- PPN)]]*1.11</f>
        <v>671328.00000000012</v>
      </c>
      <c r="AW508" s="61">
        <f>IFERROR(VLOOKUP(Table43[[#This Row],[Kode Pcpl]],'[1]FEB 2026'!$A$3:$X$312,24,0),0)</f>
        <v>0</v>
      </c>
      <c r="AX508" s="61">
        <f>Table43[[#This Row],[Harga Jual Pcs MT
(-PPN)]]*Table43[[#This Row],[ISI/CTN]]</f>
        <v>0</v>
      </c>
      <c r="AY508" s="61">
        <f>Table43[[#This Row],[Harga Jual Pcs MT
(-PPN)]]*1.11</f>
        <v>0</v>
      </c>
      <c r="AZ508" s="61">
        <f>Table43[[#This Row],[Harga Jual Pcs MT
(+PPN)]]*Table43[[#This Row],[ISI/CTN]]</f>
        <v>0</v>
      </c>
      <c r="BA508" s="62">
        <f>(Table43[[#This Row],[Harga Jual Pcs GT
(-PPN)]]-Table43[[#This Row],[Harga Beli Pcs
(-PPN)]])/Table43[[#This Row],[Harga Jual Pcs GT
(-PPN)]]</f>
        <v>6.5000000000000002E-2</v>
      </c>
      <c r="BB508" s="63">
        <f>Table43[[#This Row],[Harga Jual Pcs MT
(-PPN)]]-Table43[[#This Row],[Harga Beli Pcs
(-PPN)]]</f>
        <v>-31416</v>
      </c>
      <c r="BC508" s="64" t="e">
        <f>Table43[[#This Row],[Column1]]/Table43[[#This Row],[Harga Jual Pcs MT
(-PPN)]]</f>
        <v>#DIV/0!</v>
      </c>
      <c r="BD508" s="52"/>
      <c r="BE508" s="7"/>
      <c r="BF508" s="7" t="str">
        <f ca="1">IF(TODAY()-Table43[[#This Row],[Efektif
Pembuatan]]&gt;60,"Lama","Baru")</f>
        <v>Lama</v>
      </c>
      <c r="BG508" s="7" t="str">
        <f ca="1">IF(TODAY()-Table43[[#This Row],[Efektif Naik Harga]]&lt;30,"Naik","Sama")</f>
        <v>Sama</v>
      </c>
      <c r="BH508" s="7"/>
      <c r="BI508" s="7" t="str">
        <f>IF(Table43[[#This Row],[Kode BARANG Win2]]&lt;&gt;"","IDR","")</f>
        <v>IDR</v>
      </c>
      <c r="BJ508" s="7" t="str">
        <f>CONCATENATE(Table43[[#This Row],[kode  1 Digit
(Nomor)]],Table43[[#This Row],[kode  4 Digit                (Nomor)]])</f>
        <v>0042</v>
      </c>
      <c r="BK508" s="7" t="str">
        <f>Table43[[#This Row],[Nama            Gramasi atau Jumlah Pack per CTN]]</f>
        <v>42GR</v>
      </c>
      <c r="BL508" s="7"/>
      <c r="BM508" s="7"/>
      <c r="BN508" s="4" t="str">
        <f>IF(Table43[[#This Row],[SATUAN Fix Win]]&lt;&gt;"","KRT")</f>
        <v>KRT</v>
      </c>
      <c r="BO508" s="4" t="str">
        <f>IF(Table43[[#This Row],[SATUAN Fix Win]]&lt;&gt;"","GD01")</f>
        <v>GD01</v>
      </c>
      <c r="BP508" s="4">
        <f>IF(Table43[[#This Row],[SATUAN Fix Win]]&lt;&gt;"",11611)</f>
        <v>11611</v>
      </c>
      <c r="BQ508" s="4">
        <f>IF(Table43[[#This Row],[SATUAN Fix Win]]&lt;&gt;"",11612)</f>
        <v>11612</v>
      </c>
      <c r="BS508" s="4">
        <f>IF(Table43[[#This Row],[SATUAN Fix Win]]&lt;&gt;"",1)</f>
        <v>1</v>
      </c>
      <c r="BU508" s="4">
        <f>Table43[[#This Row],[ISI/CTN]]</f>
        <v>18</v>
      </c>
    </row>
    <row r="509" spans="1:75">
      <c r="A509" s="4" t="str">
        <f>CONCATENATE(Table43[[#This Row],[Kode BARANG Win2]],Table43[[#This Row],[No. Urut
Item Sama]])</f>
        <v>G1262103004211</v>
      </c>
      <c r="B509" s="7"/>
      <c r="C509" s="31">
        <v>30540010007000</v>
      </c>
      <c r="D509" s="51">
        <v>40043489</v>
      </c>
      <c r="E509" s="27" t="s">
        <v>2113</v>
      </c>
      <c r="F509" s="51">
        <v>30500040042001</v>
      </c>
      <c r="G509" s="51">
        <v>0</v>
      </c>
      <c r="H509" s="27" t="s">
        <v>1435</v>
      </c>
      <c r="I509" s="27">
        <v>18</v>
      </c>
      <c r="J509" s="51" t="s">
        <v>1790</v>
      </c>
      <c r="K509" s="27" t="str">
        <f>Table43[[#This Row],[NamaJenisKemasan]]</f>
        <v>PCS</v>
      </c>
      <c r="L509" s="4" t="str">
        <f>TRIM(CONCATENATE(Table43[[#This Row],[Nama            KLP]]," ",Table43[[#This Row],[Nama            Sub KLP]]))</f>
        <v>STELLA ALL IN ONE</v>
      </c>
      <c r="M509" s="4" t="str">
        <f>CONCATENATE(Table43[[#This Row],[kode  2 Digit                (hrf+No)]],Table43[[#This Row],[kode  2 Digit                (Nomor)]],Table43[[#This Row],[kode  1 Digit                (Nomor)]])</f>
        <v>G1262</v>
      </c>
      <c r="N509" s="4" t="str">
        <f>IF(AI509="",CONCATENATE(S509,U509,W509,Y509,AA509,AC509,AE509,AG509,Table43[[#This Row],[Tanda Kode Revisi]]),CONCATENATE(S509,U509,W509,Y509,AA509,AC509,AE509,AI509))</f>
        <v>G1262103004211</v>
      </c>
      <c r="O509" s="11">
        <f t="shared" si="12"/>
        <v>14</v>
      </c>
      <c r="P509" s="14" t="str">
        <f>IF(AH509&lt;&gt;"",TRIM(UPPER(CONCATENATE(R509," ",T509," ",V509," ",X509," ",Z509," ",AB509," ","X"," ",Table43[[#This Row],[ISI/CTN]]," ",AH509," ",AD509," ",AF509," ",AJ509))),TRIM(UPPER(CONCATENATE(R509," ",T509," ",V509," ",X509," ",Z509," ",AB509," ","X"," ",Table43[[#This Row],[ISI/CTN]]," ",AD509," ",AF509," ",AJ509))))</f>
        <v>STELLA ALL IN ONE MULTI PACK LEMON 42GR X 18 PCS 3+1</v>
      </c>
      <c r="Q509" s="11">
        <f t="shared" si="13"/>
        <v>52</v>
      </c>
      <c r="S509" s="7" t="s">
        <v>34</v>
      </c>
      <c r="T509" s="4" t="s">
        <v>2421</v>
      </c>
      <c r="U509" s="47" t="s">
        <v>2584</v>
      </c>
      <c r="V509" s="48" t="s">
        <v>2418</v>
      </c>
      <c r="W509" s="7">
        <v>2</v>
      </c>
      <c r="X509" s="48" t="s">
        <v>2399</v>
      </c>
      <c r="Y509" s="47" t="s">
        <v>2539</v>
      </c>
      <c r="Z509" s="4" t="s">
        <v>2321</v>
      </c>
      <c r="AA509" s="49" t="s">
        <v>2538</v>
      </c>
      <c r="AB509" s="4" t="s">
        <v>2373</v>
      </c>
      <c r="AC509" s="49" t="s">
        <v>2655</v>
      </c>
      <c r="AD509" s="4" t="s">
        <v>185</v>
      </c>
      <c r="AE509" s="7">
        <v>1</v>
      </c>
      <c r="AF509" s="65" t="s">
        <v>2420</v>
      </c>
      <c r="AG509" s="7">
        <v>1</v>
      </c>
      <c r="AK509" s="70">
        <f>Table43[[#This Row],[Column4]]</f>
        <v>30500040042001</v>
      </c>
      <c r="AN509" s="7">
        <f>Table43[[#This Row],[ISI/CTN]]</f>
        <v>18</v>
      </c>
      <c r="AO509" s="38">
        <f>Table43[[#This Row],[Harga Jual Pcs GT
(-PPN)]]-(Table43[[#This Row],[Harga Jual Pcs GT
(-PPN)]]*6.5%)</f>
        <v>31416</v>
      </c>
      <c r="AP509" s="38">
        <f>Table43[[#This Row],[Harga Beli Pcs
(-PPN)]]*Table43[[#This Row],[ISI/CTN]]</f>
        <v>565488</v>
      </c>
      <c r="AQ509" s="38">
        <f>Table43[[#This Row],[Harga Beli Pcs
(-PPN)]]*1.11</f>
        <v>34871.760000000002</v>
      </c>
      <c r="AR509" s="38">
        <f>Table43[[#This Row],[Harga Beli Krt
(- PPN)]]*1.11</f>
        <v>627691.68000000005</v>
      </c>
      <c r="AS509" s="38">
        <v>33600</v>
      </c>
      <c r="AT509" s="38">
        <f>Table43[[#This Row],[Harga Jual Pcs GT
(-PPN)]]*Table43[[#This Row],[ISI/CTN]]</f>
        <v>604800</v>
      </c>
      <c r="AU509" s="38">
        <f>Table43[[#This Row],[Harga Jual Pcs GT
(-PPN)]]*1.11</f>
        <v>37296</v>
      </c>
      <c r="AV509" s="38">
        <f>Table43[[#This Row],[Harga Jual Krt GT
(- PPN)]]*1.11</f>
        <v>671328.00000000012</v>
      </c>
      <c r="AW509" s="38">
        <f>IFERROR(VLOOKUP(Table43[[#This Row],[Kode Pcpl]],'[1]FEB 2026'!$A$3:$X$312,24,0),0)</f>
        <v>0</v>
      </c>
      <c r="AX509" s="38">
        <f>Table43[[#This Row],[Harga Jual Pcs MT
(-PPN)]]*Table43[[#This Row],[ISI/CTN]]</f>
        <v>0</v>
      </c>
      <c r="AY509" s="38">
        <f>Table43[[#This Row],[Harga Jual Pcs MT
(-PPN)]]*1.11</f>
        <v>0</v>
      </c>
      <c r="AZ509" s="38">
        <f>Table43[[#This Row],[Harga Jual Pcs MT
(+PPN)]]*Table43[[#This Row],[ISI/CTN]]</f>
        <v>0</v>
      </c>
      <c r="BA509" s="46">
        <f>(Table43[[#This Row],[Harga Jual Pcs GT
(-PPN)]]-Table43[[#This Row],[Harga Beli Pcs
(-PPN)]])/Table43[[#This Row],[Harga Jual Pcs GT
(-PPN)]]</f>
        <v>6.5000000000000002E-2</v>
      </c>
      <c r="BB509" s="53">
        <f>Table43[[#This Row],[Harga Jual Pcs MT
(-PPN)]]-Table43[[#This Row],[Harga Beli Pcs
(-PPN)]]</f>
        <v>-31416</v>
      </c>
      <c r="BC509" s="54" t="e">
        <f>Table43[[#This Row],[Column1]]/Table43[[#This Row],[Harga Jual Pcs MT
(-PPN)]]</f>
        <v>#DIV/0!</v>
      </c>
      <c r="BD509" s="52"/>
      <c r="BE509" s="7"/>
      <c r="BF509" s="7" t="str">
        <f ca="1">IF(TODAY()-Table43[[#This Row],[Efektif
Pembuatan]]&gt;60,"Lama","Baru")</f>
        <v>Lama</v>
      </c>
      <c r="BG509" s="7" t="str">
        <f ca="1">IF(TODAY()-Table43[[#This Row],[Efektif Naik Harga]]&lt;30,"Naik","Sama")</f>
        <v>Sama</v>
      </c>
      <c r="BH509" s="7"/>
      <c r="BI509" s="7" t="str">
        <f>IF(Table43[[#This Row],[Kode BARANG Win2]]&lt;&gt;"","IDR","")</f>
        <v>IDR</v>
      </c>
      <c r="BJ509" s="7" t="str">
        <f>CONCATENATE(Table43[[#This Row],[kode  1 Digit
(Nomor)]],Table43[[#This Row],[kode  4 Digit                (Nomor)]])</f>
        <v>0042</v>
      </c>
      <c r="BK509" s="7" t="str">
        <f>Table43[[#This Row],[Nama            Gramasi atau Jumlah Pack per CTN]]</f>
        <v>42GR</v>
      </c>
      <c r="BL509" s="7"/>
      <c r="BM509" s="7"/>
      <c r="BN509" s="4" t="str">
        <f>IF(Table43[[#This Row],[SATUAN Fix Win]]&lt;&gt;"","KRT")</f>
        <v>KRT</v>
      </c>
      <c r="BO509" s="4" t="str">
        <f>IF(Table43[[#This Row],[SATUAN Fix Win]]&lt;&gt;"","GD01")</f>
        <v>GD01</v>
      </c>
      <c r="BP509" s="4">
        <f>IF(Table43[[#This Row],[SATUAN Fix Win]]&lt;&gt;"",11611)</f>
        <v>11611</v>
      </c>
      <c r="BQ509" s="4">
        <f>IF(Table43[[#This Row],[SATUAN Fix Win]]&lt;&gt;"",11612)</f>
        <v>11612</v>
      </c>
      <c r="BS509" s="4">
        <f>IF(Table43[[#This Row],[SATUAN Fix Win]]&lt;&gt;"",1)</f>
        <v>1</v>
      </c>
      <c r="BU509" s="4">
        <f>Table43[[#This Row],[ISI/CTN]]</f>
        <v>18</v>
      </c>
    </row>
    <row r="510" spans="1:75" s="87" customFormat="1">
      <c r="A510" s="71" t="str">
        <f>CONCATENATE(Table43[[#This Row],[Kode BARANG Win2]],Table43[[#This Row],[No. Urut
Item Sama]])</f>
        <v>G1262103004211</v>
      </c>
      <c r="B510" s="72"/>
      <c r="C510" s="73"/>
      <c r="D510" s="74">
        <v>40061773</v>
      </c>
      <c r="E510" s="75" t="s">
        <v>3459</v>
      </c>
      <c r="F510" s="74"/>
      <c r="G510" s="74"/>
      <c r="H510" s="75" t="s">
        <v>1435</v>
      </c>
      <c r="I510" s="75">
        <v>18</v>
      </c>
      <c r="J510" s="74"/>
      <c r="K510" s="75" t="str">
        <f>Table43[[#This Row],[NamaJenisKemasan]]</f>
        <v>PCS</v>
      </c>
      <c r="L510" s="71" t="str">
        <f>TRIM(CONCATENATE(Table43[[#This Row],[Nama            KLP]]," ",Table43[[#This Row],[Nama            Sub KLP]]))</f>
        <v>STELLA ALL IN ONE</v>
      </c>
      <c r="M510" s="71" t="str">
        <f>CONCATENATE(Table43[[#This Row],[kode  2 Digit                (hrf+No)]],Table43[[#This Row],[kode  2 Digit                (Nomor)]],Table43[[#This Row],[kode  1 Digit                (Nomor)]])</f>
        <v>G1262</v>
      </c>
      <c r="N510" s="71" t="str">
        <f>IF(AI510="",CONCATENATE(S510,U510,W510,Y510,AA510,AC510,AE510,AG510,Table43[[#This Row],[Tanda Kode Revisi]]),CONCATENATE(S510,U510,W510,Y510,AA510,AC510,AE510,AI510))</f>
        <v>G1262103004211</v>
      </c>
      <c r="O510" s="76">
        <f>LEN(N510)</f>
        <v>14</v>
      </c>
      <c r="P510" s="77" t="str">
        <f>IF(AH510&lt;&gt;"",TRIM(UPPER(CONCATENATE(R510," ",T510," ",V510," ",X510," ",Z510," ",AB510," ","X"," ",Table43[[#This Row],[ISI/CTN]]," ",AH510," ",AD510," ",AF510," ",AJ510))),TRIM(UPPER(CONCATENATE(R510," ",T510," ",V510," ",X510," ",Z510," ",AB510," ","X"," ",Table43[[#This Row],[ISI/CTN]]," ",AD510," ",AF510," ",AJ510))))</f>
        <v>STELLA ALL IN ONE MULTI PACK LEMON 42GR X 18 PCS 3+1</v>
      </c>
      <c r="Q510" s="76">
        <f>LEN(P510)</f>
        <v>52</v>
      </c>
      <c r="R510" s="71"/>
      <c r="S510" s="72" t="s">
        <v>34</v>
      </c>
      <c r="T510" s="71" t="s">
        <v>2421</v>
      </c>
      <c r="U510" s="78" t="s">
        <v>2584</v>
      </c>
      <c r="V510" s="79" t="s">
        <v>2418</v>
      </c>
      <c r="W510" s="72">
        <v>2</v>
      </c>
      <c r="X510" s="79" t="s">
        <v>2399</v>
      </c>
      <c r="Y510" s="78" t="s">
        <v>2539</v>
      </c>
      <c r="Z510" s="71" t="s">
        <v>2321</v>
      </c>
      <c r="AA510" s="80" t="s">
        <v>2538</v>
      </c>
      <c r="AB510" s="71" t="s">
        <v>2373</v>
      </c>
      <c r="AC510" s="80" t="s">
        <v>2655</v>
      </c>
      <c r="AD510" s="71" t="s">
        <v>185</v>
      </c>
      <c r="AE510" s="72">
        <v>1</v>
      </c>
      <c r="AF510" s="92" t="s">
        <v>2420</v>
      </c>
      <c r="AG510" s="72">
        <v>1</v>
      </c>
      <c r="AH510" s="72"/>
      <c r="AI510" s="72"/>
      <c r="AJ510" s="72"/>
      <c r="AK510" s="81">
        <f>Table43[[#This Row],[Column4]]</f>
        <v>0</v>
      </c>
      <c r="AL510" s="72"/>
      <c r="AM510" s="72"/>
      <c r="AN510" s="72">
        <f>Table43[[#This Row],[ISI/CTN]]</f>
        <v>18</v>
      </c>
      <c r="AO510" s="88">
        <f>Table43[[#This Row],[Harga Jual Pcs GT
(-PPN)]]-(Table43[[#This Row],[Harga Jual Pcs GT
(-PPN)]]*6.5%)</f>
        <v>0</v>
      </c>
      <c r="AP510" s="88">
        <f>Table43[[#This Row],[Harga Beli Pcs
(-PPN)]]*Table43[[#This Row],[ISI/CTN]]</f>
        <v>0</v>
      </c>
      <c r="AQ510" s="88">
        <f>Table43[[#This Row],[Harga Beli Pcs
(-PPN)]]*1.11</f>
        <v>0</v>
      </c>
      <c r="AR510" s="88">
        <f>Table43[[#This Row],[Harga Beli Krt
(- PPN)]]*1.11</f>
        <v>0</v>
      </c>
      <c r="AS510" s="88"/>
      <c r="AT510" s="88">
        <f>Table43[[#This Row],[Harga Jual Pcs GT
(-PPN)]]*Table43[[#This Row],[ISI/CTN]]</f>
        <v>0</v>
      </c>
      <c r="AU510" s="88">
        <f>Table43[[#This Row],[Harga Jual Pcs GT
(-PPN)]]*1.11</f>
        <v>0</v>
      </c>
      <c r="AV510" s="88">
        <f>Table43[[#This Row],[Harga Jual Krt GT
(- PPN)]]*1.11</f>
        <v>0</v>
      </c>
      <c r="AW510" s="88">
        <f>IFERROR(VLOOKUP(Table43[[#This Row],[Kode Pcpl]],'[1]FEB 2026'!$A$3:$X$312,24,0),0)</f>
        <v>0</v>
      </c>
      <c r="AX510" s="88">
        <f>Table43[[#This Row],[Harga Jual Pcs MT
(-PPN)]]*Table43[[#This Row],[ISI/CTN]]</f>
        <v>0</v>
      </c>
      <c r="AY510" s="88">
        <f>Table43[[#This Row],[Harga Jual Pcs MT
(-PPN)]]*1.11</f>
        <v>0</v>
      </c>
      <c r="AZ510" s="88">
        <f>Table43[[#This Row],[Harga Jual Pcs MT
(+PPN)]]*Table43[[#This Row],[ISI/CTN]]</f>
        <v>0</v>
      </c>
      <c r="BA510" s="89" t="e">
        <f>(Table43[[#This Row],[Harga Jual Pcs GT
(-PPN)]]-Table43[[#This Row],[Harga Beli Pcs
(-PPN)]])/Table43[[#This Row],[Harga Jual Pcs GT
(-PPN)]]</f>
        <v>#DIV/0!</v>
      </c>
      <c r="BB510" s="90">
        <f>Table43[[#This Row],[Harga Jual Pcs MT
(-PPN)]]-Table43[[#This Row],[Harga Beli Pcs
(-PPN)]]</f>
        <v>0</v>
      </c>
      <c r="BC510" s="91" t="e">
        <f>Table43[[#This Row],[Column1]]/Table43[[#This Row],[Harga Jual Pcs MT
(-PPN)]]</f>
        <v>#DIV/0!</v>
      </c>
      <c r="BD510" s="86"/>
      <c r="BE510" s="72"/>
      <c r="BF510" s="72" t="str">
        <f ca="1">IF(TODAY()-Table43[[#This Row],[Efektif
Pembuatan]]&gt;60,"Lama","Baru")</f>
        <v>Lama</v>
      </c>
      <c r="BG510" s="72" t="str">
        <f ca="1">IF(TODAY()-Table43[[#This Row],[Efektif Naik Harga]]&lt;30,"Naik","Sama")</f>
        <v>Sama</v>
      </c>
      <c r="BH510" s="72"/>
      <c r="BI510" s="72" t="str">
        <f>IF(Table43[[#This Row],[Kode BARANG Win2]]&lt;&gt;"","IDR","")</f>
        <v>IDR</v>
      </c>
      <c r="BJ510" s="72" t="str">
        <f>CONCATENATE(Table43[[#This Row],[kode  1 Digit
(Nomor)]],Table43[[#This Row],[kode  4 Digit                (Nomor)]])</f>
        <v>0042</v>
      </c>
      <c r="BK510" s="72" t="str">
        <f>Table43[[#This Row],[Nama            Gramasi atau Jumlah Pack per CTN]]</f>
        <v>42GR</v>
      </c>
      <c r="BL510" s="72"/>
      <c r="BM510" s="72"/>
      <c r="BN510" s="71" t="str">
        <f>IF(Table43[[#This Row],[SATUAN Fix Win]]&lt;&gt;"","KRT")</f>
        <v>KRT</v>
      </c>
      <c r="BO510" s="71" t="str">
        <f>IF(Table43[[#This Row],[SATUAN Fix Win]]&lt;&gt;"","GD01")</f>
        <v>GD01</v>
      </c>
      <c r="BP510" s="71">
        <f>IF(Table43[[#This Row],[SATUAN Fix Win]]&lt;&gt;"",11611)</f>
        <v>11611</v>
      </c>
      <c r="BQ510" s="71">
        <f>IF(Table43[[#This Row],[SATUAN Fix Win]]&lt;&gt;"",11612)</f>
        <v>11612</v>
      </c>
      <c r="BR510" s="71"/>
      <c r="BS510" s="71">
        <f>IF(Table43[[#This Row],[SATUAN Fix Win]]&lt;&gt;"",1)</f>
        <v>1</v>
      </c>
      <c r="BT510" s="71"/>
      <c r="BU510" s="71">
        <f>Table43[[#This Row],[ISI/CTN]]</f>
        <v>18</v>
      </c>
      <c r="BV510" s="71"/>
      <c r="BW510" s="71"/>
    </row>
    <row r="511" spans="1:75">
      <c r="A511" s="4" t="str">
        <f>CONCATENATE(Table43[[#This Row],[Kode BARANG Win2]],Table43[[#This Row],[No. Urut
Item Sama]])</f>
        <v>G1262103004211</v>
      </c>
      <c r="B511" s="7"/>
      <c r="C511" s="31"/>
      <c r="D511" s="51">
        <v>40033266</v>
      </c>
      <c r="E511" s="27"/>
      <c r="F511" s="51"/>
      <c r="G511" s="51"/>
      <c r="H511" s="27"/>
      <c r="I511" s="27">
        <v>18</v>
      </c>
      <c r="J511" s="51"/>
      <c r="K511" s="27" t="str">
        <f>Table43[[#This Row],[NamaJenisKemasan]]</f>
        <v>PCS</v>
      </c>
      <c r="L511" s="4" t="str">
        <f>TRIM(CONCATENATE(Table43[[#This Row],[Nama            KLP]]," ",Table43[[#This Row],[Nama            Sub KLP]]))</f>
        <v>STELLA ALL IN ONE</v>
      </c>
      <c r="M511" s="4" t="str">
        <f>CONCATENATE(Table43[[#This Row],[kode  2 Digit                (hrf+No)]],Table43[[#This Row],[kode  2 Digit                (Nomor)]],Table43[[#This Row],[kode  1 Digit                (Nomor)]])</f>
        <v>G1262</v>
      </c>
      <c r="N511" s="4" t="str">
        <f>IF(AI511="",CONCATENATE(S511,U511,W511,Y511,AA511,AC511,AE511,AG511,Table43[[#This Row],[Tanda Kode Revisi]]),CONCATENATE(S511,U511,W511,Y511,AA511,AC511,AE511,AI511))</f>
        <v>G1262103004211</v>
      </c>
      <c r="O511" s="11">
        <f t="shared" si="12"/>
        <v>14</v>
      </c>
      <c r="P511" s="14" t="str">
        <f>IF(AH511&lt;&gt;"",TRIM(UPPER(CONCATENATE(R511," ",T511," ",V511," ",X511," ",Z511," ",AB511," ","X"," ",Table43[[#This Row],[ISI/CTN]]," ",AH511," ",AD511," ",AF511," ",AJ511))),TRIM(UPPER(CONCATENATE(R511," ",T511," ",V511," ",X511," ",Z511," ",AB511," ","X"," ",Table43[[#This Row],[ISI/CTN]]," ",AD511," ",AF511," ",AJ511))))</f>
        <v>STELLA ALL IN ONE MULTI PACK LEMON 42GR X 18 PCS 3+1</v>
      </c>
      <c r="Q511" s="11">
        <f t="shared" si="13"/>
        <v>52</v>
      </c>
      <c r="S511" s="7" t="s">
        <v>34</v>
      </c>
      <c r="T511" s="4" t="s">
        <v>2421</v>
      </c>
      <c r="U511" s="47" t="s">
        <v>2584</v>
      </c>
      <c r="V511" s="48" t="s">
        <v>2418</v>
      </c>
      <c r="W511" s="7">
        <v>2</v>
      </c>
      <c r="X511" s="48" t="s">
        <v>2399</v>
      </c>
      <c r="Y511" s="47" t="s">
        <v>2539</v>
      </c>
      <c r="Z511" s="4" t="s">
        <v>2321</v>
      </c>
      <c r="AA511" s="49" t="s">
        <v>2538</v>
      </c>
      <c r="AB511" s="4" t="s">
        <v>2373</v>
      </c>
      <c r="AC511" s="49" t="s">
        <v>2655</v>
      </c>
      <c r="AD511" s="4" t="s">
        <v>185</v>
      </c>
      <c r="AE511" s="7">
        <v>1</v>
      </c>
      <c r="AF511" s="65" t="s">
        <v>2420</v>
      </c>
      <c r="AG511" s="7">
        <v>1</v>
      </c>
      <c r="AK511" s="70">
        <f>Table43[[#This Row],[Column4]]</f>
        <v>0</v>
      </c>
      <c r="AN511" s="7">
        <f>Table43[[#This Row],[ISI/CTN]]</f>
        <v>18</v>
      </c>
      <c r="AO511" s="38">
        <f>Table43[[#This Row],[Harga Jual Pcs GT
(-PPN)]]-(Table43[[#This Row],[Harga Jual Pcs GT
(-PPN)]]*6.5%)</f>
        <v>31416</v>
      </c>
      <c r="AP511" s="38">
        <f>Table43[[#This Row],[Harga Beli Pcs
(-PPN)]]*Table43[[#This Row],[ISI/CTN]]</f>
        <v>565488</v>
      </c>
      <c r="AQ511" s="38">
        <f>Table43[[#This Row],[Harga Beli Pcs
(-PPN)]]*1.11</f>
        <v>34871.760000000002</v>
      </c>
      <c r="AR511" s="38">
        <f>Table43[[#This Row],[Harga Beli Krt
(- PPN)]]*1.11</f>
        <v>627691.68000000005</v>
      </c>
      <c r="AS511" s="38">
        <v>33600</v>
      </c>
      <c r="AT511" s="38">
        <f>Table43[[#This Row],[Harga Jual Pcs GT
(-PPN)]]*Table43[[#This Row],[ISI/CTN]]</f>
        <v>604800</v>
      </c>
      <c r="AU511" s="38">
        <f>Table43[[#This Row],[Harga Jual Pcs GT
(-PPN)]]*1.11</f>
        <v>37296</v>
      </c>
      <c r="AV511" s="38">
        <f>Table43[[#This Row],[Harga Jual Krt GT
(- PPN)]]*1.11</f>
        <v>671328.00000000012</v>
      </c>
      <c r="AW511" s="38">
        <f>IFERROR(VLOOKUP(Table43[[#This Row],[Kode Pcpl]],'[1]FEB 2026'!$A$3:$X$312,24,0),0)</f>
        <v>0</v>
      </c>
      <c r="AX511" s="38">
        <f>Table43[[#This Row],[Harga Jual Pcs MT
(-PPN)]]*Table43[[#This Row],[ISI/CTN]]</f>
        <v>0</v>
      </c>
      <c r="AY511" s="38">
        <f>Table43[[#This Row],[Harga Jual Pcs MT
(-PPN)]]*1.11</f>
        <v>0</v>
      </c>
      <c r="AZ511" s="38">
        <f>Table43[[#This Row],[Harga Jual Pcs MT
(+PPN)]]*Table43[[#This Row],[ISI/CTN]]</f>
        <v>0</v>
      </c>
      <c r="BA511" s="46">
        <f>(Table43[[#This Row],[Harga Jual Pcs GT
(-PPN)]]-Table43[[#This Row],[Harga Beli Pcs
(-PPN)]])/Table43[[#This Row],[Harga Jual Pcs GT
(-PPN)]]</f>
        <v>6.5000000000000002E-2</v>
      </c>
      <c r="BB511" s="53">
        <f>Table43[[#This Row],[Harga Jual Pcs MT
(-PPN)]]-Table43[[#This Row],[Harga Beli Pcs
(-PPN)]]</f>
        <v>-31416</v>
      </c>
      <c r="BC511" s="54" t="e">
        <f>Table43[[#This Row],[Column1]]/Table43[[#This Row],[Harga Jual Pcs MT
(-PPN)]]</f>
        <v>#DIV/0!</v>
      </c>
      <c r="BD511" s="52"/>
      <c r="BE511" s="7"/>
      <c r="BF511" s="7" t="str">
        <f ca="1">IF(TODAY()-Table43[[#This Row],[Efektif
Pembuatan]]&gt;60,"Lama","Baru")</f>
        <v>Lama</v>
      </c>
      <c r="BG511" s="7" t="str">
        <f ca="1">IF(TODAY()-Table43[[#This Row],[Efektif Naik Harga]]&lt;30,"Naik","Sama")</f>
        <v>Sama</v>
      </c>
      <c r="BH511" s="7"/>
      <c r="BI511" s="7" t="str">
        <f>IF(Table43[[#This Row],[Kode BARANG Win2]]&lt;&gt;"","IDR","")</f>
        <v>IDR</v>
      </c>
      <c r="BJ511" s="7" t="str">
        <f>CONCATENATE(Table43[[#This Row],[kode  1 Digit
(Nomor)]],Table43[[#This Row],[kode  4 Digit                (Nomor)]])</f>
        <v>0042</v>
      </c>
      <c r="BK511" s="7" t="str">
        <f>Table43[[#This Row],[Nama            Gramasi atau Jumlah Pack per CTN]]</f>
        <v>42GR</v>
      </c>
      <c r="BL511" s="7"/>
      <c r="BM511" s="7"/>
      <c r="BN511" s="4" t="str">
        <f>IF(Table43[[#This Row],[SATUAN Fix Win]]&lt;&gt;"","KRT")</f>
        <v>KRT</v>
      </c>
      <c r="BO511" s="4" t="str">
        <f>IF(Table43[[#This Row],[SATUAN Fix Win]]&lt;&gt;"","GD01")</f>
        <v>GD01</v>
      </c>
      <c r="BP511" s="4">
        <f>IF(Table43[[#This Row],[SATUAN Fix Win]]&lt;&gt;"",11611)</f>
        <v>11611</v>
      </c>
      <c r="BQ511" s="4">
        <f>IF(Table43[[#This Row],[SATUAN Fix Win]]&lt;&gt;"",11612)</f>
        <v>11612</v>
      </c>
      <c r="BS511" s="4">
        <f>IF(Table43[[#This Row],[SATUAN Fix Win]]&lt;&gt;"",1)</f>
        <v>1</v>
      </c>
      <c r="BU511" s="4">
        <f>Table43[[#This Row],[ISI/CTN]]</f>
        <v>18</v>
      </c>
    </row>
    <row r="512" spans="1:75">
      <c r="A512" s="4" t="str">
        <f>CONCATENATE(Table43[[#This Row],[Kode BARANG Win2]],Table43[[#This Row],[No. Urut
Item Sama]])</f>
        <v>G1262103004211</v>
      </c>
      <c r="B512" s="7"/>
      <c r="C512" s="31"/>
      <c r="D512" s="51">
        <v>40028419</v>
      </c>
      <c r="E512" s="27"/>
      <c r="F512" s="51"/>
      <c r="G512" s="51"/>
      <c r="H512" s="27"/>
      <c r="I512" s="27">
        <v>18</v>
      </c>
      <c r="J512" s="51"/>
      <c r="K512" s="27" t="str">
        <f>Table43[[#This Row],[NamaJenisKemasan]]</f>
        <v>PCS</v>
      </c>
      <c r="L512" s="4" t="str">
        <f>TRIM(CONCATENATE(Table43[[#This Row],[Nama            KLP]]," ",Table43[[#This Row],[Nama            Sub KLP]]))</f>
        <v>STELLA ALL IN ONE</v>
      </c>
      <c r="M512" s="4" t="str">
        <f>CONCATENATE(Table43[[#This Row],[kode  2 Digit                (hrf+No)]],Table43[[#This Row],[kode  2 Digit                (Nomor)]],Table43[[#This Row],[kode  1 Digit                (Nomor)]])</f>
        <v>G1262</v>
      </c>
      <c r="N512" s="4" t="str">
        <f>IF(AI512="",CONCATENATE(S512,U512,W512,Y512,AA512,AC512,AE512,AG512,Table43[[#This Row],[Tanda Kode Revisi]]),CONCATENATE(S512,U512,W512,Y512,AA512,AC512,AE512,AI512))</f>
        <v>G1262103004211</v>
      </c>
      <c r="O512" s="11">
        <f>LEN(N512)</f>
        <v>14</v>
      </c>
      <c r="P512" s="14" t="str">
        <f>IF(AH512&lt;&gt;"",TRIM(UPPER(CONCATENATE(R512," ",T512," ",V512," ",X512," ",Z512," ",AB512," ","X"," ",Table43[[#This Row],[ISI/CTN]]," ",AH512," ",AD512," ",AF512," ",AJ512))),TRIM(UPPER(CONCATENATE(R512," ",T512," ",V512," ",X512," ",Z512," ",AB512," ","X"," ",Table43[[#This Row],[ISI/CTN]]," ",AD512," ",AF512," ",AJ512))))</f>
        <v>STELLA ALL IN ONE MULTI PACK LEMON 42GR X 18 PCS 3+1</v>
      </c>
      <c r="Q512" s="11">
        <f>LEN(P512)</f>
        <v>52</v>
      </c>
      <c r="S512" s="7" t="s">
        <v>34</v>
      </c>
      <c r="T512" s="4" t="s">
        <v>2421</v>
      </c>
      <c r="U512" s="47" t="s">
        <v>2584</v>
      </c>
      <c r="V512" s="48" t="s">
        <v>2418</v>
      </c>
      <c r="W512" s="7">
        <v>2</v>
      </c>
      <c r="X512" s="48" t="s">
        <v>2399</v>
      </c>
      <c r="Y512" s="47" t="s">
        <v>2539</v>
      </c>
      <c r="Z512" s="4" t="s">
        <v>2321</v>
      </c>
      <c r="AA512" s="49" t="s">
        <v>2538</v>
      </c>
      <c r="AB512" s="4" t="s">
        <v>2373</v>
      </c>
      <c r="AC512" s="49" t="s">
        <v>2655</v>
      </c>
      <c r="AD512" s="4" t="s">
        <v>185</v>
      </c>
      <c r="AE512" s="7">
        <v>1</v>
      </c>
      <c r="AF512" s="65" t="s">
        <v>2420</v>
      </c>
      <c r="AG512" s="7">
        <v>1</v>
      </c>
      <c r="AK512" s="70">
        <f>Table43[[#This Row],[Column4]]</f>
        <v>0</v>
      </c>
      <c r="AN512" s="7">
        <f>Table43[[#This Row],[ISI/CTN]]</f>
        <v>18</v>
      </c>
      <c r="AO512" s="38">
        <f>Table43[[#This Row],[Harga Jual Pcs GT
(-PPN)]]-(Table43[[#This Row],[Harga Jual Pcs GT
(-PPN)]]*6.5%)</f>
        <v>0</v>
      </c>
      <c r="AP512" s="38">
        <f>Table43[[#This Row],[Harga Beli Pcs
(-PPN)]]*Table43[[#This Row],[ISI/CTN]]</f>
        <v>0</v>
      </c>
      <c r="AQ512" s="38">
        <f>Table43[[#This Row],[Harga Beli Pcs
(-PPN)]]*1.11</f>
        <v>0</v>
      </c>
      <c r="AR512" s="38">
        <f>Table43[[#This Row],[Harga Beli Krt
(- PPN)]]*1.11</f>
        <v>0</v>
      </c>
      <c r="AS512" s="38"/>
      <c r="AT512" s="38">
        <f>Table43[[#This Row],[Harga Jual Pcs GT
(-PPN)]]*Table43[[#This Row],[ISI/CTN]]</f>
        <v>0</v>
      </c>
      <c r="AU512" s="38">
        <f>Table43[[#This Row],[Harga Jual Pcs GT
(-PPN)]]*1.11</f>
        <v>0</v>
      </c>
      <c r="AV512" s="38">
        <f>Table43[[#This Row],[Harga Jual Krt GT
(- PPN)]]*1.11</f>
        <v>0</v>
      </c>
      <c r="AW512" s="38">
        <f>IFERROR(VLOOKUP(Table43[[#This Row],[Kode Pcpl]],'[1]FEB 2026'!$A$3:$X$312,24,0),0)</f>
        <v>0</v>
      </c>
      <c r="AX512" s="38">
        <f>Table43[[#This Row],[Harga Jual Pcs MT
(-PPN)]]*Table43[[#This Row],[ISI/CTN]]</f>
        <v>0</v>
      </c>
      <c r="AY512" s="38">
        <f>Table43[[#This Row],[Harga Jual Pcs MT
(-PPN)]]*1.11</f>
        <v>0</v>
      </c>
      <c r="AZ512" s="38">
        <f>Table43[[#This Row],[Harga Jual Pcs MT
(+PPN)]]*Table43[[#This Row],[ISI/CTN]]</f>
        <v>0</v>
      </c>
      <c r="BA512" s="46" t="e">
        <f>(Table43[[#This Row],[Harga Jual Pcs GT
(-PPN)]]-Table43[[#This Row],[Harga Beli Pcs
(-PPN)]])/Table43[[#This Row],[Harga Jual Pcs GT
(-PPN)]]</f>
        <v>#DIV/0!</v>
      </c>
      <c r="BB512" s="53">
        <f>Table43[[#This Row],[Harga Jual Pcs MT
(-PPN)]]-Table43[[#This Row],[Harga Beli Pcs
(-PPN)]]</f>
        <v>0</v>
      </c>
      <c r="BC512" s="54" t="e">
        <f>Table43[[#This Row],[Column1]]/Table43[[#This Row],[Harga Jual Pcs MT
(-PPN)]]</f>
        <v>#DIV/0!</v>
      </c>
      <c r="BD512" s="52"/>
      <c r="BE512" s="7"/>
      <c r="BF512" s="7" t="str">
        <f ca="1">IF(TODAY()-Table43[[#This Row],[Efektif
Pembuatan]]&gt;60,"Lama","Baru")</f>
        <v>Lama</v>
      </c>
      <c r="BG512" s="7" t="str">
        <f ca="1">IF(TODAY()-Table43[[#This Row],[Efektif Naik Harga]]&lt;30,"Naik","Sama")</f>
        <v>Sama</v>
      </c>
      <c r="BH512" s="7"/>
      <c r="BI512" s="7" t="str">
        <f>IF(Table43[[#This Row],[Kode BARANG Win2]]&lt;&gt;"","IDR","")</f>
        <v>IDR</v>
      </c>
      <c r="BJ512" s="7" t="str">
        <f>CONCATENATE(Table43[[#This Row],[kode  1 Digit
(Nomor)]],Table43[[#This Row],[kode  4 Digit                (Nomor)]])</f>
        <v>0042</v>
      </c>
      <c r="BK512" s="7" t="str">
        <f>Table43[[#This Row],[Nama            Gramasi atau Jumlah Pack per CTN]]</f>
        <v>42GR</v>
      </c>
      <c r="BL512" s="7"/>
      <c r="BM512" s="7"/>
      <c r="BN512" s="4" t="str">
        <f>IF(Table43[[#This Row],[SATUAN Fix Win]]&lt;&gt;"","KRT")</f>
        <v>KRT</v>
      </c>
      <c r="BO512" s="4" t="str">
        <f>IF(Table43[[#This Row],[SATUAN Fix Win]]&lt;&gt;"","GD01")</f>
        <v>GD01</v>
      </c>
      <c r="BP512" s="4">
        <f>IF(Table43[[#This Row],[SATUAN Fix Win]]&lt;&gt;"",11611)</f>
        <v>11611</v>
      </c>
      <c r="BQ512" s="4">
        <f>IF(Table43[[#This Row],[SATUAN Fix Win]]&lt;&gt;"",11612)</f>
        <v>11612</v>
      </c>
      <c r="BS512" s="4">
        <f>IF(Table43[[#This Row],[SATUAN Fix Win]]&lt;&gt;"",1)</f>
        <v>1</v>
      </c>
      <c r="BU512" s="4">
        <f>Table43[[#This Row],[ISI/CTN]]</f>
        <v>18</v>
      </c>
    </row>
    <row r="513" spans="1:75" s="107" customFormat="1">
      <c r="A513" s="4" t="str">
        <f>CONCATENATE(Table43[[#This Row],[Kode BARANG Win2]],Table43[[#This Row],[No. Urut
Item Sama]])</f>
        <v>G1262104004211</v>
      </c>
      <c r="B513" s="7"/>
      <c r="C513" s="31">
        <v>30500080042000</v>
      </c>
      <c r="D513" s="51">
        <v>40058077</v>
      </c>
      <c r="E513" s="27" t="s">
        <v>2117</v>
      </c>
      <c r="F513" s="51">
        <v>30500060042001</v>
      </c>
      <c r="G513" s="51">
        <v>0</v>
      </c>
      <c r="H513" s="27" t="s">
        <v>1440</v>
      </c>
      <c r="I513" s="27">
        <v>18</v>
      </c>
      <c r="J513" s="51" t="s">
        <v>1792</v>
      </c>
      <c r="K513" s="27" t="str">
        <f>Table43[[#This Row],[NamaJenisKemasan]]</f>
        <v>PCS</v>
      </c>
      <c r="L513" s="4" t="str">
        <f>TRIM(CONCATENATE(Table43[[#This Row],[Nama            KLP]]," ",Table43[[#This Row],[Nama            Sub KLP]]))</f>
        <v>STELLA ALL IN ONE</v>
      </c>
      <c r="M513" s="4" t="str">
        <f>CONCATENATE(Table43[[#This Row],[kode  2 Digit                (hrf+No)]],Table43[[#This Row],[kode  2 Digit                (Nomor)]],Table43[[#This Row],[kode  1 Digit                (Nomor)]])</f>
        <v>G1262</v>
      </c>
      <c r="N513" s="4" t="str">
        <f>IF(AI513="",CONCATENATE(S513,U513,W513,Y513,AA513,AC513,AE513,AG513,Table43[[#This Row],[Tanda Kode Revisi]]),CONCATENATE(S513,U513,W513,Y513,AA513,AC513,AE513,AI513))</f>
        <v>G1262104004211</v>
      </c>
      <c r="O513" s="11">
        <f t="shared" si="12"/>
        <v>14</v>
      </c>
      <c r="P513" s="14" t="str">
        <f>IF(AH513&lt;&gt;"",TRIM(UPPER(CONCATENATE(R513," ",T513," ",V513," ",X513," ",Z513," ",AB513," ","X"," ",Table43[[#This Row],[ISI/CTN]]," ",AH513," ",AD513," ",AF513," ",AJ513))),TRIM(UPPER(CONCATENATE(R513," ",T513," ",V513," ",X513," ",Z513," ",AB513," ","X"," ",Table43[[#This Row],[ISI/CTN]]," ",AD513," ",AF513," ",AJ513))))</f>
        <v>STELLA ALL IN ONE MULTI PACK ORANGE 42GR X 18 PCS 3+1</v>
      </c>
      <c r="Q513" s="11">
        <f t="shared" si="13"/>
        <v>53</v>
      </c>
      <c r="R513" s="4"/>
      <c r="S513" s="7" t="s">
        <v>34</v>
      </c>
      <c r="T513" s="4" t="s">
        <v>2421</v>
      </c>
      <c r="U513" s="47" t="s">
        <v>2584</v>
      </c>
      <c r="V513" s="48" t="s">
        <v>2418</v>
      </c>
      <c r="W513" s="7">
        <v>2</v>
      </c>
      <c r="X513" s="48" t="s">
        <v>2399</v>
      </c>
      <c r="Y513" s="47" t="s">
        <v>2539</v>
      </c>
      <c r="Z513" s="4" t="s">
        <v>2251</v>
      </c>
      <c r="AA513" s="49" t="s">
        <v>2540</v>
      </c>
      <c r="AB513" s="4" t="s">
        <v>2373</v>
      </c>
      <c r="AC513" s="49" t="s">
        <v>2655</v>
      </c>
      <c r="AD513" s="4" t="s">
        <v>185</v>
      </c>
      <c r="AE513" s="7">
        <v>1</v>
      </c>
      <c r="AF513" s="65" t="s">
        <v>2420</v>
      </c>
      <c r="AG513" s="7">
        <v>1</v>
      </c>
      <c r="AH513" s="7"/>
      <c r="AI513" s="7"/>
      <c r="AJ513" s="7"/>
      <c r="AK513" s="70">
        <f>Table43[[#This Row],[Column4]]</f>
        <v>30500060042001</v>
      </c>
      <c r="AL513" s="7"/>
      <c r="AM513" s="7"/>
      <c r="AN513" s="7">
        <f>Table43[[#This Row],[ISI/CTN]]</f>
        <v>18</v>
      </c>
      <c r="AO513" s="38">
        <f>Table43[[#This Row],[Harga Jual Pcs GT
(-PPN)]]-(Table43[[#This Row],[Harga Jual Pcs GT
(-PPN)]]*6.5%)</f>
        <v>31416</v>
      </c>
      <c r="AP513" s="38">
        <f>Table43[[#This Row],[Harga Beli Pcs
(-PPN)]]*Table43[[#This Row],[ISI/CTN]]</f>
        <v>565488</v>
      </c>
      <c r="AQ513" s="38">
        <f>Table43[[#This Row],[Harga Beli Pcs
(-PPN)]]*1.11</f>
        <v>34871.760000000002</v>
      </c>
      <c r="AR513" s="38">
        <f>Table43[[#This Row],[Harga Beli Krt
(- PPN)]]*1.11</f>
        <v>627691.68000000005</v>
      </c>
      <c r="AS513" s="38">
        <v>33600</v>
      </c>
      <c r="AT513" s="38">
        <f>Table43[[#This Row],[Harga Jual Pcs GT
(-PPN)]]*Table43[[#This Row],[ISI/CTN]]</f>
        <v>604800</v>
      </c>
      <c r="AU513" s="38">
        <f>Table43[[#This Row],[Harga Jual Pcs GT
(-PPN)]]*1.11</f>
        <v>37296</v>
      </c>
      <c r="AV513" s="38">
        <f>Table43[[#This Row],[Harga Jual Krt GT
(- PPN)]]*1.11</f>
        <v>671328.00000000012</v>
      </c>
      <c r="AW513" s="38">
        <f>IFERROR(VLOOKUP(Table43[[#This Row],[Kode Pcpl]],'[1]FEB 2026'!$A$3:$X$312,24,0),0)</f>
        <v>0</v>
      </c>
      <c r="AX513" s="38">
        <f>Table43[[#This Row],[Harga Jual Pcs MT
(-PPN)]]*Table43[[#This Row],[ISI/CTN]]</f>
        <v>0</v>
      </c>
      <c r="AY513" s="38">
        <f>Table43[[#This Row],[Harga Jual Pcs MT
(-PPN)]]*1.11</f>
        <v>0</v>
      </c>
      <c r="AZ513" s="38">
        <f>Table43[[#This Row],[Harga Jual Pcs MT
(+PPN)]]*Table43[[#This Row],[ISI/CTN]]</f>
        <v>0</v>
      </c>
      <c r="BA513" s="46">
        <f>(Table43[[#This Row],[Harga Jual Pcs GT
(-PPN)]]-Table43[[#This Row],[Harga Beli Pcs
(-PPN)]])/Table43[[#This Row],[Harga Jual Pcs GT
(-PPN)]]</f>
        <v>6.5000000000000002E-2</v>
      </c>
      <c r="BB513" s="53">
        <f>Table43[[#This Row],[Harga Jual Pcs MT
(-PPN)]]-Table43[[#This Row],[Harga Beli Pcs
(-PPN)]]</f>
        <v>-31416</v>
      </c>
      <c r="BC513" s="54" t="e">
        <f>Table43[[#This Row],[Column1]]/Table43[[#This Row],[Harga Jual Pcs MT
(-PPN)]]</f>
        <v>#DIV/0!</v>
      </c>
      <c r="BD513" s="52"/>
      <c r="BE513" s="7"/>
      <c r="BF513" s="7" t="str">
        <f ca="1">IF(TODAY()-Table43[[#This Row],[Efektif
Pembuatan]]&gt;60,"Lama","Baru")</f>
        <v>Lama</v>
      </c>
      <c r="BG513" s="7" t="str">
        <f ca="1">IF(TODAY()-Table43[[#This Row],[Efektif Naik Harga]]&lt;30,"Naik","Sama")</f>
        <v>Sama</v>
      </c>
      <c r="BH513" s="7"/>
      <c r="BI513" s="7" t="str">
        <f>IF(Table43[[#This Row],[Kode BARANG Win2]]&lt;&gt;"","IDR","")</f>
        <v>IDR</v>
      </c>
      <c r="BJ513" s="7" t="str">
        <f>CONCATENATE(Table43[[#This Row],[kode  1 Digit
(Nomor)]],Table43[[#This Row],[kode  4 Digit                (Nomor)]])</f>
        <v>0042</v>
      </c>
      <c r="BK513" s="7" t="str">
        <f>Table43[[#This Row],[Nama            Gramasi atau Jumlah Pack per CTN]]</f>
        <v>42GR</v>
      </c>
      <c r="BL513" s="7"/>
      <c r="BM513" s="7"/>
      <c r="BN513" s="4" t="str">
        <f>IF(Table43[[#This Row],[SATUAN Fix Win]]&lt;&gt;"","KRT")</f>
        <v>KRT</v>
      </c>
      <c r="BO513" s="4" t="str">
        <f>IF(Table43[[#This Row],[SATUAN Fix Win]]&lt;&gt;"","GD01")</f>
        <v>GD01</v>
      </c>
      <c r="BP513" s="4">
        <f>IF(Table43[[#This Row],[SATUAN Fix Win]]&lt;&gt;"",11611)</f>
        <v>11611</v>
      </c>
      <c r="BQ513" s="4">
        <f>IF(Table43[[#This Row],[SATUAN Fix Win]]&lt;&gt;"",11612)</f>
        <v>11612</v>
      </c>
      <c r="BR513" s="4"/>
      <c r="BS513" s="4">
        <f>IF(Table43[[#This Row],[SATUAN Fix Win]]&lt;&gt;"",1)</f>
        <v>1</v>
      </c>
      <c r="BT513" s="4"/>
      <c r="BU513" s="4">
        <f>Table43[[#This Row],[ISI/CTN]]</f>
        <v>18</v>
      </c>
      <c r="BV513" s="94"/>
      <c r="BW513" s="94"/>
    </row>
    <row r="514" spans="1:75">
      <c r="A514" s="4" t="str">
        <f>CONCATENATE(Table43[[#This Row],[Kode BARANG Win2]],Table43[[#This Row],[No. Urut
Item Sama]])</f>
        <v>G1262104004211</v>
      </c>
      <c r="B514" s="7"/>
      <c r="C514" s="31">
        <v>30550010007001</v>
      </c>
      <c r="D514" s="59">
        <v>40043488</v>
      </c>
      <c r="E514" s="60" t="s">
        <v>2117</v>
      </c>
      <c r="F514" s="59">
        <v>30500060042001</v>
      </c>
      <c r="G514" s="59">
        <v>0</v>
      </c>
      <c r="H514" s="60" t="s">
        <v>1439</v>
      </c>
      <c r="I514" s="60">
        <v>18</v>
      </c>
      <c r="J514" s="59" t="s">
        <v>1792</v>
      </c>
      <c r="K514" s="60" t="str">
        <f>Table43[[#This Row],[NamaJenisKemasan]]</f>
        <v>PCS</v>
      </c>
      <c r="L514" s="4" t="str">
        <f>TRIM(CONCATENATE(Table43[[#This Row],[Nama            KLP]]," ",Table43[[#This Row],[Nama            Sub KLP]]))</f>
        <v>STELLA ALL IN ONE</v>
      </c>
      <c r="M514" s="4" t="str">
        <f>CONCATENATE(Table43[[#This Row],[kode  2 Digit                (hrf+No)]],Table43[[#This Row],[kode  2 Digit                (Nomor)]],Table43[[#This Row],[kode  1 Digit                (Nomor)]])</f>
        <v>G1262</v>
      </c>
      <c r="N514" s="4" t="str">
        <f>IF(AI514="",CONCATENATE(S514,U514,W514,Y514,AA514,AC514,AE514,AG514,Table43[[#This Row],[Tanda Kode Revisi]]),CONCATENATE(S514,U514,W514,Y514,AA514,AC514,AE514,AI514))</f>
        <v>G1262104004211</v>
      </c>
      <c r="O514" s="11">
        <f t="shared" si="12"/>
        <v>14</v>
      </c>
      <c r="P514" s="14" t="str">
        <f>IF(AH514&lt;&gt;"",TRIM(UPPER(CONCATENATE(R514," ",T514," ",V514," ",X514," ",Z514," ",AB514," ","X"," ",Table43[[#This Row],[ISI/CTN]]," ",AH514," ",AD514," ",AF514," ",AJ514))),TRIM(UPPER(CONCATENATE(R514," ",T514," ",V514," ",X514," ",Z514," ",AB514," ","X"," ",Table43[[#This Row],[ISI/CTN]]," ",AD514," ",AF514," ",AJ514))))</f>
        <v>STELLA ALL IN ONE MULTI PACK ORANGE 42GR X 18 PCS 3+1</v>
      </c>
      <c r="Q514" s="11">
        <f t="shared" si="13"/>
        <v>53</v>
      </c>
      <c r="S514" s="7" t="s">
        <v>34</v>
      </c>
      <c r="T514" s="4" t="s">
        <v>2421</v>
      </c>
      <c r="U514" s="47" t="s">
        <v>2584</v>
      </c>
      <c r="V514" s="48" t="s">
        <v>2418</v>
      </c>
      <c r="W514" s="7">
        <v>2</v>
      </c>
      <c r="X514" s="48" t="s">
        <v>2399</v>
      </c>
      <c r="Y514" s="47" t="s">
        <v>2539</v>
      </c>
      <c r="Z514" s="4" t="s">
        <v>2251</v>
      </c>
      <c r="AA514" s="49" t="s">
        <v>2540</v>
      </c>
      <c r="AB514" s="4" t="s">
        <v>2373</v>
      </c>
      <c r="AC514" s="49" t="s">
        <v>2655</v>
      </c>
      <c r="AD514" s="4" t="s">
        <v>185</v>
      </c>
      <c r="AE514" s="7">
        <v>1</v>
      </c>
      <c r="AF514" s="65" t="s">
        <v>2420</v>
      </c>
      <c r="AG514" s="7">
        <v>1</v>
      </c>
      <c r="AK514" s="70">
        <f>Table43[[#This Row],[Column4]]</f>
        <v>30500060042001</v>
      </c>
      <c r="AN514" s="7">
        <f>Table43[[#This Row],[ISI/CTN]]</f>
        <v>18</v>
      </c>
      <c r="AO514" s="38">
        <f>Table43[[#This Row],[Harga Jual Pcs GT
(-PPN)]]-(Table43[[#This Row],[Harga Jual Pcs GT
(-PPN)]]*6.5%)</f>
        <v>31416</v>
      </c>
      <c r="AP514" s="38">
        <f>Table43[[#This Row],[Harga Beli Pcs
(-PPN)]]*Table43[[#This Row],[ISI/CTN]]</f>
        <v>565488</v>
      </c>
      <c r="AQ514" s="38">
        <f>Table43[[#This Row],[Harga Beli Pcs
(-PPN)]]*1.11</f>
        <v>34871.760000000002</v>
      </c>
      <c r="AR514" s="38">
        <f>Table43[[#This Row],[Harga Beli Krt
(- PPN)]]*1.11</f>
        <v>627691.68000000005</v>
      </c>
      <c r="AS514" s="38">
        <v>33600</v>
      </c>
      <c r="AT514" s="38">
        <f>Table43[[#This Row],[Harga Jual Pcs GT
(-PPN)]]*Table43[[#This Row],[ISI/CTN]]</f>
        <v>604800</v>
      </c>
      <c r="AU514" s="38">
        <f>Table43[[#This Row],[Harga Jual Pcs GT
(-PPN)]]*1.11</f>
        <v>37296</v>
      </c>
      <c r="AV514" s="38">
        <f>Table43[[#This Row],[Harga Jual Krt GT
(- PPN)]]*1.11</f>
        <v>671328.00000000012</v>
      </c>
      <c r="AW514" s="38">
        <f>IFERROR(VLOOKUP(Table43[[#This Row],[Kode Pcpl]],'[1]FEB 2026'!$A$3:$X$312,24,0),0)</f>
        <v>0</v>
      </c>
      <c r="AX514" s="38">
        <f>Table43[[#This Row],[Harga Jual Pcs MT
(-PPN)]]*Table43[[#This Row],[ISI/CTN]]</f>
        <v>0</v>
      </c>
      <c r="AY514" s="38">
        <f>Table43[[#This Row],[Harga Jual Pcs MT
(-PPN)]]*1.11</f>
        <v>0</v>
      </c>
      <c r="AZ514" s="38">
        <f>Table43[[#This Row],[Harga Jual Pcs MT
(+PPN)]]*Table43[[#This Row],[ISI/CTN]]</f>
        <v>0</v>
      </c>
      <c r="BA514" s="46">
        <f>(Table43[[#This Row],[Harga Jual Pcs GT
(-PPN)]]-Table43[[#This Row],[Harga Beli Pcs
(-PPN)]])/Table43[[#This Row],[Harga Jual Pcs GT
(-PPN)]]</f>
        <v>6.5000000000000002E-2</v>
      </c>
      <c r="BB514" s="53">
        <f>Table43[[#This Row],[Harga Jual Pcs MT
(-PPN)]]-Table43[[#This Row],[Harga Beli Pcs
(-PPN)]]</f>
        <v>-31416</v>
      </c>
      <c r="BC514" s="54" t="e">
        <f>Table43[[#This Row],[Column1]]/Table43[[#This Row],[Harga Jual Pcs MT
(-PPN)]]</f>
        <v>#DIV/0!</v>
      </c>
      <c r="BD514" s="52"/>
      <c r="BE514" s="7"/>
      <c r="BF514" s="7" t="str">
        <f ca="1">IF(TODAY()-Table43[[#This Row],[Efektif
Pembuatan]]&gt;60,"Lama","Baru")</f>
        <v>Lama</v>
      </c>
      <c r="BG514" s="7" t="str">
        <f ca="1">IF(TODAY()-Table43[[#This Row],[Efektif Naik Harga]]&lt;30,"Naik","Sama")</f>
        <v>Sama</v>
      </c>
      <c r="BH514" s="7"/>
      <c r="BI514" s="7" t="str">
        <f>IF(Table43[[#This Row],[Kode BARANG Win2]]&lt;&gt;"","IDR","")</f>
        <v>IDR</v>
      </c>
      <c r="BJ514" s="7" t="str">
        <f>CONCATENATE(Table43[[#This Row],[kode  1 Digit
(Nomor)]],Table43[[#This Row],[kode  4 Digit                (Nomor)]])</f>
        <v>0042</v>
      </c>
      <c r="BK514" s="7" t="str">
        <f>Table43[[#This Row],[Nama            Gramasi atau Jumlah Pack per CTN]]</f>
        <v>42GR</v>
      </c>
      <c r="BL514" s="7"/>
      <c r="BM514" s="7"/>
      <c r="BN514" s="4" t="str">
        <f>IF(Table43[[#This Row],[SATUAN Fix Win]]&lt;&gt;"","KRT")</f>
        <v>KRT</v>
      </c>
      <c r="BO514" s="4" t="str">
        <f>IF(Table43[[#This Row],[SATUAN Fix Win]]&lt;&gt;"","GD01")</f>
        <v>GD01</v>
      </c>
      <c r="BP514" s="4">
        <f>IF(Table43[[#This Row],[SATUAN Fix Win]]&lt;&gt;"",11611)</f>
        <v>11611</v>
      </c>
      <c r="BQ514" s="4">
        <f>IF(Table43[[#This Row],[SATUAN Fix Win]]&lt;&gt;"",11612)</f>
        <v>11612</v>
      </c>
      <c r="BS514" s="4">
        <f>IF(Table43[[#This Row],[SATUAN Fix Win]]&lt;&gt;"",1)</f>
        <v>1</v>
      </c>
      <c r="BU514" s="4">
        <f>Table43[[#This Row],[ISI/CTN]]</f>
        <v>18</v>
      </c>
    </row>
    <row r="515" spans="1:75">
      <c r="A515" s="4" t="str">
        <f>CONCATENATE(Table43[[#This Row],[Kode BARANG Win2]],Table43[[#This Row],[No. Urut
Item Sama]])</f>
        <v>G1262104004211</v>
      </c>
      <c r="B515" s="7"/>
      <c r="C515" s="31"/>
      <c r="D515" s="51">
        <v>40061774</v>
      </c>
      <c r="E515" s="27"/>
      <c r="F515" s="51"/>
      <c r="G515" s="51"/>
      <c r="H515" s="27"/>
      <c r="I515" s="27">
        <v>18</v>
      </c>
      <c r="J515" s="59" t="s">
        <v>1792</v>
      </c>
      <c r="K515" s="27" t="str">
        <f>Table43[[#This Row],[NamaJenisKemasan]]</f>
        <v>PCS</v>
      </c>
      <c r="L515" s="4" t="str">
        <f>TRIM(CONCATENATE(Table43[[#This Row],[Nama            KLP]]," ",Table43[[#This Row],[Nama            Sub KLP]]))</f>
        <v>STELLA ALL IN ONE</v>
      </c>
      <c r="M515" s="4" t="str">
        <f>CONCATENATE(Table43[[#This Row],[kode  2 Digit                (hrf+No)]],Table43[[#This Row],[kode  2 Digit                (Nomor)]],Table43[[#This Row],[kode  1 Digit                (Nomor)]])</f>
        <v>G1262</v>
      </c>
      <c r="N515" s="4" t="str">
        <f>IF(AI515="",CONCATENATE(S515,U515,W515,Y515,AA515,AC515,AE515,AG515,Table43[[#This Row],[Tanda Kode Revisi]]),CONCATENATE(S515,U515,W515,Y515,AA515,AC515,AE515,AI515))</f>
        <v>G1262104004211</v>
      </c>
      <c r="O515" s="11">
        <f>LEN(N515)</f>
        <v>14</v>
      </c>
      <c r="P515" s="14" t="str">
        <f>IF(AH515&lt;&gt;"",TRIM(UPPER(CONCATENATE(R515," ",T515," ",V515," ",X515," ",Z515," ",AB515," ","X"," ",Table43[[#This Row],[ISI/CTN]]," ",AH515," ",AD515," ",AF515," ",AJ515))),TRIM(UPPER(CONCATENATE(R515," ",T515," ",V515," ",X515," ",Z515," ",AB515," ","X"," ",Table43[[#This Row],[ISI/CTN]]," ",AD515," ",AF515," ",AJ515))))</f>
        <v>STELLA ALL IN ONE MULTI PACK ORANGE 42GR X 18 PCS 3+1</v>
      </c>
      <c r="Q515" s="11">
        <f>LEN(P515)</f>
        <v>53</v>
      </c>
      <c r="S515" s="7" t="s">
        <v>34</v>
      </c>
      <c r="T515" s="4" t="s">
        <v>2421</v>
      </c>
      <c r="U515" s="47" t="s">
        <v>2584</v>
      </c>
      <c r="V515" s="48" t="s">
        <v>2418</v>
      </c>
      <c r="W515" s="7">
        <v>2</v>
      </c>
      <c r="X515" s="48" t="s">
        <v>2399</v>
      </c>
      <c r="Y515" s="47" t="s">
        <v>2539</v>
      </c>
      <c r="Z515" s="4" t="s">
        <v>2251</v>
      </c>
      <c r="AA515" s="49" t="s">
        <v>2540</v>
      </c>
      <c r="AB515" s="4" t="s">
        <v>2373</v>
      </c>
      <c r="AC515" s="49" t="s">
        <v>2655</v>
      </c>
      <c r="AD515" s="4" t="s">
        <v>185</v>
      </c>
      <c r="AE515" s="7">
        <v>1</v>
      </c>
      <c r="AF515" s="65" t="s">
        <v>2420</v>
      </c>
      <c r="AG515" s="7">
        <v>1</v>
      </c>
      <c r="AK515" s="70">
        <f>Table43[[#This Row],[Column4]]</f>
        <v>0</v>
      </c>
      <c r="AN515" s="7">
        <f>Table43[[#This Row],[ISI/CTN]]</f>
        <v>18</v>
      </c>
      <c r="AO515" s="38">
        <f>Table43[[#This Row],[Harga Jual Pcs GT
(-PPN)]]-(Table43[[#This Row],[Harga Jual Pcs GT
(-PPN)]]*6.5%)</f>
        <v>0</v>
      </c>
      <c r="AP515" s="38">
        <f>Table43[[#This Row],[Harga Beli Pcs
(-PPN)]]*Table43[[#This Row],[ISI/CTN]]</f>
        <v>0</v>
      </c>
      <c r="AQ515" s="38">
        <f>Table43[[#This Row],[Harga Beli Pcs
(-PPN)]]*1.11</f>
        <v>0</v>
      </c>
      <c r="AR515" s="38">
        <f>Table43[[#This Row],[Harga Beli Krt
(- PPN)]]*1.11</f>
        <v>0</v>
      </c>
      <c r="AS515" s="38"/>
      <c r="AT515" s="38">
        <f>Table43[[#This Row],[Harga Jual Pcs GT
(-PPN)]]*Table43[[#This Row],[ISI/CTN]]</f>
        <v>0</v>
      </c>
      <c r="AU515" s="38">
        <f>Table43[[#This Row],[Harga Jual Pcs GT
(-PPN)]]*1.11</f>
        <v>0</v>
      </c>
      <c r="AV515" s="38">
        <f>Table43[[#This Row],[Harga Jual Krt GT
(- PPN)]]*1.11</f>
        <v>0</v>
      </c>
      <c r="AW515" s="38">
        <f>IFERROR(VLOOKUP(Table43[[#This Row],[Kode Pcpl]],'[1]FEB 2026'!$A$3:$X$312,24,0),0)</f>
        <v>0</v>
      </c>
      <c r="AX515" s="38">
        <f>Table43[[#This Row],[Harga Jual Pcs MT
(-PPN)]]*Table43[[#This Row],[ISI/CTN]]</f>
        <v>0</v>
      </c>
      <c r="AY515" s="38">
        <f>Table43[[#This Row],[Harga Jual Pcs MT
(-PPN)]]*1.11</f>
        <v>0</v>
      </c>
      <c r="AZ515" s="38">
        <f>Table43[[#This Row],[Harga Jual Pcs MT
(+PPN)]]*Table43[[#This Row],[ISI/CTN]]</f>
        <v>0</v>
      </c>
      <c r="BA515" s="46" t="e">
        <f>(Table43[[#This Row],[Harga Jual Pcs GT
(-PPN)]]-Table43[[#This Row],[Harga Beli Pcs
(-PPN)]])/Table43[[#This Row],[Harga Jual Pcs GT
(-PPN)]]</f>
        <v>#DIV/0!</v>
      </c>
      <c r="BB515" s="53">
        <f>Table43[[#This Row],[Harga Jual Pcs MT
(-PPN)]]-Table43[[#This Row],[Harga Beli Pcs
(-PPN)]]</f>
        <v>0</v>
      </c>
      <c r="BC515" s="54" t="e">
        <f>Table43[[#This Row],[Column1]]/Table43[[#This Row],[Harga Jual Pcs MT
(-PPN)]]</f>
        <v>#DIV/0!</v>
      </c>
      <c r="BD515" s="52"/>
      <c r="BE515" s="7"/>
      <c r="BF515" s="7" t="str">
        <f ca="1">IF(TODAY()-Table43[[#This Row],[Efektif
Pembuatan]]&gt;60,"Lama","Baru")</f>
        <v>Lama</v>
      </c>
      <c r="BG515" s="7" t="str">
        <f ca="1">IF(TODAY()-Table43[[#This Row],[Efektif Naik Harga]]&lt;30,"Naik","Sama")</f>
        <v>Sama</v>
      </c>
      <c r="BH515" s="7"/>
      <c r="BI515" s="7" t="str">
        <f>IF(Table43[[#This Row],[Kode BARANG Win2]]&lt;&gt;"","IDR","")</f>
        <v>IDR</v>
      </c>
      <c r="BJ515" s="7" t="str">
        <f>CONCATENATE(Table43[[#This Row],[kode  1 Digit
(Nomor)]],Table43[[#This Row],[kode  4 Digit                (Nomor)]])</f>
        <v>0042</v>
      </c>
      <c r="BK515" s="7" t="str">
        <f>Table43[[#This Row],[Nama            Gramasi atau Jumlah Pack per CTN]]</f>
        <v>42GR</v>
      </c>
      <c r="BL515" s="7"/>
      <c r="BM515" s="7"/>
      <c r="BN515" s="4" t="str">
        <f>IF(Table43[[#This Row],[SATUAN Fix Win]]&lt;&gt;"","KRT")</f>
        <v>KRT</v>
      </c>
      <c r="BO515" s="4" t="str">
        <f>IF(Table43[[#This Row],[SATUAN Fix Win]]&lt;&gt;"","GD01")</f>
        <v>GD01</v>
      </c>
      <c r="BP515" s="4">
        <f>IF(Table43[[#This Row],[SATUAN Fix Win]]&lt;&gt;"",11611)</f>
        <v>11611</v>
      </c>
      <c r="BQ515" s="4">
        <f>IF(Table43[[#This Row],[SATUAN Fix Win]]&lt;&gt;"",11612)</f>
        <v>11612</v>
      </c>
      <c r="BS515" s="4">
        <f>IF(Table43[[#This Row],[SATUAN Fix Win]]&lt;&gt;"",1)</f>
        <v>1</v>
      </c>
      <c r="BU515" s="4">
        <f>Table43[[#This Row],[ISI/CTN]]</f>
        <v>18</v>
      </c>
    </row>
    <row r="516" spans="1:75">
      <c r="A516" s="4" t="str">
        <f>CONCATENATE(Table43[[#This Row],[Kode BARANG Win2]],Table43[[#This Row],[No. Urut
Item Sama]])</f>
        <v>G1262104004211</v>
      </c>
      <c r="B516" s="7"/>
      <c r="C516" s="31"/>
      <c r="D516" s="51">
        <v>40033265</v>
      </c>
      <c r="E516" s="27"/>
      <c r="F516" s="51"/>
      <c r="G516" s="51"/>
      <c r="H516" s="27"/>
      <c r="I516" s="27">
        <v>18</v>
      </c>
      <c r="J516" s="51" t="s">
        <v>1792</v>
      </c>
      <c r="K516" s="27" t="str">
        <f>Table43[[#This Row],[NamaJenisKemasan]]</f>
        <v>PCS</v>
      </c>
      <c r="L516" s="4" t="str">
        <f>TRIM(CONCATENATE(Table43[[#This Row],[Nama            KLP]]," ",Table43[[#This Row],[Nama            Sub KLP]]))</f>
        <v>STELLA ALL IN ONE</v>
      </c>
      <c r="M516" s="4" t="str">
        <f>CONCATENATE(Table43[[#This Row],[kode  2 Digit                (hrf+No)]],Table43[[#This Row],[kode  2 Digit                (Nomor)]],Table43[[#This Row],[kode  1 Digit                (Nomor)]])</f>
        <v>G1262</v>
      </c>
      <c r="N516" s="4" t="str">
        <f>IF(AI516="",CONCATENATE(S516,U516,W516,Y516,AA516,AC516,AE516,AG516,Table43[[#This Row],[Tanda Kode Revisi]]),CONCATENATE(S516,U516,W516,Y516,AA516,AC516,AE516,AI516))</f>
        <v>G1262104004211</v>
      </c>
      <c r="O516" s="11">
        <f t="shared" si="12"/>
        <v>14</v>
      </c>
      <c r="P516" s="14" t="str">
        <f>IF(AH516&lt;&gt;"",TRIM(UPPER(CONCATENATE(R516," ",T516," ",V516," ",X516," ",Z516," ",AB516," ","X"," ",Table43[[#This Row],[ISI/CTN]]," ",AH516," ",AD516," ",AF516," ",AJ516))),TRIM(UPPER(CONCATENATE(R516," ",T516," ",V516," ",X516," ",Z516," ",AB516," ","X"," ",Table43[[#This Row],[ISI/CTN]]," ",AD516," ",AF516," ",AJ516))))</f>
        <v>STELLA ALL IN ONE MULTI PACK ORANGE 42GR X 18 PCS 3+1</v>
      </c>
      <c r="Q516" s="11">
        <f t="shared" si="13"/>
        <v>53</v>
      </c>
      <c r="S516" s="7" t="s">
        <v>34</v>
      </c>
      <c r="T516" s="4" t="s">
        <v>2421</v>
      </c>
      <c r="U516" s="47" t="s">
        <v>2584</v>
      </c>
      <c r="V516" s="48" t="s">
        <v>2418</v>
      </c>
      <c r="W516" s="7">
        <v>2</v>
      </c>
      <c r="X516" s="48" t="s">
        <v>2399</v>
      </c>
      <c r="Y516" s="47" t="s">
        <v>2539</v>
      </c>
      <c r="Z516" s="4" t="s">
        <v>2251</v>
      </c>
      <c r="AA516" s="49" t="s">
        <v>2540</v>
      </c>
      <c r="AB516" s="4" t="s">
        <v>2373</v>
      </c>
      <c r="AC516" s="49" t="s">
        <v>2655</v>
      </c>
      <c r="AD516" s="4" t="s">
        <v>185</v>
      </c>
      <c r="AE516" s="7">
        <v>1</v>
      </c>
      <c r="AF516" s="65" t="s">
        <v>2420</v>
      </c>
      <c r="AG516" s="7">
        <v>1</v>
      </c>
      <c r="AK516" s="70">
        <f>Table43[[#This Row],[Column4]]</f>
        <v>0</v>
      </c>
      <c r="AN516" s="7">
        <f>Table43[[#This Row],[ISI/CTN]]</f>
        <v>18</v>
      </c>
      <c r="AO516" s="38">
        <f>Table43[[#This Row],[Harga Jual Pcs GT
(-PPN)]]-(Table43[[#This Row],[Harga Jual Pcs GT
(-PPN)]]*6.5%)</f>
        <v>31416</v>
      </c>
      <c r="AP516" s="38">
        <f>Table43[[#This Row],[Harga Beli Pcs
(-PPN)]]*Table43[[#This Row],[ISI/CTN]]</f>
        <v>565488</v>
      </c>
      <c r="AQ516" s="38">
        <f>Table43[[#This Row],[Harga Beli Pcs
(-PPN)]]*1.11</f>
        <v>34871.760000000002</v>
      </c>
      <c r="AR516" s="38">
        <f>Table43[[#This Row],[Harga Beli Krt
(- PPN)]]*1.11</f>
        <v>627691.68000000005</v>
      </c>
      <c r="AS516" s="38">
        <v>33600</v>
      </c>
      <c r="AT516" s="38">
        <f>Table43[[#This Row],[Harga Jual Pcs GT
(-PPN)]]*Table43[[#This Row],[ISI/CTN]]</f>
        <v>604800</v>
      </c>
      <c r="AU516" s="38">
        <f>Table43[[#This Row],[Harga Jual Pcs GT
(-PPN)]]*1.11</f>
        <v>37296</v>
      </c>
      <c r="AV516" s="38">
        <f>Table43[[#This Row],[Harga Jual Krt GT
(- PPN)]]*1.11</f>
        <v>671328.00000000012</v>
      </c>
      <c r="AW516" s="38">
        <f>IFERROR(VLOOKUP(Table43[[#This Row],[Kode Pcpl]],'[1]FEB 2026'!$A$3:$X$312,24,0),0)</f>
        <v>0</v>
      </c>
      <c r="AX516" s="38">
        <f>Table43[[#This Row],[Harga Jual Pcs MT
(-PPN)]]*Table43[[#This Row],[ISI/CTN]]</f>
        <v>0</v>
      </c>
      <c r="AY516" s="38">
        <f>Table43[[#This Row],[Harga Jual Pcs MT
(-PPN)]]*1.11</f>
        <v>0</v>
      </c>
      <c r="AZ516" s="38">
        <f>Table43[[#This Row],[Harga Jual Pcs MT
(+PPN)]]*Table43[[#This Row],[ISI/CTN]]</f>
        <v>0</v>
      </c>
      <c r="BA516" s="46">
        <f>(Table43[[#This Row],[Harga Jual Pcs GT
(-PPN)]]-Table43[[#This Row],[Harga Beli Pcs
(-PPN)]])/Table43[[#This Row],[Harga Jual Pcs GT
(-PPN)]]</f>
        <v>6.5000000000000002E-2</v>
      </c>
      <c r="BB516" s="53">
        <f>Table43[[#This Row],[Harga Jual Pcs MT
(-PPN)]]-Table43[[#This Row],[Harga Beli Pcs
(-PPN)]]</f>
        <v>-31416</v>
      </c>
      <c r="BC516" s="54" t="e">
        <f>Table43[[#This Row],[Column1]]/Table43[[#This Row],[Harga Jual Pcs MT
(-PPN)]]</f>
        <v>#DIV/0!</v>
      </c>
      <c r="BD516" s="52"/>
      <c r="BE516" s="7"/>
      <c r="BF516" s="7" t="str">
        <f ca="1">IF(TODAY()-Table43[[#This Row],[Efektif
Pembuatan]]&gt;60,"Lama","Baru")</f>
        <v>Lama</v>
      </c>
      <c r="BG516" s="7" t="str">
        <f ca="1">IF(TODAY()-Table43[[#This Row],[Efektif Naik Harga]]&lt;30,"Naik","Sama")</f>
        <v>Sama</v>
      </c>
      <c r="BH516" s="7"/>
      <c r="BI516" s="7" t="str">
        <f>IF(Table43[[#This Row],[Kode BARANG Win2]]&lt;&gt;"","IDR","")</f>
        <v>IDR</v>
      </c>
      <c r="BJ516" s="7" t="str">
        <f>CONCATENATE(Table43[[#This Row],[kode  1 Digit
(Nomor)]],Table43[[#This Row],[kode  4 Digit                (Nomor)]])</f>
        <v>0042</v>
      </c>
      <c r="BK516" s="7" t="str">
        <f>Table43[[#This Row],[Nama            Gramasi atau Jumlah Pack per CTN]]</f>
        <v>42GR</v>
      </c>
      <c r="BL516" s="7"/>
      <c r="BM516" s="7"/>
      <c r="BN516" s="4" t="str">
        <f>IF(Table43[[#This Row],[SATUAN Fix Win]]&lt;&gt;"","KRT")</f>
        <v>KRT</v>
      </c>
      <c r="BO516" s="4" t="str">
        <f>IF(Table43[[#This Row],[SATUAN Fix Win]]&lt;&gt;"","GD01")</f>
        <v>GD01</v>
      </c>
      <c r="BP516" s="4">
        <f>IF(Table43[[#This Row],[SATUAN Fix Win]]&lt;&gt;"",11611)</f>
        <v>11611</v>
      </c>
      <c r="BQ516" s="4">
        <f>IF(Table43[[#This Row],[SATUAN Fix Win]]&lt;&gt;"",11612)</f>
        <v>11612</v>
      </c>
      <c r="BS516" s="4">
        <f>IF(Table43[[#This Row],[SATUAN Fix Win]]&lt;&gt;"",1)</f>
        <v>1</v>
      </c>
      <c r="BU516" s="4">
        <f>Table43[[#This Row],[ISI/CTN]]</f>
        <v>18</v>
      </c>
    </row>
    <row r="517" spans="1:75">
      <c r="A517" s="4" t="str">
        <f>CONCATENATE(Table43[[#This Row],[Kode BARANG Win2]],Table43[[#This Row],[No. Urut
Item Sama]])</f>
        <v>G1262104004212</v>
      </c>
      <c r="B517" s="7"/>
      <c r="C517" s="31">
        <v>30540050007000</v>
      </c>
      <c r="D517" s="51">
        <v>40057196</v>
      </c>
      <c r="E517" s="27" t="s">
        <v>2119</v>
      </c>
      <c r="F517" s="51">
        <v>30500060042004</v>
      </c>
      <c r="G517" s="51">
        <v>0</v>
      </c>
      <c r="H517" s="27" t="s">
        <v>1442</v>
      </c>
      <c r="I517" s="27">
        <v>18</v>
      </c>
      <c r="J517" s="51" t="s">
        <v>1792</v>
      </c>
      <c r="K517" s="27" t="str">
        <f>Table43[[#This Row],[NamaJenisKemasan]]</f>
        <v>PCS</v>
      </c>
      <c r="L517" s="4" t="str">
        <f>TRIM(CONCATENATE(Table43[[#This Row],[Nama            KLP]]," ",Table43[[#This Row],[Nama            Sub KLP]]))</f>
        <v>STELLA ALL IN ONE</v>
      </c>
      <c r="M517" s="4" t="str">
        <f>CONCATENATE(Table43[[#This Row],[kode  2 Digit                (hrf+No)]],Table43[[#This Row],[kode  2 Digit                (Nomor)]],Table43[[#This Row],[kode  1 Digit                (Nomor)]])</f>
        <v>G1262</v>
      </c>
      <c r="N517" s="4" t="str">
        <f>IF(AI517="",CONCATENATE(S517,U517,W517,Y517,AA517,AC517,AE517,AG517,Table43[[#This Row],[Tanda Kode Revisi]]),CONCATENATE(S517,U517,W517,Y517,AA517,AC517,AE517,AI517))</f>
        <v>G1262104004212</v>
      </c>
      <c r="O517" s="11">
        <f t="shared" si="12"/>
        <v>14</v>
      </c>
      <c r="P517" s="14" t="str">
        <f>IF(AH517&lt;&gt;"",TRIM(UPPER(CONCATENATE(R517," ",T517," ",V517," ",X517," ",Z517," ",AB517," ","X"," ",Table43[[#This Row],[ISI/CTN]]," ",AH517," ",AD517," ",AF517," ",AJ517))),TRIM(UPPER(CONCATENATE(R517," ",T517," ",V517," ",X517," ",Z517," ",AB517," ","X"," ",Table43[[#This Row],[ISI/CTN]]," ",AD517," ",AF517," ",AJ517))))</f>
        <v>STELLA ALL IN ONE MULTI PACK ORANGE 42GR X 18 PCS BANDED</v>
      </c>
      <c r="Q517" s="11">
        <f t="shared" si="13"/>
        <v>56</v>
      </c>
      <c r="S517" s="7" t="s">
        <v>34</v>
      </c>
      <c r="T517" s="4" t="s">
        <v>2421</v>
      </c>
      <c r="U517" s="47" t="s">
        <v>2584</v>
      </c>
      <c r="V517" s="48" t="s">
        <v>2418</v>
      </c>
      <c r="W517" s="7">
        <v>2</v>
      </c>
      <c r="X517" s="48" t="s">
        <v>2399</v>
      </c>
      <c r="Y517" s="47" t="s">
        <v>2539</v>
      </c>
      <c r="Z517" s="4" t="s">
        <v>2251</v>
      </c>
      <c r="AA517" s="49" t="s">
        <v>2540</v>
      </c>
      <c r="AB517" s="4" t="s">
        <v>2373</v>
      </c>
      <c r="AC517" s="49" t="s">
        <v>2655</v>
      </c>
      <c r="AD517" s="4" t="s">
        <v>185</v>
      </c>
      <c r="AE517" s="7">
        <v>1</v>
      </c>
      <c r="AF517" s="4" t="s">
        <v>2269</v>
      </c>
      <c r="AG517" s="7">
        <v>2</v>
      </c>
      <c r="AK517" s="70">
        <f>Table43[[#This Row],[Column4]]</f>
        <v>30500060042004</v>
      </c>
      <c r="AN517" s="7">
        <f>Table43[[#This Row],[ISI/CTN]]</f>
        <v>18</v>
      </c>
      <c r="AO517" s="38">
        <f>Table43[[#This Row],[Harga Jual Pcs GT
(-PPN)]]-(Table43[[#This Row],[Harga Jual Pcs GT
(-PPN)]]*6.5%)</f>
        <v>31416</v>
      </c>
      <c r="AP517" s="38">
        <f>Table43[[#This Row],[Harga Beli Pcs
(-PPN)]]*Table43[[#This Row],[ISI/CTN]]</f>
        <v>565488</v>
      </c>
      <c r="AQ517" s="38">
        <f>Table43[[#This Row],[Harga Beli Pcs
(-PPN)]]*1.11</f>
        <v>34871.760000000002</v>
      </c>
      <c r="AR517" s="38">
        <f>Table43[[#This Row],[Harga Beli Krt
(- PPN)]]*1.11</f>
        <v>627691.68000000005</v>
      </c>
      <c r="AS517" s="38">
        <v>33600</v>
      </c>
      <c r="AT517" s="38">
        <f>Table43[[#This Row],[Harga Jual Pcs GT
(-PPN)]]*Table43[[#This Row],[ISI/CTN]]</f>
        <v>604800</v>
      </c>
      <c r="AU517" s="38">
        <f>Table43[[#This Row],[Harga Jual Pcs GT
(-PPN)]]*1.11</f>
        <v>37296</v>
      </c>
      <c r="AV517" s="38">
        <f>Table43[[#This Row],[Harga Jual Krt GT
(- PPN)]]*1.11</f>
        <v>671328.00000000012</v>
      </c>
      <c r="AW517" s="38">
        <f>IFERROR(VLOOKUP(Table43[[#This Row],[Kode Pcpl]],'[1]FEB 2026'!$A$3:$X$312,24,0),0)</f>
        <v>0</v>
      </c>
      <c r="AX517" s="38">
        <f>Table43[[#This Row],[Harga Jual Pcs MT
(-PPN)]]*Table43[[#This Row],[ISI/CTN]]</f>
        <v>0</v>
      </c>
      <c r="AY517" s="38">
        <f>Table43[[#This Row],[Harga Jual Pcs MT
(-PPN)]]*1.11</f>
        <v>0</v>
      </c>
      <c r="AZ517" s="38">
        <f>Table43[[#This Row],[Harga Jual Pcs MT
(+PPN)]]*Table43[[#This Row],[ISI/CTN]]</f>
        <v>0</v>
      </c>
      <c r="BA517" s="46">
        <f>(Table43[[#This Row],[Harga Jual Pcs GT
(-PPN)]]-Table43[[#This Row],[Harga Beli Pcs
(-PPN)]])/Table43[[#This Row],[Harga Jual Pcs GT
(-PPN)]]</f>
        <v>6.5000000000000002E-2</v>
      </c>
      <c r="BB517" s="53">
        <f>Table43[[#This Row],[Harga Jual Pcs MT
(-PPN)]]-Table43[[#This Row],[Harga Beli Pcs
(-PPN)]]</f>
        <v>-31416</v>
      </c>
      <c r="BC517" s="54" t="e">
        <f>Table43[[#This Row],[Column1]]/Table43[[#This Row],[Harga Jual Pcs MT
(-PPN)]]</f>
        <v>#DIV/0!</v>
      </c>
      <c r="BD517" s="52"/>
      <c r="BE517" s="7"/>
      <c r="BF517" s="7" t="str">
        <f ca="1">IF(TODAY()-Table43[[#This Row],[Efektif
Pembuatan]]&gt;60,"Lama","Baru")</f>
        <v>Lama</v>
      </c>
      <c r="BG517" s="7" t="str">
        <f ca="1">IF(TODAY()-Table43[[#This Row],[Efektif Naik Harga]]&lt;30,"Naik","Sama")</f>
        <v>Sama</v>
      </c>
      <c r="BH517" s="7"/>
      <c r="BI517" s="7" t="str">
        <f>IF(Table43[[#This Row],[Kode BARANG Win2]]&lt;&gt;"","IDR","")</f>
        <v>IDR</v>
      </c>
      <c r="BJ517" s="7" t="str">
        <f>CONCATENATE(Table43[[#This Row],[kode  1 Digit
(Nomor)]],Table43[[#This Row],[kode  4 Digit                (Nomor)]])</f>
        <v>0042</v>
      </c>
      <c r="BK517" s="7" t="str">
        <f>Table43[[#This Row],[Nama            Gramasi atau Jumlah Pack per CTN]]</f>
        <v>42GR</v>
      </c>
      <c r="BL517" s="7"/>
      <c r="BM517" s="7"/>
      <c r="BN517" s="4" t="str">
        <f>IF(Table43[[#This Row],[SATUAN Fix Win]]&lt;&gt;"","KRT")</f>
        <v>KRT</v>
      </c>
      <c r="BO517" s="4" t="str">
        <f>IF(Table43[[#This Row],[SATUAN Fix Win]]&lt;&gt;"","GD01")</f>
        <v>GD01</v>
      </c>
      <c r="BP517" s="4">
        <f>IF(Table43[[#This Row],[SATUAN Fix Win]]&lt;&gt;"",11611)</f>
        <v>11611</v>
      </c>
      <c r="BQ517" s="4">
        <f>IF(Table43[[#This Row],[SATUAN Fix Win]]&lt;&gt;"",11612)</f>
        <v>11612</v>
      </c>
      <c r="BS517" s="4">
        <f>IF(Table43[[#This Row],[SATUAN Fix Win]]&lt;&gt;"",1)</f>
        <v>1</v>
      </c>
      <c r="BU517" s="4">
        <f>Table43[[#This Row],[ISI/CTN]]</f>
        <v>18</v>
      </c>
    </row>
    <row r="518" spans="1:75">
      <c r="A518" s="4" t="str">
        <f>CONCATENATE(Table43[[#This Row],[Kode BARANG Win2]],Table43[[#This Row],[No. Urut
Item Sama]])</f>
        <v>G1263001010010</v>
      </c>
      <c r="B518" s="7"/>
      <c r="C518" s="31">
        <v>30550020007001</v>
      </c>
      <c r="D518" s="59">
        <v>40031090</v>
      </c>
      <c r="E518" s="60" t="s">
        <v>2185</v>
      </c>
      <c r="F518" s="59">
        <v>30670010100000</v>
      </c>
      <c r="G518" s="59">
        <v>0</v>
      </c>
      <c r="H518" s="60" t="s">
        <v>1540</v>
      </c>
      <c r="I518" s="60">
        <v>24</v>
      </c>
      <c r="J518" s="59" t="s">
        <v>1852</v>
      </c>
      <c r="K518" s="60" t="str">
        <f>Table43[[#This Row],[NamaJenisKemasan]]</f>
        <v>PCS</v>
      </c>
      <c r="L518" s="4" t="str">
        <f>TRIM(CONCATENATE(Table43[[#This Row],[Nama            KLP]]," ",Table43[[#This Row],[Nama            Sub KLP]]))</f>
        <v>STELLA CLIP&amp;TWIST</v>
      </c>
      <c r="M518" s="4" t="str">
        <f>CONCATENATE(Table43[[#This Row],[kode  2 Digit                (hrf+No)]],Table43[[#This Row],[kode  2 Digit                (Nomor)]],Table43[[#This Row],[kode  1 Digit                (Nomor)]])</f>
        <v>G1263</v>
      </c>
      <c r="N518" s="4" t="str">
        <f>IF(AI518="",CONCATENATE(S518,U518,W518,Y518,AA518,AC518,AE518,AG518,Table43[[#This Row],[Tanda Kode Revisi]]),CONCATENATE(S518,U518,W518,Y518,AA518,AC518,AE518,AI518))</f>
        <v>G1263001010010</v>
      </c>
      <c r="O518" s="11">
        <f t="shared" si="12"/>
        <v>14</v>
      </c>
      <c r="P518" s="14" t="str">
        <f>IF(AH518&lt;&gt;"",TRIM(UPPER(CONCATENATE(R518," ",T518," ",V518," ",X518," ",Z518," ",AB518," ","X"," ",Table43[[#This Row],[ISI/CTN]]," ",AH518," ",AD518," ",AF518," ",AJ518))),TRIM(UPPER(CONCATENATE(R518," ",T518," ",V518," ",X518," ",Z518," ",AB518," ","X"," ",Table43[[#This Row],[ISI/CTN]]," ",AD518," ",AF518," ",AJ518))))</f>
        <v>STELLA CLIP&amp;TWIST AFTERSMOKE 100GR X 24 PCS</v>
      </c>
      <c r="Q518" s="11">
        <f t="shared" si="13"/>
        <v>43</v>
      </c>
      <c r="S518" s="7" t="s">
        <v>34</v>
      </c>
      <c r="T518" s="4" t="s">
        <v>2421</v>
      </c>
      <c r="U518" s="47" t="s">
        <v>2584</v>
      </c>
      <c r="V518" s="48" t="s">
        <v>2422</v>
      </c>
      <c r="W518" s="7">
        <v>3</v>
      </c>
      <c r="X518" s="48"/>
      <c r="Y518" s="47" t="s">
        <v>1116</v>
      </c>
      <c r="Z518" s="4" t="s">
        <v>2431</v>
      </c>
      <c r="AA518" s="49" t="s">
        <v>1115</v>
      </c>
      <c r="AB518" s="4" t="s">
        <v>2346</v>
      </c>
      <c r="AC518" s="49" t="s">
        <v>1118</v>
      </c>
      <c r="AD518" s="4" t="s">
        <v>185</v>
      </c>
      <c r="AE518" s="7">
        <v>1</v>
      </c>
      <c r="AG518" s="7">
        <v>0</v>
      </c>
      <c r="AK518" s="70">
        <f>Table43[[#This Row],[Column4]]</f>
        <v>30670010100000</v>
      </c>
      <c r="AN518" s="7">
        <f>Table43[[#This Row],[ISI/CTN]]</f>
        <v>24</v>
      </c>
      <c r="AO518" s="61">
        <f>Table43[[#This Row],[Harga Jual Pcs GT
(-PPN)]]-(Table43[[#This Row],[Harga Jual Pcs GT
(-PPN)]]*6.5%)</f>
        <v>20720.535</v>
      </c>
      <c r="AP518" s="61">
        <f>Table43[[#This Row],[Harga Beli Pcs
(-PPN)]]*Table43[[#This Row],[ISI/CTN]]</f>
        <v>497292.83999999997</v>
      </c>
      <c r="AQ518" s="61">
        <f>Table43[[#This Row],[Harga Beli Pcs
(-PPN)]]*1.11</f>
        <v>22999.793850000002</v>
      </c>
      <c r="AR518" s="61">
        <f>Table43[[#This Row],[Harga Beli Krt
(- PPN)]]*1.11</f>
        <v>551995.05240000004</v>
      </c>
      <c r="AS518" s="61">
        <v>22161</v>
      </c>
      <c r="AT518" s="61">
        <f>Table43[[#This Row],[Harga Jual Pcs GT
(-PPN)]]*Table43[[#This Row],[ISI/CTN]]</f>
        <v>531864</v>
      </c>
      <c r="AU518" s="61">
        <f>Table43[[#This Row],[Harga Jual Pcs GT
(-PPN)]]*1.11</f>
        <v>24598.710000000003</v>
      </c>
      <c r="AV518" s="61">
        <f>Table43[[#This Row],[Harga Jual Krt GT
(- PPN)]]*1.11</f>
        <v>590369.04</v>
      </c>
      <c r="AW518" s="61">
        <f>IFERROR(VLOOKUP(Table43[[#This Row],[Kode Pcpl]],'[1]FEB 2026'!$A$3:$X$312,24,0),0)</f>
        <v>0</v>
      </c>
      <c r="AX518" s="61">
        <f>Table43[[#This Row],[Harga Jual Pcs MT
(-PPN)]]*Table43[[#This Row],[ISI/CTN]]</f>
        <v>0</v>
      </c>
      <c r="AY518" s="61">
        <f>Table43[[#This Row],[Harga Jual Pcs MT
(-PPN)]]*1.11</f>
        <v>0</v>
      </c>
      <c r="AZ518" s="61">
        <f>Table43[[#This Row],[Harga Jual Pcs MT
(+PPN)]]*Table43[[#This Row],[ISI/CTN]]</f>
        <v>0</v>
      </c>
      <c r="BA518" s="62">
        <f>(Table43[[#This Row],[Harga Jual Pcs GT
(-PPN)]]-Table43[[#This Row],[Harga Beli Pcs
(-PPN)]])/Table43[[#This Row],[Harga Jual Pcs GT
(-PPN)]]</f>
        <v>6.5000000000000002E-2</v>
      </c>
      <c r="BB518" s="63">
        <f>Table43[[#This Row],[Harga Jual Pcs MT
(-PPN)]]-Table43[[#This Row],[Harga Beli Pcs
(-PPN)]]</f>
        <v>-20720.535</v>
      </c>
      <c r="BC518" s="64" t="e">
        <f>Table43[[#This Row],[Column1]]/Table43[[#This Row],[Harga Jual Pcs MT
(-PPN)]]</f>
        <v>#DIV/0!</v>
      </c>
      <c r="BD518" s="52"/>
      <c r="BE518" s="7"/>
      <c r="BF518" s="7" t="str">
        <f ca="1">IF(TODAY()-Table43[[#This Row],[Efektif
Pembuatan]]&gt;60,"Lama","Baru")</f>
        <v>Lama</v>
      </c>
      <c r="BG518" s="7" t="str">
        <f ca="1">IF(TODAY()-Table43[[#This Row],[Efektif Naik Harga]]&lt;30,"Naik","Sama")</f>
        <v>Sama</v>
      </c>
      <c r="BH518" s="7"/>
      <c r="BI518" s="7" t="str">
        <f>IF(Table43[[#This Row],[Kode BARANG Win2]]&lt;&gt;"","IDR","")</f>
        <v>IDR</v>
      </c>
      <c r="BJ518" s="7" t="str">
        <f>CONCATENATE(Table43[[#This Row],[kode  1 Digit
(Nomor)]],Table43[[#This Row],[kode  4 Digit                (Nomor)]])</f>
        <v>0100</v>
      </c>
      <c r="BK518" s="7" t="str">
        <f>Table43[[#This Row],[Nama            Gramasi atau Jumlah Pack per CTN]]</f>
        <v>100GR</v>
      </c>
      <c r="BL518" s="7"/>
      <c r="BM518" s="7"/>
      <c r="BN518" s="4" t="str">
        <f>IF(Table43[[#This Row],[SATUAN Fix Win]]&lt;&gt;"","KRT")</f>
        <v>KRT</v>
      </c>
      <c r="BO518" s="4" t="str">
        <f>IF(Table43[[#This Row],[SATUAN Fix Win]]&lt;&gt;"","GD01")</f>
        <v>GD01</v>
      </c>
      <c r="BP518" s="4">
        <f>IF(Table43[[#This Row],[SATUAN Fix Win]]&lt;&gt;"",11611)</f>
        <v>11611</v>
      </c>
      <c r="BQ518" s="4">
        <f>IF(Table43[[#This Row],[SATUAN Fix Win]]&lt;&gt;"",11612)</f>
        <v>11612</v>
      </c>
      <c r="BS518" s="4">
        <f>IF(Table43[[#This Row],[SATUAN Fix Win]]&lt;&gt;"",1)</f>
        <v>1</v>
      </c>
      <c r="BU518" s="4">
        <f>Table43[[#This Row],[ISI/CTN]]</f>
        <v>24</v>
      </c>
    </row>
    <row r="519" spans="1:75">
      <c r="A519" s="4" t="str">
        <f>CONCATENATE(Table43[[#This Row],[Kode BARANG Win2]],Table43[[#This Row],[No. Urut
Item Sama]])</f>
        <v>G1263002010010</v>
      </c>
      <c r="B519" s="7"/>
      <c r="C519" s="31">
        <v>30550050007000</v>
      </c>
      <c r="D519" s="51">
        <v>40031092</v>
      </c>
      <c r="E519" s="27" t="s">
        <v>2186</v>
      </c>
      <c r="F519" s="51">
        <v>30670030100000</v>
      </c>
      <c r="G519" s="51">
        <v>0</v>
      </c>
      <c r="H519" s="27" t="s">
        <v>1541</v>
      </c>
      <c r="I519" s="27">
        <v>24</v>
      </c>
      <c r="J519" s="51" t="s">
        <v>1853</v>
      </c>
      <c r="K519" s="27" t="str">
        <f>Table43[[#This Row],[NamaJenisKemasan]]</f>
        <v>PCS</v>
      </c>
      <c r="L519" s="4" t="str">
        <f>TRIM(CONCATENATE(Table43[[#This Row],[Nama            KLP]]," ",Table43[[#This Row],[Nama            Sub KLP]]))</f>
        <v>STELLA CLIP&amp;TWIST</v>
      </c>
      <c r="M519" s="4" t="str">
        <f>CONCATENATE(Table43[[#This Row],[kode  2 Digit                (hrf+No)]],Table43[[#This Row],[kode  2 Digit                (Nomor)]],Table43[[#This Row],[kode  1 Digit                (Nomor)]])</f>
        <v>G1263</v>
      </c>
      <c r="N519" s="4" t="str">
        <f>IF(AI519="",CONCATENATE(S519,U519,W519,Y519,AA519,AC519,AE519,AG519,Table43[[#This Row],[Tanda Kode Revisi]]),CONCATENATE(S519,U519,W519,Y519,AA519,AC519,AE519,AI519))</f>
        <v>G1263002010010</v>
      </c>
      <c r="O519" s="11">
        <f t="shared" si="12"/>
        <v>14</v>
      </c>
      <c r="P519" s="14" t="str">
        <f>IF(AH519&lt;&gt;"",TRIM(UPPER(CONCATENATE(R519," ",T519," ",V519," ",X519," ",Z519," ",AB519," ","X"," ",Table43[[#This Row],[ISI/CTN]]," ",AH519," ",AD519," ",AF519," ",AJ519))),TRIM(UPPER(CONCATENATE(R519," ",T519," ",V519," ",X519," ",Z519," ",AB519," ","X"," ",Table43[[#This Row],[ISI/CTN]]," ",AD519," ",AF519," ",AJ519))))</f>
        <v>STELLA CLIP&amp;TWIST AQUA MARINE 100GR X 24 PCS</v>
      </c>
      <c r="Q519" s="11">
        <f t="shared" si="13"/>
        <v>44</v>
      </c>
      <c r="S519" s="7" t="s">
        <v>34</v>
      </c>
      <c r="T519" s="4" t="s">
        <v>2421</v>
      </c>
      <c r="U519" s="47" t="s">
        <v>2584</v>
      </c>
      <c r="V519" s="48" t="s">
        <v>2422</v>
      </c>
      <c r="W519" s="7">
        <v>3</v>
      </c>
      <c r="X519" s="48"/>
      <c r="Y519" s="47" t="s">
        <v>1116</v>
      </c>
      <c r="Z519" s="4" t="s">
        <v>2432</v>
      </c>
      <c r="AA519" s="49" t="s">
        <v>2459</v>
      </c>
      <c r="AB519" s="4" t="s">
        <v>2346</v>
      </c>
      <c r="AC519" s="49" t="s">
        <v>1118</v>
      </c>
      <c r="AD519" s="4" t="s">
        <v>185</v>
      </c>
      <c r="AE519" s="7">
        <v>1</v>
      </c>
      <c r="AG519" s="7">
        <v>0</v>
      </c>
      <c r="AK519" s="70">
        <f>Table43[[#This Row],[Column4]]</f>
        <v>30670030100000</v>
      </c>
      <c r="AN519" s="7">
        <f>Table43[[#This Row],[ISI/CTN]]</f>
        <v>24</v>
      </c>
      <c r="AO519" s="61">
        <f>Table43[[#This Row],[Harga Jual Pcs GT
(-PPN)]]-(Table43[[#This Row],[Harga Jual Pcs GT
(-PPN)]]*6.5%)</f>
        <v>20720.535</v>
      </c>
      <c r="AP519" s="61">
        <f>Table43[[#This Row],[Harga Beli Pcs
(-PPN)]]*Table43[[#This Row],[ISI/CTN]]</f>
        <v>497292.83999999997</v>
      </c>
      <c r="AQ519" s="61">
        <f>Table43[[#This Row],[Harga Beli Pcs
(-PPN)]]*1.11</f>
        <v>22999.793850000002</v>
      </c>
      <c r="AR519" s="61">
        <f>Table43[[#This Row],[Harga Beli Krt
(- PPN)]]*1.11</f>
        <v>551995.05240000004</v>
      </c>
      <c r="AS519" s="61">
        <v>22161</v>
      </c>
      <c r="AT519" s="61">
        <f>Table43[[#This Row],[Harga Jual Pcs GT
(-PPN)]]*Table43[[#This Row],[ISI/CTN]]</f>
        <v>531864</v>
      </c>
      <c r="AU519" s="61">
        <f>Table43[[#This Row],[Harga Jual Pcs GT
(-PPN)]]*1.11</f>
        <v>24598.710000000003</v>
      </c>
      <c r="AV519" s="61">
        <f>Table43[[#This Row],[Harga Jual Krt GT
(- PPN)]]*1.11</f>
        <v>590369.04</v>
      </c>
      <c r="AW519" s="61">
        <f>IFERROR(VLOOKUP(Table43[[#This Row],[Kode Pcpl]],'[1]FEB 2026'!$A$3:$X$312,24,0),0)</f>
        <v>0</v>
      </c>
      <c r="AX519" s="61">
        <f>Table43[[#This Row],[Harga Jual Pcs MT
(-PPN)]]*Table43[[#This Row],[ISI/CTN]]</f>
        <v>0</v>
      </c>
      <c r="AY519" s="61">
        <f>Table43[[#This Row],[Harga Jual Pcs MT
(-PPN)]]*1.11</f>
        <v>0</v>
      </c>
      <c r="AZ519" s="61">
        <f>Table43[[#This Row],[Harga Jual Pcs MT
(+PPN)]]*Table43[[#This Row],[ISI/CTN]]</f>
        <v>0</v>
      </c>
      <c r="BA519" s="62">
        <f>(Table43[[#This Row],[Harga Jual Pcs GT
(-PPN)]]-Table43[[#This Row],[Harga Beli Pcs
(-PPN)]])/Table43[[#This Row],[Harga Jual Pcs GT
(-PPN)]]</f>
        <v>6.5000000000000002E-2</v>
      </c>
      <c r="BB519" s="63">
        <f>Table43[[#This Row],[Harga Jual Pcs MT
(-PPN)]]-Table43[[#This Row],[Harga Beli Pcs
(-PPN)]]</f>
        <v>-20720.535</v>
      </c>
      <c r="BC519" s="64" t="e">
        <f>Table43[[#This Row],[Column1]]/Table43[[#This Row],[Harga Jual Pcs MT
(-PPN)]]</f>
        <v>#DIV/0!</v>
      </c>
      <c r="BD519" s="52"/>
      <c r="BE519" s="7"/>
      <c r="BF519" s="7" t="str">
        <f ca="1">IF(TODAY()-Table43[[#This Row],[Efektif
Pembuatan]]&gt;60,"Lama","Baru")</f>
        <v>Lama</v>
      </c>
      <c r="BG519" s="7" t="str">
        <f ca="1">IF(TODAY()-Table43[[#This Row],[Efektif Naik Harga]]&lt;30,"Naik","Sama")</f>
        <v>Sama</v>
      </c>
      <c r="BH519" s="7"/>
      <c r="BI519" s="7" t="str">
        <f>IF(Table43[[#This Row],[Kode BARANG Win2]]&lt;&gt;"","IDR","")</f>
        <v>IDR</v>
      </c>
      <c r="BJ519" s="7" t="str">
        <f>CONCATENATE(Table43[[#This Row],[kode  1 Digit
(Nomor)]],Table43[[#This Row],[kode  4 Digit                (Nomor)]])</f>
        <v>0100</v>
      </c>
      <c r="BK519" s="7" t="str">
        <f>Table43[[#This Row],[Nama            Gramasi atau Jumlah Pack per CTN]]</f>
        <v>100GR</v>
      </c>
      <c r="BL519" s="7"/>
      <c r="BM519" s="7"/>
      <c r="BN519" s="4" t="str">
        <f>IF(Table43[[#This Row],[SATUAN Fix Win]]&lt;&gt;"","KRT")</f>
        <v>KRT</v>
      </c>
      <c r="BO519" s="4" t="str">
        <f>IF(Table43[[#This Row],[SATUAN Fix Win]]&lt;&gt;"","GD01")</f>
        <v>GD01</v>
      </c>
      <c r="BP519" s="4">
        <f>IF(Table43[[#This Row],[SATUAN Fix Win]]&lt;&gt;"",11611)</f>
        <v>11611</v>
      </c>
      <c r="BQ519" s="4">
        <f>IF(Table43[[#This Row],[SATUAN Fix Win]]&lt;&gt;"",11612)</f>
        <v>11612</v>
      </c>
      <c r="BS519" s="4">
        <f>IF(Table43[[#This Row],[SATUAN Fix Win]]&lt;&gt;"",1)</f>
        <v>1</v>
      </c>
      <c r="BU519" s="4">
        <f>Table43[[#This Row],[ISI/CTN]]</f>
        <v>24</v>
      </c>
    </row>
    <row r="520" spans="1:75">
      <c r="A520" s="4" t="str">
        <f>CONCATENATE(Table43[[#This Row],[Kode BARANG Win2]],Table43[[#This Row],[No. Urut
Item Sama]])</f>
        <v>G1264001000010</v>
      </c>
      <c r="B520" s="7"/>
      <c r="C520" s="31">
        <v>30550050007000</v>
      </c>
      <c r="D520" s="59">
        <v>40014711</v>
      </c>
      <c r="E520" s="60" t="s">
        <v>2128</v>
      </c>
      <c r="F520" s="51">
        <v>30540020007000</v>
      </c>
      <c r="G520" s="59">
        <v>0</v>
      </c>
      <c r="H520" s="60" t="s">
        <v>1452</v>
      </c>
      <c r="I520" s="60">
        <v>72</v>
      </c>
      <c r="J520" s="59" t="s">
        <v>1798</v>
      </c>
      <c r="K520" s="60" t="str">
        <f>Table43[[#This Row],[NamaJenisKemasan]]</f>
        <v>PCS</v>
      </c>
      <c r="L520" s="4" t="str">
        <f>TRIM(CONCATENATE(Table43[[#This Row],[Nama            KLP]]," ",Table43[[#This Row],[Nama            Sub KLP]]))</f>
        <v>STELLA DAILY FRESH</v>
      </c>
      <c r="M520" s="4" t="str">
        <f>CONCATENATE(Table43[[#This Row],[kode  2 Digit                (hrf+No)]],Table43[[#This Row],[kode  2 Digit                (Nomor)]],Table43[[#This Row],[kode  1 Digit                (Nomor)]])</f>
        <v>G1264</v>
      </c>
      <c r="N520" s="4" t="str">
        <f>IF(AI520="",CONCATENATE(S520,U520,W520,Y520,AA520,AC520,AE520,AG520,Table43[[#This Row],[Tanda Kode Revisi]]),CONCATENATE(S520,U520,W520,Y520,AA520,AC520,AE520,AI520))</f>
        <v>G1264001000010</v>
      </c>
      <c r="O520" s="11">
        <f t="shared" si="12"/>
        <v>14</v>
      </c>
      <c r="P520" s="14" t="str">
        <f>IF(AH520&lt;&gt;"",TRIM(UPPER(CONCATENATE(R520," ",T520," ",V520," ",X520," ",Z520," ",AB520," ","X"," ",Table43[[#This Row],[ISI/CTN]]," ",AH520," ",AD520," ",AF520," ",AJ520))),TRIM(UPPER(CONCATENATE(R520," ",T520," ",V520," ",X520," ",Z520," ",AB520," ","X"," ",Table43[[#This Row],[ISI/CTN]]," ",AD520," ",AF520," ",AJ520))))</f>
        <v>STELLA DAILY FRESH GREEN FRESH X 72 PCS</v>
      </c>
      <c r="Q520" s="11">
        <f t="shared" si="13"/>
        <v>39</v>
      </c>
      <c r="S520" s="7" t="s">
        <v>34</v>
      </c>
      <c r="T520" s="4" t="s">
        <v>2421</v>
      </c>
      <c r="U520" s="47" t="s">
        <v>2584</v>
      </c>
      <c r="V520" s="48" t="s">
        <v>2423</v>
      </c>
      <c r="W520" s="7">
        <v>4</v>
      </c>
      <c r="X520" s="48"/>
      <c r="Y520" s="47" t="s">
        <v>1116</v>
      </c>
      <c r="Z520" s="4" t="s">
        <v>2433</v>
      </c>
      <c r="AA520" s="49" t="s">
        <v>1115</v>
      </c>
      <c r="AC520" s="49" t="s">
        <v>2460</v>
      </c>
      <c r="AD520" s="4" t="s">
        <v>185</v>
      </c>
      <c r="AE520" s="7">
        <v>1</v>
      </c>
      <c r="AG520" s="7">
        <v>0</v>
      </c>
      <c r="AK520" s="70">
        <f>Table43[[#This Row],[Column4]]</f>
        <v>30540020007000</v>
      </c>
      <c r="AN520" s="7">
        <f>Table43[[#This Row],[ISI/CTN]]</f>
        <v>72</v>
      </c>
      <c r="AO520" s="61">
        <f>Table43[[#This Row],[Harga Jual Pcs GT
(-PPN)]]-(Table43[[#This Row],[Harga Jual Pcs GT
(-PPN)]]*6.5%)</f>
        <v>11668.8</v>
      </c>
      <c r="AP520" s="61">
        <f>Table43[[#This Row],[Harga Beli Pcs
(-PPN)]]*Table43[[#This Row],[ISI/CTN]]</f>
        <v>840153.59999999998</v>
      </c>
      <c r="AQ520" s="61">
        <f>Table43[[#This Row],[Harga Beli Pcs
(-PPN)]]*1.11</f>
        <v>12952.368</v>
      </c>
      <c r="AR520" s="61">
        <f>Table43[[#This Row],[Harga Beli Krt
(- PPN)]]*1.11</f>
        <v>932570.49600000004</v>
      </c>
      <c r="AS520" s="61">
        <v>12480</v>
      </c>
      <c r="AT520" s="61">
        <f>Table43[[#This Row],[Harga Jual Pcs GT
(-PPN)]]*Table43[[#This Row],[ISI/CTN]]</f>
        <v>898560</v>
      </c>
      <c r="AU520" s="61">
        <f>Table43[[#This Row],[Harga Jual Pcs GT
(-PPN)]]*1.11</f>
        <v>13852.800000000001</v>
      </c>
      <c r="AV520" s="61">
        <f>Table43[[#This Row],[Harga Jual Krt GT
(- PPN)]]*1.11</f>
        <v>997401.60000000009</v>
      </c>
      <c r="AW520" s="61">
        <f>IFERROR(VLOOKUP(Table43[[#This Row],[Kode Pcpl]],'[1]FEB 2026'!$A$3:$X$312,24,0),0)</f>
        <v>0</v>
      </c>
      <c r="AX520" s="61">
        <f>Table43[[#This Row],[Harga Jual Pcs MT
(-PPN)]]*Table43[[#This Row],[ISI/CTN]]</f>
        <v>0</v>
      </c>
      <c r="AY520" s="61">
        <f>Table43[[#This Row],[Harga Jual Pcs MT
(-PPN)]]*1.11</f>
        <v>0</v>
      </c>
      <c r="AZ520" s="61">
        <f>Table43[[#This Row],[Harga Jual Pcs MT
(+PPN)]]*Table43[[#This Row],[ISI/CTN]]</f>
        <v>0</v>
      </c>
      <c r="BA520" s="62">
        <f>(Table43[[#This Row],[Harga Jual Pcs GT
(-PPN)]]-Table43[[#This Row],[Harga Beli Pcs
(-PPN)]])/Table43[[#This Row],[Harga Jual Pcs GT
(-PPN)]]</f>
        <v>6.5000000000000058E-2</v>
      </c>
      <c r="BB520" s="63">
        <f>Table43[[#This Row],[Harga Jual Pcs MT
(-PPN)]]-Table43[[#This Row],[Harga Beli Pcs
(-PPN)]]</f>
        <v>-11668.8</v>
      </c>
      <c r="BC520" s="64" t="e">
        <f>Table43[[#This Row],[Column1]]/Table43[[#This Row],[Harga Jual Pcs MT
(-PPN)]]</f>
        <v>#DIV/0!</v>
      </c>
      <c r="BD520" s="52"/>
      <c r="BE520" s="7"/>
      <c r="BF520" s="7" t="str">
        <f ca="1">IF(TODAY()-Table43[[#This Row],[Efektif
Pembuatan]]&gt;60,"Lama","Baru")</f>
        <v>Lama</v>
      </c>
      <c r="BG520" s="7" t="str">
        <f ca="1">IF(TODAY()-Table43[[#This Row],[Efektif Naik Harga]]&lt;30,"Naik","Sama")</f>
        <v>Sama</v>
      </c>
      <c r="BH520" s="7"/>
      <c r="BI520" s="7" t="str">
        <f>IF(Table43[[#This Row],[Kode BARANG Win2]]&lt;&gt;"","IDR","")</f>
        <v>IDR</v>
      </c>
      <c r="BJ520" s="7" t="str">
        <f>CONCATENATE(Table43[[#This Row],[kode  1 Digit
(Nomor)]],Table43[[#This Row],[kode  4 Digit                (Nomor)]])</f>
        <v>0000</v>
      </c>
      <c r="BK520" s="7">
        <f>Table43[[#This Row],[Nama            Gramasi atau Jumlah Pack per CTN]]</f>
        <v>0</v>
      </c>
      <c r="BL520" s="7"/>
      <c r="BM520" s="7"/>
      <c r="BN520" s="4" t="str">
        <f>IF(Table43[[#This Row],[SATUAN Fix Win]]&lt;&gt;"","KRT")</f>
        <v>KRT</v>
      </c>
      <c r="BO520" s="4" t="str">
        <f>IF(Table43[[#This Row],[SATUAN Fix Win]]&lt;&gt;"","GD01")</f>
        <v>GD01</v>
      </c>
      <c r="BP520" s="4">
        <f>IF(Table43[[#This Row],[SATUAN Fix Win]]&lt;&gt;"",11611)</f>
        <v>11611</v>
      </c>
      <c r="BQ520" s="4">
        <f>IF(Table43[[#This Row],[SATUAN Fix Win]]&lt;&gt;"",11612)</f>
        <v>11612</v>
      </c>
      <c r="BS520" s="4">
        <f>IF(Table43[[#This Row],[SATUAN Fix Win]]&lt;&gt;"",1)</f>
        <v>1</v>
      </c>
      <c r="BU520" s="4">
        <f>Table43[[#This Row],[ISI/CTN]]</f>
        <v>72</v>
      </c>
    </row>
    <row r="521" spans="1:75" s="139" customFormat="1">
      <c r="A521" s="128" t="str">
        <f>CONCATENATE(Table43[[#This Row],[Kode BARANG Win2]],Table43[[#This Row],[No. Urut
Item Sama]])</f>
        <v>G1264104000010</v>
      </c>
      <c r="B521" s="129"/>
      <c r="C521" s="130">
        <v>30540040007000</v>
      </c>
      <c r="D521" s="140">
        <v>40058507</v>
      </c>
      <c r="E521" s="141" t="s">
        <v>2502</v>
      </c>
      <c r="F521" s="140">
        <v>30540040007000</v>
      </c>
      <c r="G521" s="140">
        <v>0</v>
      </c>
      <c r="H521" s="141">
        <v>0</v>
      </c>
      <c r="I521" s="141">
        <v>72</v>
      </c>
      <c r="J521" s="140">
        <v>0</v>
      </c>
      <c r="K521" s="141" t="str">
        <f>Table43[[#This Row],[NamaJenisKemasan]]</f>
        <v>PCS</v>
      </c>
      <c r="L521" s="128" t="str">
        <f>TRIM(CONCATENATE(Table43[[#This Row],[Nama            KLP]]," ",Table43[[#This Row],[Nama            Sub KLP]]))</f>
        <v>STELLA DAILY FRESH</v>
      </c>
      <c r="M521" s="128" t="str">
        <f>CONCATENATE(Table43[[#This Row],[kode  2 Digit                (hrf+No)]],Table43[[#This Row],[kode  2 Digit                (Nomor)]],Table43[[#This Row],[kode  1 Digit                (Nomor)]])</f>
        <v>G1264</v>
      </c>
      <c r="N521" s="128" t="str">
        <f>IF(AI521="",CONCATENATE(S521,U521,W521,Y521,AA521,AC521,AE521,AG521,Table43[[#This Row],[Tanda Kode Revisi]]),CONCATENATE(S521,U521,W521,Y521,AA521,AC521,AE521,AI521))</f>
        <v>G1264104000010</v>
      </c>
      <c r="O521" s="132">
        <f t="shared" si="12"/>
        <v>14</v>
      </c>
      <c r="P521" s="133" t="str">
        <f>IF(AH521&lt;&gt;"",TRIM(UPPER(CONCATENATE(R521," ",T521," ",V521," ",X521," ",Z521," ",AB521," ","X"," ",Table43[[#This Row],[ISI/CTN]]," ",AH521," ",AD521," ",AF521," ",AJ521))),TRIM(UPPER(CONCATENATE(R521," ",T521," ",V521," ",X521," ",Z521," ",AB521," ","X"," ",Table43[[#This Row],[ISI/CTN]]," ",AD521," ",AF521," ",AJ521))))</f>
        <v>STELLA DAILY FRESH CAR+INDOOR ORANGE MTP X 72 PCS</v>
      </c>
      <c r="Q521" s="132">
        <f t="shared" si="13"/>
        <v>49</v>
      </c>
      <c r="R521" s="128"/>
      <c r="S521" s="129" t="s">
        <v>34</v>
      </c>
      <c r="T521" s="128" t="s">
        <v>2421</v>
      </c>
      <c r="U521" s="134" t="s">
        <v>2584</v>
      </c>
      <c r="V521" s="135" t="s">
        <v>2423</v>
      </c>
      <c r="W521" s="129">
        <v>4</v>
      </c>
      <c r="X521" s="135" t="s">
        <v>2434</v>
      </c>
      <c r="Y521" s="134" t="s">
        <v>2539</v>
      </c>
      <c r="Z521" s="128" t="s">
        <v>3467</v>
      </c>
      <c r="AA521" s="136" t="s">
        <v>2540</v>
      </c>
      <c r="AB521" s="128"/>
      <c r="AC521" s="136" t="s">
        <v>2460</v>
      </c>
      <c r="AD521" s="128" t="s">
        <v>185</v>
      </c>
      <c r="AE521" s="129">
        <v>1</v>
      </c>
      <c r="AF521" s="128"/>
      <c r="AG521" s="129">
        <v>0</v>
      </c>
      <c r="AH521" s="129"/>
      <c r="AI521" s="129"/>
      <c r="AJ521" s="129"/>
      <c r="AK521" s="137">
        <f>Table43[[#This Row],[Column4]]</f>
        <v>30540040007000</v>
      </c>
      <c r="AL521" s="129"/>
      <c r="AM521" s="129"/>
      <c r="AN521" s="129">
        <f>Table43[[#This Row],[ISI/CTN]]</f>
        <v>72</v>
      </c>
      <c r="AO521" s="142">
        <f>Table43[[#This Row],[Harga Jual Pcs GT
(-PPN)]]-(Table43[[#This Row],[Harga Jual Pcs GT
(-PPN)]]*6.5%)</f>
        <v>13277</v>
      </c>
      <c r="AP521" s="142">
        <f>Table43[[#This Row],[Harga Beli Pcs
(-PPN)]]*Table43[[#This Row],[ISI/CTN]]</f>
        <v>955944</v>
      </c>
      <c r="AQ521" s="142">
        <f>Table43[[#This Row],[Harga Beli Pcs
(-PPN)]]*1.11</f>
        <v>14737.470000000001</v>
      </c>
      <c r="AR521" s="142">
        <f>Table43[[#This Row],[Harga Beli Krt
(- PPN)]]*1.11</f>
        <v>1061097.8400000001</v>
      </c>
      <c r="AS521" s="142">
        <v>14200</v>
      </c>
      <c r="AT521" s="142">
        <f>Table43[[#This Row],[Harga Jual Pcs GT
(-PPN)]]*Table43[[#This Row],[ISI/CTN]]</f>
        <v>1022400</v>
      </c>
      <c r="AU521" s="142">
        <f>Table43[[#This Row],[Harga Jual Pcs GT
(-PPN)]]*1.11</f>
        <v>15762.000000000002</v>
      </c>
      <c r="AV521" s="142">
        <f>Table43[[#This Row],[Harga Jual Krt GT
(- PPN)]]*1.11</f>
        <v>1134864</v>
      </c>
      <c r="AW521" s="142">
        <f>IFERROR(VLOOKUP(Table43[[#This Row],[Kode Pcpl]],'[1]FEB 2026'!$A$3:$X$312,24,0),0)</f>
        <v>0</v>
      </c>
      <c r="AX521" s="142">
        <f>Table43[[#This Row],[Harga Jual Pcs MT
(-PPN)]]*Table43[[#This Row],[ISI/CTN]]</f>
        <v>0</v>
      </c>
      <c r="AY521" s="142">
        <f>Table43[[#This Row],[Harga Jual Pcs MT
(-PPN)]]*1.11</f>
        <v>0</v>
      </c>
      <c r="AZ521" s="142">
        <f>Table43[[#This Row],[Harga Jual Pcs MT
(+PPN)]]*Table43[[#This Row],[ISI/CTN]]</f>
        <v>0</v>
      </c>
      <c r="BA521" s="143">
        <f>(Table43[[#This Row],[Harga Jual Pcs GT
(-PPN)]]-Table43[[#This Row],[Harga Beli Pcs
(-PPN)]])/Table43[[#This Row],[Harga Jual Pcs GT
(-PPN)]]</f>
        <v>6.5000000000000002E-2</v>
      </c>
      <c r="BB521" s="144">
        <f>Table43[[#This Row],[Harga Jual Pcs MT
(-PPN)]]-Table43[[#This Row],[Harga Beli Pcs
(-PPN)]]</f>
        <v>-13277</v>
      </c>
      <c r="BC521" s="145" t="e">
        <f>Table43[[#This Row],[Column1]]/Table43[[#This Row],[Harga Jual Pcs MT
(-PPN)]]</f>
        <v>#DIV/0!</v>
      </c>
      <c r="BD521" s="138"/>
      <c r="BE521" s="129"/>
      <c r="BF521" s="129" t="str">
        <f ca="1">IF(TODAY()-Table43[[#This Row],[Efektif
Pembuatan]]&gt;60,"Lama","Baru")</f>
        <v>Lama</v>
      </c>
      <c r="BG521" s="129" t="str">
        <f ca="1">IF(TODAY()-Table43[[#This Row],[Efektif Naik Harga]]&lt;30,"Naik","Sama")</f>
        <v>Sama</v>
      </c>
      <c r="BH521" s="129"/>
      <c r="BI521" s="129" t="str">
        <f>IF(Table43[[#This Row],[Kode BARANG Win2]]&lt;&gt;"","IDR","")</f>
        <v>IDR</v>
      </c>
      <c r="BJ521" s="129" t="str">
        <f>CONCATENATE(Table43[[#This Row],[kode  1 Digit
(Nomor)]],Table43[[#This Row],[kode  4 Digit                (Nomor)]])</f>
        <v>0000</v>
      </c>
      <c r="BK521" s="129">
        <f>Table43[[#This Row],[Nama            Gramasi atau Jumlah Pack per CTN]]</f>
        <v>0</v>
      </c>
      <c r="BL521" s="129"/>
      <c r="BM521" s="129"/>
      <c r="BN521" s="128" t="str">
        <f>IF(Table43[[#This Row],[SATUAN Fix Win]]&lt;&gt;"","KRT")</f>
        <v>KRT</v>
      </c>
      <c r="BO521" s="128" t="str">
        <f>IF(Table43[[#This Row],[SATUAN Fix Win]]&lt;&gt;"","GD01")</f>
        <v>GD01</v>
      </c>
      <c r="BP521" s="128">
        <f>IF(Table43[[#This Row],[SATUAN Fix Win]]&lt;&gt;"",11611)</f>
        <v>11611</v>
      </c>
      <c r="BQ521" s="128">
        <f>IF(Table43[[#This Row],[SATUAN Fix Win]]&lt;&gt;"",11612)</f>
        <v>11612</v>
      </c>
      <c r="BR521" s="128"/>
      <c r="BS521" s="128">
        <f>IF(Table43[[#This Row],[SATUAN Fix Win]]&lt;&gt;"",1)</f>
        <v>1</v>
      </c>
      <c r="BT521" s="128"/>
      <c r="BU521" s="128">
        <f>Table43[[#This Row],[ISI/CTN]]</f>
        <v>72</v>
      </c>
      <c r="BV521" s="128"/>
      <c r="BW521" s="128"/>
    </row>
    <row r="522" spans="1:75" s="139" customFormat="1">
      <c r="A522" s="4" t="str">
        <f>CONCATENATE(Table43[[#This Row],[Kode BARANG Win2]],Table43[[#This Row],[No. Urut
Item Sama]])</f>
        <v>G1264104000010</v>
      </c>
      <c r="B522" s="7"/>
      <c r="C522" s="31"/>
      <c r="D522" s="51">
        <v>40049687</v>
      </c>
      <c r="E522" s="27"/>
      <c r="F522" s="140"/>
      <c r="G522" s="140"/>
      <c r="H522" s="27"/>
      <c r="I522" s="27">
        <v>72</v>
      </c>
      <c r="J522" s="51"/>
      <c r="K522" s="27" t="str">
        <f>Table43[[#This Row],[NamaJenisKemasan]]</f>
        <v>PCS</v>
      </c>
      <c r="L522" s="4" t="str">
        <f>TRIM(CONCATENATE(Table43[[#This Row],[Nama            KLP]]," ",Table43[[#This Row],[Nama            Sub KLP]]))</f>
        <v>STELLA DAILY FRESH</v>
      </c>
      <c r="M522" s="4" t="str">
        <f>CONCATENATE(Table43[[#This Row],[kode  2 Digit                (hrf+No)]],Table43[[#This Row],[kode  2 Digit                (Nomor)]],Table43[[#This Row],[kode  1 Digit                (Nomor)]])</f>
        <v>G1264</v>
      </c>
      <c r="N522" s="4" t="str">
        <f>IF(AI522="",CONCATENATE(S522,U522,W522,Y522,AA522,AC522,AE522,AG522,Table43[[#This Row],[Tanda Kode Revisi]]),CONCATENATE(S522,U522,W522,Y522,AA522,AC522,AE522,AI522))</f>
        <v>G1264104000010</v>
      </c>
      <c r="O522" s="11">
        <f>LEN(N522)</f>
        <v>14</v>
      </c>
      <c r="P522" s="14" t="str">
        <f>IF(AH522&lt;&gt;"",TRIM(UPPER(CONCATENATE(R522," ",T522," ",V522," ",X522," ",Z522," ",AB522," ","X"," ",Table43[[#This Row],[ISI/CTN]]," ",AH522," ",AD522," ",AF522," ",AJ522))),TRIM(UPPER(CONCATENATE(R522," ",T522," ",V522," ",X522," ",Z522," ",AB522," ","X"," ",Table43[[#This Row],[ISI/CTN]]," ",AD522," ",AF522," ",AJ522))))</f>
        <v>STELLA DAILY FRESH CAR+INDOOR ORANGE MTP X 72 PCS</v>
      </c>
      <c r="Q522" s="11">
        <f>LEN(P522)</f>
        <v>49</v>
      </c>
      <c r="R522" s="4"/>
      <c r="S522" s="7" t="s">
        <v>34</v>
      </c>
      <c r="T522" s="4" t="s">
        <v>2421</v>
      </c>
      <c r="U522" s="47" t="s">
        <v>2584</v>
      </c>
      <c r="V522" s="48" t="s">
        <v>2423</v>
      </c>
      <c r="W522" s="7">
        <v>4</v>
      </c>
      <c r="X522" s="48" t="s">
        <v>2434</v>
      </c>
      <c r="Y522" s="47" t="s">
        <v>2539</v>
      </c>
      <c r="Z522" s="4" t="s">
        <v>3467</v>
      </c>
      <c r="AA522" s="49" t="s">
        <v>2540</v>
      </c>
      <c r="AB522" s="4"/>
      <c r="AC522" s="49" t="s">
        <v>2460</v>
      </c>
      <c r="AD522" s="4" t="s">
        <v>185</v>
      </c>
      <c r="AE522" s="7">
        <v>1</v>
      </c>
      <c r="AF522" s="4"/>
      <c r="AG522" s="7">
        <v>0</v>
      </c>
      <c r="AH522" s="7"/>
      <c r="AI522" s="7"/>
      <c r="AJ522" s="7"/>
      <c r="AK522" s="70">
        <f>Table43[[#This Row],[Column4]]</f>
        <v>0</v>
      </c>
      <c r="AL522" s="7"/>
      <c r="AM522" s="7"/>
      <c r="AN522" s="129">
        <f>Table43[[#This Row],[ISI/CTN]]</f>
        <v>72</v>
      </c>
      <c r="AO522" s="38">
        <f>Table43[[#This Row],[Harga Jual Pcs GT
(-PPN)]]-(Table43[[#This Row],[Harga Jual Pcs GT
(-PPN)]]*6.5%)</f>
        <v>0</v>
      </c>
      <c r="AP522" s="38">
        <f>Table43[[#This Row],[Harga Beli Pcs
(-PPN)]]*Table43[[#This Row],[ISI/CTN]]</f>
        <v>0</v>
      </c>
      <c r="AQ522" s="38">
        <f>Table43[[#This Row],[Harga Beli Pcs
(-PPN)]]*1.11</f>
        <v>0</v>
      </c>
      <c r="AR522" s="38">
        <f>Table43[[#This Row],[Harga Beli Krt
(- PPN)]]*1.11</f>
        <v>0</v>
      </c>
      <c r="AS522" s="38"/>
      <c r="AT522" s="38">
        <f>Table43[[#This Row],[Harga Jual Pcs GT
(-PPN)]]*Table43[[#This Row],[ISI/CTN]]</f>
        <v>0</v>
      </c>
      <c r="AU522" s="38">
        <f>Table43[[#This Row],[Harga Jual Pcs GT
(-PPN)]]*1.11</f>
        <v>0</v>
      </c>
      <c r="AV522" s="38">
        <f>Table43[[#This Row],[Harga Jual Krt GT
(- PPN)]]*1.11</f>
        <v>0</v>
      </c>
      <c r="AW522" s="38">
        <f>IFERROR(VLOOKUP(Table43[[#This Row],[Kode Pcpl]],'[1]FEB 2026'!$A$3:$X$312,24,0),0)</f>
        <v>0</v>
      </c>
      <c r="AX522" s="38">
        <f>Table43[[#This Row],[Harga Jual Pcs MT
(-PPN)]]*Table43[[#This Row],[ISI/CTN]]</f>
        <v>0</v>
      </c>
      <c r="AY522" s="38">
        <f>Table43[[#This Row],[Harga Jual Pcs MT
(-PPN)]]*1.11</f>
        <v>0</v>
      </c>
      <c r="AZ522" s="38">
        <f>Table43[[#This Row],[Harga Jual Pcs MT
(+PPN)]]*Table43[[#This Row],[ISI/CTN]]</f>
        <v>0</v>
      </c>
      <c r="BA522" s="46" t="e">
        <f>(Table43[[#This Row],[Harga Jual Pcs GT
(-PPN)]]-Table43[[#This Row],[Harga Beli Pcs
(-PPN)]])/Table43[[#This Row],[Harga Jual Pcs GT
(-PPN)]]</f>
        <v>#DIV/0!</v>
      </c>
      <c r="BB522" s="53">
        <f>Table43[[#This Row],[Harga Jual Pcs MT
(-PPN)]]-Table43[[#This Row],[Harga Beli Pcs
(-PPN)]]</f>
        <v>0</v>
      </c>
      <c r="BC522" s="54" t="e">
        <f>Table43[[#This Row],[Column1]]/Table43[[#This Row],[Harga Jual Pcs MT
(-PPN)]]</f>
        <v>#DIV/0!</v>
      </c>
      <c r="BD522" s="52"/>
      <c r="BE522" s="7"/>
      <c r="BF522" s="7" t="str">
        <f ca="1">IF(TODAY()-Table43[[#This Row],[Efektif
Pembuatan]]&gt;60,"Lama","Baru")</f>
        <v>Lama</v>
      </c>
      <c r="BG522" s="7" t="str">
        <f ca="1">IF(TODAY()-Table43[[#This Row],[Efektif Naik Harga]]&lt;30,"Naik","Sama")</f>
        <v>Sama</v>
      </c>
      <c r="BH522" s="7"/>
      <c r="BI522" s="7" t="str">
        <f>IF(Table43[[#This Row],[Kode BARANG Win2]]&lt;&gt;"","IDR","")</f>
        <v>IDR</v>
      </c>
      <c r="BJ522" s="7" t="str">
        <f>CONCATENATE(Table43[[#This Row],[kode  1 Digit
(Nomor)]],Table43[[#This Row],[kode  4 Digit                (Nomor)]])</f>
        <v>0000</v>
      </c>
      <c r="BK522" s="7">
        <f>Table43[[#This Row],[Nama            Gramasi atau Jumlah Pack per CTN]]</f>
        <v>0</v>
      </c>
      <c r="BL522" s="7"/>
      <c r="BM522" s="7"/>
      <c r="BN522" s="4" t="str">
        <f>IF(Table43[[#This Row],[SATUAN Fix Win]]&lt;&gt;"","KRT")</f>
        <v>KRT</v>
      </c>
      <c r="BO522" s="4" t="str">
        <f>IF(Table43[[#This Row],[SATUAN Fix Win]]&lt;&gt;"","GD01")</f>
        <v>GD01</v>
      </c>
      <c r="BP522" s="4">
        <f>IF(Table43[[#This Row],[SATUAN Fix Win]]&lt;&gt;"",11611)</f>
        <v>11611</v>
      </c>
      <c r="BQ522" s="4">
        <f>IF(Table43[[#This Row],[SATUAN Fix Win]]&lt;&gt;"",11612)</f>
        <v>11612</v>
      </c>
      <c r="BR522" s="4"/>
      <c r="BS522" s="4">
        <f>IF(Table43[[#This Row],[SATUAN Fix Win]]&lt;&gt;"",1)</f>
        <v>1</v>
      </c>
      <c r="BT522" s="4"/>
      <c r="BU522" s="4">
        <f>Table43[[#This Row],[ISI/CTN]]</f>
        <v>72</v>
      </c>
      <c r="BV522" s="128"/>
      <c r="BW522" s="128"/>
    </row>
    <row r="523" spans="1:75">
      <c r="A523" s="4" t="str">
        <f>CONCATENATE(Table43[[#This Row],[Kode BARANG Win2]],Table43[[#This Row],[No. Urut
Item Sama]])</f>
        <v>G1264003000010</v>
      </c>
      <c r="B523" s="7"/>
      <c r="C523" s="31">
        <v>30540060007000</v>
      </c>
      <c r="D523" s="59">
        <v>40008740</v>
      </c>
      <c r="E523" s="67" t="s">
        <v>2503</v>
      </c>
      <c r="F523" s="68">
        <v>30540060007000</v>
      </c>
      <c r="G523" s="69">
        <v>0</v>
      </c>
      <c r="H523" s="60">
        <v>0</v>
      </c>
      <c r="I523" s="60">
        <v>72</v>
      </c>
      <c r="J523" s="59">
        <v>0</v>
      </c>
      <c r="K523" s="60" t="str">
        <f>Table43[[#This Row],[NamaJenisKemasan]]</f>
        <v>PCS</v>
      </c>
      <c r="L523" s="4" t="str">
        <f>TRIM(CONCATENATE(Table43[[#This Row],[Nama            KLP]]," ",Table43[[#This Row],[Nama            Sub KLP]]))</f>
        <v>STELLA DAILY FRESH</v>
      </c>
      <c r="M523" s="4" t="str">
        <f>CONCATENATE(Table43[[#This Row],[kode  2 Digit                (hrf+No)]],Table43[[#This Row],[kode  2 Digit                (Nomor)]],Table43[[#This Row],[kode  1 Digit                (Nomor)]])</f>
        <v>G1264</v>
      </c>
      <c r="N523" s="4" t="str">
        <f>IF(AI523="",CONCATENATE(S523,U523,W523,Y523,AA523,AC523,AE523,AG523,Table43[[#This Row],[Tanda Kode Revisi]]),CONCATENATE(S523,U523,W523,Y523,AA523,AC523,AE523,AI523))</f>
        <v>G1264003000010</v>
      </c>
      <c r="O523" s="11">
        <f t="shared" si="12"/>
        <v>14</v>
      </c>
      <c r="P523" s="14" t="str">
        <f>IF(AH523&lt;&gt;"",TRIM(UPPER(CONCATENATE(R523," ",T523," ",V523," ",X523," ",Z523," ",AB523," ","X"," ",Table43[[#This Row],[ISI/CTN]]," ",AH523," ",AD523," ",AF523," ",AJ523))),TRIM(UPPER(CONCATENATE(R523," ",T523," ",V523," ",X523," ",Z523," ",AB523," ","X"," ",Table43[[#This Row],[ISI/CTN]]," ",AD523," ",AF523," ",AJ523))))</f>
        <v>STELLA DAILY FRESH RED KISS X 72 PCS</v>
      </c>
      <c r="Q523" s="11">
        <f t="shared" si="13"/>
        <v>36</v>
      </c>
      <c r="S523" s="7" t="s">
        <v>34</v>
      </c>
      <c r="T523" s="4" t="s">
        <v>2421</v>
      </c>
      <c r="U523" s="47" t="s">
        <v>2584</v>
      </c>
      <c r="V523" s="48" t="s">
        <v>2423</v>
      </c>
      <c r="W523" s="7">
        <v>4</v>
      </c>
      <c r="X523" s="48"/>
      <c r="Y523" s="47" t="s">
        <v>1116</v>
      </c>
      <c r="Z523" s="4" t="s">
        <v>2533</v>
      </c>
      <c r="AA523" s="49" t="s">
        <v>2538</v>
      </c>
      <c r="AC523" s="49" t="s">
        <v>2460</v>
      </c>
      <c r="AD523" s="4" t="s">
        <v>185</v>
      </c>
      <c r="AE523" s="7">
        <v>1</v>
      </c>
      <c r="AG523" s="7">
        <v>0</v>
      </c>
      <c r="AK523" s="70">
        <f>Table43[[#This Row],[Column4]]</f>
        <v>30540060007000</v>
      </c>
      <c r="AN523" s="7">
        <f>Table43[[#This Row],[ISI/CTN]]</f>
        <v>72</v>
      </c>
      <c r="AO523" s="38">
        <f>Table43[[#This Row],[Harga Jual Pcs GT
(-PPN)]]-(Table43[[#This Row],[Harga Jual Pcs GT
(-PPN)]]*6.5%)</f>
        <v>13277</v>
      </c>
      <c r="AP523" s="38">
        <f>Table43[[#This Row],[Harga Beli Pcs
(-PPN)]]*Table43[[#This Row],[ISI/CTN]]</f>
        <v>955944</v>
      </c>
      <c r="AQ523" s="38">
        <f>Table43[[#This Row],[Harga Beli Pcs
(-PPN)]]*1.11</f>
        <v>14737.470000000001</v>
      </c>
      <c r="AR523" s="38">
        <f>Table43[[#This Row],[Harga Beli Krt
(- PPN)]]*1.11</f>
        <v>1061097.8400000001</v>
      </c>
      <c r="AS523" s="38">
        <v>14200</v>
      </c>
      <c r="AT523" s="38">
        <f>Table43[[#This Row],[Harga Jual Pcs GT
(-PPN)]]*Table43[[#This Row],[ISI/CTN]]</f>
        <v>1022400</v>
      </c>
      <c r="AU523" s="38">
        <f>Table43[[#This Row],[Harga Jual Pcs GT
(-PPN)]]*1.11</f>
        <v>15762.000000000002</v>
      </c>
      <c r="AV523" s="38">
        <f>Table43[[#This Row],[Harga Jual Krt GT
(- PPN)]]*1.11</f>
        <v>1134864</v>
      </c>
      <c r="AW523" s="38">
        <f>IFERROR(VLOOKUP(Table43[[#This Row],[Kode Pcpl]],'[1]FEB 2026'!$A$3:$X$312,24,0),0)</f>
        <v>0</v>
      </c>
      <c r="AX523" s="38">
        <f>Table43[[#This Row],[Harga Jual Pcs MT
(-PPN)]]*Table43[[#This Row],[ISI/CTN]]</f>
        <v>0</v>
      </c>
      <c r="AY523" s="38">
        <f>Table43[[#This Row],[Harga Jual Pcs MT
(-PPN)]]*1.11</f>
        <v>0</v>
      </c>
      <c r="AZ523" s="38">
        <f>Table43[[#This Row],[Harga Jual Pcs MT
(+PPN)]]*Table43[[#This Row],[ISI/CTN]]</f>
        <v>0</v>
      </c>
      <c r="BA523" s="46">
        <f>(Table43[[#This Row],[Harga Jual Pcs GT
(-PPN)]]-Table43[[#This Row],[Harga Beli Pcs
(-PPN)]])/Table43[[#This Row],[Harga Jual Pcs GT
(-PPN)]]</f>
        <v>6.5000000000000002E-2</v>
      </c>
      <c r="BB523" s="53">
        <f>Table43[[#This Row],[Harga Jual Pcs MT
(-PPN)]]-Table43[[#This Row],[Harga Beli Pcs
(-PPN)]]</f>
        <v>-13277</v>
      </c>
      <c r="BC523" s="54" t="e">
        <f>Table43[[#This Row],[Column1]]/Table43[[#This Row],[Harga Jual Pcs MT
(-PPN)]]</f>
        <v>#DIV/0!</v>
      </c>
      <c r="BD523" s="52"/>
      <c r="BE523" s="7"/>
      <c r="BF523" s="7" t="str">
        <f ca="1">IF(TODAY()-Table43[[#This Row],[Efektif
Pembuatan]]&gt;60,"Lama","Baru")</f>
        <v>Lama</v>
      </c>
      <c r="BG523" s="7" t="str">
        <f ca="1">IF(TODAY()-Table43[[#This Row],[Efektif Naik Harga]]&lt;30,"Naik","Sama")</f>
        <v>Sama</v>
      </c>
      <c r="BH523" s="7"/>
      <c r="BI523" s="7" t="str">
        <f>IF(Table43[[#This Row],[Kode BARANG Win2]]&lt;&gt;"","IDR","")</f>
        <v>IDR</v>
      </c>
      <c r="BJ523" s="7" t="str">
        <f>CONCATENATE(Table43[[#This Row],[kode  1 Digit
(Nomor)]],Table43[[#This Row],[kode  4 Digit                (Nomor)]])</f>
        <v>0000</v>
      </c>
      <c r="BK523" s="7">
        <f>Table43[[#This Row],[Nama            Gramasi atau Jumlah Pack per CTN]]</f>
        <v>0</v>
      </c>
      <c r="BL523" s="7"/>
      <c r="BM523" s="7"/>
      <c r="BN523" s="4" t="str">
        <f>IF(Table43[[#This Row],[SATUAN Fix Win]]&lt;&gt;"","KRT")</f>
        <v>KRT</v>
      </c>
      <c r="BO523" s="4" t="str">
        <f>IF(Table43[[#This Row],[SATUAN Fix Win]]&lt;&gt;"","GD01")</f>
        <v>GD01</v>
      </c>
      <c r="BP523" s="4">
        <f>IF(Table43[[#This Row],[SATUAN Fix Win]]&lt;&gt;"",11611)</f>
        <v>11611</v>
      </c>
      <c r="BQ523" s="4">
        <f>IF(Table43[[#This Row],[SATUAN Fix Win]]&lt;&gt;"",11612)</f>
        <v>11612</v>
      </c>
      <c r="BS523" s="4">
        <f>IF(Table43[[#This Row],[SATUAN Fix Win]]&lt;&gt;"",1)</f>
        <v>1</v>
      </c>
      <c r="BU523" s="4">
        <f>Table43[[#This Row],[ISI/CTN]]</f>
        <v>72</v>
      </c>
    </row>
    <row r="524" spans="1:75">
      <c r="A524" s="4" t="str">
        <f>CONCATENATE(Table43[[#This Row],[Kode BARANG Win2]],Table43[[#This Row],[No. Urut
Item Sama]])</f>
        <v>G1264101000010</v>
      </c>
      <c r="B524" s="7"/>
      <c r="C524" s="31">
        <v>30550060007000</v>
      </c>
      <c r="D524" s="51">
        <v>40050200</v>
      </c>
      <c r="E524" s="27" t="s">
        <v>2136</v>
      </c>
      <c r="F524" s="51">
        <v>30550070007000</v>
      </c>
      <c r="G524" s="51">
        <v>0</v>
      </c>
      <c r="H524" s="27" t="s">
        <v>1464</v>
      </c>
      <c r="I524" s="27">
        <v>72</v>
      </c>
      <c r="J524" s="51" t="s">
        <v>1804</v>
      </c>
      <c r="K524" s="27" t="str">
        <f>Table43[[#This Row],[NamaJenisKemasan]]</f>
        <v>PCS</v>
      </c>
      <c r="L524" s="4" t="str">
        <f>TRIM(CONCATENATE(Table43[[#This Row],[Nama            KLP]]," ",Table43[[#This Row],[Nama            Sub KLP]]))</f>
        <v>STELLA DAILY FRESH</v>
      </c>
      <c r="M524" s="4" t="str">
        <f>CONCATENATE(Table43[[#This Row],[kode  2 Digit                (hrf+No)]],Table43[[#This Row],[kode  2 Digit                (Nomor)]],Table43[[#This Row],[kode  1 Digit                (Nomor)]])</f>
        <v>G1264</v>
      </c>
      <c r="N524" s="4" t="str">
        <f>IF(AI524="",CONCATENATE(S524,U524,W524,Y524,AA524,AC524,AE524,AG524,Table43[[#This Row],[Tanda Kode Revisi]]),CONCATENATE(S524,U524,W524,Y524,AA524,AC524,AE524,AI524))</f>
        <v>G1264101000010</v>
      </c>
      <c r="O524" s="11">
        <f t="shared" si="12"/>
        <v>14</v>
      </c>
      <c r="P524" s="14" t="str">
        <f>IF(AH524&lt;&gt;"",TRIM(UPPER(CONCATENATE(R524," ",T524," ",V524," ",X524," ",Z524," ",AB524," ","X"," ",Table43[[#This Row],[ISI/CTN]]," ",AH524," ",AD524," ",AF524," ",AJ524))),TRIM(UPPER(CONCATENATE(R524," ",T524," ",V524," ",X524," ",Z524," ",AB524," ","X"," ",Table43[[#This Row],[ISI/CTN]]," ",AD524," ",AF524," ",AJ524))))</f>
        <v>STELLA DAILY FRESH CAR+INDOOR AQUA X 72 PCS</v>
      </c>
      <c r="Q524" s="11">
        <f t="shared" si="13"/>
        <v>43</v>
      </c>
      <c r="S524" s="7" t="s">
        <v>34</v>
      </c>
      <c r="T524" s="4" t="s">
        <v>2421</v>
      </c>
      <c r="U524" s="47" t="s">
        <v>2584</v>
      </c>
      <c r="V524" s="48" t="s">
        <v>2423</v>
      </c>
      <c r="W524" s="7">
        <v>4</v>
      </c>
      <c r="X524" s="48" t="s">
        <v>2434</v>
      </c>
      <c r="Y524" s="47" t="s">
        <v>2539</v>
      </c>
      <c r="Z524" s="4" t="s">
        <v>2451</v>
      </c>
      <c r="AA524" s="49" t="s">
        <v>1115</v>
      </c>
      <c r="AC524" s="49" t="s">
        <v>2460</v>
      </c>
      <c r="AD524" s="4" t="s">
        <v>185</v>
      </c>
      <c r="AE524" s="7">
        <v>1</v>
      </c>
      <c r="AG524" s="7">
        <v>0</v>
      </c>
      <c r="AK524" s="70">
        <f>Table43[[#This Row],[Column4]]</f>
        <v>30550070007000</v>
      </c>
      <c r="AN524" s="7">
        <f>Table43[[#This Row],[ISI/CTN]]</f>
        <v>72</v>
      </c>
      <c r="AO524" s="38">
        <f>Table43[[#This Row],[Harga Jual Pcs GT
(-PPN)]]-(Table43[[#This Row],[Harga Jual Pcs GT
(-PPN)]]*6.5%)</f>
        <v>11668.8</v>
      </c>
      <c r="AP524" s="38">
        <f>Table43[[#This Row],[Harga Beli Pcs
(-PPN)]]*Table43[[#This Row],[ISI/CTN]]</f>
        <v>840153.59999999998</v>
      </c>
      <c r="AQ524" s="38">
        <f>Table43[[#This Row],[Harga Beli Pcs
(-PPN)]]*1.11</f>
        <v>12952.368</v>
      </c>
      <c r="AR524" s="38">
        <f>Table43[[#This Row],[Harga Beli Krt
(- PPN)]]*1.11</f>
        <v>932570.49600000004</v>
      </c>
      <c r="AS524" s="38">
        <v>12480</v>
      </c>
      <c r="AT524" s="38">
        <f>Table43[[#This Row],[Harga Jual Pcs GT
(-PPN)]]*Table43[[#This Row],[ISI/CTN]]</f>
        <v>898560</v>
      </c>
      <c r="AU524" s="38">
        <f>Table43[[#This Row],[Harga Jual Pcs GT
(-PPN)]]*1.11</f>
        <v>13852.800000000001</v>
      </c>
      <c r="AV524" s="38">
        <f>Table43[[#This Row],[Harga Jual Krt GT
(- PPN)]]*1.11</f>
        <v>997401.60000000009</v>
      </c>
      <c r="AW524" s="38">
        <f>IFERROR(VLOOKUP(Table43[[#This Row],[Kode Pcpl]],'[1]FEB 2026'!$A$3:$X$312,24,0),0)</f>
        <v>0</v>
      </c>
      <c r="AX524" s="38">
        <f>Table43[[#This Row],[Harga Jual Pcs MT
(-PPN)]]*Table43[[#This Row],[ISI/CTN]]</f>
        <v>0</v>
      </c>
      <c r="AY524" s="38">
        <f>Table43[[#This Row],[Harga Jual Pcs MT
(-PPN)]]*1.11</f>
        <v>0</v>
      </c>
      <c r="AZ524" s="38">
        <f>Table43[[#This Row],[Harga Jual Pcs MT
(+PPN)]]*Table43[[#This Row],[ISI/CTN]]</f>
        <v>0</v>
      </c>
      <c r="BA524" s="46">
        <f>(Table43[[#This Row],[Harga Jual Pcs GT
(-PPN)]]-Table43[[#This Row],[Harga Beli Pcs
(-PPN)]])/Table43[[#This Row],[Harga Jual Pcs GT
(-PPN)]]</f>
        <v>6.5000000000000058E-2</v>
      </c>
      <c r="BB524" s="53">
        <f>Table43[[#This Row],[Harga Jual Pcs MT
(-PPN)]]-Table43[[#This Row],[Harga Beli Pcs
(-PPN)]]</f>
        <v>-11668.8</v>
      </c>
      <c r="BC524" s="54" t="e">
        <f>Table43[[#This Row],[Column1]]/Table43[[#This Row],[Harga Jual Pcs MT
(-PPN)]]</f>
        <v>#DIV/0!</v>
      </c>
      <c r="BD524" s="52"/>
      <c r="BE524" s="7"/>
      <c r="BF524" s="7" t="str">
        <f ca="1">IF(TODAY()-Table43[[#This Row],[Efektif
Pembuatan]]&gt;60,"Lama","Baru")</f>
        <v>Lama</v>
      </c>
      <c r="BG524" s="7" t="str">
        <f ca="1">IF(TODAY()-Table43[[#This Row],[Efektif Naik Harga]]&lt;30,"Naik","Sama")</f>
        <v>Sama</v>
      </c>
      <c r="BH524" s="7"/>
      <c r="BI524" s="7" t="str">
        <f>IF(Table43[[#This Row],[Kode BARANG Win2]]&lt;&gt;"","IDR","")</f>
        <v>IDR</v>
      </c>
      <c r="BJ524" s="7" t="str">
        <f>CONCATENATE(Table43[[#This Row],[kode  1 Digit
(Nomor)]],Table43[[#This Row],[kode  4 Digit                (Nomor)]])</f>
        <v>0000</v>
      </c>
      <c r="BK524" s="7">
        <f>Table43[[#This Row],[Nama            Gramasi atau Jumlah Pack per CTN]]</f>
        <v>0</v>
      </c>
      <c r="BL524" s="7"/>
      <c r="BM524" s="7"/>
      <c r="BN524" s="4" t="str">
        <f>IF(Table43[[#This Row],[SATUAN Fix Win]]&lt;&gt;"","KRT")</f>
        <v>KRT</v>
      </c>
      <c r="BO524" s="4" t="str">
        <f>IF(Table43[[#This Row],[SATUAN Fix Win]]&lt;&gt;"","GD01")</f>
        <v>GD01</v>
      </c>
      <c r="BP524" s="4">
        <f>IF(Table43[[#This Row],[SATUAN Fix Win]]&lt;&gt;"",11611)</f>
        <v>11611</v>
      </c>
      <c r="BQ524" s="4">
        <f>IF(Table43[[#This Row],[SATUAN Fix Win]]&lt;&gt;"",11612)</f>
        <v>11612</v>
      </c>
      <c r="BS524" s="4">
        <f>IF(Table43[[#This Row],[SATUAN Fix Win]]&lt;&gt;"",1)</f>
        <v>1</v>
      </c>
      <c r="BU524" s="4">
        <f>Table43[[#This Row],[ISI/CTN]]</f>
        <v>72</v>
      </c>
    </row>
    <row r="525" spans="1:75">
      <c r="A525" s="4" t="str">
        <f>CONCATENATE(Table43[[#This Row],[Kode BARANG Win2]],Table43[[#This Row],[No. Urut
Item Sama]])</f>
        <v>G1264101000010</v>
      </c>
      <c r="B525" s="7"/>
      <c r="C525" s="31">
        <v>30550070007000</v>
      </c>
      <c r="D525" s="59">
        <v>40058514</v>
      </c>
      <c r="E525" s="60" t="s">
        <v>2136</v>
      </c>
      <c r="F525" s="59">
        <v>30550070007000</v>
      </c>
      <c r="G525" s="59">
        <v>0</v>
      </c>
      <c r="H525" s="60" t="s">
        <v>1465</v>
      </c>
      <c r="I525" s="60">
        <v>72</v>
      </c>
      <c r="J525" s="59" t="s">
        <v>1804</v>
      </c>
      <c r="K525" s="60" t="str">
        <f>Table43[[#This Row],[NamaJenisKemasan]]</f>
        <v>PCS</v>
      </c>
      <c r="L525" s="4" t="str">
        <f>TRIM(CONCATENATE(Table43[[#This Row],[Nama            KLP]]," ",Table43[[#This Row],[Nama            Sub KLP]]))</f>
        <v>STELLA DAILY FRESH</v>
      </c>
      <c r="M525" s="4" t="str">
        <f>CONCATENATE(Table43[[#This Row],[kode  2 Digit                (hrf+No)]],Table43[[#This Row],[kode  2 Digit                (Nomor)]],Table43[[#This Row],[kode  1 Digit                (Nomor)]])</f>
        <v>G1264</v>
      </c>
      <c r="N525" s="4" t="str">
        <f>IF(AI525="",CONCATENATE(S525,U525,W525,Y525,AA525,AC525,AE525,AG525,Table43[[#This Row],[Tanda Kode Revisi]]),CONCATENATE(S525,U525,W525,Y525,AA525,AC525,AE525,AI525))</f>
        <v>G1264101000010</v>
      </c>
      <c r="O525" s="11">
        <f t="shared" si="12"/>
        <v>14</v>
      </c>
      <c r="P525" s="14" t="str">
        <f>IF(AH525&lt;&gt;"",TRIM(UPPER(CONCATENATE(R525," ",T525," ",V525," ",X525," ",Z525," ",AB525," ","X"," ",Table43[[#This Row],[ISI/CTN]]," ",AH525," ",AD525," ",AF525," ",AJ525))),TRIM(UPPER(CONCATENATE(R525," ",T525," ",V525," ",X525," ",Z525," ",AB525," ","X"," ",Table43[[#This Row],[ISI/CTN]]," ",AD525," ",AF525," ",AJ525))))</f>
        <v>STELLA DAILY FRESH CAR+INDOOR AQUA X 72 PCS</v>
      </c>
      <c r="Q525" s="11">
        <f t="shared" si="13"/>
        <v>43</v>
      </c>
      <c r="S525" s="7" t="s">
        <v>34</v>
      </c>
      <c r="T525" s="4" t="s">
        <v>2421</v>
      </c>
      <c r="U525" s="47" t="s">
        <v>2584</v>
      </c>
      <c r="V525" s="48" t="s">
        <v>2423</v>
      </c>
      <c r="W525" s="7">
        <v>4</v>
      </c>
      <c r="X525" s="48" t="s">
        <v>2434</v>
      </c>
      <c r="Y525" s="47" t="s">
        <v>2539</v>
      </c>
      <c r="Z525" s="4" t="s">
        <v>2451</v>
      </c>
      <c r="AA525" s="49" t="s">
        <v>1115</v>
      </c>
      <c r="AC525" s="49" t="s">
        <v>2460</v>
      </c>
      <c r="AD525" s="4" t="s">
        <v>185</v>
      </c>
      <c r="AE525" s="7">
        <v>1</v>
      </c>
      <c r="AG525" s="7">
        <v>0</v>
      </c>
      <c r="AK525" s="70">
        <f>Table43[[#This Row],[Column4]]</f>
        <v>30550070007000</v>
      </c>
      <c r="AN525" s="7">
        <f>Table43[[#This Row],[ISI/CTN]]</f>
        <v>72</v>
      </c>
      <c r="AO525" s="38">
        <f>Table43[[#This Row],[Harga Jual Pcs GT
(-PPN)]]-(Table43[[#This Row],[Harga Jual Pcs GT
(-PPN)]]*6.5%)</f>
        <v>11668.8</v>
      </c>
      <c r="AP525" s="38">
        <f>Table43[[#This Row],[Harga Beli Pcs
(-PPN)]]*Table43[[#This Row],[ISI/CTN]]</f>
        <v>840153.59999999998</v>
      </c>
      <c r="AQ525" s="38">
        <f>Table43[[#This Row],[Harga Beli Pcs
(-PPN)]]*1.11</f>
        <v>12952.368</v>
      </c>
      <c r="AR525" s="38">
        <f>Table43[[#This Row],[Harga Beli Krt
(- PPN)]]*1.11</f>
        <v>932570.49600000004</v>
      </c>
      <c r="AS525" s="38">
        <v>12480</v>
      </c>
      <c r="AT525" s="38">
        <f>Table43[[#This Row],[Harga Jual Pcs GT
(-PPN)]]*Table43[[#This Row],[ISI/CTN]]</f>
        <v>898560</v>
      </c>
      <c r="AU525" s="38">
        <f>Table43[[#This Row],[Harga Jual Pcs GT
(-PPN)]]*1.11</f>
        <v>13852.800000000001</v>
      </c>
      <c r="AV525" s="38">
        <f>Table43[[#This Row],[Harga Jual Krt GT
(- PPN)]]*1.11</f>
        <v>997401.60000000009</v>
      </c>
      <c r="AW525" s="38">
        <f>IFERROR(VLOOKUP(Table43[[#This Row],[Kode Pcpl]],'[1]FEB 2026'!$A$3:$X$312,24,0),0)</f>
        <v>0</v>
      </c>
      <c r="AX525" s="38">
        <f>Table43[[#This Row],[Harga Jual Pcs MT
(-PPN)]]*Table43[[#This Row],[ISI/CTN]]</f>
        <v>0</v>
      </c>
      <c r="AY525" s="38">
        <f>Table43[[#This Row],[Harga Jual Pcs MT
(-PPN)]]*1.11</f>
        <v>0</v>
      </c>
      <c r="AZ525" s="38">
        <f>Table43[[#This Row],[Harga Jual Pcs MT
(+PPN)]]*Table43[[#This Row],[ISI/CTN]]</f>
        <v>0</v>
      </c>
      <c r="BA525" s="46">
        <f>(Table43[[#This Row],[Harga Jual Pcs GT
(-PPN)]]-Table43[[#This Row],[Harga Beli Pcs
(-PPN)]])/Table43[[#This Row],[Harga Jual Pcs GT
(-PPN)]]</f>
        <v>6.5000000000000058E-2</v>
      </c>
      <c r="BB525" s="53">
        <f>Table43[[#This Row],[Harga Jual Pcs MT
(-PPN)]]-Table43[[#This Row],[Harga Beli Pcs
(-PPN)]]</f>
        <v>-11668.8</v>
      </c>
      <c r="BC525" s="54" t="e">
        <f>Table43[[#This Row],[Column1]]/Table43[[#This Row],[Harga Jual Pcs MT
(-PPN)]]</f>
        <v>#DIV/0!</v>
      </c>
      <c r="BD525" s="52"/>
      <c r="BE525" s="7"/>
      <c r="BF525" s="7" t="str">
        <f ca="1">IF(TODAY()-Table43[[#This Row],[Efektif
Pembuatan]]&gt;60,"Lama","Baru")</f>
        <v>Lama</v>
      </c>
      <c r="BG525" s="7" t="str">
        <f ca="1">IF(TODAY()-Table43[[#This Row],[Efektif Naik Harga]]&lt;30,"Naik","Sama")</f>
        <v>Sama</v>
      </c>
      <c r="BH525" s="7"/>
      <c r="BI525" s="7" t="str">
        <f>IF(Table43[[#This Row],[Kode BARANG Win2]]&lt;&gt;"","IDR","")</f>
        <v>IDR</v>
      </c>
      <c r="BJ525" s="7" t="str">
        <f>CONCATENATE(Table43[[#This Row],[kode  1 Digit
(Nomor)]],Table43[[#This Row],[kode  4 Digit                (Nomor)]])</f>
        <v>0000</v>
      </c>
      <c r="BK525" s="7">
        <f>Table43[[#This Row],[Nama            Gramasi atau Jumlah Pack per CTN]]</f>
        <v>0</v>
      </c>
      <c r="BL525" s="7"/>
      <c r="BM525" s="7"/>
      <c r="BN525" s="4" t="str">
        <f>IF(Table43[[#This Row],[SATUAN Fix Win]]&lt;&gt;"","KRT")</f>
        <v>KRT</v>
      </c>
      <c r="BO525" s="4" t="str">
        <f>IF(Table43[[#This Row],[SATUAN Fix Win]]&lt;&gt;"","GD01")</f>
        <v>GD01</v>
      </c>
      <c r="BP525" s="4">
        <f>IF(Table43[[#This Row],[SATUAN Fix Win]]&lt;&gt;"",11611)</f>
        <v>11611</v>
      </c>
      <c r="BQ525" s="4">
        <f>IF(Table43[[#This Row],[SATUAN Fix Win]]&lt;&gt;"",11612)</f>
        <v>11612</v>
      </c>
      <c r="BS525" s="4">
        <f>IF(Table43[[#This Row],[SATUAN Fix Win]]&lt;&gt;"",1)</f>
        <v>1</v>
      </c>
      <c r="BU525" s="4">
        <f>Table43[[#This Row],[ISI/CTN]]</f>
        <v>72</v>
      </c>
    </row>
    <row r="526" spans="1:75">
      <c r="A526" s="4" t="str">
        <f>CONCATENATE(Table43[[#This Row],[Kode BARANG Win2]],Table43[[#This Row],[No. Urut
Item Sama]])</f>
        <v>G1264102000010</v>
      </c>
      <c r="B526" s="7"/>
      <c r="C526" s="31">
        <v>30550080007000</v>
      </c>
      <c r="D526" s="51">
        <v>40049692</v>
      </c>
      <c r="E526" s="27" t="s">
        <v>2129</v>
      </c>
      <c r="F526" s="51">
        <v>30540050007000</v>
      </c>
      <c r="G526" s="51">
        <v>0</v>
      </c>
      <c r="H526" s="27" t="s">
        <v>1453</v>
      </c>
      <c r="I526" s="27">
        <v>72</v>
      </c>
      <c r="J526" s="51" t="s">
        <v>1799</v>
      </c>
      <c r="K526" s="27" t="str">
        <f>Table43[[#This Row],[NamaJenisKemasan]]</f>
        <v>PCS</v>
      </c>
      <c r="L526" s="4" t="str">
        <f>TRIM(CONCATENATE(Table43[[#This Row],[Nama            KLP]]," ",Table43[[#This Row],[Nama            Sub KLP]]))</f>
        <v>STELLA DAILY FRESH</v>
      </c>
      <c r="M526" s="4" t="str">
        <f>CONCATENATE(Table43[[#This Row],[kode  2 Digit                (hrf+No)]],Table43[[#This Row],[kode  2 Digit                (Nomor)]],Table43[[#This Row],[kode  1 Digit                (Nomor)]])</f>
        <v>G1264</v>
      </c>
      <c r="N526" s="4" t="str">
        <f>IF(AI526="",CONCATENATE(S526,U526,W526,Y526,AA526,AC526,AE526,AG526,Table43[[#This Row],[Tanda Kode Revisi]]),CONCATENATE(S526,U526,W526,Y526,AA526,AC526,AE526,AI526))</f>
        <v>G1264102000010</v>
      </c>
      <c r="O526" s="11">
        <f t="shared" si="12"/>
        <v>14</v>
      </c>
      <c r="P526" s="14" t="str">
        <f>IF(AH526&lt;&gt;"",TRIM(UPPER(CONCATENATE(R526," ",T526," ",V526," ",X526," ",Z526," ",AB526," ","X"," ",Table43[[#This Row],[ISI/CTN]]," ",AH526," ",AD526," ",AF526," ",AJ526))),TRIM(UPPER(CONCATENATE(R526," ",T526," ",V526," ",X526," ",Z526," ",AB526," ","X"," ",Table43[[#This Row],[ISI/CTN]]," ",AD526," ",AF526," ",AJ526))))</f>
        <v>STELLA DAILY FRESH CAR+INDOOR LILY DREAM X 72 PCS</v>
      </c>
      <c r="Q526" s="11">
        <f t="shared" si="13"/>
        <v>49</v>
      </c>
      <c r="S526" s="7" t="s">
        <v>34</v>
      </c>
      <c r="T526" s="4" t="s">
        <v>2421</v>
      </c>
      <c r="U526" s="47" t="s">
        <v>2584</v>
      </c>
      <c r="V526" s="48" t="s">
        <v>2423</v>
      </c>
      <c r="W526" s="7">
        <v>4</v>
      </c>
      <c r="X526" s="48" t="s">
        <v>2434</v>
      </c>
      <c r="Y526" s="47" t="s">
        <v>2539</v>
      </c>
      <c r="Z526" s="4" t="s">
        <v>2430</v>
      </c>
      <c r="AA526" s="49" t="s">
        <v>2459</v>
      </c>
      <c r="AC526" s="49" t="s">
        <v>2460</v>
      </c>
      <c r="AD526" s="4" t="s">
        <v>185</v>
      </c>
      <c r="AE526" s="7">
        <v>1</v>
      </c>
      <c r="AG526" s="7">
        <v>0</v>
      </c>
      <c r="AK526" s="70">
        <f>Table43[[#This Row],[Column4]]</f>
        <v>30540050007000</v>
      </c>
      <c r="AN526" s="7">
        <f>Table43[[#This Row],[ISI/CTN]]</f>
        <v>72</v>
      </c>
      <c r="AO526" s="38">
        <f>Table43[[#This Row],[Harga Jual Pcs GT
(-PPN)]]-(Table43[[#This Row],[Harga Jual Pcs GT
(-PPN)]]*6.5%)</f>
        <v>11668.8</v>
      </c>
      <c r="AP526" s="38">
        <f>Table43[[#This Row],[Harga Beli Pcs
(-PPN)]]*Table43[[#This Row],[ISI/CTN]]</f>
        <v>840153.59999999998</v>
      </c>
      <c r="AQ526" s="38">
        <f>Table43[[#This Row],[Harga Beli Pcs
(-PPN)]]*1.11</f>
        <v>12952.368</v>
      </c>
      <c r="AR526" s="38">
        <f>Table43[[#This Row],[Harga Beli Krt
(- PPN)]]*1.11</f>
        <v>932570.49600000004</v>
      </c>
      <c r="AS526" s="38">
        <v>12480</v>
      </c>
      <c r="AT526" s="38">
        <f>Table43[[#This Row],[Harga Jual Pcs GT
(-PPN)]]*Table43[[#This Row],[ISI/CTN]]</f>
        <v>898560</v>
      </c>
      <c r="AU526" s="38">
        <f>Table43[[#This Row],[Harga Jual Pcs GT
(-PPN)]]*1.11</f>
        <v>13852.800000000001</v>
      </c>
      <c r="AV526" s="38">
        <f>Table43[[#This Row],[Harga Jual Krt GT
(- PPN)]]*1.11</f>
        <v>997401.60000000009</v>
      </c>
      <c r="AW526" s="38">
        <f>IFERROR(VLOOKUP(Table43[[#This Row],[Kode Pcpl]],'[1]FEB 2026'!$A$3:$X$312,24,0),0)</f>
        <v>0</v>
      </c>
      <c r="AX526" s="38">
        <f>Table43[[#This Row],[Harga Jual Pcs MT
(-PPN)]]*Table43[[#This Row],[ISI/CTN]]</f>
        <v>0</v>
      </c>
      <c r="AY526" s="38">
        <f>Table43[[#This Row],[Harga Jual Pcs MT
(-PPN)]]*1.11</f>
        <v>0</v>
      </c>
      <c r="AZ526" s="38">
        <f>Table43[[#This Row],[Harga Jual Pcs MT
(+PPN)]]*Table43[[#This Row],[ISI/CTN]]</f>
        <v>0</v>
      </c>
      <c r="BA526" s="46">
        <f>(Table43[[#This Row],[Harga Jual Pcs GT
(-PPN)]]-Table43[[#This Row],[Harga Beli Pcs
(-PPN)]])/Table43[[#This Row],[Harga Jual Pcs GT
(-PPN)]]</f>
        <v>6.5000000000000058E-2</v>
      </c>
      <c r="BB526" s="53">
        <f>Table43[[#This Row],[Harga Jual Pcs MT
(-PPN)]]-Table43[[#This Row],[Harga Beli Pcs
(-PPN)]]</f>
        <v>-11668.8</v>
      </c>
      <c r="BC526" s="54" t="e">
        <f>Table43[[#This Row],[Column1]]/Table43[[#This Row],[Harga Jual Pcs MT
(-PPN)]]</f>
        <v>#DIV/0!</v>
      </c>
      <c r="BD526" s="52"/>
      <c r="BE526" s="7"/>
      <c r="BF526" s="7" t="str">
        <f ca="1">IF(TODAY()-Table43[[#This Row],[Efektif
Pembuatan]]&gt;60,"Lama","Baru")</f>
        <v>Lama</v>
      </c>
      <c r="BG526" s="7" t="str">
        <f ca="1">IF(TODAY()-Table43[[#This Row],[Efektif Naik Harga]]&lt;30,"Naik","Sama")</f>
        <v>Sama</v>
      </c>
      <c r="BH526" s="7"/>
      <c r="BI526" s="7" t="str">
        <f>IF(Table43[[#This Row],[Kode BARANG Win2]]&lt;&gt;"","IDR","")</f>
        <v>IDR</v>
      </c>
      <c r="BJ526" s="7" t="str">
        <f>CONCATENATE(Table43[[#This Row],[kode  1 Digit
(Nomor)]],Table43[[#This Row],[kode  4 Digit                (Nomor)]])</f>
        <v>0000</v>
      </c>
      <c r="BK526" s="7">
        <f>Table43[[#This Row],[Nama            Gramasi atau Jumlah Pack per CTN]]</f>
        <v>0</v>
      </c>
      <c r="BL526" s="7"/>
      <c r="BM526" s="7"/>
      <c r="BN526" s="4" t="str">
        <f>IF(Table43[[#This Row],[SATUAN Fix Win]]&lt;&gt;"","KRT")</f>
        <v>KRT</v>
      </c>
      <c r="BO526" s="4" t="str">
        <f>IF(Table43[[#This Row],[SATUAN Fix Win]]&lt;&gt;"","GD01")</f>
        <v>GD01</v>
      </c>
      <c r="BP526" s="4">
        <f>IF(Table43[[#This Row],[SATUAN Fix Win]]&lt;&gt;"",11611)</f>
        <v>11611</v>
      </c>
      <c r="BQ526" s="4">
        <f>IF(Table43[[#This Row],[SATUAN Fix Win]]&lt;&gt;"",11612)</f>
        <v>11612</v>
      </c>
      <c r="BS526" s="4">
        <f>IF(Table43[[#This Row],[SATUAN Fix Win]]&lt;&gt;"",1)</f>
        <v>1</v>
      </c>
      <c r="BU526" s="4">
        <f>Table43[[#This Row],[ISI/CTN]]</f>
        <v>72</v>
      </c>
    </row>
    <row r="527" spans="1:75">
      <c r="A527" s="4" t="str">
        <f>CONCATENATE(Table43[[#This Row],[Kode BARANG Win2]],Table43[[#This Row],[No. Urut
Item Sama]])</f>
        <v>G1264102000010</v>
      </c>
      <c r="B527" s="7"/>
      <c r="C527" s="31">
        <v>30560020245000</v>
      </c>
      <c r="D527" s="51">
        <v>40058512</v>
      </c>
      <c r="E527" s="27" t="s">
        <v>2129</v>
      </c>
      <c r="F527" s="51">
        <v>30540050007000</v>
      </c>
      <c r="G527" s="51">
        <v>0</v>
      </c>
      <c r="H527" s="27" t="s">
        <v>1454</v>
      </c>
      <c r="I527" s="27">
        <v>72</v>
      </c>
      <c r="J527" s="51" t="s">
        <v>1799</v>
      </c>
      <c r="K527" s="27" t="str">
        <f>Table43[[#This Row],[NamaJenisKemasan]]</f>
        <v>PCS</v>
      </c>
      <c r="L527" s="4" t="str">
        <f>TRIM(CONCATENATE(Table43[[#This Row],[Nama            KLP]]," ",Table43[[#This Row],[Nama            Sub KLP]]))</f>
        <v>STELLA DAILY FRESH</v>
      </c>
      <c r="M527" s="4" t="str">
        <f>CONCATENATE(Table43[[#This Row],[kode  2 Digit                (hrf+No)]],Table43[[#This Row],[kode  2 Digit                (Nomor)]],Table43[[#This Row],[kode  1 Digit                (Nomor)]])</f>
        <v>G1264</v>
      </c>
      <c r="N527" s="4" t="str">
        <f>IF(AI527="",CONCATENATE(S527,U527,W527,Y527,AA527,AC527,AE527,AG527,Table43[[#This Row],[Tanda Kode Revisi]]),CONCATENATE(S527,U527,W527,Y527,AA527,AC527,AE527,AI527))</f>
        <v>G1264102000010</v>
      </c>
      <c r="O527" s="11">
        <f t="shared" si="12"/>
        <v>14</v>
      </c>
      <c r="P527" s="14" t="str">
        <f>IF(AH527&lt;&gt;"",TRIM(UPPER(CONCATENATE(R527," ",T527," ",V527," ",X527," ",Z527," ",AB527," ","X"," ",Table43[[#This Row],[ISI/CTN]]," ",AH527," ",AD527," ",AF527," ",AJ527))),TRIM(UPPER(CONCATENATE(R527," ",T527," ",V527," ",X527," ",Z527," ",AB527," ","X"," ",Table43[[#This Row],[ISI/CTN]]," ",AD527," ",AF527," ",AJ527))))</f>
        <v>STELLA DAILY FRESH CAR+INDOOR LILY DREAM X 72 PCS</v>
      </c>
      <c r="Q527" s="11">
        <f t="shared" si="13"/>
        <v>49</v>
      </c>
      <c r="S527" s="7" t="s">
        <v>34</v>
      </c>
      <c r="T527" s="4" t="s">
        <v>2421</v>
      </c>
      <c r="U527" s="47" t="s">
        <v>2584</v>
      </c>
      <c r="V527" s="48" t="s">
        <v>2423</v>
      </c>
      <c r="W527" s="7">
        <v>4</v>
      </c>
      <c r="X527" s="48" t="s">
        <v>2434</v>
      </c>
      <c r="Y527" s="47" t="s">
        <v>2539</v>
      </c>
      <c r="Z527" s="4" t="s">
        <v>2430</v>
      </c>
      <c r="AA527" s="49" t="s">
        <v>2459</v>
      </c>
      <c r="AC527" s="49" t="s">
        <v>2460</v>
      </c>
      <c r="AD527" s="4" t="s">
        <v>185</v>
      </c>
      <c r="AE527" s="7">
        <v>1</v>
      </c>
      <c r="AG527" s="7">
        <v>0</v>
      </c>
      <c r="AK527" s="70">
        <f>Table43[[#This Row],[Column4]]</f>
        <v>30540050007000</v>
      </c>
      <c r="AN527" s="7">
        <f>Table43[[#This Row],[ISI/CTN]]</f>
        <v>72</v>
      </c>
      <c r="AO527" s="61">
        <f>Table43[[#This Row],[Harga Jual Pcs GT
(-PPN)]]-(Table43[[#This Row],[Harga Jual Pcs GT
(-PPN)]]*6.5%)</f>
        <v>11668.8</v>
      </c>
      <c r="AP527" s="61">
        <f>Table43[[#This Row],[Harga Beli Pcs
(-PPN)]]*Table43[[#This Row],[ISI/CTN]]</f>
        <v>840153.59999999998</v>
      </c>
      <c r="AQ527" s="61">
        <f>Table43[[#This Row],[Harga Beli Pcs
(-PPN)]]*1.11</f>
        <v>12952.368</v>
      </c>
      <c r="AR527" s="61">
        <f>Table43[[#This Row],[Harga Beli Krt
(- PPN)]]*1.11</f>
        <v>932570.49600000004</v>
      </c>
      <c r="AS527" s="61">
        <v>12480</v>
      </c>
      <c r="AT527" s="61">
        <f>Table43[[#This Row],[Harga Jual Pcs GT
(-PPN)]]*Table43[[#This Row],[ISI/CTN]]</f>
        <v>898560</v>
      </c>
      <c r="AU527" s="61">
        <f>Table43[[#This Row],[Harga Jual Pcs GT
(-PPN)]]*1.11</f>
        <v>13852.800000000001</v>
      </c>
      <c r="AV527" s="61">
        <f>Table43[[#This Row],[Harga Jual Krt GT
(- PPN)]]*1.11</f>
        <v>997401.60000000009</v>
      </c>
      <c r="AW527" s="61">
        <f>IFERROR(VLOOKUP(Table43[[#This Row],[Kode Pcpl]],'[1]FEB 2026'!$A$3:$X$312,24,0),0)</f>
        <v>0</v>
      </c>
      <c r="AX527" s="61">
        <f>Table43[[#This Row],[Harga Jual Pcs MT
(-PPN)]]*Table43[[#This Row],[ISI/CTN]]</f>
        <v>0</v>
      </c>
      <c r="AY527" s="61">
        <f>Table43[[#This Row],[Harga Jual Pcs MT
(-PPN)]]*1.11</f>
        <v>0</v>
      </c>
      <c r="AZ527" s="61">
        <f>Table43[[#This Row],[Harga Jual Pcs MT
(+PPN)]]*Table43[[#This Row],[ISI/CTN]]</f>
        <v>0</v>
      </c>
      <c r="BA527" s="62">
        <f>(Table43[[#This Row],[Harga Jual Pcs GT
(-PPN)]]-Table43[[#This Row],[Harga Beli Pcs
(-PPN)]])/Table43[[#This Row],[Harga Jual Pcs GT
(-PPN)]]</f>
        <v>6.5000000000000058E-2</v>
      </c>
      <c r="BB527" s="63">
        <f>Table43[[#This Row],[Harga Jual Pcs MT
(-PPN)]]-Table43[[#This Row],[Harga Beli Pcs
(-PPN)]]</f>
        <v>-11668.8</v>
      </c>
      <c r="BC527" s="64" t="e">
        <f>Table43[[#This Row],[Column1]]/Table43[[#This Row],[Harga Jual Pcs MT
(-PPN)]]</f>
        <v>#DIV/0!</v>
      </c>
      <c r="BD527" s="52"/>
      <c r="BE527" s="7"/>
      <c r="BF527" s="7" t="str">
        <f ca="1">IF(TODAY()-Table43[[#This Row],[Efektif
Pembuatan]]&gt;60,"Lama","Baru")</f>
        <v>Lama</v>
      </c>
      <c r="BG527" s="7" t="str">
        <f ca="1">IF(TODAY()-Table43[[#This Row],[Efektif Naik Harga]]&lt;30,"Naik","Sama")</f>
        <v>Sama</v>
      </c>
      <c r="BH527" s="7"/>
      <c r="BI527" s="7" t="str">
        <f>IF(Table43[[#This Row],[Kode BARANG Win2]]&lt;&gt;"","IDR","")</f>
        <v>IDR</v>
      </c>
      <c r="BJ527" s="7" t="str">
        <f>CONCATENATE(Table43[[#This Row],[kode  1 Digit
(Nomor)]],Table43[[#This Row],[kode  4 Digit                (Nomor)]])</f>
        <v>0000</v>
      </c>
      <c r="BK527" s="7">
        <f>Table43[[#This Row],[Nama            Gramasi atau Jumlah Pack per CTN]]</f>
        <v>0</v>
      </c>
      <c r="BL527" s="7"/>
      <c r="BM527" s="7"/>
      <c r="BN527" s="4" t="str">
        <f>IF(Table43[[#This Row],[SATUAN Fix Win]]&lt;&gt;"","KRT")</f>
        <v>KRT</v>
      </c>
      <c r="BO527" s="4" t="str">
        <f>IF(Table43[[#This Row],[SATUAN Fix Win]]&lt;&gt;"","GD01")</f>
        <v>GD01</v>
      </c>
      <c r="BP527" s="4">
        <f>IF(Table43[[#This Row],[SATUAN Fix Win]]&lt;&gt;"",11611)</f>
        <v>11611</v>
      </c>
      <c r="BQ527" s="4">
        <f>IF(Table43[[#This Row],[SATUAN Fix Win]]&lt;&gt;"",11612)</f>
        <v>11612</v>
      </c>
      <c r="BS527" s="4">
        <f>IF(Table43[[#This Row],[SATUAN Fix Win]]&lt;&gt;"",1)</f>
        <v>1</v>
      </c>
      <c r="BU527" s="4">
        <f>Table43[[#This Row],[ISI/CTN]]</f>
        <v>72</v>
      </c>
    </row>
    <row r="528" spans="1:75">
      <c r="A528" s="4" t="str">
        <f>CONCATENATE(Table43[[#This Row],[Kode BARANG Win2]],Table43[[#This Row],[No. Urut
Item Sama]])</f>
        <v>G1264102000010</v>
      </c>
      <c r="B528" s="7"/>
      <c r="C528" s="31"/>
      <c r="D528" s="51">
        <v>40011640</v>
      </c>
      <c r="E528" s="27"/>
      <c r="F528" s="51"/>
      <c r="G528" s="51"/>
      <c r="H528" s="27"/>
      <c r="I528" s="27">
        <v>72</v>
      </c>
      <c r="J528" s="51" t="s">
        <v>1799</v>
      </c>
      <c r="K528" s="27" t="str">
        <f>Table43[[#This Row],[NamaJenisKemasan]]</f>
        <v>PCS</v>
      </c>
      <c r="L528" s="4" t="str">
        <f>TRIM(CONCATENATE(Table43[[#This Row],[Nama            KLP]]," ",Table43[[#This Row],[Nama            Sub KLP]]))</f>
        <v>STELLA DAILY FRESH</v>
      </c>
      <c r="M528" s="4" t="str">
        <f>CONCATENATE(Table43[[#This Row],[kode  2 Digit                (hrf+No)]],Table43[[#This Row],[kode  2 Digit                (Nomor)]],Table43[[#This Row],[kode  1 Digit                (Nomor)]])</f>
        <v>G1264</v>
      </c>
      <c r="N528" s="4" t="str">
        <f>IF(AI528="",CONCATENATE(S528,U528,W528,Y528,AA528,AC528,AE528,AG528,Table43[[#This Row],[Tanda Kode Revisi]]),CONCATENATE(S528,U528,W528,Y528,AA528,AC528,AE528,AI528))</f>
        <v>G1264102000010</v>
      </c>
      <c r="O528" s="11">
        <f>LEN(N528)</f>
        <v>14</v>
      </c>
      <c r="P528" s="14" t="str">
        <f>IF(AH528&lt;&gt;"",TRIM(UPPER(CONCATENATE(R528," ",T528," ",V528," ",X528," ",Z528," ",AB528," ","X"," ",Table43[[#This Row],[ISI/CTN]]," ",AH528," ",AD528," ",AF528," ",AJ528))),TRIM(UPPER(CONCATENATE(R528," ",T528," ",V528," ",X528," ",Z528," ",AB528," ","X"," ",Table43[[#This Row],[ISI/CTN]]," ",AD528," ",AF528," ",AJ528))))</f>
        <v>STELLA DAILY FRESH CAR+INDOOR LILY DREAM X 72 PCS</v>
      </c>
      <c r="Q528" s="11">
        <f>LEN(P528)</f>
        <v>49</v>
      </c>
      <c r="S528" s="7" t="s">
        <v>34</v>
      </c>
      <c r="T528" s="4" t="s">
        <v>2421</v>
      </c>
      <c r="U528" s="47" t="s">
        <v>2584</v>
      </c>
      <c r="V528" s="48" t="s">
        <v>2423</v>
      </c>
      <c r="W528" s="7">
        <v>4</v>
      </c>
      <c r="X528" s="48" t="s">
        <v>2434</v>
      </c>
      <c r="Y528" s="47" t="s">
        <v>2539</v>
      </c>
      <c r="Z528" s="4" t="s">
        <v>2430</v>
      </c>
      <c r="AA528" s="49" t="s">
        <v>2459</v>
      </c>
      <c r="AC528" s="49" t="s">
        <v>2460</v>
      </c>
      <c r="AD528" s="4" t="s">
        <v>185</v>
      </c>
      <c r="AE528" s="7">
        <v>1</v>
      </c>
      <c r="AG528" s="7">
        <v>0</v>
      </c>
      <c r="AK528" s="70">
        <f>Table43[[#This Row],[Column4]]</f>
        <v>0</v>
      </c>
      <c r="AN528" s="7">
        <f>Table43[[#This Row],[ISI/CTN]]</f>
        <v>72</v>
      </c>
      <c r="AO528" s="61">
        <f>Table43[[#This Row],[Harga Jual Pcs GT
(-PPN)]]-(Table43[[#This Row],[Harga Jual Pcs GT
(-PPN)]]*6.5%)</f>
        <v>0</v>
      </c>
      <c r="AP528" s="61">
        <f>Table43[[#This Row],[Harga Beli Pcs
(-PPN)]]*Table43[[#This Row],[ISI/CTN]]</f>
        <v>0</v>
      </c>
      <c r="AQ528" s="61">
        <f>Table43[[#This Row],[Harga Beli Pcs
(-PPN)]]*1.11</f>
        <v>0</v>
      </c>
      <c r="AR528" s="61">
        <f>Table43[[#This Row],[Harga Beli Krt
(- PPN)]]*1.11</f>
        <v>0</v>
      </c>
      <c r="AS528" s="61"/>
      <c r="AT528" s="61">
        <f>Table43[[#This Row],[Harga Jual Pcs GT
(-PPN)]]*Table43[[#This Row],[ISI/CTN]]</f>
        <v>0</v>
      </c>
      <c r="AU528" s="61">
        <f>Table43[[#This Row],[Harga Jual Pcs GT
(-PPN)]]*1.11</f>
        <v>0</v>
      </c>
      <c r="AV528" s="61">
        <f>Table43[[#This Row],[Harga Jual Krt GT
(- PPN)]]*1.11</f>
        <v>0</v>
      </c>
      <c r="AW528" s="61">
        <f>IFERROR(VLOOKUP(Table43[[#This Row],[Kode Pcpl]],'[1]FEB 2026'!$A$3:$X$312,24,0),0)</f>
        <v>0</v>
      </c>
      <c r="AX528" s="61">
        <f>Table43[[#This Row],[Harga Jual Pcs MT
(-PPN)]]*Table43[[#This Row],[ISI/CTN]]</f>
        <v>0</v>
      </c>
      <c r="AY528" s="61">
        <f>Table43[[#This Row],[Harga Jual Pcs MT
(-PPN)]]*1.11</f>
        <v>0</v>
      </c>
      <c r="AZ528" s="61">
        <f>Table43[[#This Row],[Harga Jual Pcs MT
(+PPN)]]*Table43[[#This Row],[ISI/CTN]]</f>
        <v>0</v>
      </c>
      <c r="BA528" s="62" t="e">
        <f>(Table43[[#This Row],[Harga Jual Pcs GT
(-PPN)]]-Table43[[#This Row],[Harga Beli Pcs
(-PPN)]])/Table43[[#This Row],[Harga Jual Pcs GT
(-PPN)]]</f>
        <v>#DIV/0!</v>
      </c>
      <c r="BB528" s="63">
        <f>Table43[[#This Row],[Harga Jual Pcs MT
(-PPN)]]-Table43[[#This Row],[Harga Beli Pcs
(-PPN)]]</f>
        <v>0</v>
      </c>
      <c r="BC528" s="64" t="e">
        <f>Table43[[#This Row],[Column1]]/Table43[[#This Row],[Harga Jual Pcs MT
(-PPN)]]</f>
        <v>#DIV/0!</v>
      </c>
      <c r="BD528" s="52"/>
      <c r="BE528" s="7"/>
      <c r="BF528" s="7" t="str">
        <f ca="1">IF(TODAY()-Table43[[#This Row],[Efektif
Pembuatan]]&gt;60,"Lama","Baru")</f>
        <v>Lama</v>
      </c>
      <c r="BG528" s="7" t="str">
        <f ca="1">IF(TODAY()-Table43[[#This Row],[Efektif Naik Harga]]&lt;30,"Naik","Sama")</f>
        <v>Sama</v>
      </c>
      <c r="BH528" s="7"/>
      <c r="BI528" s="7" t="str">
        <f>IF(Table43[[#This Row],[Kode BARANG Win2]]&lt;&gt;"","IDR","")</f>
        <v>IDR</v>
      </c>
      <c r="BJ528" s="7" t="str">
        <f>CONCATENATE(Table43[[#This Row],[kode  1 Digit
(Nomor)]],Table43[[#This Row],[kode  4 Digit                (Nomor)]])</f>
        <v>0000</v>
      </c>
      <c r="BK528" s="7">
        <f>Table43[[#This Row],[Nama            Gramasi atau Jumlah Pack per CTN]]</f>
        <v>0</v>
      </c>
      <c r="BL528" s="7"/>
      <c r="BM528" s="7"/>
      <c r="BN528" s="4" t="str">
        <f>IF(Table43[[#This Row],[SATUAN Fix Win]]&lt;&gt;"","KRT")</f>
        <v>KRT</v>
      </c>
      <c r="BO528" s="4" t="str">
        <f>IF(Table43[[#This Row],[SATUAN Fix Win]]&lt;&gt;"","GD01")</f>
        <v>GD01</v>
      </c>
      <c r="BP528" s="4">
        <f>IF(Table43[[#This Row],[SATUAN Fix Win]]&lt;&gt;"",11611)</f>
        <v>11611</v>
      </c>
      <c r="BQ528" s="4">
        <f>IF(Table43[[#This Row],[SATUAN Fix Win]]&lt;&gt;"",11612)</f>
        <v>11612</v>
      </c>
      <c r="BS528" s="4">
        <f>IF(Table43[[#This Row],[SATUAN Fix Win]]&lt;&gt;"",1)</f>
        <v>1</v>
      </c>
      <c r="BU528" s="4">
        <f>Table43[[#This Row],[ISI/CTN]]</f>
        <v>72</v>
      </c>
    </row>
    <row r="529" spans="1:75">
      <c r="A529" s="4" t="str">
        <f>CONCATENATE(Table43[[#This Row],[Kode BARANG Win2]],Table43[[#This Row],[No. Urut
Item Sama]])</f>
        <v>G1264103000010</v>
      </c>
      <c r="B529" s="7"/>
      <c r="C529" s="31">
        <v>30580010300010</v>
      </c>
      <c r="D529" s="59">
        <v>40050202</v>
      </c>
      <c r="E529" s="60" t="s">
        <v>2137</v>
      </c>
      <c r="F529" s="51">
        <v>30550080007000</v>
      </c>
      <c r="G529" s="59">
        <v>0</v>
      </c>
      <c r="H529" s="60" t="s">
        <v>1466</v>
      </c>
      <c r="I529" s="60">
        <v>72</v>
      </c>
      <c r="J529" s="59" t="s">
        <v>1805</v>
      </c>
      <c r="K529" s="60" t="str">
        <f>Table43[[#This Row],[NamaJenisKemasan]]</f>
        <v>PCS</v>
      </c>
      <c r="L529" s="4" t="str">
        <f>TRIM(CONCATENATE(Table43[[#This Row],[Nama            KLP]]," ",Table43[[#This Row],[Nama            Sub KLP]]))</f>
        <v>STELLA DAILY FRESH</v>
      </c>
      <c r="M529" s="4" t="str">
        <f>CONCATENATE(Table43[[#This Row],[kode  2 Digit                (hrf+No)]],Table43[[#This Row],[kode  2 Digit                (Nomor)]],Table43[[#This Row],[kode  1 Digit                (Nomor)]])</f>
        <v>G1264</v>
      </c>
      <c r="N529" s="4" t="str">
        <f>IF(AI529="",CONCATENATE(S529,U529,W529,Y529,AA529,AC529,AE529,AG529,Table43[[#This Row],[Tanda Kode Revisi]]),CONCATENATE(S529,U529,W529,Y529,AA529,AC529,AE529,AI529))</f>
        <v>G1264103000010</v>
      </c>
      <c r="O529" s="11">
        <f t="shared" si="12"/>
        <v>14</v>
      </c>
      <c r="P529" s="14" t="str">
        <f>IF(AH529&lt;&gt;"",TRIM(UPPER(CONCATENATE(R529," ",T529," ",V529," ",X529," ",Z529," ",AB529," ","X"," ",Table43[[#This Row],[ISI/CTN]]," ",AH529," ",AD529," ",AF529," ",AJ529))),TRIM(UPPER(CONCATENATE(R529," ",T529," ",V529," ",X529," ",Z529," ",AB529," ","X"," ",Table43[[#This Row],[ISI/CTN]]," ",AD529," ",AF529," ",AJ529))))</f>
        <v>STELLA DAILY FRESH CAR+INDOOR MUSK X 72 PCS</v>
      </c>
      <c r="Q529" s="11">
        <f t="shared" si="13"/>
        <v>43</v>
      </c>
      <c r="S529" s="7" t="s">
        <v>34</v>
      </c>
      <c r="T529" s="4" t="s">
        <v>2421</v>
      </c>
      <c r="U529" s="47" t="s">
        <v>2584</v>
      </c>
      <c r="V529" s="48" t="s">
        <v>2423</v>
      </c>
      <c r="W529" s="7">
        <v>4</v>
      </c>
      <c r="X529" s="48" t="s">
        <v>2434</v>
      </c>
      <c r="Y529" s="47" t="s">
        <v>2539</v>
      </c>
      <c r="Z529" s="4" t="s">
        <v>2452</v>
      </c>
      <c r="AA529" s="49" t="s">
        <v>2538</v>
      </c>
      <c r="AC529" s="49" t="s">
        <v>2460</v>
      </c>
      <c r="AD529" s="4" t="s">
        <v>185</v>
      </c>
      <c r="AE529" s="7">
        <v>1</v>
      </c>
      <c r="AG529" s="7">
        <v>0</v>
      </c>
      <c r="AK529" s="70">
        <f>Table43[[#This Row],[Column4]]</f>
        <v>30550080007000</v>
      </c>
      <c r="AN529" s="7">
        <f>Table43[[#This Row],[ISI/CTN]]</f>
        <v>72</v>
      </c>
      <c r="AO529" s="61">
        <f>Table43[[#This Row],[Harga Jual Pcs GT
(-PPN)]]-(Table43[[#This Row],[Harga Jual Pcs GT
(-PPN)]]*6.5%)</f>
        <v>11668.8</v>
      </c>
      <c r="AP529" s="61">
        <f>Table43[[#This Row],[Harga Beli Pcs
(-PPN)]]*Table43[[#This Row],[ISI/CTN]]</f>
        <v>840153.59999999998</v>
      </c>
      <c r="AQ529" s="61">
        <f>Table43[[#This Row],[Harga Beli Pcs
(-PPN)]]*1.11</f>
        <v>12952.368</v>
      </c>
      <c r="AR529" s="61">
        <f>Table43[[#This Row],[Harga Beli Krt
(- PPN)]]*1.11</f>
        <v>932570.49600000004</v>
      </c>
      <c r="AS529" s="61">
        <v>12480</v>
      </c>
      <c r="AT529" s="61">
        <f>Table43[[#This Row],[Harga Jual Pcs GT
(-PPN)]]*Table43[[#This Row],[ISI/CTN]]</f>
        <v>898560</v>
      </c>
      <c r="AU529" s="61">
        <f>Table43[[#This Row],[Harga Jual Pcs GT
(-PPN)]]*1.11</f>
        <v>13852.800000000001</v>
      </c>
      <c r="AV529" s="61">
        <f>Table43[[#This Row],[Harga Jual Krt GT
(- PPN)]]*1.11</f>
        <v>997401.60000000009</v>
      </c>
      <c r="AW529" s="61">
        <f>IFERROR(VLOOKUP(Table43[[#This Row],[Kode Pcpl]],'[1]FEB 2026'!$A$3:$X$312,24,0),0)</f>
        <v>0</v>
      </c>
      <c r="AX529" s="61">
        <f>Table43[[#This Row],[Harga Jual Pcs MT
(-PPN)]]*Table43[[#This Row],[ISI/CTN]]</f>
        <v>0</v>
      </c>
      <c r="AY529" s="61">
        <f>Table43[[#This Row],[Harga Jual Pcs MT
(-PPN)]]*1.11</f>
        <v>0</v>
      </c>
      <c r="AZ529" s="61">
        <f>Table43[[#This Row],[Harga Jual Pcs MT
(+PPN)]]*Table43[[#This Row],[ISI/CTN]]</f>
        <v>0</v>
      </c>
      <c r="BA529" s="62">
        <f>(Table43[[#This Row],[Harga Jual Pcs GT
(-PPN)]]-Table43[[#This Row],[Harga Beli Pcs
(-PPN)]])/Table43[[#This Row],[Harga Jual Pcs GT
(-PPN)]]</f>
        <v>6.5000000000000058E-2</v>
      </c>
      <c r="BB529" s="63">
        <f>Table43[[#This Row],[Harga Jual Pcs MT
(-PPN)]]-Table43[[#This Row],[Harga Beli Pcs
(-PPN)]]</f>
        <v>-11668.8</v>
      </c>
      <c r="BC529" s="64" t="e">
        <f>Table43[[#This Row],[Column1]]/Table43[[#This Row],[Harga Jual Pcs MT
(-PPN)]]</f>
        <v>#DIV/0!</v>
      </c>
      <c r="BD529" s="52"/>
      <c r="BE529" s="7"/>
      <c r="BF529" s="7" t="str">
        <f ca="1">IF(TODAY()-Table43[[#This Row],[Efektif
Pembuatan]]&gt;60,"Lama","Baru")</f>
        <v>Lama</v>
      </c>
      <c r="BG529" s="7" t="str">
        <f ca="1">IF(TODAY()-Table43[[#This Row],[Efektif Naik Harga]]&lt;30,"Naik","Sama")</f>
        <v>Sama</v>
      </c>
      <c r="BH529" s="7"/>
      <c r="BI529" s="7" t="str">
        <f>IF(Table43[[#This Row],[Kode BARANG Win2]]&lt;&gt;"","IDR","")</f>
        <v>IDR</v>
      </c>
      <c r="BJ529" s="7" t="str">
        <f>CONCATENATE(Table43[[#This Row],[kode  1 Digit
(Nomor)]],Table43[[#This Row],[kode  4 Digit                (Nomor)]])</f>
        <v>0000</v>
      </c>
      <c r="BK529" s="7">
        <f>Table43[[#This Row],[Nama            Gramasi atau Jumlah Pack per CTN]]</f>
        <v>0</v>
      </c>
      <c r="BL529" s="7"/>
      <c r="BM529" s="7"/>
      <c r="BN529" s="4" t="str">
        <f>IF(Table43[[#This Row],[SATUAN Fix Win]]&lt;&gt;"","KRT")</f>
        <v>KRT</v>
      </c>
      <c r="BO529" s="4" t="str">
        <f>IF(Table43[[#This Row],[SATUAN Fix Win]]&lt;&gt;"","GD01")</f>
        <v>GD01</v>
      </c>
      <c r="BP529" s="4">
        <f>IF(Table43[[#This Row],[SATUAN Fix Win]]&lt;&gt;"",11611)</f>
        <v>11611</v>
      </c>
      <c r="BQ529" s="4">
        <f>IF(Table43[[#This Row],[SATUAN Fix Win]]&lt;&gt;"",11612)</f>
        <v>11612</v>
      </c>
      <c r="BS529" s="4">
        <f>IF(Table43[[#This Row],[SATUAN Fix Win]]&lt;&gt;"",1)</f>
        <v>1</v>
      </c>
      <c r="BU529" s="4">
        <f>Table43[[#This Row],[ISI/CTN]]</f>
        <v>72</v>
      </c>
    </row>
    <row r="530" spans="1:75" s="87" customFormat="1">
      <c r="A530" s="149" t="str">
        <f>CONCATENATE(Table43[[#This Row],[Kode BARANG Win2]],Table43[[#This Row],[No. Urut
Item Sama]])</f>
        <v>G1264103000010</v>
      </c>
      <c r="B530" s="72"/>
      <c r="C530" s="73"/>
      <c r="D530" s="74">
        <v>40058515</v>
      </c>
      <c r="E530" s="75" t="s">
        <v>3538</v>
      </c>
      <c r="F530" s="74"/>
      <c r="G530" s="74"/>
      <c r="H530" s="75" t="s">
        <v>3538</v>
      </c>
      <c r="I530" s="150">
        <v>72</v>
      </c>
      <c r="J530" s="74"/>
      <c r="K530" s="150" t="str">
        <f>Table43[[#This Row],[NamaJenisKemasan]]</f>
        <v>PCS</v>
      </c>
      <c r="L530" s="149" t="str">
        <f>TRIM(CONCATENATE(Table43[[#This Row],[Nama            KLP]]," ",Table43[[#This Row],[Nama            Sub KLP]]))</f>
        <v>STELLA DAILY FRESH</v>
      </c>
      <c r="M530" s="149" t="str">
        <f>CONCATENATE(Table43[[#This Row],[kode  2 Digit                (hrf+No)]],Table43[[#This Row],[kode  2 Digit                (Nomor)]],Table43[[#This Row],[kode  1 Digit                (Nomor)]])</f>
        <v>G1264</v>
      </c>
      <c r="N530" s="149" t="str">
        <f>IF(AI530="",CONCATENATE(S530,U530,W530,Y530,AA530,AC530,AE530,AG530,Table43[[#This Row],[Tanda Kode Revisi]]),CONCATENATE(S530,U530,W530,Y530,AA530,AC530,AE530,AI530))</f>
        <v>G1264103000010</v>
      </c>
      <c r="O530" s="76">
        <f>LEN(N530)</f>
        <v>14</v>
      </c>
      <c r="P530" s="151" t="str">
        <f>IF(AH530&lt;&gt;"",TRIM(UPPER(CONCATENATE(R530," ",T530," ",V530," ",X530," ",Z530," ",AB530," ","X"," ",Table43[[#This Row],[ISI/CTN]]," ",AH530," ",AD530," ",AF530," ",AJ530))),TRIM(UPPER(CONCATENATE(R530," ",T530," ",V530," ",X530," ",Z530," ",AB530," ","X"," ",Table43[[#This Row],[ISI/CTN]]," ",AD530," ",AF530," ",AJ530))))</f>
        <v>STELLA DAILY FRESH CAR+INDOOR MUSK X 72 PCS</v>
      </c>
      <c r="Q530" s="76">
        <f>LEN(P530)</f>
        <v>43</v>
      </c>
      <c r="R530" s="71"/>
      <c r="S530" s="72" t="s">
        <v>34</v>
      </c>
      <c r="T530" s="71" t="s">
        <v>2421</v>
      </c>
      <c r="U530" s="78" t="s">
        <v>2584</v>
      </c>
      <c r="V530" s="79" t="s">
        <v>2423</v>
      </c>
      <c r="W530" s="72">
        <v>4</v>
      </c>
      <c r="X530" s="79" t="s">
        <v>2434</v>
      </c>
      <c r="Y530" s="78" t="s">
        <v>2539</v>
      </c>
      <c r="Z530" s="71" t="s">
        <v>2452</v>
      </c>
      <c r="AA530" s="80" t="s">
        <v>2538</v>
      </c>
      <c r="AB530" s="71"/>
      <c r="AC530" s="80" t="s">
        <v>2460</v>
      </c>
      <c r="AD530" s="149" t="s">
        <v>185</v>
      </c>
      <c r="AE530" s="72">
        <v>1</v>
      </c>
      <c r="AF530" s="71"/>
      <c r="AG530" s="72">
        <v>0</v>
      </c>
      <c r="AH530" s="72"/>
      <c r="AI530" s="72"/>
      <c r="AJ530" s="152"/>
      <c r="AK530" s="81">
        <f>Table43[[#This Row],[Column4]]</f>
        <v>0</v>
      </c>
      <c r="AL530" s="72"/>
      <c r="AM530" s="72"/>
      <c r="AN530" s="152">
        <f>Table43[[#This Row],[ISI/CTN]]</f>
        <v>72</v>
      </c>
      <c r="AO530" s="153">
        <f>Table43[[#This Row],[Harga Jual Pcs GT
(-PPN)]]-(Table43[[#This Row],[Harga Jual Pcs GT
(-PPN)]]*6.5%)</f>
        <v>0</v>
      </c>
      <c r="AP530" s="82">
        <f>Table43[[#This Row],[Harga Beli Pcs
(-PPN)]]*Table43[[#This Row],[ISI/CTN]]</f>
        <v>0</v>
      </c>
      <c r="AQ530" s="82">
        <f>Table43[[#This Row],[Harga Beli Pcs
(-PPN)]]*1.11</f>
        <v>0</v>
      </c>
      <c r="AR530" s="153">
        <f>Table43[[#This Row],[Harga Beli Krt
(- PPN)]]*1.11</f>
        <v>0</v>
      </c>
      <c r="AS530" s="153"/>
      <c r="AT530" s="82">
        <f>Table43[[#This Row],[Harga Jual Pcs GT
(-PPN)]]*Table43[[#This Row],[ISI/CTN]]</f>
        <v>0</v>
      </c>
      <c r="AU530" s="82">
        <f>Table43[[#This Row],[Harga Jual Pcs GT
(-PPN)]]*1.11</f>
        <v>0</v>
      </c>
      <c r="AV530" s="82">
        <f>Table43[[#This Row],[Harga Jual Krt GT
(- PPN)]]*1.11</f>
        <v>0</v>
      </c>
      <c r="AW530" s="153">
        <f>IFERROR(VLOOKUP(Table43[[#This Row],[Kode Pcpl]],'[1]FEB 2026'!$A$3:$X$312,24,0),0)</f>
        <v>0</v>
      </c>
      <c r="AX530" s="82">
        <f>Table43[[#This Row],[Harga Jual Pcs MT
(-PPN)]]*Table43[[#This Row],[ISI/CTN]]</f>
        <v>0</v>
      </c>
      <c r="AY530" s="82">
        <f>Table43[[#This Row],[Harga Jual Pcs MT
(-PPN)]]*1.11</f>
        <v>0</v>
      </c>
      <c r="AZ530" s="82">
        <f>Table43[[#This Row],[Harga Jual Pcs MT
(+PPN)]]*Table43[[#This Row],[ISI/CTN]]</f>
        <v>0</v>
      </c>
      <c r="BA530" s="83" t="e">
        <f>(Table43[[#This Row],[Harga Jual Pcs GT
(-PPN)]]-Table43[[#This Row],[Harga Beli Pcs
(-PPN)]])/Table43[[#This Row],[Harga Jual Pcs GT
(-PPN)]]</f>
        <v>#DIV/0!</v>
      </c>
      <c r="BB530" s="84">
        <f>Table43[[#This Row],[Harga Jual Pcs MT
(-PPN)]]-Table43[[#This Row],[Harga Beli Pcs
(-PPN)]]</f>
        <v>0</v>
      </c>
      <c r="BC530" s="85" t="e">
        <f>Table43[[#This Row],[Column1]]/Table43[[#This Row],[Harga Jual Pcs MT
(-PPN)]]</f>
        <v>#DIV/0!</v>
      </c>
      <c r="BD530" s="86"/>
      <c r="BE530" s="72"/>
      <c r="BF530" s="152" t="str">
        <f ca="1">IF(TODAY()-Table43[[#This Row],[Efektif
Pembuatan]]&gt;60,"Lama","Baru")</f>
        <v>Lama</v>
      </c>
      <c r="BG530" s="152" t="str">
        <f ca="1">IF(TODAY()-Table43[[#This Row],[Efektif Naik Harga]]&lt;30,"Naik","Sama")</f>
        <v>Sama</v>
      </c>
      <c r="BH530" s="72"/>
      <c r="BI530" s="152" t="str">
        <f>IF(Table43[[#This Row],[Kode BARANG Win2]]&lt;&gt;"","IDR","")</f>
        <v>IDR</v>
      </c>
      <c r="BJ530" s="152" t="str">
        <f>CONCATENATE(Table43[[#This Row],[kode  1 Digit
(Nomor)]],Table43[[#This Row],[kode  4 Digit                (Nomor)]])</f>
        <v>0000</v>
      </c>
      <c r="BK530" s="152">
        <f>Table43[[#This Row],[Nama            Gramasi atau Jumlah Pack per CTN]]</f>
        <v>0</v>
      </c>
      <c r="BL530" s="152"/>
      <c r="BM530" s="72"/>
      <c r="BN530" s="149" t="str">
        <f>IF(Table43[[#This Row],[SATUAN Fix Win]]&lt;&gt;"","KRT")</f>
        <v>KRT</v>
      </c>
      <c r="BO530" s="149" t="str">
        <f>IF(Table43[[#This Row],[SATUAN Fix Win]]&lt;&gt;"","GD01")</f>
        <v>GD01</v>
      </c>
      <c r="BP530" s="149">
        <f>IF(Table43[[#This Row],[SATUAN Fix Win]]&lt;&gt;"",11611)</f>
        <v>11611</v>
      </c>
      <c r="BQ530" s="149">
        <f>IF(Table43[[#This Row],[SATUAN Fix Win]]&lt;&gt;"",11612)</f>
        <v>11612</v>
      </c>
      <c r="BR530" s="149"/>
      <c r="BS530" s="149">
        <f>IF(Table43[[#This Row],[SATUAN Fix Win]]&lt;&gt;"",1)</f>
        <v>1</v>
      </c>
      <c r="BT530" s="149"/>
      <c r="BU530" s="149">
        <f>Table43[[#This Row],[ISI/CTN]]</f>
        <v>72</v>
      </c>
      <c r="BV530" s="71"/>
      <c r="BW530" s="71"/>
    </row>
    <row r="531" spans="1:75">
      <c r="A531" s="4" t="str">
        <f>CONCATENATE(Table43[[#This Row],[Kode BARANG Win2]],Table43[[#This Row],[No. Urut
Item Sama]])</f>
        <v>G1264002000010</v>
      </c>
      <c r="B531" s="7"/>
      <c r="C531" s="31">
        <v>30580020300010</v>
      </c>
      <c r="D531" s="51">
        <v>40011642</v>
      </c>
      <c r="E531" s="27" t="s">
        <v>3473</v>
      </c>
      <c r="F531" s="51">
        <v>30650010650000</v>
      </c>
      <c r="G531" s="51">
        <v>0</v>
      </c>
      <c r="H531" s="27" t="s">
        <v>3473</v>
      </c>
      <c r="I531" s="27">
        <v>72</v>
      </c>
      <c r="J531" s="51" t="s">
        <v>1850</v>
      </c>
      <c r="K531" s="27" t="str">
        <f>Table43[[#This Row],[NamaJenisKemasan]]</f>
        <v>PCS</v>
      </c>
      <c r="L531" s="4" t="str">
        <f>TRIM(CONCATENATE(Table43[[#This Row],[Nama            KLP]]," ",Table43[[#This Row],[Nama            Sub KLP]]))</f>
        <v>STELLA DAILY FRESH</v>
      </c>
      <c r="M531" s="4" t="str">
        <f>CONCATENATE(Table43[[#This Row],[kode  2 Digit                (hrf+No)]],Table43[[#This Row],[kode  2 Digit                (Nomor)]],Table43[[#This Row],[kode  1 Digit                (Nomor)]])</f>
        <v>G1264</v>
      </c>
      <c r="N531" s="4" t="str">
        <f>IF(AI531="",CONCATENATE(S531,U531,W531,Y531,AA531,AC531,AE531,AG531,Table43[[#This Row],[Tanda Kode Revisi]]),CONCATENATE(S531,U531,W531,Y531,AA531,AC531,AE531,AI531))</f>
        <v>G1264002000010</v>
      </c>
      <c r="O531" s="11">
        <f t="shared" ref="O531:O604" si="14">LEN(N531)</f>
        <v>14</v>
      </c>
      <c r="P531" s="14" t="str">
        <f>IF(AH531&lt;&gt;"",TRIM(UPPER(CONCATENATE(R531," ",T531," ",V531," ",X531," ",Z531," ",AB531," ","X"," ",Table43[[#This Row],[ISI/CTN]]," ",AH531," ",AD531," ",AF531," ",AJ531))),TRIM(UPPER(CONCATENATE(R531," ",T531," ",V531," ",X531," ",Z531," ",AB531," ","X"," ",Table43[[#This Row],[ISI/CTN]]," ",AD531," ",AF531," ",AJ531))))</f>
        <v>STELLA DAILY FRESH CAR+INDOOR ORANGE X 72 PCS</v>
      </c>
      <c r="Q531" s="11">
        <f t="shared" ref="Q531:Q604" si="15">LEN(P531)</f>
        <v>45</v>
      </c>
      <c r="S531" s="7" t="s">
        <v>34</v>
      </c>
      <c r="T531" s="4" t="s">
        <v>2421</v>
      </c>
      <c r="U531" s="47" t="s">
        <v>2584</v>
      </c>
      <c r="V531" s="48" t="s">
        <v>2423</v>
      </c>
      <c r="W531" s="7">
        <v>4</v>
      </c>
      <c r="X531" s="48" t="s">
        <v>2434</v>
      </c>
      <c r="Y531" s="47" t="s">
        <v>1116</v>
      </c>
      <c r="Z531" s="4" t="s">
        <v>2251</v>
      </c>
      <c r="AA531" s="49" t="s">
        <v>2459</v>
      </c>
      <c r="AC531" s="49" t="s">
        <v>2460</v>
      </c>
      <c r="AD531" s="4" t="s">
        <v>185</v>
      </c>
      <c r="AE531" s="7">
        <v>1</v>
      </c>
      <c r="AG531" s="7">
        <v>0</v>
      </c>
      <c r="AK531" s="70">
        <f>Table43[[#This Row],[Column4]]</f>
        <v>30650010650000</v>
      </c>
      <c r="AN531" s="7">
        <f>Table43[[#This Row],[ISI/CTN]]</f>
        <v>72</v>
      </c>
      <c r="AO531" s="61">
        <f>Table43[[#This Row],[Harga Jual Pcs GT
(-PPN)]]-(Table43[[#This Row],[Harga Jual Pcs GT
(-PPN)]]*6.5%)</f>
        <v>13931.5</v>
      </c>
      <c r="AP531" s="61">
        <f>Table43[[#This Row],[Harga Beli Pcs
(-PPN)]]*Table43[[#This Row],[ISI/CTN]]</f>
        <v>1003068</v>
      </c>
      <c r="AQ531" s="61">
        <f>Table43[[#This Row],[Harga Beli Pcs
(-PPN)]]*1.11</f>
        <v>15463.965000000002</v>
      </c>
      <c r="AR531" s="61">
        <f>Table43[[#This Row],[Harga Beli Krt
(- PPN)]]*1.11</f>
        <v>1113405.4800000002</v>
      </c>
      <c r="AS531" s="61">
        <v>14900</v>
      </c>
      <c r="AT531" s="61">
        <f>Table43[[#This Row],[Harga Jual Pcs GT
(-PPN)]]*Table43[[#This Row],[ISI/CTN]]</f>
        <v>1072800</v>
      </c>
      <c r="AU531" s="61">
        <f>Table43[[#This Row],[Harga Jual Pcs GT
(-PPN)]]*1.11</f>
        <v>16539</v>
      </c>
      <c r="AV531" s="61">
        <f>Table43[[#This Row],[Harga Jual Krt GT
(- PPN)]]*1.11</f>
        <v>1190808</v>
      </c>
      <c r="AW531" s="61">
        <f>IFERROR(VLOOKUP(Table43[[#This Row],[Kode Pcpl]],'[1]FEB 2026'!$A$3:$X$312,24,0),0)</f>
        <v>0</v>
      </c>
      <c r="AX531" s="61">
        <f>Table43[[#This Row],[Harga Jual Pcs MT
(-PPN)]]*Table43[[#This Row],[ISI/CTN]]</f>
        <v>0</v>
      </c>
      <c r="AY531" s="61">
        <f>Table43[[#This Row],[Harga Jual Pcs MT
(-PPN)]]*1.11</f>
        <v>0</v>
      </c>
      <c r="AZ531" s="61">
        <f>Table43[[#This Row],[Harga Jual Pcs MT
(+PPN)]]*Table43[[#This Row],[ISI/CTN]]</f>
        <v>0</v>
      </c>
      <c r="BA531" s="62">
        <f>(Table43[[#This Row],[Harga Jual Pcs GT
(-PPN)]]-Table43[[#This Row],[Harga Beli Pcs
(-PPN)]])/Table43[[#This Row],[Harga Jual Pcs GT
(-PPN)]]</f>
        <v>6.5000000000000002E-2</v>
      </c>
      <c r="BB531" s="63">
        <f>Table43[[#This Row],[Harga Jual Pcs MT
(-PPN)]]-Table43[[#This Row],[Harga Beli Pcs
(-PPN)]]</f>
        <v>-13931.5</v>
      </c>
      <c r="BC531" s="64" t="e">
        <f>Table43[[#This Row],[Column1]]/Table43[[#This Row],[Harga Jual Pcs MT
(-PPN)]]</f>
        <v>#DIV/0!</v>
      </c>
      <c r="BD531" s="52"/>
      <c r="BE531" s="7"/>
      <c r="BF531" s="7" t="str">
        <f ca="1">IF(TODAY()-Table43[[#This Row],[Efektif
Pembuatan]]&gt;60,"Lama","Baru")</f>
        <v>Lama</v>
      </c>
      <c r="BG531" s="7" t="str">
        <f ca="1">IF(TODAY()-Table43[[#This Row],[Efektif Naik Harga]]&lt;30,"Naik","Sama")</f>
        <v>Sama</v>
      </c>
      <c r="BH531" s="7"/>
      <c r="BI531" s="7" t="str">
        <f>IF(Table43[[#This Row],[Kode BARANG Win2]]&lt;&gt;"","IDR","")</f>
        <v>IDR</v>
      </c>
      <c r="BJ531" s="7" t="str">
        <f>CONCATENATE(Table43[[#This Row],[kode  1 Digit
(Nomor)]],Table43[[#This Row],[kode  4 Digit                (Nomor)]])</f>
        <v>0000</v>
      </c>
      <c r="BK531" s="7">
        <f>Table43[[#This Row],[Nama            Gramasi atau Jumlah Pack per CTN]]</f>
        <v>0</v>
      </c>
      <c r="BL531" s="7"/>
      <c r="BM531" s="7"/>
      <c r="BN531" s="4" t="str">
        <f>IF(Table43[[#This Row],[SATUAN Fix Win]]&lt;&gt;"","KRT")</f>
        <v>KRT</v>
      </c>
      <c r="BO531" s="4" t="str">
        <f>IF(Table43[[#This Row],[SATUAN Fix Win]]&lt;&gt;"","GD01")</f>
        <v>GD01</v>
      </c>
      <c r="BP531" s="4">
        <f>IF(Table43[[#This Row],[SATUAN Fix Win]]&lt;&gt;"",11611)</f>
        <v>11611</v>
      </c>
      <c r="BQ531" s="4">
        <f>IF(Table43[[#This Row],[SATUAN Fix Win]]&lt;&gt;"",11612)</f>
        <v>11612</v>
      </c>
      <c r="BS531" s="4">
        <f>IF(Table43[[#This Row],[SATUAN Fix Win]]&lt;&gt;"",1)</f>
        <v>1</v>
      </c>
      <c r="BU531" s="4">
        <f>Table43[[#This Row],[ISI/CTN]]</f>
        <v>72</v>
      </c>
    </row>
    <row r="532" spans="1:75">
      <c r="A532" s="4" t="str">
        <f>CONCATENATE(Table43[[#This Row],[Kode BARANG Win2]],Table43[[#This Row],[No. Urut
Item Sama]])</f>
        <v>G1264002000010</v>
      </c>
      <c r="B532" s="7"/>
      <c r="C532" s="31">
        <v>30590020000000</v>
      </c>
      <c r="D532" s="51">
        <v>40058511</v>
      </c>
      <c r="E532" s="27" t="s">
        <v>1461</v>
      </c>
      <c r="F532" s="51">
        <v>30650010650000</v>
      </c>
      <c r="G532" s="51">
        <v>0</v>
      </c>
      <c r="H532" s="27" t="s">
        <v>1461</v>
      </c>
      <c r="I532" s="27">
        <v>72</v>
      </c>
      <c r="J532" s="51" t="s">
        <v>1850</v>
      </c>
      <c r="K532" s="27" t="str">
        <f>Table43[[#This Row],[NamaJenisKemasan]]</f>
        <v>PCS</v>
      </c>
      <c r="L532" s="4" t="str">
        <f>TRIM(CONCATENATE(Table43[[#This Row],[Nama            KLP]]," ",Table43[[#This Row],[Nama            Sub KLP]]))</f>
        <v>STELLA DAILY FRESH</v>
      </c>
      <c r="M532" s="4" t="str">
        <f>CONCATENATE(Table43[[#This Row],[kode  2 Digit                (hrf+No)]],Table43[[#This Row],[kode  2 Digit                (Nomor)]],Table43[[#This Row],[kode  1 Digit                (Nomor)]])</f>
        <v>G1264</v>
      </c>
      <c r="N532" s="4" t="str">
        <f>IF(AI532="",CONCATENATE(S532,U532,W532,Y532,AA532,AC532,AE532,AG532,Table43[[#This Row],[Tanda Kode Revisi]]),CONCATENATE(S532,U532,W532,Y532,AA532,AC532,AE532,AI532))</f>
        <v>G1264002000010</v>
      </c>
      <c r="O532" s="11">
        <f t="shared" si="14"/>
        <v>14</v>
      </c>
      <c r="P532" s="14" t="str">
        <f>IF(AH532&lt;&gt;"",TRIM(UPPER(CONCATENATE(R532," ",T532," ",V532," ",X532," ",Z532," ",AB532," ","X"," ",Table43[[#This Row],[ISI/CTN]]," ",AH532," ",AD532," ",AF532," ",AJ532))),TRIM(UPPER(CONCATENATE(R532," ",T532," ",V532," ",X532," ",Z532," ",AB532," ","X"," ",Table43[[#This Row],[ISI/CTN]]," ",AD532," ",AF532," ",AJ532))))</f>
        <v>STELLA DAILY FRESH CAR+INDOOR ORANGE X 72 PCS</v>
      </c>
      <c r="Q532" s="11">
        <f t="shared" si="15"/>
        <v>45</v>
      </c>
      <c r="S532" s="7" t="s">
        <v>34</v>
      </c>
      <c r="T532" s="4" t="s">
        <v>2421</v>
      </c>
      <c r="U532" s="47" t="s">
        <v>2584</v>
      </c>
      <c r="V532" s="48" t="s">
        <v>2423</v>
      </c>
      <c r="W532" s="7">
        <v>4</v>
      </c>
      <c r="X532" s="48" t="s">
        <v>2434</v>
      </c>
      <c r="Y532" s="47" t="s">
        <v>1116</v>
      </c>
      <c r="Z532" s="4" t="s">
        <v>2251</v>
      </c>
      <c r="AA532" s="49" t="s">
        <v>2459</v>
      </c>
      <c r="AC532" s="49" t="s">
        <v>2460</v>
      </c>
      <c r="AD532" s="4" t="s">
        <v>185</v>
      </c>
      <c r="AE532" s="7">
        <v>1</v>
      </c>
      <c r="AG532" s="7">
        <v>0</v>
      </c>
      <c r="AK532" s="70">
        <f>Table43[[#This Row],[Column4]]</f>
        <v>30650010650000</v>
      </c>
      <c r="AN532" s="7">
        <f>Table43[[#This Row],[ISI/CTN]]</f>
        <v>72</v>
      </c>
      <c r="AO532" s="38">
        <f>Table43[[#This Row],[Harga Jual Pcs GT
(-PPN)]]-(Table43[[#This Row],[Harga Jual Pcs GT
(-PPN)]]*6.5%)</f>
        <v>13931.5</v>
      </c>
      <c r="AP532" s="38">
        <f>Table43[[#This Row],[Harga Beli Pcs
(-PPN)]]*Table43[[#This Row],[ISI/CTN]]</f>
        <v>1003068</v>
      </c>
      <c r="AQ532" s="38">
        <f>Table43[[#This Row],[Harga Beli Pcs
(-PPN)]]*1.11</f>
        <v>15463.965000000002</v>
      </c>
      <c r="AR532" s="38">
        <f>Table43[[#This Row],[Harga Beli Krt
(- PPN)]]*1.11</f>
        <v>1113405.4800000002</v>
      </c>
      <c r="AS532" s="38">
        <v>14900</v>
      </c>
      <c r="AT532" s="38">
        <f>Table43[[#This Row],[Harga Jual Pcs GT
(-PPN)]]*Table43[[#This Row],[ISI/CTN]]</f>
        <v>1072800</v>
      </c>
      <c r="AU532" s="38">
        <f>Table43[[#This Row],[Harga Jual Pcs GT
(-PPN)]]*1.11</f>
        <v>16539</v>
      </c>
      <c r="AV532" s="38">
        <f>Table43[[#This Row],[Harga Jual Krt GT
(- PPN)]]*1.11</f>
        <v>1190808</v>
      </c>
      <c r="AW532" s="38">
        <f>IFERROR(VLOOKUP(Table43[[#This Row],[Kode Pcpl]],'[1]FEB 2026'!$A$3:$X$312,24,0),0)</f>
        <v>0</v>
      </c>
      <c r="AX532" s="38">
        <f>Table43[[#This Row],[Harga Jual Pcs MT
(-PPN)]]*Table43[[#This Row],[ISI/CTN]]</f>
        <v>0</v>
      </c>
      <c r="AY532" s="38">
        <f>Table43[[#This Row],[Harga Jual Pcs MT
(-PPN)]]*1.11</f>
        <v>0</v>
      </c>
      <c r="AZ532" s="38">
        <f>Table43[[#This Row],[Harga Jual Pcs MT
(+PPN)]]*Table43[[#This Row],[ISI/CTN]]</f>
        <v>0</v>
      </c>
      <c r="BA532" s="46">
        <f>(Table43[[#This Row],[Harga Jual Pcs GT
(-PPN)]]-Table43[[#This Row],[Harga Beli Pcs
(-PPN)]])/Table43[[#This Row],[Harga Jual Pcs GT
(-PPN)]]</f>
        <v>6.5000000000000002E-2</v>
      </c>
      <c r="BB532" s="53">
        <f>Table43[[#This Row],[Harga Jual Pcs MT
(-PPN)]]-Table43[[#This Row],[Harga Beli Pcs
(-PPN)]]</f>
        <v>-13931.5</v>
      </c>
      <c r="BC532" s="54" t="e">
        <f>Table43[[#This Row],[Column1]]/Table43[[#This Row],[Harga Jual Pcs MT
(-PPN)]]</f>
        <v>#DIV/0!</v>
      </c>
      <c r="BD532" s="52"/>
      <c r="BE532" s="7"/>
      <c r="BF532" s="7" t="str">
        <f ca="1">IF(TODAY()-Table43[[#This Row],[Efektif
Pembuatan]]&gt;60,"Lama","Baru")</f>
        <v>Lama</v>
      </c>
      <c r="BG532" s="7" t="str">
        <f ca="1">IF(TODAY()-Table43[[#This Row],[Efektif Naik Harga]]&lt;30,"Naik","Sama")</f>
        <v>Sama</v>
      </c>
      <c r="BH532" s="7"/>
      <c r="BI532" s="7" t="str">
        <f>IF(Table43[[#This Row],[Kode BARANG Win2]]&lt;&gt;"","IDR","")</f>
        <v>IDR</v>
      </c>
      <c r="BJ532" s="7" t="str">
        <f>CONCATENATE(Table43[[#This Row],[kode  1 Digit
(Nomor)]],Table43[[#This Row],[kode  4 Digit                (Nomor)]])</f>
        <v>0000</v>
      </c>
      <c r="BK532" s="7">
        <f>Table43[[#This Row],[Nama            Gramasi atau Jumlah Pack per CTN]]</f>
        <v>0</v>
      </c>
      <c r="BL532" s="7"/>
      <c r="BM532" s="7"/>
      <c r="BN532" s="4" t="str">
        <f>IF(Table43[[#This Row],[SATUAN Fix Win]]&lt;&gt;"","KRT")</f>
        <v>KRT</v>
      </c>
      <c r="BO532" s="4" t="str">
        <f>IF(Table43[[#This Row],[SATUAN Fix Win]]&lt;&gt;"","GD01")</f>
        <v>GD01</v>
      </c>
      <c r="BP532" s="4">
        <f>IF(Table43[[#This Row],[SATUAN Fix Win]]&lt;&gt;"",11611)</f>
        <v>11611</v>
      </c>
      <c r="BQ532" s="4">
        <f>IF(Table43[[#This Row],[SATUAN Fix Win]]&lt;&gt;"",11612)</f>
        <v>11612</v>
      </c>
      <c r="BS532" s="4">
        <f>IF(Table43[[#This Row],[SATUAN Fix Win]]&lt;&gt;"",1)</f>
        <v>1</v>
      </c>
      <c r="BU532" s="4">
        <f>Table43[[#This Row],[ISI/CTN]]</f>
        <v>72</v>
      </c>
    </row>
    <row r="533" spans="1:75" s="87" customFormat="1">
      <c r="A533" s="71" t="str">
        <f>CONCATENATE(Table43[[#This Row],[Kode BARANG Win2]],Table43[[#This Row],[No. Urut
Item Sama]])</f>
        <v>G1264002000010</v>
      </c>
      <c r="B533" s="72"/>
      <c r="C533" s="73"/>
      <c r="D533" s="74">
        <v>40049691</v>
      </c>
      <c r="E533" s="75" t="s">
        <v>1460</v>
      </c>
      <c r="F533" s="74"/>
      <c r="G533" s="74"/>
      <c r="H533" s="75" t="s">
        <v>1460</v>
      </c>
      <c r="I533" s="75">
        <v>72</v>
      </c>
      <c r="J533" s="131" t="s">
        <v>1802</v>
      </c>
      <c r="K533" s="75" t="str">
        <f>Table43[[#This Row],[NamaJenisKemasan]]</f>
        <v>PCS</v>
      </c>
      <c r="L533" s="71" t="str">
        <f>TRIM(CONCATENATE(Table43[[#This Row],[Nama            KLP]]," ",Table43[[#This Row],[Nama            Sub KLP]]))</f>
        <v>STELLA DAILY FRESH</v>
      </c>
      <c r="M533" s="71" t="str">
        <f>CONCATENATE(Table43[[#This Row],[kode  2 Digit                (hrf+No)]],Table43[[#This Row],[kode  2 Digit                (Nomor)]],Table43[[#This Row],[kode  1 Digit                (Nomor)]])</f>
        <v>G1264</v>
      </c>
      <c r="N533" s="71" t="str">
        <f>IF(AI533="",CONCATENATE(S533,U533,W533,Y533,AA533,AC533,AE533,AG533,Table43[[#This Row],[Tanda Kode Revisi]]),CONCATENATE(S533,U533,W533,Y533,AA533,AC533,AE533,AI533))</f>
        <v>G1264002000010</v>
      </c>
      <c r="O533" s="76">
        <f>LEN(N533)</f>
        <v>14</v>
      </c>
      <c r="P533" s="77" t="str">
        <f>IF(AH533&lt;&gt;"",TRIM(UPPER(CONCATENATE(R533," ",T533," ",V533," ",X533," ",Z533," ",AB533," ","X"," ",Table43[[#This Row],[ISI/CTN]]," ",AH533," ",AD533," ",AF533," ",AJ533))),TRIM(UPPER(CONCATENATE(R533," ",T533," ",V533," ",X533," ",Z533," ",AB533," ","X"," ",Table43[[#This Row],[ISI/CTN]]," ",AD533," ",AF533," ",AJ533))))</f>
        <v>STELLA DAILY FRESH CAR+INDOOR ORANGE X 72 PCS</v>
      </c>
      <c r="Q533" s="76">
        <f>LEN(P533)</f>
        <v>45</v>
      </c>
      <c r="R533" s="71"/>
      <c r="S533" s="72" t="s">
        <v>34</v>
      </c>
      <c r="T533" s="71" t="s">
        <v>2421</v>
      </c>
      <c r="U533" s="78" t="s">
        <v>2584</v>
      </c>
      <c r="V533" s="79" t="s">
        <v>2423</v>
      </c>
      <c r="W533" s="72">
        <v>4</v>
      </c>
      <c r="X533" s="79" t="s">
        <v>2434</v>
      </c>
      <c r="Y533" s="78" t="s">
        <v>1116</v>
      </c>
      <c r="Z533" s="71" t="s">
        <v>2251</v>
      </c>
      <c r="AA533" s="80" t="s">
        <v>2459</v>
      </c>
      <c r="AB533" s="71"/>
      <c r="AC533" s="80" t="s">
        <v>2460</v>
      </c>
      <c r="AD533" s="71" t="s">
        <v>185</v>
      </c>
      <c r="AE533" s="72">
        <v>1</v>
      </c>
      <c r="AF533" s="71"/>
      <c r="AG533" s="72">
        <v>0</v>
      </c>
      <c r="AH533" s="72"/>
      <c r="AI533" s="72"/>
      <c r="AJ533" s="72"/>
      <c r="AK533" s="81">
        <f>Table43[[#This Row],[Column4]]</f>
        <v>0</v>
      </c>
      <c r="AL533" s="72"/>
      <c r="AM533" s="72"/>
      <c r="AN533" s="72">
        <f>Table43[[#This Row],[ISI/CTN]]</f>
        <v>72</v>
      </c>
      <c r="AO533" s="88">
        <f>Table43[[#This Row],[Harga Jual Pcs GT
(-PPN)]]-(Table43[[#This Row],[Harga Jual Pcs GT
(-PPN)]]*6.5%)</f>
        <v>0</v>
      </c>
      <c r="AP533" s="88">
        <f>Table43[[#This Row],[Harga Beli Pcs
(-PPN)]]*Table43[[#This Row],[ISI/CTN]]</f>
        <v>0</v>
      </c>
      <c r="AQ533" s="88">
        <f>Table43[[#This Row],[Harga Beli Pcs
(-PPN)]]*1.11</f>
        <v>0</v>
      </c>
      <c r="AR533" s="88">
        <f>Table43[[#This Row],[Harga Beli Krt
(- PPN)]]*1.11</f>
        <v>0</v>
      </c>
      <c r="AS533" s="88"/>
      <c r="AT533" s="88">
        <f>Table43[[#This Row],[Harga Jual Pcs GT
(-PPN)]]*Table43[[#This Row],[ISI/CTN]]</f>
        <v>0</v>
      </c>
      <c r="AU533" s="88">
        <f>Table43[[#This Row],[Harga Jual Pcs GT
(-PPN)]]*1.11</f>
        <v>0</v>
      </c>
      <c r="AV533" s="88">
        <f>Table43[[#This Row],[Harga Jual Krt GT
(- PPN)]]*1.11</f>
        <v>0</v>
      </c>
      <c r="AW533" s="88">
        <f>IFERROR(VLOOKUP(Table43[[#This Row],[Kode Pcpl]],'[1]FEB 2026'!$A$3:$X$312,24,0),0)</f>
        <v>0</v>
      </c>
      <c r="AX533" s="88">
        <f>Table43[[#This Row],[Harga Jual Pcs MT
(-PPN)]]*Table43[[#This Row],[ISI/CTN]]</f>
        <v>0</v>
      </c>
      <c r="AY533" s="88">
        <f>Table43[[#This Row],[Harga Jual Pcs MT
(-PPN)]]*1.11</f>
        <v>0</v>
      </c>
      <c r="AZ533" s="88">
        <f>Table43[[#This Row],[Harga Jual Pcs MT
(+PPN)]]*Table43[[#This Row],[ISI/CTN]]</f>
        <v>0</v>
      </c>
      <c r="BA533" s="89" t="e">
        <f>(Table43[[#This Row],[Harga Jual Pcs GT
(-PPN)]]-Table43[[#This Row],[Harga Beli Pcs
(-PPN)]])/Table43[[#This Row],[Harga Jual Pcs GT
(-PPN)]]</f>
        <v>#DIV/0!</v>
      </c>
      <c r="BB533" s="90">
        <f>Table43[[#This Row],[Harga Jual Pcs MT
(-PPN)]]-Table43[[#This Row],[Harga Beli Pcs
(-PPN)]]</f>
        <v>0</v>
      </c>
      <c r="BC533" s="91" t="e">
        <f>Table43[[#This Row],[Column1]]/Table43[[#This Row],[Harga Jual Pcs MT
(-PPN)]]</f>
        <v>#DIV/0!</v>
      </c>
      <c r="BD533" s="86"/>
      <c r="BE533" s="72"/>
      <c r="BF533" s="72" t="str">
        <f ca="1">IF(TODAY()-Table43[[#This Row],[Efektif
Pembuatan]]&gt;60,"Lama","Baru")</f>
        <v>Lama</v>
      </c>
      <c r="BG533" s="72" t="str">
        <f ca="1">IF(TODAY()-Table43[[#This Row],[Efektif Naik Harga]]&lt;30,"Naik","Sama")</f>
        <v>Sama</v>
      </c>
      <c r="BH533" s="72"/>
      <c r="BI533" s="72" t="str">
        <f>IF(Table43[[#This Row],[Kode BARANG Win2]]&lt;&gt;"","IDR","")</f>
        <v>IDR</v>
      </c>
      <c r="BJ533" s="72" t="str">
        <f>CONCATENATE(Table43[[#This Row],[kode  1 Digit
(Nomor)]],Table43[[#This Row],[kode  4 Digit                (Nomor)]])</f>
        <v>0000</v>
      </c>
      <c r="BK533" s="72">
        <f>Table43[[#This Row],[Nama            Gramasi atau Jumlah Pack per CTN]]</f>
        <v>0</v>
      </c>
      <c r="BL533" s="72"/>
      <c r="BM533" s="72"/>
      <c r="BN533" s="71" t="str">
        <f>IF(Table43[[#This Row],[SATUAN Fix Win]]&lt;&gt;"","KRT")</f>
        <v>KRT</v>
      </c>
      <c r="BO533" s="71" t="str">
        <f>IF(Table43[[#This Row],[SATUAN Fix Win]]&lt;&gt;"","GD01")</f>
        <v>GD01</v>
      </c>
      <c r="BP533" s="71">
        <f>IF(Table43[[#This Row],[SATUAN Fix Win]]&lt;&gt;"",11611)</f>
        <v>11611</v>
      </c>
      <c r="BQ533" s="71">
        <f>IF(Table43[[#This Row],[SATUAN Fix Win]]&lt;&gt;"",11612)</f>
        <v>11612</v>
      </c>
      <c r="BR533" s="71"/>
      <c r="BS533" s="71">
        <f>IF(Table43[[#This Row],[SATUAN Fix Win]]&lt;&gt;"",1)</f>
        <v>1</v>
      </c>
      <c r="BT533" s="71"/>
      <c r="BU533" s="71">
        <f>Table43[[#This Row],[ISI/CTN]]</f>
        <v>72</v>
      </c>
      <c r="BV533" s="71"/>
      <c r="BW533" s="71"/>
    </row>
    <row r="534" spans="1:75" s="139" customFormat="1">
      <c r="A534" s="128" t="str">
        <f>CONCATENATE(Table43[[#This Row],[Kode BARANG Win2]],Table43[[#This Row],[No. Urut
Item Sama]])</f>
        <v>G1264104000010</v>
      </c>
      <c r="B534" s="129"/>
      <c r="C534" s="130">
        <v>30590020021001</v>
      </c>
      <c r="D534" s="140">
        <v>40049691</v>
      </c>
      <c r="E534" s="141" t="s">
        <v>2133</v>
      </c>
      <c r="F534" s="140">
        <v>30550050007000</v>
      </c>
      <c r="G534" s="140">
        <v>0</v>
      </c>
      <c r="H534" s="141" t="s">
        <v>1460</v>
      </c>
      <c r="I534" s="141">
        <v>72</v>
      </c>
      <c r="J534" s="131" t="s">
        <v>1802</v>
      </c>
      <c r="K534" s="141" t="str">
        <f>Table43[[#This Row],[NamaJenisKemasan]]</f>
        <v>PCS</v>
      </c>
      <c r="L534" s="128" t="str">
        <f>TRIM(CONCATENATE(Table43[[#This Row],[Nama            KLP]]," ",Table43[[#This Row],[Nama            Sub KLP]]))</f>
        <v>STELLA DAILY FRESH</v>
      </c>
      <c r="M534" s="128" t="str">
        <f>CONCATENATE(Table43[[#This Row],[kode  2 Digit                (hrf+No)]],Table43[[#This Row],[kode  2 Digit                (Nomor)]],Table43[[#This Row],[kode  1 Digit                (Nomor)]])</f>
        <v>G1264</v>
      </c>
      <c r="N534" s="128" t="str">
        <f>IF(AI534="",CONCATENATE(S534,U534,W534,Y534,AA534,AC534,AE534,AG534,Table43[[#This Row],[Tanda Kode Revisi]]),CONCATENATE(S534,U534,W534,Y534,AA534,AC534,AE534,AI534))</f>
        <v>G1264104000010</v>
      </c>
      <c r="O534" s="132">
        <f t="shared" si="14"/>
        <v>14</v>
      </c>
      <c r="P534" s="133" t="str">
        <f>IF(AH534&lt;&gt;"",TRIM(UPPER(CONCATENATE(R534," ",T534," ",V534," ",X534," ",Z534," ",AB534," ","X"," ",Table43[[#This Row],[ISI/CTN]]," ",AH534," ",AD534," ",AF534," ",AJ534))),TRIM(UPPER(CONCATENATE(R534," ",T534," ",V534," ",X534," ",Z534," ",AB534," ","X"," ",Table43[[#This Row],[ISI/CTN]]," ",AD534," ",AF534," ",AJ534))))</f>
        <v>STELLA DAILY FRESH CAR+INDOOR ORANGE MTP X 72 PCS</v>
      </c>
      <c r="Q534" s="132">
        <f t="shared" si="15"/>
        <v>49</v>
      </c>
      <c r="R534" s="128"/>
      <c r="S534" s="129" t="s">
        <v>34</v>
      </c>
      <c r="T534" s="128" t="s">
        <v>2421</v>
      </c>
      <c r="U534" s="134" t="s">
        <v>2584</v>
      </c>
      <c r="V534" s="135" t="s">
        <v>2423</v>
      </c>
      <c r="W534" s="129">
        <v>4</v>
      </c>
      <c r="X534" s="135" t="s">
        <v>2434</v>
      </c>
      <c r="Y534" s="134" t="s">
        <v>2539</v>
      </c>
      <c r="Z534" s="128" t="s">
        <v>3467</v>
      </c>
      <c r="AA534" s="136" t="s">
        <v>2540</v>
      </c>
      <c r="AB534" s="128"/>
      <c r="AC534" s="136" t="s">
        <v>2460</v>
      </c>
      <c r="AD534" s="128" t="s">
        <v>185</v>
      </c>
      <c r="AE534" s="129">
        <v>1</v>
      </c>
      <c r="AF534" s="128"/>
      <c r="AG534" s="129">
        <v>0</v>
      </c>
      <c r="AH534" s="129"/>
      <c r="AI534" s="129"/>
      <c r="AJ534" s="129"/>
      <c r="AK534" s="137">
        <f>Table43[[#This Row],[Column4]]</f>
        <v>30550050007000</v>
      </c>
      <c r="AL534" s="129"/>
      <c r="AM534" s="129"/>
      <c r="AN534" s="129">
        <f>Table43[[#This Row],[ISI/CTN]]</f>
        <v>72</v>
      </c>
      <c r="AO534" s="142">
        <f>Table43[[#This Row],[Harga Jual Pcs GT
(-PPN)]]-(Table43[[#This Row],[Harga Jual Pcs GT
(-PPN)]]*6.5%)</f>
        <v>13931.5</v>
      </c>
      <c r="AP534" s="142">
        <f>Table43[[#This Row],[Harga Beli Pcs
(-PPN)]]*Table43[[#This Row],[ISI/CTN]]</f>
        <v>1003068</v>
      </c>
      <c r="AQ534" s="142">
        <f>Table43[[#This Row],[Harga Beli Pcs
(-PPN)]]*1.11</f>
        <v>15463.965000000002</v>
      </c>
      <c r="AR534" s="142">
        <f>Table43[[#This Row],[Harga Beli Krt
(- PPN)]]*1.11</f>
        <v>1113405.4800000002</v>
      </c>
      <c r="AS534" s="142">
        <v>14900</v>
      </c>
      <c r="AT534" s="142">
        <f>Table43[[#This Row],[Harga Jual Pcs GT
(-PPN)]]*Table43[[#This Row],[ISI/CTN]]</f>
        <v>1072800</v>
      </c>
      <c r="AU534" s="142">
        <f>Table43[[#This Row],[Harga Jual Pcs GT
(-PPN)]]*1.11</f>
        <v>16539</v>
      </c>
      <c r="AV534" s="142">
        <f>Table43[[#This Row],[Harga Jual Krt GT
(- PPN)]]*1.11</f>
        <v>1190808</v>
      </c>
      <c r="AW534" s="142">
        <f>IFERROR(VLOOKUP(Table43[[#This Row],[Kode Pcpl]],'[1]FEB 2026'!$A$3:$X$312,24,0),0)</f>
        <v>0</v>
      </c>
      <c r="AX534" s="142">
        <f>Table43[[#This Row],[Harga Jual Pcs MT
(-PPN)]]*Table43[[#This Row],[ISI/CTN]]</f>
        <v>0</v>
      </c>
      <c r="AY534" s="142">
        <f>Table43[[#This Row],[Harga Jual Pcs MT
(-PPN)]]*1.11</f>
        <v>0</v>
      </c>
      <c r="AZ534" s="142">
        <f>Table43[[#This Row],[Harga Jual Pcs MT
(+PPN)]]*Table43[[#This Row],[ISI/CTN]]</f>
        <v>0</v>
      </c>
      <c r="BA534" s="143">
        <f>(Table43[[#This Row],[Harga Jual Pcs GT
(-PPN)]]-Table43[[#This Row],[Harga Beli Pcs
(-PPN)]])/Table43[[#This Row],[Harga Jual Pcs GT
(-PPN)]]</f>
        <v>6.5000000000000002E-2</v>
      </c>
      <c r="BB534" s="144">
        <f>Table43[[#This Row],[Harga Jual Pcs MT
(-PPN)]]-Table43[[#This Row],[Harga Beli Pcs
(-PPN)]]</f>
        <v>-13931.5</v>
      </c>
      <c r="BC534" s="145" t="e">
        <f>Table43[[#This Row],[Column1]]/Table43[[#This Row],[Harga Jual Pcs MT
(-PPN)]]</f>
        <v>#DIV/0!</v>
      </c>
      <c r="BD534" s="138"/>
      <c r="BE534" s="129"/>
      <c r="BF534" s="129" t="str">
        <f ca="1">IF(TODAY()-Table43[[#This Row],[Efektif
Pembuatan]]&gt;60,"Lama","Baru")</f>
        <v>Lama</v>
      </c>
      <c r="BG534" s="129" t="str">
        <f ca="1">IF(TODAY()-Table43[[#This Row],[Efektif Naik Harga]]&lt;30,"Naik","Sama")</f>
        <v>Sama</v>
      </c>
      <c r="BH534" s="129"/>
      <c r="BI534" s="129" t="str">
        <f>IF(Table43[[#This Row],[Kode BARANG Win2]]&lt;&gt;"","IDR","")</f>
        <v>IDR</v>
      </c>
      <c r="BJ534" s="129" t="str">
        <f>CONCATENATE(Table43[[#This Row],[kode  1 Digit
(Nomor)]],Table43[[#This Row],[kode  4 Digit                (Nomor)]])</f>
        <v>0000</v>
      </c>
      <c r="BK534" s="129">
        <f>Table43[[#This Row],[Nama            Gramasi atau Jumlah Pack per CTN]]</f>
        <v>0</v>
      </c>
      <c r="BL534" s="129"/>
      <c r="BM534" s="129"/>
      <c r="BN534" s="128" t="str">
        <f>IF(Table43[[#This Row],[SATUAN Fix Win]]&lt;&gt;"","KRT")</f>
        <v>KRT</v>
      </c>
      <c r="BO534" s="128" t="str">
        <f>IF(Table43[[#This Row],[SATUAN Fix Win]]&lt;&gt;"","GD01")</f>
        <v>GD01</v>
      </c>
      <c r="BP534" s="128">
        <f>IF(Table43[[#This Row],[SATUAN Fix Win]]&lt;&gt;"",11611)</f>
        <v>11611</v>
      </c>
      <c r="BQ534" s="128">
        <f>IF(Table43[[#This Row],[SATUAN Fix Win]]&lt;&gt;"",11612)</f>
        <v>11612</v>
      </c>
      <c r="BR534" s="128"/>
      <c r="BS534" s="128">
        <f>IF(Table43[[#This Row],[SATUAN Fix Win]]&lt;&gt;"",1)</f>
        <v>1</v>
      </c>
      <c r="BT534" s="128"/>
      <c r="BU534" s="128">
        <f>Table43[[#This Row],[ISI/CTN]]</f>
        <v>72</v>
      </c>
      <c r="BV534" s="128"/>
      <c r="BW534" s="128"/>
    </row>
    <row r="535" spans="1:75" s="139" customFormat="1">
      <c r="A535" s="128" t="str">
        <f>CONCATENATE(Table43[[#This Row],[Kode BARANG Win2]],Table43[[#This Row],[No. Urut
Item Sama]])</f>
        <v>G1264104000010</v>
      </c>
      <c r="B535" s="129"/>
      <c r="C535" s="130"/>
      <c r="D535" s="140">
        <v>40011642</v>
      </c>
      <c r="E535" s="141"/>
      <c r="F535" s="140"/>
      <c r="G535" s="140"/>
      <c r="H535" s="141"/>
      <c r="I535" s="141">
        <v>72</v>
      </c>
      <c r="J535" s="131" t="s">
        <v>1802</v>
      </c>
      <c r="K535" s="141" t="str">
        <f>Table43[[#This Row],[NamaJenisKemasan]]</f>
        <v>PCS</v>
      </c>
      <c r="L535" s="128" t="str">
        <f>TRIM(CONCATENATE(Table43[[#This Row],[Nama            KLP]]," ",Table43[[#This Row],[Nama            Sub KLP]]))</f>
        <v>STELLA DAILY FRESH</v>
      </c>
      <c r="M535" s="128" t="str">
        <f>CONCATENATE(Table43[[#This Row],[kode  2 Digit                (hrf+No)]],Table43[[#This Row],[kode  2 Digit                (Nomor)]],Table43[[#This Row],[kode  1 Digit                (Nomor)]])</f>
        <v>G1264</v>
      </c>
      <c r="N535" s="128" t="str">
        <f>IF(AI535="",CONCATENATE(S535,U535,W535,Y535,AA535,AC535,AE535,AG535,Table43[[#This Row],[Tanda Kode Revisi]]),CONCATENATE(S535,U535,W535,Y535,AA535,AC535,AE535,AI535))</f>
        <v>G1264104000010</v>
      </c>
      <c r="O535" s="132">
        <f>LEN(N535)</f>
        <v>14</v>
      </c>
      <c r="P535" s="133" t="str">
        <f>IF(AH535&lt;&gt;"",TRIM(UPPER(CONCATENATE(R535," ",T535," ",V535," ",X535," ",Z535," ",AB535," ","X"," ",Table43[[#This Row],[ISI/CTN]]," ",AH535," ",AD535," ",AF535," ",AJ535))),TRIM(UPPER(CONCATENATE(R535," ",T535," ",V535," ",X535," ",Z535," ",AB535," ","X"," ",Table43[[#This Row],[ISI/CTN]]," ",AD535," ",AF535," ",AJ535))))</f>
        <v>STELLA DAILY FRESH CAR+INDOOR ORANGE MTP X 72 PCS</v>
      </c>
      <c r="Q535" s="132">
        <f>LEN(P535)</f>
        <v>49</v>
      </c>
      <c r="R535" s="128"/>
      <c r="S535" s="129" t="s">
        <v>34</v>
      </c>
      <c r="T535" s="128" t="s">
        <v>2421</v>
      </c>
      <c r="U535" s="134" t="s">
        <v>2584</v>
      </c>
      <c r="V535" s="135" t="s">
        <v>2423</v>
      </c>
      <c r="W535" s="129">
        <v>4</v>
      </c>
      <c r="X535" s="135" t="s">
        <v>2434</v>
      </c>
      <c r="Y535" s="134" t="s">
        <v>2539</v>
      </c>
      <c r="Z535" s="128" t="s">
        <v>3467</v>
      </c>
      <c r="AA535" s="136" t="s">
        <v>2540</v>
      </c>
      <c r="AB535" s="128"/>
      <c r="AC535" s="136" t="s">
        <v>2460</v>
      </c>
      <c r="AD535" s="128" t="s">
        <v>185</v>
      </c>
      <c r="AE535" s="129">
        <v>1</v>
      </c>
      <c r="AF535" s="128"/>
      <c r="AG535" s="129">
        <v>0</v>
      </c>
      <c r="AH535" s="129"/>
      <c r="AI535" s="129"/>
      <c r="AJ535" s="129"/>
      <c r="AK535" s="137">
        <f>Table43[[#This Row],[Column4]]</f>
        <v>0</v>
      </c>
      <c r="AL535" s="129"/>
      <c r="AM535" s="129"/>
      <c r="AN535" s="129">
        <f>Table43[[#This Row],[ISI/CTN]]</f>
        <v>72</v>
      </c>
      <c r="AO535" s="142">
        <f>Table43[[#This Row],[Harga Jual Pcs GT
(-PPN)]]-(Table43[[#This Row],[Harga Jual Pcs GT
(-PPN)]]*6.5%)</f>
        <v>0</v>
      </c>
      <c r="AP535" s="142">
        <f>Table43[[#This Row],[Harga Beli Pcs
(-PPN)]]*Table43[[#This Row],[ISI/CTN]]</f>
        <v>0</v>
      </c>
      <c r="AQ535" s="142">
        <f>Table43[[#This Row],[Harga Beli Pcs
(-PPN)]]*1.11</f>
        <v>0</v>
      </c>
      <c r="AR535" s="142">
        <f>Table43[[#This Row],[Harga Beli Krt
(- PPN)]]*1.11</f>
        <v>0</v>
      </c>
      <c r="AS535" s="142"/>
      <c r="AT535" s="142">
        <f>Table43[[#This Row],[Harga Jual Pcs GT
(-PPN)]]*Table43[[#This Row],[ISI/CTN]]</f>
        <v>0</v>
      </c>
      <c r="AU535" s="142">
        <f>Table43[[#This Row],[Harga Jual Pcs GT
(-PPN)]]*1.11</f>
        <v>0</v>
      </c>
      <c r="AV535" s="142">
        <f>Table43[[#This Row],[Harga Jual Krt GT
(- PPN)]]*1.11</f>
        <v>0</v>
      </c>
      <c r="AW535" s="142">
        <f>IFERROR(VLOOKUP(Table43[[#This Row],[Kode Pcpl]],'[1]FEB 2026'!$A$3:$X$312,24,0),0)</f>
        <v>0</v>
      </c>
      <c r="AX535" s="142">
        <f>Table43[[#This Row],[Harga Jual Pcs MT
(-PPN)]]*Table43[[#This Row],[ISI/CTN]]</f>
        <v>0</v>
      </c>
      <c r="AY535" s="142">
        <f>Table43[[#This Row],[Harga Jual Pcs MT
(-PPN)]]*1.11</f>
        <v>0</v>
      </c>
      <c r="AZ535" s="142">
        <f>Table43[[#This Row],[Harga Jual Pcs MT
(+PPN)]]*Table43[[#This Row],[ISI/CTN]]</f>
        <v>0</v>
      </c>
      <c r="BA535" s="143" t="e">
        <f>(Table43[[#This Row],[Harga Jual Pcs GT
(-PPN)]]-Table43[[#This Row],[Harga Beli Pcs
(-PPN)]])/Table43[[#This Row],[Harga Jual Pcs GT
(-PPN)]]</f>
        <v>#DIV/0!</v>
      </c>
      <c r="BB535" s="144">
        <f>Table43[[#This Row],[Harga Jual Pcs MT
(-PPN)]]-Table43[[#This Row],[Harga Beli Pcs
(-PPN)]]</f>
        <v>0</v>
      </c>
      <c r="BC535" s="145" t="e">
        <f>Table43[[#This Row],[Column1]]/Table43[[#This Row],[Harga Jual Pcs MT
(-PPN)]]</f>
        <v>#DIV/0!</v>
      </c>
      <c r="BD535" s="138"/>
      <c r="BE535" s="129"/>
      <c r="BF535" s="129" t="str">
        <f ca="1">IF(TODAY()-Table43[[#This Row],[Efektif
Pembuatan]]&gt;60,"Lama","Baru")</f>
        <v>Lama</v>
      </c>
      <c r="BG535" s="129" t="str">
        <f ca="1">IF(TODAY()-Table43[[#This Row],[Efektif Naik Harga]]&lt;30,"Naik","Sama")</f>
        <v>Sama</v>
      </c>
      <c r="BH535" s="129"/>
      <c r="BI535" s="129" t="str">
        <f>IF(Table43[[#This Row],[Kode BARANG Win2]]&lt;&gt;"","IDR","")</f>
        <v>IDR</v>
      </c>
      <c r="BJ535" s="129" t="str">
        <f>CONCATENATE(Table43[[#This Row],[kode  1 Digit
(Nomor)]],Table43[[#This Row],[kode  4 Digit                (Nomor)]])</f>
        <v>0000</v>
      </c>
      <c r="BK535" s="129">
        <f>Table43[[#This Row],[Nama            Gramasi atau Jumlah Pack per CTN]]</f>
        <v>0</v>
      </c>
      <c r="BL535" s="129"/>
      <c r="BM535" s="129"/>
      <c r="BN535" s="128" t="str">
        <f>IF(Table43[[#This Row],[SATUAN Fix Win]]&lt;&gt;"","KRT")</f>
        <v>KRT</v>
      </c>
      <c r="BO535" s="128" t="str">
        <f>IF(Table43[[#This Row],[SATUAN Fix Win]]&lt;&gt;"","GD01")</f>
        <v>GD01</v>
      </c>
      <c r="BP535" s="128">
        <f>IF(Table43[[#This Row],[SATUAN Fix Win]]&lt;&gt;"",11611)</f>
        <v>11611</v>
      </c>
      <c r="BQ535" s="128">
        <f>IF(Table43[[#This Row],[SATUAN Fix Win]]&lt;&gt;"",11612)</f>
        <v>11612</v>
      </c>
      <c r="BR535" s="128"/>
      <c r="BS535" s="128">
        <f>IF(Table43[[#This Row],[SATUAN Fix Win]]&lt;&gt;"",1)</f>
        <v>1</v>
      </c>
      <c r="BT535" s="128"/>
      <c r="BU535" s="128">
        <f>Table43[[#This Row],[ISI/CTN]]</f>
        <v>72</v>
      </c>
      <c r="BV535" s="128"/>
      <c r="BW535" s="128"/>
    </row>
    <row r="536" spans="1:75">
      <c r="A536" s="4" t="str">
        <f>CONCATENATE(Table43[[#This Row],[Kode BARANG Win2]],Table43[[#This Row],[No. Urut
Item Sama]])</f>
        <v>G1264105000010</v>
      </c>
      <c r="B536" s="7"/>
      <c r="C536" s="31">
        <v>30590050021000</v>
      </c>
      <c r="D536" s="51">
        <v>40058510</v>
      </c>
      <c r="E536" s="27" t="s">
        <v>2135</v>
      </c>
      <c r="F536" s="51">
        <v>30550100007000</v>
      </c>
      <c r="G536" s="51">
        <v>0</v>
      </c>
      <c r="H536" s="27" t="s">
        <v>1463</v>
      </c>
      <c r="I536" s="27">
        <v>72</v>
      </c>
      <c r="J536" s="51" t="s">
        <v>1803</v>
      </c>
      <c r="K536" s="27" t="str">
        <f>Table43[[#This Row],[NamaJenisKemasan]]</f>
        <v>PCS</v>
      </c>
      <c r="L536" s="4" t="str">
        <f>TRIM(CONCATENATE(Table43[[#This Row],[Nama            KLP]]," ",Table43[[#This Row],[Nama            Sub KLP]]))</f>
        <v>STELLA DAILY FRESH</v>
      </c>
      <c r="M536" s="4" t="str">
        <f>CONCATENATE(Table43[[#This Row],[kode  2 Digit                (hrf+No)]],Table43[[#This Row],[kode  2 Digit                (Nomor)]],Table43[[#This Row],[kode  1 Digit                (Nomor)]])</f>
        <v>G1264</v>
      </c>
      <c r="N536" s="4" t="str">
        <f>IF(AI536="",CONCATENATE(S536,U536,W536,Y536,AA536,AC536,AE536,AG536,Table43[[#This Row],[Tanda Kode Revisi]]),CONCATENATE(S536,U536,W536,Y536,AA536,AC536,AE536,AI536))</f>
        <v>G1264105000010</v>
      </c>
      <c r="O536" s="11">
        <f t="shared" si="14"/>
        <v>14</v>
      </c>
      <c r="P536" s="14" t="str">
        <f>IF(AH536&lt;&gt;"",TRIM(UPPER(CONCATENATE(R536," ",T536," ",V536," ",X536," ",Z536," ",AB536," ","X"," ",Table43[[#This Row],[ISI/CTN]]," ",AH536," ",AD536," ",AF536," ",AJ536))),TRIM(UPPER(CONCATENATE(R536," ",T536," ",V536," ",X536," ",Z536," ",AB536," ","X"," ",Table43[[#This Row],[ISI/CTN]]," ",AD536," ",AF536," ",AJ536))))</f>
        <v>STELLA DAILY FRESH CAR+INDOOR ROSE KISS X 72 PCS</v>
      </c>
      <c r="Q536" s="11">
        <f t="shared" si="15"/>
        <v>48</v>
      </c>
      <c r="S536" s="7" t="s">
        <v>34</v>
      </c>
      <c r="T536" s="4" t="s">
        <v>2421</v>
      </c>
      <c r="U536" s="47" t="s">
        <v>2584</v>
      </c>
      <c r="V536" s="48" t="s">
        <v>2423</v>
      </c>
      <c r="W536" s="7">
        <v>4</v>
      </c>
      <c r="X536" s="48" t="s">
        <v>2434</v>
      </c>
      <c r="Y536" s="47" t="s">
        <v>2539</v>
      </c>
      <c r="Z536" s="4" t="s">
        <v>2453</v>
      </c>
      <c r="AA536" s="49" t="s">
        <v>2541</v>
      </c>
      <c r="AC536" s="49" t="s">
        <v>2460</v>
      </c>
      <c r="AD536" s="4" t="s">
        <v>185</v>
      </c>
      <c r="AE536" s="7">
        <v>1</v>
      </c>
      <c r="AG536" s="7">
        <v>0</v>
      </c>
      <c r="AK536" s="70">
        <f>Table43[[#This Row],[Column4]]</f>
        <v>30550100007000</v>
      </c>
      <c r="AN536" s="7">
        <f>Table43[[#This Row],[ISI/CTN]]</f>
        <v>72</v>
      </c>
      <c r="AO536" s="38">
        <f>Table43[[#This Row],[Harga Jual Pcs GT
(-PPN)]]-(Table43[[#This Row],[Harga Jual Pcs GT
(-PPN)]]*6.5%)</f>
        <v>11668.8</v>
      </c>
      <c r="AP536" s="38">
        <f>Table43[[#This Row],[Harga Beli Pcs
(-PPN)]]*Table43[[#This Row],[ISI/CTN]]</f>
        <v>840153.59999999998</v>
      </c>
      <c r="AQ536" s="38">
        <f>Table43[[#This Row],[Harga Beli Pcs
(-PPN)]]*1.11</f>
        <v>12952.368</v>
      </c>
      <c r="AR536" s="38">
        <f>Table43[[#This Row],[Harga Beli Krt
(- PPN)]]*1.11</f>
        <v>932570.49600000004</v>
      </c>
      <c r="AS536" s="38">
        <v>12480</v>
      </c>
      <c r="AT536" s="38">
        <f>Table43[[#This Row],[Harga Jual Pcs GT
(-PPN)]]*Table43[[#This Row],[ISI/CTN]]</f>
        <v>898560</v>
      </c>
      <c r="AU536" s="38">
        <f>Table43[[#This Row],[Harga Jual Pcs GT
(-PPN)]]*1.11</f>
        <v>13852.800000000001</v>
      </c>
      <c r="AV536" s="38">
        <f>Table43[[#This Row],[Harga Jual Krt GT
(- PPN)]]*1.11</f>
        <v>997401.60000000009</v>
      </c>
      <c r="AW536" s="38">
        <f>IFERROR(VLOOKUP(Table43[[#This Row],[Kode Pcpl]],'[1]FEB 2026'!$A$3:$X$312,24,0),0)</f>
        <v>0</v>
      </c>
      <c r="AX536" s="38">
        <f>Table43[[#This Row],[Harga Jual Pcs MT
(-PPN)]]*Table43[[#This Row],[ISI/CTN]]</f>
        <v>0</v>
      </c>
      <c r="AY536" s="38">
        <f>Table43[[#This Row],[Harga Jual Pcs MT
(-PPN)]]*1.11</f>
        <v>0</v>
      </c>
      <c r="AZ536" s="38">
        <f>Table43[[#This Row],[Harga Jual Pcs MT
(+PPN)]]*Table43[[#This Row],[ISI/CTN]]</f>
        <v>0</v>
      </c>
      <c r="BA536" s="46">
        <f>(Table43[[#This Row],[Harga Jual Pcs GT
(-PPN)]]-Table43[[#This Row],[Harga Beli Pcs
(-PPN)]])/Table43[[#This Row],[Harga Jual Pcs GT
(-PPN)]]</f>
        <v>6.5000000000000058E-2</v>
      </c>
      <c r="BB536" s="53">
        <f>Table43[[#This Row],[Harga Jual Pcs MT
(-PPN)]]-Table43[[#This Row],[Harga Beli Pcs
(-PPN)]]</f>
        <v>-11668.8</v>
      </c>
      <c r="BC536" s="54" t="e">
        <f>Table43[[#This Row],[Column1]]/Table43[[#This Row],[Harga Jual Pcs MT
(-PPN)]]</f>
        <v>#DIV/0!</v>
      </c>
      <c r="BD536" s="52"/>
      <c r="BE536" s="7"/>
      <c r="BF536" s="7" t="str">
        <f ca="1">IF(TODAY()-Table43[[#This Row],[Efektif
Pembuatan]]&gt;60,"Lama","Baru")</f>
        <v>Lama</v>
      </c>
      <c r="BG536" s="7" t="str">
        <f ca="1">IF(TODAY()-Table43[[#This Row],[Efektif Naik Harga]]&lt;30,"Naik","Sama")</f>
        <v>Sama</v>
      </c>
      <c r="BH536" s="7"/>
      <c r="BI536" s="7" t="str">
        <f>IF(Table43[[#This Row],[Kode BARANG Win2]]&lt;&gt;"","IDR","")</f>
        <v>IDR</v>
      </c>
      <c r="BJ536" s="7" t="str">
        <f>CONCATENATE(Table43[[#This Row],[kode  1 Digit
(Nomor)]],Table43[[#This Row],[kode  4 Digit                (Nomor)]])</f>
        <v>0000</v>
      </c>
      <c r="BK536" s="7">
        <f>Table43[[#This Row],[Nama            Gramasi atau Jumlah Pack per CTN]]</f>
        <v>0</v>
      </c>
      <c r="BL536" s="7"/>
      <c r="BM536" s="7"/>
      <c r="BN536" s="4" t="str">
        <f>IF(Table43[[#This Row],[SATUAN Fix Win]]&lt;&gt;"","KRT")</f>
        <v>KRT</v>
      </c>
      <c r="BO536" s="4" t="str">
        <f>IF(Table43[[#This Row],[SATUAN Fix Win]]&lt;&gt;"","GD01")</f>
        <v>GD01</v>
      </c>
      <c r="BP536" s="4">
        <f>IF(Table43[[#This Row],[SATUAN Fix Win]]&lt;&gt;"",11611)</f>
        <v>11611</v>
      </c>
      <c r="BQ536" s="4">
        <f>IF(Table43[[#This Row],[SATUAN Fix Win]]&lt;&gt;"",11612)</f>
        <v>11612</v>
      </c>
      <c r="BS536" s="4">
        <f>IF(Table43[[#This Row],[SATUAN Fix Win]]&lt;&gt;"",1)</f>
        <v>1</v>
      </c>
      <c r="BU536" s="4">
        <f>Table43[[#This Row],[ISI/CTN]]</f>
        <v>72</v>
      </c>
    </row>
    <row r="537" spans="1:75">
      <c r="A537" s="4" t="str">
        <f>CONCATENATE(Table43[[#This Row],[Kode BARANG Win2]],Table43[[#This Row],[No. Urut
Item Sama]])</f>
        <v>G1264105000010</v>
      </c>
      <c r="B537" s="7"/>
      <c r="C537" s="31">
        <v>30590040021001</v>
      </c>
      <c r="D537" s="59">
        <v>40049690</v>
      </c>
      <c r="E537" s="60" t="s">
        <v>2134</v>
      </c>
      <c r="F537" s="51">
        <v>30550060007000</v>
      </c>
      <c r="G537" s="59">
        <v>0</v>
      </c>
      <c r="H537" s="60" t="s">
        <v>1462</v>
      </c>
      <c r="I537" s="60">
        <v>72</v>
      </c>
      <c r="J537" s="59" t="s">
        <v>1803</v>
      </c>
      <c r="K537" s="60" t="str">
        <f>Table43[[#This Row],[NamaJenisKemasan]]</f>
        <v>PCS</v>
      </c>
      <c r="L537" s="4" t="str">
        <f>TRIM(CONCATENATE(Table43[[#This Row],[Nama            KLP]]," ",Table43[[#This Row],[Nama            Sub KLP]]))</f>
        <v>STELLA DAILY FRESH</v>
      </c>
      <c r="M537" s="4" t="str">
        <f>CONCATENATE(Table43[[#This Row],[kode  2 Digit                (hrf+No)]],Table43[[#This Row],[kode  2 Digit                (Nomor)]],Table43[[#This Row],[kode  1 Digit                (Nomor)]])</f>
        <v>G1264</v>
      </c>
      <c r="N537" s="4" t="str">
        <f>IF(AI537="",CONCATENATE(S537,U537,W537,Y537,AA537,AC537,AE537,AG537,Table43[[#This Row],[Tanda Kode Revisi]]),CONCATENATE(S537,U537,W537,Y537,AA537,AC537,AE537,AI537))</f>
        <v>G1264105000010</v>
      </c>
      <c r="O537" s="11">
        <f t="shared" si="14"/>
        <v>14</v>
      </c>
      <c r="P537" s="14" t="str">
        <f>IF(AH537&lt;&gt;"",TRIM(UPPER(CONCATENATE(R537," ",T537," ",V537," ",X537," ",Z537," ",AB537," ","X"," ",Table43[[#This Row],[ISI/CTN]]," ",AH537," ",AD537," ",AF537," ",AJ537))),TRIM(UPPER(CONCATENATE(R537," ",T537," ",V537," ",X537," ",Z537," ",AB537," ","X"," ",Table43[[#This Row],[ISI/CTN]]," ",AD537," ",AF537," ",AJ537))))</f>
        <v>STELLA DAILY FRESH CAR+INDOOR ROSE KISS X 72 PCS</v>
      </c>
      <c r="Q537" s="11">
        <f t="shared" si="15"/>
        <v>48</v>
      </c>
      <c r="S537" s="7" t="s">
        <v>34</v>
      </c>
      <c r="T537" s="4" t="s">
        <v>2421</v>
      </c>
      <c r="U537" s="47" t="s">
        <v>2584</v>
      </c>
      <c r="V537" s="48" t="s">
        <v>2423</v>
      </c>
      <c r="W537" s="7">
        <v>4</v>
      </c>
      <c r="X537" s="48" t="s">
        <v>2434</v>
      </c>
      <c r="Y537" s="47" t="s">
        <v>2539</v>
      </c>
      <c r="Z537" s="4" t="s">
        <v>2453</v>
      </c>
      <c r="AA537" s="49" t="s">
        <v>2541</v>
      </c>
      <c r="AC537" s="49" t="s">
        <v>2460</v>
      </c>
      <c r="AD537" s="4" t="s">
        <v>185</v>
      </c>
      <c r="AE537" s="7">
        <v>1</v>
      </c>
      <c r="AG537" s="7">
        <v>0</v>
      </c>
      <c r="AK537" s="70">
        <f>Table43[[#This Row],[Column4]]</f>
        <v>30550060007000</v>
      </c>
      <c r="AN537" s="7">
        <f>Table43[[#This Row],[ISI/CTN]]</f>
        <v>72</v>
      </c>
      <c r="AO537" s="38">
        <f>Table43[[#This Row],[Harga Jual Pcs GT
(-PPN)]]-(Table43[[#This Row],[Harga Jual Pcs GT
(-PPN)]]*6.5%)</f>
        <v>11668.8</v>
      </c>
      <c r="AP537" s="38">
        <f>Table43[[#This Row],[Harga Beli Pcs
(-PPN)]]*Table43[[#This Row],[ISI/CTN]]</f>
        <v>840153.59999999998</v>
      </c>
      <c r="AQ537" s="38">
        <f>Table43[[#This Row],[Harga Beli Pcs
(-PPN)]]*1.11</f>
        <v>12952.368</v>
      </c>
      <c r="AR537" s="38">
        <f>Table43[[#This Row],[Harga Beli Krt
(- PPN)]]*1.11</f>
        <v>932570.49600000004</v>
      </c>
      <c r="AS537" s="38">
        <v>12480</v>
      </c>
      <c r="AT537" s="38">
        <f>Table43[[#This Row],[Harga Jual Pcs GT
(-PPN)]]*Table43[[#This Row],[ISI/CTN]]</f>
        <v>898560</v>
      </c>
      <c r="AU537" s="38">
        <f>Table43[[#This Row],[Harga Jual Pcs GT
(-PPN)]]*1.11</f>
        <v>13852.800000000001</v>
      </c>
      <c r="AV537" s="38">
        <f>Table43[[#This Row],[Harga Jual Krt GT
(- PPN)]]*1.11</f>
        <v>997401.60000000009</v>
      </c>
      <c r="AW537" s="38">
        <f>IFERROR(VLOOKUP(Table43[[#This Row],[Kode Pcpl]],'[1]FEB 2026'!$A$3:$X$312,24,0),0)</f>
        <v>0</v>
      </c>
      <c r="AX537" s="38">
        <f>Table43[[#This Row],[Harga Jual Pcs MT
(-PPN)]]*Table43[[#This Row],[ISI/CTN]]</f>
        <v>0</v>
      </c>
      <c r="AY537" s="38">
        <f>Table43[[#This Row],[Harga Jual Pcs MT
(-PPN)]]*1.11</f>
        <v>0</v>
      </c>
      <c r="AZ537" s="38">
        <f>Table43[[#This Row],[Harga Jual Pcs MT
(+PPN)]]*Table43[[#This Row],[ISI/CTN]]</f>
        <v>0</v>
      </c>
      <c r="BA537" s="46">
        <f>(Table43[[#This Row],[Harga Jual Pcs GT
(-PPN)]]-Table43[[#This Row],[Harga Beli Pcs
(-PPN)]])/Table43[[#This Row],[Harga Jual Pcs GT
(-PPN)]]</f>
        <v>6.5000000000000058E-2</v>
      </c>
      <c r="BB537" s="53">
        <f>Table43[[#This Row],[Harga Jual Pcs MT
(-PPN)]]-Table43[[#This Row],[Harga Beli Pcs
(-PPN)]]</f>
        <v>-11668.8</v>
      </c>
      <c r="BC537" s="54" t="e">
        <f>Table43[[#This Row],[Column1]]/Table43[[#This Row],[Harga Jual Pcs MT
(-PPN)]]</f>
        <v>#DIV/0!</v>
      </c>
      <c r="BD537" s="52"/>
      <c r="BE537" s="7"/>
      <c r="BF537" s="7" t="str">
        <f ca="1">IF(TODAY()-Table43[[#This Row],[Efektif
Pembuatan]]&gt;60,"Lama","Baru")</f>
        <v>Lama</v>
      </c>
      <c r="BG537" s="7" t="str">
        <f ca="1">IF(TODAY()-Table43[[#This Row],[Efektif Naik Harga]]&lt;30,"Naik","Sama")</f>
        <v>Sama</v>
      </c>
      <c r="BH537" s="7"/>
      <c r="BI537" s="7" t="str">
        <f>IF(Table43[[#This Row],[Kode BARANG Win2]]&lt;&gt;"","IDR","")</f>
        <v>IDR</v>
      </c>
      <c r="BJ537" s="7" t="str">
        <f>CONCATENATE(Table43[[#This Row],[kode  1 Digit
(Nomor)]],Table43[[#This Row],[kode  4 Digit                (Nomor)]])</f>
        <v>0000</v>
      </c>
      <c r="BK537" s="7">
        <f>Table43[[#This Row],[Nama            Gramasi atau Jumlah Pack per CTN]]</f>
        <v>0</v>
      </c>
      <c r="BL537" s="7"/>
      <c r="BM537" s="7"/>
      <c r="BN537" s="4" t="str">
        <f>IF(Table43[[#This Row],[SATUAN Fix Win]]&lt;&gt;"","KRT")</f>
        <v>KRT</v>
      </c>
      <c r="BO537" s="4" t="str">
        <f>IF(Table43[[#This Row],[SATUAN Fix Win]]&lt;&gt;"","GD01")</f>
        <v>GD01</v>
      </c>
      <c r="BP537" s="4">
        <f>IF(Table43[[#This Row],[SATUAN Fix Win]]&lt;&gt;"",11611)</f>
        <v>11611</v>
      </c>
      <c r="BQ537" s="4">
        <f>IF(Table43[[#This Row],[SATUAN Fix Win]]&lt;&gt;"",11612)</f>
        <v>11612</v>
      </c>
      <c r="BS537" s="4">
        <f>IF(Table43[[#This Row],[SATUAN Fix Win]]&lt;&gt;"",1)</f>
        <v>1</v>
      </c>
      <c r="BU537" s="4">
        <f>Table43[[#This Row],[ISI/CTN]]</f>
        <v>72</v>
      </c>
    </row>
    <row r="538" spans="1:75">
      <c r="A538" s="4" t="str">
        <f>CONCATENATE(Table43[[#This Row],[Kode BARANG Win2]],Table43[[#This Row],[No. Urut
Item Sama]])</f>
        <v>G1264105000010</v>
      </c>
      <c r="B538" s="7"/>
      <c r="C538" s="31"/>
      <c r="D538" s="51">
        <v>40011641</v>
      </c>
      <c r="E538" s="27"/>
      <c r="F538" s="51"/>
      <c r="G538" s="51"/>
      <c r="H538" s="27"/>
      <c r="I538" s="27">
        <v>72</v>
      </c>
      <c r="J538" s="51" t="s">
        <v>1803</v>
      </c>
      <c r="K538" s="27" t="str">
        <f>Table43[[#This Row],[NamaJenisKemasan]]</f>
        <v>PCS</v>
      </c>
      <c r="L538" s="4" t="str">
        <f>TRIM(CONCATENATE(Table43[[#This Row],[Nama            KLP]]," ",Table43[[#This Row],[Nama            Sub KLP]]))</f>
        <v>STELLA DAILY FRESH</v>
      </c>
      <c r="M538" s="4" t="str">
        <f>CONCATENATE(Table43[[#This Row],[kode  2 Digit                (hrf+No)]],Table43[[#This Row],[kode  2 Digit                (Nomor)]],Table43[[#This Row],[kode  1 Digit                (Nomor)]])</f>
        <v>G1264</v>
      </c>
      <c r="N538" s="4" t="str">
        <f>IF(AI538="",CONCATENATE(S538,U538,W538,Y538,AA538,AC538,AE538,AG538,Table43[[#This Row],[Tanda Kode Revisi]]),CONCATENATE(S538,U538,W538,Y538,AA538,AC538,AE538,AI538))</f>
        <v>G1264105000010</v>
      </c>
      <c r="O538" s="11">
        <f t="shared" si="14"/>
        <v>14</v>
      </c>
      <c r="P538" s="14" t="str">
        <f>IF(AH538&lt;&gt;"",TRIM(UPPER(CONCATENATE(R538," ",T538," ",V538," ",X538," ",Z538," ",AB538," ","X"," ",Table43[[#This Row],[ISI/CTN]]," ",AH538," ",AD538," ",AF538," ",AJ538))),TRIM(UPPER(CONCATENATE(R538," ",T538," ",V538," ",X538," ",Z538," ",AB538," ","X"," ",Table43[[#This Row],[ISI/CTN]]," ",AD538," ",AF538," ",AJ538))))</f>
        <v>STELLA DAILY FRESH CAR+INDOOR ROSE KISS X 72 PCS</v>
      </c>
      <c r="Q538" s="11">
        <f t="shared" si="15"/>
        <v>48</v>
      </c>
      <c r="S538" s="7" t="s">
        <v>34</v>
      </c>
      <c r="T538" s="4" t="s">
        <v>2421</v>
      </c>
      <c r="U538" s="47" t="s">
        <v>2584</v>
      </c>
      <c r="V538" s="48" t="s">
        <v>2423</v>
      </c>
      <c r="W538" s="7">
        <v>4</v>
      </c>
      <c r="X538" s="48" t="s">
        <v>2434</v>
      </c>
      <c r="Y538" s="47" t="s">
        <v>2539</v>
      </c>
      <c r="Z538" s="4" t="s">
        <v>2453</v>
      </c>
      <c r="AA538" s="49" t="s">
        <v>2541</v>
      </c>
      <c r="AC538" s="49" t="s">
        <v>2460</v>
      </c>
      <c r="AD538" s="4" t="s">
        <v>185</v>
      </c>
      <c r="AE538" s="7">
        <v>1</v>
      </c>
      <c r="AG538" s="7">
        <v>0</v>
      </c>
      <c r="AK538" s="70">
        <f>Table43[[#This Row],[Column4]]</f>
        <v>0</v>
      </c>
      <c r="AN538" s="7">
        <f>Table43[[#This Row],[ISI/CTN]]</f>
        <v>72</v>
      </c>
      <c r="AO538" s="38">
        <f>Table43[[#This Row],[Harga Jual Pcs GT
(-PPN)]]-(Table43[[#This Row],[Harga Jual Pcs GT
(-PPN)]]*6.5%)</f>
        <v>11668.8</v>
      </c>
      <c r="AP538" s="38">
        <f>Table43[[#This Row],[Harga Beli Pcs
(-PPN)]]*Table43[[#This Row],[ISI/CTN]]</f>
        <v>840153.59999999998</v>
      </c>
      <c r="AQ538" s="38">
        <f>Table43[[#This Row],[Harga Beli Pcs
(-PPN)]]*1.11</f>
        <v>12952.368</v>
      </c>
      <c r="AR538" s="38">
        <f>Table43[[#This Row],[Harga Beli Krt
(- PPN)]]*1.11</f>
        <v>932570.49600000004</v>
      </c>
      <c r="AS538" s="38">
        <v>12480</v>
      </c>
      <c r="AT538" s="38">
        <f>Table43[[#This Row],[Harga Jual Pcs GT
(-PPN)]]*Table43[[#This Row],[ISI/CTN]]</f>
        <v>898560</v>
      </c>
      <c r="AU538" s="38">
        <f>Table43[[#This Row],[Harga Jual Pcs GT
(-PPN)]]*1.11</f>
        <v>13852.800000000001</v>
      </c>
      <c r="AV538" s="38">
        <f>Table43[[#This Row],[Harga Jual Krt GT
(- PPN)]]*1.11</f>
        <v>997401.60000000009</v>
      </c>
      <c r="AW538" s="38">
        <f>IFERROR(VLOOKUP(Table43[[#This Row],[Kode Pcpl]],'[1]FEB 2026'!$A$3:$X$312,24,0),0)</f>
        <v>0</v>
      </c>
      <c r="AX538" s="38">
        <f>Table43[[#This Row],[Harga Jual Pcs MT
(-PPN)]]*Table43[[#This Row],[ISI/CTN]]</f>
        <v>0</v>
      </c>
      <c r="AY538" s="38">
        <f>Table43[[#This Row],[Harga Jual Pcs MT
(-PPN)]]*1.11</f>
        <v>0</v>
      </c>
      <c r="AZ538" s="38">
        <f>Table43[[#This Row],[Harga Jual Pcs MT
(+PPN)]]*Table43[[#This Row],[ISI/CTN]]</f>
        <v>0</v>
      </c>
      <c r="BA538" s="46">
        <f>(Table43[[#This Row],[Harga Jual Pcs GT
(-PPN)]]-Table43[[#This Row],[Harga Beli Pcs
(-PPN)]])/Table43[[#This Row],[Harga Jual Pcs GT
(-PPN)]]</f>
        <v>6.5000000000000058E-2</v>
      </c>
      <c r="BB538" s="53">
        <f>Table43[[#This Row],[Harga Jual Pcs MT
(-PPN)]]-Table43[[#This Row],[Harga Beli Pcs
(-PPN)]]</f>
        <v>-11668.8</v>
      </c>
      <c r="BC538" s="54" t="e">
        <f>Table43[[#This Row],[Column1]]/Table43[[#This Row],[Harga Jual Pcs MT
(-PPN)]]</f>
        <v>#DIV/0!</v>
      </c>
      <c r="BD538" s="52"/>
      <c r="BE538" s="7"/>
      <c r="BF538" s="7" t="str">
        <f ca="1">IF(TODAY()-Table43[[#This Row],[Efektif
Pembuatan]]&gt;60,"Lama","Baru")</f>
        <v>Lama</v>
      </c>
      <c r="BG538" s="7" t="str">
        <f ca="1">IF(TODAY()-Table43[[#This Row],[Efektif Naik Harga]]&lt;30,"Naik","Sama")</f>
        <v>Sama</v>
      </c>
      <c r="BH538" s="7"/>
      <c r="BI538" s="7" t="str">
        <f>IF(Table43[[#This Row],[Kode BARANG Win2]]&lt;&gt;"","IDR","")</f>
        <v>IDR</v>
      </c>
      <c r="BJ538" s="7" t="str">
        <f>CONCATENATE(Table43[[#This Row],[kode  1 Digit
(Nomor)]],Table43[[#This Row],[kode  4 Digit                (Nomor)]])</f>
        <v>0000</v>
      </c>
      <c r="BK538" s="7">
        <f>Table43[[#This Row],[Nama            Gramasi atau Jumlah Pack per CTN]]</f>
        <v>0</v>
      </c>
      <c r="BL538" s="7"/>
      <c r="BM538" s="7"/>
      <c r="BN538" s="4" t="str">
        <f>IF(Table43[[#This Row],[SATUAN Fix Win]]&lt;&gt;"","KRT")</f>
        <v>KRT</v>
      </c>
      <c r="BO538" s="4" t="str">
        <f>IF(Table43[[#This Row],[SATUAN Fix Win]]&lt;&gt;"","GD01")</f>
        <v>GD01</v>
      </c>
      <c r="BP538" s="4">
        <f>IF(Table43[[#This Row],[SATUAN Fix Win]]&lt;&gt;"",11611)</f>
        <v>11611</v>
      </c>
      <c r="BQ538" s="4">
        <f>IF(Table43[[#This Row],[SATUAN Fix Win]]&lt;&gt;"",11612)</f>
        <v>11612</v>
      </c>
      <c r="BS538" s="4">
        <f>IF(Table43[[#This Row],[SATUAN Fix Win]]&lt;&gt;"",1)</f>
        <v>1</v>
      </c>
      <c r="BU538" s="4">
        <f>Table43[[#This Row],[ISI/CTN]]</f>
        <v>72</v>
      </c>
    </row>
    <row r="539" spans="1:75">
      <c r="A539" s="4" t="str">
        <f>CONCATENATE(Table43[[#This Row],[Kode BARANG Win2]],Table43[[#This Row],[No. Urut
Item Sama]])</f>
        <v>G1264106000010</v>
      </c>
      <c r="B539" s="7"/>
      <c r="C539" s="31">
        <v>30590070000000</v>
      </c>
      <c r="D539" s="59">
        <v>40058513</v>
      </c>
      <c r="E539" s="60" t="s">
        <v>2131</v>
      </c>
      <c r="F539" s="59">
        <v>30550020007000</v>
      </c>
      <c r="G539" s="59">
        <v>0</v>
      </c>
      <c r="H539" s="60" t="s">
        <v>1457</v>
      </c>
      <c r="I539" s="60">
        <v>72</v>
      </c>
      <c r="J539" s="59" t="s">
        <v>1797</v>
      </c>
      <c r="K539" s="60" t="str">
        <f>Table43[[#This Row],[NamaJenisKemasan]]</f>
        <v>PCS</v>
      </c>
      <c r="L539" s="4" t="str">
        <f>TRIM(CONCATENATE(Table43[[#This Row],[Nama            KLP]]," ",Table43[[#This Row],[Nama            Sub KLP]]))</f>
        <v>STELLA DAILY FRESH</v>
      </c>
      <c r="M539" s="4" t="str">
        <f>CONCATENATE(Table43[[#This Row],[kode  2 Digit                (hrf+No)]],Table43[[#This Row],[kode  2 Digit                (Nomor)]],Table43[[#This Row],[kode  1 Digit                (Nomor)]])</f>
        <v>G1264</v>
      </c>
      <c r="N539" s="4" t="str">
        <f>IF(AI539="",CONCATENATE(S539,U539,W539,Y539,AA539,AC539,AE539,AG539,Table43[[#This Row],[Tanda Kode Revisi]]),CONCATENATE(S539,U539,W539,Y539,AA539,AC539,AE539,AI539))</f>
        <v>G1264106000010</v>
      </c>
      <c r="O539" s="11">
        <f t="shared" si="14"/>
        <v>14</v>
      </c>
      <c r="P539" s="14" t="str">
        <f>IF(AH539&lt;&gt;"",TRIM(UPPER(CONCATENATE(R539," ",T539," ",V539," ",X539," ",Z539," ",AB539," ","X"," ",Table43[[#This Row],[ISI/CTN]]," ",AH539," ",AD539," ",AF539," ",AJ539))),TRIM(UPPER(CONCATENATE(R539," ",T539," ",V539," ",X539," ",Z539," ",AB539," ","X"," ",Table43[[#This Row],[ISI/CTN]]," ",AD539," ",AF539," ",AJ539))))</f>
        <v>STELLA DAILY FRESH CAR+INDOOR VANILLA X 72 PCS</v>
      </c>
      <c r="Q539" s="11">
        <f t="shared" si="15"/>
        <v>46</v>
      </c>
      <c r="S539" s="7" t="s">
        <v>34</v>
      </c>
      <c r="T539" s="4" t="s">
        <v>2421</v>
      </c>
      <c r="U539" s="47" t="s">
        <v>2584</v>
      </c>
      <c r="V539" s="48" t="s">
        <v>2423</v>
      </c>
      <c r="W539" s="7">
        <v>4</v>
      </c>
      <c r="X539" s="48" t="s">
        <v>2434</v>
      </c>
      <c r="Y539" s="47" t="s">
        <v>2539</v>
      </c>
      <c r="Z539" s="4" t="s">
        <v>2435</v>
      </c>
      <c r="AA539" s="49" t="s">
        <v>2542</v>
      </c>
      <c r="AC539" s="49" t="s">
        <v>2460</v>
      </c>
      <c r="AD539" s="4" t="s">
        <v>185</v>
      </c>
      <c r="AE539" s="7">
        <v>1</v>
      </c>
      <c r="AG539" s="7">
        <v>0</v>
      </c>
      <c r="AK539" s="70">
        <f>Table43[[#This Row],[Column4]]</f>
        <v>30550020007000</v>
      </c>
      <c r="AN539" s="7">
        <f>Table43[[#This Row],[ISI/CTN]]</f>
        <v>72</v>
      </c>
      <c r="AO539" s="38">
        <f>Table43[[#This Row],[Harga Jual Pcs GT
(-PPN)]]-(Table43[[#This Row],[Harga Jual Pcs GT
(-PPN)]]*6.5%)</f>
        <v>11668.8</v>
      </c>
      <c r="AP539" s="38">
        <f>Table43[[#This Row],[Harga Beli Pcs
(-PPN)]]*Table43[[#This Row],[ISI/CTN]]</f>
        <v>840153.59999999998</v>
      </c>
      <c r="AQ539" s="38">
        <f>Table43[[#This Row],[Harga Beli Pcs
(-PPN)]]*1.11</f>
        <v>12952.368</v>
      </c>
      <c r="AR539" s="38">
        <f>Table43[[#This Row],[Harga Beli Krt
(- PPN)]]*1.11</f>
        <v>932570.49600000004</v>
      </c>
      <c r="AS539" s="38">
        <v>12480</v>
      </c>
      <c r="AT539" s="38">
        <f>Table43[[#This Row],[Harga Jual Pcs GT
(-PPN)]]*Table43[[#This Row],[ISI/CTN]]</f>
        <v>898560</v>
      </c>
      <c r="AU539" s="38">
        <f>Table43[[#This Row],[Harga Jual Pcs GT
(-PPN)]]*1.11</f>
        <v>13852.800000000001</v>
      </c>
      <c r="AV539" s="38">
        <f>Table43[[#This Row],[Harga Jual Krt GT
(- PPN)]]*1.11</f>
        <v>997401.60000000009</v>
      </c>
      <c r="AW539" s="38">
        <f>IFERROR(VLOOKUP(Table43[[#This Row],[Kode Pcpl]],'[1]FEB 2026'!$A$3:$X$312,24,0),0)</f>
        <v>0</v>
      </c>
      <c r="AX539" s="38">
        <f>Table43[[#This Row],[Harga Jual Pcs MT
(-PPN)]]*Table43[[#This Row],[ISI/CTN]]</f>
        <v>0</v>
      </c>
      <c r="AY539" s="38">
        <f>Table43[[#This Row],[Harga Jual Pcs MT
(-PPN)]]*1.11</f>
        <v>0</v>
      </c>
      <c r="AZ539" s="38">
        <f>Table43[[#This Row],[Harga Jual Pcs MT
(+PPN)]]*Table43[[#This Row],[ISI/CTN]]</f>
        <v>0</v>
      </c>
      <c r="BA539" s="46">
        <f>(Table43[[#This Row],[Harga Jual Pcs GT
(-PPN)]]-Table43[[#This Row],[Harga Beli Pcs
(-PPN)]])/Table43[[#This Row],[Harga Jual Pcs GT
(-PPN)]]</f>
        <v>6.5000000000000058E-2</v>
      </c>
      <c r="BB539" s="53">
        <f>Table43[[#This Row],[Harga Jual Pcs MT
(-PPN)]]-Table43[[#This Row],[Harga Beli Pcs
(-PPN)]]</f>
        <v>-11668.8</v>
      </c>
      <c r="BC539" s="54" t="e">
        <f>Table43[[#This Row],[Column1]]/Table43[[#This Row],[Harga Jual Pcs MT
(-PPN)]]</f>
        <v>#DIV/0!</v>
      </c>
      <c r="BD539" s="52"/>
      <c r="BE539" s="7"/>
      <c r="BF539" s="7" t="str">
        <f ca="1">IF(TODAY()-Table43[[#This Row],[Efektif
Pembuatan]]&gt;60,"Lama","Baru")</f>
        <v>Lama</v>
      </c>
      <c r="BG539" s="7" t="str">
        <f ca="1">IF(TODAY()-Table43[[#This Row],[Efektif Naik Harga]]&lt;30,"Naik","Sama")</f>
        <v>Sama</v>
      </c>
      <c r="BH539" s="7"/>
      <c r="BI539" s="7" t="str">
        <f>IF(Table43[[#This Row],[Kode BARANG Win2]]&lt;&gt;"","IDR","")</f>
        <v>IDR</v>
      </c>
      <c r="BJ539" s="7" t="str">
        <f>CONCATENATE(Table43[[#This Row],[kode  1 Digit
(Nomor)]],Table43[[#This Row],[kode  4 Digit                (Nomor)]])</f>
        <v>0000</v>
      </c>
      <c r="BK539" s="7">
        <f>Table43[[#This Row],[Nama            Gramasi atau Jumlah Pack per CTN]]</f>
        <v>0</v>
      </c>
      <c r="BL539" s="7"/>
      <c r="BM539" s="7"/>
      <c r="BN539" s="4" t="str">
        <f>IF(Table43[[#This Row],[SATUAN Fix Win]]&lt;&gt;"","KRT")</f>
        <v>KRT</v>
      </c>
      <c r="BO539" s="4" t="str">
        <f>IF(Table43[[#This Row],[SATUAN Fix Win]]&lt;&gt;"","GD01")</f>
        <v>GD01</v>
      </c>
      <c r="BP539" s="4">
        <f>IF(Table43[[#This Row],[SATUAN Fix Win]]&lt;&gt;"",11611)</f>
        <v>11611</v>
      </c>
      <c r="BQ539" s="4">
        <f>IF(Table43[[#This Row],[SATUAN Fix Win]]&lt;&gt;"",11612)</f>
        <v>11612</v>
      </c>
      <c r="BS539" s="4">
        <f>IF(Table43[[#This Row],[SATUAN Fix Win]]&lt;&gt;"",1)</f>
        <v>1</v>
      </c>
      <c r="BU539" s="4">
        <f>Table43[[#This Row],[ISI/CTN]]</f>
        <v>72</v>
      </c>
    </row>
    <row r="540" spans="1:75">
      <c r="A540" s="4" t="str">
        <f>CONCATENATE(Table43[[#This Row],[Kode BARANG Win2]],Table43[[#This Row],[No. Urut
Item Sama]])</f>
        <v>G1264106000010</v>
      </c>
      <c r="B540" s="7"/>
      <c r="C540" s="31">
        <v>30601000000000</v>
      </c>
      <c r="D540" s="51">
        <v>40049693</v>
      </c>
      <c r="E540" s="27" t="s">
        <v>2127</v>
      </c>
      <c r="F540" s="51">
        <v>30540010007000</v>
      </c>
      <c r="G540" s="51">
        <v>0</v>
      </c>
      <c r="H540" s="27" t="s">
        <v>1451</v>
      </c>
      <c r="I540" s="27">
        <v>72</v>
      </c>
      <c r="J540" s="51" t="s">
        <v>1797</v>
      </c>
      <c r="K540" s="27" t="str">
        <f>Table43[[#This Row],[NamaJenisKemasan]]</f>
        <v>PCS</v>
      </c>
      <c r="L540" s="4" t="str">
        <f>TRIM(CONCATENATE(Table43[[#This Row],[Nama            KLP]]," ",Table43[[#This Row],[Nama            Sub KLP]]))</f>
        <v>STELLA DAILY FRESH</v>
      </c>
      <c r="M540" s="4" t="str">
        <f>CONCATENATE(Table43[[#This Row],[kode  2 Digit                (hrf+No)]],Table43[[#This Row],[kode  2 Digit                (Nomor)]],Table43[[#This Row],[kode  1 Digit                (Nomor)]])</f>
        <v>G1264</v>
      </c>
      <c r="N540" s="4" t="str">
        <f>IF(AI540="",CONCATENATE(S540,U540,W540,Y540,AA540,AC540,AE540,AG540,Table43[[#This Row],[Tanda Kode Revisi]]),CONCATENATE(S540,U540,W540,Y540,AA540,AC540,AE540,AI540))</f>
        <v>G1264106000010</v>
      </c>
      <c r="O540" s="11">
        <f t="shared" si="14"/>
        <v>14</v>
      </c>
      <c r="P540" s="14" t="str">
        <f>IF(AH540&lt;&gt;"",TRIM(UPPER(CONCATENATE(R540," ",T540," ",V540," ",X540," ",Z540," ",AB540," ","X"," ",Table43[[#This Row],[ISI/CTN]]," ",AH540," ",AD540," ",AF540," ",AJ540))),TRIM(UPPER(CONCATENATE(R540," ",T540," ",V540," ",X540," ",Z540," ",AB540," ","X"," ",Table43[[#This Row],[ISI/CTN]]," ",AD540," ",AF540," ",AJ540))))</f>
        <v>STELLA DAILY FRESH CAR+INDOOR VANILLA X 72 PCS</v>
      </c>
      <c r="Q540" s="11">
        <f t="shared" si="15"/>
        <v>46</v>
      </c>
      <c r="S540" s="7" t="s">
        <v>34</v>
      </c>
      <c r="T540" s="4" t="s">
        <v>2421</v>
      </c>
      <c r="U540" s="47" t="s">
        <v>2584</v>
      </c>
      <c r="V540" s="48" t="s">
        <v>2423</v>
      </c>
      <c r="W540" s="7">
        <v>4</v>
      </c>
      <c r="X540" s="48" t="s">
        <v>2434</v>
      </c>
      <c r="Y540" s="47" t="s">
        <v>2539</v>
      </c>
      <c r="Z540" s="4" t="s">
        <v>2435</v>
      </c>
      <c r="AA540" s="49" t="s">
        <v>2542</v>
      </c>
      <c r="AC540" s="49" t="s">
        <v>2460</v>
      </c>
      <c r="AD540" s="4" t="s">
        <v>185</v>
      </c>
      <c r="AE540" s="7">
        <v>1</v>
      </c>
      <c r="AG540" s="7">
        <v>0</v>
      </c>
      <c r="AK540" s="70">
        <f>Table43[[#This Row],[Column4]]</f>
        <v>30540010007000</v>
      </c>
      <c r="AN540" s="7">
        <f>Table43[[#This Row],[ISI/CTN]]</f>
        <v>72</v>
      </c>
      <c r="AO540" s="38">
        <f>Table43[[#This Row],[Harga Jual Pcs GT
(-PPN)]]-(Table43[[#This Row],[Harga Jual Pcs GT
(-PPN)]]*6.5%)</f>
        <v>11668.8</v>
      </c>
      <c r="AP540" s="38">
        <f>Table43[[#This Row],[Harga Beli Pcs
(-PPN)]]*Table43[[#This Row],[ISI/CTN]]</f>
        <v>840153.59999999998</v>
      </c>
      <c r="AQ540" s="38">
        <f>Table43[[#This Row],[Harga Beli Pcs
(-PPN)]]*1.11</f>
        <v>12952.368</v>
      </c>
      <c r="AR540" s="38">
        <f>Table43[[#This Row],[Harga Beli Krt
(- PPN)]]*1.11</f>
        <v>932570.49600000004</v>
      </c>
      <c r="AS540" s="38">
        <v>12480</v>
      </c>
      <c r="AT540" s="38">
        <f>Table43[[#This Row],[Harga Jual Pcs GT
(-PPN)]]*Table43[[#This Row],[ISI/CTN]]</f>
        <v>898560</v>
      </c>
      <c r="AU540" s="38">
        <f>Table43[[#This Row],[Harga Jual Pcs GT
(-PPN)]]*1.11</f>
        <v>13852.800000000001</v>
      </c>
      <c r="AV540" s="38">
        <f>Table43[[#This Row],[Harga Jual Krt GT
(- PPN)]]*1.11</f>
        <v>997401.60000000009</v>
      </c>
      <c r="AW540" s="38">
        <f>IFERROR(VLOOKUP(Table43[[#This Row],[Kode Pcpl]],'[1]FEB 2026'!$A$3:$X$312,24,0),0)</f>
        <v>0</v>
      </c>
      <c r="AX540" s="38">
        <f>Table43[[#This Row],[Harga Jual Pcs MT
(-PPN)]]*Table43[[#This Row],[ISI/CTN]]</f>
        <v>0</v>
      </c>
      <c r="AY540" s="38">
        <f>Table43[[#This Row],[Harga Jual Pcs MT
(-PPN)]]*1.11</f>
        <v>0</v>
      </c>
      <c r="AZ540" s="38">
        <f>Table43[[#This Row],[Harga Jual Pcs MT
(+PPN)]]*Table43[[#This Row],[ISI/CTN]]</f>
        <v>0</v>
      </c>
      <c r="BA540" s="46">
        <f>(Table43[[#This Row],[Harga Jual Pcs GT
(-PPN)]]-Table43[[#This Row],[Harga Beli Pcs
(-PPN)]])/Table43[[#This Row],[Harga Jual Pcs GT
(-PPN)]]</f>
        <v>6.5000000000000058E-2</v>
      </c>
      <c r="BB540" s="53">
        <f>Table43[[#This Row],[Harga Jual Pcs MT
(-PPN)]]-Table43[[#This Row],[Harga Beli Pcs
(-PPN)]]</f>
        <v>-11668.8</v>
      </c>
      <c r="BC540" s="54" t="e">
        <f>Table43[[#This Row],[Column1]]/Table43[[#This Row],[Harga Jual Pcs MT
(-PPN)]]</f>
        <v>#DIV/0!</v>
      </c>
      <c r="BD540" s="52"/>
      <c r="BE540" s="7"/>
      <c r="BF540" s="7" t="str">
        <f ca="1">IF(TODAY()-Table43[[#This Row],[Efektif
Pembuatan]]&gt;60,"Lama","Baru")</f>
        <v>Lama</v>
      </c>
      <c r="BG540" s="7" t="str">
        <f ca="1">IF(TODAY()-Table43[[#This Row],[Efektif Naik Harga]]&lt;30,"Naik","Sama")</f>
        <v>Sama</v>
      </c>
      <c r="BH540" s="7"/>
      <c r="BI540" s="7" t="str">
        <f>IF(Table43[[#This Row],[Kode BARANG Win2]]&lt;&gt;"","IDR","")</f>
        <v>IDR</v>
      </c>
      <c r="BJ540" s="7" t="str">
        <f>CONCATENATE(Table43[[#This Row],[kode  1 Digit
(Nomor)]],Table43[[#This Row],[kode  4 Digit                (Nomor)]])</f>
        <v>0000</v>
      </c>
      <c r="BK540" s="7">
        <f>Table43[[#This Row],[Nama            Gramasi atau Jumlah Pack per CTN]]</f>
        <v>0</v>
      </c>
      <c r="BL540" s="7"/>
      <c r="BM540" s="7"/>
      <c r="BN540" s="4" t="str">
        <f>IF(Table43[[#This Row],[SATUAN Fix Win]]&lt;&gt;"","KRT")</f>
        <v>KRT</v>
      </c>
      <c r="BO540" s="4" t="str">
        <f>IF(Table43[[#This Row],[SATUAN Fix Win]]&lt;&gt;"","GD01")</f>
        <v>GD01</v>
      </c>
      <c r="BP540" s="4">
        <f>IF(Table43[[#This Row],[SATUAN Fix Win]]&lt;&gt;"",11611)</f>
        <v>11611</v>
      </c>
      <c r="BQ540" s="4">
        <f>IF(Table43[[#This Row],[SATUAN Fix Win]]&lt;&gt;"",11612)</f>
        <v>11612</v>
      </c>
      <c r="BS540" s="4">
        <f>IF(Table43[[#This Row],[SATUAN Fix Win]]&lt;&gt;"",1)</f>
        <v>1</v>
      </c>
      <c r="BU540" s="4">
        <f>Table43[[#This Row],[ISI/CTN]]</f>
        <v>72</v>
      </c>
    </row>
    <row r="541" spans="1:75">
      <c r="A541" s="4" t="str">
        <f>CONCATENATE(Table43[[#This Row],[Kode BARANG Win2]],Table43[[#This Row],[No. Urut
Item Sama]])</f>
        <v>G1264106000010</v>
      </c>
      <c r="B541" s="7"/>
      <c r="C541" s="31">
        <v>30550060007000</v>
      </c>
      <c r="D541" s="59">
        <v>40014293</v>
      </c>
      <c r="E541" s="60" t="s">
        <v>2127</v>
      </c>
      <c r="F541" s="51">
        <v>30540010007000</v>
      </c>
      <c r="G541" s="59">
        <v>0</v>
      </c>
      <c r="H541" s="60" t="s">
        <v>1450</v>
      </c>
      <c r="I541" s="60">
        <v>72</v>
      </c>
      <c r="J541" s="59" t="s">
        <v>1797</v>
      </c>
      <c r="K541" s="60" t="str">
        <f>Table43[[#This Row],[NamaJenisKemasan]]</f>
        <v>PCS</v>
      </c>
      <c r="L541" s="4" t="str">
        <f>TRIM(CONCATENATE(Table43[[#This Row],[Nama            KLP]]," ",Table43[[#This Row],[Nama            Sub KLP]]))</f>
        <v>STELLA DAILY FRESH</v>
      </c>
      <c r="M541" s="4" t="str">
        <f>CONCATENATE(Table43[[#This Row],[kode  2 Digit                (hrf+No)]],Table43[[#This Row],[kode  2 Digit                (Nomor)]],Table43[[#This Row],[kode  1 Digit                (Nomor)]])</f>
        <v>G1264</v>
      </c>
      <c r="N541" s="4" t="str">
        <f>IF(AI541="",CONCATENATE(S541,U541,W541,Y541,AA541,AC541,AE541,AG541,Table43[[#This Row],[Tanda Kode Revisi]]),CONCATENATE(S541,U541,W541,Y541,AA541,AC541,AE541,AI541))</f>
        <v>G1264106000010</v>
      </c>
      <c r="O541" s="11">
        <f t="shared" si="14"/>
        <v>14</v>
      </c>
      <c r="P541" s="14" t="str">
        <f>IF(AH541&lt;&gt;"",TRIM(UPPER(CONCATENATE(R541," ",T541," ",V541," ",X541," ",Z541," ",AB541," ","X"," ",Table43[[#This Row],[ISI/CTN]]," ",AH541," ",AD541," ",AF541," ",AJ541))),TRIM(UPPER(CONCATENATE(R541," ",T541," ",V541," ",X541," ",Z541," ",AB541," ","X"," ",Table43[[#This Row],[ISI/CTN]]," ",AD541," ",AF541," ",AJ541))))</f>
        <v>STELLA DAILY FRESH CAR+INDOOR VANILLA X 72 PCS</v>
      </c>
      <c r="Q541" s="11">
        <f t="shared" si="15"/>
        <v>46</v>
      </c>
      <c r="S541" s="7" t="s">
        <v>34</v>
      </c>
      <c r="T541" s="4" t="s">
        <v>2421</v>
      </c>
      <c r="U541" s="47" t="s">
        <v>2584</v>
      </c>
      <c r="V541" s="48" t="s">
        <v>2423</v>
      </c>
      <c r="W541" s="7">
        <v>4</v>
      </c>
      <c r="X541" s="48" t="s">
        <v>2434</v>
      </c>
      <c r="Y541" s="47" t="s">
        <v>2539</v>
      </c>
      <c r="Z541" s="4" t="s">
        <v>2435</v>
      </c>
      <c r="AA541" s="49" t="s">
        <v>2542</v>
      </c>
      <c r="AC541" s="49" t="s">
        <v>2460</v>
      </c>
      <c r="AD541" s="4" t="s">
        <v>185</v>
      </c>
      <c r="AE541" s="7">
        <v>1</v>
      </c>
      <c r="AG541" s="7">
        <v>0</v>
      </c>
      <c r="AK541" s="70">
        <f>Table43[[#This Row],[Column4]]</f>
        <v>30540010007000</v>
      </c>
      <c r="AN541" s="7">
        <f>Table43[[#This Row],[ISI/CTN]]</f>
        <v>72</v>
      </c>
      <c r="AO541" s="38">
        <f>Table43[[#This Row],[Harga Jual Pcs GT
(-PPN)]]-(Table43[[#This Row],[Harga Jual Pcs GT
(-PPN)]]*6.5%)</f>
        <v>11668.8</v>
      </c>
      <c r="AP541" s="38">
        <f>Table43[[#This Row],[Harga Beli Pcs
(-PPN)]]*Table43[[#This Row],[ISI/CTN]]</f>
        <v>840153.59999999998</v>
      </c>
      <c r="AQ541" s="38">
        <f>Table43[[#This Row],[Harga Beli Pcs
(-PPN)]]*1.11</f>
        <v>12952.368</v>
      </c>
      <c r="AR541" s="38">
        <f>Table43[[#This Row],[Harga Beli Krt
(- PPN)]]*1.11</f>
        <v>932570.49600000004</v>
      </c>
      <c r="AS541" s="38">
        <v>12480</v>
      </c>
      <c r="AT541" s="38">
        <f>Table43[[#This Row],[Harga Jual Pcs GT
(-PPN)]]*Table43[[#This Row],[ISI/CTN]]</f>
        <v>898560</v>
      </c>
      <c r="AU541" s="38">
        <f>Table43[[#This Row],[Harga Jual Pcs GT
(-PPN)]]*1.11</f>
        <v>13852.800000000001</v>
      </c>
      <c r="AV541" s="38">
        <f>Table43[[#This Row],[Harga Jual Krt GT
(- PPN)]]*1.11</f>
        <v>997401.60000000009</v>
      </c>
      <c r="AW541" s="38">
        <f>IFERROR(VLOOKUP(Table43[[#This Row],[Kode Pcpl]],'[1]FEB 2026'!$A$3:$X$312,24,0),0)</f>
        <v>0</v>
      </c>
      <c r="AX541" s="38">
        <f>Table43[[#This Row],[Harga Jual Pcs MT
(-PPN)]]*Table43[[#This Row],[ISI/CTN]]</f>
        <v>0</v>
      </c>
      <c r="AY541" s="38">
        <f>Table43[[#This Row],[Harga Jual Pcs MT
(-PPN)]]*1.11</f>
        <v>0</v>
      </c>
      <c r="AZ541" s="38">
        <f>Table43[[#This Row],[Harga Jual Pcs MT
(+PPN)]]*Table43[[#This Row],[ISI/CTN]]</f>
        <v>0</v>
      </c>
      <c r="BA541" s="46">
        <f>(Table43[[#This Row],[Harga Jual Pcs GT
(-PPN)]]-Table43[[#This Row],[Harga Beli Pcs
(-PPN)]])/Table43[[#This Row],[Harga Jual Pcs GT
(-PPN)]]</f>
        <v>6.5000000000000058E-2</v>
      </c>
      <c r="BB541" s="53">
        <f>Table43[[#This Row],[Harga Jual Pcs MT
(-PPN)]]-Table43[[#This Row],[Harga Beli Pcs
(-PPN)]]</f>
        <v>-11668.8</v>
      </c>
      <c r="BC541" s="54" t="e">
        <f>Table43[[#This Row],[Column1]]/Table43[[#This Row],[Harga Jual Pcs MT
(-PPN)]]</f>
        <v>#DIV/0!</v>
      </c>
      <c r="BD541" s="52"/>
      <c r="BE541" s="7"/>
      <c r="BF541" s="7" t="str">
        <f ca="1">IF(TODAY()-Table43[[#This Row],[Efektif
Pembuatan]]&gt;60,"Lama","Baru")</f>
        <v>Lama</v>
      </c>
      <c r="BG541" s="7" t="str">
        <f ca="1">IF(TODAY()-Table43[[#This Row],[Efektif Naik Harga]]&lt;30,"Naik","Sama")</f>
        <v>Sama</v>
      </c>
      <c r="BH541" s="7"/>
      <c r="BI541" s="7" t="str">
        <f>IF(Table43[[#This Row],[Kode BARANG Win2]]&lt;&gt;"","IDR","")</f>
        <v>IDR</v>
      </c>
      <c r="BJ541" s="7" t="str">
        <f>CONCATENATE(Table43[[#This Row],[kode  1 Digit
(Nomor)]],Table43[[#This Row],[kode  4 Digit                (Nomor)]])</f>
        <v>0000</v>
      </c>
      <c r="BK541" s="7">
        <f>Table43[[#This Row],[Nama            Gramasi atau Jumlah Pack per CTN]]</f>
        <v>0</v>
      </c>
      <c r="BL541" s="7"/>
      <c r="BM541" s="7"/>
      <c r="BN541" s="4" t="str">
        <f>IF(Table43[[#This Row],[SATUAN Fix Win]]&lt;&gt;"","KRT")</f>
        <v>KRT</v>
      </c>
      <c r="BO541" s="4" t="str">
        <f>IF(Table43[[#This Row],[SATUAN Fix Win]]&lt;&gt;"","GD01")</f>
        <v>GD01</v>
      </c>
      <c r="BP541" s="4">
        <f>IF(Table43[[#This Row],[SATUAN Fix Win]]&lt;&gt;"",11611)</f>
        <v>11611</v>
      </c>
      <c r="BQ541" s="4">
        <f>IF(Table43[[#This Row],[SATUAN Fix Win]]&lt;&gt;"",11612)</f>
        <v>11612</v>
      </c>
      <c r="BS541" s="4">
        <f>IF(Table43[[#This Row],[SATUAN Fix Win]]&lt;&gt;"",1)</f>
        <v>1</v>
      </c>
      <c r="BU541" s="4">
        <f>Table43[[#This Row],[ISI/CTN]]</f>
        <v>72</v>
      </c>
    </row>
    <row r="542" spans="1:75">
      <c r="A542" s="4" t="str">
        <f>CONCATENATE(Table43[[#This Row],[Kode BARANG Win2]],Table43[[#This Row],[No. Urut
Item Sama]])</f>
        <v>G1264201000010</v>
      </c>
      <c r="B542" s="7"/>
      <c r="C542" s="31">
        <v>30560010245000</v>
      </c>
      <c r="D542" s="51">
        <v>40058508</v>
      </c>
      <c r="E542" s="27" t="s">
        <v>2130</v>
      </c>
      <c r="F542" s="51">
        <v>30550090007001</v>
      </c>
      <c r="G542" s="51">
        <v>0</v>
      </c>
      <c r="H542" s="27" t="s">
        <v>1456</v>
      </c>
      <c r="I542" s="27">
        <v>72</v>
      </c>
      <c r="J542" s="51" t="s">
        <v>1800</v>
      </c>
      <c r="K542" s="27" t="str">
        <f>Table43[[#This Row],[NamaJenisKemasan]]</f>
        <v>PCS</v>
      </c>
      <c r="L542" s="4" t="str">
        <f>TRIM(CONCATENATE(Table43[[#This Row],[Nama            KLP]]," ",Table43[[#This Row],[Nama            Sub KLP]]))</f>
        <v>STELLA DAILY FRESH</v>
      </c>
      <c r="M542" s="4" t="str">
        <f>CONCATENATE(Table43[[#This Row],[kode  2 Digit                (hrf+No)]],Table43[[#This Row],[kode  2 Digit                (Nomor)]],Table43[[#This Row],[kode  1 Digit                (Nomor)]])</f>
        <v>G1264</v>
      </c>
      <c r="N542" s="4" t="str">
        <f>IF(AI542="",CONCATENATE(S542,U542,W542,Y542,AA542,AC542,AE542,AG542,Table43[[#This Row],[Tanda Kode Revisi]]),CONCATENATE(S542,U542,W542,Y542,AA542,AC542,AE542,AI542))</f>
        <v>G1264201000010</v>
      </c>
      <c r="O542" s="11">
        <f t="shared" si="14"/>
        <v>14</v>
      </c>
      <c r="P542" s="14" t="str">
        <f>IF(AH542&lt;&gt;"",TRIM(UPPER(CONCATENATE(R542," ",T542," ",V542," ",X542," ",Z542," ",AB542," ","X"," ",Table43[[#This Row],[ISI/CTN]]," ",AH542," ",AD542," ",AF542," ",AJ542))),TRIM(UPPER(CONCATENATE(R542," ",T542," ",V542," ",X542," ",Z542," ",AB542," ","X"," ",Table43[[#This Row],[ISI/CTN]]," ",AD542," ",AF542," ",AJ542))))</f>
        <v>STELLA DAILY FRESH CAR+INDOOR MTP LILY DREAM X 72 PCS</v>
      </c>
      <c r="Q542" s="11">
        <f t="shared" si="15"/>
        <v>53</v>
      </c>
      <c r="S542" s="7" t="s">
        <v>34</v>
      </c>
      <c r="T542" s="4" t="s">
        <v>2421</v>
      </c>
      <c r="U542" s="47" t="s">
        <v>2584</v>
      </c>
      <c r="V542" s="48" t="s">
        <v>2423</v>
      </c>
      <c r="W542" s="7">
        <v>4</v>
      </c>
      <c r="X542" s="48" t="s">
        <v>2454</v>
      </c>
      <c r="Y542" s="47" t="s">
        <v>2572</v>
      </c>
      <c r="Z542" s="4" t="s">
        <v>2430</v>
      </c>
      <c r="AA542" s="49" t="s">
        <v>1115</v>
      </c>
      <c r="AC542" s="49" t="s">
        <v>2460</v>
      </c>
      <c r="AD542" s="4" t="s">
        <v>185</v>
      </c>
      <c r="AE542" s="7">
        <v>1</v>
      </c>
      <c r="AG542" s="7">
        <v>0</v>
      </c>
      <c r="AK542" s="70">
        <f>Table43[[#This Row],[Column4]]</f>
        <v>30550090007001</v>
      </c>
      <c r="AN542" s="7">
        <f>Table43[[#This Row],[ISI/CTN]]</f>
        <v>72</v>
      </c>
      <c r="AO542" s="61">
        <f>Table43[[#This Row],[Harga Jual Pcs GT
(-PPN)]]-(Table43[[#This Row],[Harga Jual Pcs GT
(-PPN)]]*6.5%)</f>
        <v>15044.15</v>
      </c>
      <c r="AP542" s="61">
        <f>Table43[[#This Row],[Harga Beli Pcs
(-PPN)]]*Table43[[#This Row],[ISI/CTN]]</f>
        <v>1083178.8</v>
      </c>
      <c r="AQ542" s="61">
        <f>Table43[[#This Row],[Harga Beli Pcs
(-PPN)]]*1.11</f>
        <v>16699.0065</v>
      </c>
      <c r="AR542" s="61">
        <f>Table43[[#This Row],[Harga Beli Krt
(- PPN)]]*1.11</f>
        <v>1202328.4680000001</v>
      </c>
      <c r="AS542" s="61">
        <v>16090</v>
      </c>
      <c r="AT542" s="61">
        <f>Table43[[#This Row],[Harga Jual Pcs GT
(-PPN)]]*Table43[[#This Row],[ISI/CTN]]</f>
        <v>1158480</v>
      </c>
      <c r="AU542" s="61">
        <f>Table43[[#This Row],[Harga Jual Pcs GT
(-PPN)]]*1.11</f>
        <v>17859.900000000001</v>
      </c>
      <c r="AV542" s="61">
        <f>Table43[[#This Row],[Harga Jual Krt GT
(- PPN)]]*1.11</f>
        <v>1285912.8</v>
      </c>
      <c r="AW542" s="61">
        <f>IFERROR(VLOOKUP(Table43[[#This Row],[Kode Pcpl]],'[1]FEB 2026'!$A$3:$X$312,24,0),0)</f>
        <v>0</v>
      </c>
      <c r="AX542" s="61">
        <f>Table43[[#This Row],[Harga Jual Pcs MT
(-PPN)]]*Table43[[#This Row],[ISI/CTN]]</f>
        <v>0</v>
      </c>
      <c r="AY542" s="61">
        <f>Table43[[#This Row],[Harga Jual Pcs MT
(-PPN)]]*1.11</f>
        <v>0</v>
      </c>
      <c r="AZ542" s="61">
        <f>Table43[[#This Row],[Harga Jual Pcs MT
(+PPN)]]*Table43[[#This Row],[ISI/CTN]]</f>
        <v>0</v>
      </c>
      <c r="BA542" s="62">
        <f>(Table43[[#This Row],[Harga Jual Pcs GT
(-PPN)]]-Table43[[#This Row],[Harga Beli Pcs
(-PPN)]])/Table43[[#This Row],[Harga Jual Pcs GT
(-PPN)]]</f>
        <v>6.5000000000000016E-2</v>
      </c>
      <c r="BB542" s="63">
        <f>Table43[[#This Row],[Harga Jual Pcs MT
(-PPN)]]-Table43[[#This Row],[Harga Beli Pcs
(-PPN)]]</f>
        <v>-15044.15</v>
      </c>
      <c r="BC542" s="64" t="e">
        <f>Table43[[#This Row],[Column1]]/Table43[[#This Row],[Harga Jual Pcs MT
(-PPN)]]</f>
        <v>#DIV/0!</v>
      </c>
      <c r="BD542" s="52"/>
      <c r="BE542" s="7"/>
      <c r="BF542" s="7" t="str">
        <f ca="1">IF(TODAY()-Table43[[#This Row],[Efektif
Pembuatan]]&gt;60,"Lama","Baru")</f>
        <v>Lama</v>
      </c>
      <c r="BG542" s="7" t="str">
        <f ca="1">IF(TODAY()-Table43[[#This Row],[Efektif Naik Harga]]&lt;30,"Naik","Sama")</f>
        <v>Sama</v>
      </c>
      <c r="BH542" s="7"/>
      <c r="BI542" s="7" t="str">
        <f>IF(Table43[[#This Row],[Kode BARANG Win2]]&lt;&gt;"","IDR","")</f>
        <v>IDR</v>
      </c>
      <c r="BJ542" s="7" t="str">
        <f>CONCATENATE(Table43[[#This Row],[kode  1 Digit
(Nomor)]],Table43[[#This Row],[kode  4 Digit                (Nomor)]])</f>
        <v>0000</v>
      </c>
      <c r="BK542" s="7">
        <f>Table43[[#This Row],[Nama            Gramasi atau Jumlah Pack per CTN]]</f>
        <v>0</v>
      </c>
      <c r="BL542" s="7"/>
      <c r="BM542" s="7"/>
      <c r="BN542" s="4" t="str">
        <f>IF(Table43[[#This Row],[SATUAN Fix Win]]&lt;&gt;"","KRT")</f>
        <v>KRT</v>
      </c>
      <c r="BO542" s="4" t="str">
        <f>IF(Table43[[#This Row],[SATUAN Fix Win]]&lt;&gt;"","GD01")</f>
        <v>GD01</v>
      </c>
      <c r="BP542" s="4">
        <f>IF(Table43[[#This Row],[SATUAN Fix Win]]&lt;&gt;"",11611)</f>
        <v>11611</v>
      </c>
      <c r="BQ542" s="4">
        <f>IF(Table43[[#This Row],[SATUAN Fix Win]]&lt;&gt;"",11612)</f>
        <v>11612</v>
      </c>
      <c r="BS542" s="4">
        <f>IF(Table43[[#This Row],[SATUAN Fix Win]]&lt;&gt;"",1)</f>
        <v>1</v>
      </c>
      <c r="BU542" s="4">
        <f>Table43[[#This Row],[ISI/CTN]]</f>
        <v>72</v>
      </c>
    </row>
    <row r="543" spans="1:75">
      <c r="A543" s="4" t="str">
        <f>CONCATENATE(Table43[[#This Row],[Kode BARANG Win2]],Table43[[#This Row],[No. Urut
Item Sama]])</f>
        <v>G1264201000010</v>
      </c>
      <c r="B543" s="7"/>
      <c r="C543" s="31">
        <v>30550070007000</v>
      </c>
      <c r="D543" s="51">
        <v>40049688</v>
      </c>
      <c r="E543" s="27" t="s">
        <v>2130</v>
      </c>
      <c r="F543" s="51">
        <v>30550010007001</v>
      </c>
      <c r="G543" s="51">
        <v>30550010007000</v>
      </c>
      <c r="H543" s="27" t="s">
        <v>1455</v>
      </c>
      <c r="I543" s="27">
        <v>72</v>
      </c>
      <c r="J543" s="51" t="s">
        <v>1800</v>
      </c>
      <c r="K543" s="27" t="str">
        <f>Table43[[#This Row],[NamaJenisKemasan]]</f>
        <v>PCS</v>
      </c>
      <c r="L543" s="4" t="str">
        <f>TRIM(CONCATENATE(Table43[[#This Row],[Nama            KLP]]," ",Table43[[#This Row],[Nama            Sub KLP]]))</f>
        <v>STELLA DAILY FRESH</v>
      </c>
      <c r="M543" s="4" t="str">
        <f>CONCATENATE(Table43[[#This Row],[kode  2 Digit                (hrf+No)]],Table43[[#This Row],[kode  2 Digit                (Nomor)]],Table43[[#This Row],[kode  1 Digit                (Nomor)]])</f>
        <v>G1264</v>
      </c>
      <c r="N543" s="4" t="str">
        <f>IF(AI543="",CONCATENATE(S543,U543,W543,Y543,AA543,AC543,AE543,AG543,Table43[[#This Row],[Tanda Kode Revisi]]),CONCATENATE(S543,U543,W543,Y543,AA543,AC543,AE543,AI543))</f>
        <v>G1264201000010</v>
      </c>
      <c r="O543" s="11">
        <f t="shared" si="14"/>
        <v>14</v>
      </c>
      <c r="P543" s="14" t="str">
        <f>IF(AH543&lt;&gt;"",TRIM(UPPER(CONCATENATE(R543," ",T543," ",V543," ",X543," ",Z543," ",AB543," ","X"," ",Table43[[#This Row],[ISI/CTN]]," ",AH543," ",AD543," ",AF543," ",AJ543))),TRIM(UPPER(CONCATENATE(R543," ",T543," ",V543," ",X543," ",Z543," ",AB543," ","X"," ",Table43[[#This Row],[ISI/CTN]]," ",AD543," ",AF543," ",AJ543))))</f>
        <v>STELLA DAILY FRESH CAR+INDOOR MTP LILY DREAM X 72 PCS</v>
      </c>
      <c r="Q543" s="11">
        <f t="shared" si="15"/>
        <v>53</v>
      </c>
      <c r="S543" s="7" t="s">
        <v>34</v>
      </c>
      <c r="T543" s="4" t="s">
        <v>2421</v>
      </c>
      <c r="U543" s="47" t="s">
        <v>2584</v>
      </c>
      <c r="V543" s="48" t="s">
        <v>2423</v>
      </c>
      <c r="W543" s="7">
        <v>4</v>
      </c>
      <c r="X543" s="48" t="s">
        <v>2454</v>
      </c>
      <c r="Y543" s="47" t="s">
        <v>2572</v>
      </c>
      <c r="Z543" s="4" t="s">
        <v>2430</v>
      </c>
      <c r="AA543" s="49" t="s">
        <v>1115</v>
      </c>
      <c r="AC543" s="49" t="s">
        <v>2460</v>
      </c>
      <c r="AD543" s="4" t="s">
        <v>185</v>
      </c>
      <c r="AE543" s="7">
        <v>1</v>
      </c>
      <c r="AG543" s="7">
        <v>0</v>
      </c>
      <c r="AK543" s="70">
        <f>Table43[[#This Row],[Column4]]</f>
        <v>30550010007001</v>
      </c>
      <c r="AN543" s="7">
        <f>Table43[[#This Row],[ISI/CTN]]</f>
        <v>72</v>
      </c>
      <c r="AO543" s="38">
        <f>Table43[[#This Row],[Harga Jual Pcs GT
(-PPN)]]-(Table43[[#This Row],[Harga Jual Pcs GT
(-PPN)]]*6.5%)</f>
        <v>15044.15</v>
      </c>
      <c r="AP543" s="38">
        <f>Table43[[#This Row],[Harga Beli Pcs
(-PPN)]]*Table43[[#This Row],[ISI/CTN]]</f>
        <v>1083178.8</v>
      </c>
      <c r="AQ543" s="38">
        <f>Table43[[#This Row],[Harga Beli Pcs
(-PPN)]]*1.11</f>
        <v>16699.0065</v>
      </c>
      <c r="AR543" s="38">
        <f>Table43[[#This Row],[Harga Beli Krt
(- PPN)]]*1.11</f>
        <v>1202328.4680000001</v>
      </c>
      <c r="AS543" s="38">
        <v>16090</v>
      </c>
      <c r="AT543" s="38">
        <f>Table43[[#This Row],[Harga Jual Pcs GT
(-PPN)]]*Table43[[#This Row],[ISI/CTN]]</f>
        <v>1158480</v>
      </c>
      <c r="AU543" s="38">
        <f>Table43[[#This Row],[Harga Jual Pcs GT
(-PPN)]]*1.11</f>
        <v>17859.900000000001</v>
      </c>
      <c r="AV543" s="38">
        <f>Table43[[#This Row],[Harga Jual Krt GT
(- PPN)]]*1.11</f>
        <v>1285912.8</v>
      </c>
      <c r="AW543" s="38">
        <f>IFERROR(VLOOKUP(Table43[[#This Row],[Kode Pcpl]],'[1]FEB 2026'!$A$3:$X$312,24,0),0)</f>
        <v>0</v>
      </c>
      <c r="AX543" s="38">
        <f>Table43[[#This Row],[Harga Jual Pcs MT
(-PPN)]]*Table43[[#This Row],[ISI/CTN]]</f>
        <v>0</v>
      </c>
      <c r="AY543" s="38">
        <f>Table43[[#This Row],[Harga Jual Pcs MT
(-PPN)]]*1.11</f>
        <v>0</v>
      </c>
      <c r="AZ543" s="38">
        <f>Table43[[#This Row],[Harga Jual Pcs MT
(+PPN)]]*Table43[[#This Row],[ISI/CTN]]</f>
        <v>0</v>
      </c>
      <c r="BA543" s="46">
        <f>(Table43[[#This Row],[Harga Jual Pcs GT
(-PPN)]]-Table43[[#This Row],[Harga Beli Pcs
(-PPN)]])/Table43[[#This Row],[Harga Jual Pcs GT
(-PPN)]]</f>
        <v>6.5000000000000016E-2</v>
      </c>
      <c r="BB543" s="53">
        <f>Table43[[#This Row],[Harga Jual Pcs MT
(-PPN)]]-Table43[[#This Row],[Harga Beli Pcs
(-PPN)]]</f>
        <v>-15044.15</v>
      </c>
      <c r="BC543" s="54" t="e">
        <f>Table43[[#This Row],[Column1]]/Table43[[#This Row],[Harga Jual Pcs MT
(-PPN)]]</f>
        <v>#DIV/0!</v>
      </c>
      <c r="BD543" s="52"/>
      <c r="BE543" s="7"/>
      <c r="BF543" s="7" t="str">
        <f ca="1">IF(TODAY()-Table43[[#This Row],[Efektif
Pembuatan]]&gt;60,"Lama","Baru")</f>
        <v>Lama</v>
      </c>
      <c r="BG543" s="7" t="str">
        <f ca="1">IF(TODAY()-Table43[[#This Row],[Efektif Naik Harga]]&lt;30,"Naik","Sama")</f>
        <v>Sama</v>
      </c>
      <c r="BH543" s="7"/>
      <c r="BI543" s="7" t="str">
        <f>IF(Table43[[#This Row],[Kode BARANG Win2]]&lt;&gt;"","IDR","")</f>
        <v>IDR</v>
      </c>
      <c r="BJ543" s="7" t="str">
        <f>CONCATENATE(Table43[[#This Row],[kode  1 Digit
(Nomor)]],Table43[[#This Row],[kode  4 Digit                (Nomor)]])</f>
        <v>0000</v>
      </c>
      <c r="BK543" s="7">
        <f>Table43[[#This Row],[Nama            Gramasi atau Jumlah Pack per CTN]]</f>
        <v>0</v>
      </c>
      <c r="BL543" s="7"/>
      <c r="BM543" s="7"/>
      <c r="BN543" s="4" t="str">
        <f>IF(Table43[[#This Row],[SATUAN Fix Win]]&lt;&gt;"","KRT")</f>
        <v>KRT</v>
      </c>
      <c r="BO543" s="4" t="str">
        <f>IF(Table43[[#This Row],[SATUAN Fix Win]]&lt;&gt;"","GD01")</f>
        <v>GD01</v>
      </c>
      <c r="BP543" s="4">
        <f>IF(Table43[[#This Row],[SATUAN Fix Win]]&lt;&gt;"",11611)</f>
        <v>11611</v>
      </c>
      <c r="BQ543" s="4">
        <f>IF(Table43[[#This Row],[SATUAN Fix Win]]&lt;&gt;"",11612)</f>
        <v>11612</v>
      </c>
      <c r="BS543" s="4">
        <f>IF(Table43[[#This Row],[SATUAN Fix Win]]&lt;&gt;"",1)</f>
        <v>1</v>
      </c>
      <c r="BU543" s="4">
        <f>Table43[[#This Row],[ISI/CTN]]</f>
        <v>72</v>
      </c>
    </row>
    <row r="544" spans="1:75">
      <c r="A544" s="4" t="str">
        <f>CONCATENATE(Table43[[#This Row],[Kode BARANG Win2]],Table43[[#This Row],[No. Urut
Item Sama]])</f>
        <v>G1264202000010</v>
      </c>
      <c r="B544" s="7"/>
      <c r="C544" s="31">
        <v>30590040000000</v>
      </c>
      <c r="D544" s="59">
        <v>40049686</v>
      </c>
      <c r="E544" s="60" t="s">
        <v>2184</v>
      </c>
      <c r="F544" s="51">
        <v>30650020650000</v>
      </c>
      <c r="G544" s="59">
        <v>0</v>
      </c>
      <c r="H544" s="60" t="s">
        <v>1538</v>
      </c>
      <c r="I544" s="60">
        <v>72</v>
      </c>
      <c r="J544" s="59" t="s">
        <v>1851</v>
      </c>
      <c r="K544" s="60" t="str">
        <f>Table43[[#This Row],[NamaJenisKemasan]]</f>
        <v>PCS</v>
      </c>
      <c r="L544" s="4" t="str">
        <f>TRIM(CONCATENATE(Table43[[#This Row],[Nama            KLP]]," ",Table43[[#This Row],[Nama            Sub KLP]]))</f>
        <v>STELLA DAILY FRESH</v>
      </c>
      <c r="M544" s="4" t="str">
        <f>CONCATENATE(Table43[[#This Row],[kode  2 Digit                (hrf+No)]],Table43[[#This Row],[kode  2 Digit                (Nomor)]],Table43[[#This Row],[kode  1 Digit                (Nomor)]])</f>
        <v>G1264</v>
      </c>
      <c r="N544" s="4" t="str">
        <f>IF(AI544="",CONCATENATE(S544,U544,W544,Y544,AA544,AC544,AE544,AG544,Table43[[#This Row],[Tanda Kode Revisi]]),CONCATENATE(S544,U544,W544,Y544,AA544,AC544,AE544,AI544))</f>
        <v>G1264202000010</v>
      </c>
      <c r="O544" s="11">
        <f t="shared" si="14"/>
        <v>14</v>
      </c>
      <c r="P544" s="14" t="str">
        <f>IF(AH544&lt;&gt;"",TRIM(UPPER(CONCATENATE(R544," ",T544," ",V544," ",X544," ",Z544," ",AB544," ","X"," ",Table43[[#This Row],[ISI/CTN]]," ",AH544," ",AD544," ",AF544," ",AJ544))),TRIM(UPPER(CONCATENATE(R544," ",T544," ",V544," ",X544," ",Z544," ",AB544," ","X"," ",Table43[[#This Row],[ISI/CTN]]," ",AD544," ",AF544," ",AJ544))))</f>
        <v>STELLA DAILY FRESH CAR+INDOOR MTP ROSE KISS X 72 PCS</v>
      </c>
      <c r="Q544" s="11">
        <f t="shared" si="15"/>
        <v>52</v>
      </c>
      <c r="S544" s="7" t="s">
        <v>34</v>
      </c>
      <c r="T544" s="4" t="s">
        <v>2421</v>
      </c>
      <c r="U544" s="47" t="s">
        <v>2584</v>
      </c>
      <c r="V544" s="48" t="s">
        <v>2423</v>
      </c>
      <c r="W544" s="7">
        <v>4</v>
      </c>
      <c r="X544" s="48" t="s">
        <v>2454</v>
      </c>
      <c r="Y544" s="47" t="s">
        <v>2572</v>
      </c>
      <c r="Z544" s="4" t="s">
        <v>2453</v>
      </c>
      <c r="AA544" s="49" t="s">
        <v>2459</v>
      </c>
      <c r="AC544" s="49" t="s">
        <v>2460</v>
      </c>
      <c r="AD544" s="4" t="s">
        <v>185</v>
      </c>
      <c r="AE544" s="7">
        <v>1</v>
      </c>
      <c r="AG544" s="7">
        <v>0</v>
      </c>
      <c r="AK544" s="70">
        <f>Table43[[#This Row],[Column4]]</f>
        <v>30650020650000</v>
      </c>
      <c r="AN544" s="7">
        <f>Table43[[#This Row],[ISI/CTN]]</f>
        <v>72</v>
      </c>
      <c r="AO544" s="38">
        <f>Table43[[#This Row],[Harga Jual Pcs GT
(-PPN)]]-(Table43[[#This Row],[Harga Jual Pcs GT
(-PPN)]]*6.5%)</f>
        <v>15044.15</v>
      </c>
      <c r="AP544" s="38">
        <f>Table43[[#This Row],[Harga Beli Pcs
(-PPN)]]*Table43[[#This Row],[ISI/CTN]]</f>
        <v>1083178.8</v>
      </c>
      <c r="AQ544" s="38">
        <f>Table43[[#This Row],[Harga Beli Pcs
(-PPN)]]*1.11</f>
        <v>16699.0065</v>
      </c>
      <c r="AR544" s="38">
        <f>Table43[[#This Row],[Harga Beli Krt
(- PPN)]]*1.11</f>
        <v>1202328.4680000001</v>
      </c>
      <c r="AS544" s="38">
        <v>16090</v>
      </c>
      <c r="AT544" s="38">
        <f>Table43[[#This Row],[Harga Jual Pcs GT
(-PPN)]]*Table43[[#This Row],[ISI/CTN]]</f>
        <v>1158480</v>
      </c>
      <c r="AU544" s="38">
        <f>Table43[[#This Row],[Harga Jual Pcs GT
(-PPN)]]*1.11</f>
        <v>17859.900000000001</v>
      </c>
      <c r="AV544" s="38">
        <f>Table43[[#This Row],[Harga Jual Krt GT
(- PPN)]]*1.11</f>
        <v>1285912.8</v>
      </c>
      <c r="AW544" s="38">
        <f>IFERROR(VLOOKUP(Table43[[#This Row],[Kode Pcpl]],'[1]FEB 2026'!$A$3:$X$312,24,0),0)</f>
        <v>0</v>
      </c>
      <c r="AX544" s="38">
        <f>Table43[[#This Row],[Harga Jual Pcs MT
(-PPN)]]*Table43[[#This Row],[ISI/CTN]]</f>
        <v>0</v>
      </c>
      <c r="AY544" s="38">
        <f>Table43[[#This Row],[Harga Jual Pcs MT
(-PPN)]]*1.11</f>
        <v>0</v>
      </c>
      <c r="AZ544" s="38">
        <f>Table43[[#This Row],[Harga Jual Pcs MT
(+PPN)]]*Table43[[#This Row],[ISI/CTN]]</f>
        <v>0</v>
      </c>
      <c r="BA544" s="46">
        <f>(Table43[[#This Row],[Harga Jual Pcs GT
(-PPN)]]-Table43[[#This Row],[Harga Beli Pcs
(-PPN)]])/Table43[[#This Row],[Harga Jual Pcs GT
(-PPN)]]</f>
        <v>6.5000000000000016E-2</v>
      </c>
      <c r="BB544" s="53">
        <f>Table43[[#This Row],[Harga Jual Pcs MT
(-PPN)]]-Table43[[#This Row],[Harga Beli Pcs
(-PPN)]]</f>
        <v>-15044.15</v>
      </c>
      <c r="BC544" s="54" t="e">
        <f>Table43[[#This Row],[Column1]]/Table43[[#This Row],[Harga Jual Pcs MT
(-PPN)]]</f>
        <v>#DIV/0!</v>
      </c>
      <c r="BD544" s="52"/>
      <c r="BE544" s="7"/>
      <c r="BF544" s="7" t="str">
        <f ca="1">IF(TODAY()-Table43[[#This Row],[Efektif
Pembuatan]]&gt;60,"Lama","Baru")</f>
        <v>Lama</v>
      </c>
      <c r="BG544" s="7" t="str">
        <f ca="1">IF(TODAY()-Table43[[#This Row],[Efektif Naik Harga]]&lt;30,"Naik","Sama")</f>
        <v>Sama</v>
      </c>
      <c r="BH544" s="7"/>
      <c r="BI544" s="7" t="str">
        <f>IF(Table43[[#This Row],[Kode BARANG Win2]]&lt;&gt;"","IDR","")</f>
        <v>IDR</v>
      </c>
      <c r="BJ544" s="7" t="str">
        <f>CONCATENATE(Table43[[#This Row],[kode  1 Digit
(Nomor)]],Table43[[#This Row],[kode  4 Digit                (Nomor)]])</f>
        <v>0000</v>
      </c>
      <c r="BK544" s="7">
        <f>Table43[[#This Row],[Nama            Gramasi atau Jumlah Pack per CTN]]</f>
        <v>0</v>
      </c>
      <c r="BL544" s="7"/>
      <c r="BM544" s="7"/>
      <c r="BN544" s="4" t="str">
        <f>IF(Table43[[#This Row],[SATUAN Fix Win]]&lt;&gt;"","KRT")</f>
        <v>KRT</v>
      </c>
      <c r="BO544" s="4" t="str">
        <f>IF(Table43[[#This Row],[SATUAN Fix Win]]&lt;&gt;"","GD01")</f>
        <v>GD01</v>
      </c>
      <c r="BP544" s="4">
        <f>IF(Table43[[#This Row],[SATUAN Fix Win]]&lt;&gt;"",11611)</f>
        <v>11611</v>
      </c>
      <c r="BQ544" s="4">
        <f>IF(Table43[[#This Row],[SATUAN Fix Win]]&lt;&gt;"",11612)</f>
        <v>11612</v>
      </c>
      <c r="BS544" s="4">
        <f>IF(Table43[[#This Row],[SATUAN Fix Win]]&lt;&gt;"",1)</f>
        <v>1</v>
      </c>
      <c r="BU544" s="4">
        <f>Table43[[#This Row],[ISI/CTN]]</f>
        <v>72</v>
      </c>
    </row>
    <row r="545" spans="1:75">
      <c r="A545" s="4" t="str">
        <f>CONCATENATE(Table43[[#This Row],[Kode BARANG Win2]],Table43[[#This Row],[No. Urut
Item Sama]])</f>
        <v>G1264202000010</v>
      </c>
      <c r="B545" s="7"/>
      <c r="C545" s="31">
        <v>30590050000000</v>
      </c>
      <c r="D545" s="51">
        <v>40058506</v>
      </c>
      <c r="E545" s="27" t="s">
        <v>2184</v>
      </c>
      <c r="F545" s="51">
        <v>30650020650000</v>
      </c>
      <c r="G545" s="51">
        <v>0</v>
      </c>
      <c r="H545" s="27" t="s">
        <v>1539</v>
      </c>
      <c r="I545" s="27">
        <v>72</v>
      </c>
      <c r="J545" s="51" t="s">
        <v>1851</v>
      </c>
      <c r="K545" s="27" t="str">
        <f>Table43[[#This Row],[NamaJenisKemasan]]</f>
        <v>PCS</v>
      </c>
      <c r="L545" s="4" t="str">
        <f>TRIM(CONCATENATE(Table43[[#This Row],[Nama            KLP]]," ",Table43[[#This Row],[Nama            Sub KLP]]))</f>
        <v>STELLA DAILY FRESH</v>
      </c>
      <c r="M545" s="4" t="str">
        <f>CONCATENATE(Table43[[#This Row],[kode  2 Digit                (hrf+No)]],Table43[[#This Row],[kode  2 Digit                (Nomor)]],Table43[[#This Row],[kode  1 Digit                (Nomor)]])</f>
        <v>G1264</v>
      </c>
      <c r="N545" s="4" t="str">
        <f>IF(AI545="",CONCATENATE(S545,U545,W545,Y545,AA545,AC545,AE545,AG545,Table43[[#This Row],[Tanda Kode Revisi]]),CONCATENATE(S545,U545,W545,Y545,AA545,AC545,AE545,AI545))</f>
        <v>G1264202000010</v>
      </c>
      <c r="O545" s="11">
        <f t="shared" si="14"/>
        <v>14</v>
      </c>
      <c r="P545" s="14" t="str">
        <f>IF(AH545&lt;&gt;"",TRIM(UPPER(CONCATENATE(R545," ",T545," ",V545," ",X545," ",Z545," ",AB545," ","X"," ",Table43[[#This Row],[ISI/CTN]]," ",AH545," ",AD545," ",AF545," ",AJ545))),TRIM(UPPER(CONCATENATE(R545," ",T545," ",V545," ",X545," ",Z545," ",AB545," ","X"," ",Table43[[#This Row],[ISI/CTN]]," ",AD545," ",AF545," ",AJ545))))</f>
        <v>STELLA DAILY FRESH CAR+INDOOR MTP ROSE KISS X 72 PCS</v>
      </c>
      <c r="Q545" s="11">
        <f t="shared" si="15"/>
        <v>52</v>
      </c>
      <c r="S545" s="7" t="s">
        <v>34</v>
      </c>
      <c r="T545" s="4" t="s">
        <v>2421</v>
      </c>
      <c r="U545" s="47" t="s">
        <v>2584</v>
      </c>
      <c r="V545" s="48" t="s">
        <v>2423</v>
      </c>
      <c r="W545" s="7">
        <v>4</v>
      </c>
      <c r="X545" s="48" t="s">
        <v>2454</v>
      </c>
      <c r="Y545" s="47" t="s">
        <v>2572</v>
      </c>
      <c r="Z545" s="4" t="s">
        <v>2453</v>
      </c>
      <c r="AA545" s="49" t="s">
        <v>2459</v>
      </c>
      <c r="AC545" s="49" t="s">
        <v>2460</v>
      </c>
      <c r="AD545" s="4" t="s">
        <v>185</v>
      </c>
      <c r="AE545" s="7">
        <v>1</v>
      </c>
      <c r="AG545" s="7">
        <v>0</v>
      </c>
      <c r="AK545" s="70">
        <f>Table43[[#This Row],[Column4]]</f>
        <v>30650020650000</v>
      </c>
      <c r="AN545" s="7">
        <f>Table43[[#This Row],[ISI/CTN]]</f>
        <v>72</v>
      </c>
      <c r="AO545" s="61">
        <f>Table43[[#This Row],[Harga Jual Pcs GT
(-PPN)]]-(Table43[[#This Row],[Harga Jual Pcs GT
(-PPN)]]*6.5%)</f>
        <v>15044.15</v>
      </c>
      <c r="AP545" s="61">
        <f>Table43[[#This Row],[Harga Beli Pcs
(-PPN)]]*Table43[[#This Row],[ISI/CTN]]</f>
        <v>1083178.8</v>
      </c>
      <c r="AQ545" s="61">
        <f>Table43[[#This Row],[Harga Beli Pcs
(-PPN)]]*1.11</f>
        <v>16699.0065</v>
      </c>
      <c r="AR545" s="61">
        <f>Table43[[#This Row],[Harga Beli Krt
(- PPN)]]*1.11</f>
        <v>1202328.4680000001</v>
      </c>
      <c r="AS545" s="61">
        <v>16090</v>
      </c>
      <c r="AT545" s="61">
        <f>Table43[[#This Row],[Harga Jual Pcs GT
(-PPN)]]*Table43[[#This Row],[ISI/CTN]]</f>
        <v>1158480</v>
      </c>
      <c r="AU545" s="61">
        <f>Table43[[#This Row],[Harga Jual Pcs GT
(-PPN)]]*1.11</f>
        <v>17859.900000000001</v>
      </c>
      <c r="AV545" s="61">
        <f>Table43[[#This Row],[Harga Jual Krt GT
(- PPN)]]*1.11</f>
        <v>1285912.8</v>
      </c>
      <c r="AW545" s="61">
        <f>IFERROR(VLOOKUP(Table43[[#This Row],[Kode Pcpl]],'[1]FEB 2026'!$A$3:$X$312,24,0),0)</f>
        <v>0</v>
      </c>
      <c r="AX545" s="61">
        <f>Table43[[#This Row],[Harga Jual Pcs MT
(-PPN)]]*Table43[[#This Row],[ISI/CTN]]</f>
        <v>0</v>
      </c>
      <c r="AY545" s="61">
        <f>Table43[[#This Row],[Harga Jual Pcs MT
(-PPN)]]*1.11</f>
        <v>0</v>
      </c>
      <c r="AZ545" s="61">
        <f>Table43[[#This Row],[Harga Jual Pcs MT
(+PPN)]]*Table43[[#This Row],[ISI/CTN]]</f>
        <v>0</v>
      </c>
      <c r="BA545" s="62">
        <f>(Table43[[#This Row],[Harga Jual Pcs GT
(-PPN)]]-Table43[[#This Row],[Harga Beli Pcs
(-PPN)]])/Table43[[#This Row],[Harga Jual Pcs GT
(-PPN)]]</f>
        <v>6.5000000000000016E-2</v>
      </c>
      <c r="BB545" s="63">
        <f>Table43[[#This Row],[Harga Jual Pcs MT
(-PPN)]]-Table43[[#This Row],[Harga Beli Pcs
(-PPN)]]</f>
        <v>-15044.15</v>
      </c>
      <c r="BC545" s="64" t="e">
        <f>Table43[[#This Row],[Column1]]/Table43[[#This Row],[Harga Jual Pcs MT
(-PPN)]]</f>
        <v>#DIV/0!</v>
      </c>
      <c r="BD545" s="52"/>
      <c r="BE545" s="7"/>
      <c r="BF545" s="7" t="str">
        <f ca="1">IF(TODAY()-Table43[[#This Row],[Efektif
Pembuatan]]&gt;60,"Lama","Baru")</f>
        <v>Lama</v>
      </c>
      <c r="BG545" s="7" t="str">
        <f ca="1">IF(TODAY()-Table43[[#This Row],[Efektif Naik Harga]]&lt;30,"Naik","Sama")</f>
        <v>Sama</v>
      </c>
      <c r="BH545" s="7"/>
      <c r="BI545" s="7" t="str">
        <f>IF(Table43[[#This Row],[Kode BARANG Win2]]&lt;&gt;"","IDR","")</f>
        <v>IDR</v>
      </c>
      <c r="BJ545" s="7" t="str">
        <f>CONCATENATE(Table43[[#This Row],[kode  1 Digit
(Nomor)]],Table43[[#This Row],[kode  4 Digit                (Nomor)]])</f>
        <v>0000</v>
      </c>
      <c r="BK545" s="7">
        <f>Table43[[#This Row],[Nama            Gramasi atau Jumlah Pack per CTN]]</f>
        <v>0</v>
      </c>
      <c r="BL545" s="7"/>
      <c r="BM545" s="7"/>
      <c r="BN545" s="4" t="str">
        <f>IF(Table43[[#This Row],[SATUAN Fix Win]]&lt;&gt;"","KRT")</f>
        <v>KRT</v>
      </c>
      <c r="BO545" s="4" t="str">
        <f>IF(Table43[[#This Row],[SATUAN Fix Win]]&lt;&gt;"","GD01")</f>
        <v>GD01</v>
      </c>
      <c r="BP545" s="4">
        <f>IF(Table43[[#This Row],[SATUAN Fix Win]]&lt;&gt;"",11611)</f>
        <v>11611</v>
      </c>
      <c r="BQ545" s="4">
        <f>IF(Table43[[#This Row],[SATUAN Fix Win]]&lt;&gt;"",11612)</f>
        <v>11612</v>
      </c>
      <c r="BS545" s="4">
        <f>IF(Table43[[#This Row],[SATUAN Fix Win]]&lt;&gt;"",1)</f>
        <v>1</v>
      </c>
      <c r="BU545" s="4">
        <f>Table43[[#This Row],[ISI/CTN]]</f>
        <v>72</v>
      </c>
    </row>
    <row r="546" spans="1:75">
      <c r="A546" s="4" t="str">
        <f>CONCATENATE(Table43[[#This Row],[Kode BARANG Win2]],Table43[[#This Row],[No. Urut
Item Sama]])</f>
        <v>G1264202000010</v>
      </c>
      <c r="B546" s="7"/>
      <c r="C546" s="31"/>
      <c r="D546" s="59">
        <v>40029200</v>
      </c>
      <c r="E546" s="60"/>
      <c r="F546" s="59"/>
      <c r="G546" s="59"/>
      <c r="H546" s="60"/>
      <c r="I546" s="60">
        <v>72</v>
      </c>
      <c r="J546" s="59" t="s">
        <v>1851</v>
      </c>
      <c r="K546" s="60" t="str">
        <f>Table43[[#This Row],[NamaJenisKemasan]]</f>
        <v>PCS</v>
      </c>
      <c r="L546" s="4" t="str">
        <f>TRIM(CONCATENATE(Table43[[#This Row],[Nama            KLP]]," ",Table43[[#This Row],[Nama            Sub KLP]]))</f>
        <v>STELLA DAILY FRESH</v>
      </c>
      <c r="M546" s="4" t="str">
        <f>CONCATENATE(Table43[[#This Row],[kode  2 Digit                (hrf+No)]],Table43[[#This Row],[kode  2 Digit                (Nomor)]],Table43[[#This Row],[kode  1 Digit                (Nomor)]])</f>
        <v>G1264</v>
      </c>
      <c r="N546" s="4" t="str">
        <f>IF(AI546="",CONCATENATE(S546,U546,W546,Y546,AA546,AC546,AE546,AG546,Table43[[#This Row],[Tanda Kode Revisi]]),CONCATENATE(S546,U546,W546,Y546,AA546,AC546,AE546,AI546))</f>
        <v>G1264202000010</v>
      </c>
      <c r="O546" s="11">
        <f t="shared" si="14"/>
        <v>14</v>
      </c>
      <c r="P546" s="14" t="str">
        <f>IF(AH546&lt;&gt;"",TRIM(UPPER(CONCATENATE(R546," ",T546," ",V546," ",X546," ",Z546," ",AB546," ","X"," ",Table43[[#This Row],[ISI/CTN]]," ",AH546," ",AD546," ",AF546," ",AJ546))),TRIM(UPPER(CONCATENATE(R546," ",T546," ",V546," ",X546," ",Z546," ",AB546," ","X"," ",Table43[[#This Row],[ISI/CTN]]," ",AD546," ",AF546," ",AJ546))))</f>
        <v>STELLA DAILY FRESH CAR+INDOOR MTP ROSE KISS X 72 PCS</v>
      </c>
      <c r="Q546" s="11">
        <f t="shared" si="15"/>
        <v>52</v>
      </c>
      <c r="S546" s="7" t="s">
        <v>34</v>
      </c>
      <c r="T546" s="4" t="s">
        <v>2421</v>
      </c>
      <c r="U546" s="47" t="s">
        <v>2584</v>
      </c>
      <c r="V546" s="48" t="s">
        <v>2423</v>
      </c>
      <c r="W546" s="7">
        <v>4</v>
      </c>
      <c r="X546" s="48" t="s">
        <v>2454</v>
      </c>
      <c r="Y546" s="47" t="s">
        <v>2572</v>
      </c>
      <c r="Z546" s="4" t="s">
        <v>2453</v>
      </c>
      <c r="AA546" s="49" t="s">
        <v>2459</v>
      </c>
      <c r="AC546" s="49" t="s">
        <v>2460</v>
      </c>
      <c r="AD546" s="4" t="s">
        <v>185</v>
      </c>
      <c r="AE546" s="7">
        <v>1</v>
      </c>
      <c r="AG546" s="7">
        <v>0</v>
      </c>
      <c r="AK546" s="70">
        <f>Table43[[#This Row],[Column4]]</f>
        <v>0</v>
      </c>
      <c r="AN546" s="7">
        <f>Table43[[#This Row],[ISI/CTN]]</f>
        <v>72</v>
      </c>
      <c r="AO546" s="61">
        <f>Table43[[#This Row],[Harga Jual Pcs GT
(-PPN)]]-(Table43[[#This Row],[Harga Jual Pcs GT
(-PPN)]]*6.5%)</f>
        <v>15044.15</v>
      </c>
      <c r="AP546" s="61">
        <f>Table43[[#This Row],[Harga Beli Pcs
(-PPN)]]*Table43[[#This Row],[ISI/CTN]]</f>
        <v>1083178.8</v>
      </c>
      <c r="AQ546" s="61">
        <f>Table43[[#This Row],[Harga Beli Pcs
(-PPN)]]*1.11</f>
        <v>16699.0065</v>
      </c>
      <c r="AR546" s="61">
        <f>Table43[[#This Row],[Harga Beli Krt
(- PPN)]]*1.11</f>
        <v>1202328.4680000001</v>
      </c>
      <c r="AS546" s="61">
        <v>16090</v>
      </c>
      <c r="AT546" s="61">
        <f>Table43[[#This Row],[Harga Jual Pcs GT
(-PPN)]]*Table43[[#This Row],[ISI/CTN]]</f>
        <v>1158480</v>
      </c>
      <c r="AU546" s="61">
        <f>Table43[[#This Row],[Harga Jual Pcs GT
(-PPN)]]*1.11</f>
        <v>17859.900000000001</v>
      </c>
      <c r="AV546" s="61">
        <f>Table43[[#This Row],[Harga Jual Krt GT
(- PPN)]]*1.11</f>
        <v>1285912.8</v>
      </c>
      <c r="AW546" s="61">
        <f>IFERROR(VLOOKUP(Table43[[#This Row],[Kode Pcpl]],'[1]FEB 2026'!$A$3:$X$312,24,0),0)</f>
        <v>0</v>
      </c>
      <c r="AX546" s="61">
        <f>Table43[[#This Row],[Harga Jual Pcs MT
(-PPN)]]*Table43[[#This Row],[ISI/CTN]]</f>
        <v>0</v>
      </c>
      <c r="AY546" s="61">
        <f>Table43[[#This Row],[Harga Jual Pcs MT
(-PPN)]]*1.11</f>
        <v>0</v>
      </c>
      <c r="AZ546" s="61">
        <f>Table43[[#This Row],[Harga Jual Pcs MT
(+PPN)]]*Table43[[#This Row],[ISI/CTN]]</f>
        <v>0</v>
      </c>
      <c r="BA546" s="62">
        <f>(Table43[[#This Row],[Harga Jual Pcs GT
(-PPN)]]-Table43[[#This Row],[Harga Beli Pcs
(-PPN)]])/Table43[[#This Row],[Harga Jual Pcs GT
(-PPN)]]</f>
        <v>6.5000000000000016E-2</v>
      </c>
      <c r="BB546" s="63">
        <f>Table43[[#This Row],[Harga Jual Pcs MT
(-PPN)]]-Table43[[#This Row],[Harga Beli Pcs
(-PPN)]]</f>
        <v>-15044.15</v>
      </c>
      <c r="BC546" s="64" t="e">
        <f>Table43[[#This Row],[Column1]]/Table43[[#This Row],[Harga Jual Pcs MT
(-PPN)]]</f>
        <v>#DIV/0!</v>
      </c>
      <c r="BD546" s="52"/>
      <c r="BE546" s="7"/>
      <c r="BF546" s="7" t="str">
        <f ca="1">IF(TODAY()-Table43[[#This Row],[Efektif
Pembuatan]]&gt;60,"Lama","Baru")</f>
        <v>Lama</v>
      </c>
      <c r="BG546" s="7" t="str">
        <f ca="1">IF(TODAY()-Table43[[#This Row],[Efektif Naik Harga]]&lt;30,"Naik","Sama")</f>
        <v>Sama</v>
      </c>
      <c r="BH546" s="7"/>
      <c r="BI546" s="7" t="str">
        <f>IF(Table43[[#This Row],[Kode BARANG Win2]]&lt;&gt;"","IDR","")</f>
        <v>IDR</v>
      </c>
      <c r="BJ546" s="7" t="str">
        <f>CONCATENATE(Table43[[#This Row],[kode  1 Digit
(Nomor)]],Table43[[#This Row],[kode  4 Digit                (Nomor)]])</f>
        <v>0000</v>
      </c>
      <c r="BK546" s="7">
        <f>Table43[[#This Row],[Nama            Gramasi atau Jumlah Pack per CTN]]</f>
        <v>0</v>
      </c>
      <c r="BL546" s="7"/>
      <c r="BM546" s="7"/>
      <c r="BN546" s="4" t="str">
        <f>IF(Table43[[#This Row],[SATUAN Fix Win]]&lt;&gt;"","KRT")</f>
        <v>KRT</v>
      </c>
      <c r="BO546" s="4" t="str">
        <f>IF(Table43[[#This Row],[SATUAN Fix Win]]&lt;&gt;"","GD01")</f>
        <v>GD01</v>
      </c>
      <c r="BP546" s="4">
        <f>IF(Table43[[#This Row],[SATUAN Fix Win]]&lt;&gt;"",11611)</f>
        <v>11611</v>
      </c>
      <c r="BQ546" s="4">
        <f>IF(Table43[[#This Row],[SATUAN Fix Win]]&lt;&gt;"",11612)</f>
        <v>11612</v>
      </c>
      <c r="BS546" s="4">
        <f>IF(Table43[[#This Row],[SATUAN Fix Win]]&lt;&gt;"",1)</f>
        <v>1</v>
      </c>
      <c r="BU546" s="4">
        <f>Table43[[#This Row],[ISI/CTN]]</f>
        <v>72</v>
      </c>
    </row>
    <row r="547" spans="1:75">
      <c r="A547" s="4" t="str">
        <f>CONCATENATE(Table43[[#This Row],[Kode BARANG Win2]],Table43[[#This Row],[No. Urut
Item Sama]])</f>
        <v>G1264203000010</v>
      </c>
      <c r="B547" s="7"/>
      <c r="C547" s="31">
        <v>30601000000000</v>
      </c>
      <c r="D547" s="51">
        <v>40049689</v>
      </c>
      <c r="E547" s="27" t="s">
        <v>2132</v>
      </c>
      <c r="F547" s="51">
        <v>30550020007001</v>
      </c>
      <c r="G547" s="51">
        <v>0</v>
      </c>
      <c r="H547" s="27" t="s">
        <v>1458</v>
      </c>
      <c r="I547" s="27">
        <v>72</v>
      </c>
      <c r="J547" s="51" t="s">
        <v>1801</v>
      </c>
      <c r="K547" s="27" t="str">
        <f>Table43[[#This Row],[NamaJenisKemasan]]</f>
        <v>PCS</v>
      </c>
      <c r="L547" s="4" t="str">
        <f>TRIM(CONCATENATE(Table43[[#This Row],[Nama            KLP]]," ",Table43[[#This Row],[Nama            Sub KLP]]))</f>
        <v>STELLA DAILY FRESH</v>
      </c>
      <c r="M547" s="4" t="str">
        <f>CONCATENATE(Table43[[#This Row],[kode  2 Digit                (hrf+No)]],Table43[[#This Row],[kode  2 Digit                (Nomor)]],Table43[[#This Row],[kode  1 Digit                (Nomor)]])</f>
        <v>G1264</v>
      </c>
      <c r="N547" s="4" t="str">
        <f>IF(AI547="",CONCATENATE(S547,U547,W547,Y547,AA547,AC547,AE547,AG547,Table43[[#This Row],[Tanda Kode Revisi]]),CONCATENATE(S547,U547,W547,Y547,AA547,AC547,AE547,AI547))</f>
        <v>G1264203000010</v>
      </c>
      <c r="O547" s="11">
        <f t="shared" si="14"/>
        <v>14</v>
      </c>
      <c r="P547" s="14" t="str">
        <f>IF(AH547&lt;&gt;"",TRIM(UPPER(CONCATENATE(R547," ",T547," ",V547," ",X547," ",Z547," ",AB547," ","X"," ",Table43[[#This Row],[ISI/CTN]]," ",AH547," ",AD547," ",AF547," ",AJ547))),TRIM(UPPER(CONCATENATE(R547," ",T547," ",V547," ",X547," ",Z547," ",AB547," ","X"," ",Table43[[#This Row],[ISI/CTN]]," ",AD547," ",AF547," ",AJ547))))</f>
        <v>STELLA DAILY FRESH CAR+INDOOR MTP VANILLA X 72 PCS</v>
      </c>
      <c r="Q547" s="11">
        <f t="shared" si="15"/>
        <v>50</v>
      </c>
      <c r="S547" s="7" t="s">
        <v>34</v>
      </c>
      <c r="T547" s="4" t="s">
        <v>2421</v>
      </c>
      <c r="U547" s="47" t="s">
        <v>2584</v>
      </c>
      <c r="V547" s="48" t="s">
        <v>2423</v>
      </c>
      <c r="W547" s="7">
        <v>4</v>
      </c>
      <c r="X547" s="48" t="s">
        <v>2454</v>
      </c>
      <c r="Y547" s="47" t="s">
        <v>2572</v>
      </c>
      <c r="Z547" s="4" t="s">
        <v>2435</v>
      </c>
      <c r="AA547" s="49" t="s">
        <v>2538</v>
      </c>
      <c r="AC547" s="49" t="s">
        <v>2460</v>
      </c>
      <c r="AD547" s="4" t="s">
        <v>185</v>
      </c>
      <c r="AE547" s="7">
        <v>1</v>
      </c>
      <c r="AG547" s="7">
        <v>0</v>
      </c>
      <c r="AK547" s="70">
        <f>Table43[[#This Row],[Column4]]</f>
        <v>30550020007001</v>
      </c>
      <c r="AN547" s="7">
        <f>Table43[[#This Row],[ISI/CTN]]</f>
        <v>72</v>
      </c>
      <c r="AO547" s="38">
        <f>Table43[[#This Row],[Harga Jual Pcs GT
(-PPN)]]-(Table43[[#This Row],[Harga Jual Pcs GT
(-PPN)]]*6.5%)</f>
        <v>15044.15</v>
      </c>
      <c r="AP547" s="38">
        <f>Table43[[#This Row],[Harga Beli Pcs
(-PPN)]]*Table43[[#This Row],[ISI/CTN]]</f>
        <v>1083178.8</v>
      </c>
      <c r="AQ547" s="38">
        <f>Table43[[#This Row],[Harga Beli Pcs
(-PPN)]]*1.11</f>
        <v>16699.0065</v>
      </c>
      <c r="AR547" s="38">
        <f>Table43[[#This Row],[Harga Beli Krt
(- PPN)]]*1.11</f>
        <v>1202328.4680000001</v>
      </c>
      <c r="AS547" s="38">
        <v>16090</v>
      </c>
      <c r="AT547" s="38">
        <f>Table43[[#This Row],[Harga Jual Pcs GT
(-PPN)]]*Table43[[#This Row],[ISI/CTN]]</f>
        <v>1158480</v>
      </c>
      <c r="AU547" s="38">
        <f>Table43[[#This Row],[Harga Jual Pcs GT
(-PPN)]]*1.11</f>
        <v>17859.900000000001</v>
      </c>
      <c r="AV547" s="38">
        <f>Table43[[#This Row],[Harga Jual Krt GT
(- PPN)]]*1.11</f>
        <v>1285912.8</v>
      </c>
      <c r="AW547" s="38">
        <f>IFERROR(VLOOKUP(Table43[[#This Row],[Kode Pcpl]],'[1]FEB 2026'!$A$3:$X$312,24,0),0)</f>
        <v>0</v>
      </c>
      <c r="AX547" s="38">
        <f>Table43[[#This Row],[Harga Jual Pcs MT
(-PPN)]]*Table43[[#This Row],[ISI/CTN]]</f>
        <v>0</v>
      </c>
      <c r="AY547" s="38">
        <f>Table43[[#This Row],[Harga Jual Pcs MT
(-PPN)]]*1.11</f>
        <v>0</v>
      </c>
      <c r="AZ547" s="38">
        <f>Table43[[#This Row],[Harga Jual Pcs MT
(+PPN)]]*Table43[[#This Row],[ISI/CTN]]</f>
        <v>0</v>
      </c>
      <c r="BA547" s="46">
        <f>(Table43[[#This Row],[Harga Jual Pcs GT
(-PPN)]]-Table43[[#This Row],[Harga Beli Pcs
(-PPN)]])/Table43[[#This Row],[Harga Jual Pcs GT
(-PPN)]]</f>
        <v>6.5000000000000016E-2</v>
      </c>
      <c r="BB547" s="53">
        <f>Table43[[#This Row],[Harga Jual Pcs MT
(-PPN)]]-Table43[[#This Row],[Harga Beli Pcs
(-PPN)]]</f>
        <v>-15044.15</v>
      </c>
      <c r="BC547" s="54" t="e">
        <f>Table43[[#This Row],[Column1]]/Table43[[#This Row],[Harga Jual Pcs MT
(-PPN)]]</f>
        <v>#DIV/0!</v>
      </c>
      <c r="BD547" s="52"/>
      <c r="BE547" s="7"/>
      <c r="BF547" s="7" t="str">
        <f ca="1">IF(TODAY()-Table43[[#This Row],[Efektif
Pembuatan]]&gt;60,"Lama","Baru")</f>
        <v>Lama</v>
      </c>
      <c r="BG547" s="7" t="str">
        <f ca="1">IF(TODAY()-Table43[[#This Row],[Efektif Naik Harga]]&lt;30,"Naik","Sama")</f>
        <v>Sama</v>
      </c>
      <c r="BH547" s="7"/>
      <c r="BI547" s="7" t="str">
        <f>IF(Table43[[#This Row],[Kode BARANG Win2]]&lt;&gt;"","IDR","")</f>
        <v>IDR</v>
      </c>
      <c r="BJ547" s="7" t="str">
        <f>CONCATENATE(Table43[[#This Row],[kode  1 Digit
(Nomor)]],Table43[[#This Row],[kode  4 Digit                (Nomor)]])</f>
        <v>0000</v>
      </c>
      <c r="BK547" s="7">
        <f>Table43[[#This Row],[Nama            Gramasi atau Jumlah Pack per CTN]]</f>
        <v>0</v>
      </c>
      <c r="BL547" s="7"/>
      <c r="BM547" s="7"/>
      <c r="BN547" s="4" t="str">
        <f>IF(Table43[[#This Row],[SATUAN Fix Win]]&lt;&gt;"","KRT")</f>
        <v>KRT</v>
      </c>
      <c r="BO547" s="4" t="str">
        <f>IF(Table43[[#This Row],[SATUAN Fix Win]]&lt;&gt;"","GD01")</f>
        <v>GD01</v>
      </c>
      <c r="BP547" s="4">
        <f>IF(Table43[[#This Row],[SATUAN Fix Win]]&lt;&gt;"",11611)</f>
        <v>11611</v>
      </c>
      <c r="BQ547" s="4">
        <f>IF(Table43[[#This Row],[SATUAN Fix Win]]&lt;&gt;"",11612)</f>
        <v>11612</v>
      </c>
      <c r="BS547" s="4">
        <f>IF(Table43[[#This Row],[SATUAN Fix Win]]&lt;&gt;"",1)</f>
        <v>1</v>
      </c>
      <c r="BU547" s="4">
        <f>Table43[[#This Row],[ISI/CTN]]</f>
        <v>72</v>
      </c>
    </row>
    <row r="548" spans="1:75">
      <c r="A548" s="4" t="str">
        <f>CONCATENATE(Table43[[#This Row],[Kode BARANG Win2]],Table43[[#This Row],[No. Urut
Item Sama]])</f>
        <v>G1264203000010</v>
      </c>
      <c r="B548" s="7"/>
      <c r="C548" s="31">
        <v>30590060000000</v>
      </c>
      <c r="D548" s="59">
        <v>40058509</v>
      </c>
      <c r="E548" s="60" t="s">
        <v>2132</v>
      </c>
      <c r="F548" s="59">
        <v>30550020007001</v>
      </c>
      <c r="G548" s="59">
        <v>0</v>
      </c>
      <c r="H548" s="60" t="s">
        <v>1459</v>
      </c>
      <c r="I548" s="60">
        <v>72</v>
      </c>
      <c r="J548" s="59" t="s">
        <v>1801</v>
      </c>
      <c r="K548" s="60" t="str">
        <f>Table43[[#This Row],[NamaJenisKemasan]]</f>
        <v>PCS</v>
      </c>
      <c r="L548" s="4" t="str">
        <f>TRIM(CONCATENATE(Table43[[#This Row],[Nama            KLP]]," ",Table43[[#This Row],[Nama            Sub KLP]]))</f>
        <v>STELLA DAILY FRESH</v>
      </c>
      <c r="M548" s="4" t="str">
        <f>CONCATENATE(Table43[[#This Row],[kode  2 Digit                (hrf+No)]],Table43[[#This Row],[kode  2 Digit                (Nomor)]],Table43[[#This Row],[kode  1 Digit                (Nomor)]])</f>
        <v>G1264</v>
      </c>
      <c r="N548" s="4" t="str">
        <f>IF(AI548="",CONCATENATE(S548,U548,W548,Y548,AA548,AC548,AE548,AG548,Table43[[#This Row],[Tanda Kode Revisi]]),CONCATENATE(S548,U548,W548,Y548,AA548,AC548,AE548,AI548))</f>
        <v>G1264203000010</v>
      </c>
      <c r="O548" s="11">
        <f t="shared" si="14"/>
        <v>14</v>
      </c>
      <c r="P548" s="14" t="str">
        <f>IF(AH548&lt;&gt;"",TRIM(UPPER(CONCATENATE(R548," ",T548," ",V548," ",X548," ",Z548," ",AB548," ","X"," ",Table43[[#This Row],[ISI/CTN]]," ",AH548," ",AD548," ",AF548," ",AJ548))),TRIM(UPPER(CONCATENATE(R548," ",T548," ",V548," ",X548," ",Z548," ",AB548," ","X"," ",Table43[[#This Row],[ISI/CTN]]," ",AD548," ",AF548," ",AJ548))))</f>
        <v>STELLA DAILY FRESH CAR+INDOOR MTP VANILLA X 72 PCS</v>
      </c>
      <c r="Q548" s="11">
        <f t="shared" si="15"/>
        <v>50</v>
      </c>
      <c r="S548" s="7" t="s">
        <v>34</v>
      </c>
      <c r="T548" s="4" t="s">
        <v>2421</v>
      </c>
      <c r="U548" s="47" t="s">
        <v>2584</v>
      </c>
      <c r="V548" s="48" t="s">
        <v>2423</v>
      </c>
      <c r="W548" s="7">
        <v>4</v>
      </c>
      <c r="X548" s="48" t="s">
        <v>2454</v>
      </c>
      <c r="Y548" s="47" t="s">
        <v>2572</v>
      </c>
      <c r="Z548" s="4" t="s">
        <v>2435</v>
      </c>
      <c r="AA548" s="49" t="s">
        <v>2538</v>
      </c>
      <c r="AC548" s="49" t="s">
        <v>2460</v>
      </c>
      <c r="AD548" s="4" t="s">
        <v>185</v>
      </c>
      <c r="AE548" s="7">
        <v>1</v>
      </c>
      <c r="AG548" s="7">
        <v>0</v>
      </c>
      <c r="AK548" s="70">
        <f>Table43[[#This Row],[Column4]]</f>
        <v>30550020007001</v>
      </c>
      <c r="AN548" s="7">
        <f>Table43[[#This Row],[ISI/CTN]]</f>
        <v>72</v>
      </c>
      <c r="AO548" s="61">
        <f>Table43[[#This Row],[Harga Jual Pcs GT
(-PPN)]]-(Table43[[#This Row],[Harga Jual Pcs GT
(-PPN)]]*6.5%)</f>
        <v>15044.15</v>
      </c>
      <c r="AP548" s="61">
        <f>Table43[[#This Row],[Harga Beli Pcs
(-PPN)]]*Table43[[#This Row],[ISI/CTN]]</f>
        <v>1083178.8</v>
      </c>
      <c r="AQ548" s="61">
        <f>Table43[[#This Row],[Harga Beli Pcs
(-PPN)]]*1.11</f>
        <v>16699.0065</v>
      </c>
      <c r="AR548" s="61">
        <f>Table43[[#This Row],[Harga Beli Krt
(- PPN)]]*1.11</f>
        <v>1202328.4680000001</v>
      </c>
      <c r="AS548" s="61">
        <v>16090</v>
      </c>
      <c r="AT548" s="61">
        <f>Table43[[#This Row],[Harga Jual Pcs GT
(-PPN)]]*Table43[[#This Row],[ISI/CTN]]</f>
        <v>1158480</v>
      </c>
      <c r="AU548" s="61">
        <f>Table43[[#This Row],[Harga Jual Pcs GT
(-PPN)]]*1.11</f>
        <v>17859.900000000001</v>
      </c>
      <c r="AV548" s="61">
        <f>Table43[[#This Row],[Harga Jual Krt GT
(- PPN)]]*1.11</f>
        <v>1285912.8</v>
      </c>
      <c r="AW548" s="61">
        <f>IFERROR(VLOOKUP(Table43[[#This Row],[Kode Pcpl]],'[1]FEB 2026'!$A$3:$X$312,24,0),0)</f>
        <v>0</v>
      </c>
      <c r="AX548" s="61">
        <f>Table43[[#This Row],[Harga Jual Pcs MT
(-PPN)]]*Table43[[#This Row],[ISI/CTN]]</f>
        <v>0</v>
      </c>
      <c r="AY548" s="61">
        <f>Table43[[#This Row],[Harga Jual Pcs MT
(-PPN)]]*1.11</f>
        <v>0</v>
      </c>
      <c r="AZ548" s="61">
        <f>Table43[[#This Row],[Harga Jual Pcs MT
(+PPN)]]*Table43[[#This Row],[ISI/CTN]]</f>
        <v>0</v>
      </c>
      <c r="BA548" s="62">
        <f>(Table43[[#This Row],[Harga Jual Pcs GT
(-PPN)]]-Table43[[#This Row],[Harga Beli Pcs
(-PPN)]])/Table43[[#This Row],[Harga Jual Pcs GT
(-PPN)]]</f>
        <v>6.5000000000000016E-2</v>
      </c>
      <c r="BB548" s="63">
        <f>Table43[[#This Row],[Harga Jual Pcs MT
(-PPN)]]-Table43[[#This Row],[Harga Beli Pcs
(-PPN)]]</f>
        <v>-15044.15</v>
      </c>
      <c r="BC548" s="64" t="e">
        <f>Table43[[#This Row],[Column1]]/Table43[[#This Row],[Harga Jual Pcs MT
(-PPN)]]</f>
        <v>#DIV/0!</v>
      </c>
      <c r="BD548" s="52"/>
      <c r="BE548" s="7"/>
      <c r="BF548" s="7" t="str">
        <f ca="1">IF(TODAY()-Table43[[#This Row],[Efektif
Pembuatan]]&gt;60,"Lama","Baru")</f>
        <v>Lama</v>
      </c>
      <c r="BG548" s="7" t="str">
        <f ca="1">IF(TODAY()-Table43[[#This Row],[Efektif Naik Harga]]&lt;30,"Naik","Sama")</f>
        <v>Sama</v>
      </c>
      <c r="BH548" s="7"/>
      <c r="BI548" s="7" t="str">
        <f>IF(Table43[[#This Row],[Kode BARANG Win2]]&lt;&gt;"","IDR","")</f>
        <v>IDR</v>
      </c>
      <c r="BJ548" s="7" t="str">
        <f>CONCATENATE(Table43[[#This Row],[kode  1 Digit
(Nomor)]],Table43[[#This Row],[kode  4 Digit                (Nomor)]])</f>
        <v>0000</v>
      </c>
      <c r="BK548" s="7">
        <f>Table43[[#This Row],[Nama            Gramasi atau Jumlah Pack per CTN]]</f>
        <v>0</v>
      </c>
      <c r="BL548" s="7"/>
      <c r="BM548" s="7"/>
      <c r="BN548" s="4" t="str">
        <f>IF(Table43[[#This Row],[SATUAN Fix Win]]&lt;&gt;"","KRT")</f>
        <v>KRT</v>
      </c>
      <c r="BO548" s="4" t="str">
        <f>IF(Table43[[#This Row],[SATUAN Fix Win]]&lt;&gt;"","GD01")</f>
        <v>GD01</v>
      </c>
      <c r="BP548" s="4">
        <f>IF(Table43[[#This Row],[SATUAN Fix Win]]&lt;&gt;"",11611)</f>
        <v>11611</v>
      </c>
      <c r="BQ548" s="4">
        <f>IF(Table43[[#This Row],[SATUAN Fix Win]]&lt;&gt;"",11612)</f>
        <v>11612</v>
      </c>
      <c r="BS548" s="4">
        <f>IF(Table43[[#This Row],[SATUAN Fix Win]]&lt;&gt;"",1)</f>
        <v>1</v>
      </c>
      <c r="BU548" s="4">
        <f>Table43[[#This Row],[ISI/CTN]]</f>
        <v>72</v>
      </c>
    </row>
    <row r="549" spans="1:75">
      <c r="A549" s="4" t="str">
        <f>CONCATENATE(Table43[[#This Row],[Kode BARANG Win2]],Table43[[#This Row],[No. Urut
Item Sama]])</f>
        <v>G1264301000010</v>
      </c>
      <c r="B549" s="7"/>
      <c r="C549" s="31">
        <v>30550010007000</v>
      </c>
      <c r="D549" s="51">
        <v>40011643</v>
      </c>
      <c r="E549" s="66" t="s">
        <v>2504</v>
      </c>
      <c r="F549" s="68">
        <v>30550010007000</v>
      </c>
      <c r="G549" s="68">
        <v>0</v>
      </c>
      <c r="H549" s="27">
        <v>0</v>
      </c>
      <c r="I549" s="27">
        <v>72</v>
      </c>
      <c r="J549" s="51">
        <v>0</v>
      </c>
      <c r="K549" s="27" t="str">
        <f>Table43[[#This Row],[NamaJenisKemasan]]</f>
        <v>PCS</v>
      </c>
      <c r="L549" s="4" t="str">
        <f>TRIM(CONCATENATE(Table43[[#This Row],[Nama            KLP]]," ",Table43[[#This Row],[Nama            Sub KLP]]))</f>
        <v>STELLA DAILY FRESH</v>
      </c>
      <c r="M549" s="4" t="str">
        <f>CONCATENATE(Table43[[#This Row],[kode  2 Digit                (hrf+No)]],Table43[[#This Row],[kode  2 Digit                (Nomor)]],Table43[[#This Row],[kode  1 Digit                (Nomor)]])</f>
        <v>G1264</v>
      </c>
      <c r="N549" s="4" t="str">
        <f>IF(AI549="",CONCATENATE(S549,U549,W549,Y549,AA549,AC549,AE549,AG549,Table43[[#This Row],[Tanda Kode Revisi]]),CONCATENATE(S549,U549,W549,Y549,AA549,AC549,AE549,AI549))</f>
        <v>G1264301000010</v>
      </c>
      <c r="O549" s="11">
        <f t="shared" si="14"/>
        <v>14</v>
      </c>
      <c r="P549" s="14" t="str">
        <f>IF(AH549&lt;&gt;"",TRIM(UPPER(CONCATENATE(R549," ",T549," ",V549," ",X549," ",Z549," ",AB549," ","X"," ",Table43[[#This Row],[ISI/CTN]]," ",AH549," ",AD549," ",AF549," ",AJ549))),TRIM(UPPER(CONCATENATE(R549," ",T549," ",V549," ",X549," ",Z549," ",AB549," ","X"," ",Table43[[#This Row],[ISI/CTN]]," ",AD549," ",AF549," ",AJ549))))</f>
        <v>STELLA DAILY FRESH INDOOR DREAM ISLAND X 72 PCS</v>
      </c>
      <c r="Q549" s="11">
        <f t="shared" si="15"/>
        <v>47</v>
      </c>
      <c r="S549" s="7" t="s">
        <v>34</v>
      </c>
      <c r="T549" s="4" t="s">
        <v>2421</v>
      </c>
      <c r="U549" s="47" t="s">
        <v>2584</v>
      </c>
      <c r="V549" s="48" t="s">
        <v>2423</v>
      </c>
      <c r="W549" s="7">
        <v>4</v>
      </c>
      <c r="X549" s="48" t="s">
        <v>2534</v>
      </c>
      <c r="Y549" s="47" t="s">
        <v>2576</v>
      </c>
      <c r="Z549" s="4" t="s">
        <v>2443</v>
      </c>
      <c r="AA549" s="49" t="s">
        <v>1115</v>
      </c>
      <c r="AC549" s="49" t="s">
        <v>2460</v>
      </c>
      <c r="AD549" s="4" t="s">
        <v>185</v>
      </c>
      <c r="AE549" s="7">
        <v>1</v>
      </c>
      <c r="AG549" s="7">
        <v>0</v>
      </c>
      <c r="AK549" s="70">
        <f>Table43[[#This Row],[Column4]]</f>
        <v>30550010007000</v>
      </c>
      <c r="AN549" s="7">
        <f>Table43[[#This Row],[ISI/CTN]]</f>
        <v>72</v>
      </c>
      <c r="AO549" s="38">
        <f>Table43[[#This Row],[Harga Jual Pcs GT
(-PPN)]]-(Table43[[#This Row],[Harga Jual Pcs GT
(-PPN)]]*6.5%)</f>
        <v>13931.5</v>
      </c>
      <c r="AP549" s="38">
        <f>Table43[[#This Row],[Harga Beli Pcs
(-PPN)]]*Table43[[#This Row],[ISI/CTN]]</f>
        <v>1003068</v>
      </c>
      <c r="AQ549" s="38">
        <f>Table43[[#This Row],[Harga Beli Pcs
(-PPN)]]*1.11</f>
        <v>15463.965000000002</v>
      </c>
      <c r="AR549" s="38">
        <f>Table43[[#This Row],[Harga Beli Krt
(- PPN)]]*1.11</f>
        <v>1113405.4800000002</v>
      </c>
      <c r="AS549" s="38">
        <v>14900</v>
      </c>
      <c r="AT549" s="38">
        <f>Table43[[#This Row],[Harga Jual Pcs GT
(-PPN)]]*Table43[[#This Row],[ISI/CTN]]</f>
        <v>1072800</v>
      </c>
      <c r="AU549" s="38">
        <f>Table43[[#This Row],[Harga Jual Pcs GT
(-PPN)]]*1.11</f>
        <v>16539</v>
      </c>
      <c r="AV549" s="38">
        <f>Table43[[#This Row],[Harga Jual Krt GT
(- PPN)]]*1.11</f>
        <v>1190808</v>
      </c>
      <c r="AW549" s="38">
        <f>IFERROR(VLOOKUP(Table43[[#This Row],[Kode Pcpl]],'[1]FEB 2026'!$A$3:$X$312,24,0),0)</f>
        <v>0</v>
      </c>
      <c r="AX549" s="38">
        <f>Table43[[#This Row],[Harga Jual Pcs MT
(-PPN)]]*Table43[[#This Row],[ISI/CTN]]</f>
        <v>0</v>
      </c>
      <c r="AY549" s="38">
        <f>Table43[[#This Row],[Harga Jual Pcs MT
(-PPN)]]*1.11</f>
        <v>0</v>
      </c>
      <c r="AZ549" s="38">
        <f>Table43[[#This Row],[Harga Jual Pcs MT
(+PPN)]]*Table43[[#This Row],[ISI/CTN]]</f>
        <v>0</v>
      </c>
      <c r="BA549" s="46">
        <f>(Table43[[#This Row],[Harga Jual Pcs GT
(-PPN)]]-Table43[[#This Row],[Harga Beli Pcs
(-PPN)]])/Table43[[#This Row],[Harga Jual Pcs GT
(-PPN)]]</f>
        <v>6.5000000000000002E-2</v>
      </c>
      <c r="BB549" s="53">
        <f>Table43[[#This Row],[Harga Jual Pcs MT
(-PPN)]]-Table43[[#This Row],[Harga Beli Pcs
(-PPN)]]</f>
        <v>-13931.5</v>
      </c>
      <c r="BC549" s="54" t="e">
        <f>Table43[[#This Row],[Column1]]/Table43[[#This Row],[Harga Jual Pcs MT
(-PPN)]]</f>
        <v>#DIV/0!</v>
      </c>
      <c r="BD549" s="52"/>
      <c r="BE549" s="7"/>
      <c r="BF549" s="7" t="str">
        <f ca="1">IF(TODAY()-Table43[[#This Row],[Efektif
Pembuatan]]&gt;60,"Lama","Baru")</f>
        <v>Lama</v>
      </c>
      <c r="BG549" s="7" t="str">
        <f ca="1">IF(TODAY()-Table43[[#This Row],[Efektif Naik Harga]]&lt;30,"Naik","Sama")</f>
        <v>Sama</v>
      </c>
      <c r="BH549" s="7"/>
      <c r="BI549" s="7" t="str">
        <f>IF(Table43[[#This Row],[Kode BARANG Win2]]&lt;&gt;"","IDR","")</f>
        <v>IDR</v>
      </c>
      <c r="BJ549" s="7" t="str">
        <f>CONCATENATE(Table43[[#This Row],[kode  1 Digit
(Nomor)]],Table43[[#This Row],[kode  4 Digit                (Nomor)]])</f>
        <v>0000</v>
      </c>
      <c r="BK549" s="7">
        <f>Table43[[#This Row],[Nama            Gramasi atau Jumlah Pack per CTN]]</f>
        <v>0</v>
      </c>
      <c r="BL549" s="7"/>
      <c r="BM549" s="7"/>
      <c r="BN549" s="4" t="str">
        <f>IF(Table43[[#This Row],[SATUAN Fix Win]]&lt;&gt;"","KRT")</f>
        <v>KRT</v>
      </c>
      <c r="BO549" s="4" t="str">
        <f>IF(Table43[[#This Row],[SATUAN Fix Win]]&lt;&gt;"","GD01")</f>
        <v>GD01</v>
      </c>
      <c r="BP549" s="4">
        <f>IF(Table43[[#This Row],[SATUAN Fix Win]]&lt;&gt;"",11611)</f>
        <v>11611</v>
      </c>
      <c r="BQ549" s="4">
        <f>IF(Table43[[#This Row],[SATUAN Fix Win]]&lt;&gt;"",11612)</f>
        <v>11612</v>
      </c>
      <c r="BS549" s="4">
        <f>IF(Table43[[#This Row],[SATUAN Fix Win]]&lt;&gt;"",1)</f>
        <v>1</v>
      </c>
      <c r="BU549" s="4">
        <f>Table43[[#This Row],[ISI/CTN]]</f>
        <v>72</v>
      </c>
    </row>
    <row r="550" spans="1:75">
      <c r="A550" s="4" t="str">
        <f>CONCATENATE(Table43[[#This Row],[Kode BARANG Win2]],Table43[[#This Row],[No. Urut
Item Sama]])</f>
        <v>G1265000002510</v>
      </c>
      <c r="B550" s="7"/>
      <c r="C550" s="31">
        <v>30601000000000</v>
      </c>
      <c r="D550" s="51">
        <v>40042087</v>
      </c>
      <c r="E550" s="27" t="s">
        <v>2187</v>
      </c>
      <c r="F550" s="51">
        <v>30682000025020</v>
      </c>
      <c r="G550" s="51">
        <v>0</v>
      </c>
      <c r="H550" s="27" t="s">
        <v>1542</v>
      </c>
      <c r="I550" s="27">
        <v>24</v>
      </c>
      <c r="J550" s="51" t="s">
        <v>1854</v>
      </c>
      <c r="K550" s="27" t="str">
        <f>Table43[[#This Row],[NamaJenisKemasan]]</f>
        <v>SET</v>
      </c>
      <c r="L550" s="4" t="str">
        <f>TRIM(CONCATENATE(Table43[[#This Row],[Nama            KLP]]," ",Table43[[#This Row],[Nama            Sub KLP]]))</f>
        <v>STELLA DEVICE</v>
      </c>
      <c r="M550" s="4" t="str">
        <f>CONCATENATE(Table43[[#This Row],[kode  2 Digit                (hrf+No)]],Table43[[#This Row],[kode  2 Digit                (Nomor)]],Table43[[#This Row],[kode  1 Digit                (Nomor)]])</f>
        <v>G1265</v>
      </c>
      <c r="N550" s="4" t="str">
        <f>IF(AI550="",CONCATENATE(S550,U550,W550,Y550,AA550,AC550,AE550,AG550,Table43[[#This Row],[Tanda Kode Revisi]]),CONCATENATE(S550,U550,W550,Y550,AA550,AC550,AE550,AI550))</f>
        <v>G1265000002510</v>
      </c>
      <c r="O550" s="11">
        <f t="shared" si="14"/>
        <v>14</v>
      </c>
      <c r="P550" s="14" t="str">
        <f>IF(AH550&lt;&gt;"",TRIM(UPPER(CONCATENATE(R550," ",T550," ",V550," ",X550," ",Z550," ",AB550," ","X"," ",Table43[[#This Row],[ISI/CTN]]," ",AH550," ",AD550," ",AF550," ",AJ550))),TRIM(UPPER(CONCATENATE(R550," ",T550," ",V550," ",X550," ",Z550," ",AB550," ","X"," ",Table43[[#This Row],[ISI/CTN]]," ",AD550," ",AF550," ",AJ550))))</f>
        <v>STELLA DEVICE 25ML X 24 SET</v>
      </c>
      <c r="Q550" s="11">
        <f t="shared" si="15"/>
        <v>27</v>
      </c>
      <c r="S550" s="7" t="s">
        <v>34</v>
      </c>
      <c r="T550" s="4" t="s">
        <v>2421</v>
      </c>
      <c r="U550" s="47" t="s">
        <v>2584</v>
      </c>
      <c r="V550" s="48" t="s">
        <v>2436</v>
      </c>
      <c r="W550" s="7">
        <v>5</v>
      </c>
      <c r="X550" s="48"/>
      <c r="Y550" s="47" t="s">
        <v>1116</v>
      </c>
      <c r="AA550" s="49" t="s">
        <v>1117</v>
      </c>
      <c r="AB550" s="4" t="s">
        <v>2367</v>
      </c>
      <c r="AC550" s="49" t="s">
        <v>2614</v>
      </c>
      <c r="AD550" s="4" t="s">
        <v>2222</v>
      </c>
      <c r="AE550" s="7">
        <v>1</v>
      </c>
      <c r="AG550" s="7">
        <v>0</v>
      </c>
      <c r="AK550" s="70">
        <f>Table43[[#This Row],[Column4]]</f>
        <v>30682000025020</v>
      </c>
      <c r="AN550" s="7">
        <f>Table43[[#This Row],[ISI/CTN]]</f>
        <v>24</v>
      </c>
      <c r="AO550" s="38">
        <f>Table43[[#This Row],[Harga Jual Pcs GT
(-PPN)]]-(Table43[[#This Row],[Harga Jual Pcs GT
(-PPN)]]*6.5%)</f>
        <v>22066</v>
      </c>
      <c r="AP550" s="38">
        <f>Table43[[#This Row],[Harga Beli Pcs
(-PPN)]]*Table43[[#This Row],[ISI/CTN]]</f>
        <v>529584</v>
      </c>
      <c r="AQ550" s="38">
        <f>Table43[[#This Row],[Harga Beli Pcs
(-PPN)]]*1.11</f>
        <v>24493.260000000002</v>
      </c>
      <c r="AR550" s="38">
        <f>Table43[[#This Row],[Harga Beli Krt
(- PPN)]]*1.11</f>
        <v>587838.24000000011</v>
      </c>
      <c r="AS550" s="38">
        <v>23600</v>
      </c>
      <c r="AT550" s="38">
        <f>Table43[[#This Row],[Harga Jual Pcs GT
(-PPN)]]*Table43[[#This Row],[ISI/CTN]]</f>
        <v>566400</v>
      </c>
      <c r="AU550" s="38">
        <f>Table43[[#This Row],[Harga Jual Pcs GT
(-PPN)]]*1.11</f>
        <v>26196.000000000004</v>
      </c>
      <c r="AV550" s="38">
        <f>Table43[[#This Row],[Harga Jual Krt GT
(- PPN)]]*1.11</f>
        <v>628704</v>
      </c>
      <c r="AW550" s="38">
        <f>IFERROR(VLOOKUP(Table43[[#This Row],[Kode Pcpl]],'[1]FEB 2026'!$A$3:$X$312,24,0),0)</f>
        <v>0</v>
      </c>
      <c r="AX550" s="38">
        <f>Table43[[#This Row],[Harga Jual Pcs MT
(-PPN)]]*Table43[[#This Row],[ISI/CTN]]</f>
        <v>0</v>
      </c>
      <c r="AY550" s="38">
        <f>Table43[[#This Row],[Harga Jual Pcs MT
(-PPN)]]*1.11</f>
        <v>0</v>
      </c>
      <c r="AZ550" s="38">
        <f>Table43[[#This Row],[Harga Jual Pcs MT
(+PPN)]]*Table43[[#This Row],[ISI/CTN]]</f>
        <v>0</v>
      </c>
      <c r="BA550" s="46">
        <f>(Table43[[#This Row],[Harga Jual Pcs GT
(-PPN)]]-Table43[[#This Row],[Harga Beli Pcs
(-PPN)]])/Table43[[#This Row],[Harga Jual Pcs GT
(-PPN)]]</f>
        <v>6.5000000000000002E-2</v>
      </c>
      <c r="BB550" s="53">
        <f>Table43[[#This Row],[Harga Jual Pcs MT
(-PPN)]]-Table43[[#This Row],[Harga Beli Pcs
(-PPN)]]</f>
        <v>-22066</v>
      </c>
      <c r="BC550" s="54" t="e">
        <f>Table43[[#This Row],[Column1]]/Table43[[#This Row],[Harga Jual Pcs MT
(-PPN)]]</f>
        <v>#DIV/0!</v>
      </c>
      <c r="BD550" s="52"/>
      <c r="BE550" s="7"/>
      <c r="BF550" s="7" t="str">
        <f ca="1">IF(TODAY()-Table43[[#This Row],[Efektif
Pembuatan]]&gt;60,"Lama","Baru")</f>
        <v>Lama</v>
      </c>
      <c r="BG550" s="7" t="str">
        <f ca="1">IF(TODAY()-Table43[[#This Row],[Efektif Naik Harga]]&lt;30,"Naik","Sama")</f>
        <v>Sama</v>
      </c>
      <c r="BH550" s="7"/>
      <c r="BI550" s="7" t="str">
        <f>IF(Table43[[#This Row],[Kode BARANG Win2]]&lt;&gt;"","IDR","")</f>
        <v>IDR</v>
      </c>
      <c r="BJ550" s="7" t="str">
        <f>CONCATENATE(Table43[[#This Row],[kode  1 Digit
(Nomor)]],Table43[[#This Row],[kode  4 Digit                (Nomor)]])</f>
        <v>0025</v>
      </c>
      <c r="BK550" s="7" t="str">
        <f>Table43[[#This Row],[Nama            Gramasi atau Jumlah Pack per CTN]]</f>
        <v>25ML</v>
      </c>
      <c r="BL550" s="7"/>
      <c r="BM550" s="7"/>
      <c r="BN550" s="4" t="str">
        <f>IF(Table43[[#This Row],[SATUAN Fix Win]]&lt;&gt;"","KRT")</f>
        <v>KRT</v>
      </c>
      <c r="BO550" s="4" t="str">
        <f>IF(Table43[[#This Row],[SATUAN Fix Win]]&lt;&gt;"","GD01")</f>
        <v>GD01</v>
      </c>
      <c r="BP550" s="4">
        <f>IF(Table43[[#This Row],[SATUAN Fix Win]]&lt;&gt;"",11611)</f>
        <v>11611</v>
      </c>
      <c r="BQ550" s="4">
        <f>IF(Table43[[#This Row],[SATUAN Fix Win]]&lt;&gt;"",11612)</f>
        <v>11612</v>
      </c>
      <c r="BS550" s="4">
        <f>IF(Table43[[#This Row],[SATUAN Fix Win]]&lt;&gt;"",1)</f>
        <v>1</v>
      </c>
      <c r="BU550" s="4">
        <f>Table43[[#This Row],[ISI/CTN]]</f>
        <v>24</v>
      </c>
    </row>
    <row r="551" spans="1:75">
      <c r="A551" s="4" t="str">
        <f>CONCATENATE(Table43[[#This Row],[Kode BARANG Win2]],Table43[[#This Row],[No. Urut
Item Sama]])</f>
        <v>G1265000002510</v>
      </c>
      <c r="B551" s="7"/>
      <c r="C551" s="31">
        <v>30601000000000</v>
      </c>
      <c r="D551" s="51">
        <v>40059816</v>
      </c>
      <c r="E551" s="27" t="s">
        <v>2187</v>
      </c>
      <c r="F551" s="51">
        <v>30682000025020</v>
      </c>
      <c r="G551" s="51">
        <v>0</v>
      </c>
      <c r="H551" s="27" t="s">
        <v>1543</v>
      </c>
      <c r="I551" s="27">
        <v>24</v>
      </c>
      <c r="J551" s="51" t="s">
        <v>1854</v>
      </c>
      <c r="K551" s="27" t="str">
        <f>Table43[[#This Row],[NamaJenisKemasan]]</f>
        <v>SET</v>
      </c>
      <c r="L551" s="4" t="str">
        <f>TRIM(CONCATENATE(Table43[[#This Row],[Nama            KLP]]," ",Table43[[#This Row],[Nama            Sub KLP]]))</f>
        <v>STELLA DEVICE</v>
      </c>
      <c r="M551" s="4" t="str">
        <f>CONCATENATE(Table43[[#This Row],[kode  2 Digit                (hrf+No)]],Table43[[#This Row],[kode  2 Digit                (Nomor)]],Table43[[#This Row],[kode  1 Digit                (Nomor)]])</f>
        <v>G1265</v>
      </c>
      <c r="N551" s="4" t="str">
        <f>IF(AI551="",CONCATENATE(S551,U551,W551,Y551,AA551,AC551,AE551,AG551,Table43[[#This Row],[Tanda Kode Revisi]]),CONCATENATE(S551,U551,W551,Y551,AA551,AC551,AE551,AI551))</f>
        <v>G1265000002510</v>
      </c>
      <c r="O551" s="11">
        <f t="shared" si="14"/>
        <v>14</v>
      </c>
      <c r="P551" s="14" t="str">
        <f>IF(AH551&lt;&gt;"",TRIM(UPPER(CONCATENATE(R551," ",T551," ",V551," ",X551," ",Z551," ",AB551," ","X"," ",Table43[[#This Row],[ISI/CTN]]," ",AH551," ",AD551," ",AF551," ",AJ551))),TRIM(UPPER(CONCATENATE(R551," ",T551," ",V551," ",X551," ",Z551," ",AB551," ","X"," ",Table43[[#This Row],[ISI/CTN]]," ",AD551," ",AF551," ",AJ551))))</f>
        <v>STELLA DEVICE 25ML X 24 SET</v>
      </c>
      <c r="Q551" s="11">
        <f t="shared" si="15"/>
        <v>27</v>
      </c>
      <c r="S551" s="7" t="s">
        <v>34</v>
      </c>
      <c r="T551" s="4" t="s">
        <v>2421</v>
      </c>
      <c r="U551" s="47" t="s">
        <v>2584</v>
      </c>
      <c r="V551" s="48" t="s">
        <v>2436</v>
      </c>
      <c r="W551" s="7">
        <v>5</v>
      </c>
      <c r="X551" s="48"/>
      <c r="Y551" s="47" t="s">
        <v>1116</v>
      </c>
      <c r="AA551" s="49" t="s">
        <v>1117</v>
      </c>
      <c r="AB551" s="4" t="s">
        <v>2367</v>
      </c>
      <c r="AC551" s="49" t="s">
        <v>2614</v>
      </c>
      <c r="AD551" s="4" t="s">
        <v>2222</v>
      </c>
      <c r="AE551" s="7">
        <v>1</v>
      </c>
      <c r="AG551" s="7">
        <v>0</v>
      </c>
      <c r="AK551" s="70">
        <f>Table43[[#This Row],[Column4]]</f>
        <v>30682000025020</v>
      </c>
      <c r="AN551" s="7">
        <f>Table43[[#This Row],[ISI/CTN]]</f>
        <v>24</v>
      </c>
      <c r="AO551" s="38">
        <f>Table43[[#This Row],[Harga Jual Pcs GT
(-PPN)]]-(Table43[[#This Row],[Harga Jual Pcs GT
(-PPN)]]*6.5%)</f>
        <v>22066</v>
      </c>
      <c r="AP551" s="38">
        <f>Table43[[#This Row],[Harga Beli Pcs
(-PPN)]]*Table43[[#This Row],[ISI/CTN]]</f>
        <v>529584</v>
      </c>
      <c r="AQ551" s="38">
        <f>Table43[[#This Row],[Harga Beli Pcs
(-PPN)]]*1.11</f>
        <v>24493.260000000002</v>
      </c>
      <c r="AR551" s="38">
        <f>Table43[[#This Row],[Harga Beli Krt
(- PPN)]]*1.11</f>
        <v>587838.24000000011</v>
      </c>
      <c r="AS551" s="38">
        <v>23600</v>
      </c>
      <c r="AT551" s="38">
        <f>Table43[[#This Row],[Harga Jual Pcs GT
(-PPN)]]*Table43[[#This Row],[ISI/CTN]]</f>
        <v>566400</v>
      </c>
      <c r="AU551" s="38">
        <f>Table43[[#This Row],[Harga Jual Pcs GT
(-PPN)]]*1.11</f>
        <v>26196.000000000004</v>
      </c>
      <c r="AV551" s="38">
        <f>Table43[[#This Row],[Harga Jual Krt GT
(- PPN)]]*1.11</f>
        <v>628704</v>
      </c>
      <c r="AW551" s="38">
        <f>IFERROR(VLOOKUP(Table43[[#This Row],[Kode Pcpl]],'[1]FEB 2026'!$A$3:$X$312,24,0),0)</f>
        <v>0</v>
      </c>
      <c r="AX551" s="38">
        <f>Table43[[#This Row],[Harga Jual Pcs MT
(-PPN)]]*Table43[[#This Row],[ISI/CTN]]</f>
        <v>0</v>
      </c>
      <c r="AY551" s="38">
        <f>Table43[[#This Row],[Harga Jual Pcs MT
(-PPN)]]*1.11</f>
        <v>0</v>
      </c>
      <c r="AZ551" s="38">
        <f>Table43[[#This Row],[Harga Jual Pcs MT
(+PPN)]]*Table43[[#This Row],[ISI/CTN]]</f>
        <v>0</v>
      </c>
      <c r="BA551" s="46">
        <f>(Table43[[#This Row],[Harga Jual Pcs GT
(-PPN)]]-Table43[[#This Row],[Harga Beli Pcs
(-PPN)]])/Table43[[#This Row],[Harga Jual Pcs GT
(-PPN)]]</f>
        <v>6.5000000000000002E-2</v>
      </c>
      <c r="BB551" s="53">
        <f>Table43[[#This Row],[Harga Jual Pcs MT
(-PPN)]]-Table43[[#This Row],[Harga Beli Pcs
(-PPN)]]</f>
        <v>-22066</v>
      </c>
      <c r="BC551" s="54" t="e">
        <f>Table43[[#This Row],[Column1]]/Table43[[#This Row],[Harga Jual Pcs MT
(-PPN)]]</f>
        <v>#DIV/0!</v>
      </c>
      <c r="BD551" s="52"/>
      <c r="BE551" s="7"/>
      <c r="BF551" s="7" t="str">
        <f ca="1">IF(TODAY()-Table43[[#This Row],[Efektif
Pembuatan]]&gt;60,"Lama","Baru")</f>
        <v>Lama</v>
      </c>
      <c r="BG551" s="7" t="str">
        <f ca="1">IF(TODAY()-Table43[[#This Row],[Efektif Naik Harga]]&lt;30,"Naik","Sama")</f>
        <v>Sama</v>
      </c>
      <c r="BH551" s="7"/>
      <c r="BI551" s="7" t="str">
        <f>IF(Table43[[#This Row],[Kode BARANG Win2]]&lt;&gt;"","IDR","")</f>
        <v>IDR</v>
      </c>
      <c r="BJ551" s="7" t="str">
        <f>CONCATENATE(Table43[[#This Row],[kode  1 Digit
(Nomor)]],Table43[[#This Row],[kode  4 Digit                (Nomor)]])</f>
        <v>0025</v>
      </c>
      <c r="BK551" s="7" t="str">
        <f>Table43[[#This Row],[Nama            Gramasi atau Jumlah Pack per CTN]]</f>
        <v>25ML</v>
      </c>
      <c r="BL551" s="7"/>
      <c r="BM551" s="7"/>
      <c r="BN551" s="4" t="str">
        <f>IF(Table43[[#This Row],[SATUAN Fix Win]]&lt;&gt;"","KRT")</f>
        <v>KRT</v>
      </c>
      <c r="BO551" s="4" t="str">
        <f>IF(Table43[[#This Row],[SATUAN Fix Win]]&lt;&gt;"","GD01")</f>
        <v>GD01</v>
      </c>
      <c r="BP551" s="4">
        <f>IF(Table43[[#This Row],[SATUAN Fix Win]]&lt;&gt;"",11611)</f>
        <v>11611</v>
      </c>
      <c r="BQ551" s="4">
        <f>IF(Table43[[#This Row],[SATUAN Fix Win]]&lt;&gt;"",11612)</f>
        <v>11612</v>
      </c>
      <c r="BS551" s="4">
        <f>IF(Table43[[#This Row],[SATUAN Fix Win]]&lt;&gt;"",1)</f>
        <v>1</v>
      </c>
      <c r="BU551" s="4">
        <f>Table43[[#This Row],[ISI/CTN]]</f>
        <v>24</v>
      </c>
    </row>
    <row r="552" spans="1:75">
      <c r="A552" s="4" t="str">
        <f>CONCATENATE(Table43[[#This Row],[Kode BARANG Win2]],Table43[[#This Row],[No. Urut
Item Sama]])</f>
        <v>G1266001002510</v>
      </c>
      <c r="B552" s="7"/>
      <c r="C552" s="31">
        <v>30601000000000</v>
      </c>
      <c r="D552" s="51">
        <v>40042096</v>
      </c>
      <c r="E552" s="27" t="s">
        <v>2189</v>
      </c>
      <c r="F552" s="51">
        <v>30682050025010</v>
      </c>
      <c r="G552" s="51">
        <v>0</v>
      </c>
      <c r="H552" s="27" t="s">
        <v>1546</v>
      </c>
      <c r="I552" s="27">
        <v>144</v>
      </c>
      <c r="J552" s="51" t="s">
        <v>1856</v>
      </c>
      <c r="K552" s="27" t="str">
        <f>Table43[[#This Row],[NamaJenisKemasan]]</f>
        <v>PCS</v>
      </c>
      <c r="L552" s="4" t="str">
        <f>TRIM(CONCATENATE(Table43[[#This Row],[Nama            KLP]]," ",Table43[[#This Row],[Nama            Sub KLP]]))</f>
        <v>STELLA ELECTRIC</v>
      </c>
      <c r="M552" s="4" t="str">
        <f>CONCATENATE(Table43[[#This Row],[kode  2 Digit                (hrf+No)]],Table43[[#This Row],[kode  2 Digit                (Nomor)]],Table43[[#This Row],[kode  1 Digit                (Nomor)]])</f>
        <v>G1266</v>
      </c>
      <c r="N552" s="4" t="str">
        <f>IF(AI552="",CONCATENATE(S552,U552,W552,Y552,AA552,AC552,AE552,AG552,Table43[[#This Row],[Tanda Kode Revisi]]),CONCATENATE(S552,U552,W552,Y552,AA552,AC552,AE552,AI552))</f>
        <v>G1266001002510</v>
      </c>
      <c r="O552" s="11">
        <f t="shared" si="14"/>
        <v>14</v>
      </c>
      <c r="P552" s="14" t="str">
        <f>IF(AH552&lt;&gt;"",TRIM(UPPER(CONCATENATE(R552," ",T552," ",V552," ",X552," ",Z552," ",AB552," ","X"," ",Table43[[#This Row],[ISI/CTN]]," ",AH552," ",AD552," ",AF552," ",AJ552))),TRIM(UPPER(CONCATENATE(R552," ",T552," ",V552," ",X552," ",Z552," ",AB552," ","X"," ",Table43[[#This Row],[ISI/CTN]]," ",AD552," ",AF552," ",AJ552))))</f>
        <v>STELLA ELECTRIC JASMINE BREEZE 25ML X 144 PCS</v>
      </c>
      <c r="Q552" s="11">
        <f t="shared" si="15"/>
        <v>45</v>
      </c>
      <c r="S552" s="7" t="s">
        <v>34</v>
      </c>
      <c r="T552" s="4" t="s">
        <v>2421</v>
      </c>
      <c r="U552" s="47" t="s">
        <v>2584</v>
      </c>
      <c r="V552" s="48" t="s">
        <v>2268</v>
      </c>
      <c r="W552" s="7">
        <v>6</v>
      </c>
      <c r="X552" s="48"/>
      <c r="Y552" s="47" t="s">
        <v>1116</v>
      </c>
      <c r="Z552" s="4" t="s">
        <v>2646</v>
      </c>
      <c r="AA552" s="49" t="s">
        <v>1115</v>
      </c>
      <c r="AB552" s="4" t="s">
        <v>2367</v>
      </c>
      <c r="AC552" s="49" t="s">
        <v>2614</v>
      </c>
      <c r="AD552" s="4" t="s">
        <v>185</v>
      </c>
      <c r="AE552" s="7">
        <v>1</v>
      </c>
      <c r="AG552" s="7">
        <v>0</v>
      </c>
      <c r="AK552" s="70">
        <f>Table43[[#This Row],[Column4]]</f>
        <v>30682050025010</v>
      </c>
      <c r="AN552" s="7">
        <f>Table43[[#This Row],[ISI/CTN]]</f>
        <v>144</v>
      </c>
      <c r="AO552" s="38">
        <f>Table43[[#This Row],[Harga Jual Pcs GT
(-PPN)]]-(Table43[[#This Row],[Harga Jual Pcs GT
(-PPN)]]*6.5%)</f>
        <v>12716</v>
      </c>
      <c r="AP552" s="38">
        <f>Table43[[#This Row],[Harga Beli Pcs
(-PPN)]]*Table43[[#This Row],[ISI/CTN]]</f>
        <v>1831104</v>
      </c>
      <c r="AQ552" s="38">
        <f>Table43[[#This Row],[Harga Beli Pcs
(-PPN)]]*1.11</f>
        <v>14114.760000000002</v>
      </c>
      <c r="AR552" s="38">
        <f>Table43[[#This Row],[Harga Beli Krt
(- PPN)]]*1.11</f>
        <v>2032525.4400000002</v>
      </c>
      <c r="AS552" s="38">
        <v>13600</v>
      </c>
      <c r="AT552" s="38">
        <f>Table43[[#This Row],[Harga Jual Pcs GT
(-PPN)]]*Table43[[#This Row],[ISI/CTN]]</f>
        <v>1958400</v>
      </c>
      <c r="AU552" s="38">
        <f>Table43[[#This Row],[Harga Jual Pcs GT
(-PPN)]]*1.11</f>
        <v>15096.000000000002</v>
      </c>
      <c r="AV552" s="38">
        <f>Table43[[#This Row],[Harga Jual Krt GT
(- PPN)]]*1.11</f>
        <v>2173824</v>
      </c>
      <c r="AW552" s="38">
        <f>IFERROR(VLOOKUP(Table43[[#This Row],[Kode Pcpl]],'[1]FEB 2026'!$A$3:$X$312,24,0),0)</f>
        <v>0</v>
      </c>
      <c r="AX552" s="38">
        <f>Table43[[#This Row],[Harga Jual Pcs MT
(-PPN)]]*Table43[[#This Row],[ISI/CTN]]</f>
        <v>0</v>
      </c>
      <c r="AY552" s="38">
        <f>Table43[[#This Row],[Harga Jual Pcs MT
(-PPN)]]*1.11</f>
        <v>0</v>
      </c>
      <c r="AZ552" s="38">
        <f>Table43[[#This Row],[Harga Jual Pcs MT
(+PPN)]]*Table43[[#This Row],[ISI/CTN]]</f>
        <v>0</v>
      </c>
      <c r="BA552" s="46">
        <f>(Table43[[#This Row],[Harga Jual Pcs GT
(-PPN)]]-Table43[[#This Row],[Harga Beli Pcs
(-PPN)]])/Table43[[#This Row],[Harga Jual Pcs GT
(-PPN)]]</f>
        <v>6.5000000000000002E-2</v>
      </c>
      <c r="BB552" s="53">
        <f>Table43[[#This Row],[Harga Jual Pcs MT
(-PPN)]]-Table43[[#This Row],[Harga Beli Pcs
(-PPN)]]</f>
        <v>-12716</v>
      </c>
      <c r="BC552" s="54" t="e">
        <f>Table43[[#This Row],[Column1]]/Table43[[#This Row],[Harga Jual Pcs MT
(-PPN)]]</f>
        <v>#DIV/0!</v>
      </c>
      <c r="BD552" s="52"/>
      <c r="BE552" s="7"/>
      <c r="BF552" s="7" t="str">
        <f ca="1">IF(TODAY()-Table43[[#This Row],[Efektif
Pembuatan]]&gt;60,"Lama","Baru")</f>
        <v>Lama</v>
      </c>
      <c r="BG552" s="7" t="str">
        <f ca="1">IF(TODAY()-Table43[[#This Row],[Efektif Naik Harga]]&lt;30,"Naik","Sama")</f>
        <v>Sama</v>
      </c>
      <c r="BH552" s="7"/>
      <c r="BI552" s="7" t="str">
        <f>IF(Table43[[#This Row],[Kode BARANG Win2]]&lt;&gt;"","IDR","")</f>
        <v>IDR</v>
      </c>
      <c r="BJ552" s="7" t="str">
        <f>CONCATENATE(Table43[[#This Row],[kode  1 Digit
(Nomor)]],Table43[[#This Row],[kode  4 Digit                (Nomor)]])</f>
        <v>0025</v>
      </c>
      <c r="BK552" s="7" t="str">
        <f>Table43[[#This Row],[Nama            Gramasi atau Jumlah Pack per CTN]]</f>
        <v>25ML</v>
      </c>
      <c r="BL552" s="7"/>
      <c r="BM552" s="7"/>
      <c r="BN552" s="4" t="str">
        <f>IF(Table43[[#This Row],[SATUAN Fix Win]]&lt;&gt;"","KRT")</f>
        <v>KRT</v>
      </c>
      <c r="BO552" s="4" t="str">
        <f>IF(Table43[[#This Row],[SATUAN Fix Win]]&lt;&gt;"","GD01")</f>
        <v>GD01</v>
      </c>
      <c r="BP552" s="4">
        <f>IF(Table43[[#This Row],[SATUAN Fix Win]]&lt;&gt;"",11611)</f>
        <v>11611</v>
      </c>
      <c r="BQ552" s="4">
        <f>IF(Table43[[#This Row],[SATUAN Fix Win]]&lt;&gt;"",11612)</f>
        <v>11612</v>
      </c>
      <c r="BS552" s="4">
        <f>IF(Table43[[#This Row],[SATUAN Fix Win]]&lt;&gt;"",1)</f>
        <v>1</v>
      </c>
      <c r="BU552" s="4">
        <f>Table43[[#This Row],[ISI/CTN]]</f>
        <v>144</v>
      </c>
    </row>
    <row r="553" spans="1:75">
      <c r="A553" s="4" t="str">
        <f>CONCATENATE(Table43[[#This Row],[Kode BARANG Win2]],Table43[[#This Row],[No. Urut
Item Sama]])</f>
        <v>G1266002002510</v>
      </c>
      <c r="B553" s="7"/>
      <c r="C553" s="31">
        <v>30601000000000</v>
      </c>
      <c r="D553" s="51">
        <v>40059494</v>
      </c>
      <c r="E553" s="27" t="s">
        <v>2188</v>
      </c>
      <c r="F553" s="51">
        <v>30682040025010</v>
      </c>
      <c r="G553" s="51">
        <v>0</v>
      </c>
      <c r="H553" s="27" t="s">
        <v>1545</v>
      </c>
      <c r="I553" s="27">
        <v>144</v>
      </c>
      <c r="J553" s="51" t="s">
        <v>1855</v>
      </c>
      <c r="K553" s="27" t="str">
        <f>Table43[[#This Row],[NamaJenisKemasan]]</f>
        <v>PCS</v>
      </c>
      <c r="L553" s="4" t="str">
        <f>TRIM(CONCATENATE(Table43[[#This Row],[Nama            KLP]]," ",Table43[[#This Row],[Nama            Sub KLP]]))</f>
        <v>STELLA ELECTRIC</v>
      </c>
      <c r="M553" s="4" t="str">
        <f>CONCATENATE(Table43[[#This Row],[kode  2 Digit                (hrf+No)]],Table43[[#This Row],[kode  2 Digit                (Nomor)]],Table43[[#This Row],[kode  1 Digit                (Nomor)]])</f>
        <v>G1266</v>
      </c>
      <c r="N553" s="4" t="str">
        <f>IF(AI553="",CONCATENATE(S553,U553,W553,Y553,AA553,AC553,AE553,AG553,Table43[[#This Row],[Tanda Kode Revisi]]),CONCATENATE(S553,U553,W553,Y553,AA553,AC553,AE553,AI553))</f>
        <v>G1266002002510</v>
      </c>
      <c r="O553" s="11">
        <f t="shared" si="14"/>
        <v>14</v>
      </c>
      <c r="P553" s="14" t="str">
        <f>IF(AH553&lt;&gt;"",TRIM(UPPER(CONCATENATE(R553," ",T553," ",V553," ",X553," ",Z553," ",AB553," ","X"," ",Table43[[#This Row],[ISI/CTN]]," ",AH553," ",AD553," ",AF553," ",AJ553))),TRIM(UPPER(CONCATENATE(R553," ",T553," ",V553," ",X553," ",Z553," ",AB553," ","X"," ",Table43[[#This Row],[ISI/CTN]]," ",AD553," ",AF553," ",AJ553))))</f>
        <v>STELLA ELECTRIC LAVENDER 25ML X 144 PCS</v>
      </c>
      <c r="Q553" s="11">
        <f t="shared" si="15"/>
        <v>39</v>
      </c>
      <c r="S553" s="7" t="s">
        <v>34</v>
      </c>
      <c r="T553" s="4" t="s">
        <v>2421</v>
      </c>
      <c r="U553" s="47" t="s">
        <v>2584</v>
      </c>
      <c r="V553" s="48" t="s">
        <v>2268</v>
      </c>
      <c r="W553" s="7">
        <v>6</v>
      </c>
      <c r="X553" s="48"/>
      <c r="Y553" s="47" t="s">
        <v>1116</v>
      </c>
      <c r="Z553" s="4" t="s">
        <v>2426</v>
      </c>
      <c r="AA553" s="49" t="s">
        <v>2459</v>
      </c>
      <c r="AB553" s="4" t="s">
        <v>2367</v>
      </c>
      <c r="AC553" s="49" t="s">
        <v>2614</v>
      </c>
      <c r="AD553" s="4" t="s">
        <v>185</v>
      </c>
      <c r="AE553" s="7">
        <v>1</v>
      </c>
      <c r="AG553" s="7">
        <v>0</v>
      </c>
      <c r="AK553" s="70">
        <f>Table43[[#This Row],[Column4]]</f>
        <v>30682040025010</v>
      </c>
      <c r="AN553" s="7">
        <f>Table43[[#This Row],[ISI/CTN]]</f>
        <v>144</v>
      </c>
      <c r="AO553" s="38">
        <f>Table43[[#This Row],[Harga Jual Pcs GT
(-PPN)]]-(Table43[[#This Row],[Harga Jual Pcs GT
(-PPN)]]*6.5%)</f>
        <v>12716</v>
      </c>
      <c r="AP553" s="38">
        <f>Table43[[#This Row],[Harga Beli Pcs
(-PPN)]]*Table43[[#This Row],[ISI/CTN]]</f>
        <v>1831104</v>
      </c>
      <c r="AQ553" s="38">
        <f>Table43[[#This Row],[Harga Beli Pcs
(-PPN)]]*1.11</f>
        <v>14114.760000000002</v>
      </c>
      <c r="AR553" s="38">
        <f>Table43[[#This Row],[Harga Beli Krt
(- PPN)]]*1.11</f>
        <v>2032525.4400000002</v>
      </c>
      <c r="AS553" s="38">
        <v>13600</v>
      </c>
      <c r="AT553" s="38">
        <f>Table43[[#This Row],[Harga Jual Pcs GT
(-PPN)]]*Table43[[#This Row],[ISI/CTN]]</f>
        <v>1958400</v>
      </c>
      <c r="AU553" s="38">
        <f>Table43[[#This Row],[Harga Jual Pcs GT
(-PPN)]]*1.11</f>
        <v>15096.000000000002</v>
      </c>
      <c r="AV553" s="38">
        <f>Table43[[#This Row],[Harga Jual Krt GT
(- PPN)]]*1.11</f>
        <v>2173824</v>
      </c>
      <c r="AW553" s="38">
        <f>IFERROR(VLOOKUP(Table43[[#This Row],[Kode Pcpl]],'[1]FEB 2026'!$A$3:$X$312,24,0),0)</f>
        <v>0</v>
      </c>
      <c r="AX553" s="38">
        <f>Table43[[#This Row],[Harga Jual Pcs MT
(-PPN)]]*Table43[[#This Row],[ISI/CTN]]</f>
        <v>0</v>
      </c>
      <c r="AY553" s="38">
        <f>Table43[[#This Row],[Harga Jual Pcs MT
(-PPN)]]*1.11</f>
        <v>0</v>
      </c>
      <c r="AZ553" s="38">
        <f>Table43[[#This Row],[Harga Jual Pcs MT
(+PPN)]]*Table43[[#This Row],[ISI/CTN]]</f>
        <v>0</v>
      </c>
      <c r="BA553" s="46">
        <f>(Table43[[#This Row],[Harga Jual Pcs GT
(-PPN)]]-Table43[[#This Row],[Harga Beli Pcs
(-PPN)]])/Table43[[#This Row],[Harga Jual Pcs GT
(-PPN)]]</f>
        <v>6.5000000000000002E-2</v>
      </c>
      <c r="BB553" s="53">
        <f>Table43[[#This Row],[Harga Jual Pcs MT
(-PPN)]]-Table43[[#This Row],[Harga Beli Pcs
(-PPN)]]</f>
        <v>-12716</v>
      </c>
      <c r="BC553" s="54" t="e">
        <f>Table43[[#This Row],[Column1]]/Table43[[#This Row],[Harga Jual Pcs MT
(-PPN)]]</f>
        <v>#DIV/0!</v>
      </c>
      <c r="BD553" s="52"/>
      <c r="BE553" s="7"/>
      <c r="BF553" s="7" t="str">
        <f ca="1">IF(TODAY()-Table43[[#This Row],[Efektif
Pembuatan]]&gt;60,"Lama","Baru")</f>
        <v>Lama</v>
      </c>
      <c r="BG553" s="7" t="str">
        <f ca="1">IF(TODAY()-Table43[[#This Row],[Efektif Naik Harga]]&lt;30,"Naik","Sama")</f>
        <v>Sama</v>
      </c>
      <c r="BH553" s="7"/>
      <c r="BI553" s="7" t="str">
        <f>IF(Table43[[#This Row],[Kode BARANG Win2]]&lt;&gt;"","IDR","")</f>
        <v>IDR</v>
      </c>
      <c r="BJ553" s="7" t="str">
        <f>CONCATENATE(Table43[[#This Row],[kode  1 Digit
(Nomor)]],Table43[[#This Row],[kode  4 Digit                (Nomor)]])</f>
        <v>0025</v>
      </c>
      <c r="BK553" s="7" t="str">
        <f>Table43[[#This Row],[Nama            Gramasi atau Jumlah Pack per CTN]]</f>
        <v>25ML</v>
      </c>
      <c r="BL553" s="7"/>
      <c r="BM553" s="7"/>
      <c r="BN553" s="4" t="str">
        <f>IF(Table43[[#This Row],[SATUAN Fix Win]]&lt;&gt;"","KRT")</f>
        <v>KRT</v>
      </c>
      <c r="BO553" s="4" t="str">
        <f>IF(Table43[[#This Row],[SATUAN Fix Win]]&lt;&gt;"","GD01")</f>
        <v>GD01</v>
      </c>
      <c r="BP553" s="4">
        <f>IF(Table43[[#This Row],[SATUAN Fix Win]]&lt;&gt;"",11611)</f>
        <v>11611</v>
      </c>
      <c r="BQ553" s="4">
        <f>IF(Table43[[#This Row],[SATUAN Fix Win]]&lt;&gt;"",11612)</f>
        <v>11612</v>
      </c>
      <c r="BS553" s="4">
        <f>IF(Table43[[#This Row],[SATUAN Fix Win]]&lt;&gt;"",1)</f>
        <v>1</v>
      </c>
      <c r="BU553" s="4">
        <f>Table43[[#This Row],[ISI/CTN]]</f>
        <v>144</v>
      </c>
    </row>
    <row r="554" spans="1:75">
      <c r="A554" s="4" t="str">
        <f>CONCATENATE(Table43[[#This Row],[Kode BARANG Win2]],Table43[[#This Row],[No. Urut
Item Sama]])</f>
        <v>G1266002002510</v>
      </c>
      <c r="B554" s="7"/>
      <c r="C554" s="31">
        <v>30601000000000</v>
      </c>
      <c r="D554" s="51">
        <v>40042095</v>
      </c>
      <c r="E554" s="27" t="s">
        <v>2188</v>
      </c>
      <c r="F554" s="51">
        <v>30682040025010</v>
      </c>
      <c r="G554" s="51">
        <v>0</v>
      </c>
      <c r="H554" s="27" t="s">
        <v>1544</v>
      </c>
      <c r="I554" s="27">
        <v>144</v>
      </c>
      <c r="J554" s="51" t="s">
        <v>1855</v>
      </c>
      <c r="K554" s="27" t="str">
        <f>Table43[[#This Row],[NamaJenisKemasan]]</f>
        <v>PCS</v>
      </c>
      <c r="L554" s="4" t="str">
        <f>TRIM(CONCATENATE(Table43[[#This Row],[Nama            KLP]]," ",Table43[[#This Row],[Nama            Sub KLP]]))</f>
        <v>STELLA ELECTRIC</v>
      </c>
      <c r="M554" s="4" t="str">
        <f>CONCATENATE(Table43[[#This Row],[kode  2 Digit                (hrf+No)]],Table43[[#This Row],[kode  2 Digit                (Nomor)]],Table43[[#This Row],[kode  1 Digit                (Nomor)]])</f>
        <v>G1266</v>
      </c>
      <c r="N554" s="4" t="str">
        <f>IF(AI554="",CONCATENATE(S554,U554,W554,Y554,AA554,AC554,AE554,AG554,Table43[[#This Row],[Tanda Kode Revisi]]),CONCATENATE(S554,U554,W554,Y554,AA554,AC554,AE554,AI554))</f>
        <v>G1266002002510</v>
      </c>
      <c r="O554" s="11">
        <f t="shared" si="14"/>
        <v>14</v>
      </c>
      <c r="P554" s="14" t="str">
        <f>IF(AH554&lt;&gt;"",TRIM(UPPER(CONCATENATE(R554," ",T554," ",V554," ",X554," ",Z554," ",AB554," ","X"," ",Table43[[#This Row],[ISI/CTN]]," ",AH554," ",AD554," ",AF554," ",AJ554))),TRIM(UPPER(CONCATENATE(R554," ",T554," ",V554," ",X554," ",Z554," ",AB554," ","X"," ",Table43[[#This Row],[ISI/CTN]]," ",AD554," ",AF554," ",AJ554))))</f>
        <v>STELLA ELECTRIC LAVENDER 25ML X 144 PCS</v>
      </c>
      <c r="Q554" s="11">
        <f t="shared" si="15"/>
        <v>39</v>
      </c>
      <c r="S554" s="7" t="s">
        <v>34</v>
      </c>
      <c r="T554" s="4" t="s">
        <v>2421</v>
      </c>
      <c r="U554" s="47" t="s">
        <v>2584</v>
      </c>
      <c r="V554" s="48" t="s">
        <v>2268</v>
      </c>
      <c r="W554" s="7">
        <v>6</v>
      </c>
      <c r="X554" s="48"/>
      <c r="Y554" s="47" t="s">
        <v>1116</v>
      </c>
      <c r="Z554" s="4" t="s">
        <v>2426</v>
      </c>
      <c r="AA554" s="49" t="s">
        <v>2459</v>
      </c>
      <c r="AB554" s="4" t="s">
        <v>2367</v>
      </c>
      <c r="AC554" s="49" t="s">
        <v>2614</v>
      </c>
      <c r="AD554" s="4" t="s">
        <v>185</v>
      </c>
      <c r="AE554" s="7">
        <v>1</v>
      </c>
      <c r="AG554" s="7">
        <v>0</v>
      </c>
      <c r="AK554" s="70">
        <f>Table43[[#This Row],[Column4]]</f>
        <v>30682040025010</v>
      </c>
      <c r="AN554" s="7">
        <f>Table43[[#This Row],[ISI/CTN]]</f>
        <v>144</v>
      </c>
      <c r="AO554" s="38">
        <f>Table43[[#This Row],[Harga Jual Pcs GT
(-PPN)]]-(Table43[[#This Row],[Harga Jual Pcs GT
(-PPN)]]*6.5%)</f>
        <v>12716</v>
      </c>
      <c r="AP554" s="38">
        <f>Table43[[#This Row],[Harga Beli Pcs
(-PPN)]]*Table43[[#This Row],[ISI/CTN]]</f>
        <v>1831104</v>
      </c>
      <c r="AQ554" s="38">
        <f>Table43[[#This Row],[Harga Beli Pcs
(-PPN)]]*1.11</f>
        <v>14114.760000000002</v>
      </c>
      <c r="AR554" s="38">
        <f>Table43[[#This Row],[Harga Beli Krt
(- PPN)]]*1.11</f>
        <v>2032525.4400000002</v>
      </c>
      <c r="AS554" s="38">
        <v>13600</v>
      </c>
      <c r="AT554" s="38">
        <f>Table43[[#This Row],[Harga Jual Pcs GT
(-PPN)]]*Table43[[#This Row],[ISI/CTN]]</f>
        <v>1958400</v>
      </c>
      <c r="AU554" s="38">
        <f>Table43[[#This Row],[Harga Jual Pcs GT
(-PPN)]]*1.11</f>
        <v>15096.000000000002</v>
      </c>
      <c r="AV554" s="38">
        <f>Table43[[#This Row],[Harga Jual Krt GT
(- PPN)]]*1.11</f>
        <v>2173824</v>
      </c>
      <c r="AW554" s="38">
        <f>IFERROR(VLOOKUP(Table43[[#This Row],[Kode Pcpl]],'[1]FEB 2026'!$A$3:$X$312,24,0),0)</f>
        <v>0</v>
      </c>
      <c r="AX554" s="38">
        <f>Table43[[#This Row],[Harga Jual Pcs MT
(-PPN)]]*Table43[[#This Row],[ISI/CTN]]</f>
        <v>0</v>
      </c>
      <c r="AY554" s="38">
        <f>Table43[[#This Row],[Harga Jual Pcs MT
(-PPN)]]*1.11</f>
        <v>0</v>
      </c>
      <c r="AZ554" s="38">
        <f>Table43[[#This Row],[Harga Jual Pcs MT
(+PPN)]]*Table43[[#This Row],[ISI/CTN]]</f>
        <v>0</v>
      </c>
      <c r="BA554" s="46">
        <f>(Table43[[#This Row],[Harga Jual Pcs GT
(-PPN)]]-Table43[[#This Row],[Harga Beli Pcs
(-PPN)]])/Table43[[#This Row],[Harga Jual Pcs GT
(-PPN)]]</f>
        <v>6.5000000000000002E-2</v>
      </c>
      <c r="BB554" s="53">
        <f>Table43[[#This Row],[Harga Jual Pcs MT
(-PPN)]]-Table43[[#This Row],[Harga Beli Pcs
(-PPN)]]</f>
        <v>-12716</v>
      </c>
      <c r="BC554" s="54" t="e">
        <f>Table43[[#This Row],[Column1]]/Table43[[#This Row],[Harga Jual Pcs MT
(-PPN)]]</f>
        <v>#DIV/0!</v>
      </c>
      <c r="BD554" s="52"/>
      <c r="BE554" s="7"/>
      <c r="BF554" s="7" t="str">
        <f ca="1">IF(TODAY()-Table43[[#This Row],[Efektif
Pembuatan]]&gt;60,"Lama","Baru")</f>
        <v>Lama</v>
      </c>
      <c r="BG554" s="7" t="str">
        <f ca="1">IF(TODAY()-Table43[[#This Row],[Efektif Naik Harga]]&lt;30,"Naik","Sama")</f>
        <v>Sama</v>
      </c>
      <c r="BH554" s="7"/>
      <c r="BI554" s="7" t="str">
        <f>IF(Table43[[#This Row],[Kode BARANG Win2]]&lt;&gt;"","IDR","")</f>
        <v>IDR</v>
      </c>
      <c r="BJ554" s="7" t="str">
        <f>CONCATENATE(Table43[[#This Row],[kode  1 Digit
(Nomor)]],Table43[[#This Row],[kode  4 Digit                (Nomor)]])</f>
        <v>0025</v>
      </c>
      <c r="BK554" s="7" t="str">
        <f>Table43[[#This Row],[Nama            Gramasi atau Jumlah Pack per CTN]]</f>
        <v>25ML</v>
      </c>
      <c r="BL554" s="7"/>
      <c r="BM554" s="7"/>
      <c r="BN554" s="4" t="str">
        <f>IF(Table43[[#This Row],[SATUAN Fix Win]]&lt;&gt;"","KRT")</f>
        <v>KRT</v>
      </c>
      <c r="BO554" s="4" t="str">
        <f>IF(Table43[[#This Row],[SATUAN Fix Win]]&lt;&gt;"","GD01")</f>
        <v>GD01</v>
      </c>
      <c r="BP554" s="4">
        <f>IF(Table43[[#This Row],[SATUAN Fix Win]]&lt;&gt;"",11611)</f>
        <v>11611</v>
      </c>
      <c r="BQ554" s="4">
        <f>IF(Table43[[#This Row],[SATUAN Fix Win]]&lt;&gt;"",11612)</f>
        <v>11612</v>
      </c>
      <c r="BS554" s="4">
        <f>IF(Table43[[#This Row],[SATUAN Fix Win]]&lt;&gt;"",1)</f>
        <v>1</v>
      </c>
      <c r="BU554" s="4">
        <f>Table43[[#This Row],[ISI/CTN]]</f>
        <v>144</v>
      </c>
    </row>
    <row r="555" spans="1:75" s="87" customFormat="1">
      <c r="A555" s="71" t="str">
        <f>CONCATENATE(Table43[[#This Row],[Kode BARANG Win2]],Table43[[#This Row],[No. Urut
Item Sama]])</f>
        <v>G1266003002510</v>
      </c>
      <c r="B555" s="72"/>
      <c r="C555" s="73"/>
      <c r="D555" s="74">
        <v>40059815</v>
      </c>
      <c r="E555" s="75"/>
      <c r="F555" s="74">
        <v>30682040025010</v>
      </c>
      <c r="G555" s="74">
        <v>0</v>
      </c>
      <c r="H555" s="75" t="s">
        <v>3392</v>
      </c>
      <c r="I555" s="75">
        <v>144</v>
      </c>
      <c r="J555" s="74"/>
      <c r="K555" s="75" t="str">
        <f>Table43[[#This Row],[NamaJenisKemasan]]</f>
        <v>PCS</v>
      </c>
      <c r="L555" s="71" t="str">
        <f>TRIM(CONCATENATE(Table43[[#This Row],[Nama            KLP]]," ",Table43[[#This Row],[Nama            Sub KLP]]))</f>
        <v>STELLA ELECTRIC</v>
      </c>
      <c r="M555" s="71" t="str">
        <f>CONCATENATE(Table43[[#This Row],[kode  2 Digit                (hrf+No)]],Table43[[#This Row],[kode  2 Digit                (Nomor)]],Table43[[#This Row],[kode  1 Digit                (Nomor)]])</f>
        <v>G1266</v>
      </c>
      <c r="N555" s="71" t="str">
        <f>IF(AI555="",CONCATENATE(S555,U555,W555,Y555,AA555,AC555,AE555,AG555,Table43[[#This Row],[Tanda Kode Revisi]]),CONCATENATE(S555,U555,W555,Y555,AA555,AC555,AE555,AI555))</f>
        <v>G1266003002510</v>
      </c>
      <c r="O555" s="76">
        <f t="shared" si="14"/>
        <v>14</v>
      </c>
      <c r="P555" s="77" t="str">
        <f>IF(AH555&lt;&gt;"",TRIM(UPPER(CONCATENATE(R555," ",T555," ",V555," ",X555," ",Z555," ",AB555," ","X"," ",Table43[[#This Row],[ISI/CTN]]," ",AH555," ",AD555," ",AF555," ",AJ555))),TRIM(UPPER(CONCATENATE(R555," ",T555," ",V555," ",X555," ",Z555," ",AB555," ","X"," ",Table43[[#This Row],[ISI/CTN]]," ",AD555," ",AF555," ",AJ555))))</f>
        <v>STELLA ELECTRIC LOVING JASMINE 25ML X 144 PCS</v>
      </c>
      <c r="Q555" s="76">
        <f t="shared" si="15"/>
        <v>45</v>
      </c>
      <c r="R555" s="71"/>
      <c r="S555" s="72" t="s">
        <v>34</v>
      </c>
      <c r="T555" s="71" t="s">
        <v>2421</v>
      </c>
      <c r="U555" s="78" t="s">
        <v>2584</v>
      </c>
      <c r="V555" s="79" t="s">
        <v>2268</v>
      </c>
      <c r="W555" s="72">
        <v>6</v>
      </c>
      <c r="X555" s="79"/>
      <c r="Y555" s="78" t="s">
        <v>1116</v>
      </c>
      <c r="Z555" s="71" t="s">
        <v>3393</v>
      </c>
      <c r="AA555" s="80" t="s">
        <v>2538</v>
      </c>
      <c r="AB555" s="71" t="s">
        <v>2367</v>
      </c>
      <c r="AC555" s="80" t="s">
        <v>2614</v>
      </c>
      <c r="AD555" s="71" t="s">
        <v>185</v>
      </c>
      <c r="AE555" s="72">
        <v>1</v>
      </c>
      <c r="AF555" s="71"/>
      <c r="AG555" s="72">
        <v>0</v>
      </c>
      <c r="AH555" s="72"/>
      <c r="AI555" s="72"/>
      <c r="AJ555" s="72"/>
      <c r="AK555" s="81">
        <f>Table43[[#This Row],[Column4]]</f>
        <v>30682040025010</v>
      </c>
      <c r="AL555" s="72"/>
      <c r="AM555" s="72"/>
      <c r="AN555" s="72">
        <f>Table43[[#This Row],[ISI/CTN]]</f>
        <v>144</v>
      </c>
      <c r="AO555" s="88">
        <f>Table43[[#This Row],[Harga Jual Pcs GT
(-PPN)]]-(Table43[[#This Row],[Harga Jual Pcs GT
(-PPN)]]*6.5%)</f>
        <v>0</v>
      </c>
      <c r="AP555" s="88">
        <f>Table43[[#This Row],[Harga Beli Pcs
(-PPN)]]*Table43[[#This Row],[ISI/CTN]]</f>
        <v>0</v>
      </c>
      <c r="AQ555" s="88">
        <f>Table43[[#This Row],[Harga Beli Pcs
(-PPN)]]*1.11</f>
        <v>0</v>
      </c>
      <c r="AR555" s="88">
        <f>Table43[[#This Row],[Harga Beli Krt
(- PPN)]]*1.11</f>
        <v>0</v>
      </c>
      <c r="AS555" s="88"/>
      <c r="AT555" s="88">
        <f>Table43[[#This Row],[Harga Jual Pcs GT
(-PPN)]]*Table43[[#This Row],[ISI/CTN]]</f>
        <v>0</v>
      </c>
      <c r="AU555" s="88">
        <f>Table43[[#This Row],[Harga Jual Pcs GT
(-PPN)]]*1.11</f>
        <v>0</v>
      </c>
      <c r="AV555" s="88">
        <f>Table43[[#This Row],[Harga Jual Krt GT
(- PPN)]]*1.11</f>
        <v>0</v>
      </c>
      <c r="AW555" s="88">
        <f>IFERROR(VLOOKUP(Table43[[#This Row],[Kode Pcpl]],'[1]FEB 2026'!$A$3:$X$312,24,0),0)</f>
        <v>0</v>
      </c>
      <c r="AX555" s="88">
        <f>Table43[[#This Row],[Harga Jual Pcs MT
(-PPN)]]*Table43[[#This Row],[ISI/CTN]]</f>
        <v>0</v>
      </c>
      <c r="AY555" s="88">
        <f>Table43[[#This Row],[Harga Jual Pcs MT
(-PPN)]]*1.11</f>
        <v>0</v>
      </c>
      <c r="AZ555" s="88">
        <f>Table43[[#This Row],[Harga Jual Pcs MT
(+PPN)]]*Table43[[#This Row],[ISI/CTN]]</f>
        <v>0</v>
      </c>
      <c r="BA555" s="89" t="e">
        <f>(Table43[[#This Row],[Harga Jual Pcs GT
(-PPN)]]-Table43[[#This Row],[Harga Beli Pcs
(-PPN)]])/Table43[[#This Row],[Harga Jual Pcs GT
(-PPN)]]</f>
        <v>#DIV/0!</v>
      </c>
      <c r="BB555" s="90">
        <f>Table43[[#This Row],[Harga Jual Pcs MT
(-PPN)]]-Table43[[#This Row],[Harga Beli Pcs
(-PPN)]]</f>
        <v>0</v>
      </c>
      <c r="BC555" s="91" t="e">
        <f>Table43[[#This Row],[Column1]]/Table43[[#This Row],[Harga Jual Pcs MT
(-PPN)]]</f>
        <v>#DIV/0!</v>
      </c>
      <c r="BD555" s="86"/>
      <c r="BE555" s="72"/>
      <c r="BF555" s="72" t="str">
        <f ca="1">IF(TODAY()-Table43[[#This Row],[Efektif
Pembuatan]]&gt;60,"Lama","Baru")</f>
        <v>Lama</v>
      </c>
      <c r="BG555" s="72" t="str">
        <f ca="1">IF(TODAY()-Table43[[#This Row],[Efektif Naik Harga]]&lt;30,"Naik","Sama")</f>
        <v>Sama</v>
      </c>
      <c r="BH555" s="72"/>
      <c r="BI555" s="72" t="str">
        <f>IF(Table43[[#This Row],[Kode BARANG Win2]]&lt;&gt;"","IDR","")</f>
        <v>IDR</v>
      </c>
      <c r="BJ555" s="72" t="str">
        <f>CONCATENATE(Table43[[#This Row],[kode  1 Digit
(Nomor)]],Table43[[#This Row],[kode  4 Digit                (Nomor)]])</f>
        <v>0025</v>
      </c>
      <c r="BK555" s="72" t="str">
        <f>Table43[[#This Row],[Nama            Gramasi atau Jumlah Pack per CTN]]</f>
        <v>25ML</v>
      </c>
      <c r="BL555" s="72"/>
      <c r="BM555" s="72"/>
      <c r="BN555" s="71" t="str">
        <f>IF(Table43[[#This Row],[SATUAN Fix Win]]&lt;&gt;"","KRT")</f>
        <v>KRT</v>
      </c>
      <c r="BO555" s="71" t="str">
        <f>IF(Table43[[#This Row],[SATUAN Fix Win]]&lt;&gt;"","GD01")</f>
        <v>GD01</v>
      </c>
      <c r="BP555" s="71">
        <f>IF(Table43[[#This Row],[SATUAN Fix Win]]&lt;&gt;"",11611)</f>
        <v>11611</v>
      </c>
      <c r="BQ555" s="71">
        <f>IF(Table43[[#This Row],[SATUAN Fix Win]]&lt;&gt;"",11612)</f>
        <v>11612</v>
      </c>
      <c r="BR555" s="71"/>
      <c r="BS555" s="71">
        <f>IF(Table43[[#This Row],[SATUAN Fix Win]]&lt;&gt;"",1)</f>
        <v>1</v>
      </c>
      <c r="BT555" s="71"/>
      <c r="BU555" s="71">
        <f>Table43[[#This Row],[ISI/CTN]]</f>
        <v>144</v>
      </c>
      <c r="BV555" s="71"/>
      <c r="BW555" s="71"/>
    </row>
    <row r="556" spans="1:75">
      <c r="A556" s="4" t="str">
        <f>CONCATENATE(Table43[[#This Row],[Kode BARANG Win2]],Table43[[#This Row],[No. Urut
Item Sama]])</f>
        <v>G1267001000010</v>
      </c>
      <c r="B556" s="7"/>
      <c r="C556" s="31">
        <v>30590020021000</v>
      </c>
      <c r="D556" s="59">
        <v>40024792</v>
      </c>
      <c r="E556" s="67" t="s">
        <v>2506</v>
      </c>
      <c r="F556" s="69">
        <v>30590020021000</v>
      </c>
      <c r="G556" s="69">
        <v>0</v>
      </c>
      <c r="H556" s="60">
        <v>0</v>
      </c>
      <c r="I556" s="60">
        <v>144</v>
      </c>
      <c r="J556" s="59">
        <v>0</v>
      </c>
      <c r="K556" s="60" t="str">
        <f>Table43[[#This Row],[NamaJenisKemasan]]</f>
        <v>PCS</v>
      </c>
      <c r="L556" s="4" t="str">
        <f>TRIM(CONCATENATE(Table43[[#This Row],[Nama            KLP]]," ",Table43[[#This Row],[Nama            Sub KLP]]))</f>
        <v>STELLA FUN&amp;FRESH</v>
      </c>
      <c r="M556" s="4" t="str">
        <f>CONCATENATE(Table43[[#This Row],[kode  2 Digit                (hrf+No)]],Table43[[#This Row],[kode  2 Digit                (Nomor)]],Table43[[#This Row],[kode  1 Digit                (Nomor)]])</f>
        <v>G1267</v>
      </c>
      <c r="N556" s="4" t="str">
        <f>IF(AI556="",CONCATENATE(S556,U556,W556,Y556,AA556,AC556,AE556,AG556,Table43[[#This Row],[Tanda Kode Revisi]]),CONCATENATE(S556,U556,W556,Y556,AA556,AC556,AE556,AI556))</f>
        <v>G1267001000010</v>
      </c>
      <c r="O556" s="11">
        <f t="shared" si="14"/>
        <v>14</v>
      </c>
      <c r="P556" s="14" t="str">
        <f>IF(AH556&lt;&gt;"",TRIM(UPPER(CONCATENATE(R556," ",T556," ",V556," ",X556," ",Z556," ",AB556," ","X"," ",Table43[[#This Row],[ISI/CTN]]," ",AH556," ",AD556," ",AF556," ",AJ556))),TRIM(UPPER(CONCATENATE(R556," ",T556," ",V556," ",X556," ",Z556," ",AB556," ","X"," ",Table43[[#This Row],[ISI/CTN]]," ",AD556," ",AF556," ",AJ556))))</f>
        <v>STELLA FUN&amp;FRESH CARAMEL MACHIATO X 144 PCS</v>
      </c>
      <c r="Q556" s="11">
        <f t="shared" si="15"/>
        <v>43</v>
      </c>
      <c r="S556" s="7" t="s">
        <v>34</v>
      </c>
      <c r="T556" s="4" t="s">
        <v>2421</v>
      </c>
      <c r="U556" s="47" t="s">
        <v>2584</v>
      </c>
      <c r="V556" s="48" t="s">
        <v>2438</v>
      </c>
      <c r="W556" s="7">
        <v>7</v>
      </c>
      <c r="X556" s="48"/>
      <c r="Y556" s="47" t="s">
        <v>1116</v>
      </c>
      <c r="Z556" s="4" t="s">
        <v>2396</v>
      </c>
      <c r="AA556" s="49" t="s">
        <v>1115</v>
      </c>
      <c r="AC556" s="49" t="s">
        <v>2460</v>
      </c>
      <c r="AD556" s="4" t="s">
        <v>185</v>
      </c>
      <c r="AE556" s="7">
        <v>1</v>
      </c>
      <c r="AG556" s="7">
        <v>0</v>
      </c>
      <c r="AK556" s="70">
        <f>Table43[[#This Row],[Column4]]</f>
        <v>30590020021000</v>
      </c>
      <c r="AN556" s="7">
        <f>Table43[[#This Row],[ISI/CTN]]</f>
        <v>144</v>
      </c>
      <c r="AO556" s="38">
        <f>Table43[[#This Row],[Harga Jual Pcs GT
(-PPN)]]-(Table43[[#This Row],[Harga Jual Pcs GT
(-PPN)]]*6.5%)</f>
        <v>10004.5</v>
      </c>
      <c r="AP556" s="38">
        <f>Table43[[#This Row],[Harga Beli Pcs
(-PPN)]]*Table43[[#This Row],[ISI/CTN]]</f>
        <v>1440648</v>
      </c>
      <c r="AQ556" s="38">
        <f>Table43[[#This Row],[Harga Beli Pcs
(-PPN)]]*1.11</f>
        <v>11104.995000000001</v>
      </c>
      <c r="AR556" s="38">
        <f>Table43[[#This Row],[Harga Beli Krt
(- PPN)]]*1.11</f>
        <v>1599119.28</v>
      </c>
      <c r="AS556" s="38">
        <v>10700</v>
      </c>
      <c r="AT556" s="38">
        <f>Table43[[#This Row],[Harga Jual Pcs GT
(-PPN)]]*Table43[[#This Row],[ISI/CTN]]</f>
        <v>1540800</v>
      </c>
      <c r="AU556" s="38">
        <f>Table43[[#This Row],[Harga Jual Pcs GT
(-PPN)]]*1.11</f>
        <v>11877.000000000002</v>
      </c>
      <c r="AV556" s="38">
        <f>Table43[[#This Row],[Harga Jual Krt GT
(- PPN)]]*1.11</f>
        <v>1710288.0000000002</v>
      </c>
      <c r="AW556" s="38">
        <f>IFERROR(VLOOKUP(Table43[[#This Row],[Kode Pcpl]],'[1]FEB 2026'!$A$3:$X$312,24,0),0)</f>
        <v>0</v>
      </c>
      <c r="AX556" s="38">
        <f>Table43[[#This Row],[Harga Jual Pcs MT
(-PPN)]]*Table43[[#This Row],[ISI/CTN]]</f>
        <v>0</v>
      </c>
      <c r="AY556" s="38">
        <f>Table43[[#This Row],[Harga Jual Pcs MT
(-PPN)]]*1.11</f>
        <v>0</v>
      </c>
      <c r="AZ556" s="38">
        <f>Table43[[#This Row],[Harga Jual Pcs MT
(+PPN)]]*Table43[[#This Row],[ISI/CTN]]</f>
        <v>0</v>
      </c>
      <c r="BA556" s="46">
        <f>(Table43[[#This Row],[Harga Jual Pcs GT
(-PPN)]]-Table43[[#This Row],[Harga Beli Pcs
(-PPN)]])/Table43[[#This Row],[Harga Jual Pcs GT
(-PPN)]]</f>
        <v>6.5000000000000002E-2</v>
      </c>
      <c r="BB556" s="53">
        <f>Table43[[#This Row],[Harga Jual Pcs MT
(-PPN)]]-Table43[[#This Row],[Harga Beli Pcs
(-PPN)]]</f>
        <v>-10004.5</v>
      </c>
      <c r="BC556" s="54" t="e">
        <f>Table43[[#This Row],[Column1]]/Table43[[#This Row],[Harga Jual Pcs MT
(-PPN)]]</f>
        <v>#DIV/0!</v>
      </c>
      <c r="BD556" s="52"/>
      <c r="BE556" s="7"/>
      <c r="BF556" s="7" t="str">
        <f ca="1">IF(TODAY()-Table43[[#This Row],[Efektif
Pembuatan]]&gt;60,"Lama","Baru")</f>
        <v>Lama</v>
      </c>
      <c r="BG556" s="7" t="str">
        <f ca="1">IF(TODAY()-Table43[[#This Row],[Efektif Naik Harga]]&lt;30,"Naik","Sama")</f>
        <v>Sama</v>
      </c>
      <c r="BH556" s="7"/>
      <c r="BI556" s="7" t="str">
        <f>IF(Table43[[#This Row],[Kode BARANG Win2]]&lt;&gt;"","IDR","")</f>
        <v>IDR</v>
      </c>
      <c r="BJ556" s="7" t="str">
        <f>CONCATENATE(Table43[[#This Row],[kode  1 Digit
(Nomor)]],Table43[[#This Row],[kode  4 Digit                (Nomor)]])</f>
        <v>0000</v>
      </c>
      <c r="BK556" s="7">
        <f>Table43[[#This Row],[Nama            Gramasi atau Jumlah Pack per CTN]]</f>
        <v>0</v>
      </c>
      <c r="BL556" s="7"/>
      <c r="BM556" s="7"/>
      <c r="BN556" s="4" t="str">
        <f>IF(Table43[[#This Row],[SATUAN Fix Win]]&lt;&gt;"","KRT")</f>
        <v>KRT</v>
      </c>
      <c r="BO556" s="4" t="str">
        <f>IF(Table43[[#This Row],[SATUAN Fix Win]]&lt;&gt;"","GD01")</f>
        <v>GD01</v>
      </c>
      <c r="BP556" s="4">
        <f>IF(Table43[[#This Row],[SATUAN Fix Win]]&lt;&gt;"",11611)</f>
        <v>11611</v>
      </c>
      <c r="BQ556" s="4">
        <f>IF(Table43[[#This Row],[SATUAN Fix Win]]&lt;&gt;"",11612)</f>
        <v>11612</v>
      </c>
      <c r="BS556" s="4">
        <f>IF(Table43[[#This Row],[SATUAN Fix Win]]&lt;&gt;"",1)</f>
        <v>1</v>
      </c>
      <c r="BU556" s="4">
        <f>Table43[[#This Row],[ISI/CTN]]</f>
        <v>144</v>
      </c>
    </row>
    <row r="557" spans="1:75">
      <c r="A557" s="4" t="str">
        <f>CONCATENATE(Table43[[#This Row],[Kode BARANG Win2]],Table43[[#This Row],[No. Urut
Item Sama]])</f>
        <v>G1267001000010</v>
      </c>
      <c r="B557" s="7"/>
      <c r="C557" s="31">
        <v>30603020225011</v>
      </c>
      <c r="D557" s="59">
        <v>40050838</v>
      </c>
      <c r="E557" s="60" t="s">
        <v>2143</v>
      </c>
      <c r="F557" s="59">
        <v>30590020000000</v>
      </c>
      <c r="G557" s="59">
        <v>0</v>
      </c>
      <c r="H557" s="60" t="s">
        <v>1472</v>
      </c>
      <c r="I557" s="60">
        <v>144</v>
      </c>
      <c r="J557" s="59" t="s">
        <v>1811</v>
      </c>
      <c r="K557" s="60" t="str">
        <f>Table43[[#This Row],[NamaJenisKemasan]]</f>
        <v>PCS</v>
      </c>
      <c r="L557" s="4" t="str">
        <f>TRIM(CONCATENATE(Table43[[#This Row],[Nama            KLP]]," ",Table43[[#This Row],[Nama            Sub KLP]]))</f>
        <v>STELLA FUN&amp;FRESH</v>
      </c>
      <c r="M557" s="4" t="str">
        <f>CONCATENATE(Table43[[#This Row],[kode  2 Digit                (hrf+No)]],Table43[[#This Row],[kode  2 Digit                (Nomor)]],Table43[[#This Row],[kode  1 Digit                (Nomor)]])</f>
        <v>G1267</v>
      </c>
      <c r="N557" s="4" t="str">
        <f>IF(AI557="",CONCATENATE(S557,U557,W557,Y557,AA557,AC557,AE557,AG557,Table43[[#This Row],[Tanda Kode Revisi]]),CONCATENATE(S557,U557,W557,Y557,AA557,AC557,AE557,AI557))</f>
        <v>G1267001000010</v>
      </c>
      <c r="O557" s="11">
        <f t="shared" si="14"/>
        <v>14</v>
      </c>
      <c r="P557" s="14" t="str">
        <f>IF(AH557&lt;&gt;"",TRIM(UPPER(CONCATENATE(R557," ",T557," ",V557," ",X557," ",Z557," ",AB557," ","X"," ",Table43[[#This Row],[ISI/CTN]]," ",AH557," ",AD557," ",AF557," ",AJ557))),TRIM(UPPER(CONCATENATE(R557," ",T557," ",V557," ",X557," ",Z557," ",AB557," ","X"," ",Table43[[#This Row],[ISI/CTN]]," ",AD557," ",AF557," ",AJ557))))</f>
        <v>STELLA FUN&amp;FRESH CARAMEL MACHIATO X 144 PCS</v>
      </c>
      <c r="Q557" s="11">
        <f t="shared" si="15"/>
        <v>43</v>
      </c>
      <c r="S557" s="7" t="s">
        <v>34</v>
      </c>
      <c r="T557" s="4" t="s">
        <v>2421</v>
      </c>
      <c r="U557" s="47" t="s">
        <v>2584</v>
      </c>
      <c r="V557" s="48" t="s">
        <v>2438</v>
      </c>
      <c r="W557" s="7">
        <v>7</v>
      </c>
      <c r="X557" s="48"/>
      <c r="Y557" s="47" t="s">
        <v>1116</v>
      </c>
      <c r="Z557" s="4" t="s">
        <v>2396</v>
      </c>
      <c r="AA557" s="49" t="s">
        <v>1115</v>
      </c>
      <c r="AC557" s="49" t="s">
        <v>2460</v>
      </c>
      <c r="AD557" s="4" t="s">
        <v>185</v>
      </c>
      <c r="AE557" s="7">
        <v>1</v>
      </c>
      <c r="AG557" s="7">
        <v>0</v>
      </c>
      <c r="AK557" s="70">
        <f>Table43[[#This Row],[Column4]]</f>
        <v>30590020000000</v>
      </c>
      <c r="AN557" s="7">
        <f>Table43[[#This Row],[ISI/CTN]]</f>
        <v>144</v>
      </c>
      <c r="AO557" s="61">
        <f>Table43[[#This Row],[Harga Jual Pcs GT
(-PPN)]]-(Table43[[#This Row],[Harga Jual Pcs GT
(-PPN)]]*6.5%)</f>
        <v>10004.5</v>
      </c>
      <c r="AP557" s="61">
        <f>Table43[[#This Row],[Harga Beli Pcs
(-PPN)]]*Table43[[#This Row],[ISI/CTN]]</f>
        <v>1440648</v>
      </c>
      <c r="AQ557" s="61">
        <f>Table43[[#This Row],[Harga Beli Pcs
(-PPN)]]*1.11</f>
        <v>11104.995000000001</v>
      </c>
      <c r="AR557" s="61">
        <f>Table43[[#This Row],[Harga Beli Krt
(- PPN)]]*1.11</f>
        <v>1599119.28</v>
      </c>
      <c r="AS557" s="61">
        <v>10700</v>
      </c>
      <c r="AT557" s="61">
        <f>Table43[[#This Row],[Harga Jual Pcs GT
(-PPN)]]*Table43[[#This Row],[ISI/CTN]]</f>
        <v>1540800</v>
      </c>
      <c r="AU557" s="61">
        <f>Table43[[#This Row],[Harga Jual Pcs GT
(-PPN)]]*1.11</f>
        <v>11877.000000000002</v>
      </c>
      <c r="AV557" s="61">
        <f>Table43[[#This Row],[Harga Jual Krt GT
(- PPN)]]*1.11</f>
        <v>1710288.0000000002</v>
      </c>
      <c r="AW557" s="61">
        <f>IFERROR(VLOOKUP(Table43[[#This Row],[Kode Pcpl]],'[1]FEB 2026'!$A$3:$X$312,24,0),0)</f>
        <v>0</v>
      </c>
      <c r="AX557" s="61">
        <f>Table43[[#This Row],[Harga Jual Pcs MT
(-PPN)]]*Table43[[#This Row],[ISI/CTN]]</f>
        <v>0</v>
      </c>
      <c r="AY557" s="61">
        <f>Table43[[#This Row],[Harga Jual Pcs MT
(-PPN)]]*1.11</f>
        <v>0</v>
      </c>
      <c r="AZ557" s="61">
        <f>Table43[[#This Row],[Harga Jual Pcs MT
(+PPN)]]*Table43[[#This Row],[ISI/CTN]]</f>
        <v>0</v>
      </c>
      <c r="BA557" s="62">
        <f>(Table43[[#This Row],[Harga Jual Pcs GT
(-PPN)]]-Table43[[#This Row],[Harga Beli Pcs
(-PPN)]])/Table43[[#This Row],[Harga Jual Pcs GT
(-PPN)]]</f>
        <v>6.5000000000000002E-2</v>
      </c>
      <c r="BB557" s="63">
        <f>Table43[[#This Row],[Harga Jual Pcs MT
(-PPN)]]-Table43[[#This Row],[Harga Beli Pcs
(-PPN)]]</f>
        <v>-10004.5</v>
      </c>
      <c r="BC557" s="64" t="e">
        <f>Table43[[#This Row],[Column1]]/Table43[[#This Row],[Harga Jual Pcs MT
(-PPN)]]</f>
        <v>#DIV/0!</v>
      </c>
      <c r="BD557" s="52"/>
      <c r="BE557" s="7"/>
      <c r="BF557" s="7" t="str">
        <f ca="1">IF(TODAY()-Table43[[#This Row],[Efektif
Pembuatan]]&gt;60,"Lama","Baru")</f>
        <v>Lama</v>
      </c>
      <c r="BG557" s="7" t="str">
        <f ca="1">IF(TODAY()-Table43[[#This Row],[Efektif Naik Harga]]&lt;30,"Naik","Sama")</f>
        <v>Sama</v>
      </c>
      <c r="BH557" s="7"/>
      <c r="BI557" s="7" t="str">
        <f>IF(Table43[[#This Row],[Kode BARANG Win2]]&lt;&gt;"","IDR","")</f>
        <v>IDR</v>
      </c>
      <c r="BJ557" s="7" t="str">
        <f>CONCATENATE(Table43[[#This Row],[kode  1 Digit
(Nomor)]],Table43[[#This Row],[kode  4 Digit                (Nomor)]])</f>
        <v>0000</v>
      </c>
      <c r="BK557" s="7">
        <f>Table43[[#This Row],[Nama            Gramasi atau Jumlah Pack per CTN]]</f>
        <v>0</v>
      </c>
      <c r="BL557" s="7"/>
      <c r="BM557" s="7"/>
      <c r="BN557" s="4" t="str">
        <f>IF(Table43[[#This Row],[SATUAN Fix Win]]&lt;&gt;"","KRT")</f>
        <v>KRT</v>
      </c>
      <c r="BO557" s="4" t="str">
        <f>IF(Table43[[#This Row],[SATUAN Fix Win]]&lt;&gt;"","GD01")</f>
        <v>GD01</v>
      </c>
      <c r="BP557" s="4">
        <f>IF(Table43[[#This Row],[SATUAN Fix Win]]&lt;&gt;"",11611)</f>
        <v>11611</v>
      </c>
      <c r="BQ557" s="4">
        <f>IF(Table43[[#This Row],[SATUAN Fix Win]]&lt;&gt;"",11612)</f>
        <v>11612</v>
      </c>
      <c r="BS557" s="4">
        <f>IF(Table43[[#This Row],[SATUAN Fix Win]]&lt;&gt;"",1)</f>
        <v>1</v>
      </c>
      <c r="BU557" s="4">
        <f>Table43[[#This Row],[ISI/CTN]]</f>
        <v>144</v>
      </c>
    </row>
    <row r="558" spans="1:75">
      <c r="A558" s="4" t="str">
        <f>CONCATENATE(Table43[[#This Row],[Kode BARANG Win2]],Table43[[#This Row],[No. Urut
Item Sama]])</f>
        <v>G1267002000010</v>
      </c>
      <c r="B558" s="7"/>
      <c r="C558" s="31">
        <v>30590010021000</v>
      </c>
      <c r="D558" s="59">
        <v>40026248</v>
      </c>
      <c r="E558" s="67" t="s">
        <v>2505</v>
      </c>
      <c r="F558" s="69">
        <v>30590010021000</v>
      </c>
      <c r="G558" s="69">
        <v>0</v>
      </c>
      <c r="H558" s="60">
        <v>0</v>
      </c>
      <c r="I558" s="60">
        <v>144</v>
      </c>
      <c r="J558" s="59">
        <v>0</v>
      </c>
      <c r="K558" s="60" t="str">
        <f>Table43[[#This Row],[NamaJenisKemasan]]</f>
        <v>PCS</v>
      </c>
      <c r="L558" s="4" t="str">
        <f>TRIM(CONCATENATE(Table43[[#This Row],[Nama            KLP]]," ",Table43[[#This Row],[Nama            Sub KLP]]))</f>
        <v>STELLA FUN&amp;FRESH</v>
      </c>
      <c r="M558" s="4" t="str">
        <f>CONCATENATE(Table43[[#This Row],[kode  2 Digit                (hrf+No)]],Table43[[#This Row],[kode  2 Digit                (Nomor)]],Table43[[#This Row],[kode  1 Digit                (Nomor)]])</f>
        <v>G1267</v>
      </c>
      <c r="N558" s="4" t="str">
        <f>IF(AI558="",CONCATENATE(S558,U558,W558,Y558,AA558,AC558,AE558,AG558,Table43[[#This Row],[Tanda Kode Revisi]]),CONCATENATE(S558,U558,W558,Y558,AA558,AC558,AE558,AI558))</f>
        <v>G1267002000010</v>
      </c>
      <c r="O558" s="11">
        <f t="shared" si="14"/>
        <v>14</v>
      </c>
      <c r="P558" s="14" t="str">
        <f>IF(AH558&lt;&gt;"",TRIM(UPPER(CONCATENATE(R558," ",T558," ",V558," ",X558," ",Z558," ",AB558," ","X"," ",Table43[[#This Row],[ISI/CTN]]," ",AH558," ",AD558," ",AF558," ",AJ558))),TRIM(UPPER(CONCATENATE(R558," ",T558," ",V558," ",X558," ",Z558," ",AB558," ","X"," ",Table43[[#This Row],[ISI/CTN]]," ",AD558," ",AF558," ",AJ558))))</f>
        <v>STELLA FUN&amp;FRESH FRUITY X 144 PCS</v>
      </c>
      <c r="Q558" s="11">
        <f t="shared" si="15"/>
        <v>33</v>
      </c>
      <c r="S558" s="7" t="s">
        <v>34</v>
      </c>
      <c r="T558" s="4" t="s">
        <v>2421</v>
      </c>
      <c r="U558" s="47" t="s">
        <v>2584</v>
      </c>
      <c r="V558" s="48" t="s">
        <v>2438</v>
      </c>
      <c r="W558" s="7">
        <v>7</v>
      </c>
      <c r="X558" s="48"/>
      <c r="Y558" s="47" t="s">
        <v>1116</v>
      </c>
      <c r="Z558" s="4" t="s">
        <v>2437</v>
      </c>
      <c r="AA558" s="49" t="s">
        <v>2459</v>
      </c>
      <c r="AC558" s="49" t="s">
        <v>2460</v>
      </c>
      <c r="AD558" s="4" t="s">
        <v>185</v>
      </c>
      <c r="AE558" s="7">
        <v>1</v>
      </c>
      <c r="AG558" s="7">
        <v>0</v>
      </c>
      <c r="AK558" s="70">
        <f>Table43[[#This Row],[Column4]]</f>
        <v>30590010021000</v>
      </c>
      <c r="AN558" s="7">
        <f>Table43[[#This Row],[ISI/CTN]]</f>
        <v>144</v>
      </c>
      <c r="AO558" s="38">
        <f>Table43[[#This Row],[Harga Jual Pcs GT
(-PPN)]]-(Table43[[#This Row],[Harga Jual Pcs GT
(-PPN)]]*6.5%)</f>
        <v>10004.5</v>
      </c>
      <c r="AP558" s="38">
        <f>Table43[[#This Row],[Harga Beli Pcs
(-PPN)]]*Table43[[#This Row],[ISI/CTN]]</f>
        <v>1440648</v>
      </c>
      <c r="AQ558" s="38">
        <f>Table43[[#This Row],[Harga Beli Pcs
(-PPN)]]*1.11</f>
        <v>11104.995000000001</v>
      </c>
      <c r="AR558" s="38">
        <f>Table43[[#This Row],[Harga Beli Krt
(- PPN)]]*1.11</f>
        <v>1599119.28</v>
      </c>
      <c r="AS558" s="38">
        <v>10700</v>
      </c>
      <c r="AT558" s="38">
        <f>Table43[[#This Row],[Harga Jual Pcs GT
(-PPN)]]*Table43[[#This Row],[ISI/CTN]]</f>
        <v>1540800</v>
      </c>
      <c r="AU558" s="38">
        <f>Table43[[#This Row],[Harga Jual Pcs GT
(-PPN)]]*1.11</f>
        <v>11877.000000000002</v>
      </c>
      <c r="AV558" s="38">
        <f>Table43[[#This Row],[Harga Jual Krt GT
(- PPN)]]*1.11</f>
        <v>1710288.0000000002</v>
      </c>
      <c r="AW558" s="38">
        <f>IFERROR(VLOOKUP(Table43[[#This Row],[Kode Pcpl]],'[1]FEB 2026'!$A$3:$X$312,24,0),0)</f>
        <v>0</v>
      </c>
      <c r="AX558" s="38">
        <f>Table43[[#This Row],[Harga Jual Pcs MT
(-PPN)]]*Table43[[#This Row],[ISI/CTN]]</f>
        <v>0</v>
      </c>
      <c r="AY558" s="38">
        <f>Table43[[#This Row],[Harga Jual Pcs MT
(-PPN)]]*1.11</f>
        <v>0</v>
      </c>
      <c r="AZ558" s="38">
        <f>Table43[[#This Row],[Harga Jual Pcs MT
(+PPN)]]*Table43[[#This Row],[ISI/CTN]]</f>
        <v>0</v>
      </c>
      <c r="BA558" s="46">
        <f>(Table43[[#This Row],[Harga Jual Pcs GT
(-PPN)]]-Table43[[#This Row],[Harga Beli Pcs
(-PPN)]])/Table43[[#This Row],[Harga Jual Pcs GT
(-PPN)]]</f>
        <v>6.5000000000000002E-2</v>
      </c>
      <c r="BB558" s="53">
        <f>Table43[[#This Row],[Harga Jual Pcs MT
(-PPN)]]-Table43[[#This Row],[Harga Beli Pcs
(-PPN)]]</f>
        <v>-10004.5</v>
      </c>
      <c r="BC558" s="54" t="e">
        <f>Table43[[#This Row],[Column1]]/Table43[[#This Row],[Harga Jual Pcs MT
(-PPN)]]</f>
        <v>#DIV/0!</v>
      </c>
      <c r="BD558" s="52"/>
      <c r="BE558" s="7"/>
      <c r="BF558" s="7" t="str">
        <f ca="1">IF(TODAY()-Table43[[#This Row],[Efektif
Pembuatan]]&gt;60,"Lama","Baru")</f>
        <v>Lama</v>
      </c>
      <c r="BG558" s="7" t="str">
        <f ca="1">IF(TODAY()-Table43[[#This Row],[Efektif Naik Harga]]&lt;30,"Naik","Sama")</f>
        <v>Sama</v>
      </c>
      <c r="BH558" s="7"/>
      <c r="BI558" s="7" t="str">
        <f>IF(Table43[[#This Row],[Kode BARANG Win2]]&lt;&gt;"","IDR","")</f>
        <v>IDR</v>
      </c>
      <c r="BJ558" s="7" t="str">
        <f>CONCATENATE(Table43[[#This Row],[kode  1 Digit
(Nomor)]],Table43[[#This Row],[kode  4 Digit                (Nomor)]])</f>
        <v>0000</v>
      </c>
      <c r="BK558" s="7">
        <f>Table43[[#This Row],[Nama            Gramasi atau Jumlah Pack per CTN]]</f>
        <v>0</v>
      </c>
      <c r="BL558" s="7"/>
      <c r="BM558" s="7"/>
      <c r="BN558" s="4" t="str">
        <f>IF(Table43[[#This Row],[SATUAN Fix Win]]&lt;&gt;"","KRT")</f>
        <v>KRT</v>
      </c>
      <c r="BO558" s="4" t="str">
        <f>IF(Table43[[#This Row],[SATUAN Fix Win]]&lt;&gt;"","GD01")</f>
        <v>GD01</v>
      </c>
      <c r="BP558" s="4">
        <f>IF(Table43[[#This Row],[SATUAN Fix Win]]&lt;&gt;"",11611)</f>
        <v>11611</v>
      </c>
      <c r="BQ558" s="4">
        <f>IF(Table43[[#This Row],[SATUAN Fix Win]]&lt;&gt;"",11612)</f>
        <v>11612</v>
      </c>
      <c r="BS558" s="4">
        <f>IF(Table43[[#This Row],[SATUAN Fix Win]]&lt;&gt;"",1)</f>
        <v>1</v>
      </c>
      <c r="BU558" s="4">
        <f>Table43[[#This Row],[ISI/CTN]]</f>
        <v>144</v>
      </c>
    </row>
    <row r="559" spans="1:75">
      <c r="A559" s="4" t="str">
        <f>CONCATENATE(Table43[[#This Row],[Kode BARANG Win2]],Table43[[#This Row],[No. Urut
Item Sama]])</f>
        <v>G1267002000010</v>
      </c>
      <c r="B559" s="7"/>
      <c r="C559" s="31">
        <v>30603020225011</v>
      </c>
      <c r="D559" s="59">
        <v>40044141</v>
      </c>
      <c r="E559" s="60" t="s">
        <v>2147</v>
      </c>
      <c r="F559" s="59">
        <v>30590050000000</v>
      </c>
      <c r="G559" s="59">
        <v>0</v>
      </c>
      <c r="H559" s="60" t="s">
        <v>1476</v>
      </c>
      <c r="I559" s="60">
        <v>144</v>
      </c>
      <c r="J559" s="59" t="s">
        <v>1815</v>
      </c>
      <c r="K559" s="60" t="str">
        <f>Table43[[#This Row],[NamaJenisKemasan]]</f>
        <v>PCS</v>
      </c>
      <c r="L559" s="4" t="str">
        <f>TRIM(CONCATENATE(Table43[[#This Row],[Nama            KLP]]," ",Table43[[#This Row],[Nama            Sub KLP]]))</f>
        <v>STELLA FUN&amp;FRESH</v>
      </c>
      <c r="M559" s="4" t="str">
        <f>CONCATENATE(Table43[[#This Row],[kode  2 Digit                (hrf+No)]],Table43[[#This Row],[kode  2 Digit                (Nomor)]],Table43[[#This Row],[kode  1 Digit                (Nomor)]])</f>
        <v>G1267</v>
      </c>
      <c r="N559" s="4" t="str">
        <f>IF(AI559="",CONCATENATE(S559,U559,W559,Y559,AA559,AC559,AE559,AG559,Table43[[#This Row],[Tanda Kode Revisi]]),CONCATENATE(S559,U559,W559,Y559,AA559,AC559,AE559,AI559))</f>
        <v>G1267002000010</v>
      </c>
      <c r="O559" s="11">
        <f t="shared" si="14"/>
        <v>14</v>
      </c>
      <c r="P559" s="14" t="str">
        <f>IF(AH559&lt;&gt;"",TRIM(UPPER(CONCATENATE(R559," ",T559," ",V559," ",X559," ",Z559," ",AB559," ","X"," ",Table43[[#This Row],[ISI/CTN]]," ",AH559," ",AD559," ",AF559," ",AJ559))),TRIM(UPPER(CONCATENATE(R559," ",T559," ",V559," ",X559," ",Z559," ",AB559," ","X"," ",Table43[[#This Row],[ISI/CTN]]," ",AD559," ",AF559," ",AJ559))))</f>
        <v>STELLA FUN&amp;FRESH FRUITY X 144 PCS</v>
      </c>
      <c r="Q559" s="11">
        <f t="shared" si="15"/>
        <v>33</v>
      </c>
      <c r="S559" s="7" t="s">
        <v>34</v>
      </c>
      <c r="T559" s="4" t="s">
        <v>2421</v>
      </c>
      <c r="U559" s="47" t="s">
        <v>2584</v>
      </c>
      <c r="V559" s="48" t="s">
        <v>2438</v>
      </c>
      <c r="W559" s="7">
        <v>7</v>
      </c>
      <c r="X559" s="48"/>
      <c r="Y559" s="47" t="s">
        <v>1116</v>
      </c>
      <c r="Z559" s="4" t="s">
        <v>2437</v>
      </c>
      <c r="AA559" s="49" t="s">
        <v>2459</v>
      </c>
      <c r="AC559" s="49" t="s">
        <v>2460</v>
      </c>
      <c r="AD559" s="4" t="s">
        <v>185</v>
      </c>
      <c r="AE559" s="7">
        <v>1</v>
      </c>
      <c r="AG559" s="7">
        <v>0</v>
      </c>
      <c r="AK559" s="70">
        <f>Table43[[#This Row],[Column4]]</f>
        <v>30590050000000</v>
      </c>
      <c r="AN559" s="7">
        <f>Table43[[#This Row],[ISI/CTN]]</f>
        <v>144</v>
      </c>
      <c r="AO559" s="38">
        <f>Table43[[#This Row],[Harga Jual Pcs GT
(-PPN)]]-(Table43[[#This Row],[Harga Jual Pcs GT
(-PPN)]]*6.5%)</f>
        <v>10004.5</v>
      </c>
      <c r="AP559" s="38">
        <f>Table43[[#This Row],[Harga Beli Pcs
(-PPN)]]*Table43[[#This Row],[ISI/CTN]]</f>
        <v>1440648</v>
      </c>
      <c r="AQ559" s="38">
        <f>Table43[[#This Row],[Harga Beli Pcs
(-PPN)]]*1.11</f>
        <v>11104.995000000001</v>
      </c>
      <c r="AR559" s="38">
        <f>Table43[[#This Row],[Harga Beli Krt
(- PPN)]]*1.11</f>
        <v>1599119.28</v>
      </c>
      <c r="AS559" s="38">
        <v>10700</v>
      </c>
      <c r="AT559" s="38">
        <f>Table43[[#This Row],[Harga Jual Pcs GT
(-PPN)]]*Table43[[#This Row],[ISI/CTN]]</f>
        <v>1540800</v>
      </c>
      <c r="AU559" s="38">
        <f>Table43[[#This Row],[Harga Jual Pcs GT
(-PPN)]]*1.11</f>
        <v>11877.000000000002</v>
      </c>
      <c r="AV559" s="38">
        <f>Table43[[#This Row],[Harga Jual Krt GT
(- PPN)]]*1.11</f>
        <v>1710288.0000000002</v>
      </c>
      <c r="AW559" s="38">
        <f>IFERROR(VLOOKUP(Table43[[#This Row],[Kode Pcpl]],'[1]FEB 2026'!$A$3:$X$312,24,0),0)</f>
        <v>0</v>
      </c>
      <c r="AX559" s="38">
        <f>Table43[[#This Row],[Harga Jual Pcs MT
(-PPN)]]*Table43[[#This Row],[ISI/CTN]]</f>
        <v>0</v>
      </c>
      <c r="AY559" s="38">
        <f>Table43[[#This Row],[Harga Jual Pcs MT
(-PPN)]]*1.11</f>
        <v>0</v>
      </c>
      <c r="AZ559" s="38">
        <f>Table43[[#This Row],[Harga Jual Pcs MT
(+PPN)]]*Table43[[#This Row],[ISI/CTN]]</f>
        <v>0</v>
      </c>
      <c r="BA559" s="46">
        <f>(Table43[[#This Row],[Harga Jual Pcs GT
(-PPN)]]-Table43[[#This Row],[Harga Beli Pcs
(-PPN)]])/Table43[[#This Row],[Harga Jual Pcs GT
(-PPN)]]</f>
        <v>6.5000000000000002E-2</v>
      </c>
      <c r="BB559" s="53">
        <f>Table43[[#This Row],[Harga Jual Pcs MT
(-PPN)]]-Table43[[#This Row],[Harga Beli Pcs
(-PPN)]]</f>
        <v>-10004.5</v>
      </c>
      <c r="BC559" s="54" t="e">
        <f>Table43[[#This Row],[Column1]]/Table43[[#This Row],[Harga Jual Pcs MT
(-PPN)]]</f>
        <v>#DIV/0!</v>
      </c>
      <c r="BD559" s="52"/>
      <c r="BE559" s="7"/>
      <c r="BF559" s="7" t="str">
        <f ca="1">IF(TODAY()-Table43[[#This Row],[Efektif
Pembuatan]]&gt;60,"Lama","Baru")</f>
        <v>Lama</v>
      </c>
      <c r="BG559" s="7" t="str">
        <f ca="1">IF(TODAY()-Table43[[#This Row],[Efektif Naik Harga]]&lt;30,"Naik","Sama")</f>
        <v>Sama</v>
      </c>
      <c r="BH559" s="7"/>
      <c r="BI559" s="7" t="str">
        <f>IF(Table43[[#This Row],[Kode BARANG Win2]]&lt;&gt;"","IDR","")</f>
        <v>IDR</v>
      </c>
      <c r="BJ559" s="7" t="str">
        <f>CONCATENATE(Table43[[#This Row],[kode  1 Digit
(Nomor)]],Table43[[#This Row],[kode  4 Digit                (Nomor)]])</f>
        <v>0000</v>
      </c>
      <c r="BK559" s="7">
        <f>Table43[[#This Row],[Nama            Gramasi atau Jumlah Pack per CTN]]</f>
        <v>0</v>
      </c>
      <c r="BL559" s="7"/>
      <c r="BM559" s="7"/>
      <c r="BN559" s="4" t="str">
        <f>IF(Table43[[#This Row],[SATUAN Fix Win]]&lt;&gt;"","KRT")</f>
        <v>KRT</v>
      </c>
      <c r="BO559" s="4" t="str">
        <f>IF(Table43[[#This Row],[SATUAN Fix Win]]&lt;&gt;"","GD01")</f>
        <v>GD01</v>
      </c>
      <c r="BP559" s="4">
        <f>IF(Table43[[#This Row],[SATUAN Fix Win]]&lt;&gt;"",11611)</f>
        <v>11611</v>
      </c>
      <c r="BQ559" s="4">
        <f>IF(Table43[[#This Row],[SATUAN Fix Win]]&lt;&gt;"",11612)</f>
        <v>11612</v>
      </c>
      <c r="BS559" s="4">
        <f>IF(Table43[[#This Row],[SATUAN Fix Win]]&lt;&gt;"",1)</f>
        <v>1</v>
      </c>
      <c r="BU559" s="4">
        <f>Table43[[#This Row],[ISI/CTN]]</f>
        <v>144</v>
      </c>
    </row>
    <row r="560" spans="1:75">
      <c r="A560" s="4" t="str">
        <f>CONCATENATE(Table43[[#This Row],[Kode BARANG Win2]],Table43[[#This Row],[No. Urut
Item Sama]])</f>
        <v>G1267003000010</v>
      </c>
      <c r="B560" s="7"/>
      <c r="C560" s="31">
        <v>30603040225010</v>
      </c>
      <c r="D560" s="59">
        <v>40044140</v>
      </c>
      <c r="E560" s="60" t="s">
        <v>2145</v>
      </c>
      <c r="F560" s="59">
        <v>30590040000000</v>
      </c>
      <c r="G560" s="59">
        <v>0</v>
      </c>
      <c r="H560" s="60" t="s">
        <v>1474</v>
      </c>
      <c r="I560" s="60">
        <v>144</v>
      </c>
      <c r="J560" s="59" t="s">
        <v>1813</v>
      </c>
      <c r="K560" s="60" t="str">
        <f>Table43[[#This Row],[NamaJenisKemasan]]</f>
        <v>PCS</v>
      </c>
      <c r="L560" s="4" t="str">
        <f>TRIM(CONCATENATE(Table43[[#This Row],[Nama            KLP]]," ",Table43[[#This Row],[Nama            Sub KLP]]))</f>
        <v>STELLA FUN&amp;FRESH</v>
      </c>
      <c r="M560" s="4" t="str">
        <f>CONCATENATE(Table43[[#This Row],[kode  2 Digit                (hrf+No)]],Table43[[#This Row],[kode  2 Digit                (Nomor)]],Table43[[#This Row],[kode  1 Digit                (Nomor)]])</f>
        <v>G1267</v>
      </c>
      <c r="N560" s="4" t="str">
        <f>IF(AI560="",CONCATENATE(S560,U560,W560,Y560,AA560,AC560,AE560,AG560,Table43[[#This Row],[Tanda Kode Revisi]]),CONCATENATE(S560,U560,W560,Y560,AA560,AC560,AE560,AI560))</f>
        <v>G1267003000010</v>
      </c>
      <c r="O560" s="11">
        <f t="shared" si="14"/>
        <v>14</v>
      </c>
      <c r="P560" s="14" t="str">
        <f>IF(AH560&lt;&gt;"",TRIM(UPPER(CONCATENATE(R560," ",T560," ",V560," ",X560," ",Z560," ",AB560," ","X"," ",Table43[[#This Row],[ISI/CTN]]," ",AH560," ",AD560," ",AF560," ",AJ560))),TRIM(UPPER(CONCATENATE(R560," ",T560," ",V560," ",X560," ",Z560," ",AB560," ","X"," ",Table43[[#This Row],[ISI/CTN]]," ",AD560," ",AF560," ",AJ560))))</f>
        <v>STELLA FUN&amp;FRESH HAPPY DAY X 144 PCS</v>
      </c>
      <c r="Q560" s="11">
        <f t="shared" si="15"/>
        <v>36</v>
      </c>
      <c r="S560" s="7" t="s">
        <v>34</v>
      </c>
      <c r="T560" s="4" t="s">
        <v>2421</v>
      </c>
      <c r="U560" s="47" t="s">
        <v>2584</v>
      </c>
      <c r="V560" s="48" t="s">
        <v>2438</v>
      </c>
      <c r="W560" s="7">
        <v>7</v>
      </c>
      <c r="X560" s="48"/>
      <c r="Y560" s="47" t="s">
        <v>1116</v>
      </c>
      <c r="Z560" s="4" t="s">
        <v>2439</v>
      </c>
      <c r="AA560" s="49" t="s">
        <v>2538</v>
      </c>
      <c r="AC560" s="49" t="s">
        <v>2460</v>
      </c>
      <c r="AD560" s="4" t="s">
        <v>185</v>
      </c>
      <c r="AE560" s="7">
        <v>1</v>
      </c>
      <c r="AG560" s="7">
        <v>0</v>
      </c>
      <c r="AK560" s="70">
        <f>Table43[[#This Row],[Column4]]</f>
        <v>30590040000000</v>
      </c>
      <c r="AN560" s="7">
        <f>Table43[[#This Row],[ISI/CTN]]</f>
        <v>144</v>
      </c>
      <c r="AO560" s="61">
        <f>Table43[[#This Row],[Harga Jual Pcs GT
(-PPN)]]-(Table43[[#This Row],[Harga Jual Pcs GT
(-PPN)]]*6.5%)</f>
        <v>7293</v>
      </c>
      <c r="AP560" s="61">
        <f>Table43[[#This Row],[Harga Beli Pcs
(-PPN)]]*Table43[[#This Row],[ISI/CTN]]</f>
        <v>1050192</v>
      </c>
      <c r="AQ560" s="61">
        <f>Table43[[#This Row],[Harga Beli Pcs
(-PPN)]]*1.11</f>
        <v>8095.2300000000005</v>
      </c>
      <c r="AR560" s="61">
        <f>Table43[[#This Row],[Harga Beli Krt
(- PPN)]]*1.11</f>
        <v>1165713.1200000001</v>
      </c>
      <c r="AS560" s="61">
        <v>7800</v>
      </c>
      <c r="AT560" s="61">
        <f>Table43[[#This Row],[Harga Jual Pcs GT
(-PPN)]]*Table43[[#This Row],[ISI/CTN]]</f>
        <v>1123200</v>
      </c>
      <c r="AU560" s="61">
        <f>Table43[[#This Row],[Harga Jual Pcs GT
(-PPN)]]*1.11</f>
        <v>8658</v>
      </c>
      <c r="AV560" s="61">
        <f>Table43[[#This Row],[Harga Jual Krt GT
(- PPN)]]*1.11</f>
        <v>1246752</v>
      </c>
      <c r="AW560" s="61">
        <f>IFERROR(VLOOKUP(Table43[[#This Row],[Kode Pcpl]],'[1]FEB 2026'!$A$3:$X$312,24,0),0)</f>
        <v>0</v>
      </c>
      <c r="AX560" s="61">
        <f>Table43[[#This Row],[Harga Jual Pcs MT
(-PPN)]]*Table43[[#This Row],[ISI/CTN]]</f>
        <v>0</v>
      </c>
      <c r="AY560" s="61">
        <f>Table43[[#This Row],[Harga Jual Pcs MT
(-PPN)]]*1.11</f>
        <v>0</v>
      </c>
      <c r="AZ560" s="61">
        <f>Table43[[#This Row],[Harga Jual Pcs MT
(+PPN)]]*Table43[[#This Row],[ISI/CTN]]</f>
        <v>0</v>
      </c>
      <c r="BA560" s="62">
        <f>(Table43[[#This Row],[Harga Jual Pcs GT
(-PPN)]]-Table43[[#This Row],[Harga Beli Pcs
(-PPN)]])/Table43[[#This Row],[Harga Jual Pcs GT
(-PPN)]]</f>
        <v>6.5000000000000002E-2</v>
      </c>
      <c r="BB560" s="63">
        <f>Table43[[#This Row],[Harga Jual Pcs MT
(-PPN)]]-Table43[[#This Row],[Harga Beli Pcs
(-PPN)]]</f>
        <v>-7293</v>
      </c>
      <c r="BC560" s="64" t="e">
        <f>Table43[[#This Row],[Column1]]/Table43[[#This Row],[Harga Jual Pcs MT
(-PPN)]]</f>
        <v>#DIV/0!</v>
      </c>
      <c r="BD560" s="52"/>
      <c r="BE560" s="7"/>
      <c r="BF560" s="7" t="str">
        <f ca="1">IF(TODAY()-Table43[[#This Row],[Efektif
Pembuatan]]&gt;60,"Lama","Baru")</f>
        <v>Lama</v>
      </c>
      <c r="BG560" s="7" t="str">
        <f ca="1">IF(TODAY()-Table43[[#This Row],[Efektif Naik Harga]]&lt;30,"Naik","Sama")</f>
        <v>Sama</v>
      </c>
      <c r="BH560" s="7"/>
      <c r="BI560" s="7" t="str">
        <f>IF(Table43[[#This Row],[Kode BARANG Win2]]&lt;&gt;"","IDR","")</f>
        <v>IDR</v>
      </c>
      <c r="BJ560" s="7" t="str">
        <f>CONCATENATE(Table43[[#This Row],[kode  1 Digit
(Nomor)]],Table43[[#This Row],[kode  4 Digit                (Nomor)]])</f>
        <v>0000</v>
      </c>
      <c r="BK560" s="7">
        <f>Table43[[#This Row],[Nama            Gramasi atau Jumlah Pack per CTN]]</f>
        <v>0</v>
      </c>
      <c r="BL560" s="7"/>
      <c r="BM560" s="7"/>
      <c r="BN560" s="4" t="str">
        <f>IF(Table43[[#This Row],[SATUAN Fix Win]]&lt;&gt;"","KRT")</f>
        <v>KRT</v>
      </c>
      <c r="BO560" s="4" t="str">
        <f>IF(Table43[[#This Row],[SATUAN Fix Win]]&lt;&gt;"","GD01")</f>
        <v>GD01</v>
      </c>
      <c r="BP560" s="4">
        <f>IF(Table43[[#This Row],[SATUAN Fix Win]]&lt;&gt;"",11611)</f>
        <v>11611</v>
      </c>
      <c r="BQ560" s="4">
        <f>IF(Table43[[#This Row],[SATUAN Fix Win]]&lt;&gt;"",11612)</f>
        <v>11612</v>
      </c>
      <c r="BS560" s="4">
        <f>IF(Table43[[#This Row],[SATUAN Fix Win]]&lt;&gt;"",1)</f>
        <v>1</v>
      </c>
      <c r="BU560" s="4">
        <f>Table43[[#This Row],[ISI/CTN]]</f>
        <v>144</v>
      </c>
    </row>
    <row r="561" spans="1:75">
      <c r="A561" s="4" t="str">
        <f>CONCATENATE(Table43[[#This Row],[Kode BARANG Win2]],Table43[[#This Row],[No. Urut
Item Sama]])</f>
        <v>G1267004000010</v>
      </c>
      <c r="B561" s="7"/>
      <c r="C561" s="31">
        <v>30603040225010</v>
      </c>
      <c r="D561" s="51">
        <v>40057692</v>
      </c>
      <c r="E561" s="27" t="s">
        <v>2150</v>
      </c>
      <c r="F561" s="51">
        <v>30590070000000</v>
      </c>
      <c r="G561" s="51">
        <v>0</v>
      </c>
      <c r="H561" s="27" t="s">
        <v>1479</v>
      </c>
      <c r="I561" s="27">
        <v>144</v>
      </c>
      <c r="J561" s="51" t="s">
        <v>1818</v>
      </c>
      <c r="K561" s="27" t="str">
        <f>Table43[[#This Row],[NamaJenisKemasan]]</f>
        <v>PCS</v>
      </c>
      <c r="L561" s="4" t="str">
        <f>TRIM(CONCATENATE(Table43[[#This Row],[Nama            KLP]]," ",Table43[[#This Row],[Nama            Sub KLP]]))</f>
        <v>STELLA FUN&amp;FRESH</v>
      </c>
      <c r="M561" s="4" t="str">
        <f>CONCATENATE(Table43[[#This Row],[kode  2 Digit                (hrf+No)]],Table43[[#This Row],[kode  2 Digit                (Nomor)]],Table43[[#This Row],[kode  1 Digit                (Nomor)]])</f>
        <v>G1267</v>
      </c>
      <c r="N561" s="4" t="str">
        <f>IF(AI561="",CONCATENATE(S561,U561,W561,Y561,AA561,AC561,AE561,AG561,Table43[[#This Row],[Tanda Kode Revisi]]),CONCATENATE(S561,U561,W561,Y561,AA561,AC561,AE561,AI561))</f>
        <v>G1267004000010</v>
      </c>
      <c r="O561" s="11">
        <f t="shared" si="14"/>
        <v>14</v>
      </c>
      <c r="P561" s="14" t="str">
        <f>IF(AH561&lt;&gt;"",TRIM(UPPER(CONCATENATE(R561," ",T561," ",V561," ",X561," ",Z561," ",AB561," ","X"," ",Table43[[#This Row],[ISI/CTN]]," ",AH561," ",AD561," ",AF561," ",AJ561))),TRIM(UPPER(CONCATENATE(R561," ",T561," ",V561," ",X561," ",Z561," ",AB561," ","X"," ",Table43[[#This Row],[ISI/CTN]]," ",AD561," ",AF561," ",AJ561))))</f>
        <v>STELLA FUN&amp;FRESH ICED SENSATION X 144 PCS</v>
      </c>
      <c r="Q561" s="11">
        <f t="shared" si="15"/>
        <v>41</v>
      </c>
      <c r="S561" s="7" t="s">
        <v>34</v>
      </c>
      <c r="T561" s="4" t="s">
        <v>2421</v>
      </c>
      <c r="U561" s="47" t="s">
        <v>2584</v>
      </c>
      <c r="V561" s="48" t="s">
        <v>2438</v>
      </c>
      <c r="W561" s="7">
        <v>7</v>
      </c>
      <c r="X561" s="48"/>
      <c r="Y561" s="47" t="s">
        <v>1116</v>
      </c>
      <c r="Z561" s="4" t="s">
        <v>2440</v>
      </c>
      <c r="AA561" s="49" t="s">
        <v>2540</v>
      </c>
      <c r="AC561" s="49" t="s">
        <v>2460</v>
      </c>
      <c r="AD561" s="4" t="s">
        <v>185</v>
      </c>
      <c r="AE561" s="7">
        <v>1</v>
      </c>
      <c r="AG561" s="7">
        <v>0</v>
      </c>
      <c r="AK561" s="70">
        <f>Table43[[#This Row],[Column4]]</f>
        <v>30590070000000</v>
      </c>
      <c r="AN561" s="7">
        <f>Table43[[#This Row],[ISI/CTN]]</f>
        <v>144</v>
      </c>
      <c r="AO561" s="38">
        <f>Table43[[#This Row],[Harga Jual Pcs GT
(-PPN)]]-(Table43[[#This Row],[Harga Jual Pcs GT
(-PPN)]]*6.5%)</f>
        <v>7293</v>
      </c>
      <c r="AP561" s="38">
        <f>Table43[[#This Row],[Harga Beli Pcs
(-PPN)]]*Table43[[#This Row],[ISI/CTN]]</f>
        <v>1050192</v>
      </c>
      <c r="AQ561" s="38">
        <f>Table43[[#This Row],[Harga Beli Pcs
(-PPN)]]*1.11</f>
        <v>8095.2300000000005</v>
      </c>
      <c r="AR561" s="38">
        <f>Table43[[#This Row],[Harga Beli Krt
(- PPN)]]*1.11</f>
        <v>1165713.1200000001</v>
      </c>
      <c r="AS561" s="38">
        <v>7800</v>
      </c>
      <c r="AT561" s="38">
        <f>Table43[[#This Row],[Harga Jual Pcs GT
(-PPN)]]*Table43[[#This Row],[ISI/CTN]]</f>
        <v>1123200</v>
      </c>
      <c r="AU561" s="38">
        <f>Table43[[#This Row],[Harga Jual Pcs GT
(-PPN)]]*1.11</f>
        <v>8658</v>
      </c>
      <c r="AV561" s="38">
        <f>Table43[[#This Row],[Harga Jual Krt GT
(- PPN)]]*1.11</f>
        <v>1246752</v>
      </c>
      <c r="AW561" s="38">
        <f>IFERROR(VLOOKUP(Table43[[#This Row],[Kode Pcpl]],'[1]FEB 2026'!$A$3:$X$312,24,0),0)</f>
        <v>0</v>
      </c>
      <c r="AX561" s="38">
        <f>Table43[[#This Row],[Harga Jual Pcs MT
(-PPN)]]*Table43[[#This Row],[ISI/CTN]]</f>
        <v>0</v>
      </c>
      <c r="AY561" s="38">
        <f>Table43[[#This Row],[Harga Jual Pcs MT
(-PPN)]]*1.11</f>
        <v>0</v>
      </c>
      <c r="AZ561" s="38">
        <f>Table43[[#This Row],[Harga Jual Pcs MT
(+PPN)]]*Table43[[#This Row],[ISI/CTN]]</f>
        <v>0</v>
      </c>
      <c r="BA561" s="46">
        <f>(Table43[[#This Row],[Harga Jual Pcs GT
(-PPN)]]-Table43[[#This Row],[Harga Beli Pcs
(-PPN)]])/Table43[[#This Row],[Harga Jual Pcs GT
(-PPN)]]</f>
        <v>6.5000000000000002E-2</v>
      </c>
      <c r="BB561" s="53">
        <f>Table43[[#This Row],[Harga Jual Pcs MT
(-PPN)]]-Table43[[#This Row],[Harga Beli Pcs
(-PPN)]]</f>
        <v>-7293</v>
      </c>
      <c r="BC561" s="54" t="e">
        <f>Table43[[#This Row],[Column1]]/Table43[[#This Row],[Harga Jual Pcs MT
(-PPN)]]</f>
        <v>#DIV/0!</v>
      </c>
      <c r="BD561" s="52"/>
      <c r="BE561" s="7"/>
      <c r="BF561" s="7" t="str">
        <f ca="1">IF(TODAY()-Table43[[#This Row],[Efektif
Pembuatan]]&gt;60,"Lama","Baru")</f>
        <v>Lama</v>
      </c>
      <c r="BG561" s="7" t="str">
        <f ca="1">IF(TODAY()-Table43[[#This Row],[Efektif Naik Harga]]&lt;30,"Naik","Sama")</f>
        <v>Sama</v>
      </c>
      <c r="BH561" s="7"/>
      <c r="BI561" s="7" t="str">
        <f>IF(Table43[[#This Row],[Kode BARANG Win2]]&lt;&gt;"","IDR","")</f>
        <v>IDR</v>
      </c>
      <c r="BJ561" s="7" t="str">
        <f>CONCATENATE(Table43[[#This Row],[kode  1 Digit
(Nomor)]],Table43[[#This Row],[kode  4 Digit                (Nomor)]])</f>
        <v>0000</v>
      </c>
      <c r="BK561" s="7">
        <f>Table43[[#This Row],[Nama            Gramasi atau Jumlah Pack per CTN]]</f>
        <v>0</v>
      </c>
      <c r="BL561" s="7"/>
      <c r="BM561" s="7"/>
      <c r="BN561" s="4" t="str">
        <f>IF(Table43[[#This Row],[SATUAN Fix Win]]&lt;&gt;"","KRT")</f>
        <v>KRT</v>
      </c>
      <c r="BO561" s="4" t="str">
        <f>IF(Table43[[#This Row],[SATUAN Fix Win]]&lt;&gt;"","GD01")</f>
        <v>GD01</v>
      </c>
      <c r="BP561" s="4">
        <f>IF(Table43[[#This Row],[SATUAN Fix Win]]&lt;&gt;"",11611)</f>
        <v>11611</v>
      </c>
      <c r="BQ561" s="4">
        <f>IF(Table43[[#This Row],[SATUAN Fix Win]]&lt;&gt;"",11612)</f>
        <v>11612</v>
      </c>
      <c r="BS561" s="4">
        <f>IF(Table43[[#This Row],[SATUAN Fix Win]]&lt;&gt;"",1)</f>
        <v>1</v>
      </c>
      <c r="BU561" s="4">
        <f>Table43[[#This Row],[ISI/CTN]]</f>
        <v>144</v>
      </c>
    </row>
    <row r="562" spans="1:75">
      <c r="A562" s="4" t="str">
        <f>CONCATENATE(Table43[[#This Row],[Kode BARANG Win2]],Table43[[#This Row],[No. Urut
Item Sama]])</f>
        <v>G1267005000010</v>
      </c>
      <c r="B562" s="7"/>
      <c r="C562" s="31">
        <v>30603040225011</v>
      </c>
      <c r="D562" s="51">
        <v>40050839</v>
      </c>
      <c r="E562" s="27" t="s">
        <v>2149</v>
      </c>
      <c r="F562" s="51">
        <v>30590060000000</v>
      </c>
      <c r="G562" s="51">
        <v>0</v>
      </c>
      <c r="H562" s="27" t="s">
        <v>1478</v>
      </c>
      <c r="I562" s="27">
        <v>144</v>
      </c>
      <c r="J562" s="51" t="s">
        <v>1817</v>
      </c>
      <c r="K562" s="27" t="str">
        <f>Table43[[#This Row],[NamaJenisKemasan]]</f>
        <v>PCS</v>
      </c>
      <c r="L562" s="4" t="str">
        <f>TRIM(CONCATENATE(Table43[[#This Row],[Nama            KLP]]," ",Table43[[#This Row],[Nama            Sub KLP]]))</f>
        <v>STELLA FUN&amp;FRESH</v>
      </c>
      <c r="M562" s="4" t="str">
        <f>CONCATENATE(Table43[[#This Row],[kode  2 Digit                (hrf+No)]],Table43[[#This Row],[kode  2 Digit                (Nomor)]],Table43[[#This Row],[kode  1 Digit                (Nomor)]])</f>
        <v>G1267</v>
      </c>
      <c r="N562" s="4" t="str">
        <f>IF(AI562="",CONCATENATE(S562,U562,W562,Y562,AA562,AC562,AE562,AG562,Table43[[#This Row],[Tanda Kode Revisi]]),CONCATENATE(S562,U562,W562,Y562,AA562,AC562,AE562,AI562))</f>
        <v>G1267005000010</v>
      </c>
      <c r="O562" s="11">
        <f t="shared" si="14"/>
        <v>14</v>
      </c>
      <c r="P562" s="14" t="str">
        <f>IF(AH562&lt;&gt;"",TRIM(UPPER(CONCATENATE(R562," ",T562," ",V562," ",X562," ",Z562," ",AB562," ","X"," ",Table43[[#This Row],[ISI/CTN]]," ",AH562," ",AD562," ",AF562," ",AJ562))),TRIM(UPPER(CONCATENATE(R562," ",T562," ",V562," ",X562," ",Z562," ",AB562," ","X"," ",Table43[[#This Row],[ISI/CTN]]," ",AD562," ",AF562," ",AJ562))))</f>
        <v>STELLA FUN&amp;FRESH SAKURA BLOSSOM X 144 PCS</v>
      </c>
      <c r="Q562" s="11">
        <f t="shared" si="15"/>
        <v>41</v>
      </c>
      <c r="S562" s="7" t="s">
        <v>34</v>
      </c>
      <c r="T562" s="4" t="s">
        <v>2421</v>
      </c>
      <c r="U562" s="47" t="s">
        <v>2584</v>
      </c>
      <c r="V562" s="48" t="s">
        <v>2438</v>
      </c>
      <c r="W562" s="7">
        <v>7</v>
      </c>
      <c r="X562" s="48"/>
      <c r="Y562" s="47" t="s">
        <v>1116</v>
      </c>
      <c r="Z562" s="4" t="s">
        <v>2397</v>
      </c>
      <c r="AA562" s="49" t="s">
        <v>2541</v>
      </c>
      <c r="AC562" s="49" t="s">
        <v>2460</v>
      </c>
      <c r="AD562" s="4" t="s">
        <v>185</v>
      </c>
      <c r="AE562" s="7">
        <v>1</v>
      </c>
      <c r="AG562" s="7">
        <v>0</v>
      </c>
      <c r="AK562" s="70">
        <f>Table43[[#This Row],[Column4]]</f>
        <v>30590060000000</v>
      </c>
      <c r="AN562" s="7">
        <f>Table43[[#This Row],[ISI/CTN]]</f>
        <v>144</v>
      </c>
      <c r="AO562" s="38">
        <f>Table43[[#This Row],[Harga Jual Pcs GT
(-PPN)]]-(Table43[[#This Row],[Harga Jual Pcs GT
(-PPN)]]*6.5%)</f>
        <v>7293</v>
      </c>
      <c r="AP562" s="38">
        <f>Table43[[#This Row],[Harga Beli Pcs
(-PPN)]]*Table43[[#This Row],[ISI/CTN]]</f>
        <v>1050192</v>
      </c>
      <c r="AQ562" s="38">
        <f>Table43[[#This Row],[Harga Beli Pcs
(-PPN)]]*1.11</f>
        <v>8095.2300000000005</v>
      </c>
      <c r="AR562" s="38">
        <f>Table43[[#This Row],[Harga Beli Krt
(- PPN)]]*1.11</f>
        <v>1165713.1200000001</v>
      </c>
      <c r="AS562" s="38">
        <v>7800</v>
      </c>
      <c r="AT562" s="38">
        <f>Table43[[#This Row],[Harga Jual Pcs GT
(-PPN)]]*Table43[[#This Row],[ISI/CTN]]</f>
        <v>1123200</v>
      </c>
      <c r="AU562" s="38">
        <f>Table43[[#This Row],[Harga Jual Pcs GT
(-PPN)]]*1.11</f>
        <v>8658</v>
      </c>
      <c r="AV562" s="38">
        <f>Table43[[#This Row],[Harga Jual Krt GT
(- PPN)]]*1.11</f>
        <v>1246752</v>
      </c>
      <c r="AW562" s="38">
        <f>IFERROR(VLOOKUP(Table43[[#This Row],[Kode Pcpl]],'[1]FEB 2026'!$A$3:$X$312,24,0),0)</f>
        <v>0</v>
      </c>
      <c r="AX562" s="38">
        <f>Table43[[#This Row],[Harga Jual Pcs MT
(-PPN)]]*Table43[[#This Row],[ISI/CTN]]</f>
        <v>0</v>
      </c>
      <c r="AY562" s="38">
        <f>Table43[[#This Row],[Harga Jual Pcs MT
(-PPN)]]*1.11</f>
        <v>0</v>
      </c>
      <c r="AZ562" s="38">
        <f>Table43[[#This Row],[Harga Jual Pcs MT
(+PPN)]]*Table43[[#This Row],[ISI/CTN]]</f>
        <v>0</v>
      </c>
      <c r="BA562" s="46">
        <f>(Table43[[#This Row],[Harga Jual Pcs GT
(-PPN)]]-Table43[[#This Row],[Harga Beli Pcs
(-PPN)]])/Table43[[#This Row],[Harga Jual Pcs GT
(-PPN)]]</f>
        <v>6.5000000000000002E-2</v>
      </c>
      <c r="BB562" s="53">
        <f>Table43[[#This Row],[Harga Jual Pcs MT
(-PPN)]]-Table43[[#This Row],[Harga Beli Pcs
(-PPN)]]</f>
        <v>-7293</v>
      </c>
      <c r="BC562" s="54" t="e">
        <f>Table43[[#This Row],[Column1]]/Table43[[#This Row],[Harga Jual Pcs MT
(-PPN)]]</f>
        <v>#DIV/0!</v>
      </c>
      <c r="BD562" s="52"/>
      <c r="BE562" s="7"/>
      <c r="BF562" s="7" t="str">
        <f ca="1">IF(TODAY()-Table43[[#This Row],[Efektif
Pembuatan]]&gt;60,"Lama","Baru")</f>
        <v>Lama</v>
      </c>
      <c r="BG562" s="7" t="str">
        <f ca="1">IF(TODAY()-Table43[[#This Row],[Efektif Naik Harga]]&lt;30,"Naik","Sama")</f>
        <v>Sama</v>
      </c>
      <c r="BH562" s="7"/>
      <c r="BI562" s="7" t="str">
        <f>IF(Table43[[#This Row],[Kode BARANG Win2]]&lt;&gt;"","IDR","")</f>
        <v>IDR</v>
      </c>
      <c r="BJ562" s="7" t="str">
        <f>CONCATENATE(Table43[[#This Row],[kode  1 Digit
(Nomor)]],Table43[[#This Row],[kode  4 Digit                (Nomor)]])</f>
        <v>0000</v>
      </c>
      <c r="BK562" s="7">
        <f>Table43[[#This Row],[Nama            Gramasi atau Jumlah Pack per CTN]]</f>
        <v>0</v>
      </c>
      <c r="BL562" s="7"/>
      <c r="BM562" s="7"/>
      <c r="BN562" s="4" t="str">
        <f>IF(Table43[[#This Row],[SATUAN Fix Win]]&lt;&gt;"","KRT")</f>
        <v>KRT</v>
      </c>
      <c r="BO562" s="4" t="str">
        <f>IF(Table43[[#This Row],[SATUAN Fix Win]]&lt;&gt;"","GD01")</f>
        <v>GD01</v>
      </c>
      <c r="BP562" s="4">
        <f>IF(Table43[[#This Row],[SATUAN Fix Win]]&lt;&gt;"",11611)</f>
        <v>11611</v>
      </c>
      <c r="BQ562" s="4">
        <f>IF(Table43[[#This Row],[SATUAN Fix Win]]&lt;&gt;"",11612)</f>
        <v>11612</v>
      </c>
      <c r="BS562" s="4">
        <f>IF(Table43[[#This Row],[SATUAN Fix Win]]&lt;&gt;"",1)</f>
        <v>1</v>
      </c>
      <c r="BU562" s="4">
        <f>Table43[[#This Row],[ISI/CTN]]</f>
        <v>144</v>
      </c>
    </row>
    <row r="563" spans="1:75">
      <c r="A563" s="4" t="str">
        <f>CONCATENATE(Table43[[#This Row],[Kode BARANG Win2]],Table43[[#This Row],[No. Urut
Item Sama]])</f>
        <v>G1267101000010</v>
      </c>
      <c r="B563" s="7"/>
      <c r="C563" s="31">
        <v>30603050225010</v>
      </c>
      <c r="D563" s="59">
        <v>40028144</v>
      </c>
      <c r="E563" s="60" t="s">
        <v>2144</v>
      </c>
      <c r="F563" s="59">
        <v>30590020021001</v>
      </c>
      <c r="G563" s="59">
        <v>0</v>
      </c>
      <c r="H563" s="60" t="s">
        <v>1473</v>
      </c>
      <c r="I563" s="60">
        <v>144</v>
      </c>
      <c r="J563" s="59" t="s">
        <v>1812</v>
      </c>
      <c r="K563" s="60" t="str">
        <f>Table43[[#This Row],[NamaJenisKemasan]]</f>
        <v>PCS</v>
      </c>
      <c r="L563" s="4" t="str">
        <f>TRIM(CONCATENATE(Table43[[#This Row],[Nama            KLP]]," ",Table43[[#This Row],[Nama            Sub KLP]]))</f>
        <v>STELLA FUN&amp;FRESH</v>
      </c>
      <c r="M563" s="4" t="str">
        <f>CONCATENATE(Table43[[#This Row],[kode  2 Digit                (hrf+No)]],Table43[[#This Row],[kode  2 Digit                (Nomor)]],Table43[[#This Row],[kode  1 Digit                (Nomor)]])</f>
        <v>G1267</v>
      </c>
      <c r="N563" s="4" t="str">
        <f>IF(AI563="",CONCATENATE(S563,U563,W563,Y563,AA563,AC563,AE563,AG563,Table43[[#This Row],[Tanda Kode Revisi]]),CONCATENATE(S563,U563,W563,Y563,AA563,AC563,AE563,AI563))</f>
        <v>G1267101000010</v>
      </c>
      <c r="O563" s="11">
        <f t="shared" si="14"/>
        <v>14</v>
      </c>
      <c r="P563" s="14" t="str">
        <f>IF(AH563&lt;&gt;"",TRIM(UPPER(CONCATENATE(R563," ",T563," ",V563," ",X563," ",Z563," ",AB563," ","X"," ",Table43[[#This Row],[ISI/CTN]]," ",AH563," ",AD563," ",AF563," ",AJ563))),TRIM(UPPER(CONCATENATE(R563," ",T563," ",V563," ",X563," ",Z563," ",AB563," ","X"," ",Table43[[#This Row],[ISI/CTN]]," ",AD563," ",AF563," ",AJ563))))</f>
        <v>STELLA FUN&amp;FRESH MULTI PACK CARAMEL MACHIATO X 144 PCS</v>
      </c>
      <c r="Q563" s="11">
        <f t="shared" si="15"/>
        <v>54</v>
      </c>
      <c r="S563" s="7" t="s">
        <v>34</v>
      </c>
      <c r="T563" s="4" t="s">
        <v>2421</v>
      </c>
      <c r="U563" s="47" t="s">
        <v>2584</v>
      </c>
      <c r="V563" s="48" t="s">
        <v>2438</v>
      </c>
      <c r="W563" s="7">
        <v>7</v>
      </c>
      <c r="X563" s="48" t="s">
        <v>2399</v>
      </c>
      <c r="Y563" s="47" t="s">
        <v>2539</v>
      </c>
      <c r="Z563" s="4" t="s">
        <v>2396</v>
      </c>
      <c r="AA563" s="49" t="s">
        <v>1115</v>
      </c>
      <c r="AC563" s="49" t="s">
        <v>2460</v>
      </c>
      <c r="AD563" s="4" t="s">
        <v>185</v>
      </c>
      <c r="AE563" s="7">
        <v>1</v>
      </c>
      <c r="AG563" s="7">
        <v>0</v>
      </c>
      <c r="AK563" s="70">
        <f>Table43[[#This Row],[Column4]]</f>
        <v>30590020021001</v>
      </c>
      <c r="AN563" s="7">
        <f>Table43[[#This Row],[ISI/CTN]]</f>
        <v>144</v>
      </c>
      <c r="AO563" s="61">
        <f>Table43[[#This Row],[Harga Jual Pcs GT
(-PPN)]]-(Table43[[#This Row],[Harga Jual Pcs GT
(-PPN)]]*6.5%)</f>
        <v>11565.95</v>
      </c>
      <c r="AP563" s="61">
        <f>Table43[[#This Row],[Harga Beli Pcs
(-PPN)]]*Table43[[#This Row],[ISI/CTN]]</f>
        <v>1665496.8</v>
      </c>
      <c r="AQ563" s="61">
        <f>Table43[[#This Row],[Harga Beli Pcs
(-PPN)]]*1.11</f>
        <v>12838.204500000002</v>
      </c>
      <c r="AR563" s="61">
        <f>Table43[[#This Row],[Harga Beli Krt
(- PPN)]]*1.11</f>
        <v>1848701.4480000003</v>
      </c>
      <c r="AS563" s="61">
        <v>12370</v>
      </c>
      <c r="AT563" s="61">
        <f>Table43[[#This Row],[Harga Jual Pcs GT
(-PPN)]]*Table43[[#This Row],[ISI/CTN]]</f>
        <v>1781280</v>
      </c>
      <c r="AU563" s="61">
        <f>Table43[[#This Row],[Harga Jual Pcs GT
(-PPN)]]*1.11</f>
        <v>13730.7</v>
      </c>
      <c r="AV563" s="61">
        <f>Table43[[#This Row],[Harga Jual Krt GT
(- PPN)]]*1.11</f>
        <v>1977220.8000000003</v>
      </c>
      <c r="AW563" s="61">
        <f>IFERROR(VLOOKUP(Table43[[#This Row],[Kode Pcpl]],'[1]FEB 2026'!$A$3:$X$312,24,0),0)</f>
        <v>0</v>
      </c>
      <c r="AX563" s="61">
        <f>Table43[[#This Row],[Harga Jual Pcs MT
(-PPN)]]*Table43[[#This Row],[ISI/CTN]]</f>
        <v>0</v>
      </c>
      <c r="AY563" s="61">
        <f>Table43[[#This Row],[Harga Jual Pcs MT
(-PPN)]]*1.11</f>
        <v>0</v>
      </c>
      <c r="AZ563" s="61">
        <f>Table43[[#This Row],[Harga Jual Pcs MT
(+PPN)]]*Table43[[#This Row],[ISI/CTN]]</f>
        <v>0</v>
      </c>
      <c r="BA563" s="62">
        <f>(Table43[[#This Row],[Harga Jual Pcs GT
(-PPN)]]-Table43[[#This Row],[Harga Beli Pcs
(-PPN)]])/Table43[[#This Row],[Harga Jual Pcs GT
(-PPN)]]</f>
        <v>6.4999999999999947E-2</v>
      </c>
      <c r="BB563" s="63">
        <f>Table43[[#This Row],[Harga Jual Pcs MT
(-PPN)]]-Table43[[#This Row],[Harga Beli Pcs
(-PPN)]]</f>
        <v>-11565.95</v>
      </c>
      <c r="BC563" s="64" t="e">
        <f>Table43[[#This Row],[Column1]]/Table43[[#This Row],[Harga Jual Pcs MT
(-PPN)]]</f>
        <v>#DIV/0!</v>
      </c>
      <c r="BD563" s="52"/>
      <c r="BE563" s="7"/>
      <c r="BF563" s="7" t="str">
        <f ca="1">IF(TODAY()-Table43[[#This Row],[Efektif
Pembuatan]]&gt;60,"Lama","Baru")</f>
        <v>Lama</v>
      </c>
      <c r="BG563" s="7" t="str">
        <f ca="1">IF(TODAY()-Table43[[#This Row],[Efektif Naik Harga]]&lt;30,"Naik","Sama")</f>
        <v>Sama</v>
      </c>
      <c r="BH563" s="7"/>
      <c r="BI563" s="7" t="str">
        <f>IF(Table43[[#This Row],[Kode BARANG Win2]]&lt;&gt;"","IDR","")</f>
        <v>IDR</v>
      </c>
      <c r="BJ563" s="7" t="str">
        <f>CONCATENATE(Table43[[#This Row],[kode  1 Digit
(Nomor)]],Table43[[#This Row],[kode  4 Digit                (Nomor)]])</f>
        <v>0000</v>
      </c>
      <c r="BK563" s="7">
        <f>Table43[[#This Row],[Nama            Gramasi atau Jumlah Pack per CTN]]</f>
        <v>0</v>
      </c>
      <c r="BL563" s="7"/>
      <c r="BM563" s="7"/>
      <c r="BN563" s="4" t="str">
        <f>IF(Table43[[#This Row],[SATUAN Fix Win]]&lt;&gt;"","KRT")</f>
        <v>KRT</v>
      </c>
      <c r="BO563" s="4" t="str">
        <f>IF(Table43[[#This Row],[SATUAN Fix Win]]&lt;&gt;"","GD01")</f>
        <v>GD01</v>
      </c>
      <c r="BP563" s="4">
        <f>IF(Table43[[#This Row],[SATUAN Fix Win]]&lt;&gt;"",11611)</f>
        <v>11611</v>
      </c>
      <c r="BQ563" s="4">
        <f>IF(Table43[[#This Row],[SATUAN Fix Win]]&lt;&gt;"",11612)</f>
        <v>11612</v>
      </c>
      <c r="BS563" s="4">
        <f>IF(Table43[[#This Row],[SATUAN Fix Win]]&lt;&gt;"",1)</f>
        <v>1</v>
      </c>
      <c r="BU563" s="4">
        <f>Table43[[#This Row],[ISI/CTN]]</f>
        <v>144</v>
      </c>
    </row>
    <row r="564" spans="1:75">
      <c r="A564" s="4" t="str">
        <f>CONCATENATE(Table43[[#This Row],[Kode BARANG Win2]],Table43[[#This Row],[No. Urut
Item Sama]])</f>
        <v>G1267102000010</v>
      </c>
      <c r="B564" s="7"/>
      <c r="C564" s="31">
        <v>30603040225011</v>
      </c>
      <c r="D564" s="51">
        <v>40028143</v>
      </c>
      <c r="E564" s="27" t="s">
        <v>2142</v>
      </c>
      <c r="F564" s="51">
        <v>30590010021001</v>
      </c>
      <c r="G564" s="51">
        <v>0</v>
      </c>
      <c r="H564" s="27" t="s">
        <v>1471</v>
      </c>
      <c r="I564" s="27">
        <v>144</v>
      </c>
      <c r="J564" s="51" t="s">
        <v>1810</v>
      </c>
      <c r="K564" s="27" t="str">
        <f>Table43[[#This Row],[NamaJenisKemasan]]</f>
        <v>PCS</v>
      </c>
      <c r="L564" s="4" t="str">
        <f>TRIM(CONCATENATE(Table43[[#This Row],[Nama            KLP]]," ",Table43[[#This Row],[Nama            Sub KLP]]))</f>
        <v>STELLA FUN&amp;FRESH</v>
      </c>
      <c r="M564" s="4" t="str">
        <f>CONCATENATE(Table43[[#This Row],[kode  2 Digit                (hrf+No)]],Table43[[#This Row],[kode  2 Digit                (Nomor)]],Table43[[#This Row],[kode  1 Digit                (Nomor)]])</f>
        <v>G1267</v>
      </c>
      <c r="N564" s="4" t="str">
        <f>IF(AI564="",CONCATENATE(S564,U564,W564,Y564,AA564,AC564,AE564,AG564,Table43[[#This Row],[Tanda Kode Revisi]]),CONCATENATE(S564,U564,W564,Y564,AA564,AC564,AE564,AI564))</f>
        <v>G1267102000010</v>
      </c>
      <c r="O564" s="11">
        <f t="shared" si="14"/>
        <v>14</v>
      </c>
      <c r="P564" s="14" t="str">
        <f>IF(AH564&lt;&gt;"",TRIM(UPPER(CONCATENATE(R564," ",T564," ",V564," ",X564," ",Z564," ",AB564," ","X"," ",Table43[[#This Row],[ISI/CTN]]," ",AH564," ",AD564," ",AF564," ",AJ564))),TRIM(UPPER(CONCATENATE(R564," ",T564," ",V564," ",X564," ",Z564," ",AB564," ","X"," ",Table43[[#This Row],[ISI/CTN]]," ",AD564," ",AF564," ",AJ564))))</f>
        <v>STELLA FUN&amp;FRESH MULTI PACK FRUITY X 144 PCS</v>
      </c>
      <c r="Q564" s="11">
        <f t="shared" si="15"/>
        <v>44</v>
      </c>
      <c r="S564" s="7" t="s">
        <v>34</v>
      </c>
      <c r="T564" s="4" t="s">
        <v>2421</v>
      </c>
      <c r="U564" s="47" t="s">
        <v>2584</v>
      </c>
      <c r="V564" s="48" t="s">
        <v>2438</v>
      </c>
      <c r="W564" s="7">
        <v>7</v>
      </c>
      <c r="X564" s="48" t="s">
        <v>2399</v>
      </c>
      <c r="Y564" s="47" t="s">
        <v>2539</v>
      </c>
      <c r="Z564" s="4" t="s">
        <v>2437</v>
      </c>
      <c r="AA564" s="49" t="s">
        <v>2459</v>
      </c>
      <c r="AC564" s="49" t="s">
        <v>2460</v>
      </c>
      <c r="AD564" s="4" t="s">
        <v>185</v>
      </c>
      <c r="AE564" s="7">
        <v>1</v>
      </c>
      <c r="AG564" s="7">
        <v>0</v>
      </c>
      <c r="AK564" s="70">
        <f>Table43[[#This Row],[Column4]]</f>
        <v>30590010021001</v>
      </c>
      <c r="AN564" s="7">
        <f>Table43[[#This Row],[ISI/CTN]]</f>
        <v>144</v>
      </c>
      <c r="AO564" s="38">
        <f>Table43[[#This Row],[Harga Jual Pcs GT
(-PPN)]]-(Table43[[#This Row],[Harga Jual Pcs GT
(-PPN)]]*6.5%)</f>
        <v>11565.95</v>
      </c>
      <c r="AP564" s="38">
        <f>Table43[[#This Row],[Harga Beli Pcs
(-PPN)]]*Table43[[#This Row],[ISI/CTN]]</f>
        <v>1665496.8</v>
      </c>
      <c r="AQ564" s="38">
        <f>Table43[[#This Row],[Harga Beli Pcs
(-PPN)]]*1.11</f>
        <v>12838.204500000002</v>
      </c>
      <c r="AR564" s="38">
        <f>Table43[[#This Row],[Harga Beli Krt
(- PPN)]]*1.11</f>
        <v>1848701.4480000003</v>
      </c>
      <c r="AS564" s="38">
        <v>12370</v>
      </c>
      <c r="AT564" s="38">
        <f>Table43[[#This Row],[Harga Jual Pcs GT
(-PPN)]]*Table43[[#This Row],[ISI/CTN]]</f>
        <v>1781280</v>
      </c>
      <c r="AU564" s="38">
        <f>Table43[[#This Row],[Harga Jual Pcs GT
(-PPN)]]*1.11</f>
        <v>13730.7</v>
      </c>
      <c r="AV564" s="38">
        <f>Table43[[#This Row],[Harga Jual Krt GT
(- PPN)]]*1.11</f>
        <v>1977220.8000000003</v>
      </c>
      <c r="AW564" s="38">
        <f>IFERROR(VLOOKUP(Table43[[#This Row],[Kode Pcpl]],'[1]FEB 2026'!$A$3:$X$312,24,0),0)</f>
        <v>0</v>
      </c>
      <c r="AX564" s="38">
        <f>Table43[[#This Row],[Harga Jual Pcs MT
(-PPN)]]*Table43[[#This Row],[ISI/CTN]]</f>
        <v>0</v>
      </c>
      <c r="AY564" s="38">
        <f>Table43[[#This Row],[Harga Jual Pcs MT
(-PPN)]]*1.11</f>
        <v>0</v>
      </c>
      <c r="AZ564" s="38">
        <f>Table43[[#This Row],[Harga Jual Pcs MT
(+PPN)]]*Table43[[#This Row],[ISI/CTN]]</f>
        <v>0</v>
      </c>
      <c r="BA564" s="46">
        <f>(Table43[[#This Row],[Harga Jual Pcs GT
(-PPN)]]-Table43[[#This Row],[Harga Beli Pcs
(-PPN)]])/Table43[[#This Row],[Harga Jual Pcs GT
(-PPN)]]</f>
        <v>6.4999999999999947E-2</v>
      </c>
      <c r="BB564" s="53">
        <f>Table43[[#This Row],[Harga Jual Pcs MT
(-PPN)]]-Table43[[#This Row],[Harga Beli Pcs
(-PPN)]]</f>
        <v>-11565.95</v>
      </c>
      <c r="BC564" s="54" t="e">
        <f>Table43[[#This Row],[Column1]]/Table43[[#This Row],[Harga Jual Pcs MT
(-PPN)]]</f>
        <v>#DIV/0!</v>
      </c>
      <c r="BD564" s="52"/>
      <c r="BE564" s="7"/>
      <c r="BF564" s="7" t="str">
        <f ca="1">IF(TODAY()-Table43[[#This Row],[Efektif
Pembuatan]]&gt;60,"Lama","Baru")</f>
        <v>Lama</v>
      </c>
      <c r="BG564" s="7" t="str">
        <f ca="1">IF(TODAY()-Table43[[#This Row],[Efektif Naik Harga]]&lt;30,"Naik","Sama")</f>
        <v>Sama</v>
      </c>
      <c r="BH564" s="7"/>
      <c r="BI564" s="7" t="str">
        <f>IF(Table43[[#This Row],[Kode BARANG Win2]]&lt;&gt;"","IDR","")</f>
        <v>IDR</v>
      </c>
      <c r="BJ564" s="7" t="str">
        <f>CONCATENATE(Table43[[#This Row],[kode  1 Digit
(Nomor)]],Table43[[#This Row],[kode  4 Digit                (Nomor)]])</f>
        <v>0000</v>
      </c>
      <c r="BK564" s="7">
        <f>Table43[[#This Row],[Nama            Gramasi atau Jumlah Pack per CTN]]</f>
        <v>0</v>
      </c>
      <c r="BL564" s="7"/>
      <c r="BM564" s="7"/>
      <c r="BN564" s="4" t="str">
        <f>IF(Table43[[#This Row],[SATUAN Fix Win]]&lt;&gt;"","KRT")</f>
        <v>KRT</v>
      </c>
      <c r="BO564" s="4" t="str">
        <f>IF(Table43[[#This Row],[SATUAN Fix Win]]&lt;&gt;"","GD01")</f>
        <v>GD01</v>
      </c>
      <c r="BP564" s="4">
        <f>IF(Table43[[#This Row],[SATUAN Fix Win]]&lt;&gt;"",11611)</f>
        <v>11611</v>
      </c>
      <c r="BQ564" s="4">
        <f>IF(Table43[[#This Row],[SATUAN Fix Win]]&lt;&gt;"",11612)</f>
        <v>11612</v>
      </c>
      <c r="BS564" s="4">
        <f>IF(Table43[[#This Row],[SATUAN Fix Win]]&lt;&gt;"",1)</f>
        <v>1</v>
      </c>
      <c r="BU564" s="4">
        <f>Table43[[#This Row],[ISI/CTN]]</f>
        <v>144</v>
      </c>
    </row>
    <row r="565" spans="1:75">
      <c r="A565" s="4" t="str">
        <f>CONCATENATE(Table43[[#This Row],[Kode BARANG Win2]],Table43[[#This Row],[No. Urut
Item Sama]])</f>
        <v>G1267103000010</v>
      </c>
      <c r="B565" s="7"/>
      <c r="C565" s="31">
        <v>30603050225010</v>
      </c>
      <c r="D565" s="59">
        <v>40028142</v>
      </c>
      <c r="E565" s="60" t="s">
        <v>2146</v>
      </c>
      <c r="F565" s="59">
        <v>30590040021001</v>
      </c>
      <c r="G565" s="59">
        <v>0</v>
      </c>
      <c r="H565" s="60" t="s">
        <v>1475</v>
      </c>
      <c r="I565" s="60">
        <v>144</v>
      </c>
      <c r="J565" s="59" t="s">
        <v>1814</v>
      </c>
      <c r="K565" s="60" t="str">
        <f>Table43[[#This Row],[NamaJenisKemasan]]</f>
        <v>PCS</v>
      </c>
      <c r="L565" s="4" t="str">
        <f>TRIM(CONCATENATE(Table43[[#This Row],[Nama            KLP]]," ",Table43[[#This Row],[Nama            Sub KLP]]))</f>
        <v>STELLA FUN&amp;FRESH</v>
      </c>
      <c r="M565" s="4" t="str">
        <f>CONCATENATE(Table43[[#This Row],[kode  2 Digit                (hrf+No)]],Table43[[#This Row],[kode  2 Digit                (Nomor)]],Table43[[#This Row],[kode  1 Digit                (Nomor)]])</f>
        <v>G1267</v>
      </c>
      <c r="N565" s="4" t="str">
        <f>IF(AI565="",CONCATENATE(S565,U565,W565,Y565,AA565,AC565,AE565,AG565,Table43[[#This Row],[Tanda Kode Revisi]]),CONCATENATE(S565,U565,W565,Y565,AA565,AC565,AE565,AI565))</f>
        <v>G1267103000010</v>
      </c>
      <c r="O565" s="11">
        <f t="shared" si="14"/>
        <v>14</v>
      </c>
      <c r="P565" s="14" t="str">
        <f>IF(AH565&lt;&gt;"",TRIM(UPPER(CONCATENATE(R565," ",T565," ",V565," ",X565," ",Z565," ",AB565," ","X"," ",Table43[[#This Row],[ISI/CTN]]," ",AH565," ",AD565," ",AF565," ",AJ565))),TRIM(UPPER(CONCATENATE(R565," ",T565," ",V565," ",X565," ",Z565," ",AB565," ","X"," ",Table43[[#This Row],[ISI/CTN]]," ",AD565," ",AF565," ",AJ565))))</f>
        <v>STELLA FUN&amp;FRESH MULTI PACK HAPPY DAY X 144 PCS</v>
      </c>
      <c r="Q565" s="11">
        <f t="shared" si="15"/>
        <v>47</v>
      </c>
      <c r="S565" s="7" t="s">
        <v>34</v>
      </c>
      <c r="T565" s="4" t="s">
        <v>2421</v>
      </c>
      <c r="U565" s="47" t="s">
        <v>2584</v>
      </c>
      <c r="V565" s="48" t="s">
        <v>2438</v>
      </c>
      <c r="W565" s="7">
        <v>7</v>
      </c>
      <c r="X565" s="48" t="s">
        <v>2399</v>
      </c>
      <c r="Y565" s="47" t="s">
        <v>2539</v>
      </c>
      <c r="Z565" s="4" t="s">
        <v>2439</v>
      </c>
      <c r="AA565" s="49" t="s">
        <v>2538</v>
      </c>
      <c r="AC565" s="49" t="s">
        <v>2460</v>
      </c>
      <c r="AD565" s="4" t="s">
        <v>185</v>
      </c>
      <c r="AE565" s="7">
        <v>1</v>
      </c>
      <c r="AG565" s="7">
        <v>0</v>
      </c>
      <c r="AK565" s="70">
        <f>Table43[[#This Row],[Column4]]</f>
        <v>30590040021001</v>
      </c>
      <c r="AN565" s="7">
        <f>Table43[[#This Row],[ISI/CTN]]</f>
        <v>144</v>
      </c>
      <c r="AO565" s="38">
        <f>Table43[[#This Row],[Harga Jual Pcs GT
(-PPN)]]-(Table43[[#This Row],[Harga Jual Pcs GT
(-PPN)]]*6.5%)</f>
        <v>11565.95</v>
      </c>
      <c r="AP565" s="38">
        <f>Table43[[#This Row],[Harga Beli Pcs
(-PPN)]]*Table43[[#This Row],[ISI/CTN]]</f>
        <v>1665496.8</v>
      </c>
      <c r="AQ565" s="38">
        <f>Table43[[#This Row],[Harga Beli Pcs
(-PPN)]]*1.11</f>
        <v>12838.204500000002</v>
      </c>
      <c r="AR565" s="38">
        <f>Table43[[#This Row],[Harga Beli Krt
(- PPN)]]*1.11</f>
        <v>1848701.4480000003</v>
      </c>
      <c r="AS565" s="38">
        <v>12370</v>
      </c>
      <c r="AT565" s="38">
        <f>Table43[[#This Row],[Harga Jual Pcs GT
(-PPN)]]*Table43[[#This Row],[ISI/CTN]]</f>
        <v>1781280</v>
      </c>
      <c r="AU565" s="38">
        <f>Table43[[#This Row],[Harga Jual Pcs GT
(-PPN)]]*1.11</f>
        <v>13730.7</v>
      </c>
      <c r="AV565" s="38">
        <f>Table43[[#This Row],[Harga Jual Krt GT
(- PPN)]]*1.11</f>
        <v>1977220.8000000003</v>
      </c>
      <c r="AW565" s="38">
        <f>IFERROR(VLOOKUP(Table43[[#This Row],[Kode Pcpl]],'[1]FEB 2026'!$A$3:$X$312,24,0),0)</f>
        <v>0</v>
      </c>
      <c r="AX565" s="38">
        <f>Table43[[#This Row],[Harga Jual Pcs MT
(-PPN)]]*Table43[[#This Row],[ISI/CTN]]</f>
        <v>0</v>
      </c>
      <c r="AY565" s="38">
        <f>Table43[[#This Row],[Harga Jual Pcs MT
(-PPN)]]*1.11</f>
        <v>0</v>
      </c>
      <c r="AZ565" s="38">
        <f>Table43[[#This Row],[Harga Jual Pcs MT
(+PPN)]]*Table43[[#This Row],[ISI/CTN]]</f>
        <v>0</v>
      </c>
      <c r="BA565" s="46">
        <f>(Table43[[#This Row],[Harga Jual Pcs GT
(-PPN)]]-Table43[[#This Row],[Harga Beli Pcs
(-PPN)]])/Table43[[#This Row],[Harga Jual Pcs GT
(-PPN)]]</f>
        <v>6.4999999999999947E-2</v>
      </c>
      <c r="BB565" s="53">
        <f>Table43[[#This Row],[Harga Jual Pcs MT
(-PPN)]]-Table43[[#This Row],[Harga Beli Pcs
(-PPN)]]</f>
        <v>-11565.95</v>
      </c>
      <c r="BC565" s="54" t="e">
        <f>Table43[[#This Row],[Column1]]/Table43[[#This Row],[Harga Jual Pcs MT
(-PPN)]]</f>
        <v>#DIV/0!</v>
      </c>
      <c r="BD565" s="52"/>
      <c r="BE565" s="7"/>
      <c r="BF565" s="7" t="str">
        <f ca="1">IF(TODAY()-Table43[[#This Row],[Efektif
Pembuatan]]&gt;60,"Lama","Baru")</f>
        <v>Lama</v>
      </c>
      <c r="BG565" s="7" t="str">
        <f ca="1">IF(TODAY()-Table43[[#This Row],[Efektif Naik Harga]]&lt;30,"Naik","Sama")</f>
        <v>Sama</v>
      </c>
      <c r="BH565" s="7"/>
      <c r="BI565" s="7" t="str">
        <f>IF(Table43[[#This Row],[Kode BARANG Win2]]&lt;&gt;"","IDR","")</f>
        <v>IDR</v>
      </c>
      <c r="BJ565" s="7" t="str">
        <f>CONCATENATE(Table43[[#This Row],[kode  1 Digit
(Nomor)]],Table43[[#This Row],[kode  4 Digit                (Nomor)]])</f>
        <v>0000</v>
      </c>
      <c r="BK565" s="7">
        <f>Table43[[#This Row],[Nama            Gramasi atau Jumlah Pack per CTN]]</f>
        <v>0</v>
      </c>
      <c r="BL565" s="7"/>
      <c r="BM565" s="7"/>
      <c r="BN565" s="4" t="str">
        <f>IF(Table43[[#This Row],[SATUAN Fix Win]]&lt;&gt;"","KRT")</f>
        <v>KRT</v>
      </c>
      <c r="BO565" s="4" t="str">
        <f>IF(Table43[[#This Row],[SATUAN Fix Win]]&lt;&gt;"","GD01")</f>
        <v>GD01</v>
      </c>
      <c r="BP565" s="4">
        <f>IF(Table43[[#This Row],[SATUAN Fix Win]]&lt;&gt;"",11611)</f>
        <v>11611</v>
      </c>
      <c r="BQ565" s="4">
        <f>IF(Table43[[#This Row],[SATUAN Fix Win]]&lt;&gt;"",11612)</f>
        <v>11612</v>
      </c>
      <c r="BS565" s="4">
        <f>IF(Table43[[#This Row],[SATUAN Fix Win]]&lt;&gt;"",1)</f>
        <v>1</v>
      </c>
      <c r="BU565" s="4">
        <f>Table43[[#This Row],[ISI/CTN]]</f>
        <v>144</v>
      </c>
    </row>
    <row r="566" spans="1:75">
      <c r="A566" s="4" t="str">
        <f>CONCATENATE(Table43[[#This Row],[Kode BARANG Win2]],Table43[[#This Row],[No. Urut
Item Sama]])</f>
        <v>G1267104000010</v>
      </c>
      <c r="B566" s="7"/>
      <c r="C566" s="31">
        <v>30603050225010</v>
      </c>
      <c r="D566" s="51">
        <v>40028895</v>
      </c>
      <c r="E566" s="27" t="s">
        <v>2148</v>
      </c>
      <c r="F566" s="51">
        <v>30590050021000</v>
      </c>
      <c r="G566" s="51">
        <v>0</v>
      </c>
      <c r="H566" s="27" t="s">
        <v>1477</v>
      </c>
      <c r="I566" s="27">
        <v>144</v>
      </c>
      <c r="J566" s="51" t="s">
        <v>1816</v>
      </c>
      <c r="K566" s="27" t="str">
        <f>Table43[[#This Row],[NamaJenisKemasan]]</f>
        <v>PCS</v>
      </c>
      <c r="L566" s="4" t="str">
        <f>TRIM(CONCATENATE(Table43[[#This Row],[Nama            KLP]]," ",Table43[[#This Row],[Nama            Sub KLP]]))</f>
        <v>STELLA FUN&amp;FRESH</v>
      </c>
      <c r="M566" s="4" t="str">
        <f>CONCATENATE(Table43[[#This Row],[kode  2 Digit                (hrf+No)]],Table43[[#This Row],[kode  2 Digit                (Nomor)]],Table43[[#This Row],[kode  1 Digit                (Nomor)]])</f>
        <v>G1267</v>
      </c>
      <c r="N566" s="4" t="str">
        <f>IF(AI566="",CONCATENATE(S566,U566,W566,Y566,AA566,AC566,AE566,AG566,Table43[[#This Row],[Tanda Kode Revisi]]),CONCATENATE(S566,U566,W566,Y566,AA566,AC566,AE566,AI566))</f>
        <v>G1267104000010</v>
      </c>
      <c r="O566" s="11">
        <f t="shared" si="14"/>
        <v>14</v>
      </c>
      <c r="P566" s="14" t="str">
        <f>IF(AH566&lt;&gt;"",TRIM(UPPER(CONCATENATE(R566," ",T566," ",V566," ",X566," ",Z566," ",AB566," ","X"," ",Table43[[#This Row],[ISI/CTN]]," ",AH566," ",AD566," ",AF566," ",AJ566))),TRIM(UPPER(CONCATENATE(R566," ",T566," ",V566," ",X566," ",Z566," ",AB566," ","X"," ",Table43[[#This Row],[ISI/CTN]]," ",AD566," ",AF566," ",AJ566))))</f>
        <v>STELLA FUN&amp;FRESH MULTI PACK SAKURA BLOSSOM X 144 PCS</v>
      </c>
      <c r="Q566" s="11">
        <f t="shared" si="15"/>
        <v>52</v>
      </c>
      <c r="S566" s="7" t="s">
        <v>34</v>
      </c>
      <c r="T566" s="4" t="s">
        <v>2421</v>
      </c>
      <c r="U566" s="47" t="s">
        <v>2584</v>
      </c>
      <c r="V566" s="48" t="s">
        <v>2438</v>
      </c>
      <c r="W566" s="7">
        <v>7</v>
      </c>
      <c r="X566" s="48" t="s">
        <v>2399</v>
      </c>
      <c r="Y566" s="47" t="s">
        <v>2539</v>
      </c>
      <c r="Z566" s="4" t="s">
        <v>2397</v>
      </c>
      <c r="AA566" s="49" t="s">
        <v>2540</v>
      </c>
      <c r="AC566" s="49" t="s">
        <v>2460</v>
      </c>
      <c r="AD566" s="4" t="s">
        <v>185</v>
      </c>
      <c r="AE566" s="7">
        <v>1</v>
      </c>
      <c r="AG566" s="7">
        <v>0</v>
      </c>
      <c r="AK566" s="70">
        <f>Table43[[#This Row],[Column4]]</f>
        <v>30590050021000</v>
      </c>
      <c r="AN566" s="7">
        <f>Table43[[#This Row],[ISI/CTN]]</f>
        <v>144</v>
      </c>
      <c r="AO566" s="38">
        <f>Table43[[#This Row],[Harga Jual Pcs GT
(-PPN)]]-(Table43[[#This Row],[Harga Jual Pcs GT
(-PPN)]]*6.5%)</f>
        <v>11566.885</v>
      </c>
      <c r="AP566" s="38">
        <f>Table43[[#This Row],[Harga Beli Pcs
(-PPN)]]*Table43[[#This Row],[ISI/CTN]]</f>
        <v>1665631.44</v>
      </c>
      <c r="AQ566" s="38">
        <f>Table43[[#This Row],[Harga Beli Pcs
(-PPN)]]*1.11</f>
        <v>12839.242350000002</v>
      </c>
      <c r="AR566" s="38">
        <f>Table43[[#This Row],[Harga Beli Krt
(- PPN)]]*1.11</f>
        <v>1848850.8984000001</v>
      </c>
      <c r="AS566" s="38">
        <v>12371</v>
      </c>
      <c r="AT566" s="38">
        <f>Table43[[#This Row],[Harga Jual Pcs GT
(-PPN)]]*Table43[[#This Row],[ISI/CTN]]</f>
        <v>1781424</v>
      </c>
      <c r="AU566" s="38">
        <f>Table43[[#This Row],[Harga Jual Pcs GT
(-PPN)]]*1.11</f>
        <v>13731.810000000001</v>
      </c>
      <c r="AV566" s="38">
        <f>Table43[[#This Row],[Harga Jual Krt GT
(- PPN)]]*1.11</f>
        <v>1977380.6400000001</v>
      </c>
      <c r="AW566" s="38">
        <f>IFERROR(VLOOKUP(Table43[[#This Row],[Kode Pcpl]],'[1]FEB 2026'!$A$3:$X$312,24,0),0)</f>
        <v>0</v>
      </c>
      <c r="AX566" s="38">
        <f>Table43[[#This Row],[Harga Jual Pcs MT
(-PPN)]]*Table43[[#This Row],[ISI/CTN]]</f>
        <v>0</v>
      </c>
      <c r="AY566" s="38">
        <f>Table43[[#This Row],[Harga Jual Pcs MT
(-PPN)]]*1.11</f>
        <v>0</v>
      </c>
      <c r="AZ566" s="38">
        <f>Table43[[#This Row],[Harga Jual Pcs MT
(+PPN)]]*Table43[[#This Row],[ISI/CTN]]</f>
        <v>0</v>
      </c>
      <c r="BA566" s="46">
        <f>(Table43[[#This Row],[Harga Jual Pcs GT
(-PPN)]]-Table43[[#This Row],[Harga Beli Pcs
(-PPN)]])/Table43[[#This Row],[Harga Jual Pcs GT
(-PPN)]]</f>
        <v>6.4999999999999988E-2</v>
      </c>
      <c r="BB566" s="53">
        <f>Table43[[#This Row],[Harga Jual Pcs MT
(-PPN)]]-Table43[[#This Row],[Harga Beli Pcs
(-PPN)]]</f>
        <v>-11566.885</v>
      </c>
      <c r="BC566" s="54" t="e">
        <f>Table43[[#This Row],[Column1]]/Table43[[#This Row],[Harga Jual Pcs MT
(-PPN)]]</f>
        <v>#DIV/0!</v>
      </c>
      <c r="BD566" s="52"/>
      <c r="BE566" s="7"/>
      <c r="BF566" s="7" t="str">
        <f ca="1">IF(TODAY()-Table43[[#This Row],[Efektif
Pembuatan]]&gt;60,"Lama","Baru")</f>
        <v>Lama</v>
      </c>
      <c r="BG566" s="7" t="str">
        <f ca="1">IF(TODAY()-Table43[[#This Row],[Efektif Naik Harga]]&lt;30,"Naik","Sama")</f>
        <v>Sama</v>
      </c>
      <c r="BH566" s="7"/>
      <c r="BI566" s="7" t="str">
        <f>IF(Table43[[#This Row],[Kode BARANG Win2]]&lt;&gt;"","IDR","")</f>
        <v>IDR</v>
      </c>
      <c r="BJ566" s="7" t="str">
        <f>CONCATENATE(Table43[[#This Row],[kode  1 Digit
(Nomor)]],Table43[[#This Row],[kode  4 Digit                (Nomor)]])</f>
        <v>0000</v>
      </c>
      <c r="BK566" s="7">
        <f>Table43[[#This Row],[Nama            Gramasi atau Jumlah Pack per CTN]]</f>
        <v>0</v>
      </c>
      <c r="BL566" s="7"/>
      <c r="BM566" s="7"/>
      <c r="BN566" s="4" t="str">
        <f>IF(Table43[[#This Row],[SATUAN Fix Win]]&lt;&gt;"","KRT")</f>
        <v>KRT</v>
      </c>
      <c r="BO566" s="4" t="str">
        <f>IF(Table43[[#This Row],[SATUAN Fix Win]]&lt;&gt;"","GD01")</f>
        <v>GD01</v>
      </c>
      <c r="BP566" s="4">
        <f>IF(Table43[[#This Row],[SATUAN Fix Win]]&lt;&gt;"",11611)</f>
        <v>11611</v>
      </c>
      <c r="BQ566" s="4">
        <f>IF(Table43[[#This Row],[SATUAN Fix Win]]&lt;&gt;"",11612)</f>
        <v>11612</v>
      </c>
      <c r="BS566" s="4">
        <f>IF(Table43[[#This Row],[SATUAN Fix Win]]&lt;&gt;"",1)</f>
        <v>1</v>
      </c>
      <c r="BU566" s="4">
        <f>Table43[[#This Row],[ISI/CTN]]</f>
        <v>144</v>
      </c>
    </row>
    <row r="567" spans="1:75">
      <c r="A567" s="4" t="str">
        <f>CONCATENATE(Table43[[#This Row],[Kode BARANG Win2]],Table43[[#This Row],[No. Urut
Item Sama]])</f>
        <v>G1268006000010</v>
      </c>
      <c r="B567" s="7"/>
      <c r="C567" s="31">
        <v>30603050225011</v>
      </c>
      <c r="D567" s="59">
        <v>40058887</v>
      </c>
      <c r="E567" s="60" t="s">
        <v>2199</v>
      </c>
      <c r="F567" s="59">
        <v>30695050009010</v>
      </c>
      <c r="G567" s="59">
        <v>0</v>
      </c>
      <c r="H567" s="60" t="s">
        <v>1556</v>
      </c>
      <c r="I567" s="60">
        <v>24</v>
      </c>
      <c r="J567" s="59" t="s">
        <v>1860</v>
      </c>
      <c r="K567" s="60" t="str">
        <f>Table43[[#This Row],[NamaJenisKemasan]]</f>
        <v>PCS</v>
      </c>
      <c r="L567" s="4" t="str">
        <f>TRIM(CONCATENATE(Table43[[#This Row],[Nama            KLP]]," ",Table43[[#This Row],[Nama            Sub KLP]]))</f>
        <v>STELLA HANG&amp;FLIP</v>
      </c>
      <c r="M567" s="4" t="str">
        <f>CONCATENATE(Table43[[#This Row],[kode  2 Digit                (hrf+No)]],Table43[[#This Row],[kode  2 Digit                (Nomor)]],Table43[[#This Row],[kode  1 Digit                (Nomor)]])</f>
        <v>G1268</v>
      </c>
      <c r="N567" s="4" t="str">
        <f>IF(AI567="",CONCATENATE(S567,U567,W567,Y567,AA567,AC567,AE567,AG567,Table43[[#This Row],[Tanda Kode Revisi]]),CONCATENATE(S567,U567,W567,Y567,AA567,AC567,AE567,AI567))</f>
        <v>G1268006000010</v>
      </c>
      <c r="O567" s="11">
        <f t="shared" si="14"/>
        <v>14</v>
      </c>
      <c r="P567" s="14" t="str">
        <f>IF(AH567&lt;&gt;"",TRIM(UPPER(CONCATENATE(R567," ",T567," ",V567," ",X567," ",Z567," ",AB567," ","X"," ",Table43[[#This Row],[ISI/CTN]]," ",AH567," ",AD567," ",AF567," ",AJ567))),TRIM(UPPER(CONCATENATE(R567," ",T567," ",V567," ",X567," ",Z567," ",AB567," ","X"," ",Table43[[#This Row],[ISI/CTN]]," ",AD567," ",AF567," ",AJ567))))</f>
        <v>STELLA HANG&amp;FLIP AQUA REFLECTION X 24 PCS</v>
      </c>
      <c r="Q567" s="11">
        <f t="shared" si="15"/>
        <v>41</v>
      </c>
      <c r="S567" s="7" t="s">
        <v>34</v>
      </c>
      <c r="T567" s="4" t="s">
        <v>2421</v>
      </c>
      <c r="U567" s="47" t="s">
        <v>2584</v>
      </c>
      <c r="V567" s="48" t="s">
        <v>2442</v>
      </c>
      <c r="W567" s="7">
        <v>8</v>
      </c>
      <c r="X567" s="48"/>
      <c r="Y567" s="47" t="s">
        <v>1116</v>
      </c>
      <c r="Z567" s="4" t="s">
        <v>2394</v>
      </c>
      <c r="AA567" s="49" t="s">
        <v>2542</v>
      </c>
      <c r="AC567" s="49" t="s">
        <v>2460</v>
      </c>
      <c r="AD567" s="4" t="s">
        <v>185</v>
      </c>
      <c r="AE567" s="7">
        <v>1</v>
      </c>
      <c r="AG567" s="7">
        <v>0</v>
      </c>
      <c r="AK567" s="70">
        <f>Table43[[#This Row],[Column4]]</f>
        <v>30695050009010</v>
      </c>
      <c r="AN567" s="7">
        <f>Table43[[#This Row],[ISI/CTN]]</f>
        <v>24</v>
      </c>
      <c r="AO567" s="38">
        <f>Table43[[#This Row],[Harga Jual Pcs GT
(-PPN)]]-(Table43[[#This Row],[Harga Jual Pcs GT
(-PPN)]]*6.5%)</f>
        <v>19016.965</v>
      </c>
      <c r="AP567" s="38">
        <f>Table43[[#This Row],[Harga Beli Pcs
(-PPN)]]*Table43[[#This Row],[ISI/CTN]]</f>
        <v>456407.16000000003</v>
      </c>
      <c r="AQ567" s="38">
        <f>Table43[[#This Row],[Harga Beli Pcs
(-PPN)]]*1.11</f>
        <v>21108.831150000002</v>
      </c>
      <c r="AR567" s="38">
        <f>Table43[[#This Row],[Harga Beli Krt
(- PPN)]]*1.11</f>
        <v>506611.94760000007</v>
      </c>
      <c r="AS567" s="38">
        <v>20339</v>
      </c>
      <c r="AT567" s="38">
        <f>Table43[[#This Row],[Harga Jual Pcs GT
(-PPN)]]*Table43[[#This Row],[ISI/CTN]]</f>
        <v>488136</v>
      </c>
      <c r="AU567" s="38">
        <f>Table43[[#This Row],[Harga Jual Pcs GT
(-PPN)]]*1.11</f>
        <v>22576.29</v>
      </c>
      <c r="AV567" s="38">
        <f>Table43[[#This Row],[Harga Jual Krt GT
(- PPN)]]*1.11</f>
        <v>541830.96000000008</v>
      </c>
      <c r="AW567" s="38">
        <f>IFERROR(VLOOKUP(Table43[[#This Row],[Kode Pcpl]],'[1]FEB 2026'!$A$3:$X$312,24,0),0)</f>
        <v>0</v>
      </c>
      <c r="AX567" s="38">
        <f>Table43[[#This Row],[Harga Jual Pcs MT
(-PPN)]]*Table43[[#This Row],[ISI/CTN]]</f>
        <v>0</v>
      </c>
      <c r="AY567" s="38">
        <f>Table43[[#This Row],[Harga Jual Pcs MT
(-PPN)]]*1.11</f>
        <v>0</v>
      </c>
      <c r="AZ567" s="38">
        <f>Table43[[#This Row],[Harga Jual Pcs MT
(+PPN)]]*Table43[[#This Row],[ISI/CTN]]</f>
        <v>0</v>
      </c>
      <c r="BA567" s="46">
        <f>(Table43[[#This Row],[Harga Jual Pcs GT
(-PPN)]]-Table43[[#This Row],[Harga Beli Pcs
(-PPN)]])/Table43[[#This Row],[Harga Jual Pcs GT
(-PPN)]]</f>
        <v>6.4999999999999988E-2</v>
      </c>
      <c r="BB567" s="53">
        <f>Table43[[#This Row],[Harga Jual Pcs MT
(-PPN)]]-Table43[[#This Row],[Harga Beli Pcs
(-PPN)]]</f>
        <v>-19016.965</v>
      </c>
      <c r="BC567" s="54" t="e">
        <f>Table43[[#This Row],[Column1]]/Table43[[#This Row],[Harga Jual Pcs MT
(-PPN)]]</f>
        <v>#DIV/0!</v>
      </c>
      <c r="BD567" s="52"/>
      <c r="BE567" s="7"/>
      <c r="BF567" s="7" t="str">
        <f ca="1">IF(TODAY()-Table43[[#This Row],[Efektif
Pembuatan]]&gt;60,"Lama","Baru")</f>
        <v>Lama</v>
      </c>
      <c r="BG567" s="7" t="str">
        <f ca="1">IF(TODAY()-Table43[[#This Row],[Efektif Naik Harga]]&lt;30,"Naik","Sama")</f>
        <v>Sama</v>
      </c>
      <c r="BH567" s="7"/>
      <c r="BI567" s="7" t="str">
        <f>IF(Table43[[#This Row],[Kode BARANG Win2]]&lt;&gt;"","IDR","")</f>
        <v>IDR</v>
      </c>
      <c r="BJ567" s="7" t="str">
        <f>CONCATENATE(Table43[[#This Row],[kode  1 Digit
(Nomor)]],Table43[[#This Row],[kode  4 Digit                (Nomor)]])</f>
        <v>0000</v>
      </c>
      <c r="BK567" s="7">
        <f>Table43[[#This Row],[Nama            Gramasi atau Jumlah Pack per CTN]]</f>
        <v>0</v>
      </c>
      <c r="BL567" s="7"/>
      <c r="BM567" s="7"/>
      <c r="BN567" s="4" t="str">
        <f>IF(Table43[[#This Row],[SATUAN Fix Win]]&lt;&gt;"","KRT")</f>
        <v>KRT</v>
      </c>
      <c r="BO567" s="4" t="str">
        <f>IF(Table43[[#This Row],[SATUAN Fix Win]]&lt;&gt;"","GD01")</f>
        <v>GD01</v>
      </c>
      <c r="BP567" s="4">
        <f>IF(Table43[[#This Row],[SATUAN Fix Win]]&lt;&gt;"",11611)</f>
        <v>11611</v>
      </c>
      <c r="BQ567" s="4">
        <f>IF(Table43[[#This Row],[SATUAN Fix Win]]&lt;&gt;"",11612)</f>
        <v>11612</v>
      </c>
      <c r="BS567" s="4">
        <f>IF(Table43[[#This Row],[SATUAN Fix Win]]&lt;&gt;"",1)</f>
        <v>1</v>
      </c>
      <c r="BU567" s="4">
        <f>Table43[[#This Row],[ISI/CTN]]</f>
        <v>24</v>
      </c>
    </row>
    <row r="568" spans="1:75">
      <c r="A568" s="4" t="str">
        <f>CONCATENATE(Table43[[#This Row],[Kode BARANG Win2]],Table43[[#This Row],[No. Urut
Item Sama]])</f>
        <v>G1268006000010</v>
      </c>
      <c r="B568" s="7"/>
      <c r="C568" s="31">
        <v>30603050225011</v>
      </c>
      <c r="D568" s="59">
        <v>40057600</v>
      </c>
      <c r="E568" s="60" t="s">
        <v>2194</v>
      </c>
      <c r="F568" s="59">
        <v>30685050025010</v>
      </c>
      <c r="G568" s="59">
        <v>0</v>
      </c>
      <c r="H568" s="60" t="s">
        <v>1551</v>
      </c>
      <c r="I568" s="60">
        <v>24</v>
      </c>
      <c r="J568" s="59" t="s">
        <v>1860</v>
      </c>
      <c r="K568" s="60" t="str">
        <f>Table43[[#This Row],[NamaJenisKemasan]]</f>
        <v>PCS</v>
      </c>
      <c r="L568" s="4" t="str">
        <f>TRIM(CONCATENATE(Table43[[#This Row],[Nama            KLP]]," ",Table43[[#This Row],[Nama            Sub KLP]]))</f>
        <v>STELLA HANG&amp;FLIP</v>
      </c>
      <c r="M568" s="4" t="str">
        <f>CONCATENATE(Table43[[#This Row],[kode  2 Digit                (hrf+No)]],Table43[[#This Row],[kode  2 Digit                (Nomor)]],Table43[[#This Row],[kode  1 Digit                (Nomor)]])</f>
        <v>G1268</v>
      </c>
      <c r="N568" s="4" t="str">
        <f>IF(AI568="",CONCATENATE(S568,U568,W568,Y568,AA568,AC568,AE568,AG568,Table43[[#This Row],[Tanda Kode Revisi]]),CONCATENATE(S568,U568,W568,Y568,AA568,AC568,AE568,AI568))</f>
        <v>G1268006000010</v>
      </c>
      <c r="O568" s="11">
        <f t="shared" si="14"/>
        <v>14</v>
      </c>
      <c r="P568" s="14" t="str">
        <f>IF(AH568&lt;&gt;"",TRIM(UPPER(CONCATENATE(R568," ",T568," ",V568," ",X568," ",Z568," ",AB568," ","X"," ",Table43[[#This Row],[ISI/CTN]]," ",AH568," ",AD568," ",AF568," ",AJ568))),TRIM(UPPER(CONCATENATE(R568," ",T568," ",V568," ",X568," ",Z568," ",AB568," ","X"," ",Table43[[#This Row],[ISI/CTN]]," ",AD568," ",AF568," ",AJ568))))</f>
        <v>STELLA HANG&amp;FLIP AQUA REFLECTION X 24 PCS</v>
      </c>
      <c r="Q568" s="11">
        <f t="shared" si="15"/>
        <v>41</v>
      </c>
      <c r="S568" s="7" t="s">
        <v>34</v>
      </c>
      <c r="T568" s="4" t="s">
        <v>2421</v>
      </c>
      <c r="U568" s="47" t="s">
        <v>2584</v>
      </c>
      <c r="V568" s="48" t="s">
        <v>2442</v>
      </c>
      <c r="W568" s="7">
        <v>8</v>
      </c>
      <c r="X568" s="48"/>
      <c r="Y568" s="47" t="s">
        <v>1116</v>
      </c>
      <c r="Z568" s="4" t="s">
        <v>2394</v>
      </c>
      <c r="AA568" s="49" t="s">
        <v>2542</v>
      </c>
      <c r="AC568" s="49" t="s">
        <v>2460</v>
      </c>
      <c r="AD568" s="4" t="s">
        <v>185</v>
      </c>
      <c r="AE568" s="7">
        <v>1</v>
      </c>
      <c r="AG568" s="7">
        <v>0</v>
      </c>
      <c r="AK568" s="70">
        <f>Table43[[#This Row],[Column4]]</f>
        <v>30685050025010</v>
      </c>
      <c r="AN568" s="7">
        <f>Table43[[#This Row],[ISI/CTN]]</f>
        <v>24</v>
      </c>
      <c r="AO568" s="38">
        <f>Table43[[#This Row],[Harga Jual Pcs GT
(-PPN)]]-(Table43[[#This Row],[Harga Jual Pcs GT
(-PPN)]]*6.5%)</f>
        <v>19016.965</v>
      </c>
      <c r="AP568" s="38">
        <f>Table43[[#This Row],[Harga Beli Pcs
(-PPN)]]*Table43[[#This Row],[ISI/CTN]]</f>
        <v>456407.16000000003</v>
      </c>
      <c r="AQ568" s="38">
        <f>Table43[[#This Row],[Harga Beli Pcs
(-PPN)]]*1.11</f>
        <v>21108.831150000002</v>
      </c>
      <c r="AR568" s="38">
        <f>Table43[[#This Row],[Harga Beli Krt
(- PPN)]]*1.11</f>
        <v>506611.94760000007</v>
      </c>
      <c r="AS568" s="38">
        <v>20339</v>
      </c>
      <c r="AT568" s="38">
        <f>Table43[[#This Row],[Harga Jual Pcs GT
(-PPN)]]*Table43[[#This Row],[ISI/CTN]]</f>
        <v>488136</v>
      </c>
      <c r="AU568" s="38">
        <f>Table43[[#This Row],[Harga Jual Pcs GT
(-PPN)]]*1.11</f>
        <v>22576.29</v>
      </c>
      <c r="AV568" s="38">
        <f>Table43[[#This Row],[Harga Jual Krt GT
(- PPN)]]*1.11</f>
        <v>541830.96000000008</v>
      </c>
      <c r="AW568" s="38">
        <f>IFERROR(VLOOKUP(Table43[[#This Row],[Kode Pcpl]],'[1]FEB 2026'!$A$3:$X$312,24,0),0)</f>
        <v>0</v>
      </c>
      <c r="AX568" s="38">
        <f>Table43[[#This Row],[Harga Jual Pcs MT
(-PPN)]]*Table43[[#This Row],[ISI/CTN]]</f>
        <v>0</v>
      </c>
      <c r="AY568" s="38">
        <f>Table43[[#This Row],[Harga Jual Pcs MT
(-PPN)]]*1.11</f>
        <v>0</v>
      </c>
      <c r="AZ568" s="38">
        <f>Table43[[#This Row],[Harga Jual Pcs MT
(+PPN)]]*Table43[[#This Row],[ISI/CTN]]</f>
        <v>0</v>
      </c>
      <c r="BA568" s="46">
        <f>(Table43[[#This Row],[Harga Jual Pcs GT
(-PPN)]]-Table43[[#This Row],[Harga Beli Pcs
(-PPN)]])/Table43[[#This Row],[Harga Jual Pcs GT
(-PPN)]]</f>
        <v>6.4999999999999988E-2</v>
      </c>
      <c r="BB568" s="53">
        <f>Table43[[#This Row],[Harga Jual Pcs MT
(-PPN)]]-Table43[[#This Row],[Harga Beli Pcs
(-PPN)]]</f>
        <v>-19016.965</v>
      </c>
      <c r="BC568" s="54" t="e">
        <f>Table43[[#This Row],[Column1]]/Table43[[#This Row],[Harga Jual Pcs MT
(-PPN)]]</f>
        <v>#DIV/0!</v>
      </c>
      <c r="BD568" s="52"/>
      <c r="BE568" s="7"/>
      <c r="BF568" s="7" t="str">
        <f ca="1">IF(TODAY()-Table43[[#This Row],[Efektif
Pembuatan]]&gt;60,"Lama","Baru")</f>
        <v>Lama</v>
      </c>
      <c r="BG568" s="7" t="str">
        <f ca="1">IF(TODAY()-Table43[[#This Row],[Efektif Naik Harga]]&lt;30,"Naik","Sama")</f>
        <v>Sama</v>
      </c>
      <c r="BH568" s="7"/>
      <c r="BI568" s="7" t="str">
        <f>IF(Table43[[#This Row],[Kode BARANG Win2]]&lt;&gt;"","IDR","")</f>
        <v>IDR</v>
      </c>
      <c r="BJ568" s="7" t="str">
        <f>CONCATENATE(Table43[[#This Row],[kode  1 Digit
(Nomor)]],Table43[[#This Row],[kode  4 Digit                (Nomor)]])</f>
        <v>0000</v>
      </c>
      <c r="BK568" s="7">
        <f>Table43[[#This Row],[Nama            Gramasi atau Jumlah Pack per CTN]]</f>
        <v>0</v>
      </c>
      <c r="BL568" s="7"/>
      <c r="BM568" s="7"/>
      <c r="BN568" s="4" t="str">
        <f>IF(Table43[[#This Row],[SATUAN Fix Win]]&lt;&gt;"","KRT")</f>
        <v>KRT</v>
      </c>
      <c r="BO568" s="4" t="str">
        <f>IF(Table43[[#This Row],[SATUAN Fix Win]]&lt;&gt;"","GD01")</f>
        <v>GD01</v>
      </c>
      <c r="BP568" s="4">
        <f>IF(Table43[[#This Row],[SATUAN Fix Win]]&lt;&gt;"",11611)</f>
        <v>11611</v>
      </c>
      <c r="BQ568" s="4">
        <f>IF(Table43[[#This Row],[SATUAN Fix Win]]&lt;&gt;"",11612)</f>
        <v>11612</v>
      </c>
      <c r="BS568" s="4">
        <f>IF(Table43[[#This Row],[SATUAN Fix Win]]&lt;&gt;"",1)</f>
        <v>1</v>
      </c>
      <c r="BU568" s="4">
        <f>Table43[[#This Row],[ISI/CTN]]</f>
        <v>24</v>
      </c>
    </row>
    <row r="569" spans="1:75">
      <c r="A569" s="4" t="str">
        <f>CONCATENATE(Table43[[#This Row],[Kode BARANG Win2]],Table43[[#This Row],[No. Urut
Item Sama]])</f>
        <v>G1268007000010</v>
      </c>
      <c r="B569" s="7"/>
      <c r="C569" s="31">
        <v>30603060225010</v>
      </c>
      <c r="D569" s="59">
        <v>40058886</v>
      </c>
      <c r="E569" s="60" t="s">
        <v>2192</v>
      </c>
      <c r="F569" s="59">
        <v>30685010009010</v>
      </c>
      <c r="G569" s="59">
        <v>0</v>
      </c>
      <c r="H569" s="60" t="s">
        <v>1549</v>
      </c>
      <c r="I569" s="60">
        <v>24</v>
      </c>
      <c r="J569" s="59" t="s">
        <v>1859</v>
      </c>
      <c r="K569" s="60" t="str">
        <f>Table43[[#This Row],[NamaJenisKemasan]]</f>
        <v>PCS</v>
      </c>
      <c r="L569" s="4" t="str">
        <f>TRIM(CONCATENATE(Table43[[#This Row],[Nama            KLP]]," ",Table43[[#This Row],[Nama            Sub KLP]]))</f>
        <v>STELLA HANG&amp;FLIP</v>
      </c>
      <c r="M569" s="4" t="str">
        <f>CONCATENATE(Table43[[#This Row],[kode  2 Digit                (hrf+No)]],Table43[[#This Row],[kode  2 Digit                (Nomor)]],Table43[[#This Row],[kode  1 Digit                (Nomor)]])</f>
        <v>G1268</v>
      </c>
      <c r="N569" s="4" t="str">
        <f>IF(AI569="",CONCATENATE(S569,U569,W569,Y569,AA569,AC569,AE569,AG569,Table43[[#This Row],[Tanda Kode Revisi]]),CONCATENATE(S569,U569,W569,Y569,AA569,AC569,AE569,AI569))</f>
        <v>G1268007000010</v>
      </c>
      <c r="O569" s="11">
        <f t="shared" si="14"/>
        <v>14</v>
      </c>
      <c r="P569" s="14" t="str">
        <f>IF(AH569&lt;&gt;"",TRIM(UPPER(CONCATENATE(R569," ",T569," ",V569," ",X569," ",Z569," ",AB569," ","X"," ",Table43[[#This Row],[ISI/CTN]]," ",AH569," ",AD569," ",AF569," ",AJ569))),TRIM(UPPER(CONCATENATE(R569," ",T569," ",V569," ",X569," ",Z569," ",AB569," ","X"," ",Table43[[#This Row],[ISI/CTN]]," ",AD569," ",AF569," ",AJ569))))</f>
        <v>STELLA HANG&amp;FLIP JASMINE FLOW X 24 PCS</v>
      </c>
      <c r="Q569" s="11">
        <f t="shared" si="15"/>
        <v>38</v>
      </c>
      <c r="S569" s="7" t="s">
        <v>34</v>
      </c>
      <c r="T569" s="4" t="s">
        <v>2421</v>
      </c>
      <c r="U569" s="47" t="s">
        <v>2584</v>
      </c>
      <c r="V569" s="48" t="s">
        <v>2442</v>
      </c>
      <c r="W569" s="7">
        <v>8</v>
      </c>
      <c r="X569" s="48"/>
      <c r="Y569" s="47" t="s">
        <v>1116</v>
      </c>
      <c r="Z569" s="4" t="s">
        <v>2395</v>
      </c>
      <c r="AA569" s="49" t="s">
        <v>2544</v>
      </c>
      <c r="AC569" s="49" t="s">
        <v>2460</v>
      </c>
      <c r="AD569" s="4" t="s">
        <v>185</v>
      </c>
      <c r="AE569" s="7">
        <v>1</v>
      </c>
      <c r="AG569" s="7">
        <v>0</v>
      </c>
      <c r="AK569" s="70">
        <f>Table43[[#This Row],[Column4]]</f>
        <v>30685010009010</v>
      </c>
      <c r="AN569" s="7">
        <f>Table43[[#This Row],[ISI/CTN]]</f>
        <v>24</v>
      </c>
      <c r="AO569" s="38">
        <f>Table43[[#This Row],[Harga Jual Pcs GT
(-PPN)]]-(Table43[[#This Row],[Harga Jual Pcs GT
(-PPN)]]*6.5%)</f>
        <v>19016.965</v>
      </c>
      <c r="AP569" s="38">
        <f>Table43[[#This Row],[Harga Beli Pcs
(-PPN)]]*Table43[[#This Row],[ISI/CTN]]</f>
        <v>456407.16000000003</v>
      </c>
      <c r="AQ569" s="38">
        <f>Table43[[#This Row],[Harga Beli Pcs
(-PPN)]]*1.11</f>
        <v>21108.831150000002</v>
      </c>
      <c r="AR569" s="38">
        <f>Table43[[#This Row],[Harga Beli Krt
(- PPN)]]*1.11</f>
        <v>506611.94760000007</v>
      </c>
      <c r="AS569" s="38">
        <v>20339</v>
      </c>
      <c r="AT569" s="38">
        <f>Table43[[#This Row],[Harga Jual Pcs GT
(-PPN)]]*Table43[[#This Row],[ISI/CTN]]</f>
        <v>488136</v>
      </c>
      <c r="AU569" s="38">
        <f>Table43[[#This Row],[Harga Jual Pcs GT
(-PPN)]]*1.11</f>
        <v>22576.29</v>
      </c>
      <c r="AV569" s="38">
        <f>Table43[[#This Row],[Harga Jual Krt GT
(- PPN)]]*1.11</f>
        <v>541830.96000000008</v>
      </c>
      <c r="AW569" s="38">
        <f>IFERROR(VLOOKUP(Table43[[#This Row],[Kode Pcpl]],'[1]FEB 2026'!$A$3:$X$312,24,0),0)</f>
        <v>0</v>
      </c>
      <c r="AX569" s="38">
        <f>Table43[[#This Row],[Harga Jual Pcs MT
(-PPN)]]*Table43[[#This Row],[ISI/CTN]]</f>
        <v>0</v>
      </c>
      <c r="AY569" s="38">
        <f>Table43[[#This Row],[Harga Jual Pcs MT
(-PPN)]]*1.11</f>
        <v>0</v>
      </c>
      <c r="AZ569" s="38">
        <f>Table43[[#This Row],[Harga Jual Pcs MT
(+PPN)]]*Table43[[#This Row],[ISI/CTN]]</f>
        <v>0</v>
      </c>
      <c r="BA569" s="46">
        <f>(Table43[[#This Row],[Harga Jual Pcs GT
(-PPN)]]-Table43[[#This Row],[Harga Beli Pcs
(-PPN)]])/Table43[[#This Row],[Harga Jual Pcs GT
(-PPN)]]</f>
        <v>6.4999999999999988E-2</v>
      </c>
      <c r="BB569" s="53">
        <f>Table43[[#This Row],[Harga Jual Pcs MT
(-PPN)]]-Table43[[#This Row],[Harga Beli Pcs
(-PPN)]]</f>
        <v>-19016.965</v>
      </c>
      <c r="BC569" s="54" t="e">
        <f>Table43[[#This Row],[Column1]]/Table43[[#This Row],[Harga Jual Pcs MT
(-PPN)]]</f>
        <v>#DIV/0!</v>
      </c>
      <c r="BD569" s="52"/>
      <c r="BE569" s="7"/>
      <c r="BF569" s="7" t="str">
        <f ca="1">IF(TODAY()-Table43[[#This Row],[Efektif
Pembuatan]]&gt;60,"Lama","Baru")</f>
        <v>Lama</v>
      </c>
      <c r="BG569" s="7" t="str">
        <f ca="1">IF(TODAY()-Table43[[#This Row],[Efektif Naik Harga]]&lt;30,"Naik","Sama")</f>
        <v>Sama</v>
      </c>
      <c r="BH569" s="7"/>
      <c r="BI569" s="7" t="str">
        <f>IF(Table43[[#This Row],[Kode BARANG Win2]]&lt;&gt;"","IDR","")</f>
        <v>IDR</v>
      </c>
      <c r="BJ569" s="7" t="str">
        <f>CONCATENATE(Table43[[#This Row],[kode  1 Digit
(Nomor)]],Table43[[#This Row],[kode  4 Digit                (Nomor)]])</f>
        <v>0000</v>
      </c>
      <c r="BK569" s="7">
        <f>Table43[[#This Row],[Nama            Gramasi atau Jumlah Pack per CTN]]</f>
        <v>0</v>
      </c>
      <c r="BL569" s="7"/>
      <c r="BM569" s="7"/>
      <c r="BN569" s="4" t="str">
        <f>IF(Table43[[#This Row],[SATUAN Fix Win]]&lt;&gt;"","KRT")</f>
        <v>KRT</v>
      </c>
      <c r="BO569" s="4" t="str">
        <f>IF(Table43[[#This Row],[SATUAN Fix Win]]&lt;&gt;"","GD01")</f>
        <v>GD01</v>
      </c>
      <c r="BP569" s="4">
        <f>IF(Table43[[#This Row],[SATUAN Fix Win]]&lt;&gt;"",11611)</f>
        <v>11611</v>
      </c>
      <c r="BQ569" s="4">
        <f>IF(Table43[[#This Row],[SATUAN Fix Win]]&lt;&gt;"",11612)</f>
        <v>11612</v>
      </c>
      <c r="BS569" s="4">
        <f>IF(Table43[[#This Row],[SATUAN Fix Win]]&lt;&gt;"",1)</f>
        <v>1</v>
      </c>
      <c r="BU569" s="4">
        <f>Table43[[#This Row],[ISI/CTN]]</f>
        <v>24</v>
      </c>
    </row>
    <row r="570" spans="1:75">
      <c r="A570" s="4" t="str">
        <f>CONCATENATE(Table43[[#This Row],[Kode BARANG Win2]],Table43[[#This Row],[No. Urut
Item Sama]])</f>
        <v>G1268007000010</v>
      </c>
      <c r="B570" s="7"/>
      <c r="C570" s="31">
        <v>30603060225010</v>
      </c>
      <c r="D570" s="51">
        <v>40057599</v>
      </c>
      <c r="E570" s="27" t="s">
        <v>2193</v>
      </c>
      <c r="F570" s="51">
        <v>30685010025010</v>
      </c>
      <c r="G570" s="51">
        <v>0</v>
      </c>
      <c r="H570" s="27" t="s">
        <v>1550</v>
      </c>
      <c r="I570" s="27">
        <v>24</v>
      </c>
      <c r="J570" s="51" t="s">
        <v>1859</v>
      </c>
      <c r="K570" s="27" t="str">
        <f>Table43[[#This Row],[NamaJenisKemasan]]</f>
        <v>PCS</v>
      </c>
      <c r="L570" s="4" t="str">
        <f>TRIM(CONCATENATE(Table43[[#This Row],[Nama            KLP]]," ",Table43[[#This Row],[Nama            Sub KLP]]))</f>
        <v>STELLA HANG&amp;FLIP</v>
      </c>
      <c r="M570" s="4" t="str">
        <f>CONCATENATE(Table43[[#This Row],[kode  2 Digit                (hrf+No)]],Table43[[#This Row],[kode  2 Digit                (Nomor)]],Table43[[#This Row],[kode  1 Digit                (Nomor)]])</f>
        <v>G1268</v>
      </c>
      <c r="N570" s="4" t="str">
        <f>IF(AI570="",CONCATENATE(S570,U570,W570,Y570,AA570,AC570,AE570,AG570,Table43[[#This Row],[Tanda Kode Revisi]]),CONCATENATE(S570,U570,W570,Y570,AA570,AC570,AE570,AI570))</f>
        <v>G1268007000010</v>
      </c>
      <c r="O570" s="11">
        <f t="shared" si="14"/>
        <v>14</v>
      </c>
      <c r="P570" s="14" t="str">
        <f>IF(AH570&lt;&gt;"",TRIM(UPPER(CONCATENATE(R570," ",T570," ",V570," ",X570," ",Z570," ",AB570," ","X"," ",Table43[[#This Row],[ISI/CTN]]," ",AH570," ",AD570," ",AF570," ",AJ570))),TRIM(UPPER(CONCATENATE(R570," ",T570," ",V570," ",X570," ",Z570," ",AB570," ","X"," ",Table43[[#This Row],[ISI/CTN]]," ",AD570," ",AF570," ",AJ570))))</f>
        <v>STELLA HANG&amp;FLIP JASMINE FLOW X 24 PCS</v>
      </c>
      <c r="Q570" s="11">
        <f t="shared" si="15"/>
        <v>38</v>
      </c>
      <c r="S570" s="7" t="s">
        <v>34</v>
      </c>
      <c r="T570" s="4" t="s">
        <v>2421</v>
      </c>
      <c r="U570" s="47" t="s">
        <v>2584</v>
      </c>
      <c r="V570" s="48" t="s">
        <v>2442</v>
      </c>
      <c r="W570" s="7">
        <v>8</v>
      </c>
      <c r="X570" s="48"/>
      <c r="Y570" s="47" t="s">
        <v>1116</v>
      </c>
      <c r="Z570" s="4" t="s">
        <v>2395</v>
      </c>
      <c r="AA570" s="49" t="s">
        <v>2544</v>
      </c>
      <c r="AC570" s="49" t="s">
        <v>2460</v>
      </c>
      <c r="AD570" s="4" t="s">
        <v>185</v>
      </c>
      <c r="AE570" s="7">
        <v>1</v>
      </c>
      <c r="AG570" s="7">
        <v>0</v>
      </c>
      <c r="AK570" s="70">
        <f>Table43[[#This Row],[Column4]]</f>
        <v>30685010025010</v>
      </c>
      <c r="AN570" s="7">
        <f>Table43[[#This Row],[ISI/CTN]]</f>
        <v>24</v>
      </c>
      <c r="AO570" s="38">
        <f>Table43[[#This Row],[Harga Jual Pcs GT
(-PPN)]]-(Table43[[#This Row],[Harga Jual Pcs GT
(-PPN)]]*6.5%)</f>
        <v>19016.965</v>
      </c>
      <c r="AP570" s="38">
        <f>Table43[[#This Row],[Harga Beli Pcs
(-PPN)]]*Table43[[#This Row],[ISI/CTN]]</f>
        <v>456407.16000000003</v>
      </c>
      <c r="AQ570" s="38">
        <f>Table43[[#This Row],[Harga Beli Pcs
(-PPN)]]*1.11</f>
        <v>21108.831150000002</v>
      </c>
      <c r="AR570" s="38">
        <f>Table43[[#This Row],[Harga Beli Krt
(- PPN)]]*1.11</f>
        <v>506611.94760000007</v>
      </c>
      <c r="AS570" s="38">
        <v>20339</v>
      </c>
      <c r="AT570" s="38">
        <f>Table43[[#This Row],[Harga Jual Pcs GT
(-PPN)]]*Table43[[#This Row],[ISI/CTN]]</f>
        <v>488136</v>
      </c>
      <c r="AU570" s="38">
        <f>Table43[[#This Row],[Harga Jual Pcs GT
(-PPN)]]*1.11</f>
        <v>22576.29</v>
      </c>
      <c r="AV570" s="38">
        <f>Table43[[#This Row],[Harga Jual Krt GT
(- PPN)]]*1.11</f>
        <v>541830.96000000008</v>
      </c>
      <c r="AW570" s="38">
        <f>IFERROR(VLOOKUP(Table43[[#This Row],[Kode Pcpl]],'[1]FEB 2026'!$A$3:$X$312,24,0),0)</f>
        <v>0</v>
      </c>
      <c r="AX570" s="38">
        <f>Table43[[#This Row],[Harga Jual Pcs MT
(-PPN)]]*Table43[[#This Row],[ISI/CTN]]</f>
        <v>0</v>
      </c>
      <c r="AY570" s="38">
        <f>Table43[[#This Row],[Harga Jual Pcs MT
(-PPN)]]*1.11</f>
        <v>0</v>
      </c>
      <c r="AZ570" s="38">
        <f>Table43[[#This Row],[Harga Jual Pcs MT
(+PPN)]]*Table43[[#This Row],[ISI/CTN]]</f>
        <v>0</v>
      </c>
      <c r="BA570" s="46">
        <f>(Table43[[#This Row],[Harga Jual Pcs GT
(-PPN)]]-Table43[[#This Row],[Harga Beli Pcs
(-PPN)]])/Table43[[#This Row],[Harga Jual Pcs GT
(-PPN)]]</f>
        <v>6.4999999999999988E-2</v>
      </c>
      <c r="BB570" s="53">
        <f>Table43[[#This Row],[Harga Jual Pcs MT
(-PPN)]]-Table43[[#This Row],[Harga Beli Pcs
(-PPN)]]</f>
        <v>-19016.965</v>
      </c>
      <c r="BC570" s="54" t="e">
        <f>Table43[[#This Row],[Column1]]/Table43[[#This Row],[Harga Jual Pcs MT
(-PPN)]]</f>
        <v>#DIV/0!</v>
      </c>
      <c r="BD570" s="52"/>
      <c r="BE570" s="7"/>
      <c r="BF570" s="7" t="str">
        <f ca="1">IF(TODAY()-Table43[[#This Row],[Efektif
Pembuatan]]&gt;60,"Lama","Baru")</f>
        <v>Lama</v>
      </c>
      <c r="BG570" s="7" t="str">
        <f ca="1">IF(TODAY()-Table43[[#This Row],[Efektif Naik Harga]]&lt;30,"Naik","Sama")</f>
        <v>Sama</v>
      </c>
      <c r="BH570" s="7"/>
      <c r="BI570" s="7" t="str">
        <f>IF(Table43[[#This Row],[Kode BARANG Win2]]&lt;&gt;"","IDR","")</f>
        <v>IDR</v>
      </c>
      <c r="BJ570" s="7" t="str">
        <f>CONCATENATE(Table43[[#This Row],[kode  1 Digit
(Nomor)]],Table43[[#This Row],[kode  4 Digit                (Nomor)]])</f>
        <v>0000</v>
      </c>
      <c r="BK570" s="7">
        <f>Table43[[#This Row],[Nama            Gramasi atau Jumlah Pack per CTN]]</f>
        <v>0</v>
      </c>
      <c r="BL570" s="7"/>
      <c r="BM570" s="7"/>
      <c r="BN570" s="4" t="str">
        <f>IF(Table43[[#This Row],[SATUAN Fix Win]]&lt;&gt;"","KRT")</f>
        <v>KRT</v>
      </c>
      <c r="BO570" s="4" t="str">
        <f>IF(Table43[[#This Row],[SATUAN Fix Win]]&lt;&gt;"","GD01")</f>
        <v>GD01</v>
      </c>
      <c r="BP570" s="4">
        <f>IF(Table43[[#This Row],[SATUAN Fix Win]]&lt;&gt;"",11611)</f>
        <v>11611</v>
      </c>
      <c r="BQ570" s="4">
        <f>IF(Table43[[#This Row],[SATUAN Fix Win]]&lt;&gt;"",11612)</f>
        <v>11612</v>
      </c>
      <c r="BS570" s="4">
        <f>IF(Table43[[#This Row],[SATUAN Fix Win]]&lt;&gt;"",1)</f>
        <v>1</v>
      </c>
      <c r="BU570" s="4">
        <f>Table43[[#This Row],[ISI/CTN]]</f>
        <v>24</v>
      </c>
    </row>
    <row r="571" spans="1:75" s="87" customFormat="1">
      <c r="A571" s="71" t="str">
        <f>CONCATENATE(Table43[[#This Row],[Kode BARANG Win2]],Table43[[#This Row],[No. Urut
Item Sama]])</f>
        <v>G1268008000010</v>
      </c>
      <c r="B571" s="72"/>
      <c r="C571" s="73"/>
      <c r="D571" s="74">
        <v>40062467</v>
      </c>
      <c r="E571" s="75" t="s">
        <v>3460</v>
      </c>
      <c r="F571" s="74"/>
      <c r="G571" s="74"/>
      <c r="H571" s="75" t="s">
        <v>3460</v>
      </c>
      <c r="I571" s="75">
        <v>24</v>
      </c>
      <c r="J571" s="74"/>
      <c r="K571" s="75" t="str">
        <f>Table43[[#This Row],[NamaJenisKemasan]]</f>
        <v>PCS</v>
      </c>
      <c r="L571" s="71" t="str">
        <f>TRIM(CONCATENATE(Table43[[#This Row],[Nama            KLP]]," ",Table43[[#This Row],[Nama            Sub KLP]]))</f>
        <v>STELLA HANG&amp;FLIP</v>
      </c>
      <c r="M571" s="71" t="str">
        <f>CONCATENATE(Table43[[#This Row],[kode  2 Digit                (hrf+No)]],Table43[[#This Row],[kode  2 Digit                (Nomor)]],Table43[[#This Row],[kode  1 Digit                (Nomor)]])</f>
        <v>G1268</v>
      </c>
      <c r="N571" s="71" t="str">
        <f>IF(AI571="",CONCATENATE(S571,U571,W571,Y571,AA571,AC571,AE571,AG571,Table43[[#This Row],[Tanda Kode Revisi]]),CONCATENATE(S571,U571,W571,Y571,AA571,AC571,AE571,AI571))</f>
        <v>G1268008000010</v>
      </c>
      <c r="O571" s="76">
        <f t="shared" ref="O571:O572" si="16">LEN(N571)</f>
        <v>14</v>
      </c>
      <c r="P571" s="77" t="str">
        <f>IF(AH571&lt;&gt;"",TRIM(UPPER(CONCATENATE(R571," ",T571," ",V571," ",X571," ",Z571," ",AB571," ","X"," ",Table43[[#This Row],[ISI/CTN]]," ",AH571," ",AD571," ",AF571," ",AJ571))),TRIM(UPPER(CONCATENATE(R571," ",T571," ",V571," ",X571," ",Z571," ",AB571," ","X"," ",Table43[[#This Row],[ISI/CTN]]," ",AD571," ",AF571," ",AJ571))))</f>
        <v>STELLA HANG&amp;FLIP MIDNIGHT 9+3ML X 24 PCS</v>
      </c>
      <c r="Q571" s="76">
        <f t="shared" ref="Q571:Q572" si="17">LEN(P571)</f>
        <v>40</v>
      </c>
      <c r="R571" s="71"/>
      <c r="S571" s="72" t="s">
        <v>34</v>
      </c>
      <c r="T571" s="71" t="s">
        <v>2421</v>
      </c>
      <c r="U571" s="78" t="s">
        <v>2584</v>
      </c>
      <c r="V571" s="79" t="s">
        <v>2442</v>
      </c>
      <c r="W571" s="72">
        <v>8</v>
      </c>
      <c r="X571" s="79"/>
      <c r="Y571" s="78" t="s">
        <v>1116</v>
      </c>
      <c r="Z571" s="71" t="s">
        <v>3462</v>
      </c>
      <c r="AA571" s="80" t="s">
        <v>2545</v>
      </c>
      <c r="AB571" s="71" t="s">
        <v>3464</v>
      </c>
      <c r="AC571" s="80" t="s">
        <v>2460</v>
      </c>
      <c r="AD571" s="71" t="s">
        <v>185</v>
      </c>
      <c r="AE571" s="72">
        <v>1</v>
      </c>
      <c r="AF571" s="71"/>
      <c r="AG571" s="72">
        <v>0</v>
      </c>
      <c r="AH571" s="72"/>
      <c r="AI571" s="72"/>
      <c r="AJ571" s="72"/>
      <c r="AK571" s="81">
        <f>Table43[[#This Row],[Column4]]</f>
        <v>0</v>
      </c>
      <c r="AL571" s="72"/>
      <c r="AM571" s="72"/>
      <c r="AN571" s="72">
        <f>Table43[[#This Row],[ISI/CTN]]</f>
        <v>24</v>
      </c>
      <c r="AO571" s="88">
        <f>Table43[[#This Row],[Harga Jual Pcs GT
(-PPN)]]-(Table43[[#This Row],[Harga Jual Pcs GT
(-PPN)]]*6.5%)</f>
        <v>0</v>
      </c>
      <c r="AP571" s="88">
        <f>Table43[[#This Row],[Harga Beli Pcs
(-PPN)]]*Table43[[#This Row],[ISI/CTN]]</f>
        <v>0</v>
      </c>
      <c r="AQ571" s="88">
        <f>Table43[[#This Row],[Harga Beli Pcs
(-PPN)]]*1.11</f>
        <v>0</v>
      </c>
      <c r="AR571" s="88">
        <f>Table43[[#This Row],[Harga Beli Krt
(- PPN)]]*1.11</f>
        <v>0</v>
      </c>
      <c r="AS571" s="88"/>
      <c r="AT571" s="88">
        <f>Table43[[#This Row],[Harga Jual Pcs GT
(-PPN)]]*Table43[[#This Row],[ISI/CTN]]</f>
        <v>0</v>
      </c>
      <c r="AU571" s="88">
        <f>Table43[[#This Row],[Harga Jual Pcs GT
(-PPN)]]*1.11</f>
        <v>0</v>
      </c>
      <c r="AV571" s="88">
        <f>Table43[[#This Row],[Harga Jual Krt GT
(- PPN)]]*1.11</f>
        <v>0</v>
      </c>
      <c r="AW571" s="88">
        <f>IFERROR(VLOOKUP(Table43[[#This Row],[Kode Pcpl]],'[1]FEB 2026'!$A$3:$X$312,24,0),0)</f>
        <v>0</v>
      </c>
      <c r="AX571" s="88">
        <f>Table43[[#This Row],[Harga Jual Pcs MT
(-PPN)]]*Table43[[#This Row],[ISI/CTN]]</f>
        <v>0</v>
      </c>
      <c r="AY571" s="88">
        <f>Table43[[#This Row],[Harga Jual Pcs MT
(-PPN)]]*1.11</f>
        <v>0</v>
      </c>
      <c r="AZ571" s="88">
        <f>Table43[[#This Row],[Harga Jual Pcs MT
(+PPN)]]*Table43[[#This Row],[ISI/CTN]]</f>
        <v>0</v>
      </c>
      <c r="BA571" s="89" t="e">
        <f>(Table43[[#This Row],[Harga Jual Pcs GT
(-PPN)]]-Table43[[#This Row],[Harga Beli Pcs
(-PPN)]])/Table43[[#This Row],[Harga Jual Pcs GT
(-PPN)]]</f>
        <v>#DIV/0!</v>
      </c>
      <c r="BB571" s="90">
        <f>Table43[[#This Row],[Harga Jual Pcs MT
(-PPN)]]-Table43[[#This Row],[Harga Beli Pcs
(-PPN)]]</f>
        <v>0</v>
      </c>
      <c r="BC571" s="91" t="e">
        <f>Table43[[#This Row],[Column1]]/Table43[[#This Row],[Harga Jual Pcs MT
(-PPN)]]</f>
        <v>#DIV/0!</v>
      </c>
      <c r="BD571" s="86"/>
      <c r="BE571" s="72"/>
      <c r="BF571" s="72" t="str">
        <f ca="1">IF(TODAY()-Table43[[#This Row],[Efektif
Pembuatan]]&gt;60,"Lama","Baru")</f>
        <v>Lama</v>
      </c>
      <c r="BG571" s="72" t="str">
        <f ca="1">IF(TODAY()-Table43[[#This Row],[Efektif Naik Harga]]&lt;30,"Naik","Sama")</f>
        <v>Sama</v>
      </c>
      <c r="BH571" s="72"/>
      <c r="BI571" s="72" t="str">
        <f>IF(Table43[[#This Row],[Kode BARANG Win2]]&lt;&gt;"","IDR","")</f>
        <v>IDR</v>
      </c>
      <c r="BJ571" s="72" t="str">
        <f>CONCATENATE(Table43[[#This Row],[kode  1 Digit
(Nomor)]],Table43[[#This Row],[kode  4 Digit                (Nomor)]])</f>
        <v>0000</v>
      </c>
      <c r="BK571" s="72" t="str">
        <f>Table43[[#This Row],[Nama            Gramasi atau Jumlah Pack per CTN]]</f>
        <v>9+3ML</v>
      </c>
      <c r="BL571" s="72"/>
      <c r="BM571" s="72"/>
      <c r="BN571" s="71" t="str">
        <f>IF(Table43[[#This Row],[SATUAN Fix Win]]&lt;&gt;"","KRT")</f>
        <v>KRT</v>
      </c>
      <c r="BO571" s="71" t="str">
        <f>IF(Table43[[#This Row],[SATUAN Fix Win]]&lt;&gt;"","GD01")</f>
        <v>GD01</v>
      </c>
      <c r="BP571" s="71">
        <f>IF(Table43[[#This Row],[SATUAN Fix Win]]&lt;&gt;"",11611)</f>
        <v>11611</v>
      </c>
      <c r="BQ571" s="71">
        <f>IF(Table43[[#This Row],[SATUAN Fix Win]]&lt;&gt;"",11612)</f>
        <v>11612</v>
      </c>
      <c r="BR571" s="71"/>
      <c r="BS571" s="71">
        <f>IF(Table43[[#This Row],[SATUAN Fix Win]]&lt;&gt;"",1)</f>
        <v>1</v>
      </c>
      <c r="BT571" s="71"/>
      <c r="BU571" s="71">
        <f>Table43[[#This Row],[ISI/CTN]]</f>
        <v>24</v>
      </c>
      <c r="BV571" s="71"/>
      <c r="BW571" s="71"/>
    </row>
    <row r="572" spans="1:75" s="87" customFormat="1">
      <c r="A572" s="71" t="str">
        <f>CONCATENATE(Table43[[#This Row],[Kode BARANG Win2]],Table43[[#This Row],[No. Urut
Item Sama]])</f>
        <v>G1268009000010</v>
      </c>
      <c r="B572" s="72"/>
      <c r="C572" s="73"/>
      <c r="D572" s="74">
        <v>40062468</v>
      </c>
      <c r="E572" s="75" t="s">
        <v>3461</v>
      </c>
      <c r="F572" s="74"/>
      <c r="G572" s="74"/>
      <c r="H572" s="75" t="s">
        <v>3461</v>
      </c>
      <c r="I572" s="75">
        <v>24</v>
      </c>
      <c r="J572" s="74"/>
      <c r="K572" s="75" t="str">
        <f>Table43[[#This Row],[NamaJenisKemasan]]</f>
        <v>PCS</v>
      </c>
      <c r="L572" s="71" t="str">
        <f>TRIM(CONCATENATE(Table43[[#This Row],[Nama            KLP]]," ",Table43[[#This Row],[Nama            Sub KLP]]))</f>
        <v>STELLA HANG&amp;FLIP</v>
      </c>
      <c r="M572" s="71" t="str">
        <f>CONCATENATE(Table43[[#This Row],[kode  2 Digit                (hrf+No)]],Table43[[#This Row],[kode  2 Digit                (Nomor)]],Table43[[#This Row],[kode  1 Digit                (Nomor)]])</f>
        <v>G1268</v>
      </c>
      <c r="N572" s="71" t="str">
        <f>IF(AI572="",CONCATENATE(S572,U572,W572,Y572,AA572,AC572,AE572,AG572,Table43[[#This Row],[Tanda Kode Revisi]]),CONCATENATE(S572,U572,W572,Y572,AA572,AC572,AE572,AI572))</f>
        <v>G1268009000010</v>
      </c>
      <c r="O572" s="76">
        <f t="shared" si="16"/>
        <v>14</v>
      </c>
      <c r="P572" s="77" t="str">
        <f>IF(AH572&lt;&gt;"",TRIM(UPPER(CONCATENATE(R572," ",T572," ",V572," ",X572," ",Z572," ",AB572," ","X"," ",Table43[[#This Row],[ISI/CTN]]," ",AH572," ",AD572," ",AF572," ",AJ572))),TRIM(UPPER(CONCATENATE(R572," ",T572," ",V572," ",X572," ",Z572," ",AB572," ","X"," ",Table43[[#This Row],[ISI/CTN]]," ",AD572," ",AF572," ",AJ572))))</f>
        <v>STELLA HANG&amp;FLIP MORNING BLUSH 9+3ML X 24 PCS</v>
      </c>
      <c r="Q572" s="76">
        <f t="shared" si="17"/>
        <v>45</v>
      </c>
      <c r="R572" s="71"/>
      <c r="S572" s="72" t="s">
        <v>34</v>
      </c>
      <c r="T572" s="71" t="s">
        <v>2421</v>
      </c>
      <c r="U572" s="78" t="s">
        <v>2584</v>
      </c>
      <c r="V572" s="79" t="s">
        <v>2442</v>
      </c>
      <c r="W572" s="72">
        <v>8</v>
      </c>
      <c r="X572" s="79"/>
      <c r="Y572" s="78" t="s">
        <v>1116</v>
      </c>
      <c r="Z572" s="71" t="s">
        <v>3463</v>
      </c>
      <c r="AA572" s="80" t="s">
        <v>2546</v>
      </c>
      <c r="AB572" s="71" t="s">
        <v>3464</v>
      </c>
      <c r="AC572" s="80" t="s">
        <v>2460</v>
      </c>
      <c r="AD572" s="71" t="s">
        <v>185</v>
      </c>
      <c r="AE572" s="72">
        <v>1</v>
      </c>
      <c r="AF572" s="71"/>
      <c r="AG572" s="72">
        <v>0</v>
      </c>
      <c r="AH572" s="72"/>
      <c r="AI572" s="72"/>
      <c r="AJ572" s="72"/>
      <c r="AK572" s="81">
        <f>Table43[[#This Row],[Column4]]</f>
        <v>0</v>
      </c>
      <c r="AL572" s="72"/>
      <c r="AM572" s="72"/>
      <c r="AN572" s="72">
        <f>Table43[[#This Row],[ISI/CTN]]</f>
        <v>24</v>
      </c>
      <c r="AO572" s="88">
        <f>Table43[[#This Row],[Harga Jual Pcs GT
(-PPN)]]-(Table43[[#This Row],[Harga Jual Pcs GT
(-PPN)]]*6.5%)</f>
        <v>0</v>
      </c>
      <c r="AP572" s="88">
        <f>Table43[[#This Row],[Harga Beli Pcs
(-PPN)]]*Table43[[#This Row],[ISI/CTN]]</f>
        <v>0</v>
      </c>
      <c r="AQ572" s="88">
        <f>Table43[[#This Row],[Harga Beli Pcs
(-PPN)]]*1.11</f>
        <v>0</v>
      </c>
      <c r="AR572" s="88">
        <f>Table43[[#This Row],[Harga Beli Krt
(- PPN)]]*1.11</f>
        <v>0</v>
      </c>
      <c r="AS572" s="88"/>
      <c r="AT572" s="88">
        <f>Table43[[#This Row],[Harga Jual Pcs GT
(-PPN)]]*Table43[[#This Row],[ISI/CTN]]</f>
        <v>0</v>
      </c>
      <c r="AU572" s="88">
        <f>Table43[[#This Row],[Harga Jual Pcs GT
(-PPN)]]*1.11</f>
        <v>0</v>
      </c>
      <c r="AV572" s="88">
        <f>Table43[[#This Row],[Harga Jual Krt GT
(- PPN)]]*1.11</f>
        <v>0</v>
      </c>
      <c r="AW572" s="88">
        <f>IFERROR(VLOOKUP(Table43[[#This Row],[Kode Pcpl]],'[1]FEB 2026'!$A$3:$X$312,24,0),0)</f>
        <v>0</v>
      </c>
      <c r="AX572" s="88">
        <f>Table43[[#This Row],[Harga Jual Pcs MT
(-PPN)]]*Table43[[#This Row],[ISI/CTN]]</f>
        <v>0</v>
      </c>
      <c r="AY572" s="88">
        <f>Table43[[#This Row],[Harga Jual Pcs MT
(-PPN)]]*1.11</f>
        <v>0</v>
      </c>
      <c r="AZ572" s="88">
        <f>Table43[[#This Row],[Harga Jual Pcs MT
(+PPN)]]*Table43[[#This Row],[ISI/CTN]]</f>
        <v>0</v>
      </c>
      <c r="BA572" s="89" t="e">
        <f>(Table43[[#This Row],[Harga Jual Pcs GT
(-PPN)]]-Table43[[#This Row],[Harga Beli Pcs
(-PPN)]])/Table43[[#This Row],[Harga Jual Pcs GT
(-PPN)]]</f>
        <v>#DIV/0!</v>
      </c>
      <c r="BB572" s="90">
        <f>Table43[[#This Row],[Harga Jual Pcs MT
(-PPN)]]-Table43[[#This Row],[Harga Beli Pcs
(-PPN)]]</f>
        <v>0</v>
      </c>
      <c r="BC572" s="91" t="e">
        <f>Table43[[#This Row],[Column1]]/Table43[[#This Row],[Harga Jual Pcs MT
(-PPN)]]</f>
        <v>#DIV/0!</v>
      </c>
      <c r="BD572" s="86"/>
      <c r="BE572" s="72"/>
      <c r="BF572" s="72" t="str">
        <f ca="1">IF(TODAY()-Table43[[#This Row],[Efektif
Pembuatan]]&gt;60,"Lama","Baru")</f>
        <v>Lama</v>
      </c>
      <c r="BG572" s="72" t="str">
        <f ca="1">IF(TODAY()-Table43[[#This Row],[Efektif Naik Harga]]&lt;30,"Naik","Sama")</f>
        <v>Sama</v>
      </c>
      <c r="BH572" s="72"/>
      <c r="BI572" s="72" t="str">
        <f>IF(Table43[[#This Row],[Kode BARANG Win2]]&lt;&gt;"","IDR","")</f>
        <v>IDR</v>
      </c>
      <c r="BJ572" s="72" t="str">
        <f>CONCATENATE(Table43[[#This Row],[kode  1 Digit
(Nomor)]],Table43[[#This Row],[kode  4 Digit                (Nomor)]])</f>
        <v>0000</v>
      </c>
      <c r="BK572" s="72" t="str">
        <f>Table43[[#This Row],[Nama            Gramasi atau Jumlah Pack per CTN]]</f>
        <v>9+3ML</v>
      </c>
      <c r="BL572" s="72"/>
      <c r="BM572" s="72"/>
      <c r="BN572" s="71" t="str">
        <f>IF(Table43[[#This Row],[SATUAN Fix Win]]&lt;&gt;"","KRT")</f>
        <v>KRT</v>
      </c>
      <c r="BO572" s="71" t="str">
        <f>IF(Table43[[#This Row],[SATUAN Fix Win]]&lt;&gt;"","GD01")</f>
        <v>GD01</v>
      </c>
      <c r="BP572" s="71">
        <f>IF(Table43[[#This Row],[SATUAN Fix Win]]&lt;&gt;"",11611)</f>
        <v>11611</v>
      </c>
      <c r="BQ572" s="71">
        <f>IF(Table43[[#This Row],[SATUAN Fix Win]]&lt;&gt;"",11612)</f>
        <v>11612</v>
      </c>
      <c r="BR572" s="71"/>
      <c r="BS572" s="71">
        <f>IF(Table43[[#This Row],[SATUAN Fix Win]]&lt;&gt;"",1)</f>
        <v>1</v>
      </c>
      <c r="BT572" s="71"/>
      <c r="BU572" s="71">
        <f>Table43[[#This Row],[ISI/CTN]]</f>
        <v>24</v>
      </c>
      <c r="BV572" s="71"/>
      <c r="BW572" s="71"/>
    </row>
    <row r="573" spans="1:75">
      <c r="A573" s="4" t="str">
        <f>CONCATENATE(Table43[[#This Row],[Kode BARANG Win2]],Table43[[#This Row],[No. Urut
Item Sama]])</f>
        <v>G1269001007010</v>
      </c>
      <c r="B573" s="7"/>
      <c r="C573" s="31">
        <v>30640030070000</v>
      </c>
      <c r="D573" s="51">
        <v>40007610</v>
      </c>
      <c r="E573" s="66" t="s">
        <v>2508</v>
      </c>
      <c r="F573" s="68">
        <v>30640030070000</v>
      </c>
      <c r="G573" s="68">
        <v>0</v>
      </c>
      <c r="H573" s="27">
        <v>0</v>
      </c>
      <c r="I573" s="27">
        <v>24</v>
      </c>
      <c r="J573" s="51">
        <v>0</v>
      </c>
      <c r="K573" s="27" t="str">
        <f>Table43[[#This Row],[NamaJenisKemasan]]</f>
        <v>PCS</v>
      </c>
      <c r="L573" s="4" t="str">
        <f>TRIM(CONCATENATE(Table43[[#This Row],[Nama            KLP]]," ",Table43[[#This Row],[Nama            Sub KLP]]))</f>
        <v>STELLA SKYLINE</v>
      </c>
      <c r="M573" s="4" t="str">
        <f>CONCATENATE(Table43[[#This Row],[kode  2 Digit                (hrf+No)]],Table43[[#This Row],[kode  2 Digit                (Nomor)]],Table43[[#This Row],[kode  1 Digit                (Nomor)]])</f>
        <v>G1269</v>
      </c>
      <c r="N573" s="4" t="str">
        <f>IF(AI573="",CONCATENATE(S573,U573,W573,Y573,AA573,AC573,AE573,AG573,Table43[[#This Row],[Tanda Kode Revisi]]),CONCATENATE(S573,U573,W573,Y573,AA573,AC573,AE573,AI573))</f>
        <v>G1269001007010</v>
      </c>
      <c r="O573" s="11">
        <f t="shared" si="14"/>
        <v>14</v>
      </c>
      <c r="P573" s="14" t="str">
        <f>IF(AH573&lt;&gt;"",TRIM(UPPER(CONCATENATE(R573," ",T573," ",V573," ",X573," ",Z573," ",AB573," ","X"," ",Table43[[#This Row],[ISI/CTN]]," ",AH573," ",AD573," ",AF573," ",AJ573))),TRIM(UPPER(CONCATENATE(R573," ",T573," ",V573," ",X573," ",Z573," ",AB573," ","X"," ",Table43[[#This Row],[ISI/CTN]]," ",AD573," ",AF573," ",AJ573))))</f>
        <v>STELLA SKYLINE DRAGON 70ML X 24 PCS</v>
      </c>
      <c r="Q573" s="11">
        <f t="shared" si="15"/>
        <v>35</v>
      </c>
      <c r="S573" s="7" t="s">
        <v>34</v>
      </c>
      <c r="T573" s="4" t="s">
        <v>2421</v>
      </c>
      <c r="U573" s="47" t="s">
        <v>2584</v>
      </c>
      <c r="V573" s="48" t="s">
        <v>2536</v>
      </c>
      <c r="W573" s="7">
        <v>9</v>
      </c>
      <c r="X573" s="48"/>
      <c r="Y573" s="47" t="s">
        <v>1116</v>
      </c>
      <c r="Z573" s="4" t="s">
        <v>2537</v>
      </c>
      <c r="AA573" s="49" t="s">
        <v>1115</v>
      </c>
      <c r="AB573" s="4" t="s">
        <v>642</v>
      </c>
      <c r="AC573" s="49" t="s">
        <v>2636</v>
      </c>
      <c r="AD573" s="4" t="s">
        <v>185</v>
      </c>
      <c r="AE573" s="7">
        <v>1</v>
      </c>
      <c r="AG573" s="7">
        <v>0</v>
      </c>
      <c r="AK573" s="70">
        <f>Table43[[#This Row],[Column4]]</f>
        <v>30640030070000</v>
      </c>
      <c r="AN573" s="7">
        <f>Table43[[#This Row],[ISI/CTN]]</f>
        <v>24</v>
      </c>
      <c r="AO573" s="61">
        <f>Table43[[#This Row],[Harga Jual Pcs GT
(-PPN)]]-(Table43[[#This Row],[Harga Jual Pcs GT
(-PPN)]]*6.5%)</f>
        <v>17325.55</v>
      </c>
      <c r="AP573" s="61">
        <f>Table43[[#This Row],[Harga Beli Pcs
(-PPN)]]*Table43[[#This Row],[ISI/CTN]]</f>
        <v>415813.19999999995</v>
      </c>
      <c r="AQ573" s="61">
        <f>Table43[[#This Row],[Harga Beli Pcs
(-PPN)]]*1.11</f>
        <v>19231.360500000003</v>
      </c>
      <c r="AR573" s="61">
        <f>Table43[[#This Row],[Harga Beli Krt
(- PPN)]]*1.11</f>
        <v>461552.652</v>
      </c>
      <c r="AS573" s="61">
        <v>18530</v>
      </c>
      <c r="AT573" s="61">
        <f>Table43[[#This Row],[Harga Jual Pcs GT
(-PPN)]]*Table43[[#This Row],[ISI/CTN]]</f>
        <v>444720</v>
      </c>
      <c r="AU573" s="61">
        <f>Table43[[#This Row],[Harga Jual Pcs GT
(-PPN)]]*1.11</f>
        <v>20568.300000000003</v>
      </c>
      <c r="AV573" s="61">
        <f>Table43[[#This Row],[Harga Jual Krt GT
(- PPN)]]*1.11</f>
        <v>493639.20000000007</v>
      </c>
      <c r="AW573" s="61">
        <f>IFERROR(VLOOKUP(Table43[[#This Row],[Kode Pcpl]],'[1]FEB 2026'!$A$3:$X$312,24,0),0)</f>
        <v>0</v>
      </c>
      <c r="AX573" s="61">
        <f>Table43[[#This Row],[Harga Jual Pcs MT
(-PPN)]]*Table43[[#This Row],[ISI/CTN]]</f>
        <v>0</v>
      </c>
      <c r="AY573" s="61">
        <f>Table43[[#This Row],[Harga Jual Pcs MT
(-PPN)]]*1.11</f>
        <v>0</v>
      </c>
      <c r="AZ573" s="61">
        <f>Table43[[#This Row],[Harga Jual Pcs MT
(+PPN)]]*Table43[[#This Row],[ISI/CTN]]</f>
        <v>0</v>
      </c>
      <c r="BA573" s="62">
        <f>(Table43[[#This Row],[Harga Jual Pcs GT
(-PPN)]]-Table43[[#This Row],[Harga Beli Pcs
(-PPN)]])/Table43[[#This Row],[Harga Jual Pcs GT
(-PPN)]]</f>
        <v>6.5000000000000044E-2</v>
      </c>
      <c r="BB573" s="63">
        <f>Table43[[#This Row],[Harga Jual Pcs MT
(-PPN)]]-Table43[[#This Row],[Harga Beli Pcs
(-PPN)]]</f>
        <v>-17325.55</v>
      </c>
      <c r="BC573" s="64" t="e">
        <f>Table43[[#This Row],[Column1]]/Table43[[#This Row],[Harga Jual Pcs MT
(-PPN)]]</f>
        <v>#DIV/0!</v>
      </c>
      <c r="BD573" s="52"/>
      <c r="BE573" s="7"/>
      <c r="BF573" s="7" t="str">
        <f ca="1">IF(TODAY()-Table43[[#This Row],[Efektif
Pembuatan]]&gt;60,"Lama","Baru")</f>
        <v>Lama</v>
      </c>
      <c r="BG573" s="7" t="str">
        <f ca="1">IF(TODAY()-Table43[[#This Row],[Efektif Naik Harga]]&lt;30,"Naik","Sama")</f>
        <v>Sama</v>
      </c>
      <c r="BH573" s="7"/>
      <c r="BI573" s="7" t="str">
        <f>IF(Table43[[#This Row],[Kode BARANG Win2]]&lt;&gt;"","IDR","")</f>
        <v>IDR</v>
      </c>
      <c r="BJ573" s="7" t="str">
        <f>CONCATENATE(Table43[[#This Row],[kode  1 Digit
(Nomor)]],Table43[[#This Row],[kode  4 Digit                (Nomor)]])</f>
        <v>0070</v>
      </c>
      <c r="BK573" s="7" t="str">
        <f>Table43[[#This Row],[Nama            Gramasi atau Jumlah Pack per CTN]]</f>
        <v>70ML</v>
      </c>
      <c r="BL573" s="7"/>
      <c r="BM573" s="7"/>
      <c r="BN573" s="4" t="str">
        <f>IF(Table43[[#This Row],[SATUAN Fix Win]]&lt;&gt;"","KRT")</f>
        <v>KRT</v>
      </c>
      <c r="BO573" s="4" t="str">
        <f>IF(Table43[[#This Row],[SATUAN Fix Win]]&lt;&gt;"","GD01")</f>
        <v>GD01</v>
      </c>
      <c r="BP573" s="4">
        <f>IF(Table43[[#This Row],[SATUAN Fix Win]]&lt;&gt;"",11611)</f>
        <v>11611</v>
      </c>
      <c r="BQ573" s="4">
        <f>IF(Table43[[#This Row],[SATUAN Fix Win]]&lt;&gt;"",11612)</f>
        <v>11612</v>
      </c>
      <c r="BS573" s="4">
        <f>IF(Table43[[#This Row],[SATUAN Fix Win]]&lt;&gt;"",1)</f>
        <v>1</v>
      </c>
      <c r="BU573" s="4">
        <f>Table43[[#This Row],[ISI/CTN]]</f>
        <v>24</v>
      </c>
    </row>
    <row r="574" spans="1:75">
      <c r="A574" s="4" t="str">
        <f>CONCATENATE(Table43[[#This Row],[Kode BARANG Win2]],Table43[[#This Row],[No. Urut
Item Sama]])</f>
        <v>G1270101016010</v>
      </c>
      <c r="B574" s="7"/>
      <c r="C574" s="31">
        <v>30611010225010</v>
      </c>
      <c r="D574" s="51">
        <v>40059953</v>
      </c>
      <c r="E574" s="27" t="s">
        <v>2160</v>
      </c>
      <c r="F574" s="51">
        <v>30603070225010</v>
      </c>
      <c r="G574" s="51">
        <v>0</v>
      </c>
      <c r="H574" s="27" t="s">
        <v>1503</v>
      </c>
      <c r="I574" s="27">
        <v>12</v>
      </c>
      <c r="J574" s="51" t="s">
        <v>1827</v>
      </c>
      <c r="K574" s="27" t="str">
        <f>Table43[[#This Row],[NamaJenisKemasan]]</f>
        <v>KLG</v>
      </c>
      <c r="L574" s="4" t="str">
        <f>TRIM(CONCATENATE(Table43[[#This Row],[Nama            KLP]]," ",Table43[[#This Row],[Nama            Sub KLP]]))</f>
        <v>STELLA MATIC</v>
      </c>
      <c r="M574" s="4" t="str">
        <f>CONCATENATE(Table43[[#This Row],[kode  2 Digit                (hrf+No)]],Table43[[#This Row],[kode  2 Digit                (Nomor)]],Table43[[#This Row],[kode  1 Digit                (Nomor)]])</f>
        <v>G1270</v>
      </c>
      <c r="N574" s="4" t="str">
        <f>IF(AI574="",CONCATENATE(S574,U574,W574,Y574,AA574,AC574,AE574,AG574,Table43[[#This Row],[Tanda Kode Revisi]]),CONCATENATE(S574,U574,W574,Y574,AA574,AC574,AE574,AI574))</f>
        <v>G1270101016010</v>
      </c>
      <c r="O574" s="11">
        <f t="shared" si="14"/>
        <v>14</v>
      </c>
      <c r="P574" s="14" t="str">
        <f>IF(AH574&lt;&gt;"",TRIM(UPPER(CONCATENATE(R574," ",T574," ",V574," ",X574," ",Z574," ",AB574," ","X"," ",Table43[[#This Row],[ISI/CTN]]," ",AH574," ",AD574," ",AF574," ",AJ574))),TRIM(UPPER(CONCATENATE(R574," ",T574," ",V574," ",X574," ",Z574," ",AB574," ","X"," ",Table43[[#This Row],[ISI/CTN]]," ",AD574," ",AF574," ",AJ574))))</f>
        <v>STELLA MATIC REFILL APPLE 160ML X 12 KLG</v>
      </c>
      <c r="Q574" s="11">
        <f t="shared" si="15"/>
        <v>40</v>
      </c>
      <c r="S574" s="7" t="s">
        <v>34</v>
      </c>
      <c r="T574" s="4" t="s">
        <v>2359</v>
      </c>
      <c r="U574" s="47" t="s">
        <v>2586</v>
      </c>
      <c r="V574" s="48"/>
      <c r="W574" s="7">
        <v>0</v>
      </c>
      <c r="X574" s="48" t="s">
        <v>2231</v>
      </c>
      <c r="Y574" s="47" t="s">
        <v>2539</v>
      </c>
      <c r="Z574" s="4" t="s">
        <v>2264</v>
      </c>
      <c r="AA574" s="49" t="s">
        <v>1115</v>
      </c>
      <c r="AB574" s="4" t="s">
        <v>2377</v>
      </c>
      <c r="AC574" s="49" t="s">
        <v>2601</v>
      </c>
      <c r="AD574" s="4" t="s">
        <v>2221</v>
      </c>
      <c r="AE574" s="7">
        <v>1</v>
      </c>
      <c r="AG574" s="7">
        <v>0</v>
      </c>
      <c r="AK574" s="70">
        <f>Table43[[#This Row],[Column4]]</f>
        <v>30603070225010</v>
      </c>
      <c r="AN574" s="7">
        <f>Table43[[#This Row],[ISI/CTN]]</f>
        <v>12</v>
      </c>
      <c r="AO574" s="61">
        <f>Table43[[#This Row],[Harga Jual Pcs GT
(-PPN)]]-(Table43[[#This Row],[Harga Jual Pcs GT
(-PPN)]]*6.5%)</f>
        <v>26460.5</v>
      </c>
      <c r="AP574" s="61">
        <f>Table43[[#This Row],[Harga Beli Pcs
(-PPN)]]*Table43[[#This Row],[ISI/CTN]]</f>
        <v>317526</v>
      </c>
      <c r="AQ574" s="61">
        <f>Table43[[#This Row],[Harga Beli Pcs
(-PPN)]]*1.11</f>
        <v>29371.155000000002</v>
      </c>
      <c r="AR574" s="61">
        <f>Table43[[#This Row],[Harga Beli Krt
(- PPN)]]*1.11</f>
        <v>352453.86000000004</v>
      </c>
      <c r="AS574" s="61">
        <v>28300</v>
      </c>
      <c r="AT574" s="61">
        <f>Table43[[#This Row],[Harga Jual Pcs GT
(-PPN)]]*Table43[[#This Row],[ISI/CTN]]</f>
        <v>339600</v>
      </c>
      <c r="AU574" s="61">
        <f>Table43[[#This Row],[Harga Jual Pcs GT
(-PPN)]]*1.11</f>
        <v>31413.000000000004</v>
      </c>
      <c r="AV574" s="61">
        <f>Table43[[#This Row],[Harga Jual Krt GT
(- PPN)]]*1.11</f>
        <v>376956.00000000006</v>
      </c>
      <c r="AW574" s="61">
        <f>IFERROR(VLOOKUP(Table43[[#This Row],[Kode Pcpl]],'[1]FEB 2026'!$A$3:$X$312,24,0),0)</f>
        <v>0</v>
      </c>
      <c r="AX574" s="61">
        <f>Table43[[#This Row],[Harga Jual Pcs MT
(-PPN)]]*Table43[[#This Row],[ISI/CTN]]</f>
        <v>0</v>
      </c>
      <c r="AY574" s="61">
        <f>Table43[[#This Row],[Harga Jual Pcs MT
(-PPN)]]*1.11</f>
        <v>0</v>
      </c>
      <c r="AZ574" s="61">
        <f>Table43[[#This Row],[Harga Jual Pcs MT
(+PPN)]]*Table43[[#This Row],[ISI/CTN]]</f>
        <v>0</v>
      </c>
      <c r="BA574" s="62">
        <f>(Table43[[#This Row],[Harga Jual Pcs GT
(-PPN)]]-Table43[[#This Row],[Harga Beli Pcs
(-PPN)]])/Table43[[#This Row],[Harga Jual Pcs GT
(-PPN)]]</f>
        <v>6.5000000000000002E-2</v>
      </c>
      <c r="BB574" s="63">
        <f>Table43[[#This Row],[Harga Jual Pcs MT
(-PPN)]]-Table43[[#This Row],[Harga Beli Pcs
(-PPN)]]</f>
        <v>-26460.5</v>
      </c>
      <c r="BC574" s="64" t="e">
        <f>Table43[[#This Row],[Column1]]/Table43[[#This Row],[Harga Jual Pcs MT
(-PPN)]]</f>
        <v>#DIV/0!</v>
      </c>
      <c r="BD574" s="52"/>
      <c r="BE574" s="7"/>
      <c r="BF574" s="7" t="str">
        <f ca="1">IF(TODAY()-Table43[[#This Row],[Efektif
Pembuatan]]&gt;60,"Lama","Baru")</f>
        <v>Lama</v>
      </c>
      <c r="BG574" s="7" t="str">
        <f ca="1">IF(TODAY()-Table43[[#This Row],[Efektif Naik Harga]]&lt;30,"Naik","Sama")</f>
        <v>Sama</v>
      </c>
      <c r="BH574" s="7"/>
      <c r="BI574" s="7" t="str">
        <f>IF(Table43[[#This Row],[Kode BARANG Win2]]&lt;&gt;"","IDR","")</f>
        <v>IDR</v>
      </c>
      <c r="BJ574" s="7" t="str">
        <f>CONCATENATE(Table43[[#This Row],[kode  1 Digit
(Nomor)]],Table43[[#This Row],[kode  4 Digit                (Nomor)]])</f>
        <v>0160</v>
      </c>
      <c r="BK574" s="7" t="str">
        <f>Table43[[#This Row],[Nama            Gramasi atau Jumlah Pack per CTN]]</f>
        <v>160ML</v>
      </c>
      <c r="BL574" s="7"/>
      <c r="BM574" s="7"/>
      <c r="BN574" s="4" t="str">
        <f>IF(Table43[[#This Row],[SATUAN Fix Win]]&lt;&gt;"","KRT")</f>
        <v>KRT</v>
      </c>
      <c r="BO574" s="4" t="str">
        <f>IF(Table43[[#This Row],[SATUAN Fix Win]]&lt;&gt;"","GD01")</f>
        <v>GD01</v>
      </c>
      <c r="BP574" s="4">
        <f>IF(Table43[[#This Row],[SATUAN Fix Win]]&lt;&gt;"",11611)</f>
        <v>11611</v>
      </c>
      <c r="BQ574" s="4">
        <f>IF(Table43[[#This Row],[SATUAN Fix Win]]&lt;&gt;"",11612)</f>
        <v>11612</v>
      </c>
      <c r="BS574" s="4">
        <f>IF(Table43[[#This Row],[SATUAN Fix Win]]&lt;&gt;"",1)</f>
        <v>1</v>
      </c>
      <c r="BU574" s="4">
        <f>Table43[[#This Row],[ISI/CTN]]</f>
        <v>12</v>
      </c>
    </row>
    <row r="575" spans="1:75">
      <c r="A575" s="4" t="str">
        <f>CONCATENATE(Table43[[#This Row],[Kode BARANG Win2]],Table43[[#This Row],[No. Urut
Item Sama]])</f>
        <v>G1270101016010</v>
      </c>
      <c r="B575" s="7"/>
      <c r="C575" s="31"/>
      <c r="D575" s="51">
        <v>40043494</v>
      </c>
      <c r="E575" s="27"/>
      <c r="F575" s="51"/>
      <c r="G575" s="51"/>
      <c r="H575" s="27"/>
      <c r="I575" s="27">
        <v>12</v>
      </c>
      <c r="J575" s="51" t="s">
        <v>1827</v>
      </c>
      <c r="K575" s="27" t="str">
        <f>Table43[[#This Row],[NamaJenisKemasan]]</f>
        <v>KLG</v>
      </c>
      <c r="L575" s="4" t="str">
        <f>TRIM(CONCATENATE(Table43[[#This Row],[Nama            KLP]]," ",Table43[[#This Row],[Nama            Sub KLP]]))</f>
        <v>STELLA MATIC</v>
      </c>
      <c r="M575" s="4" t="str">
        <f>CONCATENATE(Table43[[#This Row],[kode  2 Digit                (hrf+No)]],Table43[[#This Row],[kode  2 Digit                (Nomor)]],Table43[[#This Row],[kode  1 Digit                (Nomor)]])</f>
        <v>G1270</v>
      </c>
      <c r="N575" s="4" t="str">
        <f>IF(AI575="",CONCATENATE(S575,U575,W575,Y575,AA575,AC575,AE575,AG575,Table43[[#This Row],[Tanda Kode Revisi]]),CONCATENATE(S575,U575,W575,Y575,AA575,AC575,AE575,AI575))</f>
        <v>G1270101016010</v>
      </c>
      <c r="O575" s="11">
        <f>LEN(N575)</f>
        <v>14</v>
      </c>
      <c r="P575" s="14" t="str">
        <f>IF(AH575&lt;&gt;"",TRIM(UPPER(CONCATENATE(R575," ",T575," ",V575," ",X575," ",Z575," ",AB575," ","X"," ",Table43[[#This Row],[ISI/CTN]]," ",AH575," ",AD575," ",AF575," ",AJ575))),TRIM(UPPER(CONCATENATE(R575," ",T575," ",V575," ",X575," ",Z575," ",AB575," ","X"," ",Table43[[#This Row],[ISI/CTN]]," ",AD575," ",AF575," ",AJ575))))</f>
        <v>STELLA MATIC REFILL APPLE 160ML X 12 KLG</v>
      </c>
      <c r="Q575" s="11">
        <f>LEN(P575)</f>
        <v>40</v>
      </c>
      <c r="S575" s="7" t="s">
        <v>34</v>
      </c>
      <c r="T575" s="4" t="s">
        <v>2359</v>
      </c>
      <c r="U575" s="47" t="s">
        <v>2586</v>
      </c>
      <c r="V575" s="48"/>
      <c r="W575" s="7">
        <v>0</v>
      </c>
      <c r="X575" s="48" t="s">
        <v>2231</v>
      </c>
      <c r="Y575" s="47" t="s">
        <v>2539</v>
      </c>
      <c r="Z575" s="4" t="s">
        <v>2264</v>
      </c>
      <c r="AA575" s="49" t="s">
        <v>1115</v>
      </c>
      <c r="AB575" s="4" t="s">
        <v>2377</v>
      </c>
      <c r="AC575" s="49" t="s">
        <v>2601</v>
      </c>
      <c r="AD575" s="4" t="s">
        <v>2221</v>
      </c>
      <c r="AE575" s="7">
        <v>1</v>
      </c>
      <c r="AG575" s="7">
        <v>0</v>
      </c>
      <c r="AK575" s="70">
        <f>Table43[[#This Row],[Column4]]</f>
        <v>0</v>
      </c>
      <c r="AN575" s="7">
        <f>Table43[[#This Row],[ISI/CTN]]</f>
        <v>12</v>
      </c>
      <c r="AO575" s="61">
        <f>Table43[[#This Row],[Harga Jual Pcs GT
(-PPN)]]-(Table43[[#This Row],[Harga Jual Pcs GT
(-PPN)]]*6.5%)</f>
        <v>0</v>
      </c>
      <c r="AP575" s="61">
        <f>Table43[[#This Row],[Harga Beli Pcs
(-PPN)]]*Table43[[#This Row],[ISI/CTN]]</f>
        <v>0</v>
      </c>
      <c r="AQ575" s="61">
        <f>Table43[[#This Row],[Harga Beli Pcs
(-PPN)]]*1.11</f>
        <v>0</v>
      </c>
      <c r="AR575" s="61">
        <f>Table43[[#This Row],[Harga Beli Krt
(- PPN)]]*1.11</f>
        <v>0</v>
      </c>
      <c r="AS575" s="61"/>
      <c r="AT575" s="61">
        <f>Table43[[#This Row],[Harga Jual Pcs GT
(-PPN)]]*Table43[[#This Row],[ISI/CTN]]</f>
        <v>0</v>
      </c>
      <c r="AU575" s="61">
        <f>Table43[[#This Row],[Harga Jual Pcs GT
(-PPN)]]*1.11</f>
        <v>0</v>
      </c>
      <c r="AV575" s="61">
        <f>Table43[[#This Row],[Harga Jual Krt GT
(- PPN)]]*1.11</f>
        <v>0</v>
      </c>
      <c r="AW575" s="61">
        <f>IFERROR(VLOOKUP(Table43[[#This Row],[Kode Pcpl]],'[1]FEB 2026'!$A$3:$X$312,24,0),0)</f>
        <v>0</v>
      </c>
      <c r="AX575" s="61">
        <f>Table43[[#This Row],[Harga Jual Pcs MT
(-PPN)]]*Table43[[#This Row],[ISI/CTN]]</f>
        <v>0</v>
      </c>
      <c r="AY575" s="61">
        <f>Table43[[#This Row],[Harga Jual Pcs MT
(-PPN)]]*1.11</f>
        <v>0</v>
      </c>
      <c r="AZ575" s="61">
        <f>Table43[[#This Row],[Harga Jual Pcs MT
(+PPN)]]*Table43[[#This Row],[ISI/CTN]]</f>
        <v>0</v>
      </c>
      <c r="BA575" s="62" t="e">
        <f>(Table43[[#This Row],[Harga Jual Pcs GT
(-PPN)]]-Table43[[#This Row],[Harga Beli Pcs
(-PPN)]])/Table43[[#This Row],[Harga Jual Pcs GT
(-PPN)]]</f>
        <v>#DIV/0!</v>
      </c>
      <c r="BB575" s="63">
        <f>Table43[[#This Row],[Harga Jual Pcs MT
(-PPN)]]-Table43[[#This Row],[Harga Beli Pcs
(-PPN)]]</f>
        <v>0</v>
      </c>
      <c r="BC575" s="64" t="e">
        <f>Table43[[#This Row],[Column1]]/Table43[[#This Row],[Harga Jual Pcs MT
(-PPN)]]</f>
        <v>#DIV/0!</v>
      </c>
      <c r="BD575" s="52"/>
      <c r="BE575" s="7"/>
      <c r="BF575" s="7" t="str">
        <f ca="1">IF(TODAY()-Table43[[#This Row],[Efektif
Pembuatan]]&gt;60,"Lama","Baru")</f>
        <v>Lama</v>
      </c>
      <c r="BG575" s="7" t="str">
        <f ca="1">IF(TODAY()-Table43[[#This Row],[Efektif Naik Harga]]&lt;30,"Naik","Sama")</f>
        <v>Sama</v>
      </c>
      <c r="BH575" s="7"/>
      <c r="BI575" s="7" t="str">
        <f>IF(Table43[[#This Row],[Kode BARANG Win2]]&lt;&gt;"","IDR","")</f>
        <v>IDR</v>
      </c>
      <c r="BJ575" s="7" t="str">
        <f>CONCATENATE(Table43[[#This Row],[kode  1 Digit
(Nomor)]],Table43[[#This Row],[kode  4 Digit                (Nomor)]])</f>
        <v>0160</v>
      </c>
      <c r="BK575" s="7" t="str">
        <f>Table43[[#This Row],[Nama            Gramasi atau Jumlah Pack per CTN]]</f>
        <v>160ML</v>
      </c>
      <c r="BL575" s="7"/>
      <c r="BM575" s="7"/>
      <c r="BN575" s="4" t="str">
        <f>IF(Table43[[#This Row],[SATUAN Fix Win]]&lt;&gt;"","KRT")</f>
        <v>KRT</v>
      </c>
      <c r="BO575" s="4" t="str">
        <f>IF(Table43[[#This Row],[SATUAN Fix Win]]&lt;&gt;"","GD01")</f>
        <v>GD01</v>
      </c>
      <c r="BP575" s="4">
        <f>IF(Table43[[#This Row],[SATUAN Fix Win]]&lt;&gt;"",11611)</f>
        <v>11611</v>
      </c>
      <c r="BQ575" s="4">
        <f>IF(Table43[[#This Row],[SATUAN Fix Win]]&lt;&gt;"",11612)</f>
        <v>11612</v>
      </c>
      <c r="BS575" s="4">
        <f>IF(Table43[[#This Row],[SATUAN Fix Win]]&lt;&gt;"",1)</f>
        <v>1</v>
      </c>
      <c r="BU575" s="4">
        <f>Table43[[#This Row],[ISI/CTN]]</f>
        <v>12</v>
      </c>
    </row>
    <row r="576" spans="1:75">
      <c r="A576" s="4" t="str">
        <f>CONCATENATE(Table43[[#This Row],[Kode BARANG Win2]],Table43[[#This Row],[No. Urut
Item Sama]])</f>
        <v>G1270101016010</v>
      </c>
      <c r="B576" s="7"/>
      <c r="C576" s="31">
        <v>30611010225011</v>
      </c>
      <c r="D576" s="51">
        <v>40050031</v>
      </c>
      <c r="E576" s="27" t="s">
        <v>2160</v>
      </c>
      <c r="F576" s="51">
        <v>30603070225010</v>
      </c>
      <c r="G576" s="51">
        <v>0</v>
      </c>
      <c r="H576" s="27" t="s">
        <v>1502</v>
      </c>
      <c r="I576" s="27">
        <v>12</v>
      </c>
      <c r="J576" s="51" t="s">
        <v>1827</v>
      </c>
      <c r="K576" s="27" t="str">
        <f>Table43[[#This Row],[NamaJenisKemasan]]</f>
        <v>KLG</v>
      </c>
      <c r="L576" s="4" t="str">
        <f>TRIM(CONCATENATE(Table43[[#This Row],[Nama            KLP]]," ",Table43[[#This Row],[Nama            Sub KLP]]))</f>
        <v>STELLA MATIC</v>
      </c>
      <c r="M576" s="4" t="str">
        <f>CONCATENATE(Table43[[#This Row],[kode  2 Digit                (hrf+No)]],Table43[[#This Row],[kode  2 Digit                (Nomor)]],Table43[[#This Row],[kode  1 Digit                (Nomor)]])</f>
        <v>G1270</v>
      </c>
      <c r="N576" s="4" t="str">
        <f>IF(AI576="",CONCATENATE(S576,U576,W576,Y576,AA576,AC576,AE576,AG576,Table43[[#This Row],[Tanda Kode Revisi]]),CONCATENATE(S576,U576,W576,Y576,AA576,AC576,AE576,AI576))</f>
        <v>G1270101016010</v>
      </c>
      <c r="O576" s="11">
        <f t="shared" si="14"/>
        <v>14</v>
      </c>
      <c r="P576" s="14" t="str">
        <f>IF(AH576&lt;&gt;"",TRIM(UPPER(CONCATENATE(R576," ",T576," ",V576," ",X576," ",Z576," ",AB576," ","X"," ",Table43[[#This Row],[ISI/CTN]]," ",AH576," ",AD576," ",AF576," ",AJ576))),TRIM(UPPER(CONCATENATE(R576," ",T576," ",V576," ",X576," ",Z576," ",AB576," ","X"," ",Table43[[#This Row],[ISI/CTN]]," ",AD576," ",AF576," ",AJ576))))</f>
        <v>STELLA MATIC REFILL APPLE 160ML X 12 KLG</v>
      </c>
      <c r="Q576" s="11">
        <f t="shared" si="15"/>
        <v>40</v>
      </c>
      <c r="S576" s="7" t="s">
        <v>34</v>
      </c>
      <c r="T576" s="4" t="s">
        <v>2359</v>
      </c>
      <c r="U576" s="47" t="s">
        <v>2586</v>
      </c>
      <c r="V576" s="48"/>
      <c r="W576" s="7">
        <v>0</v>
      </c>
      <c r="X576" s="48" t="s">
        <v>2231</v>
      </c>
      <c r="Y576" s="47" t="s">
        <v>2539</v>
      </c>
      <c r="Z576" s="4" t="s">
        <v>2264</v>
      </c>
      <c r="AA576" s="49" t="s">
        <v>1115</v>
      </c>
      <c r="AB576" s="4" t="s">
        <v>2377</v>
      </c>
      <c r="AC576" s="49" t="s">
        <v>2601</v>
      </c>
      <c r="AD576" s="4" t="s">
        <v>2221</v>
      </c>
      <c r="AE576" s="7">
        <v>1</v>
      </c>
      <c r="AG576" s="7">
        <v>0</v>
      </c>
      <c r="AK576" s="70">
        <f>Table43[[#This Row],[Column4]]</f>
        <v>30603070225010</v>
      </c>
      <c r="AN576" s="7">
        <f>Table43[[#This Row],[ISI/CTN]]</f>
        <v>12</v>
      </c>
      <c r="AO576" s="38">
        <f>Table43[[#This Row],[Harga Jual Pcs GT
(-PPN)]]-(Table43[[#This Row],[Harga Jual Pcs GT
(-PPN)]]*6.5%)</f>
        <v>26460.5</v>
      </c>
      <c r="AP576" s="38">
        <f>Table43[[#This Row],[Harga Beli Pcs
(-PPN)]]*Table43[[#This Row],[ISI/CTN]]</f>
        <v>317526</v>
      </c>
      <c r="AQ576" s="38">
        <f>Table43[[#This Row],[Harga Beli Pcs
(-PPN)]]*1.11</f>
        <v>29371.155000000002</v>
      </c>
      <c r="AR576" s="38">
        <f>Table43[[#This Row],[Harga Beli Krt
(- PPN)]]*1.11</f>
        <v>352453.86000000004</v>
      </c>
      <c r="AS576" s="38">
        <v>28300</v>
      </c>
      <c r="AT576" s="38">
        <f>Table43[[#This Row],[Harga Jual Pcs GT
(-PPN)]]*Table43[[#This Row],[ISI/CTN]]</f>
        <v>339600</v>
      </c>
      <c r="AU576" s="38">
        <f>Table43[[#This Row],[Harga Jual Pcs GT
(-PPN)]]*1.11</f>
        <v>31413.000000000004</v>
      </c>
      <c r="AV576" s="38">
        <f>Table43[[#This Row],[Harga Jual Krt GT
(- PPN)]]*1.11</f>
        <v>376956.00000000006</v>
      </c>
      <c r="AW576" s="38">
        <f>IFERROR(VLOOKUP(Table43[[#This Row],[Kode Pcpl]],'[1]FEB 2026'!$A$3:$X$312,24,0),0)</f>
        <v>0</v>
      </c>
      <c r="AX576" s="38">
        <f>Table43[[#This Row],[Harga Jual Pcs MT
(-PPN)]]*Table43[[#This Row],[ISI/CTN]]</f>
        <v>0</v>
      </c>
      <c r="AY576" s="38">
        <f>Table43[[#This Row],[Harga Jual Pcs MT
(-PPN)]]*1.11</f>
        <v>0</v>
      </c>
      <c r="AZ576" s="38">
        <f>Table43[[#This Row],[Harga Jual Pcs MT
(+PPN)]]*Table43[[#This Row],[ISI/CTN]]</f>
        <v>0</v>
      </c>
      <c r="BA576" s="46">
        <f>(Table43[[#This Row],[Harga Jual Pcs GT
(-PPN)]]-Table43[[#This Row],[Harga Beli Pcs
(-PPN)]])/Table43[[#This Row],[Harga Jual Pcs GT
(-PPN)]]</f>
        <v>6.5000000000000002E-2</v>
      </c>
      <c r="BB576" s="53">
        <f>Table43[[#This Row],[Harga Jual Pcs MT
(-PPN)]]-Table43[[#This Row],[Harga Beli Pcs
(-PPN)]]</f>
        <v>-26460.5</v>
      </c>
      <c r="BC576" s="54" t="e">
        <f>Table43[[#This Row],[Column1]]/Table43[[#This Row],[Harga Jual Pcs MT
(-PPN)]]</f>
        <v>#DIV/0!</v>
      </c>
      <c r="BD576" s="52"/>
      <c r="BE576" s="7"/>
      <c r="BF576" s="7" t="str">
        <f ca="1">IF(TODAY()-Table43[[#This Row],[Efektif
Pembuatan]]&gt;60,"Lama","Baru")</f>
        <v>Lama</v>
      </c>
      <c r="BG576" s="7" t="str">
        <f ca="1">IF(TODAY()-Table43[[#This Row],[Efektif Naik Harga]]&lt;30,"Naik","Sama")</f>
        <v>Sama</v>
      </c>
      <c r="BH576" s="7"/>
      <c r="BI576" s="7" t="str">
        <f>IF(Table43[[#This Row],[Kode BARANG Win2]]&lt;&gt;"","IDR","")</f>
        <v>IDR</v>
      </c>
      <c r="BJ576" s="7" t="str">
        <f>CONCATENATE(Table43[[#This Row],[kode  1 Digit
(Nomor)]],Table43[[#This Row],[kode  4 Digit                (Nomor)]])</f>
        <v>0160</v>
      </c>
      <c r="BK576" s="7" t="str">
        <f>Table43[[#This Row],[Nama            Gramasi atau Jumlah Pack per CTN]]</f>
        <v>160ML</v>
      </c>
      <c r="BL576" s="7"/>
      <c r="BM576" s="7"/>
      <c r="BN576" s="4" t="str">
        <f>IF(Table43[[#This Row],[SATUAN Fix Win]]&lt;&gt;"","KRT")</f>
        <v>KRT</v>
      </c>
      <c r="BO576" s="4" t="str">
        <f>IF(Table43[[#This Row],[SATUAN Fix Win]]&lt;&gt;"","GD01")</f>
        <v>GD01</v>
      </c>
      <c r="BP576" s="4">
        <f>IF(Table43[[#This Row],[SATUAN Fix Win]]&lt;&gt;"",11611)</f>
        <v>11611</v>
      </c>
      <c r="BQ576" s="4">
        <f>IF(Table43[[#This Row],[SATUAN Fix Win]]&lt;&gt;"",11612)</f>
        <v>11612</v>
      </c>
      <c r="BS576" s="4">
        <f>IF(Table43[[#This Row],[SATUAN Fix Win]]&lt;&gt;"",1)</f>
        <v>1</v>
      </c>
      <c r="BU576" s="4">
        <f>Table43[[#This Row],[ISI/CTN]]</f>
        <v>12</v>
      </c>
    </row>
    <row r="577" spans="1:73">
      <c r="A577" s="4" t="str">
        <f>CONCATENATE(Table43[[#This Row],[Kode BARANG Win2]],Table43[[#This Row],[No. Urut
Item Sama]])</f>
        <v>G1270101016010</v>
      </c>
      <c r="B577" s="7"/>
      <c r="C577" s="31"/>
      <c r="D577" s="51">
        <v>40023807</v>
      </c>
      <c r="E577" s="27"/>
      <c r="F577" s="51"/>
      <c r="G577" s="51"/>
      <c r="H577" s="27"/>
      <c r="I577" s="27">
        <v>12</v>
      </c>
      <c r="J577" s="51" t="s">
        <v>1827</v>
      </c>
      <c r="K577" s="27" t="str">
        <f>Table43[[#This Row],[NamaJenisKemasan]]</f>
        <v>KLG</v>
      </c>
      <c r="L577" s="4" t="str">
        <f>TRIM(CONCATENATE(Table43[[#This Row],[Nama            KLP]]," ",Table43[[#This Row],[Nama            Sub KLP]]))</f>
        <v>STELLA MATIC</v>
      </c>
      <c r="M577" s="4" t="str">
        <f>CONCATENATE(Table43[[#This Row],[kode  2 Digit                (hrf+No)]],Table43[[#This Row],[kode  2 Digit                (Nomor)]],Table43[[#This Row],[kode  1 Digit                (Nomor)]])</f>
        <v>G1270</v>
      </c>
      <c r="N577" s="4" t="str">
        <f>IF(AI577="",CONCATENATE(S577,U577,W577,Y577,AA577,AC577,AE577,AG577,Table43[[#This Row],[Tanda Kode Revisi]]),CONCATENATE(S577,U577,W577,Y577,AA577,AC577,AE577,AI577))</f>
        <v>G1270101016010</v>
      </c>
      <c r="O577" s="11">
        <f>LEN(N577)</f>
        <v>14</v>
      </c>
      <c r="P577" s="14" t="str">
        <f>IF(AH577&lt;&gt;"",TRIM(UPPER(CONCATENATE(R577," ",T577," ",V577," ",X577," ",Z577," ",AB577," ","X"," ",Table43[[#This Row],[ISI/CTN]]," ",AH577," ",AD577," ",AF577," ",AJ577))),TRIM(UPPER(CONCATENATE(R577," ",T577," ",V577," ",X577," ",Z577," ",AB577," ","X"," ",Table43[[#This Row],[ISI/CTN]]," ",AD577," ",AF577," ",AJ577))))</f>
        <v>STELLA MATIC REFILL APPLE 160ML X 12 KLG</v>
      </c>
      <c r="Q577" s="11">
        <f>LEN(P577)</f>
        <v>40</v>
      </c>
      <c r="S577" s="7" t="s">
        <v>34</v>
      </c>
      <c r="T577" s="4" t="s">
        <v>2359</v>
      </c>
      <c r="U577" s="47" t="s">
        <v>2586</v>
      </c>
      <c r="V577" s="48"/>
      <c r="W577" s="7">
        <v>0</v>
      </c>
      <c r="X577" s="48" t="s">
        <v>2231</v>
      </c>
      <c r="Y577" s="47" t="s">
        <v>2539</v>
      </c>
      <c r="Z577" s="4" t="s">
        <v>2264</v>
      </c>
      <c r="AA577" s="49" t="s">
        <v>1115</v>
      </c>
      <c r="AB577" s="4" t="s">
        <v>2377</v>
      </c>
      <c r="AC577" s="49" t="s">
        <v>2601</v>
      </c>
      <c r="AD577" s="4" t="s">
        <v>2221</v>
      </c>
      <c r="AE577" s="7">
        <v>1</v>
      </c>
      <c r="AG577" s="7">
        <v>0</v>
      </c>
      <c r="AK577" s="70">
        <f>Table43[[#This Row],[Column4]]</f>
        <v>0</v>
      </c>
      <c r="AN577" s="7">
        <f>Table43[[#This Row],[ISI/CTN]]</f>
        <v>12</v>
      </c>
      <c r="AO577" s="38">
        <f>Table43[[#This Row],[Harga Jual Pcs GT
(-PPN)]]-(Table43[[#This Row],[Harga Jual Pcs GT
(-PPN)]]*6.5%)</f>
        <v>0</v>
      </c>
      <c r="AP577" s="38">
        <f>Table43[[#This Row],[Harga Beli Pcs
(-PPN)]]*Table43[[#This Row],[ISI/CTN]]</f>
        <v>0</v>
      </c>
      <c r="AQ577" s="38">
        <f>Table43[[#This Row],[Harga Beli Pcs
(-PPN)]]*1.11</f>
        <v>0</v>
      </c>
      <c r="AR577" s="38">
        <f>Table43[[#This Row],[Harga Beli Krt
(- PPN)]]*1.11</f>
        <v>0</v>
      </c>
      <c r="AS577" s="38"/>
      <c r="AT577" s="38">
        <f>Table43[[#This Row],[Harga Jual Pcs GT
(-PPN)]]*Table43[[#This Row],[ISI/CTN]]</f>
        <v>0</v>
      </c>
      <c r="AU577" s="38">
        <f>Table43[[#This Row],[Harga Jual Pcs GT
(-PPN)]]*1.11</f>
        <v>0</v>
      </c>
      <c r="AV577" s="38">
        <f>Table43[[#This Row],[Harga Jual Krt GT
(- PPN)]]*1.11</f>
        <v>0</v>
      </c>
      <c r="AW577" s="38">
        <f>IFERROR(VLOOKUP(Table43[[#This Row],[Kode Pcpl]],'[1]FEB 2026'!$A$3:$X$312,24,0),0)</f>
        <v>0</v>
      </c>
      <c r="AX577" s="38">
        <f>Table43[[#This Row],[Harga Jual Pcs MT
(-PPN)]]*Table43[[#This Row],[ISI/CTN]]</f>
        <v>0</v>
      </c>
      <c r="AY577" s="38">
        <f>Table43[[#This Row],[Harga Jual Pcs MT
(-PPN)]]*1.11</f>
        <v>0</v>
      </c>
      <c r="AZ577" s="38">
        <f>Table43[[#This Row],[Harga Jual Pcs MT
(+PPN)]]*Table43[[#This Row],[ISI/CTN]]</f>
        <v>0</v>
      </c>
      <c r="BA577" s="46" t="e">
        <f>(Table43[[#This Row],[Harga Jual Pcs GT
(-PPN)]]-Table43[[#This Row],[Harga Beli Pcs
(-PPN)]])/Table43[[#This Row],[Harga Jual Pcs GT
(-PPN)]]</f>
        <v>#DIV/0!</v>
      </c>
      <c r="BB577" s="53">
        <f>Table43[[#This Row],[Harga Jual Pcs MT
(-PPN)]]-Table43[[#This Row],[Harga Beli Pcs
(-PPN)]]</f>
        <v>0</v>
      </c>
      <c r="BC577" s="54" t="e">
        <f>Table43[[#This Row],[Column1]]/Table43[[#This Row],[Harga Jual Pcs MT
(-PPN)]]</f>
        <v>#DIV/0!</v>
      </c>
      <c r="BD577" s="52"/>
      <c r="BE577" s="7"/>
      <c r="BF577" s="7" t="str">
        <f ca="1">IF(TODAY()-Table43[[#This Row],[Efektif
Pembuatan]]&gt;60,"Lama","Baru")</f>
        <v>Lama</v>
      </c>
      <c r="BG577" s="7" t="str">
        <f ca="1">IF(TODAY()-Table43[[#This Row],[Efektif Naik Harga]]&lt;30,"Naik","Sama")</f>
        <v>Sama</v>
      </c>
      <c r="BH577" s="7"/>
      <c r="BI577" s="7" t="str">
        <f>IF(Table43[[#This Row],[Kode BARANG Win2]]&lt;&gt;"","IDR","")</f>
        <v>IDR</v>
      </c>
      <c r="BJ577" s="7" t="str">
        <f>CONCATENATE(Table43[[#This Row],[kode  1 Digit
(Nomor)]],Table43[[#This Row],[kode  4 Digit                (Nomor)]])</f>
        <v>0160</v>
      </c>
      <c r="BK577" s="7" t="str">
        <f>Table43[[#This Row],[Nama            Gramasi atau Jumlah Pack per CTN]]</f>
        <v>160ML</v>
      </c>
      <c r="BL577" s="7"/>
      <c r="BM577" s="7"/>
      <c r="BN577" s="4" t="str">
        <f>IF(Table43[[#This Row],[SATUAN Fix Win]]&lt;&gt;"","KRT")</f>
        <v>KRT</v>
      </c>
      <c r="BO577" s="4" t="str">
        <f>IF(Table43[[#This Row],[SATUAN Fix Win]]&lt;&gt;"","GD01")</f>
        <v>GD01</v>
      </c>
      <c r="BP577" s="4">
        <f>IF(Table43[[#This Row],[SATUAN Fix Win]]&lt;&gt;"",11611)</f>
        <v>11611</v>
      </c>
      <c r="BQ577" s="4">
        <f>IF(Table43[[#This Row],[SATUAN Fix Win]]&lt;&gt;"",11612)</f>
        <v>11612</v>
      </c>
      <c r="BS577" s="4">
        <f>IF(Table43[[#This Row],[SATUAN Fix Win]]&lt;&gt;"",1)</f>
        <v>1</v>
      </c>
      <c r="BU577" s="4">
        <f>Table43[[#This Row],[ISI/CTN]]</f>
        <v>12</v>
      </c>
    </row>
    <row r="578" spans="1:73">
      <c r="A578" s="4" t="str">
        <f>CONCATENATE(Table43[[#This Row],[Kode BARANG Win2]],Table43[[#This Row],[No. Urut
Item Sama]])</f>
        <v>G1270102016010</v>
      </c>
      <c r="B578" s="7"/>
      <c r="C578" s="31">
        <v>30611040225000</v>
      </c>
      <c r="D578" s="51">
        <v>40059951</v>
      </c>
      <c r="E578" s="27" t="s">
        <v>2164</v>
      </c>
      <c r="F578" s="51">
        <v>30603120160010</v>
      </c>
      <c r="G578" s="51">
        <v>0</v>
      </c>
      <c r="H578" s="27" t="s">
        <v>1511</v>
      </c>
      <c r="I578" s="27">
        <v>12</v>
      </c>
      <c r="J578" s="51" t="s">
        <v>1831</v>
      </c>
      <c r="K578" s="27" t="str">
        <f>Table43[[#This Row],[NamaJenisKemasan]]</f>
        <v>KLG</v>
      </c>
      <c r="L578" s="4" t="str">
        <f>TRIM(CONCATENATE(Table43[[#This Row],[Nama            KLP]]," ",Table43[[#This Row],[Nama            Sub KLP]]))</f>
        <v>STELLA MATIC</v>
      </c>
      <c r="M578" s="4" t="str">
        <f>CONCATENATE(Table43[[#This Row],[kode  2 Digit                (hrf+No)]],Table43[[#This Row],[kode  2 Digit                (Nomor)]],Table43[[#This Row],[kode  1 Digit                (Nomor)]])</f>
        <v>G1270</v>
      </c>
      <c r="N578" s="4" t="str">
        <f>IF(AI578="",CONCATENATE(S578,U578,W578,Y578,AA578,AC578,AE578,AG578,Table43[[#This Row],[Tanda Kode Revisi]]),CONCATENATE(S578,U578,W578,Y578,AA578,AC578,AE578,AI578))</f>
        <v>G1270102016010</v>
      </c>
      <c r="O578" s="11">
        <f t="shared" si="14"/>
        <v>14</v>
      </c>
      <c r="P578" s="14" t="str">
        <f>IF(AH578&lt;&gt;"",TRIM(UPPER(CONCATENATE(R578," ",T578," ",V578," ",X578," ",Z578," ",AB578," ","X"," ",Table43[[#This Row],[ISI/CTN]]," ",AH578," ",AD578," ",AF578," ",AJ578))),TRIM(UPPER(CONCATENATE(R578," ",T578," ",V578," ",X578," ",Z578," ",AB578," ","X"," ",Table43[[#This Row],[ISI/CTN]]," ",AD578," ",AF578," ",AJ578))))</f>
        <v>STELLA MATIC REFILL BLOOMING JASMINE 160ML X 12 KLG</v>
      </c>
      <c r="Q578" s="11">
        <f t="shared" si="15"/>
        <v>51</v>
      </c>
      <c r="S578" s="7" t="s">
        <v>34</v>
      </c>
      <c r="T578" s="4" t="s">
        <v>2359</v>
      </c>
      <c r="U578" s="47" t="s">
        <v>2586</v>
      </c>
      <c r="V578" s="48"/>
      <c r="W578" s="7">
        <v>0</v>
      </c>
      <c r="X578" s="48" t="s">
        <v>2231</v>
      </c>
      <c r="Y578" s="47" t="s">
        <v>2539</v>
      </c>
      <c r="Z578" s="4" t="s">
        <v>2424</v>
      </c>
      <c r="AA578" s="49" t="s">
        <v>2459</v>
      </c>
      <c r="AB578" s="4" t="s">
        <v>2377</v>
      </c>
      <c r="AC578" s="49" t="s">
        <v>2601</v>
      </c>
      <c r="AD578" s="4" t="s">
        <v>2221</v>
      </c>
      <c r="AE578" s="7">
        <v>1</v>
      </c>
      <c r="AG578" s="7">
        <v>0</v>
      </c>
      <c r="AK578" s="70">
        <f>Table43[[#This Row],[Column4]]</f>
        <v>30603120160010</v>
      </c>
      <c r="AN578" s="7">
        <f>Table43[[#This Row],[ISI/CTN]]</f>
        <v>12</v>
      </c>
      <c r="AO578" s="61">
        <f>Table43[[#This Row],[Harga Jual Pcs GT
(-PPN)]]-(Table43[[#This Row],[Harga Jual Pcs GT
(-PPN)]]*6.5%)</f>
        <v>26460.5</v>
      </c>
      <c r="AP578" s="61">
        <f>Table43[[#This Row],[Harga Beli Pcs
(-PPN)]]*Table43[[#This Row],[ISI/CTN]]</f>
        <v>317526</v>
      </c>
      <c r="AQ578" s="61">
        <f>Table43[[#This Row],[Harga Beli Pcs
(-PPN)]]*1.11</f>
        <v>29371.155000000002</v>
      </c>
      <c r="AR578" s="61">
        <f>Table43[[#This Row],[Harga Beli Krt
(- PPN)]]*1.11</f>
        <v>352453.86000000004</v>
      </c>
      <c r="AS578" s="61">
        <v>28300</v>
      </c>
      <c r="AT578" s="61">
        <f>Table43[[#This Row],[Harga Jual Pcs GT
(-PPN)]]*Table43[[#This Row],[ISI/CTN]]</f>
        <v>339600</v>
      </c>
      <c r="AU578" s="61">
        <f>Table43[[#This Row],[Harga Jual Pcs GT
(-PPN)]]*1.11</f>
        <v>31413.000000000004</v>
      </c>
      <c r="AV578" s="61">
        <f>Table43[[#This Row],[Harga Jual Krt GT
(- PPN)]]*1.11</f>
        <v>376956.00000000006</v>
      </c>
      <c r="AW578" s="61">
        <f>IFERROR(VLOOKUP(Table43[[#This Row],[Kode Pcpl]],'[1]FEB 2026'!$A$3:$X$312,24,0),0)</f>
        <v>0</v>
      </c>
      <c r="AX578" s="61">
        <f>Table43[[#This Row],[Harga Jual Pcs MT
(-PPN)]]*Table43[[#This Row],[ISI/CTN]]</f>
        <v>0</v>
      </c>
      <c r="AY578" s="61">
        <f>Table43[[#This Row],[Harga Jual Pcs MT
(-PPN)]]*1.11</f>
        <v>0</v>
      </c>
      <c r="AZ578" s="61">
        <f>Table43[[#This Row],[Harga Jual Pcs MT
(+PPN)]]*Table43[[#This Row],[ISI/CTN]]</f>
        <v>0</v>
      </c>
      <c r="BA578" s="62">
        <f>(Table43[[#This Row],[Harga Jual Pcs GT
(-PPN)]]-Table43[[#This Row],[Harga Beli Pcs
(-PPN)]])/Table43[[#This Row],[Harga Jual Pcs GT
(-PPN)]]</f>
        <v>6.5000000000000002E-2</v>
      </c>
      <c r="BB578" s="63">
        <f>Table43[[#This Row],[Harga Jual Pcs MT
(-PPN)]]-Table43[[#This Row],[Harga Beli Pcs
(-PPN)]]</f>
        <v>-26460.5</v>
      </c>
      <c r="BC578" s="64" t="e">
        <f>Table43[[#This Row],[Column1]]/Table43[[#This Row],[Harga Jual Pcs MT
(-PPN)]]</f>
        <v>#DIV/0!</v>
      </c>
      <c r="BD578" s="52"/>
      <c r="BE578" s="7"/>
      <c r="BF578" s="7" t="str">
        <f ca="1">IF(TODAY()-Table43[[#This Row],[Efektif
Pembuatan]]&gt;60,"Lama","Baru")</f>
        <v>Lama</v>
      </c>
      <c r="BG578" s="7" t="str">
        <f ca="1">IF(TODAY()-Table43[[#This Row],[Efektif Naik Harga]]&lt;30,"Naik","Sama")</f>
        <v>Sama</v>
      </c>
      <c r="BH578" s="7"/>
      <c r="BI578" s="7" t="str">
        <f>IF(Table43[[#This Row],[Kode BARANG Win2]]&lt;&gt;"","IDR","")</f>
        <v>IDR</v>
      </c>
      <c r="BJ578" s="7" t="str">
        <f>CONCATENATE(Table43[[#This Row],[kode  1 Digit
(Nomor)]],Table43[[#This Row],[kode  4 Digit                (Nomor)]])</f>
        <v>0160</v>
      </c>
      <c r="BK578" s="7" t="str">
        <f>Table43[[#This Row],[Nama            Gramasi atau Jumlah Pack per CTN]]</f>
        <v>160ML</v>
      </c>
      <c r="BL578" s="7"/>
      <c r="BM578" s="7"/>
      <c r="BN578" s="4" t="str">
        <f>IF(Table43[[#This Row],[SATUAN Fix Win]]&lt;&gt;"","KRT")</f>
        <v>KRT</v>
      </c>
      <c r="BO578" s="4" t="str">
        <f>IF(Table43[[#This Row],[SATUAN Fix Win]]&lt;&gt;"","GD01")</f>
        <v>GD01</v>
      </c>
      <c r="BP578" s="4">
        <f>IF(Table43[[#This Row],[SATUAN Fix Win]]&lt;&gt;"",11611)</f>
        <v>11611</v>
      </c>
      <c r="BQ578" s="4">
        <f>IF(Table43[[#This Row],[SATUAN Fix Win]]&lt;&gt;"",11612)</f>
        <v>11612</v>
      </c>
      <c r="BS578" s="4">
        <f>IF(Table43[[#This Row],[SATUAN Fix Win]]&lt;&gt;"",1)</f>
        <v>1</v>
      </c>
      <c r="BU578" s="4">
        <f>Table43[[#This Row],[ISI/CTN]]</f>
        <v>12</v>
      </c>
    </row>
    <row r="579" spans="1:73">
      <c r="A579" s="4" t="str">
        <f>CONCATENATE(Table43[[#This Row],[Kode BARANG Win2]],Table43[[#This Row],[No. Urut
Item Sama]])</f>
        <v>G1270102016010</v>
      </c>
      <c r="B579" s="7"/>
      <c r="C579" s="31">
        <v>30611040225000</v>
      </c>
      <c r="D579" s="51">
        <v>40049944</v>
      </c>
      <c r="E579" s="27" t="s">
        <v>2164</v>
      </c>
      <c r="F579" s="51">
        <v>30603120160010</v>
      </c>
      <c r="G579" s="51">
        <v>0</v>
      </c>
      <c r="H579" s="27" t="s">
        <v>1510</v>
      </c>
      <c r="I579" s="27">
        <v>12</v>
      </c>
      <c r="J579" s="51" t="s">
        <v>1831</v>
      </c>
      <c r="K579" s="27" t="str">
        <f>Table43[[#This Row],[NamaJenisKemasan]]</f>
        <v>KLG</v>
      </c>
      <c r="L579" s="4" t="str">
        <f>TRIM(CONCATENATE(Table43[[#This Row],[Nama            KLP]]," ",Table43[[#This Row],[Nama            Sub KLP]]))</f>
        <v>STELLA MATIC</v>
      </c>
      <c r="M579" s="4" t="str">
        <f>CONCATENATE(Table43[[#This Row],[kode  2 Digit                (hrf+No)]],Table43[[#This Row],[kode  2 Digit                (Nomor)]],Table43[[#This Row],[kode  1 Digit                (Nomor)]])</f>
        <v>G1270</v>
      </c>
      <c r="N579" s="4" t="str">
        <f>IF(AI579="",CONCATENATE(S579,U579,W579,Y579,AA579,AC579,AE579,AG579,Table43[[#This Row],[Tanda Kode Revisi]]),CONCATENATE(S579,U579,W579,Y579,AA579,AC579,AE579,AI579))</f>
        <v>G1270102016010</v>
      </c>
      <c r="O579" s="11">
        <f t="shared" si="14"/>
        <v>14</v>
      </c>
      <c r="P579" s="14" t="str">
        <f>IF(AH579&lt;&gt;"",TRIM(UPPER(CONCATENATE(R579," ",T579," ",V579," ",X579," ",Z579," ",AB579," ","X"," ",Table43[[#This Row],[ISI/CTN]]," ",AH579," ",AD579," ",AF579," ",AJ579))),TRIM(UPPER(CONCATENATE(R579," ",T579," ",V579," ",X579," ",Z579," ",AB579," ","X"," ",Table43[[#This Row],[ISI/CTN]]," ",AD579," ",AF579," ",AJ579))))</f>
        <v>STELLA MATIC REFILL BLOOMING JASMINE 160ML X 12 KLG</v>
      </c>
      <c r="Q579" s="11">
        <f t="shared" si="15"/>
        <v>51</v>
      </c>
      <c r="S579" s="7" t="s">
        <v>34</v>
      </c>
      <c r="T579" s="4" t="s">
        <v>2359</v>
      </c>
      <c r="U579" s="47" t="s">
        <v>2586</v>
      </c>
      <c r="V579" s="48"/>
      <c r="W579" s="7">
        <v>0</v>
      </c>
      <c r="X579" s="48" t="s">
        <v>2231</v>
      </c>
      <c r="Y579" s="47" t="s">
        <v>2539</v>
      </c>
      <c r="Z579" s="4" t="s">
        <v>2424</v>
      </c>
      <c r="AA579" s="49" t="s">
        <v>2459</v>
      </c>
      <c r="AB579" s="4" t="s">
        <v>2377</v>
      </c>
      <c r="AC579" s="49" t="s">
        <v>2601</v>
      </c>
      <c r="AD579" s="4" t="s">
        <v>2221</v>
      </c>
      <c r="AE579" s="7">
        <v>1</v>
      </c>
      <c r="AG579" s="7">
        <v>0</v>
      </c>
      <c r="AK579" s="70">
        <f>Table43[[#This Row],[Column4]]</f>
        <v>30603120160010</v>
      </c>
      <c r="AN579" s="7">
        <f>Table43[[#This Row],[ISI/CTN]]</f>
        <v>12</v>
      </c>
      <c r="AO579" s="38">
        <f>Table43[[#This Row],[Harga Jual Pcs GT
(-PPN)]]-(Table43[[#This Row],[Harga Jual Pcs GT
(-PPN)]]*6.5%)</f>
        <v>26460.5</v>
      </c>
      <c r="AP579" s="38">
        <f>Table43[[#This Row],[Harga Beli Pcs
(-PPN)]]*Table43[[#This Row],[ISI/CTN]]</f>
        <v>317526</v>
      </c>
      <c r="AQ579" s="38">
        <f>Table43[[#This Row],[Harga Beli Pcs
(-PPN)]]*1.11</f>
        <v>29371.155000000002</v>
      </c>
      <c r="AR579" s="38">
        <f>Table43[[#This Row],[Harga Beli Krt
(- PPN)]]*1.11</f>
        <v>352453.86000000004</v>
      </c>
      <c r="AS579" s="38">
        <v>28300</v>
      </c>
      <c r="AT579" s="38">
        <f>Table43[[#This Row],[Harga Jual Pcs GT
(-PPN)]]*Table43[[#This Row],[ISI/CTN]]</f>
        <v>339600</v>
      </c>
      <c r="AU579" s="38">
        <f>Table43[[#This Row],[Harga Jual Pcs GT
(-PPN)]]*1.11</f>
        <v>31413.000000000004</v>
      </c>
      <c r="AV579" s="38">
        <f>Table43[[#This Row],[Harga Jual Krt GT
(- PPN)]]*1.11</f>
        <v>376956.00000000006</v>
      </c>
      <c r="AW579" s="38">
        <f>IFERROR(VLOOKUP(Table43[[#This Row],[Kode Pcpl]],'[1]FEB 2026'!$A$3:$X$312,24,0),0)</f>
        <v>0</v>
      </c>
      <c r="AX579" s="38">
        <f>Table43[[#This Row],[Harga Jual Pcs MT
(-PPN)]]*Table43[[#This Row],[ISI/CTN]]</f>
        <v>0</v>
      </c>
      <c r="AY579" s="38">
        <f>Table43[[#This Row],[Harga Jual Pcs MT
(-PPN)]]*1.11</f>
        <v>0</v>
      </c>
      <c r="AZ579" s="38">
        <f>Table43[[#This Row],[Harga Jual Pcs MT
(+PPN)]]*Table43[[#This Row],[ISI/CTN]]</f>
        <v>0</v>
      </c>
      <c r="BA579" s="46">
        <f>(Table43[[#This Row],[Harga Jual Pcs GT
(-PPN)]]-Table43[[#This Row],[Harga Beli Pcs
(-PPN)]])/Table43[[#This Row],[Harga Jual Pcs GT
(-PPN)]]</f>
        <v>6.5000000000000002E-2</v>
      </c>
      <c r="BB579" s="53">
        <f>Table43[[#This Row],[Harga Jual Pcs MT
(-PPN)]]-Table43[[#This Row],[Harga Beli Pcs
(-PPN)]]</f>
        <v>-26460.5</v>
      </c>
      <c r="BC579" s="54" t="e">
        <f>Table43[[#This Row],[Column1]]/Table43[[#This Row],[Harga Jual Pcs MT
(-PPN)]]</f>
        <v>#DIV/0!</v>
      </c>
      <c r="BD579" s="52"/>
      <c r="BE579" s="7"/>
      <c r="BF579" s="7" t="str">
        <f ca="1">IF(TODAY()-Table43[[#This Row],[Efektif
Pembuatan]]&gt;60,"Lama","Baru")</f>
        <v>Lama</v>
      </c>
      <c r="BG579" s="7" t="str">
        <f ca="1">IF(TODAY()-Table43[[#This Row],[Efektif Naik Harga]]&lt;30,"Naik","Sama")</f>
        <v>Sama</v>
      </c>
      <c r="BH579" s="7"/>
      <c r="BI579" s="7" t="str">
        <f>IF(Table43[[#This Row],[Kode BARANG Win2]]&lt;&gt;"","IDR","")</f>
        <v>IDR</v>
      </c>
      <c r="BJ579" s="7" t="str">
        <f>CONCATENATE(Table43[[#This Row],[kode  1 Digit
(Nomor)]],Table43[[#This Row],[kode  4 Digit                (Nomor)]])</f>
        <v>0160</v>
      </c>
      <c r="BK579" s="7" t="str">
        <f>Table43[[#This Row],[Nama            Gramasi atau Jumlah Pack per CTN]]</f>
        <v>160ML</v>
      </c>
      <c r="BL579" s="7"/>
      <c r="BM579" s="7"/>
      <c r="BN579" s="4" t="str">
        <f>IF(Table43[[#This Row],[SATUAN Fix Win]]&lt;&gt;"","KRT")</f>
        <v>KRT</v>
      </c>
      <c r="BO579" s="4" t="str">
        <f>IF(Table43[[#This Row],[SATUAN Fix Win]]&lt;&gt;"","GD01")</f>
        <v>GD01</v>
      </c>
      <c r="BP579" s="4">
        <f>IF(Table43[[#This Row],[SATUAN Fix Win]]&lt;&gt;"",11611)</f>
        <v>11611</v>
      </c>
      <c r="BQ579" s="4">
        <f>IF(Table43[[#This Row],[SATUAN Fix Win]]&lt;&gt;"",11612)</f>
        <v>11612</v>
      </c>
      <c r="BS579" s="4">
        <f>IF(Table43[[#This Row],[SATUAN Fix Win]]&lt;&gt;"",1)</f>
        <v>1</v>
      </c>
      <c r="BU579" s="4">
        <f>Table43[[#This Row],[ISI/CTN]]</f>
        <v>12</v>
      </c>
    </row>
    <row r="580" spans="1:73">
      <c r="A580" s="4" t="str">
        <f>CONCATENATE(Table43[[#This Row],[Kode BARANG Win2]],Table43[[#This Row],[No. Urut
Item Sama]])</f>
        <v>G1270103016010</v>
      </c>
      <c r="B580" s="7"/>
      <c r="C580" s="31">
        <v>30611070225000</v>
      </c>
      <c r="D580" s="51">
        <v>40050030</v>
      </c>
      <c r="E580" s="27" t="s">
        <v>2166</v>
      </c>
      <c r="F580" s="51">
        <v>30611010225010</v>
      </c>
      <c r="G580" s="51">
        <v>0</v>
      </c>
      <c r="H580" s="27" t="s">
        <v>1514</v>
      </c>
      <c r="I580" s="27">
        <v>12</v>
      </c>
      <c r="J580" s="51" t="s">
        <v>1833</v>
      </c>
      <c r="K580" s="27" t="str">
        <f>Table43[[#This Row],[NamaJenisKemasan]]</f>
        <v>KLG</v>
      </c>
      <c r="L580" s="4" t="str">
        <f>TRIM(CONCATENATE(Table43[[#This Row],[Nama            KLP]]," ",Table43[[#This Row],[Nama            Sub KLP]]))</f>
        <v>STELLA MATIC</v>
      </c>
      <c r="M580" s="4" t="str">
        <f>CONCATENATE(Table43[[#This Row],[kode  2 Digit                (hrf+No)]],Table43[[#This Row],[kode  2 Digit                (Nomor)]],Table43[[#This Row],[kode  1 Digit                (Nomor)]])</f>
        <v>G1270</v>
      </c>
      <c r="N580" s="4" t="str">
        <f>IF(AI580="",CONCATENATE(S580,U580,W580,Y580,AA580,AC580,AE580,AG580,Table43[[#This Row],[Tanda Kode Revisi]]),CONCATENATE(S580,U580,W580,Y580,AA580,AC580,AE580,AI580))</f>
        <v>G1270103016010</v>
      </c>
      <c r="O580" s="11">
        <f t="shared" si="14"/>
        <v>14</v>
      </c>
      <c r="P580" s="14" t="str">
        <f>IF(AH580&lt;&gt;"",TRIM(UPPER(CONCATENATE(R580," ",T580," ",V580," ",X580," ",Z580," ",AB580," ","X"," ",Table43[[#This Row],[ISI/CTN]]," ",AH580," ",AD580," ",AF580," ",AJ580))),TRIM(UPPER(CONCATENATE(R580," ",T580," ",V580," ",X580," ",Z580," ",AB580," ","X"," ",Table43[[#This Row],[ISI/CTN]]," ",AD580," ",AF580," ",AJ580))))</f>
        <v>STELLA MATIC REFILL CAFFE LATTE 160ML X 12 KLG</v>
      </c>
      <c r="Q580" s="11">
        <f t="shared" si="15"/>
        <v>46</v>
      </c>
      <c r="S580" s="7" t="s">
        <v>34</v>
      </c>
      <c r="T580" s="4" t="s">
        <v>2359</v>
      </c>
      <c r="U580" s="47" t="s">
        <v>2586</v>
      </c>
      <c r="V580" s="48"/>
      <c r="W580" s="7">
        <v>0</v>
      </c>
      <c r="X580" s="48" t="s">
        <v>2231</v>
      </c>
      <c r="Y580" s="47" t="s">
        <v>2539</v>
      </c>
      <c r="Z580" s="4" t="s">
        <v>2419</v>
      </c>
      <c r="AA580" s="49" t="s">
        <v>2538</v>
      </c>
      <c r="AB580" s="4" t="s">
        <v>2377</v>
      </c>
      <c r="AC580" s="49" t="s">
        <v>2601</v>
      </c>
      <c r="AD580" s="4" t="s">
        <v>2221</v>
      </c>
      <c r="AE580" s="7">
        <v>1</v>
      </c>
      <c r="AG580" s="7">
        <v>0</v>
      </c>
      <c r="AK580" s="70">
        <f>Table43[[#This Row],[Column4]]</f>
        <v>30611010225010</v>
      </c>
      <c r="AN580" s="7">
        <f>Table43[[#This Row],[ISI/CTN]]</f>
        <v>12</v>
      </c>
      <c r="AO580" s="38">
        <f>Table43[[#This Row],[Harga Jual Pcs GT
(-PPN)]]-(Table43[[#This Row],[Harga Jual Pcs GT
(-PPN)]]*6.5%)</f>
        <v>26460.5</v>
      </c>
      <c r="AP580" s="38">
        <f>Table43[[#This Row],[Harga Beli Pcs
(-PPN)]]*Table43[[#This Row],[ISI/CTN]]</f>
        <v>317526</v>
      </c>
      <c r="AQ580" s="38">
        <f>Table43[[#This Row],[Harga Beli Pcs
(-PPN)]]*1.11</f>
        <v>29371.155000000002</v>
      </c>
      <c r="AR580" s="38">
        <f>Table43[[#This Row],[Harga Beli Krt
(- PPN)]]*1.11</f>
        <v>352453.86000000004</v>
      </c>
      <c r="AS580" s="38">
        <v>28300</v>
      </c>
      <c r="AT580" s="38">
        <f>Table43[[#This Row],[Harga Jual Pcs GT
(-PPN)]]*Table43[[#This Row],[ISI/CTN]]</f>
        <v>339600</v>
      </c>
      <c r="AU580" s="38">
        <f>Table43[[#This Row],[Harga Jual Pcs GT
(-PPN)]]*1.11</f>
        <v>31413.000000000004</v>
      </c>
      <c r="AV580" s="38">
        <f>Table43[[#This Row],[Harga Jual Krt GT
(- PPN)]]*1.11</f>
        <v>376956.00000000006</v>
      </c>
      <c r="AW580" s="38">
        <f>IFERROR(VLOOKUP(Table43[[#This Row],[Kode Pcpl]],'[1]FEB 2026'!$A$3:$X$312,24,0),0)</f>
        <v>0</v>
      </c>
      <c r="AX580" s="38">
        <f>Table43[[#This Row],[Harga Jual Pcs MT
(-PPN)]]*Table43[[#This Row],[ISI/CTN]]</f>
        <v>0</v>
      </c>
      <c r="AY580" s="38">
        <f>Table43[[#This Row],[Harga Jual Pcs MT
(-PPN)]]*1.11</f>
        <v>0</v>
      </c>
      <c r="AZ580" s="38">
        <f>Table43[[#This Row],[Harga Jual Pcs MT
(+PPN)]]*Table43[[#This Row],[ISI/CTN]]</f>
        <v>0</v>
      </c>
      <c r="BA580" s="46">
        <f>(Table43[[#This Row],[Harga Jual Pcs GT
(-PPN)]]-Table43[[#This Row],[Harga Beli Pcs
(-PPN)]])/Table43[[#This Row],[Harga Jual Pcs GT
(-PPN)]]</f>
        <v>6.5000000000000002E-2</v>
      </c>
      <c r="BB580" s="53">
        <f>Table43[[#This Row],[Harga Jual Pcs MT
(-PPN)]]-Table43[[#This Row],[Harga Beli Pcs
(-PPN)]]</f>
        <v>-26460.5</v>
      </c>
      <c r="BC580" s="54" t="e">
        <f>Table43[[#This Row],[Column1]]/Table43[[#This Row],[Harga Jual Pcs MT
(-PPN)]]</f>
        <v>#DIV/0!</v>
      </c>
      <c r="BD580" s="52"/>
      <c r="BE580" s="7"/>
      <c r="BF580" s="7" t="str">
        <f ca="1">IF(TODAY()-Table43[[#This Row],[Efektif
Pembuatan]]&gt;60,"Lama","Baru")</f>
        <v>Lama</v>
      </c>
      <c r="BG580" s="7" t="str">
        <f ca="1">IF(TODAY()-Table43[[#This Row],[Efektif Naik Harga]]&lt;30,"Naik","Sama")</f>
        <v>Sama</v>
      </c>
      <c r="BH580" s="7"/>
      <c r="BI580" s="7" t="str">
        <f>IF(Table43[[#This Row],[Kode BARANG Win2]]&lt;&gt;"","IDR","")</f>
        <v>IDR</v>
      </c>
      <c r="BJ580" s="7" t="str">
        <f>CONCATENATE(Table43[[#This Row],[kode  1 Digit
(Nomor)]],Table43[[#This Row],[kode  4 Digit                (Nomor)]])</f>
        <v>0160</v>
      </c>
      <c r="BK580" s="7" t="str">
        <f>Table43[[#This Row],[Nama            Gramasi atau Jumlah Pack per CTN]]</f>
        <v>160ML</v>
      </c>
      <c r="BL580" s="7"/>
      <c r="BM580" s="7"/>
      <c r="BN580" s="4" t="str">
        <f>IF(Table43[[#This Row],[SATUAN Fix Win]]&lt;&gt;"","KRT")</f>
        <v>KRT</v>
      </c>
      <c r="BO580" s="4" t="str">
        <f>IF(Table43[[#This Row],[SATUAN Fix Win]]&lt;&gt;"","GD01")</f>
        <v>GD01</v>
      </c>
      <c r="BP580" s="4">
        <f>IF(Table43[[#This Row],[SATUAN Fix Win]]&lt;&gt;"",11611)</f>
        <v>11611</v>
      </c>
      <c r="BQ580" s="4">
        <f>IF(Table43[[#This Row],[SATUAN Fix Win]]&lt;&gt;"",11612)</f>
        <v>11612</v>
      </c>
      <c r="BS580" s="4">
        <f>IF(Table43[[#This Row],[SATUAN Fix Win]]&lt;&gt;"",1)</f>
        <v>1</v>
      </c>
      <c r="BU580" s="4">
        <f>Table43[[#This Row],[ISI/CTN]]</f>
        <v>12</v>
      </c>
    </row>
    <row r="581" spans="1:73">
      <c r="A581" s="4" t="str">
        <f>CONCATENATE(Table43[[#This Row],[Kode BARANG Win2]],Table43[[#This Row],[No. Urut
Item Sama]])</f>
        <v>G1270103016010</v>
      </c>
      <c r="B581" s="7"/>
      <c r="C581" s="31">
        <v>30611040225011</v>
      </c>
      <c r="D581" s="51">
        <v>40059949</v>
      </c>
      <c r="E581" s="27" t="s">
        <v>2166</v>
      </c>
      <c r="F581" s="51">
        <v>30611010225010</v>
      </c>
      <c r="G581" s="51">
        <v>0</v>
      </c>
      <c r="H581" s="27" t="s">
        <v>1515</v>
      </c>
      <c r="I581" s="27">
        <v>12</v>
      </c>
      <c r="J581" s="51" t="s">
        <v>1833</v>
      </c>
      <c r="K581" s="27" t="str">
        <f>Table43[[#This Row],[NamaJenisKemasan]]</f>
        <v>KLG</v>
      </c>
      <c r="L581" s="4" t="str">
        <f>TRIM(CONCATENATE(Table43[[#This Row],[Nama            KLP]]," ",Table43[[#This Row],[Nama            Sub KLP]]))</f>
        <v>STELLA MATIC</v>
      </c>
      <c r="M581" s="4" t="str">
        <f>CONCATENATE(Table43[[#This Row],[kode  2 Digit                (hrf+No)]],Table43[[#This Row],[kode  2 Digit                (Nomor)]],Table43[[#This Row],[kode  1 Digit                (Nomor)]])</f>
        <v>G1270</v>
      </c>
      <c r="N581" s="4" t="str">
        <f>IF(AI581="",CONCATENATE(S581,U581,W581,Y581,AA581,AC581,AE581,AG581,Table43[[#This Row],[Tanda Kode Revisi]]),CONCATENATE(S581,U581,W581,Y581,AA581,AC581,AE581,AI581))</f>
        <v>G1270103016010</v>
      </c>
      <c r="O581" s="11">
        <f t="shared" si="14"/>
        <v>14</v>
      </c>
      <c r="P581" s="14" t="str">
        <f>IF(AH581&lt;&gt;"",TRIM(UPPER(CONCATENATE(R581," ",T581," ",V581," ",X581," ",Z581," ",AB581," ","X"," ",Table43[[#This Row],[ISI/CTN]]," ",AH581," ",AD581," ",AF581," ",AJ581))),TRIM(UPPER(CONCATENATE(R581," ",T581," ",V581," ",X581," ",Z581," ",AB581," ","X"," ",Table43[[#This Row],[ISI/CTN]]," ",AD581," ",AF581," ",AJ581))))</f>
        <v>STELLA MATIC REFILL CAFFE LATTE 160ML X 12 KLG</v>
      </c>
      <c r="Q581" s="11">
        <f t="shared" si="15"/>
        <v>46</v>
      </c>
      <c r="S581" s="7" t="s">
        <v>34</v>
      </c>
      <c r="T581" s="4" t="s">
        <v>2359</v>
      </c>
      <c r="U581" s="47" t="s">
        <v>2586</v>
      </c>
      <c r="V581" s="48"/>
      <c r="W581" s="7">
        <v>0</v>
      </c>
      <c r="X581" s="48" t="s">
        <v>2231</v>
      </c>
      <c r="Y581" s="47" t="s">
        <v>2539</v>
      </c>
      <c r="Z581" s="4" t="s">
        <v>2419</v>
      </c>
      <c r="AA581" s="49" t="s">
        <v>2538</v>
      </c>
      <c r="AB581" s="4" t="s">
        <v>2377</v>
      </c>
      <c r="AC581" s="49" t="s">
        <v>2601</v>
      </c>
      <c r="AD581" s="4" t="s">
        <v>2221</v>
      </c>
      <c r="AE581" s="7">
        <v>1</v>
      </c>
      <c r="AG581" s="7">
        <v>0</v>
      </c>
      <c r="AK581" s="70">
        <f>Table43[[#This Row],[Column4]]</f>
        <v>30611010225010</v>
      </c>
      <c r="AN581" s="7">
        <f>Table43[[#This Row],[ISI/CTN]]</f>
        <v>12</v>
      </c>
      <c r="AO581" s="61">
        <f>Table43[[#This Row],[Harga Jual Pcs GT
(-PPN)]]-(Table43[[#This Row],[Harga Jual Pcs GT
(-PPN)]]*6.5%)</f>
        <v>26460.5</v>
      </c>
      <c r="AP581" s="61">
        <f>Table43[[#This Row],[Harga Beli Pcs
(-PPN)]]*Table43[[#This Row],[ISI/CTN]]</f>
        <v>317526</v>
      </c>
      <c r="AQ581" s="61">
        <f>Table43[[#This Row],[Harga Beli Pcs
(-PPN)]]*1.11</f>
        <v>29371.155000000002</v>
      </c>
      <c r="AR581" s="61">
        <f>Table43[[#This Row],[Harga Beli Krt
(- PPN)]]*1.11</f>
        <v>352453.86000000004</v>
      </c>
      <c r="AS581" s="61">
        <v>28300</v>
      </c>
      <c r="AT581" s="61">
        <f>Table43[[#This Row],[Harga Jual Pcs GT
(-PPN)]]*Table43[[#This Row],[ISI/CTN]]</f>
        <v>339600</v>
      </c>
      <c r="AU581" s="61">
        <f>Table43[[#This Row],[Harga Jual Pcs GT
(-PPN)]]*1.11</f>
        <v>31413.000000000004</v>
      </c>
      <c r="AV581" s="61">
        <f>Table43[[#This Row],[Harga Jual Krt GT
(- PPN)]]*1.11</f>
        <v>376956.00000000006</v>
      </c>
      <c r="AW581" s="61">
        <f>IFERROR(VLOOKUP(Table43[[#This Row],[Kode Pcpl]],'[1]FEB 2026'!$A$3:$X$312,24,0),0)</f>
        <v>0</v>
      </c>
      <c r="AX581" s="61">
        <f>Table43[[#This Row],[Harga Jual Pcs MT
(-PPN)]]*Table43[[#This Row],[ISI/CTN]]</f>
        <v>0</v>
      </c>
      <c r="AY581" s="61">
        <f>Table43[[#This Row],[Harga Jual Pcs MT
(-PPN)]]*1.11</f>
        <v>0</v>
      </c>
      <c r="AZ581" s="61">
        <f>Table43[[#This Row],[Harga Jual Pcs MT
(+PPN)]]*Table43[[#This Row],[ISI/CTN]]</f>
        <v>0</v>
      </c>
      <c r="BA581" s="62">
        <f>(Table43[[#This Row],[Harga Jual Pcs GT
(-PPN)]]-Table43[[#This Row],[Harga Beli Pcs
(-PPN)]])/Table43[[#This Row],[Harga Jual Pcs GT
(-PPN)]]</f>
        <v>6.5000000000000002E-2</v>
      </c>
      <c r="BB581" s="63">
        <f>Table43[[#This Row],[Harga Jual Pcs MT
(-PPN)]]-Table43[[#This Row],[Harga Beli Pcs
(-PPN)]]</f>
        <v>-26460.5</v>
      </c>
      <c r="BC581" s="64" t="e">
        <f>Table43[[#This Row],[Column1]]/Table43[[#This Row],[Harga Jual Pcs MT
(-PPN)]]</f>
        <v>#DIV/0!</v>
      </c>
      <c r="BD581" s="52"/>
      <c r="BE581" s="7"/>
      <c r="BF581" s="7" t="str">
        <f ca="1">IF(TODAY()-Table43[[#This Row],[Efektif
Pembuatan]]&gt;60,"Lama","Baru")</f>
        <v>Lama</v>
      </c>
      <c r="BG581" s="7" t="str">
        <f ca="1">IF(TODAY()-Table43[[#This Row],[Efektif Naik Harga]]&lt;30,"Naik","Sama")</f>
        <v>Sama</v>
      </c>
      <c r="BH581" s="7"/>
      <c r="BI581" s="7" t="str">
        <f>IF(Table43[[#This Row],[Kode BARANG Win2]]&lt;&gt;"","IDR","")</f>
        <v>IDR</v>
      </c>
      <c r="BJ581" s="7" t="str">
        <f>CONCATENATE(Table43[[#This Row],[kode  1 Digit
(Nomor)]],Table43[[#This Row],[kode  4 Digit                (Nomor)]])</f>
        <v>0160</v>
      </c>
      <c r="BK581" s="7" t="str">
        <f>Table43[[#This Row],[Nama            Gramasi atau Jumlah Pack per CTN]]</f>
        <v>160ML</v>
      </c>
      <c r="BL581" s="7"/>
      <c r="BM581" s="7"/>
      <c r="BN581" s="4" t="str">
        <f>IF(Table43[[#This Row],[SATUAN Fix Win]]&lt;&gt;"","KRT")</f>
        <v>KRT</v>
      </c>
      <c r="BO581" s="4" t="str">
        <f>IF(Table43[[#This Row],[SATUAN Fix Win]]&lt;&gt;"","GD01")</f>
        <v>GD01</v>
      </c>
      <c r="BP581" s="4">
        <f>IF(Table43[[#This Row],[SATUAN Fix Win]]&lt;&gt;"",11611)</f>
        <v>11611</v>
      </c>
      <c r="BQ581" s="4">
        <f>IF(Table43[[#This Row],[SATUAN Fix Win]]&lt;&gt;"",11612)</f>
        <v>11612</v>
      </c>
      <c r="BS581" s="4">
        <f>IF(Table43[[#This Row],[SATUAN Fix Win]]&lt;&gt;"",1)</f>
        <v>1</v>
      </c>
      <c r="BU581" s="4">
        <f>Table43[[#This Row],[ISI/CTN]]</f>
        <v>12</v>
      </c>
    </row>
    <row r="582" spans="1:73">
      <c r="A582" s="4" t="str">
        <f>CONCATENATE(Table43[[#This Row],[Kode BARANG Win2]],Table43[[#This Row],[No. Urut
Item Sama]])</f>
        <v>G1270103016010</v>
      </c>
      <c r="B582" s="7"/>
      <c r="C582" s="31"/>
      <c r="D582" s="51">
        <v>40018983</v>
      </c>
      <c r="E582" s="27"/>
      <c r="F582" s="51"/>
      <c r="G582" s="51"/>
      <c r="H582" s="27"/>
      <c r="I582" s="27">
        <v>12</v>
      </c>
      <c r="J582" s="51" t="s">
        <v>1833</v>
      </c>
      <c r="K582" s="27" t="str">
        <f>Table43[[#This Row],[NamaJenisKemasan]]</f>
        <v>KLG</v>
      </c>
      <c r="L582" s="4" t="str">
        <f>TRIM(CONCATENATE(Table43[[#This Row],[Nama            KLP]]," ",Table43[[#This Row],[Nama            Sub KLP]]))</f>
        <v>STELLA MATIC</v>
      </c>
      <c r="M582" s="4" t="str">
        <f>CONCATENATE(Table43[[#This Row],[kode  2 Digit                (hrf+No)]],Table43[[#This Row],[kode  2 Digit                (Nomor)]],Table43[[#This Row],[kode  1 Digit                (Nomor)]])</f>
        <v>G1270</v>
      </c>
      <c r="N582" s="4" t="str">
        <f>IF(AI582="",CONCATENATE(S582,U582,W582,Y582,AA582,AC582,AE582,AG582,Table43[[#This Row],[Tanda Kode Revisi]]),CONCATENATE(S582,U582,W582,Y582,AA582,AC582,AE582,AI582))</f>
        <v>G1270103016010</v>
      </c>
      <c r="O582" s="11">
        <f>LEN(N582)</f>
        <v>14</v>
      </c>
      <c r="P582" s="14" t="str">
        <f>IF(AH582&lt;&gt;"",TRIM(UPPER(CONCATENATE(R582," ",T582," ",V582," ",X582," ",Z582," ",AB582," ","X"," ",Table43[[#This Row],[ISI/CTN]]," ",AH582," ",AD582," ",AF582," ",AJ582))),TRIM(UPPER(CONCATENATE(R582," ",T582," ",V582," ",X582," ",Z582," ",AB582," ","X"," ",Table43[[#This Row],[ISI/CTN]]," ",AD582," ",AF582," ",AJ582))))</f>
        <v>STELLA MATIC REFILL CAFFE LATTE 160ML X 12 KLG</v>
      </c>
      <c r="Q582" s="11">
        <f>LEN(P582)</f>
        <v>46</v>
      </c>
      <c r="S582" s="7" t="s">
        <v>34</v>
      </c>
      <c r="T582" s="4" t="s">
        <v>2359</v>
      </c>
      <c r="U582" s="47" t="s">
        <v>2586</v>
      </c>
      <c r="V582" s="48"/>
      <c r="W582" s="7">
        <v>0</v>
      </c>
      <c r="X582" s="48" t="s">
        <v>2231</v>
      </c>
      <c r="Y582" s="47" t="s">
        <v>2539</v>
      </c>
      <c r="Z582" s="4" t="s">
        <v>2419</v>
      </c>
      <c r="AA582" s="49" t="s">
        <v>2538</v>
      </c>
      <c r="AB582" s="4" t="s">
        <v>2377</v>
      </c>
      <c r="AC582" s="49" t="s">
        <v>2601</v>
      </c>
      <c r="AD582" s="4" t="s">
        <v>2221</v>
      </c>
      <c r="AE582" s="7">
        <v>1</v>
      </c>
      <c r="AG582" s="7">
        <v>0</v>
      </c>
      <c r="AK582" s="70">
        <f>Table43[[#This Row],[Column4]]</f>
        <v>0</v>
      </c>
      <c r="AN582" s="7">
        <f>Table43[[#This Row],[ISI/CTN]]</f>
        <v>12</v>
      </c>
      <c r="AO582" s="61">
        <f>Table43[[#This Row],[Harga Jual Pcs GT
(-PPN)]]-(Table43[[#This Row],[Harga Jual Pcs GT
(-PPN)]]*6.5%)</f>
        <v>0</v>
      </c>
      <c r="AP582" s="61">
        <f>Table43[[#This Row],[Harga Beli Pcs
(-PPN)]]*Table43[[#This Row],[ISI/CTN]]</f>
        <v>0</v>
      </c>
      <c r="AQ582" s="61">
        <f>Table43[[#This Row],[Harga Beli Pcs
(-PPN)]]*1.11</f>
        <v>0</v>
      </c>
      <c r="AR582" s="61">
        <f>Table43[[#This Row],[Harga Beli Krt
(- PPN)]]*1.11</f>
        <v>0</v>
      </c>
      <c r="AS582" s="61"/>
      <c r="AT582" s="61">
        <f>Table43[[#This Row],[Harga Jual Pcs GT
(-PPN)]]*Table43[[#This Row],[ISI/CTN]]</f>
        <v>0</v>
      </c>
      <c r="AU582" s="61">
        <f>Table43[[#This Row],[Harga Jual Pcs GT
(-PPN)]]*1.11</f>
        <v>0</v>
      </c>
      <c r="AV582" s="61">
        <f>Table43[[#This Row],[Harga Jual Krt GT
(- PPN)]]*1.11</f>
        <v>0</v>
      </c>
      <c r="AW582" s="61">
        <f>IFERROR(VLOOKUP(Table43[[#This Row],[Kode Pcpl]],'[1]FEB 2026'!$A$3:$X$312,24,0),0)</f>
        <v>0</v>
      </c>
      <c r="AX582" s="61">
        <f>Table43[[#This Row],[Harga Jual Pcs MT
(-PPN)]]*Table43[[#This Row],[ISI/CTN]]</f>
        <v>0</v>
      </c>
      <c r="AY582" s="61">
        <f>Table43[[#This Row],[Harga Jual Pcs MT
(-PPN)]]*1.11</f>
        <v>0</v>
      </c>
      <c r="AZ582" s="61">
        <f>Table43[[#This Row],[Harga Jual Pcs MT
(+PPN)]]*Table43[[#This Row],[ISI/CTN]]</f>
        <v>0</v>
      </c>
      <c r="BA582" s="62" t="e">
        <f>(Table43[[#This Row],[Harga Jual Pcs GT
(-PPN)]]-Table43[[#This Row],[Harga Beli Pcs
(-PPN)]])/Table43[[#This Row],[Harga Jual Pcs GT
(-PPN)]]</f>
        <v>#DIV/0!</v>
      </c>
      <c r="BB582" s="63">
        <f>Table43[[#This Row],[Harga Jual Pcs MT
(-PPN)]]-Table43[[#This Row],[Harga Beli Pcs
(-PPN)]]</f>
        <v>0</v>
      </c>
      <c r="BC582" s="64" t="e">
        <f>Table43[[#This Row],[Column1]]/Table43[[#This Row],[Harga Jual Pcs MT
(-PPN)]]</f>
        <v>#DIV/0!</v>
      </c>
      <c r="BD582" s="52"/>
      <c r="BE582" s="7"/>
      <c r="BF582" s="7" t="str">
        <f ca="1">IF(TODAY()-Table43[[#This Row],[Efektif
Pembuatan]]&gt;60,"Lama","Baru")</f>
        <v>Lama</v>
      </c>
      <c r="BG582" s="7" t="str">
        <f ca="1">IF(TODAY()-Table43[[#This Row],[Efektif Naik Harga]]&lt;30,"Naik","Sama")</f>
        <v>Sama</v>
      </c>
      <c r="BH582" s="7"/>
      <c r="BI582" s="7" t="str">
        <f>IF(Table43[[#This Row],[Kode BARANG Win2]]&lt;&gt;"","IDR","")</f>
        <v>IDR</v>
      </c>
      <c r="BJ582" s="7" t="str">
        <f>CONCATENATE(Table43[[#This Row],[kode  1 Digit
(Nomor)]],Table43[[#This Row],[kode  4 Digit                (Nomor)]])</f>
        <v>0160</v>
      </c>
      <c r="BK582" s="7" t="str">
        <f>Table43[[#This Row],[Nama            Gramasi atau Jumlah Pack per CTN]]</f>
        <v>160ML</v>
      </c>
      <c r="BL582" s="7"/>
      <c r="BM582" s="7"/>
      <c r="BN582" s="4" t="str">
        <f>IF(Table43[[#This Row],[SATUAN Fix Win]]&lt;&gt;"","KRT")</f>
        <v>KRT</v>
      </c>
      <c r="BO582" s="4" t="str">
        <f>IF(Table43[[#This Row],[SATUAN Fix Win]]&lt;&gt;"","GD01")</f>
        <v>GD01</v>
      </c>
      <c r="BP582" s="4">
        <f>IF(Table43[[#This Row],[SATUAN Fix Win]]&lt;&gt;"",11611)</f>
        <v>11611</v>
      </c>
      <c r="BQ582" s="4">
        <f>IF(Table43[[#This Row],[SATUAN Fix Win]]&lt;&gt;"",11612)</f>
        <v>11612</v>
      </c>
      <c r="BS582" s="4">
        <f>IF(Table43[[#This Row],[SATUAN Fix Win]]&lt;&gt;"",1)</f>
        <v>1</v>
      </c>
      <c r="BU582" s="4">
        <f>Table43[[#This Row],[ISI/CTN]]</f>
        <v>12</v>
      </c>
    </row>
    <row r="583" spans="1:73">
      <c r="A583" s="4" t="str">
        <f>CONCATENATE(Table43[[#This Row],[Kode BARANG Win2]],Table43[[#This Row],[No. Urut
Item Sama]])</f>
        <v>G1270104022510</v>
      </c>
      <c r="B583" s="7"/>
      <c r="C583" s="31">
        <v>30490010400000</v>
      </c>
      <c r="D583" s="51">
        <v>40030573</v>
      </c>
      <c r="E583" s="27" t="s">
        <v>2163</v>
      </c>
      <c r="F583" s="51">
        <v>30603110225010</v>
      </c>
      <c r="G583" s="51">
        <v>0</v>
      </c>
      <c r="H583" s="27" t="s">
        <v>1509</v>
      </c>
      <c r="I583" s="27">
        <v>12</v>
      </c>
      <c r="J583" s="51" t="s">
        <v>1830</v>
      </c>
      <c r="K583" s="27" t="str">
        <f>Table43[[#This Row],[NamaJenisKemasan]]</f>
        <v>KLG</v>
      </c>
      <c r="L583" s="4" t="str">
        <f>TRIM(CONCATENATE(Table43[[#This Row],[Nama            KLP]]," ",Table43[[#This Row],[Nama            Sub KLP]]))</f>
        <v>STELLA MATIC</v>
      </c>
      <c r="M583" s="4" t="str">
        <f>CONCATENATE(Table43[[#This Row],[kode  2 Digit                (hrf+No)]],Table43[[#This Row],[kode  2 Digit                (Nomor)]],Table43[[#This Row],[kode  1 Digit                (Nomor)]])</f>
        <v>G1270</v>
      </c>
      <c r="N583" s="4" t="str">
        <f>IF(AI583="",CONCATENATE(S583,U583,W583,Y583,AA583,AC583,AE583,AG583,Table43[[#This Row],[Tanda Kode Revisi]]),CONCATENATE(S583,U583,W583,Y583,AA583,AC583,AE583,AI583))</f>
        <v>G1270104022510</v>
      </c>
      <c r="O583" s="11">
        <f t="shared" si="14"/>
        <v>14</v>
      </c>
      <c r="P583" s="14" t="str">
        <f>IF(AH583&lt;&gt;"",TRIM(UPPER(CONCATENATE(R583," ",T583," ",V583," ",X583," ",Z583," ",AB583," ","X"," ",Table43[[#This Row],[ISI/CTN]]," ",AH583," ",AD583," ",AF583," ",AJ583))),TRIM(UPPER(CONCATENATE(R583," ",T583," ",V583," ",X583," ",Z583," ",AB583," ","X"," ",Table43[[#This Row],[ISI/CTN]]," ",AD583," ",AF583," ",AJ583))))</f>
        <v>STELLA MATIC REFILL FLORAL CITRUS 225ML X 12 KLG</v>
      </c>
      <c r="Q583" s="11">
        <f t="shared" si="15"/>
        <v>48</v>
      </c>
      <c r="S583" s="7" t="s">
        <v>34</v>
      </c>
      <c r="T583" s="4" t="s">
        <v>2359</v>
      </c>
      <c r="U583" s="47" t="s">
        <v>2586</v>
      </c>
      <c r="V583" s="48"/>
      <c r="W583" s="7">
        <v>0</v>
      </c>
      <c r="X583" s="48" t="s">
        <v>2231</v>
      </c>
      <c r="Y583" s="47" t="s">
        <v>2539</v>
      </c>
      <c r="Z583" s="4" t="s">
        <v>2445</v>
      </c>
      <c r="AA583" s="49" t="s">
        <v>2540</v>
      </c>
      <c r="AB583" s="4" t="s">
        <v>646</v>
      </c>
      <c r="AC583" s="49" t="s">
        <v>2609</v>
      </c>
      <c r="AD583" s="4" t="s">
        <v>2221</v>
      </c>
      <c r="AE583" s="7">
        <v>1</v>
      </c>
      <c r="AG583" s="7">
        <v>0</v>
      </c>
      <c r="AK583" s="70">
        <f>Table43[[#This Row],[Column4]]</f>
        <v>30603110225010</v>
      </c>
      <c r="AN583" s="7">
        <f>Table43[[#This Row],[ISI/CTN]]</f>
        <v>12</v>
      </c>
      <c r="AO583" s="38">
        <f>Table43[[#This Row],[Harga Jual Pcs GT
(-PPN)]]-(Table43[[#This Row],[Harga Jual Pcs GT
(-PPN)]]*6.5%)</f>
        <v>26460.5</v>
      </c>
      <c r="AP583" s="38">
        <f>Table43[[#This Row],[Harga Beli Pcs
(-PPN)]]*Table43[[#This Row],[ISI/CTN]]</f>
        <v>317526</v>
      </c>
      <c r="AQ583" s="38">
        <f>Table43[[#This Row],[Harga Beli Pcs
(-PPN)]]*1.11</f>
        <v>29371.155000000002</v>
      </c>
      <c r="AR583" s="38">
        <f>Table43[[#This Row],[Harga Beli Krt
(- PPN)]]*1.11</f>
        <v>352453.86000000004</v>
      </c>
      <c r="AS583" s="38">
        <v>28300</v>
      </c>
      <c r="AT583" s="38">
        <f>Table43[[#This Row],[Harga Jual Pcs GT
(-PPN)]]*Table43[[#This Row],[ISI/CTN]]</f>
        <v>339600</v>
      </c>
      <c r="AU583" s="38">
        <f>Table43[[#This Row],[Harga Jual Pcs GT
(-PPN)]]*1.11</f>
        <v>31413.000000000004</v>
      </c>
      <c r="AV583" s="38">
        <f>Table43[[#This Row],[Harga Jual Krt GT
(- PPN)]]*1.11</f>
        <v>376956.00000000006</v>
      </c>
      <c r="AW583" s="38">
        <f>IFERROR(VLOOKUP(Table43[[#This Row],[Kode Pcpl]],'[1]FEB 2026'!$A$3:$X$312,24,0),0)</f>
        <v>0</v>
      </c>
      <c r="AX583" s="38">
        <f>Table43[[#This Row],[Harga Jual Pcs MT
(-PPN)]]*Table43[[#This Row],[ISI/CTN]]</f>
        <v>0</v>
      </c>
      <c r="AY583" s="38">
        <f>Table43[[#This Row],[Harga Jual Pcs MT
(-PPN)]]*1.11</f>
        <v>0</v>
      </c>
      <c r="AZ583" s="38">
        <f>Table43[[#This Row],[Harga Jual Pcs MT
(+PPN)]]*Table43[[#This Row],[ISI/CTN]]</f>
        <v>0</v>
      </c>
      <c r="BA583" s="46">
        <f>(Table43[[#This Row],[Harga Jual Pcs GT
(-PPN)]]-Table43[[#This Row],[Harga Beli Pcs
(-PPN)]])/Table43[[#This Row],[Harga Jual Pcs GT
(-PPN)]]</f>
        <v>6.5000000000000002E-2</v>
      </c>
      <c r="BB583" s="53">
        <f>Table43[[#This Row],[Harga Jual Pcs MT
(-PPN)]]-Table43[[#This Row],[Harga Beli Pcs
(-PPN)]]</f>
        <v>-26460.5</v>
      </c>
      <c r="BC583" s="54" t="e">
        <f>Table43[[#This Row],[Column1]]/Table43[[#This Row],[Harga Jual Pcs MT
(-PPN)]]</f>
        <v>#DIV/0!</v>
      </c>
      <c r="BD583" s="52"/>
      <c r="BE583" s="7"/>
      <c r="BF583" s="7" t="str">
        <f ca="1">IF(TODAY()-Table43[[#This Row],[Efektif
Pembuatan]]&gt;60,"Lama","Baru")</f>
        <v>Lama</v>
      </c>
      <c r="BG583" s="7" t="str">
        <f ca="1">IF(TODAY()-Table43[[#This Row],[Efektif Naik Harga]]&lt;30,"Naik","Sama")</f>
        <v>Sama</v>
      </c>
      <c r="BH583" s="7"/>
      <c r="BI583" s="7" t="str">
        <f>IF(Table43[[#This Row],[Kode BARANG Win2]]&lt;&gt;"","IDR","")</f>
        <v>IDR</v>
      </c>
      <c r="BJ583" s="7" t="str">
        <f>CONCATENATE(Table43[[#This Row],[kode  1 Digit
(Nomor)]],Table43[[#This Row],[kode  4 Digit                (Nomor)]])</f>
        <v>0225</v>
      </c>
      <c r="BK583" s="7" t="str">
        <f>Table43[[#This Row],[Nama            Gramasi atau Jumlah Pack per CTN]]</f>
        <v>225ML</v>
      </c>
      <c r="BL583" s="7"/>
      <c r="BM583" s="7"/>
      <c r="BN583" s="4" t="str">
        <f>IF(Table43[[#This Row],[SATUAN Fix Win]]&lt;&gt;"","KRT")</f>
        <v>KRT</v>
      </c>
      <c r="BO583" s="4" t="str">
        <f>IF(Table43[[#This Row],[SATUAN Fix Win]]&lt;&gt;"","GD01")</f>
        <v>GD01</v>
      </c>
      <c r="BP583" s="4">
        <f>IF(Table43[[#This Row],[SATUAN Fix Win]]&lt;&gt;"",11611)</f>
        <v>11611</v>
      </c>
      <c r="BQ583" s="4">
        <f>IF(Table43[[#This Row],[SATUAN Fix Win]]&lt;&gt;"",11612)</f>
        <v>11612</v>
      </c>
      <c r="BS583" s="4">
        <f>IF(Table43[[#This Row],[SATUAN Fix Win]]&lt;&gt;"",1)</f>
        <v>1</v>
      </c>
      <c r="BU583" s="4">
        <f>Table43[[#This Row],[ISI/CTN]]</f>
        <v>12</v>
      </c>
    </row>
    <row r="584" spans="1:73">
      <c r="A584" s="4" t="str">
        <f>CONCATENATE(Table43[[#This Row],[Kode BARANG Win2]],Table43[[#This Row],[No. Urut
Item Sama]])</f>
        <v>G1270105016010</v>
      </c>
      <c r="B584" s="7"/>
      <c r="C584" s="31">
        <v>30621020000000</v>
      </c>
      <c r="D584" s="51">
        <v>40050027</v>
      </c>
      <c r="E584" s="27" t="s">
        <v>2155</v>
      </c>
      <c r="F584" s="51">
        <v>30603040225010</v>
      </c>
      <c r="G584" s="51">
        <v>0</v>
      </c>
      <c r="H584" s="27" t="s">
        <v>1491</v>
      </c>
      <c r="I584" s="27">
        <v>12</v>
      </c>
      <c r="J584" s="51" t="s">
        <v>1822</v>
      </c>
      <c r="K584" s="27" t="str">
        <f>Table43[[#This Row],[NamaJenisKemasan]]</f>
        <v>KLG</v>
      </c>
      <c r="L584" s="4" t="str">
        <f>TRIM(CONCATENATE(Table43[[#This Row],[Nama            KLP]]," ",Table43[[#This Row],[Nama            Sub KLP]]))</f>
        <v>STELLA MATIC</v>
      </c>
      <c r="M584" s="4" t="str">
        <f>CONCATENATE(Table43[[#This Row],[kode  2 Digit                (hrf+No)]],Table43[[#This Row],[kode  2 Digit                (Nomor)]],Table43[[#This Row],[kode  1 Digit                (Nomor)]])</f>
        <v>G1270</v>
      </c>
      <c r="N584" s="4" t="str">
        <f>IF(AI584="",CONCATENATE(S584,U584,W584,Y584,AA584,AC584,AE584,AG584,Table43[[#This Row],[Tanda Kode Revisi]]),CONCATENATE(S584,U584,W584,Y584,AA584,AC584,AE584,AI584))</f>
        <v>G1270105016010</v>
      </c>
      <c r="O584" s="11">
        <f t="shared" si="14"/>
        <v>14</v>
      </c>
      <c r="P584" s="14" t="str">
        <f>IF(AH584&lt;&gt;"",TRIM(UPPER(CONCATENATE(R584," ",T584," ",V584," ",X584," ",Z584," ",AB584," ","X"," ",Table43[[#This Row],[ISI/CTN]]," ",AH584," ",AD584," ",AF584," ",AJ584))),TRIM(UPPER(CONCATENATE(R584," ",T584," ",V584," ",X584," ",Z584," ",AB584," ","X"," ",Table43[[#This Row],[ISI/CTN]]," ",AD584," ",AF584," ",AJ584))))</f>
        <v>STELLA MATIC REFILL GREEN FANTASY 160ML X 12 KLG</v>
      </c>
      <c r="Q584" s="11">
        <f t="shared" si="15"/>
        <v>48</v>
      </c>
      <c r="S584" s="7" t="s">
        <v>34</v>
      </c>
      <c r="T584" s="4" t="s">
        <v>2359</v>
      </c>
      <c r="U584" s="47" t="s">
        <v>2586</v>
      </c>
      <c r="V584" s="48"/>
      <c r="W584" s="7">
        <v>0</v>
      </c>
      <c r="X584" s="48" t="s">
        <v>2231</v>
      </c>
      <c r="Y584" s="47" t="s">
        <v>2539</v>
      </c>
      <c r="Z584" s="4" t="s">
        <v>2444</v>
      </c>
      <c r="AA584" s="49" t="s">
        <v>2541</v>
      </c>
      <c r="AB584" s="4" t="s">
        <v>2377</v>
      </c>
      <c r="AC584" s="49" t="s">
        <v>2601</v>
      </c>
      <c r="AD584" s="4" t="s">
        <v>2221</v>
      </c>
      <c r="AE584" s="7">
        <v>1</v>
      </c>
      <c r="AG584" s="7">
        <v>0</v>
      </c>
      <c r="AK584" s="70">
        <f>Table43[[#This Row],[Column4]]</f>
        <v>30603040225010</v>
      </c>
      <c r="AN584" s="7">
        <f>Table43[[#This Row],[ISI/CTN]]</f>
        <v>12</v>
      </c>
      <c r="AO584" s="38">
        <f>Table43[[#This Row],[Harga Jual Pcs GT
(-PPN)]]-(Table43[[#This Row],[Harga Jual Pcs GT
(-PPN)]]*6.5%)</f>
        <v>26460.5</v>
      </c>
      <c r="AP584" s="38">
        <f>Table43[[#This Row],[Harga Beli Pcs
(-PPN)]]*Table43[[#This Row],[ISI/CTN]]</f>
        <v>317526</v>
      </c>
      <c r="AQ584" s="38">
        <f>Table43[[#This Row],[Harga Beli Pcs
(-PPN)]]*1.11</f>
        <v>29371.155000000002</v>
      </c>
      <c r="AR584" s="38">
        <f>Table43[[#This Row],[Harga Beli Krt
(- PPN)]]*1.11</f>
        <v>352453.86000000004</v>
      </c>
      <c r="AS584" s="38">
        <v>28300</v>
      </c>
      <c r="AT584" s="38">
        <f>Table43[[#This Row],[Harga Jual Pcs GT
(-PPN)]]*Table43[[#This Row],[ISI/CTN]]</f>
        <v>339600</v>
      </c>
      <c r="AU584" s="38">
        <f>Table43[[#This Row],[Harga Jual Pcs GT
(-PPN)]]*1.11</f>
        <v>31413.000000000004</v>
      </c>
      <c r="AV584" s="38">
        <f>Table43[[#This Row],[Harga Jual Krt GT
(- PPN)]]*1.11</f>
        <v>376956.00000000006</v>
      </c>
      <c r="AW584" s="38">
        <f>IFERROR(VLOOKUP(Table43[[#This Row],[Kode Pcpl]],'[1]FEB 2026'!$A$3:$X$312,24,0),0)</f>
        <v>0</v>
      </c>
      <c r="AX584" s="38">
        <f>Table43[[#This Row],[Harga Jual Pcs MT
(-PPN)]]*Table43[[#This Row],[ISI/CTN]]</f>
        <v>0</v>
      </c>
      <c r="AY584" s="38">
        <f>Table43[[#This Row],[Harga Jual Pcs MT
(-PPN)]]*1.11</f>
        <v>0</v>
      </c>
      <c r="AZ584" s="38">
        <f>Table43[[#This Row],[Harga Jual Pcs MT
(+PPN)]]*Table43[[#This Row],[ISI/CTN]]</f>
        <v>0</v>
      </c>
      <c r="BA584" s="46">
        <f>(Table43[[#This Row],[Harga Jual Pcs GT
(-PPN)]]-Table43[[#This Row],[Harga Beli Pcs
(-PPN)]])/Table43[[#This Row],[Harga Jual Pcs GT
(-PPN)]]</f>
        <v>6.5000000000000002E-2</v>
      </c>
      <c r="BB584" s="53">
        <f>Table43[[#This Row],[Harga Jual Pcs MT
(-PPN)]]-Table43[[#This Row],[Harga Beli Pcs
(-PPN)]]</f>
        <v>-26460.5</v>
      </c>
      <c r="BC584" s="54" t="e">
        <f>Table43[[#This Row],[Column1]]/Table43[[#This Row],[Harga Jual Pcs MT
(-PPN)]]</f>
        <v>#DIV/0!</v>
      </c>
      <c r="BD584" s="52"/>
      <c r="BE584" s="7"/>
      <c r="BF584" s="7" t="str">
        <f ca="1">IF(TODAY()-Table43[[#This Row],[Efektif
Pembuatan]]&gt;60,"Lama","Baru")</f>
        <v>Lama</v>
      </c>
      <c r="BG584" s="7" t="str">
        <f ca="1">IF(TODAY()-Table43[[#This Row],[Efektif Naik Harga]]&lt;30,"Naik","Sama")</f>
        <v>Sama</v>
      </c>
      <c r="BH584" s="7"/>
      <c r="BI584" s="7" t="str">
        <f>IF(Table43[[#This Row],[Kode BARANG Win2]]&lt;&gt;"","IDR","")</f>
        <v>IDR</v>
      </c>
      <c r="BJ584" s="7" t="str">
        <f>CONCATENATE(Table43[[#This Row],[kode  1 Digit
(Nomor)]],Table43[[#This Row],[kode  4 Digit                (Nomor)]])</f>
        <v>0160</v>
      </c>
      <c r="BK584" s="7" t="str">
        <f>Table43[[#This Row],[Nama            Gramasi atau Jumlah Pack per CTN]]</f>
        <v>160ML</v>
      </c>
      <c r="BL584" s="7"/>
      <c r="BM584" s="7"/>
      <c r="BN584" s="4" t="str">
        <f>IF(Table43[[#This Row],[SATUAN Fix Win]]&lt;&gt;"","KRT")</f>
        <v>KRT</v>
      </c>
      <c r="BO584" s="4" t="str">
        <f>IF(Table43[[#This Row],[SATUAN Fix Win]]&lt;&gt;"","GD01")</f>
        <v>GD01</v>
      </c>
      <c r="BP584" s="4">
        <f>IF(Table43[[#This Row],[SATUAN Fix Win]]&lt;&gt;"",11611)</f>
        <v>11611</v>
      </c>
      <c r="BQ584" s="4">
        <f>IF(Table43[[#This Row],[SATUAN Fix Win]]&lt;&gt;"",11612)</f>
        <v>11612</v>
      </c>
      <c r="BS584" s="4">
        <f>IF(Table43[[#This Row],[SATUAN Fix Win]]&lt;&gt;"",1)</f>
        <v>1</v>
      </c>
      <c r="BU584" s="4">
        <f>Table43[[#This Row],[ISI/CTN]]</f>
        <v>12</v>
      </c>
    </row>
    <row r="585" spans="1:73">
      <c r="A585" s="4" t="str">
        <f>CONCATENATE(Table43[[#This Row],[Kode BARANG Win2]],Table43[[#This Row],[No. Urut
Item Sama]])</f>
        <v>G1270105016010</v>
      </c>
      <c r="B585" s="7"/>
      <c r="C585" s="31"/>
      <c r="D585" s="51">
        <v>40043492</v>
      </c>
      <c r="E585" s="27"/>
      <c r="F585" s="51"/>
      <c r="G585" s="51"/>
      <c r="H585" s="27"/>
      <c r="I585" s="27">
        <v>12</v>
      </c>
      <c r="J585" s="51" t="s">
        <v>1822</v>
      </c>
      <c r="K585" s="27" t="str">
        <f>Table43[[#This Row],[NamaJenisKemasan]]</f>
        <v>KLG</v>
      </c>
      <c r="L585" s="4" t="str">
        <f>TRIM(CONCATENATE(Table43[[#This Row],[Nama            KLP]]," ",Table43[[#This Row],[Nama            Sub KLP]]))</f>
        <v>STELLA MATIC</v>
      </c>
      <c r="M585" s="4" t="str">
        <f>CONCATENATE(Table43[[#This Row],[kode  2 Digit                (hrf+No)]],Table43[[#This Row],[kode  2 Digit                (Nomor)]],Table43[[#This Row],[kode  1 Digit                (Nomor)]])</f>
        <v>G1270</v>
      </c>
      <c r="N585" s="4" t="str">
        <f>IF(AI585="",CONCATENATE(S585,U585,W585,Y585,AA585,AC585,AE585,AG585,Table43[[#This Row],[Tanda Kode Revisi]]),CONCATENATE(S585,U585,W585,Y585,AA585,AC585,AE585,AI585))</f>
        <v>G1270105016010</v>
      </c>
      <c r="O585" s="11">
        <f>LEN(N585)</f>
        <v>14</v>
      </c>
      <c r="P585" s="14" t="str">
        <f>IF(AH585&lt;&gt;"",TRIM(UPPER(CONCATENATE(R585," ",T585," ",V585," ",X585," ",Z585," ",AB585," ","X"," ",Table43[[#This Row],[ISI/CTN]]," ",AH585," ",AD585," ",AF585," ",AJ585))),TRIM(UPPER(CONCATENATE(R585," ",T585," ",V585," ",X585," ",Z585," ",AB585," ","X"," ",Table43[[#This Row],[ISI/CTN]]," ",AD585," ",AF585," ",AJ585))))</f>
        <v>STELLA MATIC REFILL GREEN FANTASY 160ML X 12 KLG</v>
      </c>
      <c r="Q585" s="11">
        <f>LEN(P585)</f>
        <v>48</v>
      </c>
      <c r="S585" s="7" t="s">
        <v>34</v>
      </c>
      <c r="T585" s="4" t="s">
        <v>2359</v>
      </c>
      <c r="U585" s="47" t="s">
        <v>2586</v>
      </c>
      <c r="V585" s="48"/>
      <c r="W585" s="7">
        <v>0</v>
      </c>
      <c r="X585" s="48" t="s">
        <v>2231</v>
      </c>
      <c r="Y585" s="47" t="s">
        <v>2539</v>
      </c>
      <c r="Z585" s="4" t="s">
        <v>2444</v>
      </c>
      <c r="AA585" s="49" t="s">
        <v>2541</v>
      </c>
      <c r="AB585" s="4" t="s">
        <v>2377</v>
      </c>
      <c r="AC585" s="49" t="s">
        <v>2601</v>
      </c>
      <c r="AD585" s="4" t="s">
        <v>2221</v>
      </c>
      <c r="AE585" s="7">
        <v>1</v>
      </c>
      <c r="AG585" s="7">
        <v>0</v>
      </c>
      <c r="AK585" s="70">
        <f>Table43[[#This Row],[Column4]]</f>
        <v>0</v>
      </c>
      <c r="AN585" s="7">
        <f>Table43[[#This Row],[ISI/CTN]]</f>
        <v>12</v>
      </c>
      <c r="AO585" s="38">
        <f>Table43[[#This Row],[Harga Jual Pcs GT
(-PPN)]]-(Table43[[#This Row],[Harga Jual Pcs GT
(-PPN)]]*6.5%)</f>
        <v>0</v>
      </c>
      <c r="AP585" s="38">
        <f>Table43[[#This Row],[Harga Beli Pcs
(-PPN)]]*Table43[[#This Row],[ISI/CTN]]</f>
        <v>0</v>
      </c>
      <c r="AQ585" s="38">
        <f>Table43[[#This Row],[Harga Beli Pcs
(-PPN)]]*1.11</f>
        <v>0</v>
      </c>
      <c r="AR585" s="38">
        <f>Table43[[#This Row],[Harga Beli Krt
(- PPN)]]*1.11</f>
        <v>0</v>
      </c>
      <c r="AS585" s="38"/>
      <c r="AT585" s="38">
        <f>Table43[[#This Row],[Harga Jual Pcs GT
(-PPN)]]*Table43[[#This Row],[ISI/CTN]]</f>
        <v>0</v>
      </c>
      <c r="AU585" s="38">
        <f>Table43[[#This Row],[Harga Jual Pcs GT
(-PPN)]]*1.11</f>
        <v>0</v>
      </c>
      <c r="AV585" s="38">
        <f>Table43[[#This Row],[Harga Jual Krt GT
(- PPN)]]*1.11</f>
        <v>0</v>
      </c>
      <c r="AW585" s="38">
        <f>IFERROR(VLOOKUP(Table43[[#This Row],[Kode Pcpl]],'[1]FEB 2026'!$A$3:$X$312,24,0),0)</f>
        <v>0</v>
      </c>
      <c r="AX585" s="38">
        <f>Table43[[#This Row],[Harga Jual Pcs MT
(-PPN)]]*Table43[[#This Row],[ISI/CTN]]</f>
        <v>0</v>
      </c>
      <c r="AY585" s="38">
        <f>Table43[[#This Row],[Harga Jual Pcs MT
(-PPN)]]*1.11</f>
        <v>0</v>
      </c>
      <c r="AZ585" s="38">
        <f>Table43[[#This Row],[Harga Jual Pcs MT
(+PPN)]]*Table43[[#This Row],[ISI/CTN]]</f>
        <v>0</v>
      </c>
      <c r="BA585" s="46" t="e">
        <f>(Table43[[#This Row],[Harga Jual Pcs GT
(-PPN)]]-Table43[[#This Row],[Harga Beli Pcs
(-PPN)]])/Table43[[#This Row],[Harga Jual Pcs GT
(-PPN)]]</f>
        <v>#DIV/0!</v>
      </c>
      <c r="BB585" s="53">
        <f>Table43[[#This Row],[Harga Jual Pcs MT
(-PPN)]]-Table43[[#This Row],[Harga Beli Pcs
(-PPN)]]</f>
        <v>0</v>
      </c>
      <c r="BC585" s="54" t="e">
        <f>Table43[[#This Row],[Column1]]/Table43[[#This Row],[Harga Jual Pcs MT
(-PPN)]]</f>
        <v>#DIV/0!</v>
      </c>
      <c r="BD585" s="52"/>
      <c r="BE585" s="7"/>
      <c r="BF585" s="7" t="str">
        <f ca="1">IF(TODAY()-Table43[[#This Row],[Efektif
Pembuatan]]&gt;60,"Lama","Baru")</f>
        <v>Lama</v>
      </c>
      <c r="BG585" s="7" t="str">
        <f ca="1">IF(TODAY()-Table43[[#This Row],[Efektif Naik Harga]]&lt;30,"Naik","Sama")</f>
        <v>Sama</v>
      </c>
      <c r="BH585" s="7"/>
      <c r="BI585" s="7" t="str">
        <f>IF(Table43[[#This Row],[Kode BARANG Win2]]&lt;&gt;"","IDR","")</f>
        <v>IDR</v>
      </c>
      <c r="BJ585" s="7" t="str">
        <f>CONCATENATE(Table43[[#This Row],[kode  1 Digit
(Nomor)]],Table43[[#This Row],[kode  4 Digit                (Nomor)]])</f>
        <v>0160</v>
      </c>
      <c r="BK585" s="7" t="str">
        <f>Table43[[#This Row],[Nama            Gramasi atau Jumlah Pack per CTN]]</f>
        <v>160ML</v>
      </c>
      <c r="BL585" s="7"/>
      <c r="BM585" s="7"/>
      <c r="BN585" s="4" t="str">
        <f>IF(Table43[[#This Row],[SATUAN Fix Win]]&lt;&gt;"","KRT")</f>
        <v>KRT</v>
      </c>
      <c r="BO585" s="4" t="str">
        <f>IF(Table43[[#This Row],[SATUAN Fix Win]]&lt;&gt;"","GD01")</f>
        <v>GD01</v>
      </c>
      <c r="BP585" s="4">
        <f>IF(Table43[[#This Row],[SATUAN Fix Win]]&lt;&gt;"",11611)</f>
        <v>11611</v>
      </c>
      <c r="BQ585" s="4">
        <f>IF(Table43[[#This Row],[SATUAN Fix Win]]&lt;&gt;"",11612)</f>
        <v>11612</v>
      </c>
      <c r="BS585" s="4">
        <f>IF(Table43[[#This Row],[SATUAN Fix Win]]&lt;&gt;"",1)</f>
        <v>1</v>
      </c>
      <c r="BU585" s="4">
        <f>Table43[[#This Row],[ISI/CTN]]</f>
        <v>12</v>
      </c>
    </row>
    <row r="586" spans="1:73">
      <c r="A586" s="4" t="str">
        <f>CONCATENATE(Table43[[#This Row],[Kode BARANG Win2]],Table43[[#This Row],[No. Urut
Item Sama]])</f>
        <v>G1270105016010</v>
      </c>
      <c r="B586" s="7"/>
      <c r="C586" s="31">
        <v>30611080225000</v>
      </c>
      <c r="D586" s="51">
        <v>40059947</v>
      </c>
      <c r="E586" s="27" t="s">
        <v>2155</v>
      </c>
      <c r="F586" s="51">
        <v>30603040225010</v>
      </c>
      <c r="G586" s="51">
        <v>0</v>
      </c>
      <c r="H586" s="27" t="s">
        <v>1492</v>
      </c>
      <c r="I586" s="27">
        <v>12</v>
      </c>
      <c r="J586" s="51" t="s">
        <v>1822</v>
      </c>
      <c r="K586" s="27" t="str">
        <f>Table43[[#This Row],[NamaJenisKemasan]]</f>
        <v>KLG</v>
      </c>
      <c r="L586" s="4" t="str">
        <f>TRIM(CONCATENATE(Table43[[#This Row],[Nama            KLP]]," ",Table43[[#This Row],[Nama            Sub KLP]]))</f>
        <v>STELLA MATIC</v>
      </c>
      <c r="M586" s="4" t="str">
        <f>CONCATENATE(Table43[[#This Row],[kode  2 Digit                (hrf+No)]],Table43[[#This Row],[kode  2 Digit                (Nomor)]],Table43[[#This Row],[kode  1 Digit                (Nomor)]])</f>
        <v>G1270</v>
      </c>
      <c r="N586" s="4" t="str">
        <f>IF(AI586="",CONCATENATE(S586,U586,W586,Y586,AA586,AC586,AE586,AG586,Table43[[#This Row],[Tanda Kode Revisi]]),CONCATENATE(S586,U586,W586,Y586,AA586,AC586,AE586,AI586))</f>
        <v>G1270105016010</v>
      </c>
      <c r="O586" s="11">
        <f t="shared" si="14"/>
        <v>14</v>
      </c>
      <c r="P586" s="14" t="str">
        <f>IF(AH586&lt;&gt;"",TRIM(UPPER(CONCATENATE(R586," ",T586," ",V586," ",X586," ",Z586," ",AB586," ","X"," ",Table43[[#This Row],[ISI/CTN]]," ",AH586," ",AD586," ",AF586," ",AJ586))),TRIM(UPPER(CONCATENATE(R586," ",T586," ",V586," ",X586," ",Z586," ",AB586," ","X"," ",Table43[[#This Row],[ISI/CTN]]," ",AD586," ",AF586," ",AJ586))))</f>
        <v>STELLA MATIC REFILL GREEN FANTASY 160ML X 12 KLG</v>
      </c>
      <c r="Q586" s="11">
        <f t="shared" si="15"/>
        <v>48</v>
      </c>
      <c r="S586" s="7" t="s">
        <v>34</v>
      </c>
      <c r="T586" s="4" t="s">
        <v>2359</v>
      </c>
      <c r="U586" s="47" t="s">
        <v>2586</v>
      </c>
      <c r="V586" s="48"/>
      <c r="W586" s="7">
        <v>0</v>
      </c>
      <c r="X586" s="48" t="s">
        <v>2231</v>
      </c>
      <c r="Y586" s="47" t="s">
        <v>2539</v>
      </c>
      <c r="Z586" s="4" t="s">
        <v>2444</v>
      </c>
      <c r="AA586" s="49" t="s">
        <v>2541</v>
      </c>
      <c r="AB586" s="4" t="s">
        <v>2377</v>
      </c>
      <c r="AC586" s="49" t="s">
        <v>2601</v>
      </c>
      <c r="AD586" s="4" t="s">
        <v>2221</v>
      </c>
      <c r="AE586" s="7">
        <v>1</v>
      </c>
      <c r="AG586" s="7">
        <v>0</v>
      </c>
      <c r="AK586" s="70">
        <f>Table43[[#This Row],[Column4]]</f>
        <v>30603040225010</v>
      </c>
      <c r="AN586" s="7">
        <f>Table43[[#This Row],[ISI/CTN]]</f>
        <v>12</v>
      </c>
      <c r="AO586" s="61">
        <f>Table43[[#This Row],[Harga Jual Pcs GT
(-PPN)]]-(Table43[[#This Row],[Harga Jual Pcs GT
(-PPN)]]*6.5%)</f>
        <v>26460.5</v>
      </c>
      <c r="AP586" s="61">
        <f>Table43[[#This Row],[Harga Beli Pcs
(-PPN)]]*Table43[[#This Row],[ISI/CTN]]</f>
        <v>317526</v>
      </c>
      <c r="AQ586" s="61">
        <f>Table43[[#This Row],[Harga Beli Pcs
(-PPN)]]*1.11</f>
        <v>29371.155000000002</v>
      </c>
      <c r="AR586" s="61">
        <f>Table43[[#This Row],[Harga Beli Krt
(- PPN)]]*1.11</f>
        <v>352453.86000000004</v>
      </c>
      <c r="AS586" s="61">
        <v>28300</v>
      </c>
      <c r="AT586" s="61">
        <f>Table43[[#This Row],[Harga Jual Pcs GT
(-PPN)]]*Table43[[#This Row],[ISI/CTN]]</f>
        <v>339600</v>
      </c>
      <c r="AU586" s="61">
        <f>Table43[[#This Row],[Harga Jual Pcs GT
(-PPN)]]*1.11</f>
        <v>31413.000000000004</v>
      </c>
      <c r="AV586" s="61">
        <f>Table43[[#This Row],[Harga Jual Krt GT
(- PPN)]]*1.11</f>
        <v>376956.00000000006</v>
      </c>
      <c r="AW586" s="61">
        <f>IFERROR(VLOOKUP(Table43[[#This Row],[Kode Pcpl]],'[1]FEB 2026'!$A$3:$X$312,24,0),0)</f>
        <v>0</v>
      </c>
      <c r="AX586" s="61">
        <f>Table43[[#This Row],[Harga Jual Pcs MT
(-PPN)]]*Table43[[#This Row],[ISI/CTN]]</f>
        <v>0</v>
      </c>
      <c r="AY586" s="61">
        <f>Table43[[#This Row],[Harga Jual Pcs MT
(-PPN)]]*1.11</f>
        <v>0</v>
      </c>
      <c r="AZ586" s="61">
        <f>Table43[[#This Row],[Harga Jual Pcs MT
(+PPN)]]*Table43[[#This Row],[ISI/CTN]]</f>
        <v>0</v>
      </c>
      <c r="BA586" s="62">
        <f>(Table43[[#This Row],[Harga Jual Pcs GT
(-PPN)]]-Table43[[#This Row],[Harga Beli Pcs
(-PPN)]])/Table43[[#This Row],[Harga Jual Pcs GT
(-PPN)]]</f>
        <v>6.5000000000000002E-2</v>
      </c>
      <c r="BB586" s="63">
        <f>Table43[[#This Row],[Harga Jual Pcs MT
(-PPN)]]-Table43[[#This Row],[Harga Beli Pcs
(-PPN)]]</f>
        <v>-26460.5</v>
      </c>
      <c r="BC586" s="64" t="e">
        <f>Table43[[#This Row],[Column1]]/Table43[[#This Row],[Harga Jual Pcs MT
(-PPN)]]</f>
        <v>#DIV/0!</v>
      </c>
      <c r="BD586" s="52"/>
      <c r="BE586" s="7"/>
      <c r="BF586" s="7" t="str">
        <f ca="1">IF(TODAY()-Table43[[#This Row],[Efektif
Pembuatan]]&gt;60,"Lama","Baru")</f>
        <v>Lama</v>
      </c>
      <c r="BG586" s="7" t="str">
        <f ca="1">IF(TODAY()-Table43[[#This Row],[Efektif Naik Harga]]&lt;30,"Naik","Sama")</f>
        <v>Sama</v>
      </c>
      <c r="BH586" s="7"/>
      <c r="BI586" s="7" t="str">
        <f>IF(Table43[[#This Row],[Kode BARANG Win2]]&lt;&gt;"","IDR","")</f>
        <v>IDR</v>
      </c>
      <c r="BJ586" s="7" t="str">
        <f>CONCATENATE(Table43[[#This Row],[kode  1 Digit
(Nomor)]],Table43[[#This Row],[kode  4 Digit                (Nomor)]])</f>
        <v>0160</v>
      </c>
      <c r="BK586" s="7" t="str">
        <f>Table43[[#This Row],[Nama            Gramasi atau Jumlah Pack per CTN]]</f>
        <v>160ML</v>
      </c>
      <c r="BL586" s="7"/>
      <c r="BM586" s="7"/>
      <c r="BN586" s="4" t="str">
        <f>IF(Table43[[#This Row],[SATUAN Fix Win]]&lt;&gt;"","KRT")</f>
        <v>KRT</v>
      </c>
      <c r="BO586" s="4" t="str">
        <f>IF(Table43[[#This Row],[SATUAN Fix Win]]&lt;&gt;"","GD01")</f>
        <v>GD01</v>
      </c>
      <c r="BP586" s="4">
        <f>IF(Table43[[#This Row],[SATUAN Fix Win]]&lt;&gt;"",11611)</f>
        <v>11611</v>
      </c>
      <c r="BQ586" s="4">
        <f>IF(Table43[[#This Row],[SATUAN Fix Win]]&lt;&gt;"",11612)</f>
        <v>11612</v>
      </c>
      <c r="BS586" s="4">
        <f>IF(Table43[[#This Row],[SATUAN Fix Win]]&lt;&gt;"",1)</f>
        <v>1</v>
      </c>
      <c r="BU586" s="4">
        <f>Table43[[#This Row],[ISI/CTN]]</f>
        <v>12</v>
      </c>
    </row>
    <row r="587" spans="1:73">
      <c r="A587" s="4" t="str">
        <f>CONCATENATE(Table43[[#This Row],[Kode BARANG Win2]],Table43[[#This Row],[No. Urut
Item Sama]])</f>
        <v>G1270105016010</v>
      </c>
      <c r="B587" s="7"/>
      <c r="C587" s="31"/>
      <c r="D587" s="51">
        <v>40007714</v>
      </c>
      <c r="E587" s="27"/>
      <c r="F587" s="51"/>
      <c r="G587" s="51"/>
      <c r="H587" s="27"/>
      <c r="I587" s="27">
        <v>12</v>
      </c>
      <c r="J587" s="51" t="s">
        <v>1822</v>
      </c>
      <c r="K587" s="27" t="str">
        <f>Table43[[#This Row],[NamaJenisKemasan]]</f>
        <v>KLG</v>
      </c>
      <c r="L587" s="4" t="str">
        <f>TRIM(CONCATENATE(Table43[[#This Row],[Nama            KLP]]," ",Table43[[#This Row],[Nama            Sub KLP]]))</f>
        <v>STELLA MATIC</v>
      </c>
      <c r="M587" s="4" t="str">
        <f>CONCATENATE(Table43[[#This Row],[kode  2 Digit                (hrf+No)]],Table43[[#This Row],[kode  2 Digit                (Nomor)]],Table43[[#This Row],[kode  1 Digit                (Nomor)]])</f>
        <v>G1270</v>
      </c>
      <c r="N587" s="4" t="str">
        <f>IF(AI587="",CONCATENATE(S587,U587,W587,Y587,AA587,AC587,AE587,AG587,Table43[[#This Row],[Tanda Kode Revisi]]),CONCATENATE(S587,U587,W587,Y587,AA587,AC587,AE587,AI587))</f>
        <v>G1270105016010</v>
      </c>
      <c r="O587" s="11">
        <f>LEN(N587)</f>
        <v>14</v>
      </c>
      <c r="P587" s="14" t="str">
        <f>IF(AH587&lt;&gt;"",TRIM(UPPER(CONCATENATE(R587," ",T587," ",V587," ",X587," ",Z587," ",AB587," ","X"," ",Table43[[#This Row],[ISI/CTN]]," ",AH587," ",AD587," ",AF587," ",AJ587))),TRIM(UPPER(CONCATENATE(R587," ",T587," ",V587," ",X587," ",Z587," ",AB587," ","X"," ",Table43[[#This Row],[ISI/CTN]]," ",AD587," ",AF587," ",AJ587))))</f>
        <v>STELLA MATIC REFILL GREEN FANTASY 160ML X 12 KLG</v>
      </c>
      <c r="Q587" s="11">
        <f>LEN(P587)</f>
        <v>48</v>
      </c>
      <c r="S587" s="7" t="s">
        <v>34</v>
      </c>
      <c r="T587" s="4" t="s">
        <v>2359</v>
      </c>
      <c r="U587" s="47" t="s">
        <v>2586</v>
      </c>
      <c r="V587" s="48"/>
      <c r="W587" s="7">
        <v>0</v>
      </c>
      <c r="X587" s="48" t="s">
        <v>2231</v>
      </c>
      <c r="Y587" s="47" t="s">
        <v>2539</v>
      </c>
      <c r="Z587" s="4" t="s">
        <v>2444</v>
      </c>
      <c r="AA587" s="49" t="s">
        <v>2541</v>
      </c>
      <c r="AB587" s="4" t="s">
        <v>2377</v>
      </c>
      <c r="AC587" s="49" t="s">
        <v>2601</v>
      </c>
      <c r="AD587" s="4" t="s">
        <v>2221</v>
      </c>
      <c r="AE587" s="7">
        <v>1</v>
      </c>
      <c r="AG587" s="7">
        <v>0</v>
      </c>
      <c r="AK587" s="70">
        <f>Table43[[#This Row],[Column4]]</f>
        <v>0</v>
      </c>
      <c r="AN587" s="7">
        <f>Table43[[#This Row],[ISI/CTN]]</f>
        <v>12</v>
      </c>
      <c r="AO587" s="61">
        <f>Table43[[#This Row],[Harga Jual Pcs GT
(-PPN)]]-(Table43[[#This Row],[Harga Jual Pcs GT
(-PPN)]]*6.5%)</f>
        <v>0</v>
      </c>
      <c r="AP587" s="61">
        <f>Table43[[#This Row],[Harga Beli Pcs
(-PPN)]]*Table43[[#This Row],[ISI/CTN]]</f>
        <v>0</v>
      </c>
      <c r="AQ587" s="61">
        <f>Table43[[#This Row],[Harga Beli Pcs
(-PPN)]]*1.11</f>
        <v>0</v>
      </c>
      <c r="AR587" s="61">
        <f>Table43[[#This Row],[Harga Beli Krt
(- PPN)]]*1.11</f>
        <v>0</v>
      </c>
      <c r="AS587" s="61"/>
      <c r="AT587" s="61">
        <f>Table43[[#This Row],[Harga Jual Pcs GT
(-PPN)]]*Table43[[#This Row],[ISI/CTN]]</f>
        <v>0</v>
      </c>
      <c r="AU587" s="61">
        <f>Table43[[#This Row],[Harga Jual Pcs GT
(-PPN)]]*1.11</f>
        <v>0</v>
      </c>
      <c r="AV587" s="61">
        <f>Table43[[#This Row],[Harga Jual Krt GT
(- PPN)]]*1.11</f>
        <v>0</v>
      </c>
      <c r="AW587" s="61">
        <f>IFERROR(VLOOKUP(Table43[[#This Row],[Kode Pcpl]],'[1]FEB 2026'!$A$3:$X$312,24,0),0)</f>
        <v>0</v>
      </c>
      <c r="AX587" s="61">
        <f>Table43[[#This Row],[Harga Jual Pcs MT
(-PPN)]]*Table43[[#This Row],[ISI/CTN]]</f>
        <v>0</v>
      </c>
      <c r="AY587" s="61">
        <f>Table43[[#This Row],[Harga Jual Pcs MT
(-PPN)]]*1.11</f>
        <v>0</v>
      </c>
      <c r="AZ587" s="61">
        <f>Table43[[#This Row],[Harga Jual Pcs MT
(+PPN)]]*Table43[[#This Row],[ISI/CTN]]</f>
        <v>0</v>
      </c>
      <c r="BA587" s="62" t="e">
        <f>(Table43[[#This Row],[Harga Jual Pcs GT
(-PPN)]]-Table43[[#This Row],[Harga Beli Pcs
(-PPN)]])/Table43[[#This Row],[Harga Jual Pcs GT
(-PPN)]]</f>
        <v>#DIV/0!</v>
      </c>
      <c r="BB587" s="63">
        <f>Table43[[#This Row],[Harga Jual Pcs MT
(-PPN)]]-Table43[[#This Row],[Harga Beli Pcs
(-PPN)]]</f>
        <v>0</v>
      </c>
      <c r="BC587" s="64" t="e">
        <f>Table43[[#This Row],[Column1]]/Table43[[#This Row],[Harga Jual Pcs MT
(-PPN)]]</f>
        <v>#DIV/0!</v>
      </c>
      <c r="BD587" s="52"/>
      <c r="BE587" s="7"/>
      <c r="BF587" s="7" t="str">
        <f ca="1">IF(TODAY()-Table43[[#This Row],[Efektif
Pembuatan]]&gt;60,"Lama","Baru")</f>
        <v>Lama</v>
      </c>
      <c r="BG587" s="7" t="str">
        <f ca="1">IF(TODAY()-Table43[[#This Row],[Efektif Naik Harga]]&lt;30,"Naik","Sama")</f>
        <v>Sama</v>
      </c>
      <c r="BH587" s="7"/>
      <c r="BI587" s="7" t="str">
        <f>IF(Table43[[#This Row],[Kode BARANG Win2]]&lt;&gt;"","IDR","")</f>
        <v>IDR</v>
      </c>
      <c r="BJ587" s="7" t="str">
        <f>CONCATENATE(Table43[[#This Row],[kode  1 Digit
(Nomor)]],Table43[[#This Row],[kode  4 Digit                (Nomor)]])</f>
        <v>0160</v>
      </c>
      <c r="BK587" s="7" t="str">
        <f>Table43[[#This Row],[Nama            Gramasi atau Jumlah Pack per CTN]]</f>
        <v>160ML</v>
      </c>
      <c r="BL587" s="7"/>
      <c r="BM587" s="7"/>
      <c r="BN587" s="4" t="str">
        <f>IF(Table43[[#This Row],[SATUAN Fix Win]]&lt;&gt;"","KRT")</f>
        <v>KRT</v>
      </c>
      <c r="BO587" s="4" t="str">
        <f>IF(Table43[[#This Row],[SATUAN Fix Win]]&lt;&gt;"","GD01")</f>
        <v>GD01</v>
      </c>
      <c r="BP587" s="4">
        <f>IF(Table43[[#This Row],[SATUAN Fix Win]]&lt;&gt;"",11611)</f>
        <v>11611</v>
      </c>
      <c r="BQ587" s="4">
        <f>IF(Table43[[#This Row],[SATUAN Fix Win]]&lt;&gt;"",11612)</f>
        <v>11612</v>
      </c>
      <c r="BS587" s="4">
        <f>IF(Table43[[#This Row],[SATUAN Fix Win]]&lt;&gt;"",1)</f>
        <v>1</v>
      </c>
      <c r="BU587" s="4">
        <f>Table43[[#This Row],[ISI/CTN]]</f>
        <v>12</v>
      </c>
    </row>
    <row r="588" spans="1:73">
      <c r="A588" s="4" t="str">
        <f>CONCATENATE(Table43[[#This Row],[Kode BARANG Win2]],Table43[[#This Row],[No. Urut
Item Sama]])</f>
        <v>G1270106016010</v>
      </c>
      <c r="B588" s="7"/>
      <c r="C588" s="31">
        <v>30622030040000</v>
      </c>
      <c r="D588" s="51">
        <v>40050045</v>
      </c>
      <c r="E588" s="27" t="s">
        <v>2165</v>
      </c>
      <c r="F588" s="51">
        <v>30611010225000</v>
      </c>
      <c r="G588" s="51">
        <v>0</v>
      </c>
      <c r="H588" s="27" t="s">
        <v>1512</v>
      </c>
      <c r="I588" s="27">
        <v>12</v>
      </c>
      <c r="J588" s="51" t="s">
        <v>1832</v>
      </c>
      <c r="K588" s="27" t="str">
        <f>Table43[[#This Row],[NamaJenisKemasan]]</f>
        <v>KLG</v>
      </c>
      <c r="L588" s="4" t="str">
        <f>TRIM(CONCATENATE(Table43[[#This Row],[Nama            KLP]]," ",Table43[[#This Row],[Nama            Sub KLP]]))</f>
        <v>STELLA MATIC</v>
      </c>
      <c r="M588" s="4" t="str">
        <f>CONCATENATE(Table43[[#This Row],[kode  2 Digit                (hrf+No)]],Table43[[#This Row],[kode  2 Digit                (Nomor)]],Table43[[#This Row],[kode  1 Digit                (Nomor)]])</f>
        <v>G1270</v>
      </c>
      <c r="N588" s="4" t="str">
        <f>IF(AI588="",CONCATENATE(S588,U588,W588,Y588,AA588,AC588,AE588,AG588,Table43[[#This Row],[Tanda Kode Revisi]]),CONCATENATE(S588,U588,W588,Y588,AA588,AC588,AE588,AI588))</f>
        <v>G1270106016010</v>
      </c>
      <c r="O588" s="11">
        <f t="shared" si="14"/>
        <v>14</v>
      </c>
      <c r="P588" s="14" t="str">
        <f>IF(AH588&lt;&gt;"",TRIM(UPPER(CONCATENATE(R588," ",T588," ",V588," ",X588," ",Z588," ",AB588," ","X"," ",Table43[[#This Row],[ISI/CTN]]," ",AH588," ",AD588," ",AF588," ",AJ588))),TRIM(UPPER(CONCATENATE(R588," ",T588," ",V588," ",X588," ",Z588," ",AB588," ","X"," ",Table43[[#This Row],[ISI/CTN]]," ",AD588," ",AF588," ",AJ588))))</f>
        <v>STELLA MATIC REFILL JAPANESE SAKURA 160ML X 12 KLG</v>
      </c>
      <c r="Q588" s="11">
        <f t="shared" si="15"/>
        <v>50</v>
      </c>
      <c r="S588" s="7" t="s">
        <v>34</v>
      </c>
      <c r="T588" s="4" t="s">
        <v>2359</v>
      </c>
      <c r="U588" s="47" t="s">
        <v>2586</v>
      </c>
      <c r="V588" s="48"/>
      <c r="W588" s="7">
        <v>0</v>
      </c>
      <c r="X588" s="48" t="s">
        <v>2231</v>
      </c>
      <c r="Y588" s="47" t="s">
        <v>2539</v>
      </c>
      <c r="Z588" s="4" t="s">
        <v>2248</v>
      </c>
      <c r="AA588" s="49" t="s">
        <v>2542</v>
      </c>
      <c r="AB588" s="4" t="s">
        <v>2377</v>
      </c>
      <c r="AC588" s="49" t="s">
        <v>2601</v>
      </c>
      <c r="AD588" s="4" t="s">
        <v>2221</v>
      </c>
      <c r="AE588" s="7">
        <v>1</v>
      </c>
      <c r="AG588" s="7">
        <v>0</v>
      </c>
      <c r="AK588" s="70">
        <f>Table43[[#This Row],[Column4]]</f>
        <v>30611010225000</v>
      </c>
      <c r="AN588" s="7">
        <f>Table43[[#This Row],[ISI/CTN]]</f>
        <v>12</v>
      </c>
      <c r="AO588" s="38">
        <f>Table43[[#This Row],[Harga Jual Pcs GT
(-PPN)]]-(Table43[[#This Row],[Harga Jual Pcs GT
(-PPN)]]*6.5%)</f>
        <v>26460.5</v>
      </c>
      <c r="AP588" s="38">
        <f>Table43[[#This Row],[Harga Beli Pcs
(-PPN)]]*Table43[[#This Row],[ISI/CTN]]</f>
        <v>317526</v>
      </c>
      <c r="AQ588" s="38">
        <f>Table43[[#This Row],[Harga Beli Pcs
(-PPN)]]*1.11</f>
        <v>29371.155000000002</v>
      </c>
      <c r="AR588" s="38">
        <f>Table43[[#This Row],[Harga Beli Krt
(- PPN)]]*1.11</f>
        <v>352453.86000000004</v>
      </c>
      <c r="AS588" s="38">
        <v>28300</v>
      </c>
      <c r="AT588" s="38">
        <f>Table43[[#This Row],[Harga Jual Pcs GT
(-PPN)]]*Table43[[#This Row],[ISI/CTN]]</f>
        <v>339600</v>
      </c>
      <c r="AU588" s="38">
        <f>Table43[[#This Row],[Harga Jual Pcs GT
(-PPN)]]*1.11</f>
        <v>31413.000000000004</v>
      </c>
      <c r="AV588" s="38">
        <f>Table43[[#This Row],[Harga Jual Krt GT
(- PPN)]]*1.11</f>
        <v>376956.00000000006</v>
      </c>
      <c r="AW588" s="38">
        <f>IFERROR(VLOOKUP(Table43[[#This Row],[Kode Pcpl]],'[1]FEB 2026'!$A$3:$X$312,24,0),0)</f>
        <v>0</v>
      </c>
      <c r="AX588" s="38">
        <f>Table43[[#This Row],[Harga Jual Pcs MT
(-PPN)]]*Table43[[#This Row],[ISI/CTN]]</f>
        <v>0</v>
      </c>
      <c r="AY588" s="38">
        <f>Table43[[#This Row],[Harga Jual Pcs MT
(-PPN)]]*1.11</f>
        <v>0</v>
      </c>
      <c r="AZ588" s="38">
        <f>Table43[[#This Row],[Harga Jual Pcs MT
(+PPN)]]*Table43[[#This Row],[ISI/CTN]]</f>
        <v>0</v>
      </c>
      <c r="BA588" s="46">
        <f>(Table43[[#This Row],[Harga Jual Pcs GT
(-PPN)]]-Table43[[#This Row],[Harga Beli Pcs
(-PPN)]])/Table43[[#This Row],[Harga Jual Pcs GT
(-PPN)]]</f>
        <v>6.5000000000000002E-2</v>
      </c>
      <c r="BB588" s="53">
        <f>Table43[[#This Row],[Harga Jual Pcs MT
(-PPN)]]-Table43[[#This Row],[Harga Beli Pcs
(-PPN)]]</f>
        <v>-26460.5</v>
      </c>
      <c r="BC588" s="54" t="e">
        <f>Table43[[#This Row],[Column1]]/Table43[[#This Row],[Harga Jual Pcs MT
(-PPN)]]</f>
        <v>#DIV/0!</v>
      </c>
      <c r="BD588" s="52"/>
      <c r="BE588" s="7"/>
      <c r="BF588" s="7" t="str">
        <f ca="1">IF(TODAY()-Table43[[#This Row],[Efektif
Pembuatan]]&gt;60,"Lama","Baru")</f>
        <v>Lama</v>
      </c>
      <c r="BG588" s="7" t="str">
        <f ca="1">IF(TODAY()-Table43[[#This Row],[Efektif Naik Harga]]&lt;30,"Naik","Sama")</f>
        <v>Sama</v>
      </c>
      <c r="BH588" s="7"/>
      <c r="BI588" s="7" t="str">
        <f>IF(Table43[[#This Row],[Kode BARANG Win2]]&lt;&gt;"","IDR","")</f>
        <v>IDR</v>
      </c>
      <c r="BJ588" s="7" t="str">
        <f>CONCATENATE(Table43[[#This Row],[kode  1 Digit
(Nomor)]],Table43[[#This Row],[kode  4 Digit                (Nomor)]])</f>
        <v>0160</v>
      </c>
      <c r="BK588" s="7" t="str">
        <f>Table43[[#This Row],[Nama            Gramasi atau Jumlah Pack per CTN]]</f>
        <v>160ML</v>
      </c>
      <c r="BL588" s="7"/>
      <c r="BM588" s="7"/>
      <c r="BN588" s="4" t="str">
        <f>IF(Table43[[#This Row],[SATUAN Fix Win]]&lt;&gt;"","KRT")</f>
        <v>KRT</v>
      </c>
      <c r="BO588" s="4" t="str">
        <f>IF(Table43[[#This Row],[SATUAN Fix Win]]&lt;&gt;"","GD01")</f>
        <v>GD01</v>
      </c>
      <c r="BP588" s="4">
        <f>IF(Table43[[#This Row],[SATUAN Fix Win]]&lt;&gt;"",11611)</f>
        <v>11611</v>
      </c>
      <c r="BQ588" s="4">
        <f>IF(Table43[[#This Row],[SATUAN Fix Win]]&lt;&gt;"",11612)</f>
        <v>11612</v>
      </c>
      <c r="BS588" s="4">
        <f>IF(Table43[[#This Row],[SATUAN Fix Win]]&lt;&gt;"",1)</f>
        <v>1</v>
      </c>
      <c r="BU588" s="4">
        <f>Table43[[#This Row],[ISI/CTN]]</f>
        <v>12</v>
      </c>
    </row>
    <row r="589" spans="1:73">
      <c r="A589" s="4" t="str">
        <f>CONCATENATE(Table43[[#This Row],[Kode BARANG Win2]],Table43[[#This Row],[No. Urut
Item Sama]])</f>
        <v>G1270106016010</v>
      </c>
      <c r="B589" s="7"/>
      <c r="C589" s="31">
        <v>30622020040010</v>
      </c>
      <c r="D589" s="51">
        <v>40059945</v>
      </c>
      <c r="E589" s="27" t="s">
        <v>2165</v>
      </c>
      <c r="F589" s="51">
        <v>30611010225000</v>
      </c>
      <c r="G589" s="51">
        <v>0</v>
      </c>
      <c r="H589" s="27" t="s">
        <v>1513</v>
      </c>
      <c r="I589" s="27">
        <v>12</v>
      </c>
      <c r="J589" s="51" t="s">
        <v>1832</v>
      </c>
      <c r="K589" s="27" t="str">
        <f>Table43[[#This Row],[NamaJenisKemasan]]</f>
        <v>KLG</v>
      </c>
      <c r="L589" s="4" t="str">
        <f>TRIM(CONCATENATE(Table43[[#This Row],[Nama            KLP]]," ",Table43[[#This Row],[Nama            Sub KLP]]))</f>
        <v>STELLA MATIC</v>
      </c>
      <c r="M589" s="4" t="str">
        <f>CONCATENATE(Table43[[#This Row],[kode  2 Digit                (hrf+No)]],Table43[[#This Row],[kode  2 Digit                (Nomor)]],Table43[[#This Row],[kode  1 Digit                (Nomor)]])</f>
        <v>G1270</v>
      </c>
      <c r="N589" s="4" t="str">
        <f>IF(AI589="",CONCATENATE(S589,U589,W589,Y589,AA589,AC589,AE589,AG589,Table43[[#This Row],[Tanda Kode Revisi]]),CONCATENATE(S589,U589,W589,Y589,AA589,AC589,AE589,AI589))</f>
        <v>G1270106016010</v>
      </c>
      <c r="O589" s="11">
        <f t="shared" si="14"/>
        <v>14</v>
      </c>
      <c r="P589" s="14" t="str">
        <f>IF(AH589&lt;&gt;"",TRIM(UPPER(CONCATENATE(R589," ",T589," ",V589," ",X589," ",Z589," ",AB589," ","X"," ",Table43[[#This Row],[ISI/CTN]]," ",AH589," ",AD589," ",AF589," ",AJ589))),TRIM(UPPER(CONCATENATE(R589," ",T589," ",V589," ",X589," ",Z589," ",AB589," ","X"," ",Table43[[#This Row],[ISI/CTN]]," ",AD589," ",AF589," ",AJ589))))</f>
        <v>STELLA MATIC REFILL JAPANESE SAKURA 160ML X 12 KLG</v>
      </c>
      <c r="Q589" s="11">
        <f t="shared" si="15"/>
        <v>50</v>
      </c>
      <c r="S589" s="7" t="s">
        <v>34</v>
      </c>
      <c r="T589" s="4" t="s">
        <v>2359</v>
      </c>
      <c r="U589" s="47" t="s">
        <v>2586</v>
      </c>
      <c r="V589" s="48"/>
      <c r="W589" s="7">
        <v>0</v>
      </c>
      <c r="X589" s="48" t="s">
        <v>2231</v>
      </c>
      <c r="Y589" s="47" t="s">
        <v>2539</v>
      </c>
      <c r="Z589" s="4" t="s">
        <v>2248</v>
      </c>
      <c r="AA589" s="49" t="s">
        <v>2542</v>
      </c>
      <c r="AB589" s="4" t="s">
        <v>2377</v>
      </c>
      <c r="AC589" s="49" t="s">
        <v>2601</v>
      </c>
      <c r="AD589" s="4" t="s">
        <v>2221</v>
      </c>
      <c r="AE589" s="7">
        <v>1</v>
      </c>
      <c r="AG589" s="7">
        <v>0</v>
      </c>
      <c r="AK589" s="70">
        <f>Table43[[#This Row],[Column4]]</f>
        <v>30611010225000</v>
      </c>
      <c r="AN589" s="7">
        <f>Table43[[#This Row],[ISI/CTN]]</f>
        <v>12</v>
      </c>
      <c r="AO589" s="61">
        <f>Table43[[#This Row],[Harga Jual Pcs GT
(-PPN)]]-(Table43[[#This Row],[Harga Jual Pcs GT
(-PPN)]]*6.5%)</f>
        <v>26460.5</v>
      </c>
      <c r="AP589" s="61">
        <f>Table43[[#This Row],[Harga Beli Pcs
(-PPN)]]*Table43[[#This Row],[ISI/CTN]]</f>
        <v>317526</v>
      </c>
      <c r="AQ589" s="61">
        <f>Table43[[#This Row],[Harga Beli Pcs
(-PPN)]]*1.11</f>
        <v>29371.155000000002</v>
      </c>
      <c r="AR589" s="61">
        <f>Table43[[#This Row],[Harga Beli Krt
(- PPN)]]*1.11</f>
        <v>352453.86000000004</v>
      </c>
      <c r="AS589" s="61">
        <v>28300</v>
      </c>
      <c r="AT589" s="61">
        <f>Table43[[#This Row],[Harga Jual Pcs GT
(-PPN)]]*Table43[[#This Row],[ISI/CTN]]</f>
        <v>339600</v>
      </c>
      <c r="AU589" s="61">
        <f>Table43[[#This Row],[Harga Jual Pcs GT
(-PPN)]]*1.11</f>
        <v>31413.000000000004</v>
      </c>
      <c r="AV589" s="61">
        <f>Table43[[#This Row],[Harga Jual Krt GT
(- PPN)]]*1.11</f>
        <v>376956.00000000006</v>
      </c>
      <c r="AW589" s="61">
        <f>IFERROR(VLOOKUP(Table43[[#This Row],[Kode Pcpl]],'[1]FEB 2026'!$A$3:$X$312,24,0),0)</f>
        <v>0</v>
      </c>
      <c r="AX589" s="61">
        <f>Table43[[#This Row],[Harga Jual Pcs MT
(-PPN)]]*Table43[[#This Row],[ISI/CTN]]</f>
        <v>0</v>
      </c>
      <c r="AY589" s="61">
        <f>Table43[[#This Row],[Harga Jual Pcs MT
(-PPN)]]*1.11</f>
        <v>0</v>
      </c>
      <c r="AZ589" s="61">
        <f>Table43[[#This Row],[Harga Jual Pcs MT
(+PPN)]]*Table43[[#This Row],[ISI/CTN]]</f>
        <v>0</v>
      </c>
      <c r="BA589" s="62">
        <f>(Table43[[#This Row],[Harga Jual Pcs GT
(-PPN)]]-Table43[[#This Row],[Harga Beli Pcs
(-PPN)]])/Table43[[#This Row],[Harga Jual Pcs GT
(-PPN)]]</f>
        <v>6.5000000000000002E-2</v>
      </c>
      <c r="BB589" s="63">
        <f>Table43[[#This Row],[Harga Jual Pcs MT
(-PPN)]]-Table43[[#This Row],[Harga Beli Pcs
(-PPN)]]</f>
        <v>-26460.5</v>
      </c>
      <c r="BC589" s="64" t="e">
        <f>Table43[[#This Row],[Column1]]/Table43[[#This Row],[Harga Jual Pcs MT
(-PPN)]]</f>
        <v>#DIV/0!</v>
      </c>
      <c r="BD589" s="52"/>
      <c r="BE589" s="7"/>
      <c r="BF589" s="7" t="str">
        <f ca="1">IF(TODAY()-Table43[[#This Row],[Efektif
Pembuatan]]&gt;60,"Lama","Baru")</f>
        <v>Lama</v>
      </c>
      <c r="BG589" s="7" t="str">
        <f ca="1">IF(TODAY()-Table43[[#This Row],[Efektif Naik Harga]]&lt;30,"Naik","Sama")</f>
        <v>Sama</v>
      </c>
      <c r="BH589" s="7"/>
      <c r="BI589" s="7" t="str">
        <f>IF(Table43[[#This Row],[Kode BARANG Win2]]&lt;&gt;"","IDR","")</f>
        <v>IDR</v>
      </c>
      <c r="BJ589" s="7" t="str">
        <f>CONCATENATE(Table43[[#This Row],[kode  1 Digit
(Nomor)]],Table43[[#This Row],[kode  4 Digit                (Nomor)]])</f>
        <v>0160</v>
      </c>
      <c r="BK589" s="7" t="str">
        <f>Table43[[#This Row],[Nama            Gramasi atau Jumlah Pack per CTN]]</f>
        <v>160ML</v>
      </c>
      <c r="BL589" s="7"/>
      <c r="BM589" s="7"/>
      <c r="BN589" s="4" t="str">
        <f>IF(Table43[[#This Row],[SATUAN Fix Win]]&lt;&gt;"","KRT")</f>
        <v>KRT</v>
      </c>
      <c r="BO589" s="4" t="str">
        <f>IF(Table43[[#This Row],[SATUAN Fix Win]]&lt;&gt;"","GD01")</f>
        <v>GD01</v>
      </c>
      <c r="BP589" s="4">
        <f>IF(Table43[[#This Row],[SATUAN Fix Win]]&lt;&gt;"",11611)</f>
        <v>11611</v>
      </c>
      <c r="BQ589" s="4">
        <f>IF(Table43[[#This Row],[SATUAN Fix Win]]&lt;&gt;"",11612)</f>
        <v>11612</v>
      </c>
      <c r="BS589" s="4">
        <f>IF(Table43[[#This Row],[SATUAN Fix Win]]&lt;&gt;"",1)</f>
        <v>1</v>
      </c>
      <c r="BU589" s="4">
        <f>Table43[[#This Row],[ISI/CTN]]</f>
        <v>12</v>
      </c>
    </row>
    <row r="590" spans="1:73">
      <c r="A590" s="4" t="str">
        <f>CONCATENATE(Table43[[#This Row],[Kode BARANG Win2]],Table43[[#This Row],[No. Urut
Item Sama]])</f>
        <v>G1270106016010</v>
      </c>
      <c r="B590" s="7"/>
      <c r="C590" s="31"/>
      <c r="D590" s="51">
        <v>40028689</v>
      </c>
      <c r="E590" s="27"/>
      <c r="F590" s="51"/>
      <c r="G590" s="51"/>
      <c r="H590" s="27"/>
      <c r="I590" s="27">
        <v>12</v>
      </c>
      <c r="J590" s="51"/>
      <c r="K590" s="27" t="str">
        <f>Table43[[#This Row],[NamaJenisKemasan]]</f>
        <v>KLG</v>
      </c>
      <c r="L590" s="4" t="str">
        <f>TRIM(CONCATENATE(Table43[[#This Row],[Nama            KLP]]," ",Table43[[#This Row],[Nama            Sub KLP]]))</f>
        <v>STELLA MATIC</v>
      </c>
      <c r="M590" s="4" t="str">
        <f>CONCATENATE(Table43[[#This Row],[kode  2 Digit                (hrf+No)]],Table43[[#This Row],[kode  2 Digit                (Nomor)]],Table43[[#This Row],[kode  1 Digit                (Nomor)]])</f>
        <v>G1270</v>
      </c>
      <c r="N590" s="4" t="str">
        <f>IF(AI590="",CONCATENATE(S590,U590,W590,Y590,AA590,AC590,AE590,AG590,Table43[[#This Row],[Tanda Kode Revisi]]),CONCATENATE(S590,U590,W590,Y590,AA590,AC590,AE590,AI590))</f>
        <v>G1270106016010</v>
      </c>
      <c r="O590" s="11">
        <f t="shared" si="14"/>
        <v>14</v>
      </c>
      <c r="P590" s="14" t="str">
        <f>IF(AH590&lt;&gt;"",TRIM(UPPER(CONCATENATE(R590," ",T590," ",V590," ",X590," ",Z590," ",AB590," ","X"," ",Table43[[#This Row],[ISI/CTN]]," ",AH590," ",AD590," ",AF590," ",AJ590))),TRIM(UPPER(CONCATENATE(R590," ",T590," ",V590," ",X590," ",Z590," ",AB590," ","X"," ",Table43[[#This Row],[ISI/CTN]]," ",AD590," ",AF590," ",AJ590))))</f>
        <v>STELLA MATIC REFILL JAPANESE SAKURA 160ML X 12 KLG</v>
      </c>
      <c r="Q590" s="11">
        <f t="shared" si="15"/>
        <v>50</v>
      </c>
      <c r="S590" s="7" t="s">
        <v>34</v>
      </c>
      <c r="T590" s="4" t="s">
        <v>2359</v>
      </c>
      <c r="U590" s="47" t="s">
        <v>2586</v>
      </c>
      <c r="V590" s="48"/>
      <c r="W590" s="7">
        <v>0</v>
      </c>
      <c r="X590" s="48" t="s">
        <v>2231</v>
      </c>
      <c r="Y590" s="47" t="s">
        <v>2539</v>
      </c>
      <c r="Z590" s="4" t="s">
        <v>2248</v>
      </c>
      <c r="AA590" s="49" t="s">
        <v>2542</v>
      </c>
      <c r="AB590" s="4" t="s">
        <v>2377</v>
      </c>
      <c r="AC590" s="49" t="s">
        <v>2601</v>
      </c>
      <c r="AD590" s="4" t="s">
        <v>2221</v>
      </c>
      <c r="AE590" s="7">
        <v>1</v>
      </c>
      <c r="AG590" s="7">
        <v>0</v>
      </c>
      <c r="AK590" s="70">
        <f>Table43[[#This Row],[Column4]]</f>
        <v>0</v>
      </c>
      <c r="AN590" s="7">
        <f>Table43[[#This Row],[ISI/CTN]]</f>
        <v>12</v>
      </c>
      <c r="AO590" s="61">
        <f>Table43[[#This Row],[Harga Jual Pcs GT
(-PPN)]]-(Table43[[#This Row],[Harga Jual Pcs GT
(-PPN)]]*6.5%)</f>
        <v>26460.5</v>
      </c>
      <c r="AP590" s="61">
        <f>Table43[[#This Row],[Harga Beli Pcs
(-PPN)]]*Table43[[#This Row],[ISI/CTN]]</f>
        <v>317526</v>
      </c>
      <c r="AQ590" s="61">
        <f>Table43[[#This Row],[Harga Beli Pcs
(-PPN)]]*1.11</f>
        <v>29371.155000000002</v>
      </c>
      <c r="AR590" s="61">
        <f>Table43[[#This Row],[Harga Beli Krt
(- PPN)]]*1.11</f>
        <v>352453.86000000004</v>
      </c>
      <c r="AS590" s="61">
        <v>28300</v>
      </c>
      <c r="AT590" s="61">
        <f>Table43[[#This Row],[Harga Jual Pcs GT
(-PPN)]]*Table43[[#This Row],[ISI/CTN]]</f>
        <v>339600</v>
      </c>
      <c r="AU590" s="61">
        <f>Table43[[#This Row],[Harga Jual Pcs GT
(-PPN)]]*1.11</f>
        <v>31413.000000000004</v>
      </c>
      <c r="AV590" s="61">
        <f>Table43[[#This Row],[Harga Jual Krt GT
(- PPN)]]*1.11</f>
        <v>376956.00000000006</v>
      </c>
      <c r="AW590" s="61">
        <f>IFERROR(VLOOKUP(Table43[[#This Row],[Kode Pcpl]],'[1]FEB 2026'!$A$3:$X$312,24,0),0)</f>
        <v>0</v>
      </c>
      <c r="AX590" s="61">
        <f>Table43[[#This Row],[Harga Jual Pcs MT
(-PPN)]]*Table43[[#This Row],[ISI/CTN]]</f>
        <v>0</v>
      </c>
      <c r="AY590" s="61">
        <f>Table43[[#This Row],[Harga Jual Pcs MT
(-PPN)]]*1.11</f>
        <v>0</v>
      </c>
      <c r="AZ590" s="61">
        <f>Table43[[#This Row],[Harga Jual Pcs MT
(+PPN)]]*Table43[[#This Row],[ISI/CTN]]</f>
        <v>0</v>
      </c>
      <c r="BA590" s="62">
        <f>(Table43[[#This Row],[Harga Jual Pcs GT
(-PPN)]]-Table43[[#This Row],[Harga Beli Pcs
(-PPN)]])/Table43[[#This Row],[Harga Jual Pcs GT
(-PPN)]]</f>
        <v>6.5000000000000002E-2</v>
      </c>
      <c r="BB590" s="63">
        <f>Table43[[#This Row],[Harga Jual Pcs MT
(-PPN)]]-Table43[[#This Row],[Harga Beli Pcs
(-PPN)]]</f>
        <v>-26460.5</v>
      </c>
      <c r="BC590" s="64" t="e">
        <f>Table43[[#This Row],[Column1]]/Table43[[#This Row],[Harga Jual Pcs MT
(-PPN)]]</f>
        <v>#DIV/0!</v>
      </c>
      <c r="BD590" s="52"/>
      <c r="BE590" s="7"/>
      <c r="BF590" s="7" t="str">
        <f ca="1">IF(TODAY()-Table43[[#This Row],[Efektif
Pembuatan]]&gt;60,"Lama","Baru")</f>
        <v>Lama</v>
      </c>
      <c r="BG590" s="7" t="str">
        <f ca="1">IF(TODAY()-Table43[[#This Row],[Efektif Naik Harga]]&lt;30,"Naik","Sama")</f>
        <v>Sama</v>
      </c>
      <c r="BH590" s="7"/>
      <c r="BI590" s="7" t="str">
        <f>IF(Table43[[#This Row],[Kode BARANG Win2]]&lt;&gt;"","IDR","")</f>
        <v>IDR</v>
      </c>
      <c r="BJ590" s="7" t="str">
        <f>CONCATENATE(Table43[[#This Row],[kode  1 Digit
(Nomor)]],Table43[[#This Row],[kode  4 Digit                (Nomor)]])</f>
        <v>0160</v>
      </c>
      <c r="BK590" s="7" t="str">
        <f>Table43[[#This Row],[Nama            Gramasi atau Jumlah Pack per CTN]]</f>
        <v>160ML</v>
      </c>
      <c r="BL590" s="7"/>
      <c r="BM590" s="7"/>
      <c r="BN590" s="4" t="str">
        <f>IF(Table43[[#This Row],[SATUAN Fix Win]]&lt;&gt;"","KRT")</f>
        <v>KRT</v>
      </c>
      <c r="BO590" s="4" t="str">
        <f>IF(Table43[[#This Row],[SATUAN Fix Win]]&lt;&gt;"","GD01")</f>
        <v>GD01</v>
      </c>
      <c r="BP590" s="4">
        <f>IF(Table43[[#This Row],[SATUAN Fix Win]]&lt;&gt;"",11611)</f>
        <v>11611</v>
      </c>
      <c r="BQ590" s="4">
        <f>IF(Table43[[#This Row],[SATUAN Fix Win]]&lt;&gt;"",11612)</f>
        <v>11612</v>
      </c>
      <c r="BS590" s="4">
        <f>IF(Table43[[#This Row],[SATUAN Fix Win]]&lt;&gt;"",1)</f>
        <v>1</v>
      </c>
      <c r="BU590" s="4">
        <f>Table43[[#This Row],[ISI/CTN]]</f>
        <v>12</v>
      </c>
    </row>
    <row r="591" spans="1:73">
      <c r="A591" s="4" t="str">
        <f>CONCATENATE(Table43[[#This Row],[Kode BARANG Win2]],Table43[[#This Row],[No. Urut
Item Sama]])</f>
        <v>G1270107016010</v>
      </c>
      <c r="B591" s="7"/>
      <c r="C591" s="31">
        <v>30631060010000</v>
      </c>
      <c r="D591" s="51">
        <v>40059941</v>
      </c>
      <c r="E591" s="27" t="s">
        <v>2168</v>
      </c>
      <c r="F591" s="51">
        <v>30611040225000</v>
      </c>
      <c r="G591" s="51">
        <v>0</v>
      </c>
      <c r="H591" s="27" t="s">
        <v>1519</v>
      </c>
      <c r="I591" s="27">
        <v>12</v>
      </c>
      <c r="J591" s="51" t="s">
        <v>1835</v>
      </c>
      <c r="K591" s="27" t="str">
        <f>Table43[[#This Row],[NamaJenisKemasan]]</f>
        <v>KLG</v>
      </c>
      <c r="L591" s="4" t="str">
        <f>TRIM(CONCATENATE(Table43[[#This Row],[Nama            KLP]]," ",Table43[[#This Row],[Nama            Sub KLP]]))</f>
        <v>STELLA MATIC</v>
      </c>
      <c r="M591" s="4" t="str">
        <f>CONCATENATE(Table43[[#This Row],[kode  2 Digit                (hrf+No)]],Table43[[#This Row],[kode  2 Digit                (Nomor)]],Table43[[#This Row],[kode  1 Digit                (Nomor)]])</f>
        <v>G1270</v>
      </c>
      <c r="N591" s="4" t="str">
        <f>IF(AI591="",CONCATENATE(S591,U591,W591,Y591,AA591,AC591,AE591,AG591,Table43[[#This Row],[Tanda Kode Revisi]]),CONCATENATE(S591,U591,W591,Y591,AA591,AC591,AE591,AI591))</f>
        <v>G1270107016010</v>
      </c>
      <c r="O591" s="11">
        <f t="shared" si="14"/>
        <v>14</v>
      </c>
      <c r="P591" s="14" t="str">
        <f>IF(AH591&lt;&gt;"",TRIM(UPPER(CONCATENATE(R591," ",T591," ",V591," ",X591," ",Z591," ",AB591," ","X"," ",Table43[[#This Row],[ISI/CTN]]," ",AH591," ",AD591," ",AF591," ",AJ591))),TRIM(UPPER(CONCATENATE(R591," ",T591," ",V591," ",X591," ",Z591," ",AB591," ","X"," ",Table43[[#This Row],[ISI/CTN]]," ",AD591," ",AF591," ",AJ591))))</f>
        <v>STELLA MATIC REFILL LAVENDER 160ML X 12 KLG</v>
      </c>
      <c r="Q591" s="11">
        <f t="shared" si="15"/>
        <v>43</v>
      </c>
      <c r="S591" s="7" t="s">
        <v>34</v>
      </c>
      <c r="T591" s="4" t="s">
        <v>2359</v>
      </c>
      <c r="U591" s="47" t="s">
        <v>2586</v>
      </c>
      <c r="V591" s="48"/>
      <c r="W591" s="7">
        <v>0</v>
      </c>
      <c r="X591" s="48" t="s">
        <v>2231</v>
      </c>
      <c r="Y591" s="47" t="s">
        <v>2539</v>
      </c>
      <c r="Z591" s="4" t="s">
        <v>2426</v>
      </c>
      <c r="AA591" s="49" t="s">
        <v>2544</v>
      </c>
      <c r="AB591" s="4" t="s">
        <v>2377</v>
      </c>
      <c r="AC591" s="49" t="s">
        <v>2601</v>
      </c>
      <c r="AD591" s="4" t="s">
        <v>2221</v>
      </c>
      <c r="AE591" s="7">
        <v>1</v>
      </c>
      <c r="AG591" s="7">
        <v>0</v>
      </c>
      <c r="AK591" s="70">
        <f>Table43[[#This Row],[Column4]]</f>
        <v>30611040225000</v>
      </c>
      <c r="AN591" s="7">
        <f>Table43[[#This Row],[ISI/CTN]]</f>
        <v>12</v>
      </c>
      <c r="AO591" s="61">
        <f>Table43[[#This Row],[Harga Jual Pcs GT
(-PPN)]]-(Table43[[#This Row],[Harga Jual Pcs GT
(-PPN)]]*6.5%)</f>
        <v>26460.5</v>
      </c>
      <c r="AP591" s="61">
        <f>Table43[[#This Row],[Harga Beli Pcs
(-PPN)]]*Table43[[#This Row],[ISI/CTN]]</f>
        <v>317526</v>
      </c>
      <c r="AQ591" s="61">
        <f>Table43[[#This Row],[Harga Beli Pcs
(-PPN)]]*1.11</f>
        <v>29371.155000000002</v>
      </c>
      <c r="AR591" s="61">
        <f>Table43[[#This Row],[Harga Beli Krt
(- PPN)]]*1.11</f>
        <v>352453.86000000004</v>
      </c>
      <c r="AS591" s="61">
        <v>28300</v>
      </c>
      <c r="AT591" s="61">
        <f>Table43[[#This Row],[Harga Jual Pcs GT
(-PPN)]]*Table43[[#This Row],[ISI/CTN]]</f>
        <v>339600</v>
      </c>
      <c r="AU591" s="61">
        <f>Table43[[#This Row],[Harga Jual Pcs GT
(-PPN)]]*1.11</f>
        <v>31413.000000000004</v>
      </c>
      <c r="AV591" s="61">
        <f>Table43[[#This Row],[Harga Jual Krt GT
(- PPN)]]*1.11</f>
        <v>376956.00000000006</v>
      </c>
      <c r="AW591" s="61">
        <f>IFERROR(VLOOKUP(Table43[[#This Row],[Kode Pcpl]],'[1]FEB 2026'!$A$3:$X$312,24,0),0)</f>
        <v>0</v>
      </c>
      <c r="AX591" s="61">
        <f>Table43[[#This Row],[Harga Jual Pcs MT
(-PPN)]]*Table43[[#This Row],[ISI/CTN]]</f>
        <v>0</v>
      </c>
      <c r="AY591" s="61">
        <f>Table43[[#This Row],[Harga Jual Pcs MT
(-PPN)]]*1.11</f>
        <v>0</v>
      </c>
      <c r="AZ591" s="61">
        <f>Table43[[#This Row],[Harga Jual Pcs MT
(+PPN)]]*Table43[[#This Row],[ISI/CTN]]</f>
        <v>0</v>
      </c>
      <c r="BA591" s="62">
        <f>(Table43[[#This Row],[Harga Jual Pcs GT
(-PPN)]]-Table43[[#This Row],[Harga Beli Pcs
(-PPN)]])/Table43[[#This Row],[Harga Jual Pcs GT
(-PPN)]]</f>
        <v>6.5000000000000002E-2</v>
      </c>
      <c r="BB591" s="63">
        <f>Table43[[#This Row],[Harga Jual Pcs MT
(-PPN)]]-Table43[[#This Row],[Harga Beli Pcs
(-PPN)]]</f>
        <v>-26460.5</v>
      </c>
      <c r="BC591" s="64" t="e">
        <f>Table43[[#This Row],[Column1]]/Table43[[#This Row],[Harga Jual Pcs MT
(-PPN)]]</f>
        <v>#DIV/0!</v>
      </c>
      <c r="BD591" s="52"/>
      <c r="BE591" s="7"/>
      <c r="BF591" s="7" t="str">
        <f ca="1">IF(TODAY()-Table43[[#This Row],[Efektif
Pembuatan]]&gt;60,"Lama","Baru")</f>
        <v>Lama</v>
      </c>
      <c r="BG591" s="7" t="str">
        <f ca="1">IF(TODAY()-Table43[[#This Row],[Efektif Naik Harga]]&lt;30,"Naik","Sama")</f>
        <v>Sama</v>
      </c>
      <c r="BH591" s="7"/>
      <c r="BI591" s="7" t="str">
        <f>IF(Table43[[#This Row],[Kode BARANG Win2]]&lt;&gt;"","IDR","")</f>
        <v>IDR</v>
      </c>
      <c r="BJ591" s="7" t="str">
        <f>CONCATENATE(Table43[[#This Row],[kode  1 Digit
(Nomor)]],Table43[[#This Row],[kode  4 Digit                (Nomor)]])</f>
        <v>0160</v>
      </c>
      <c r="BK591" s="7" t="str">
        <f>Table43[[#This Row],[Nama            Gramasi atau Jumlah Pack per CTN]]</f>
        <v>160ML</v>
      </c>
      <c r="BL591" s="7"/>
      <c r="BM591" s="7"/>
      <c r="BN591" s="4" t="str">
        <f>IF(Table43[[#This Row],[SATUAN Fix Win]]&lt;&gt;"","KRT")</f>
        <v>KRT</v>
      </c>
      <c r="BO591" s="4" t="str">
        <f>IF(Table43[[#This Row],[SATUAN Fix Win]]&lt;&gt;"","GD01")</f>
        <v>GD01</v>
      </c>
      <c r="BP591" s="4">
        <f>IF(Table43[[#This Row],[SATUAN Fix Win]]&lt;&gt;"",11611)</f>
        <v>11611</v>
      </c>
      <c r="BQ591" s="4">
        <f>IF(Table43[[#This Row],[SATUAN Fix Win]]&lt;&gt;"",11612)</f>
        <v>11612</v>
      </c>
      <c r="BS591" s="4">
        <f>IF(Table43[[#This Row],[SATUAN Fix Win]]&lt;&gt;"",1)</f>
        <v>1</v>
      </c>
      <c r="BU591" s="4">
        <f>Table43[[#This Row],[ISI/CTN]]</f>
        <v>12</v>
      </c>
    </row>
    <row r="592" spans="1:73">
      <c r="A592" s="4" t="str">
        <f>CONCATENATE(Table43[[#This Row],[Kode BARANG Win2]],Table43[[#This Row],[No. Urut
Item Sama]])</f>
        <v>G1270107016010</v>
      </c>
      <c r="B592" s="7"/>
      <c r="C592" s="31"/>
      <c r="D592" s="51">
        <v>40043515</v>
      </c>
      <c r="E592" s="27"/>
      <c r="F592" s="51"/>
      <c r="G592" s="51"/>
      <c r="H592" s="27"/>
      <c r="I592" s="27">
        <v>12</v>
      </c>
      <c r="J592" s="51" t="s">
        <v>1835</v>
      </c>
      <c r="K592" s="27" t="str">
        <f>Table43[[#This Row],[NamaJenisKemasan]]</f>
        <v>KLG</v>
      </c>
      <c r="L592" s="4" t="str">
        <f>TRIM(CONCATENATE(Table43[[#This Row],[Nama            KLP]]," ",Table43[[#This Row],[Nama            Sub KLP]]))</f>
        <v>STELLA MATIC</v>
      </c>
      <c r="M592" s="4" t="str">
        <f>CONCATENATE(Table43[[#This Row],[kode  2 Digit                (hrf+No)]],Table43[[#This Row],[kode  2 Digit                (Nomor)]],Table43[[#This Row],[kode  1 Digit                (Nomor)]])</f>
        <v>G1270</v>
      </c>
      <c r="N592" s="4" t="str">
        <f>IF(AI592="",CONCATENATE(S592,U592,W592,Y592,AA592,AC592,AE592,AG592,Table43[[#This Row],[Tanda Kode Revisi]]),CONCATENATE(S592,U592,W592,Y592,AA592,AC592,AE592,AI592))</f>
        <v>G1270107016010</v>
      </c>
      <c r="O592" s="11">
        <f>LEN(N592)</f>
        <v>14</v>
      </c>
      <c r="P592" s="14" t="str">
        <f>IF(AH592&lt;&gt;"",TRIM(UPPER(CONCATENATE(R592," ",T592," ",V592," ",X592," ",Z592," ",AB592," ","X"," ",Table43[[#This Row],[ISI/CTN]]," ",AH592," ",AD592," ",AF592," ",AJ592))),TRIM(UPPER(CONCATENATE(R592," ",T592," ",V592," ",X592," ",Z592," ",AB592," ","X"," ",Table43[[#This Row],[ISI/CTN]]," ",AD592," ",AF592," ",AJ592))))</f>
        <v>STELLA MATIC REFILL LAVENDER 160ML X 12 KLG</v>
      </c>
      <c r="Q592" s="11">
        <f>LEN(P592)</f>
        <v>43</v>
      </c>
      <c r="S592" s="7" t="s">
        <v>34</v>
      </c>
      <c r="T592" s="4" t="s">
        <v>2359</v>
      </c>
      <c r="U592" s="47" t="s">
        <v>2586</v>
      </c>
      <c r="V592" s="48"/>
      <c r="W592" s="7">
        <v>0</v>
      </c>
      <c r="X592" s="48" t="s">
        <v>2231</v>
      </c>
      <c r="Y592" s="47" t="s">
        <v>2539</v>
      </c>
      <c r="Z592" s="4" t="s">
        <v>2426</v>
      </c>
      <c r="AA592" s="49" t="s">
        <v>2544</v>
      </c>
      <c r="AB592" s="4" t="s">
        <v>2377</v>
      </c>
      <c r="AC592" s="49" t="s">
        <v>2601</v>
      </c>
      <c r="AD592" s="4" t="s">
        <v>2221</v>
      </c>
      <c r="AE592" s="7">
        <v>1</v>
      </c>
      <c r="AG592" s="7">
        <v>0</v>
      </c>
      <c r="AK592" s="70">
        <f>Table43[[#This Row],[Column4]]</f>
        <v>0</v>
      </c>
      <c r="AN592" s="7">
        <f>Table43[[#This Row],[ISI/CTN]]</f>
        <v>12</v>
      </c>
      <c r="AO592" s="61">
        <f>Table43[[#This Row],[Harga Jual Pcs GT
(-PPN)]]-(Table43[[#This Row],[Harga Jual Pcs GT
(-PPN)]]*6.5%)</f>
        <v>0</v>
      </c>
      <c r="AP592" s="61">
        <f>Table43[[#This Row],[Harga Beli Pcs
(-PPN)]]*Table43[[#This Row],[ISI/CTN]]</f>
        <v>0</v>
      </c>
      <c r="AQ592" s="61">
        <f>Table43[[#This Row],[Harga Beli Pcs
(-PPN)]]*1.11</f>
        <v>0</v>
      </c>
      <c r="AR592" s="61">
        <f>Table43[[#This Row],[Harga Beli Krt
(- PPN)]]*1.11</f>
        <v>0</v>
      </c>
      <c r="AS592" s="61"/>
      <c r="AT592" s="61">
        <f>Table43[[#This Row],[Harga Jual Pcs GT
(-PPN)]]*Table43[[#This Row],[ISI/CTN]]</f>
        <v>0</v>
      </c>
      <c r="AU592" s="61">
        <f>Table43[[#This Row],[Harga Jual Pcs GT
(-PPN)]]*1.11</f>
        <v>0</v>
      </c>
      <c r="AV592" s="61">
        <f>Table43[[#This Row],[Harga Jual Krt GT
(- PPN)]]*1.11</f>
        <v>0</v>
      </c>
      <c r="AW592" s="61">
        <f>IFERROR(VLOOKUP(Table43[[#This Row],[Kode Pcpl]],'[1]FEB 2026'!$A$3:$X$312,24,0),0)</f>
        <v>0</v>
      </c>
      <c r="AX592" s="61">
        <f>Table43[[#This Row],[Harga Jual Pcs MT
(-PPN)]]*Table43[[#This Row],[ISI/CTN]]</f>
        <v>0</v>
      </c>
      <c r="AY592" s="61">
        <f>Table43[[#This Row],[Harga Jual Pcs MT
(-PPN)]]*1.11</f>
        <v>0</v>
      </c>
      <c r="AZ592" s="61">
        <f>Table43[[#This Row],[Harga Jual Pcs MT
(+PPN)]]*Table43[[#This Row],[ISI/CTN]]</f>
        <v>0</v>
      </c>
      <c r="BA592" s="62" t="e">
        <f>(Table43[[#This Row],[Harga Jual Pcs GT
(-PPN)]]-Table43[[#This Row],[Harga Beli Pcs
(-PPN)]])/Table43[[#This Row],[Harga Jual Pcs GT
(-PPN)]]</f>
        <v>#DIV/0!</v>
      </c>
      <c r="BB592" s="63">
        <f>Table43[[#This Row],[Harga Jual Pcs MT
(-PPN)]]-Table43[[#This Row],[Harga Beli Pcs
(-PPN)]]</f>
        <v>0</v>
      </c>
      <c r="BC592" s="64" t="e">
        <f>Table43[[#This Row],[Column1]]/Table43[[#This Row],[Harga Jual Pcs MT
(-PPN)]]</f>
        <v>#DIV/0!</v>
      </c>
      <c r="BD592" s="52"/>
      <c r="BE592" s="7"/>
      <c r="BF592" s="7" t="str">
        <f ca="1">IF(TODAY()-Table43[[#This Row],[Efektif
Pembuatan]]&gt;60,"Lama","Baru")</f>
        <v>Lama</v>
      </c>
      <c r="BG592" s="7" t="str">
        <f ca="1">IF(TODAY()-Table43[[#This Row],[Efektif Naik Harga]]&lt;30,"Naik","Sama")</f>
        <v>Sama</v>
      </c>
      <c r="BH592" s="7"/>
      <c r="BI592" s="7" t="str">
        <f>IF(Table43[[#This Row],[Kode BARANG Win2]]&lt;&gt;"","IDR","")</f>
        <v>IDR</v>
      </c>
      <c r="BJ592" s="7" t="str">
        <f>CONCATENATE(Table43[[#This Row],[kode  1 Digit
(Nomor)]],Table43[[#This Row],[kode  4 Digit                (Nomor)]])</f>
        <v>0160</v>
      </c>
      <c r="BK592" s="7" t="str">
        <f>Table43[[#This Row],[Nama            Gramasi atau Jumlah Pack per CTN]]</f>
        <v>160ML</v>
      </c>
      <c r="BL592" s="7"/>
      <c r="BM592" s="7"/>
      <c r="BN592" s="4" t="str">
        <f>IF(Table43[[#This Row],[SATUAN Fix Win]]&lt;&gt;"","KRT")</f>
        <v>KRT</v>
      </c>
      <c r="BO592" s="4" t="str">
        <f>IF(Table43[[#This Row],[SATUAN Fix Win]]&lt;&gt;"","GD01")</f>
        <v>GD01</v>
      </c>
      <c r="BP592" s="4">
        <f>IF(Table43[[#This Row],[SATUAN Fix Win]]&lt;&gt;"",11611)</f>
        <v>11611</v>
      </c>
      <c r="BQ592" s="4">
        <f>IF(Table43[[#This Row],[SATUAN Fix Win]]&lt;&gt;"",11612)</f>
        <v>11612</v>
      </c>
      <c r="BS592" s="4">
        <f>IF(Table43[[#This Row],[SATUAN Fix Win]]&lt;&gt;"",1)</f>
        <v>1</v>
      </c>
      <c r="BU592" s="4">
        <f>Table43[[#This Row],[ISI/CTN]]</f>
        <v>12</v>
      </c>
    </row>
    <row r="593" spans="1:73">
      <c r="A593" s="4" t="str">
        <f>CONCATENATE(Table43[[#This Row],[Kode BARANG Win2]],Table43[[#This Row],[No. Urut
Item Sama]])</f>
        <v>G1270107016010</v>
      </c>
      <c r="B593" s="7"/>
      <c r="C593" s="31">
        <v>30682000025020</v>
      </c>
      <c r="D593" s="51">
        <v>40050032</v>
      </c>
      <c r="E593" s="27" t="s">
        <v>2168</v>
      </c>
      <c r="F593" s="51">
        <v>30611040225000</v>
      </c>
      <c r="G593" s="51">
        <v>0</v>
      </c>
      <c r="H593" s="27" t="s">
        <v>1518</v>
      </c>
      <c r="I593" s="27">
        <v>12</v>
      </c>
      <c r="J593" s="51" t="s">
        <v>1835</v>
      </c>
      <c r="K593" s="27" t="str">
        <f>Table43[[#This Row],[NamaJenisKemasan]]</f>
        <v>KLG</v>
      </c>
      <c r="L593" s="4" t="str">
        <f>TRIM(CONCATENATE(Table43[[#This Row],[Nama            KLP]]," ",Table43[[#This Row],[Nama            Sub KLP]]))</f>
        <v>STELLA MATIC</v>
      </c>
      <c r="M593" s="4" t="str">
        <f>CONCATENATE(Table43[[#This Row],[kode  2 Digit                (hrf+No)]],Table43[[#This Row],[kode  2 Digit                (Nomor)]],Table43[[#This Row],[kode  1 Digit                (Nomor)]])</f>
        <v>G1270</v>
      </c>
      <c r="N593" s="4" t="str">
        <f>IF(AI593="",CONCATENATE(S593,U593,W593,Y593,AA593,AC593,AE593,AG593,Table43[[#This Row],[Tanda Kode Revisi]]),CONCATENATE(S593,U593,W593,Y593,AA593,AC593,AE593,AI593))</f>
        <v>G1270107016010</v>
      </c>
      <c r="O593" s="11">
        <f t="shared" si="14"/>
        <v>14</v>
      </c>
      <c r="P593" s="14" t="str">
        <f>IF(AH593&lt;&gt;"",TRIM(UPPER(CONCATENATE(R593," ",T593," ",V593," ",X593," ",Z593," ",AB593," ","X"," ",Table43[[#This Row],[ISI/CTN]]," ",AH593," ",AD593," ",AF593," ",AJ593))),TRIM(UPPER(CONCATENATE(R593," ",T593," ",V593," ",X593," ",Z593," ",AB593," ","X"," ",Table43[[#This Row],[ISI/CTN]]," ",AD593," ",AF593," ",AJ593))))</f>
        <v>STELLA MATIC REFILL LAVENDER 160ML X 12 KLG</v>
      </c>
      <c r="Q593" s="11">
        <f t="shared" si="15"/>
        <v>43</v>
      </c>
      <c r="S593" s="7" t="s">
        <v>34</v>
      </c>
      <c r="T593" s="4" t="s">
        <v>2359</v>
      </c>
      <c r="U593" s="47" t="s">
        <v>2586</v>
      </c>
      <c r="V593" s="48"/>
      <c r="W593" s="7">
        <v>0</v>
      </c>
      <c r="X593" s="48" t="s">
        <v>2231</v>
      </c>
      <c r="Y593" s="47" t="s">
        <v>2539</v>
      </c>
      <c r="Z593" s="4" t="s">
        <v>2426</v>
      </c>
      <c r="AA593" s="49" t="s">
        <v>2544</v>
      </c>
      <c r="AB593" s="4" t="s">
        <v>2377</v>
      </c>
      <c r="AC593" s="49" t="s">
        <v>2601</v>
      </c>
      <c r="AD593" s="4" t="s">
        <v>2221</v>
      </c>
      <c r="AE593" s="7">
        <v>1</v>
      </c>
      <c r="AG593" s="7">
        <v>0</v>
      </c>
      <c r="AK593" s="70">
        <f>Table43[[#This Row],[Column4]]</f>
        <v>30611040225000</v>
      </c>
      <c r="AN593" s="7">
        <f>Table43[[#This Row],[ISI/CTN]]</f>
        <v>12</v>
      </c>
      <c r="AO593" s="38">
        <f>Table43[[#This Row],[Harga Jual Pcs GT
(-PPN)]]-(Table43[[#This Row],[Harga Jual Pcs GT
(-PPN)]]*6.5%)</f>
        <v>26460.5</v>
      </c>
      <c r="AP593" s="38">
        <f>Table43[[#This Row],[Harga Beli Pcs
(-PPN)]]*Table43[[#This Row],[ISI/CTN]]</f>
        <v>317526</v>
      </c>
      <c r="AQ593" s="38">
        <f>Table43[[#This Row],[Harga Beli Pcs
(-PPN)]]*1.11</f>
        <v>29371.155000000002</v>
      </c>
      <c r="AR593" s="38">
        <f>Table43[[#This Row],[Harga Beli Krt
(- PPN)]]*1.11</f>
        <v>352453.86000000004</v>
      </c>
      <c r="AS593" s="38">
        <v>28300</v>
      </c>
      <c r="AT593" s="38">
        <f>Table43[[#This Row],[Harga Jual Pcs GT
(-PPN)]]*Table43[[#This Row],[ISI/CTN]]</f>
        <v>339600</v>
      </c>
      <c r="AU593" s="38">
        <f>Table43[[#This Row],[Harga Jual Pcs GT
(-PPN)]]*1.11</f>
        <v>31413.000000000004</v>
      </c>
      <c r="AV593" s="38">
        <f>Table43[[#This Row],[Harga Jual Krt GT
(- PPN)]]*1.11</f>
        <v>376956.00000000006</v>
      </c>
      <c r="AW593" s="38">
        <f>IFERROR(VLOOKUP(Table43[[#This Row],[Kode Pcpl]],'[1]FEB 2026'!$A$3:$X$312,24,0),0)</f>
        <v>0</v>
      </c>
      <c r="AX593" s="38">
        <f>Table43[[#This Row],[Harga Jual Pcs MT
(-PPN)]]*Table43[[#This Row],[ISI/CTN]]</f>
        <v>0</v>
      </c>
      <c r="AY593" s="38">
        <f>Table43[[#This Row],[Harga Jual Pcs MT
(-PPN)]]*1.11</f>
        <v>0</v>
      </c>
      <c r="AZ593" s="38">
        <f>Table43[[#This Row],[Harga Jual Pcs MT
(+PPN)]]*Table43[[#This Row],[ISI/CTN]]</f>
        <v>0</v>
      </c>
      <c r="BA593" s="46">
        <f>(Table43[[#This Row],[Harga Jual Pcs GT
(-PPN)]]-Table43[[#This Row],[Harga Beli Pcs
(-PPN)]])/Table43[[#This Row],[Harga Jual Pcs GT
(-PPN)]]</f>
        <v>6.5000000000000002E-2</v>
      </c>
      <c r="BB593" s="53">
        <f>Table43[[#This Row],[Harga Jual Pcs MT
(-PPN)]]-Table43[[#This Row],[Harga Beli Pcs
(-PPN)]]</f>
        <v>-26460.5</v>
      </c>
      <c r="BC593" s="54" t="e">
        <f>Table43[[#This Row],[Column1]]/Table43[[#This Row],[Harga Jual Pcs MT
(-PPN)]]</f>
        <v>#DIV/0!</v>
      </c>
      <c r="BD593" s="52"/>
      <c r="BE593" s="7"/>
      <c r="BF593" s="7" t="str">
        <f ca="1">IF(TODAY()-Table43[[#This Row],[Efektif
Pembuatan]]&gt;60,"Lama","Baru")</f>
        <v>Lama</v>
      </c>
      <c r="BG593" s="7" t="str">
        <f ca="1">IF(TODAY()-Table43[[#This Row],[Efektif Naik Harga]]&lt;30,"Naik","Sama")</f>
        <v>Sama</v>
      </c>
      <c r="BH593" s="7"/>
      <c r="BI593" s="7" t="str">
        <f>IF(Table43[[#This Row],[Kode BARANG Win2]]&lt;&gt;"","IDR","")</f>
        <v>IDR</v>
      </c>
      <c r="BJ593" s="7" t="str">
        <f>CONCATENATE(Table43[[#This Row],[kode  1 Digit
(Nomor)]],Table43[[#This Row],[kode  4 Digit                (Nomor)]])</f>
        <v>0160</v>
      </c>
      <c r="BK593" s="7" t="str">
        <f>Table43[[#This Row],[Nama            Gramasi atau Jumlah Pack per CTN]]</f>
        <v>160ML</v>
      </c>
      <c r="BL593" s="7"/>
      <c r="BM593" s="7"/>
      <c r="BN593" s="4" t="str">
        <f>IF(Table43[[#This Row],[SATUAN Fix Win]]&lt;&gt;"","KRT")</f>
        <v>KRT</v>
      </c>
      <c r="BO593" s="4" t="str">
        <f>IF(Table43[[#This Row],[SATUAN Fix Win]]&lt;&gt;"","GD01")</f>
        <v>GD01</v>
      </c>
      <c r="BP593" s="4">
        <f>IF(Table43[[#This Row],[SATUAN Fix Win]]&lt;&gt;"",11611)</f>
        <v>11611</v>
      </c>
      <c r="BQ593" s="4">
        <f>IF(Table43[[#This Row],[SATUAN Fix Win]]&lt;&gt;"",11612)</f>
        <v>11612</v>
      </c>
      <c r="BS593" s="4">
        <f>IF(Table43[[#This Row],[SATUAN Fix Win]]&lt;&gt;"",1)</f>
        <v>1</v>
      </c>
      <c r="BU593" s="4">
        <f>Table43[[#This Row],[ISI/CTN]]</f>
        <v>12</v>
      </c>
    </row>
    <row r="594" spans="1:73">
      <c r="A594" s="4" t="str">
        <f>CONCATENATE(Table43[[#This Row],[Kode BARANG Win2]],Table43[[#This Row],[No. Urut
Item Sama]])</f>
        <v>G1270108016010</v>
      </c>
      <c r="B594" s="7"/>
      <c r="C594" s="31">
        <v>30631070010000</v>
      </c>
      <c r="D594" s="59">
        <v>40059944</v>
      </c>
      <c r="E594" s="60" t="s">
        <v>2159</v>
      </c>
      <c r="F594" s="59">
        <v>30603060225010</v>
      </c>
      <c r="G594" s="59">
        <v>0</v>
      </c>
      <c r="H594" s="60" t="s">
        <v>1501</v>
      </c>
      <c r="I594" s="60">
        <v>12</v>
      </c>
      <c r="J594" s="59" t="s">
        <v>1826</v>
      </c>
      <c r="K594" s="60" t="str">
        <f>Table43[[#This Row],[NamaJenisKemasan]]</f>
        <v>KLG</v>
      </c>
      <c r="L594" s="4" t="str">
        <f>TRIM(CONCATENATE(Table43[[#This Row],[Nama            KLP]]," ",Table43[[#This Row],[Nama            Sub KLP]]))</f>
        <v>STELLA MATIC</v>
      </c>
      <c r="M594" s="4" t="str">
        <f>CONCATENATE(Table43[[#This Row],[kode  2 Digit                (hrf+No)]],Table43[[#This Row],[kode  2 Digit                (Nomor)]],Table43[[#This Row],[kode  1 Digit                (Nomor)]])</f>
        <v>G1270</v>
      </c>
      <c r="N594" s="4" t="str">
        <f>IF(AI594="",CONCATENATE(S594,U594,W594,Y594,AA594,AC594,AE594,AG594,Table43[[#This Row],[Tanda Kode Revisi]]),CONCATENATE(S594,U594,W594,Y594,AA594,AC594,AE594,AI594))</f>
        <v>G1270108016010</v>
      </c>
      <c r="O594" s="11">
        <f t="shared" si="14"/>
        <v>14</v>
      </c>
      <c r="P594" s="14" t="str">
        <f>IF(AH594&lt;&gt;"",TRIM(UPPER(CONCATENATE(R594," ",T594," ",V594," ",X594," ",Z594," ",AB594," ","X"," ",Table43[[#This Row],[ISI/CTN]]," ",AH594," ",AD594," ",AF594," ",AJ594))),TRIM(UPPER(CONCATENATE(R594," ",T594," ",V594," ",X594," ",Z594," ",AB594," ","X"," ",Table43[[#This Row],[ISI/CTN]]," ",AD594," ",AF594," ",AJ594))))</f>
        <v>STELLA MATIC REFILL LEMON 160ML X 12 KLG</v>
      </c>
      <c r="Q594" s="11">
        <f t="shared" si="15"/>
        <v>40</v>
      </c>
      <c r="S594" s="7" t="s">
        <v>34</v>
      </c>
      <c r="T594" s="4" t="s">
        <v>2359</v>
      </c>
      <c r="U594" s="47" t="s">
        <v>2586</v>
      </c>
      <c r="V594" s="48"/>
      <c r="W594" s="7">
        <v>0</v>
      </c>
      <c r="X594" s="48" t="s">
        <v>2231</v>
      </c>
      <c r="Y594" s="47" t="s">
        <v>2539</v>
      </c>
      <c r="Z594" s="4" t="s">
        <v>2321</v>
      </c>
      <c r="AA594" s="49" t="s">
        <v>2545</v>
      </c>
      <c r="AB594" s="4" t="s">
        <v>2377</v>
      </c>
      <c r="AC594" s="49" t="s">
        <v>2601</v>
      </c>
      <c r="AD594" s="4" t="s">
        <v>2221</v>
      </c>
      <c r="AE594" s="7">
        <v>1</v>
      </c>
      <c r="AG594" s="7">
        <v>0</v>
      </c>
      <c r="AK594" s="70">
        <f>Table43[[#This Row],[Column4]]</f>
        <v>30603060225010</v>
      </c>
      <c r="AN594" s="7">
        <f>Table43[[#This Row],[ISI/CTN]]</f>
        <v>12</v>
      </c>
      <c r="AO594" s="61">
        <f>Table43[[#This Row],[Harga Jual Pcs GT
(-PPN)]]-(Table43[[#This Row],[Harga Jual Pcs GT
(-PPN)]]*6.5%)</f>
        <v>26460.5</v>
      </c>
      <c r="AP594" s="61">
        <f>Table43[[#This Row],[Harga Beli Pcs
(-PPN)]]*Table43[[#This Row],[ISI/CTN]]</f>
        <v>317526</v>
      </c>
      <c r="AQ594" s="61">
        <f>Table43[[#This Row],[Harga Beli Pcs
(-PPN)]]*1.11</f>
        <v>29371.155000000002</v>
      </c>
      <c r="AR594" s="61">
        <f>Table43[[#This Row],[Harga Beli Krt
(- PPN)]]*1.11</f>
        <v>352453.86000000004</v>
      </c>
      <c r="AS594" s="61">
        <v>28300</v>
      </c>
      <c r="AT594" s="61">
        <f>Table43[[#This Row],[Harga Jual Pcs GT
(-PPN)]]*Table43[[#This Row],[ISI/CTN]]</f>
        <v>339600</v>
      </c>
      <c r="AU594" s="61">
        <f>Table43[[#This Row],[Harga Jual Pcs GT
(-PPN)]]*1.11</f>
        <v>31413.000000000004</v>
      </c>
      <c r="AV594" s="61">
        <f>Table43[[#This Row],[Harga Jual Krt GT
(- PPN)]]*1.11</f>
        <v>376956.00000000006</v>
      </c>
      <c r="AW594" s="61">
        <f>IFERROR(VLOOKUP(Table43[[#This Row],[Kode Pcpl]],'[1]FEB 2026'!$A$3:$X$312,24,0),0)</f>
        <v>0</v>
      </c>
      <c r="AX594" s="61">
        <f>Table43[[#This Row],[Harga Jual Pcs MT
(-PPN)]]*Table43[[#This Row],[ISI/CTN]]</f>
        <v>0</v>
      </c>
      <c r="AY594" s="61">
        <f>Table43[[#This Row],[Harga Jual Pcs MT
(-PPN)]]*1.11</f>
        <v>0</v>
      </c>
      <c r="AZ594" s="61">
        <f>Table43[[#This Row],[Harga Jual Pcs MT
(+PPN)]]*Table43[[#This Row],[ISI/CTN]]</f>
        <v>0</v>
      </c>
      <c r="BA594" s="62">
        <f>(Table43[[#This Row],[Harga Jual Pcs GT
(-PPN)]]-Table43[[#This Row],[Harga Beli Pcs
(-PPN)]])/Table43[[#This Row],[Harga Jual Pcs GT
(-PPN)]]</f>
        <v>6.5000000000000002E-2</v>
      </c>
      <c r="BB594" s="63">
        <f>Table43[[#This Row],[Harga Jual Pcs MT
(-PPN)]]-Table43[[#This Row],[Harga Beli Pcs
(-PPN)]]</f>
        <v>-26460.5</v>
      </c>
      <c r="BC594" s="64" t="e">
        <f>Table43[[#This Row],[Column1]]/Table43[[#This Row],[Harga Jual Pcs MT
(-PPN)]]</f>
        <v>#DIV/0!</v>
      </c>
      <c r="BD594" s="52"/>
      <c r="BE594" s="7"/>
      <c r="BF594" s="7" t="str">
        <f ca="1">IF(TODAY()-Table43[[#This Row],[Efektif
Pembuatan]]&gt;60,"Lama","Baru")</f>
        <v>Lama</v>
      </c>
      <c r="BG594" s="7" t="str">
        <f ca="1">IF(TODAY()-Table43[[#This Row],[Efektif Naik Harga]]&lt;30,"Naik","Sama")</f>
        <v>Sama</v>
      </c>
      <c r="BH594" s="7"/>
      <c r="BI594" s="7" t="str">
        <f>IF(Table43[[#This Row],[Kode BARANG Win2]]&lt;&gt;"","IDR","")</f>
        <v>IDR</v>
      </c>
      <c r="BJ594" s="7" t="str">
        <f>CONCATENATE(Table43[[#This Row],[kode  1 Digit
(Nomor)]],Table43[[#This Row],[kode  4 Digit                (Nomor)]])</f>
        <v>0160</v>
      </c>
      <c r="BK594" s="7" t="str">
        <f>Table43[[#This Row],[Nama            Gramasi atau Jumlah Pack per CTN]]</f>
        <v>160ML</v>
      </c>
      <c r="BL594" s="7"/>
      <c r="BM594" s="7"/>
      <c r="BN594" s="4" t="str">
        <f>IF(Table43[[#This Row],[SATUAN Fix Win]]&lt;&gt;"","KRT")</f>
        <v>KRT</v>
      </c>
      <c r="BO594" s="4" t="str">
        <f>IF(Table43[[#This Row],[SATUAN Fix Win]]&lt;&gt;"","GD01")</f>
        <v>GD01</v>
      </c>
      <c r="BP594" s="4">
        <f>IF(Table43[[#This Row],[SATUAN Fix Win]]&lt;&gt;"",11611)</f>
        <v>11611</v>
      </c>
      <c r="BQ594" s="4">
        <f>IF(Table43[[#This Row],[SATUAN Fix Win]]&lt;&gt;"",11612)</f>
        <v>11612</v>
      </c>
      <c r="BS594" s="4">
        <f>IF(Table43[[#This Row],[SATUAN Fix Win]]&lt;&gt;"",1)</f>
        <v>1</v>
      </c>
      <c r="BU594" s="4">
        <f>Table43[[#This Row],[ISI/CTN]]</f>
        <v>12</v>
      </c>
    </row>
    <row r="595" spans="1:73">
      <c r="A595" s="4" t="str">
        <f>CONCATENATE(Table43[[#This Row],[Kode BARANG Win2]],Table43[[#This Row],[No. Urut
Item Sama]])</f>
        <v>G1270108016010</v>
      </c>
      <c r="B595" s="7"/>
      <c r="C595" s="31">
        <v>30631080010000</v>
      </c>
      <c r="D595" s="51">
        <v>40050028</v>
      </c>
      <c r="E595" s="27" t="s">
        <v>2159</v>
      </c>
      <c r="F595" s="51">
        <v>30603060225010</v>
      </c>
      <c r="G595" s="51">
        <v>0</v>
      </c>
      <c r="H595" s="27" t="s">
        <v>1500</v>
      </c>
      <c r="I595" s="27">
        <v>12</v>
      </c>
      <c r="J595" s="51" t="s">
        <v>1826</v>
      </c>
      <c r="K595" s="27" t="str">
        <f>Table43[[#This Row],[NamaJenisKemasan]]</f>
        <v>KLG</v>
      </c>
      <c r="L595" s="4" t="str">
        <f>TRIM(CONCATENATE(Table43[[#This Row],[Nama            KLP]]," ",Table43[[#This Row],[Nama            Sub KLP]]))</f>
        <v>STELLA MATIC</v>
      </c>
      <c r="M595" s="4" t="str">
        <f>CONCATENATE(Table43[[#This Row],[kode  2 Digit                (hrf+No)]],Table43[[#This Row],[kode  2 Digit                (Nomor)]],Table43[[#This Row],[kode  1 Digit                (Nomor)]])</f>
        <v>G1270</v>
      </c>
      <c r="N595" s="4" t="str">
        <f>IF(AI595="",CONCATENATE(S595,U595,W595,Y595,AA595,AC595,AE595,AG595,Table43[[#This Row],[Tanda Kode Revisi]]),CONCATENATE(S595,U595,W595,Y595,AA595,AC595,AE595,AI595))</f>
        <v>G1270108016010</v>
      </c>
      <c r="O595" s="11">
        <f t="shared" si="14"/>
        <v>14</v>
      </c>
      <c r="P595" s="14" t="str">
        <f>IF(AH595&lt;&gt;"",TRIM(UPPER(CONCATENATE(R595," ",T595," ",V595," ",X595," ",Z595," ",AB595," ","X"," ",Table43[[#This Row],[ISI/CTN]]," ",AH595," ",AD595," ",AF595," ",AJ595))),TRIM(UPPER(CONCATENATE(R595," ",T595," ",V595," ",X595," ",Z595," ",AB595," ","X"," ",Table43[[#This Row],[ISI/CTN]]," ",AD595," ",AF595," ",AJ595))))</f>
        <v>STELLA MATIC REFILL LEMON 160ML X 12 KLG</v>
      </c>
      <c r="Q595" s="11">
        <f t="shared" si="15"/>
        <v>40</v>
      </c>
      <c r="S595" s="7" t="s">
        <v>34</v>
      </c>
      <c r="T595" s="4" t="s">
        <v>2359</v>
      </c>
      <c r="U595" s="47" t="s">
        <v>2586</v>
      </c>
      <c r="V595" s="48"/>
      <c r="W595" s="7">
        <v>0</v>
      </c>
      <c r="X595" s="48" t="s">
        <v>2231</v>
      </c>
      <c r="Y595" s="47" t="s">
        <v>2539</v>
      </c>
      <c r="Z595" s="4" t="s">
        <v>2321</v>
      </c>
      <c r="AA595" s="49" t="s">
        <v>2545</v>
      </c>
      <c r="AB595" s="4" t="s">
        <v>2377</v>
      </c>
      <c r="AC595" s="49" t="s">
        <v>2601</v>
      </c>
      <c r="AD595" s="4" t="s">
        <v>2221</v>
      </c>
      <c r="AE595" s="7">
        <v>1</v>
      </c>
      <c r="AG595" s="7">
        <v>0</v>
      </c>
      <c r="AK595" s="70">
        <f>Table43[[#This Row],[Column4]]</f>
        <v>30603060225010</v>
      </c>
      <c r="AN595" s="7">
        <f>Table43[[#This Row],[ISI/CTN]]</f>
        <v>12</v>
      </c>
      <c r="AO595" s="38">
        <f>Table43[[#This Row],[Harga Jual Pcs GT
(-PPN)]]-(Table43[[#This Row],[Harga Jual Pcs GT
(-PPN)]]*6.5%)</f>
        <v>26460.5</v>
      </c>
      <c r="AP595" s="38">
        <f>Table43[[#This Row],[Harga Beli Pcs
(-PPN)]]*Table43[[#This Row],[ISI/CTN]]</f>
        <v>317526</v>
      </c>
      <c r="AQ595" s="38">
        <f>Table43[[#This Row],[Harga Beli Pcs
(-PPN)]]*1.11</f>
        <v>29371.155000000002</v>
      </c>
      <c r="AR595" s="38">
        <f>Table43[[#This Row],[Harga Beli Krt
(- PPN)]]*1.11</f>
        <v>352453.86000000004</v>
      </c>
      <c r="AS595" s="38">
        <v>28300</v>
      </c>
      <c r="AT595" s="38">
        <f>Table43[[#This Row],[Harga Jual Pcs GT
(-PPN)]]*Table43[[#This Row],[ISI/CTN]]</f>
        <v>339600</v>
      </c>
      <c r="AU595" s="38">
        <f>Table43[[#This Row],[Harga Jual Pcs GT
(-PPN)]]*1.11</f>
        <v>31413.000000000004</v>
      </c>
      <c r="AV595" s="38">
        <f>Table43[[#This Row],[Harga Jual Krt GT
(- PPN)]]*1.11</f>
        <v>376956.00000000006</v>
      </c>
      <c r="AW595" s="38">
        <f>IFERROR(VLOOKUP(Table43[[#This Row],[Kode Pcpl]],'[1]FEB 2026'!$A$3:$X$312,24,0),0)</f>
        <v>0</v>
      </c>
      <c r="AX595" s="38">
        <f>Table43[[#This Row],[Harga Jual Pcs MT
(-PPN)]]*Table43[[#This Row],[ISI/CTN]]</f>
        <v>0</v>
      </c>
      <c r="AY595" s="38">
        <f>Table43[[#This Row],[Harga Jual Pcs MT
(-PPN)]]*1.11</f>
        <v>0</v>
      </c>
      <c r="AZ595" s="38">
        <f>Table43[[#This Row],[Harga Jual Pcs MT
(+PPN)]]*Table43[[#This Row],[ISI/CTN]]</f>
        <v>0</v>
      </c>
      <c r="BA595" s="46">
        <f>(Table43[[#This Row],[Harga Jual Pcs GT
(-PPN)]]-Table43[[#This Row],[Harga Beli Pcs
(-PPN)]])/Table43[[#This Row],[Harga Jual Pcs GT
(-PPN)]]</f>
        <v>6.5000000000000002E-2</v>
      </c>
      <c r="BB595" s="53">
        <f>Table43[[#This Row],[Harga Jual Pcs MT
(-PPN)]]-Table43[[#This Row],[Harga Beli Pcs
(-PPN)]]</f>
        <v>-26460.5</v>
      </c>
      <c r="BC595" s="54" t="e">
        <f>Table43[[#This Row],[Column1]]/Table43[[#This Row],[Harga Jual Pcs MT
(-PPN)]]</f>
        <v>#DIV/0!</v>
      </c>
      <c r="BD595" s="52"/>
      <c r="BE595" s="7"/>
      <c r="BF595" s="7" t="str">
        <f ca="1">IF(TODAY()-Table43[[#This Row],[Efektif
Pembuatan]]&gt;60,"Lama","Baru")</f>
        <v>Lama</v>
      </c>
      <c r="BG595" s="7" t="str">
        <f ca="1">IF(TODAY()-Table43[[#This Row],[Efektif Naik Harga]]&lt;30,"Naik","Sama")</f>
        <v>Sama</v>
      </c>
      <c r="BH595" s="7"/>
      <c r="BI595" s="7" t="str">
        <f>IF(Table43[[#This Row],[Kode BARANG Win2]]&lt;&gt;"","IDR","")</f>
        <v>IDR</v>
      </c>
      <c r="BJ595" s="7" t="str">
        <f>CONCATENATE(Table43[[#This Row],[kode  1 Digit
(Nomor)]],Table43[[#This Row],[kode  4 Digit                (Nomor)]])</f>
        <v>0160</v>
      </c>
      <c r="BK595" s="7" t="str">
        <f>Table43[[#This Row],[Nama            Gramasi atau Jumlah Pack per CTN]]</f>
        <v>160ML</v>
      </c>
      <c r="BL595" s="7"/>
      <c r="BM595" s="7"/>
      <c r="BN595" s="4" t="str">
        <f>IF(Table43[[#This Row],[SATUAN Fix Win]]&lt;&gt;"","KRT")</f>
        <v>KRT</v>
      </c>
      <c r="BO595" s="4" t="str">
        <f>IF(Table43[[#This Row],[SATUAN Fix Win]]&lt;&gt;"","GD01")</f>
        <v>GD01</v>
      </c>
      <c r="BP595" s="4">
        <f>IF(Table43[[#This Row],[SATUAN Fix Win]]&lt;&gt;"",11611)</f>
        <v>11611</v>
      </c>
      <c r="BQ595" s="4">
        <f>IF(Table43[[#This Row],[SATUAN Fix Win]]&lt;&gt;"",11612)</f>
        <v>11612</v>
      </c>
      <c r="BS595" s="4">
        <f>IF(Table43[[#This Row],[SATUAN Fix Win]]&lt;&gt;"",1)</f>
        <v>1</v>
      </c>
      <c r="BU595" s="4">
        <f>Table43[[#This Row],[ISI/CTN]]</f>
        <v>12</v>
      </c>
    </row>
    <row r="596" spans="1:73">
      <c r="A596" s="4" t="str">
        <f>CONCATENATE(Table43[[#This Row],[Kode BARANG Win2]],Table43[[#This Row],[No. Urut
Item Sama]])</f>
        <v>G1270108016010</v>
      </c>
      <c r="B596" s="7"/>
      <c r="C596" s="31"/>
      <c r="D596" s="51">
        <v>40007711</v>
      </c>
      <c r="E596" s="27"/>
      <c r="F596" s="51"/>
      <c r="G596" s="51"/>
      <c r="H596" s="27"/>
      <c r="I596" s="27">
        <v>12</v>
      </c>
      <c r="J596" s="51" t="s">
        <v>1826</v>
      </c>
      <c r="K596" s="27" t="str">
        <f>Table43[[#This Row],[NamaJenisKemasan]]</f>
        <v>KLG</v>
      </c>
      <c r="L596" s="4" t="str">
        <f>TRIM(CONCATENATE(Table43[[#This Row],[Nama            KLP]]," ",Table43[[#This Row],[Nama            Sub KLP]]))</f>
        <v>STELLA MATIC</v>
      </c>
      <c r="M596" s="4" t="str">
        <f>CONCATENATE(Table43[[#This Row],[kode  2 Digit                (hrf+No)]],Table43[[#This Row],[kode  2 Digit                (Nomor)]],Table43[[#This Row],[kode  1 Digit                (Nomor)]])</f>
        <v>G1270</v>
      </c>
      <c r="N596" s="4" t="str">
        <f>IF(AI596="",CONCATENATE(S596,U596,W596,Y596,AA596,AC596,AE596,AG596,Table43[[#This Row],[Tanda Kode Revisi]]),CONCATENATE(S596,U596,W596,Y596,AA596,AC596,AE596,AI596))</f>
        <v>G1270108016010</v>
      </c>
      <c r="O596" s="11">
        <f t="shared" si="14"/>
        <v>14</v>
      </c>
      <c r="P596" s="14" t="str">
        <f>IF(AH596&lt;&gt;"",TRIM(UPPER(CONCATENATE(R596," ",T596," ",V596," ",X596," ",Z596," ",AB596," ","X"," ",Table43[[#This Row],[ISI/CTN]]," ",AH596," ",AD596," ",AF596," ",AJ596))),TRIM(UPPER(CONCATENATE(R596," ",T596," ",V596," ",X596," ",Z596," ",AB596," ","X"," ",Table43[[#This Row],[ISI/CTN]]," ",AD596," ",AF596," ",AJ596))))</f>
        <v>STELLA MATIC REFILL LEMON 160ML X 12 KLG</v>
      </c>
      <c r="Q596" s="11">
        <f t="shared" si="15"/>
        <v>40</v>
      </c>
      <c r="S596" s="7" t="s">
        <v>34</v>
      </c>
      <c r="T596" s="4" t="s">
        <v>2359</v>
      </c>
      <c r="U596" s="47" t="s">
        <v>2586</v>
      </c>
      <c r="V596" s="48"/>
      <c r="W596" s="7">
        <v>0</v>
      </c>
      <c r="X596" s="48" t="s">
        <v>2231</v>
      </c>
      <c r="Y596" s="47" t="s">
        <v>2539</v>
      </c>
      <c r="Z596" s="4" t="s">
        <v>2321</v>
      </c>
      <c r="AA596" s="49" t="s">
        <v>2545</v>
      </c>
      <c r="AB596" s="4" t="s">
        <v>2377</v>
      </c>
      <c r="AC596" s="49" t="s">
        <v>2601</v>
      </c>
      <c r="AD596" s="4" t="s">
        <v>2221</v>
      </c>
      <c r="AE596" s="7">
        <v>1</v>
      </c>
      <c r="AG596" s="7">
        <v>0</v>
      </c>
      <c r="AK596" s="70">
        <f>Table43[[#This Row],[Column4]]</f>
        <v>0</v>
      </c>
      <c r="AN596" s="7">
        <f>Table43[[#This Row],[ISI/CTN]]</f>
        <v>12</v>
      </c>
      <c r="AO596" s="38">
        <f>Table43[[#This Row],[Harga Jual Pcs GT
(-PPN)]]-(Table43[[#This Row],[Harga Jual Pcs GT
(-PPN)]]*6.5%)</f>
        <v>26460.5</v>
      </c>
      <c r="AP596" s="38">
        <f>Table43[[#This Row],[Harga Beli Pcs
(-PPN)]]*Table43[[#This Row],[ISI/CTN]]</f>
        <v>317526</v>
      </c>
      <c r="AQ596" s="38">
        <f>Table43[[#This Row],[Harga Beli Pcs
(-PPN)]]*1.11</f>
        <v>29371.155000000002</v>
      </c>
      <c r="AR596" s="38">
        <f>Table43[[#This Row],[Harga Beli Krt
(- PPN)]]*1.11</f>
        <v>352453.86000000004</v>
      </c>
      <c r="AS596" s="38">
        <v>28300</v>
      </c>
      <c r="AT596" s="38">
        <f>Table43[[#This Row],[Harga Jual Pcs GT
(-PPN)]]*Table43[[#This Row],[ISI/CTN]]</f>
        <v>339600</v>
      </c>
      <c r="AU596" s="38">
        <f>Table43[[#This Row],[Harga Jual Pcs GT
(-PPN)]]*1.11</f>
        <v>31413.000000000004</v>
      </c>
      <c r="AV596" s="38">
        <f>Table43[[#This Row],[Harga Jual Krt GT
(- PPN)]]*1.11</f>
        <v>376956.00000000006</v>
      </c>
      <c r="AW596" s="38">
        <f>IFERROR(VLOOKUP(Table43[[#This Row],[Kode Pcpl]],'[1]FEB 2026'!$A$3:$X$312,24,0),0)</f>
        <v>0</v>
      </c>
      <c r="AX596" s="38">
        <f>Table43[[#This Row],[Harga Jual Pcs MT
(-PPN)]]*Table43[[#This Row],[ISI/CTN]]</f>
        <v>0</v>
      </c>
      <c r="AY596" s="38">
        <f>Table43[[#This Row],[Harga Jual Pcs MT
(-PPN)]]*1.11</f>
        <v>0</v>
      </c>
      <c r="AZ596" s="38">
        <f>Table43[[#This Row],[Harga Jual Pcs MT
(+PPN)]]*Table43[[#This Row],[ISI/CTN]]</f>
        <v>0</v>
      </c>
      <c r="BA596" s="46">
        <f>(Table43[[#This Row],[Harga Jual Pcs GT
(-PPN)]]-Table43[[#This Row],[Harga Beli Pcs
(-PPN)]])/Table43[[#This Row],[Harga Jual Pcs GT
(-PPN)]]</f>
        <v>6.5000000000000002E-2</v>
      </c>
      <c r="BB596" s="53">
        <f>Table43[[#This Row],[Harga Jual Pcs MT
(-PPN)]]-Table43[[#This Row],[Harga Beli Pcs
(-PPN)]]</f>
        <v>-26460.5</v>
      </c>
      <c r="BC596" s="54" t="e">
        <f>Table43[[#This Row],[Column1]]/Table43[[#This Row],[Harga Jual Pcs MT
(-PPN)]]</f>
        <v>#DIV/0!</v>
      </c>
      <c r="BD596" s="52"/>
      <c r="BE596" s="7"/>
      <c r="BF596" s="7" t="str">
        <f ca="1">IF(TODAY()-Table43[[#This Row],[Efektif
Pembuatan]]&gt;60,"Lama","Baru")</f>
        <v>Lama</v>
      </c>
      <c r="BG596" s="7" t="str">
        <f ca="1">IF(TODAY()-Table43[[#This Row],[Efektif Naik Harga]]&lt;30,"Naik","Sama")</f>
        <v>Sama</v>
      </c>
      <c r="BH596" s="7"/>
      <c r="BI596" s="7" t="str">
        <f>IF(Table43[[#This Row],[Kode BARANG Win2]]&lt;&gt;"","IDR","")</f>
        <v>IDR</v>
      </c>
      <c r="BJ596" s="7" t="str">
        <f>CONCATENATE(Table43[[#This Row],[kode  1 Digit
(Nomor)]],Table43[[#This Row],[kode  4 Digit                (Nomor)]])</f>
        <v>0160</v>
      </c>
      <c r="BK596" s="7" t="str">
        <f>Table43[[#This Row],[Nama            Gramasi atau Jumlah Pack per CTN]]</f>
        <v>160ML</v>
      </c>
      <c r="BL596" s="7"/>
      <c r="BM596" s="7"/>
      <c r="BN596" s="4" t="str">
        <f>IF(Table43[[#This Row],[SATUAN Fix Win]]&lt;&gt;"","KRT")</f>
        <v>KRT</v>
      </c>
      <c r="BO596" s="4" t="str">
        <f>IF(Table43[[#This Row],[SATUAN Fix Win]]&lt;&gt;"","GD01")</f>
        <v>GD01</v>
      </c>
      <c r="BP596" s="4">
        <f>IF(Table43[[#This Row],[SATUAN Fix Win]]&lt;&gt;"",11611)</f>
        <v>11611</v>
      </c>
      <c r="BQ596" s="4">
        <f>IF(Table43[[#This Row],[SATUAN Fix Win]]&lt;&gt;"",11612)</f>
        <v>11612</v>
      </c>
      <c r="BS596" s="4">
        <f>IF(Table43[[#This Row],[SATUAN Fix Win]]&lt;&gt;"",1)</f>
        <v>1</v>
      </c>
      <c r="BU596" s="4">
        <f>Table43[[#This Row],[ISI/CTN]]</f>
        <v>12</v>
      </c>
    </row>
    <row r="597" spans="1:73">
      <c r="A597" s="4" t="str">
        <f>CONCATENATE(Table43[[#This Row],[Kode BARANG Win2]],Table43[[#This Row],[No. Urut
Item Sama]])</f>
        <v>G1270109016010</v>
      </c>
      <c r="B597" s="7"/>
      <c r="C597" s="31">
        <v>30631020010000</v>
      </c>
      <c r="D597" s="51">
        <v>40057844</v>
      </c>
      <c r="E597" s="27" t="s">
        <v>2157</v>
      </c>
      <c r="F597" s="51">
        <v>30603050225010</v>
      </c>
      <c r="G597" s="51">
        <v>0</v>
      </c>
      <c r="H597" s="27" t="s">
        <v>1496</v>
      </c>
      <c r="I597" s="27">
        <v>12</v>
      </c>
      <c r="J597" s="51" t="s">
        <v>1824</v>
      </c>
      <c r="K597" s="27" t="str">
        <f>Table43[[#This Row],[NamaJenisKemasan]]</f>
        <v>KLG</v>
      </c>
      <c r="L597" s="4" t="str">
        <f>TRIM(CONCATENATE(Table43[[#This Row],[Nama            KLP]]," ",Table43[[#This Row],[Nama            Sub KLP]]))</f>
        <v>STELLA MATIC</v>
      </c>
      <c r="M597" s="4" t="str">
        <f>CONCATENATE(Table43[[#This Row],[kode  2 Digit                (hrf+No)]],Table43[[#This Row],[kode  2 Digit                (Nomor)]],Table43[[#This Row],[kode  1 Digit                (Nomor)]])</f>
        <v>G1270</v>
      </c>
      <c r="N597" s="4" t="str">
        <f>IF(AI597="",CONCATENATE(S597,U597,W597,Y597,AA597,AC597,AE597,AG597,Table43[[#This Row],[Tanda Kode Revisi]]),CONCATENATE(S597,U597,W597,Y597,AA597,AC597,AE597,AI597))</f>
        <v>G1270109016010</v>
      </c>
      <c r="O597" s="11">
        <f t="shared" si="14"/>
        <v>14</v>
      </c>
      <c r="P597" s="14" t="str">
        <f>IF(AH597&lt;&gt;"",TRIM(UPPER(CONCATENATE(R597," ",T597," ",V597," ",X597," ",Z597," ",AB597," ","X"," ",Table43[[#This Row],[ISI/CTN]]," ",AH597," ",AD597," ",AF597," ",AJ597))),TRIM(UPPER(CONCATENATE(R597," ",T597," ",V597," ",X597," ",Z597," ",AB597," ","X"," ",Table43[[#This Row],[ISI/CTN]]," ",AD597," ",AF597," ",AJ597))))</f>
        <v>STELLA MATIC REFILL ORANGE 160ML X 12 KLG</v>
      </c>
      <c r="Q597" s="11">
        <f t="shared" si="15"/>
        <v>41</v>
      </c>
      <c r="S597" s="7" t="s">
        <v>34</v>
      </c>
      <c r="T597" s="4" t="s">
        <v>2359</v>
      </c>
      <c r="U597" s="47" t="s">
        <v>2586</v>
      </c>
      <c r="V597" s="48"/>
      <c r="W597" s="7">
        <v>0</v>
      </c>
      <c r="X597" s="48" t="s">
        <v>2231</v>
      </c>
      <c r="Y597" s="47" t="s">
        <v>2539</v>
      </c>
      <c r="Z597" s="4" t="s">
        <v>2251</v>
      </c>
      <c r="AA597" s="49" t="s">
        <v>2546</v>
      </c>
      <c r="AB597" s="4" t="s">
        <v>2377</v>
      </c>
      <c r="AC597" s="49" t="s">
        <v>2601</v>
      </c>
      <c r="AD597" s="4" t="s">
        <v>2221</v>
      </c>
      <c r="AE597" s="7">
        <v>1</v>
      </c>
      <c r="AG597" s="7">
        <v>0</v>
      </c>
      <c r="AK597" s="70">
        <f>Table43[[#This Row],[Column4]]</f>
        <v>30603050225010</v>
      </c>
      <c r="AN597" s="7">
        <f>Table43[[#This Row],[ISI/CTN]]</f>
        <v>12</v>
      </c>
      <c r="AO597" s="38">
        <f>Table43[[#This Row],[Harga Jual Pcs GT
(-PPN)]]-(Table43[[#This Row],[Harga Jual Pcs GT
(-PPN)]]*6.5%)</f>
        <v>26460.5</v>
      </c>
      <c r="AP597" s="38">
        <f>Table43[[#This Row],[Harga Beli Pcs
(-PPN)]]*Table43[[#This Row],[ISI/CTN]]</f>
        <v>317526</v>
      </c>
      <c r="AQ597" s="38">
        <f>Table43[[#This Row],[Harga Beli Pcs
(-PPN)]]*1.11</f>
        <v>29371.155000000002</v>
      </c>
      <c r="AR597" s="38">
        <f>Table43[[#This Row],[Harga Beli Krt
(- PPN)]]*1.11</f>
        <v>352453.86000000004</v>
      </c>
      <c r="AS597" s="38">
        <v>28300</v>
      </c>
      <c r="AT597" s="38">
        <f>Table43[[#This Row],[Harga Jual Pcs GT
(-PPN)]]*Table43[[#This Row],[ISI/CTN]]</f>
        <v>339600</v>
      </c>
      <c r="AU597" s="38">
        <f>Table43[[#This Row],[Harga Jual Pcs GT
(-PPN)]]*1.11</f>
        <v>31413.000000000004</v>
      </c>
      <c r="AV597" s="38">
        <f>Table43[[#This Row],[Harga Jual Krt GT
(- PPN)]]*1.11</f>
        <v>376956.00000000006</v>
      </c>
      <c r="AW597" s="38">
        <f>IFERROR(VLOOKUP(Table43[[#This Row],[Kode Pcpl]],'[1]FEB 2026'!$A$3:$X$312,24,0),0)</f>
        <v>0</v>
      </c>
      <c r="AX597" s="38">
        <f>Table43[[#This Row],[Harga Jual Pcs MT
(-PPN)]]*Table43[[#This Row],[ISI/CTN]]</f>
        <v>0</v>
      </c>
      <c r="AY597" s="38">
        <f>Table43[[#This Row],[Harga Jual Pcs MT
(-PPN)]]*1.11</f>
        <v>0</v>
      </c>
      <c r="AZ597" s="38">
        <f>Table43[[#This Row],[Harga Jual Pcs MT
(+PPN)]]*Table43[[#This Row],[ISI/CTN]]</f>
        <v>0</v>
      </c>
      <c r="BA597" s="46">
        <f>(Table43[[#This Row],[Harga Jual Pcs GT
(-PPN)]]-Table43[[#This Row],[Harga Beli Pcs
(-PPN)]])/Table43[[#This Row],[Harga Jual Pcs GT
(-PPN)]]</f>
        <v>6.5000000000000002E-2</v>
      </c>
      <c r="BB597" s="53">
        <f>Table43[[#This Row],[Harga Jual Pcs MT
(-PPN)]]-Table43[[#This Row],[Harga Beli Pcs
(-PPN)]]</f>
        <v>-26460.5</v>
      </c>
      <c r="BC597" s="54" t="e">
        <f>Table43[[#This Row],[Column1]]/Table43[[#This Row],[Harga Jual Pcs MT
(-PPN)]]</f>
        <v>#DIV/0!</v>
      </c>
      <c r="BD597" s="52"/>
      <c r="BE597" s="7"/>
      <c r="BF597" s="7" t="str">
        <f ca="1">IF(TODAY()-Table43[[#This Row],[Efektif
Pembuatan]]&gt;60,"Lama","Baru")</f>
        <v>Lama</v>
      </c>
      <c r="BG597" s="7" t="str">
        <f ca="1">IF(TODAY()-Table43[[#This Row],[Efektif Naik Harga]]&lt;30,"Naik","Sama")</f>
        <v>Sama</v>
      </c>
      <c r="BH597" s="7"/>
      <c r="BI597" s="7" t="str">
        <f>IF(Table43[[#This Row],[Kode BARANG Win2]]&lt;&gt;"","IDR","")</f>
        <v>IDR</v>
      </c>
      <c r="BJ597" s="7" t="str">
        <f>CONCATENATE(Table43[[#This Row],[kode  1 Digit
(Nomor)]],Table43[[#This Row],[kode  4 Digit                (Nomor)]])</f>
        <v>0160</v>
      </c>
      <c r="BK597" s="7" t="str">
        <f>Table43[[#This Row],[Nama            Gramasi atau Jumlah Pack per CTN]]</f>
        <v>160ML</v>
      </c>
      <c r="BL597" s="7"/>
      <c r="BM597" s="7"/>
      <c r="BN597" s="4" t="str">
        <f>IF(Table43[[#This Row],[SATUAN Fix Win]]&lt;&gt;"","KRT")</f>
        <v>KRT</v>
      </c>
      <c r="BO597" s="4" t="str">
        <f>IF(Table43[[#This Row],[SATUAN Fix Win]]&lt;&gt;"","GD01")</f>
        <v>GD01</v>
      </c>
      <c r="BP597" s="4">
        <f>IF(Table43[[#This Row],[SATUAN Fix Win]]&lt;&gt;"",11611)</f>
        <v>11611</v>
      </c>
      <c r="BQ597" s="4">
        <f>IF(Table43[[#This Row],[SATUAN Fix Win]]&lt;&gt;"",11612)</f>
        <v>11612</v>
      </c>
      <c r="BS597" s="4">
        <f>IF(Table43[[#This Row],[SATUAN Fix Win]]&lt;&gt;"",1)</f>
        <v>1</v>
      </c>
      <c r="BU597" s="4">
        <f>Table43[[#This Row],[ISI/CTN]]</f>
        <v>12</v>
      </c>
    </row>
    <row r="598" spans="1:73">
      <c r="A598" s="4" t="str">
        <f>CONCATENATE(Table43[[#This Row],[Kode BARANG Win2]],Table43[[#This Row],[No. Urut
Item Sama]])</f>
        <v>G1270109016010</v>
      </c>
      <c r="B598" s="7"/>
      <c r="C598" s="31">
        <v>30650010650000</v>
      </c>
      <c r="D598" s="51">
        <v>40050029</v>
      </c>
      <c r="E598" s="27" t="s">
        <v>2157</v>
      </c>
      <c r="F598" s="51">
        <v>30603050225010</v>
      </c>
      <c r="G598" s="51">
        <v>0</v>
      </c>
      <c r="H598" s="27" t="s">
        <v>1495</v>
      </c>
      <c r="I598" s="27">
        <v>12</v>
      </c>
      <c r="J598" s="51" t="s">
        <v>1824</v>
      </c>
      <c r="K598" s="27" t="str">
        <f>Table43[[#This Row],[NamaJenisKemasan]]</f>
        <v>KLG</v>
      </c>
      <c r="L598" s="4" t="str">
        <f>TRIM(CONCATENATE(Table43[[#This Row],[Nama            KLP]]," ",Table43[[#This Row],[Nama            Sub KLP]]))</f>
        <v>STELLA MATIC</v>
      </c>
      <c r="M598" s="4" t="str">
        <f>CONCATENATE(Table43[[#This Row],[kode  2 Digit                (hrf+No)]],Table43[[#This Row],[kode  2 Digit                (Nomor)]],Table43[[#This Row],[kode  1 Digit                (Nomor)]])</f>
        <v>G1270</v>
      </c>
      <c r="N598" s="4" t="str">
        <f>IF(AI598="",CONCATENATE(S598,U598,W598,Y598,AA598,AC598,AE598,AG598,Table43[[#This Row],[Tanda Kode Revisi]]),CONCATENATE(S598,U598,W598,Y598,AA598,AC598,AE598,AI598))</f>
        <v>G1270109016010</v>
      </c>
      <c r="O598" s="11">
        <f t="shared" si="14"/>
        <v>14</v>
      </c>
      <c r="P598" s="14" t="str">
        <f>IF(AH598&lt;&gt;"",TRIM(UPPER(CONCATENATE(R598," ",T598," ",V598," ",X598," ",Z598," ",AB598," ","X"," ",Table43[[#This Row],[ISI/CTN]]," ",AH598," ",AD598," ",AF598," ",AJ598))),TRIM(UPPER(CONCATENATE(R598," ",T598," ",V598," ",X598," ",Z598," ",AB598," ","X"," ",Table43[[#This Row],[ISI/CTN]]," ",AD598," ",AF598," ",AJ598))))</f>
        <v>STELLA MATIC REFILL ORANGE 160ML X 12 KLG</v>
      </c>
      <c r="Q598" s="11">
        <f t="shared" si="15"/>
        <v>41</v>
      </c>
      <c r="S598" s="7" t="s">
        <v>34</v>
      </c>
      <c r="T598" s="4" t="s">
        <v>2359</v>
      </c>
      <c r="U598" s="47" t="s">
        <v>2586</v>
      </c>
      <c r="V598" s="48"/>
      <c r="W598" s="7">
        <v>0</v>
      </c>
      <c r="X598" s="48" t="s">
        <v>2231</v>
      </c>
      <c r="Y598" s="47" t="s">
        <v>2539</v>
      </c>
      <c r="Z598" s="4" t="s">
        <v>2251</v>
      </c>
      <c r="AA598" s="49" t="s">
        <v>2546</v>
      </c>
      <c r="AB598" s="4" t="s">
        <v>2377</v>
      </c>
      <c r="AC598" s="49" t="s">
        <v>2601</v>
      </c>
      <c r="AD598" s="4" t="s">
        <v>2221</v>
      </c>
      <c r="AE598" s="7">
        <v>1</v>
      </c>
      <c r="AG598" s="7">
        <v>0</v>
      </c>
      <c r="AK598" s="70">
        <f>Table43[[#This Row],[Column4]]</f>
        <v>30603050225010</v>
      </c>
      <c r="AN598" s="7">
        <f>Table43[[#This Row],[ISI/CTN]]</f>
        <v>12</v>
      </c>
      <c r="AO598" s="38">
        <f>Table43[[#This Row],[Harga Jual Pcs GT
(-PPN)]]-(Table43[[#This Row],[Harga Jual Pcs GT
(-PPN)]]*6.5%)</f>
        <v>26460.5</v>
      </c>
      <c r="AP598" s="38">
        <f>Table43[[#This Row],[Harga Beli Pcs
(-PPN)]]*Table43[[#This Row],[ISI/CTN]]</f>
        <v>317526</v>
      </c>
      <c r="AQ598" s="38">
        <f>Table43[[#This Row],[Harga Beli Pcs
(-PPN)]]*1.11</f>
        <v>29371.155000000002</v>
      </c>
      <c r="AR598" s="38">
        <f>Table43[[#This Row],[Harga Beli Krt
(- PPN)]]*1.11</f>
        <v>352453.86000000004</v>
      </c>
      <c r="AS598" s="38">
        <v>28300</v>
      </c>
      <c r="AT598" s="38">
        <f>Table43[[#This Row],[Harga Jual Pcs GT
(-PPN)]]*Table43[[#This Row],[ISI/CTN]]</f>
        <v>339600</v>
      </c>
      <c r="AU598" s="38">
        <f>Table43[[#This Row],[Harga Jual Pcs GT
(-PPN)]]*1.11</f>
        <v>31413.000000000004</v>
      </c>
      <c r="AV598" s="38">
        <f>Table43[[#This Row],[Harga Jual Krt GT
(- PPN)]]*1.11</f>
        <v>376956.00000000006</v>
      </c>
      <c r="AW598" s="38">
        <f>IFERROR(VLOOKUP(Table43[[#This Row],[Kode Pcpl]],'[1]FEB 2026'!$A$3:$X$312,24,0),0)</f>
        <v>0</v>
      </c>
      <c r="AX598" s="38">
        <f>Table43[[#This Row],[Harga Jual Pcs MT
(-PPN)]]*Table43[[#This Row],[ISI/CTN]]</f>
        <v>0</v>
      </c>
      <c r="AY598" s="38">
        <f>Table43[[#This Row],[Harga Jual Pcs MT
(-PPN)]]*1.11</f>
        <v>0</v>
      </c>
      <c r="AZ598" s="38">
        <f>Table43[[#This Row],[Harga Jual Pcs MT
(+PPN)]]*Table43[[#This Row],[ISI/CTN]]</f>
        <v>0</v>
      </c>
      <c r="BA598" s="46">
        <f>(Table43[[#This Row],[Harga Jual Pcs GT
(-PPN)]]-Table43[[#This Row],[Harga Beli Pcs
(-PPN)]])/Table43[[#This Row],[Harga Jual Pcs GT
(-PPN)]]</f>
        <v>6.5000000000000002E-2</v>
      </c>
      <c r="BB598" s="53">
        <f>Table43[[#This Row],[Harga Jual Pcs MT
(-PPN)]]-Table43[[#This Row],[Harga Beli Pcs
(-PPN)]]</f>
        <v>-26460.5</v>
      </c>
      <c r="BC598" s="54" t="e">
        <f>Table43[[#This Row],[Column1]]/Table43[[#This Row],[Harga Jual Pcs MT
(-PPN)]]</f>
        <v>#DIV/0!</v>
      </c>
      <c r="BD598" s="52"/>
      <c r="BE598" s="7"/>
      <c r="BF598" s="7" t="str">
        <f ca="1">IF(TODAY()-Table43[[#This Row],[Efektif
Pembuatan]]&gt;60,"Lama","Baru")</f>
        <v>Lama</v>
      </c>
      <c r="BG598" s="7" t="str">
        <f ca="1">IF(TODAY()-Table43[[#This Row],[Efektif Naik Harga]]&lt;30,"Naik","Sama")</f>
        <v>Sama</v>
      </c>
      <c r="BH598" s="7"/>
      <c r="BI598" s="7" t="str">
        <f>IF(Table43[[#This Row],[Kode BARANG Win2]]&lt;&gt;"","IDR","")</f>
        <v>IDR</v>
      </c>
      <c r="BJ598" s="7" t="str">
        <f>CONCATENATE(Table43[[#This Row],[kode  1 Digit
(Nomor)]],Table43[[#This Row],[kode  4 Digit                (Nomor)]])</f>
        <v>0160</v>
      </c>
      <c r="BK598" s="7" t="str">
        <f>Table43[[#This Row],[Nama            Gramasi atau Jumlah Pack per CTN]]</f>
        <v>160ML</v>
      </c>
      <c r="BL598" s="7"/>
      <c r="BM598" s="7"/>
      <c r="BN598" s="4" t="str">
        <f>IF(Table43[[#This Row],[SATUAN Fix Win]]&lt;&gt;"","KRT")</f>
        <v>KRT</v>
      </c>
      <c r="BO598" s="4" t="str">
        <f>IF(Table43[[#This Row],[SATUAN Fix Win]]&lt;&gt;"","GD01")</f>
        <v>GD01</v>
      </c>
      <c r="BP598" s="4">
        <f>IF(Table43[[#This Row],[SATUAN Fix Win]]&lt;&gt;"",11611)</f>
        <v>11611</v>
      </c>
      <c r="BQ598" s="4">
        <f>IF(Table43[[#This Row],[SATUAN Fix Win]]&lt;&gt;"",11612)</f>
        <v>11612</v>
      </c>
      <c r="BS598" s="4">
        <f>IF(Table43[[#This Row],[SATUAN Fix Win]]&lt;&gt;"",1)</f>
        <v>1</v>
      </c>
      <c r="BU598" s="4">
        <f>Table43[[#This Row],[ISI/CTN]]</f>
        <v>12</v>
      </c>
    </row>
    <row r="599" spans="1:73">
      <c r="A599" s="4" t="str">
        <f>CONCATENATE(Table43[[#This Row],[Kode BARANG Win2]],Table43[[#This Row],[No. Urut
Item Sama]])</f>
        <v>G1270109016010</v>
      </c>
      <c r="B599" s="7"/>
      <c r="C599" s="31">
        <v>30650020650000</v>
      </c>
      <c r="D599" s="51">
        <v>40060565</v>
      </c>
      <c r="E599" s="27" t="s">
        <v>2157</v>
      </c>
      <c r="F599" s="51">
        <v>30603050225010</v>
      </c>
      <c r="G599" s="51">
        <v>0</v>
      </c>
      <c r="H599" s="27" t="s">
        <v>1497</v>
      </c>
      <c r="I599" s="27">
        <v>12</v>
      </c>
      <c r="J599" s="51" t="s">
        <v>1824</v>
      </c>
      <c r="K599" s="27" t="str">
        <f>Table43[[#This Row],[NamaJenisKemasan]]</f>
        <v>KLG</v>
      </c>
      <c r="L599" s="4" t="str">
        <f>TRIM(CONCATENATE(Table43[[#This Row],[Nama            KLP]]," ",Table43[[#This Row],[Nama            Sub KLP]]))</f>
        <v>STELLA MATIC</v>
      </c>
      <c r="M599" s="4" t="str">
        <f>CONCATENATE(Table43[[#This Row],[kode  2 Digit                (hrf+No)]],Table43[[#This Row],[kode  2 Digit                (Nomor)]],Table43[[#This Row],[kode  1 Digit                (Nomor)]])</f>
        <v>G1270</v>
      </c>
      <c r="N599" s="4" t="str">
        <f>IF(AI599="",CONCATENATE(S599,U599,W599,Y599,AA599,AC599,AE599,AG599,Table43[[#This Row],[Tanda Kode Revisi]]),CONCATENATE(S599,U599,W599,Y599,AA599,AC599,AE599,AI599))</f>
        <v>G1270109016010</v>
      </c>
      <c r="O599" s="11">
        <f t="shared" si="14"/>
        <v>14</v>
      </c>
      <c r="P599" s="14" t="str">
        <f>IF(AH599&lt;&gt;"",TRIM(UPPER(CONCATENATE(R599," ",T599," ",V599," ",X599," ",Z599," ",AB599," ","X"," ",Table43[[#This Row],[ISI/CTN]]," ",AH599," ",AD599," ",AF599," ",AJ599))),TRIM(UPPER(CONCATENATE(R599," ",T599," ",V599," ",X599," ",Z599," ",AB599," ","X"," ",Table43[[#This Row],[ISI/CTN]]," ",AD599," ",AF599," ",AJ599))))</f>
        <v>STELLA MATIC REFILL ORANGE 160ML X 12 KLG</v>
      </c>
      <c r="Q599" s="11">
        <f t="shared" si="15"/>
        <v>41</v>
      </c>
      <c r="S599" s="7" t="s">
        <v>34</v>
      </c>
      <c r="T599" s="4" t="s">
        <v>2359</v>
      </c>
      <c r="U599" s="47" t="s">
        <v>2586</v>
      </c>
      <c r="V599" s="48"/>
      <c r="W599" s="7">
        <v>0</v>
      </c>
      <c r="X599" s="48" t="s">
        <v>2231</v>
      </c>
      <c r="Y599" s="47" t="s">
        <v>2539</v>
      </c>
      <c r="Z599" s="4" t="s">
        <v>2251</v>
      </c>
      <c r="AA599" s="49" t="s">
        <v>2546</v>
      </c>
      <c r="AB599" s="4" t="s">
        <v>2377</v>
      </c>
      <c r="AC599" s="49" t="s">
        <v>2601</v>
      </c>
      <c r="AD599" s="4" t="s">
        <v>2221</v>
      </c>
      <c r="AE599" s="7">
        <v>1</v>
      </c>
      <c r="AG599" s="7">
        <v>0</v>
      </c>
      <c r="AK599" s="70">
        <f>Table43[[#This Row],[Column4]]</f>
        <v>30603050225010</v>
      </c>
      <c r="AN599" s="7">
        <f>Table43[[#This Row],[ISI/CTN]]</f>
        <v>12</v>
      </c>
      <c r="AO599" s="61">
        <f>Table43[[#This Row],[Harga Jual Pcs GT
(-PPN)]]-(Table43[[#This Row],[Harga Jual Pcs GT
(-PPN)]]*6.5%)</f>
        <v>26460.5</v>
      </c>
      <c r="AP599" s="61">
        <f>Table43[[#This Row],[Harga Beli Pcs
(-PPN)]]*Table43[[#This Row],[ISI/CTN]]</f>
        <v>317526</v>
      </c>
      <c r="AQ599" s="61">
        <f>Table43[[#This Row],[Harga Beli Pcs
(-PPN)]]*1.11</f>
        <v>29371.155000000002</v>
      </c>
      <c r="AR599" s="61">
        <f>Table43[[#This Row],[Harga Beli Krt
(- PPN)]]*1.11</f>
        <v>352453.86000000004</v>
      </c>
      <c r="AS599" s="61">
        <v>28300</v>
      </c>
      <c r="AT599" s="61">
        <f>Table43[[#This Row],[Harga Jual Pcs GT
(-PPN)]]*Table43[[#This Row],[ISI/CTN]]</f>
        <v>339600</v>
      </c>
      <c r="AU599" s="61">
        <f>Table43[[#This Row],[Harga Jual Pcs GT
(-PPN)]]*1.11</f>
        <v>31413.000000000004</v>
      </c>
      <c r="AV599" s="61">
        <f>Table43[[#This Row],[Harga Jual Krt GT
(- PPN)]]*1.11</f>
        <v>376956.00000000006</v>
      </c>
      <c r="AW599" s="61">
        <f>IFERROR(VLOOKUP(Table43[[#This Row],[Kode Pcpl]],'[1]FEB 2026'!$A$3:$X$312,24,0),0)</f>
        <v>0</v>
      </c>
      <c r="AX599" s="61">
        <f>Table43[[#This Row],[Harga Jual Pcs MT
(-PPN)]]*Table43[[#This Row],[ISI/CTN]]</f>
        <v>0</v>
      </c>
      <c r="AY599" s="61">
        <f>Table43[[#This Row],[Harga Jual Pcs MT
(-PPN)]]*1.11</f>
        <v>0</v>
      </c>
      <c r="AZ599" s="61">
        <f>Table43[[#This Row],[Harga Jual Pcs MT
(+PPN)]]*Table43[[#This Row],[ISI/CTN]]</f>
        <v>0</v>
      </c>
      <c r="BA599" s="62">
        <f>(Table43[[#This Row],[Harga Jual Pcs GT
(-PPN)]]-Table43[[#This Row],[Harga Beli Pcs
(-PPN)]])/Table43[[#This Row],[Harga Jual Pcs GT
(-PPN)]]</f>
        <v>6.5000000000000002E-2</v>
      </c>
      <c r="BB599" s="63">
        <f>Table43[[#This Row],[Harga Jual Pcs MT
(-PPN)]]-Table43[[#This Row],[Harga Beli Pcs
(-PPN)]]</f>
        <v>-26460.5</v>
      </c>
      <c r="BC599" s="64" t="e">
        <f>Table43[[#This Row],[Column1]]/Table43[[#This Row],[Harga Jual Pcs MT
(-PPN)]]</f>
        <v>#DIV/0!</v>
      </c>
      <c r="BD599" s="52"/>
      <c r="BE599" s="7"/>
      <c r="BF599" s="7" t="str">
        <f ca="1">IF(TODAY()-Table43[[#This Row],[Efektif
Pembuatan]]&gt;60,"Lama","Baru")</f>
        <v>Lama</v>
      </c>
      <c r="BG599" s="7" t="str">
        <f ca="1">IF(TODAY()-Table43[[#This Row],[Efektif Naik Harga]]&lt;30,"Naik","Sama")</f>
        <v>Sama</v>
      </c>
      <c r="BH599" s="7"/>
      <c r="BI599" s="7" t="str">
        <f>IF(Table43[[#This Row],[Kode BARANG Win2]]&lt;&gt;"","IDR","")</f>
        <v>IDR</v>
      </c>
      <c r="BJ599" s="7" t="str">
        <f>CONCATENATE(Table43[[#This Row],[kode  1 Digit
(Nomor)]],Table43[[#This Row],[kode  4 Digit                (Nomor)]])</f>
        <v>0160</v>
      </c>
      <c r="BK599" s="7" t="str">
        <f>Table43[[#This Row],[Nama            Gramasi atau Jumlah Pack per CTN]]</f>
        <v>160ML</v>
      </c>
      <c r="BL599" s="7"/>
      <c r="BM599" s="7"/>
      <c r="BN599" s="4" t="str">
        <f>IF(Table43[[#This Row],[SATUAN Fix Win]]&lt;&gt;"","KRT")</f>
        <v>KRT</v>
      </c>
      <c r="BO599" s="4" t="str">
        <f>IF(Table43[[#This Row],[SATUAN Fix Win]]&lt;&gt;"","GD01")</f>
        <v>GD01</v>
      </c>
      <c r="BP599" s="4">
        <f>IF(Table43[[#This Row],[SATUAN Fix Win]]&lt;&gt;"",11611)</f>
        <v>11611</v>
      </c>
      <c r="BQ599" s="4">
        <f>IF(Table43[[#This Row],[SATUAN Fix Win]]&lt;&gt;"",11612)</f>
        <v>11612</v>
      </c>
      <c r="BS599" s="4">
        <f>IF(Table43[[#This Row],[SATUAN Fix Win]]&lt;&gt;"",1)</f>
        <v>1</v>
      </c>
      <c r="BU599" s="4">
        <f>Table43[[#This Row],[ISI/CTN]]</f>
        <v>12</v>
      </c>
    </row>
    <row r="600" spans="1:73">
      <c r="A600" s="4" t="str">
        <f>CONCATENATE(Table43[[#This Row],[Kode BARANG Win2]],Table43[[#This Row],[No. Urut
Item Sama]])</f>
        <v>G1270109016010</v>
      </c>
      <c r="B600" s="7"/>
      <c r="C600" s="31"/>
      <c r="D600" s="51">
        <v>40007712</v>
      </c>
      <c r="E600" s="27"/>
      <c r="F600" s="51"/>
      <c r="G600" s="51"/>
      <c r="H600" s="27"/>
      <c r="I600" s="27">
        <v>12</v>
      </c>
      <c r="J600" s="51" t="s">
        <v>1824</v>
      </c>
      <c r="K600" s="27" t="str">
        <f>Table43[[#This Row],[NamaJenisKemasan]]</f>
        <v>KLG</v>
      </c>
      <c r="L600" s="4" t="str">
        <f>TRIM(CONCATENATE(Table43[[#This Row],[Nama            KLP]]," ",Table43[[#This Row],[Nama            Sub KLP]]))</f>
        <v>STELLA MATIC</v>
      </c>
      <c r="M600" s="4" t="str">
        <f>CONCATENATE(Table43[[#This Row],[kode  2 Digit                (hrf+No)]],Table43[[#This Row],[kode  2 Digit                (Nomor)]],Table43[[#This Row],[kode  1 Digit                (Nomor)]])</f>
        <v>G1270</v>
      </c>
      <c r="N600" s="4" t="str">
        <f>IF(AI600="",CONCATENATE(S600,U600,W600,Y600,AA600,AC600,AE600,AG600,Table43[[#This Row],[Tanda Kode Revisi]]),CONCATENATE(S600,U600,W600,Y600,AA600,AC600,AE600,AI600))</f>
        <v>G1270109016010</v>
      </c>
      <c r="O600" s="11">
        <f t="shared" si="14"/>
        <v>14</v>
      </c>
      <c r="P600" s="14" t="str">
        <f>IF(AH600&lt;&gt;"",TRIM(UPPER(CONCATENATE(R600," ",T600," ",V600," ",X600," ",Z600," ",AB600," ","X"," ",Table43[[#This Row],[ISI/CTN]]," ",AH600," ",AD600," ",AF600," ",AJ600))),TRIM(UPPER(CONCATENATE(R600," ",T600," ",V600," ",X600," ",Z600," ",AB600," ","X"," ",Table43[[#This Row],[ISI/CTN]]," ",AD600," ",AF600," ",AJ600))))</f>
        <v>STELLA MATIC REFILL ORANGE 160ML+65ML X 12 KLG</v>
      </c>
      <c r="Q600" s="11">
        <f t="shared" si="15"/>
        <v>46</v>
      </c>
      <c r="S600" s="7" t="s">
        <v>34</v>
      </c>
      <c r="T600" s="4" t="s">
        <v>2359</v>
      </c>
      <c r="U600" s="47" t="s">
        <v>2586</v>
      </c>
      <c r="V600" s="48"/>
      <c r="W600" s="7">
        <v>0</v>
      </c>
      <c r="X600" s="48" t="s">
        <v>2231</v>
      </c>
      <c r="Y600" s="47" t="s">
        <v>2539</v>
      </c>
      <c r="Z600" s="4" t="s">
        <v>2251</v>
      </c>
      <c r="AA600" s="49" t="s">
        <v>2546</v>
      </c>
      <c r="AB600" s="4" t="s">
        <v>3396</v>
      </c>
      <c r="AC600" s="49" t="s">
        <v>2601</v>
      </c>
      <c r="AD600" s="4" t="s">
        <v>2221</v>
      </c>
      <c r="AE600" s="7">
        <v>1</v>
      </c>
      <c r="AG600" s="7">
        <v>0</v>
      </c>
      <c r="AK600" s="70">
        <f>Table43[[#This Row],[Column4]]</f>
        <v>0</v>
      </c>
      <c r="AN600" s="7">
        <f>Table43[[#This Row],[ISI/CTN]]</f>
        <v>12</v>
      </c>
      <c r="AO600" s="61">
        <f>Table43[[#This Row],[Harga Jual Pcs GT
(-PPN)]]-(Table43[[#This Row],[Harga Jual Pcs GT
(-PPN)]]*6.5%)</f>
        <v>26460.5</v>
      </c>
      <c r="AP600" s="61">
        <f>Table43[[#This Row],[Harga Beli Pcs
(-PPN)]]*Table43[[#This Row],[ISI/CTN]]</f>
        <v>317526</v>
      </c>
      <c r="AQ600" s="61">
        <f>Table43[[#This Row],[Harga Beli Pcs
(-PPN)]]*1.11</f>
        <v>29371.155000000002</v>
      </c>
      <c r="AR600" s="61">
        <f>Table43[[#This Row],[Harga Beli Krt
(- PPN)]]*1.11</f>
        <v>352453.86000000004</v>
      </c>
      <c r="AS600" s="61">
        <v>28300</v>
      </c>
      <c r="AT600" s="61">
        <f>Table43[[#This Row],[Harga Jual Pcs GT
(-PPN)]]*Table43[[#This Row],[ISI/CTN]]</f>
        <v>339600</v>
      </c>
      <c r="AU600" s="61">
        <f>Table43[[#This Row],[Harga Jual Pcs GT
(-PPN)]]*1.11</f>
        <v>31413.000000000004</v>
      </c>
      <c r="AV600" s="61">
        <f>Table43[[#This Row],[Harga Jual Krt GT
(- PPN)]]*1.11</f>
        <v>376956.00000000006</v>
      </c>
      <c r="AW600" s="61">
        <f>IFERROR(VLOOKUP(Table43[[#This Row],[Kode Pcpl]],'[1]FEB 2026'!$A$3:$X$312,24,0),0)</f>
        <v>0</v>
      </c>
      <c r="AX600" s="61">
        <f>Table43[[#This Row],[Harga Jual Pcs MT
(-PPN)]]*Table43[[#This Row],[ISI/CTN]]</f>
        <v>0</v>
      </c>
      <c r="AY600" s="61">
        <f>Table43[[#This Row],[Harga Jual Pcs MT
(-PPN)]]*1.11</f>
        <v>0</v>
      </c>
      <c r="AZ600" s="61">
        <f>Table43[[#This Row],[Harga Jual Pcs MT
(+PPN)]]*Table43[[#This Row],[ISI/CTN]]</f>
        <v>0</v>
      </c>
      <c r="BA600" s="62">
        <f>(Table43[[#This Row],[Harga Jual Pcs GT
(-PPN)]]-Table43[[#This Row],[Harga Beli Pcs
(-PPN)]])/Table43[[#This Row],[Harga Jual Pcs GT
(-PPN)]]</f>
        <v>6.5000000000000002E-2</v>
      </c>
      <c r="BB600" s="63">
        <f>Table43[[#This Row],[Harga Jual Pcs MT
(-PPN)]]-Table43[[#This Row],[Harga Beli Pcs
(-PPN)]]</f>
        <v>-26460.5</v>
      </c>
      <c r="BC600" s="64" t="e">
        <f>Table43[[#This Row],[Column1]]/Table43[[#This Row],[Harga Jual Pcs MT
(-PPN)]]</f>
        <v>#DIV/0!</v>
      </c>
      <c r="BD600" s="52"/>
      <c r="BE600" s="7"/>
      <c r="BF600" s="7" t="str">
        <f ca="1">IF(TODAY()-Table43[[#This Row],[Efektif
Pembuatan]]&gt;60,"Lama","Baru")</f>
        <v>Lama</v>
      </c>
      <c r="BG600" s="7" t="str">
        <f ca="1">IF(TODAY()-Table43[[#This Row],[Efektif Naik Harga]]&lt;30,"Naik","Sama")</f>
        <v>Sama</v>
      </c>
      <c r="BH600" s="7"/>
      <c r="BI600" s="7" t="str">
        <f>IF(Table43[[#This Row],[Kode BARANG Win2]]&lt;&gt;"","IDR","")</f>
        <v>IDR</v>
      </c>
      <c r="BJ600" s="7" t="str">
        <f>CONCATENATE(Table43[[#This Row],[kode  1 Digit
(Nomor)]],Table43[[#This Row],[kode  4 Digit                (Nomor)]])</f>
        <v>0160</v>
      </c>
      <c r="BK600" s="7" t="str">
        <f>Table43[[#This Row],[Nama            Gramasi atau Jumlah Pack per CTN]]</f>
        <v>160ML+65ML</v>
      </c>
      <c r="BL600" s="7"/>
      <c r="BM600" s="7"/>
      <c r="BN600" s="4" t="str">
        <f>IF(Table43[[#This Row],[SATUAN Fix Win]]&lt;&gt;"","KRT")</f>
        <v>KRT</v>
      </c>
      <c r="BO600" s="4" t="str">
        <f>IF(Table43[[#This Row],[SATUAN Fix Win]]&lt;&gt;"","GD01")</f>
        <v>GD01</v>
      </c>
      <c r="BP600" s="4">
        <f>IF(Table43[[#This Row],[SATUAN Fix Win]]&lt;&gt;"",11611)</f>
        <v>11611</v>
      </c>
      <c r="BQ600" s="4">
        <f>IF(Table43[[#This Row],[SATUAN Fix Win]]&lt;&gt;"",11612)</f>
        <v>11612</v>
      </c>
      <c r="BS600" s="4">
        <f>IF(Table43[[#This Row],[SATUAN Fix Win]]&lt;&gt;"",1)</f>
        <v>1</v>
      </c>
      <c r="BU600" s="4">
        <f>Table43[[#This Row],[ISI/CTN]]</f>
        <v>12</v>
      </c>
    </row>
    <row r="601" spans="1:73">
      <c r="A601" s="71" t="str">
        <f>CONCATENATE(Table43[[#This Row],[Kode BARANG Win2]],Table43[[#This Row],[No. Urut
Item Sama]])</f>
        <v>G1270109016010</v>
      </c>
      <c r="B601" s="72"/>
      <c r="C601" s="73"/>
      <c r="D601" s="108">
        <v>40059954</v>
      </c>
      <c r="E601" s="93" t="s">
        <v>3394</v>
      </c>
      <c r="F601" s="74"/>
      <c r="G601" s="108">
        <v>0</v>
      </c>
      <c r="H601" s="93" t="s">
        <v>3395</v>
      </c>
      <c r="I601" s="75">
        <v>12</v>
      </c>
      <c r="J601" s="51" t="s">
        <v>1824</v>
      </c>
      <c r="K601" s="93" t="str">
        <f>Table43[[#This Row],[NamaJenisKemasan]]</f>
        <v>KLG</v>
      </c>
      <c r="L601" s="71" t="str">
        <f>TRIM(CONCATENATE(Table43[[#This Row],[Nama            KLP]]," ",Table43[[#This Row],[Nama            Sub KLP]]))</f>
        <v>STELLA MATIC</v>
      </c>
      <c r="M601" s="71" t="str">
        <f>CONCATENATE(Table43[[#This Row],[kode  2 Digit                (hrf+No)]],Table43[[#This Row],[kode  2 Digit                (Nomor)]],Table43[[#This Row],[kode  1 Digit                (Nomor)]])</f>
        <v>G1270</v>
      </c>
      <c r="N601" s="71" t="str">
        <f>IF(AI601="",CONCATENATE(S601,U601,W601,Y601,AA601,AC601,AE601,AG601,Table43[[#This Row],[Tanda Kode Revisi]]),CONCATENATE(S601,U601,W601,Y601,AA601,AC601,AE601,AI601))</f>
        <v>G1270109016010</v>
      </c>
      <c r="O601" s="76">
        <f t="shared" si="14"/>
        <v>14</v>
      </c>
      <c r="P601" s="77" t="str">
        <f>IF(AH601&lt;&gt;"",TRIM(UPPER(CONCATENATE(R601," ",T601," ",V601," ",X601," ",Z601," ",AB601," ","X"," ",Table43[[#This Row],[ISI/CTN]]," ",AH601," ",AD601," ",AF601," ",AJ601))),TRIM(UPPER(CONCATENATE(R601," ",T601," ",V601," ",X601," ",Z601," ",AB601," ","X"," ",Table43[[#This Row],[ISI/CTN]]," ",AD601," ",AF601," ",AJ601))))</f>
        <v>STELLA MATIC REFILL ORANGE 160ML+65ML X 12 KLG</v>
      </c>
      <c r="Q601" s="76">
        <f t="shared" si="15"/>
        <v>46</v>
      </c>
      <c r="R601" s="71"/>
      <c r="S601" s="72" t="s">
        <v>34</v>
      </c>
      <c r="T601" s="71" t="s">
        <v>2359</v>
      </c>
      <c r="U601" s="78" t="s">
        <v>2586</v>
      </c>
      <c r="V601" s="79"/>
      <c r="W601" s="72">
        <v>0</v>
      </c>
      <c r="X601" s="79" t="s">
        <v>2231</v>
      </c>
      <c r="Y601" s="78" t="s">
        <v>2539</v>
      </c>
      <c r="Z601" s="71" t="s">
        <v>2251</v>
      </c>
      <c r="AA601" s="80" t="s">
        <v>2546</v>
      </c>
      <c r="AB601" s="71" t="s">
        <v>3396</v>
      </c>
      <c r="AC601" s="80" t="s">
        <v>2601</v>
      </c>
      <c r="AD601" s="71" t="s">
        <v>2221</v>
      </c>
      <c r="AE601" s="72">
        <v>1</v>
      </c>
      <c r="AF601" s="92"/>
      <c r="AG601" s="72">
        <v>0</v>
      </c>
      <c r="AH601" s="72"/>
      <c r="AI601" s="72"/>
      <c r="AJ601" s="72"/>
      <c r="AK601" s="81">
        <f>Table43[[#This Row],[Column4]]</f>
        <v>0</v>
      </c>
      <c r="AL601" s="72"/>
      <c r="AM601" s="72"/>
      <c r="AN601" s="72">
        <f>Table43[[#This Row],[ISI/CTN]]</f>
        <v>12</v>
      </c>
      <c r="AO601" s="82">
        <f>Table43[[#This Row],[Harga Jual Pcs GT
(-PPN)]]-(Table43[[#This Row],[Harga Jual Pcs GT
(-PPN)]]*6.5%)</f>
        <v>26460.5</v>
      </c>
      <c r="AP601" s="82">
        <f>Table43[[#This Row],[Harga Beli Pcs
(-PPN)]]*Table43[[#This Row],[ISI/CTN]]</f>
        <v>317526</v>
      </c>
      <c r="AQ601" s="82">
        <f>Table43[[#This Row],[Harga Beli Pcs
(-PPN)]]*1.11</f>
        <v>29371.155000000002</v>
      </c>
      <c r="AR601" s="82">
        <f>Table43[[#This Row],[Harga Beli Krt
(- PPN)]]*1.11</f>
        <v>352453.86000000004</v>
      </c>
      <c r="AS601" s="82">
        <v>28300</v>
      </c>
      <c r="AT601" s="82">
        <f>Table43[[#This Row],[Harga Jual Pcs GT
(-PPN)]]*Table43[[#This Row],[ISI/CTN]]</f>
        <v>339600</v>
      </c>
      <c r="AU601" s="82">
        <f>Table43[[#This Row],[Harga Jual Pcs GT
(-PPN)]]*1.11</f>
        <v>31413.000000000004</v>
      </c>
      <c r="AV601" s="82">
        <f>Table43[[#This Row],[Harga Jual Krt GT
(- PPN)]]*1.11</f>
        <v>376956.00000000006</v>
      </c>
      <c r="AW601" s="82">
        <f>IFERROR(VLOOKUP(Table43[[#This Row],[Kode Pcpl]],'[1]FEB 2026'!$A$3:$X$312,24,0),0)</f>
        <v>0</v>
      </c>
      <c r="AX601" s="82">
        <f>Table43[[#This Row],[Harga Jual Pcs MT
(-PPN)]]*Table43[[#This Row],[ISI/CTN]]</f>
        <v>0</v>
      </c>
      <c r="AY601" s="82">
        <f>Table43[[#This Row],[Harga Jual Pcs MT
(-PPN)]]*1.11</f>
        <v>0</v>
      </c>
      <c r="AZ601" s="82">
        <f>Table43[[#This Row],[Harga Jual Pcs MT
(+PPN)]]*Table43[[#This Row],[ISI/CTN]]</f>
        <v>0</v>
      </c>
      <c r="BA601" s="83">
        <f>(Table43[[#This Row],[Harga Jual Pcs GT
(-PPN)]]-Table43[[#This Row],[Harga Beli Pcs
(-PPN)]])/Table43[[#This Row],[Harga Jual Pcs GT
(-PPN)]]</f>
        <v>6.5000000000000002E-2</v>
      </c>
      <c r="BB601" s="84">
        <f>Table43[[#This Row],[Harga Jual Pcs MT
(-PPN)]]-Table43[[#This Row],[Harga Beli Pcs
(-PPN)]]</f>
        <v>-26460.5</v>
      </c>
      <c r="BC601" s="85" t="e">
        <f>Table43[[#This Row],[Column1]]/Table43[[#This Row],[Harga Jual Pcs MT
(-PPN)]]</f>
        <v>#DIV/0!</v>
      </c>
      <c r="BD601" s="86"/>
      <c r="BE601" s="72"/>
      <c r="BF601" s="72" t="str">
        <f ca="1">IF(TODAY()-Table43[[#This Row],[Efektif
Pembuatan]]&gt;60,"Lama","Baru")</f>
        <v>Lama</v>
      </c>
      <c r="BG601" s="72" t="str">
        <f ca="1">IF(TODAY()-Table43[[#This Row],[Efektif Naik Harga]]&lt;30,"Naik","Sama")</f>
        <v>Sama</v>
      </c>
      <c r="BH601" s="72"/>
      <c r="BI601" s="72" t="str">
        <f>IF(Table43[[#This Row],[Kode BARANG Win2]]&lt;&gt;"","IDR","")</f>
        <v>IDR</v>
      </c>
      <c r="BJ601" s="72" t="str">
        <f>CONCATENATE(Table43[[#This Row],[kode  1 Digit
(Nomor)]],Table43[[#This Row],[kode  4 Digit                (Nomor)]])</f>
        <v>0160</v>
      </c>
      <c r="BK601" s="72" t="str">
        <f>Table43[[#This Row],[Nama            Gramasi atau Jumlah Pack per CTN]]</f>
        <v>160ML+65ML</v>
      </c>
      <c r="BL601" s="72"/>
      <c r="BM601" s="72"/>
      <c r="BN601" s="71" t="str">
        <f>IF(Table43[[#This Row],[SATUAN Fix Win]]&lt;&gt;"","KRT")</f>
        <v>KRT</v>
      </c>
      <c r="BO601" s="71" t="str">
        <f>IF(Table43[[#This Row],[SATUAN Fix Win]]&lt;&gt;"","GD01")</f>
        <v>GD01</v>
      </c>
      <c r="BP601" s="71">
        <f>IF(Table43[[#This Row],[SATUAN Fix Win]]&lt;&gt;"",11611)</f>
        <v>11611</v>
      </c>
      <c r="BQ601" s="71">
        <f>IF(Table43[[#This Row],[SATUAN Fix Win]]&lt;&gt;"",11612)</f>
        <v>11612</v>
      </c>
      <c r="BR601" s="71"/>
      <c r="BS601" s="71">
        <f>IF(Table43[[#This Row],[SATUAN Fix Win]]&lt;&gt;"",1)</f>
        <v>1</v>
      </c>
      <c r="BT601" s="71"/>
      <c r="BU601" s="71">
        <f>Table43[[#This Row],[ISI/CTN]]</f>
        <v>12</v>
      </c>
    </row>
    <row r="602" spans="1:73">
      <c r="A602" s="4" t="str">
        <f>CONCATENATE(Table43[[#This Row],[Kode BARANG Win2]],Table43[[#This Row],[No. Urut
Item Sama]])</f>
        <v>G1270108016010</v>
      </c>
      <c r="B602" s="7"/>
      <c r="C602" s="31"/>
      <c r="D602" s="51">
        <v>40043512</v>
      </c>
      <c r="E602" s="27"/>
      <c r="F602" s="74"/>
      <c r="G602" s="74"/>
      <c r="H602" s="27"/>
      <c r="I602" s="27">
        <v>12</v>
      </c>
      <c r="J602" s="51" t="s">
        <v>1824</v>
      </c>
      <c r="K602" s="27" t="str">
        <f>Table43[[#This Row],[NamaJenisKemasan]]</f>
        <v>KLG</v>
      </c>
      <c r="L602" s="4" t="str">
        <f>TRIM(CONCATENATE(Table43[[#This Row],[Nama            KLP]]," ",Table43[[#This Row],[Nama            Sub KLP]]))</f>
        <v>STELLA MATIC</v>
      </c>
      <c r="M602" s="4" t="str">
        <f>CONCATENATE(Table43[[#This Row],[kode  2 Digit                (hrf+No)]],Table43[[#This Row],[kode  2 Digit                (Nomor)]],Table43[[#This Row],[kode  1 Digit                (Nomor)]])</f>
        <v>G1270</v>
      </c>
      <c r="N602" s="4" t="str">
        <f>IF(AI602="",CONCATENATE(S602,U602,W602,Y602,AA602,AC602,AE602,AG602,Table43[[#This Row],[Tanda Kode Revisi]]),CONCATENATE(S602,U602,W602,Y602,AA602,AC602,AE602,AI602))</f>
        <v>G1270108016010</v>
      </c>
      <c r="O602" s="11">
        <f>LEN(N602)</f>
        <v>14</v>
      </c>
      <c r="P602" s="14" t="str">
        <f>IF(AH602&lt;&gt;"",TRIM(UPPER(CONCATENATE(R602," ",T602," ",V602," ",X602," ",Z602," ",AB602," ","X"," ",Table43[[#This Row],[ISI/CTN]]," ",AH602," ",AD602," ",AF602," ",AJ602))),TRIM(UPPER(CONCATENATE(R602," ",T602," ",V602," ",X602," ",Z602," ",AB602," ","X"," ",Table43[[#This Row],[ISI/CTN]]," ",AD602," ",AF602," ",AJ602))))</f>
        <v>STELLA MATIC REFILL LEMON 160ML X 12 KLG</v>
      </c>
      <c r="Q602" s="11">
        <f>LEN(P602)</f>
        <v>40</v>
      </c>
      <c r="S602" s="7" t="s">
        <v>34</v>
      </c>
      <c r="T602" s="4" t="s">
        <v>2359</v>
      </c>
      <c r="U602" s="47" t="s">
        <v>2586</v>
      </c>
      <c r="V602" s="48"/>
      <c r="W602" s="7">
        <v>0</v>
      </c>
      <c r="X602" s="48" t="s">
        <v>2231</v>
      </c>
      <c r="Y602" s="47" t="s">
        <v>2539</v>
      </c>
      <c r="Z602" s="4" t="s">
        <v>2321</v>
      </c>
      <c r="AA602" s="49" t="s">
        <v>2545</v>
      </c>
      <c r="AB602" s="4" t="s">
        <v>2377</v>
      </c>
      <c r="AC602" s="49" t="s">
        <v>2601</v>
      </c>
      <c r="AD602" s="4" t="s">
        <v>2221</v>
      </c>
      <c r="AE602" s="7">
        <v>1</v>
      </c>
      <c r="AG602" s="7">
        <v>0</v>
      </c>
      <c r="AK602" s="70">
        <f>Table43[[#This Row],[Column4]]</f>
        <v>0</v>
      </c>
      <c r="AN602" s="72">
        <f>Table43[[#This Row],[ISI/CTN]]</f>
        <v>12</v>
      </c>
      <c r="AO602" s="61">
        <f>Table43[[#This Row],[Harga Jual Pcs GT
(-PPN)]]-(Table43[[#This Row],[Harga Jual Pcs GT
(-PPN)]]*6.5%)</f>
        <v>0</v>
      </c>
      <c r="AP602" s="61">
        <f>Table43[[#This Row],[Harga Beli Pcs
(-PPN)]]*Table43[[#This Row],[ISI/CTN]]</f>
        <v>0</v>
      </c>
      <c r="AQ602" s="61">
        <f>Table43[[#This Row],[Harga Beli Pcs
(-PPN)]]*1.11</f>
        <v>0</v>
      </c>
      <c r="AR602" s="61">
        <f>Table43[[#This Row],[Harga Beli Krt
(- PPN)]]*1.11</f>
        <v>0</v>
      </c>
      <c r="AS602" s="61"/>
      <c r="AT602" s="61">
        <f>Table43[[#This Row],[Harga Jual Pcs GT
(-PPN)]]*Table43[[#This Row],[ISI/CTN]]</f>
        <v>0</v>
      </c>
      <c r="AU602" s="61">
        <f>Table43[[#This Row],[Harga Jual Pcs GT
(-PPN)]]*1.11</f>
        <v>0</v>
      </c>
      <c r="AV602" s="61">
        <f>Table43[[#This Row],[Harga Jual Krt GT
(- PPN)]]*1.11</f>
        <v>0</v>
      </c>
      <c r="AW602" s="61">
        <f>IFERROR(VLOOKUP(Table43[[#This Row],[Kode Pcpl]],'[1]FEB 2026'!$A$3:$X$312,24,0),0)</f>
        <v>0</v>
      </c>
      <c r="AX602" s="61">
        <f>Table43[[#This Row],[Harga Jual Pcs MT
(-PPN)]]*Table43[[#This Row],[ISI/CTN]]</f>
        <v>0</v>
      </c>
      <c r="AY602" s="61">
        <f>Table43[[#This Row],[Harga Jual Pcs MT
(-PPN)]]*1.11</f>
        <v>0</v>
      </c>
      <c r="AZ602" s="61">
        <f>Table43[[#This Row],[Harga Jual Pcs MT
(+PPN)]]*Table43[[#This Row],[ISI/CTN]]</f>
        <v>0</v>
      </c>
      <c r="BA602" s="62" t="e">
        <f>(Table43[[#This Row],[Harga Jual Pcs GT
(-PPN)]]-Table43[[#This Row],[Harga Beli Pcs
(-PPN)]])/Table43[[#This Row],[Harga Jual Pcs GT
(-PPN)]]</f>
        <v>#DIV/0!</v>
      </c>
      <c r="BB602" s="63">
        <f>Table43[[#This Row],[Harga Jual Pcs MT
(-PPN)]]-Table43[[#This Row],[Harga Beli Pcs
(-PPN)]]</f>
        <v>0</v>
      </c>
      <c r="BC602" s="64" t="e">
        <f>Table43[[#This Row],[Column1]]/Table43[[#This Row],[Harga Jual Pcs MT
(-PPN)]]</f>
        <v>#DIV/0!</v>
      </c>
      <c r="BD602" s="52"/>
      <c r="BE602" s="7"/>
      <c r="BF602" s="7" t="str">
        <f ca="1">IF(TODAY()-Table43[[#This Row],[Efektif
Pembuatan]]&gt;60,"Lama","Baru")</f>
        <v>Lama</v>
      </c>
      <c r="BG602" s="7" t="str">
        <f ca="1">IF(TODAY()-Table43[[#This Row],[Efektif Naik Harga]]&lt;30,"Naik","Sama")</f>
        <v>Sama</v>
      </c>
      <c r="BH602" s="7"/>
      <c r="BI602" s="7" t="str">
        <f>IF(Table43[[#This Row],[Kode BARANG Win2]]&lt;&gt;"","IDR","")</f>
        <v>IDR</v>
      </c>
      <c r="BJ602" s="7" t="str">
        <f>CONCATENATE(Table43[[#This Row],[kode  1 Digit
(Nomor)]],Table43[[#This Row],[kode  4 Digit                (Nomor)]])</f>
        <v>0160</v>
      </c>
      <c r="BK602" s="7" t="str">
        <f>Table43[[#This Row],[Nama            Gramasi atau Jumlah Pack per CTN]]</f>
        <v>160ML</v>
      </c>
      <c r="BL602" s="7"/>
      <c r="BM602" s="7"/>
      <c r="BN602" s="4" t="str">
        <f>IF(Table43[[#This Row],[SATUAN Fix Win]]&lt;&gt;"","KRT")</f>
        <v>KRT</v>
      </c>
      <c r="BO602" s="4" t="str">
        <f>IF(Table43[[#This Row],[SATUAN Fix Win]]&lt;&gt;"","GD01")</f>
        <v>GD01</v>
      </c>
      <c r="BP602" s="4">
        <f>IF(Table43[[#This Row],[SATUAN Fix Win]]&lt;&gt;"",11611)</f>
        <v>11611</v>
      </c>
      <c r="BQ602" s="4">
        <f>IF(Table43[[#This Row],[SATUAN Fix Win]]&lt;&gt;"",11612)</f>
        <v>11612</v>
      </c>
      <c r="BS602" s="4">
        <f>IF(Table43[[#This Row],[SATUAN Fix Win]]&lt;&gt;"",1)</f>
        <v>1</v>
      </c>
      <c r="BU602" s="4">
        <f>Table43[[#This Row],[ISI/CTN]]</f>
        <v>12</v>
      </c>
    </row>
    <row r="603" spans="1:73">
      <c r="A603" s="4" t="str">
        <f>CONCATENATE(Table43[[#This Row],[Kode BARANG Win2]],Table43[[#This Row],[No. Urut
Item Sama]])</f>
        <v>G1270110016010</v>
      </c>
      <c r="B603" s="7"/>
      <c r="C603" s="31">
        <v>30670030100000</v>
      </c>
      <c r="D603" s="51">
        <v>40059956</v>
      </c>
      <c r="E603" s="27" t="s">
        <v>2104</v>
      </c>
      <c r="F603" s="51">
        <v>30490180160000</v>
      </c>
      <c r="G603" s="51">
        <v>0</v>
      </c>
      <c r="H603" s="27" t="s">
        <v>1426</v>
      </c>
      <c r="I603" s="27">
        <v>12</v>
      </c>
      <c r="J603" s="51" t="s">
        <v>1784</v>
      </c>
      <c r="K603" s="27" t="str">
        <f>Table43[[#This Row],[NamaJenisKemasan]]</f>
        <v>KLG</v>
      </c>
      <c r="L603" s="4" t="str">
        <f>TRIM(CONCATENATE(Table43[[#This Row],[Nama            KLP]]," ",Table43[[#This Row],[Nama            Sub KLP]]))</f>
        <v>STELLA MATIC</v>
      </c>
      <c r="M603" s="4" t="str">
        <f>CONCATENATE(Table43[[#This Row],[kode  2 Digit                (hrf+No)]],Table43[[#This Row],[kode  2 Digit                (Nomor)]],Table43[[#This Row],[kode  1 Digit                (Nomor)]])</f>
        <v>G1270</v>
      </c>
      <c r="N603" s="4" t="str">
        <f>IF(AI603="",CONCATENATE(S603,U603,W603,Y603,AA603,AC603,AE603,AG603,Table43[[#This Row],[Tanda Kode Revisi]]),CONCATENATE(S603,U603,W603,Y603,AA603,AC603,AE603,AI603))</f>
        <v>G1270110016010</v>
      </c>
      <c r="O603" s="11">
        <f t="shared" si="14"/>
        <v>14</v>
      </c>
      <c r="P603" s="14" t="str">
        <f>IF(AH603&lt;&gt;"",TRIM(UPPER(CONCATENATE(R603," ",T603," ",V603," ",X603," ",Z603," ",AB603," ","X"," ",Table43[[#This Row],[ISI/CTN]]," ",AH603," ",AD603," ",AF603," ",AJ603))),TRIM(UPPER(CONCATENATE(R603," ",T603," ",V603," ",X603," ",Z603," ",AB603," ","X"," ",Table43[[#This Row],[ISI/CTN]]," ",AD603," ",AF603," ",AJ603))))</f>
        <v>STELLA MATIC REFILL RAJA AMPAT LAGOON 160ML X 12 KLG</v>
      </c>
      <c r="Q603" s="11">
        <f t="shared" si="15"/>
        <v>52</v>
      </c>
      <c r="S603" s="7" t="s">
        <v>34</v>
      </c>
      <c r="T603" s="4" t="s">
        <v>2359</v>
      </c>
      <c r="U603" s="47" t="s">
        <v>2586</v>
      </c>
      <c r="V603" s="48"/>
      <c r="W603" s="7">
        <v>0</v>
      </c>
      <c r="X603" s="48" t="s">
        <v>2231</v>
      </c>
      <c r="Y603" s="47" t="s">
        <v>2539</v>
      </c>
      <c r="Z603" s="4" t="s">
        <v>2425</v>
      </c>
      <c r="AA603" s="49" t="s">
        <v>2556</v>
      </c>
      <c r="AB603" s="4" t="s">
        <v>2377</v>
      </c>
      <c r="AC603" s="49" t="s">
        <v>2601</v>
      </c>
      <c r="AD603" s="4" t="s">
        <v>2221</v>
      </c>
      <c r="AE603" s="7">
        <v>1</v>
      </c>
      <c r="AG603" s="7">
        <v>0</v>
      </c>
      <c r="AK603" s="70">
        <f>Table43[[#This Row],[Column4]]</f>
        <v>30490180160000</v>
      </c>
      <c r="AN603" s="7">
        <f>Table43[[#This Row],[ISI/CTN]]</f>
        <v>12</v>
      </c>
      <c r="AO603" s="61">
        <f>Table43[[#This Row],[Harga Jual Pcs GT
(-PPN)]]-(Table43[[#This Row],[Harga Jual Pcs GT
(-PPN)]]*6.5%)</f>
        <v>26460.5</v>
      </c>
      <c r="AP603" s="61">
        <f>Table43[[#This Row],[Harga Beli Pcs
(-PPN)]]*Table43[[#This Row],[ISI/CTN]]</f>
        <v>317526</v>
      </c>
      <c r="AQ603" s="61">
        <f>Table43[[#This Row],[Harga Beli Pcs
(-PPN)]]*1.11</f>
        <v>29371.155000000002</v>
      </c>
      <c r="AR603" s="61">
        <f>Table43[[#This Row],[Harga Beli Krt
(- PPN)]]*1.11</f>
        <v>352453.86000000004</v>
      </c>
      <c r="AS603" s="61">
        <v>28300</v>
      </c>
      <c r="AT603" s="61">
        <f>Table43[[#This Row],[Harga Jual Pcs GT
(-PPN)]]*Table43[[#This Row],[ISI/CTN]]</f>
        <v>339600</v>
      </c>
      <c r="AU603" s="61">
        <f>Table43[[#This Row],[Harga Jual Pcs GT
(-PPN)]]*1.11</f>
        <v>31413.000000000004</v>
      </c>
      <c r="AV603" s="61">
        <f>Table43[[#This Row],[Harga Jual Krt GT
(- PPN)]]*1.11</f>
        <v>376956.00000000006</v>
      </c>
      <c r="AW603" s="61">
        <f>IFERROR(VLOOKUP(Table43[[#This Row],[Kode Pcpl]],'[1]FEB 2026'!$A$3:$X$312,24,0),0)</f>
        <v>0</v>
      </c>
      <c r="AX603" s="61">
        <f>Table43[[#This Row],[Harga Jual Pcs MT
(-PPN)]]*Table43[[#This Row],[ISI/CTN]]</f>
        <v>0</v>
      </c>
      <c r="AY603" s="61">
        <f>Table43[[#This Row],[Harga Jual Pcs MT
(-PPN)]]*1.11</f>
        <v>0</v>
      </c>
      <c r="AZ603" s="61">
        <f>Table43[[#This Row],[Harga Jual Pcs MT
(+PPN)]]*Table43[[#This Row],[ISI/CTN]]</f>
        <v>0</v>
      </c>
      <c r="BA603" s="62">
        <f>(Table43[[#This Row],[Harga Jual Pcs GT
(-PPN)]]-Table43[[#This Row],[Harga Beli Pcs
(-PPN)]])/Table43[[#This Row],[Harga Jual Pcs GT
(-PPN)]]</f>
        <v>6.5000000000000002E-2</v>
      </c>
      <c r="BB603" s="63">
        <f>Table43[[#This Row],[Harga Jual Pcs MT
(-PPN)]]-Table43[[#This Row],[Harga Beli Pcs
(-PPN)]]</f>
        <v>-26460.5</v>
      </c>
      <c r="BC603" s="64" t="e">
        <f>Table43[[#This Row],[Column1]]/Table43[[#This Row],[Harga Jual Pcs MT
(-PPN)]]</f>
        <v>#DIV/0!</v>
      </c>
      <c r="BD603" s="52"/>
      <c r="BE603" s="7"/>
      <c r="BF603" s="7" t="str">
        <f ca="1">IF(TODAY()-Table43[[#This Row],[Efektif
Pembuatan]]&gt;60,"Lama","Baru")</f>
        <v>Lama</v>
      </c>
      <c r="BG603" s="7" t="str">
        <f ca="1">IF(TODAY()-Table43[[#This Row],[Efektif Naik Harga]]&lt;30,"Naik","Sama")</f>
        <v>Sama</v>
      </c>
      <c r="BH603" s="7"/>
      <c r="BI603" s="7" t="str">
        <f>IF(Table43[[#This Row],[Kode BARANG Win2]]&lt;&gt;"","IDR","")</f>
        <v>IDR</v>
      </c>
      <c r="BJ603" s="7" t="str">
        <f>CONCATENATE(Table43[[#This Row],[kode  1 Digit
(Nomor)]],Table43[[#This Row],[kode  4 Digit                (Nomor)]])</f>
        <v>0160</v>
      </c>
      <c r="BK603" s="7" t="str">
        <f>Table43[[#This Row],[Nama            Gramasi atau Jumlah Pack per CTN]]</f>
        <v>160ML</v>
      </c>
      <c r="BL603" s="7"/>
      <c r="BM603" s="7"/>
      <c r="BN603" s="4" t="str">
        <f>IF(Table43[[#This Row],[SATUAN Fix Win]]&lt;&gt;"","KRT")</f>
        <v>KRT</v>
      </c>
      <c r="BO603" s="4" t="str">
        <f>IF(Table43[[#This Row],[SATUAN Fix Win]]&lt;&gt;"","GD01")</f>
        <v>GD01</v>
      </c>
      <c r="BP603" s="4">
        <f>IF(Table43[[#This Row],[SATUAN Fix Win]]&lt;&gt;"",11611)</f>
        <v>11611</v>
      </c>
      <c r="BQ603" s="4">
        <f>IF(Table43[[#This Row],[SATUAN Fix Win]]&lt;&gt;"",11612)</f>
        <v>11612</v>
      </c>
      <c r="BS603" s="4">
        <f>IF(Table43[[#This Row],[SATUAN Fix Win]]&lt;&gt;"",1)</f>
        <v>1</v>
      </c>
      <c r="BU603" s="4">
        <f>Table43[[#This Row],[ISI/CTN]]</f>
        <v>12</v>
      </c>
    </row>
    <row r="604" spans="1:73">
      <c r="A604" s="4" t="str">
        <f>CONCATENATE(Table43[[#This Row],[Kode BARANG Win2]],Table43[[#This Row],[No. Urut
Item Sama]])</f>
        <v>G1270110016010</v>
      </c>
      <c r="B604" s="7"/>
      <c r="C604" s="31">
        <v>30682000025020</v>
      </c>
      <c r="D604" s="51">
        <v>40059826</v>
      </c>
      <c r="E604" s="27" t="s">
        <v>2103</v>
      </c>
      <c r="F604" s="51">
        <v>30490180160000</v>
      </c>
      <c r="G604" s="51">
        <v>0</v>
      </c>
      <c r="H604" s="27" t="s">
        <v>1425</v>
      </c>
      <c r="I604" s="27">
        <v>12</v>
      </c>
      <c r="J604" s="51" t="s">
        <v>1784</v>
      </c>
      <c r="K604" s="27" t="str">
        <f>Table43[[#This Row],[NamaJenisKemasan]]</f>
        <v>KLG</v>
      </c>
      <c r="L604" s="4" t="str">
        <f>TRIM(CONCATENATE(Table43[[#This Row],[Nama            KLP]]," ",Table43[[#This Row],[Nama            Sub KLP]]))</f>
        <v>STELLA MATIC</v>
      </c>
      <c r="M604" s="4" t="str">
        <f>CONCATENATE(Table43[[#This Row],[kode  2 Digit                (hrf+No)]],Table43[[#This Row],[kode  2 Digit                (Nomor)]],Table43[[#This Row],[kode  1 Digit                (Nomor)]])</f>
        <v>G1270</v>
      </c>
      <c r="N604" s="4" t="str">
        <f>IF(AI604="",CONCATENATE(S604,U604,W604,Y604,AA604,AC604,AE604,AG604,Table43[[#This Row],[Tanda Kode Revisi]]),CONCATENATE(S604,U604,W604,Y604,AA604,AC604,AE604,AI604))</f>
        <v>G1270110016010</v>
      </c>
      <c r="O604" s="11">
        <f t="shared" si="14"/>
        <v>14</v>
      </c>
      <c r="P604" s="14" t="str">
        <f>IF(AH604&lt;&gt;"",TRIM(UPPER(CONCATENATE(R604," ",T604," ",V604," ",X604," ",Z604," ",AB604," ","X"," ",Table43[[#This Row],[ISI/CTN]]," ",AH604," ",AD604," ",AF604," ",AJ604))),TRIM(UPPER(CONCATENATE(R604," ",T604," ",V604," ",X604," ",Z604," ",AB604," ","X"," ",Table43[[#This Row],[ISI/CTN]]," ",AD604," ",AF604," ",AJ604))))</f>
        <v>STELLA MATIC REFILL RAJA AMPAT LAGOON 160ML X 12 KLG</v>
      </c>
      <c r="Q604" s="11">
        <f t="shared" si="15"/>
        <v>52</v>
      </c>
      <c r="S604" s="7" t="s">
        <v>34</v>
      </c>
      <c r="T604" s="4" t="s">
        <v>2359</v>
      </c>
      <c r="U604" s="47" t="s">
        <v>2586</v>
      </c>
      <c r="V604" s="48"/>
      <c r="W604" s="7">
        <v>0</v>
      </c>
      <c r="X604" s="48" t="s">
        <v>2231</v>
      </c>
      <c r="Y604" s="47" t="s">
        <v>2539</v>
      </c>
      <c r="Z604" s="4" t="s">
        <v>2425</v>
      </c>
      <c r="AA604" s="49" t="s">
        <v>2556</v>
      </c>
      <c r="AB604" s="4" t="s">
        <v>2377</v>
      </c>
      <c r="AC604" s="49" t="s">
        <v>2601</v>
      </c>
      <c r="AD604" s="4" t="s">
        <v>2221</v>
      </c>
      <c r="AE604" s="7">
        <v>1</v>
      </c>
      <c r="AG604" s="7">
        <v>0</v>
      </c>
      <c r="AK604" s="70">
        <f>Table43[[#This Row],[Column4]]</f>
        <v>30490180160000</v>
      </c>
      <c r="AN604" s="7">
        <f>Table43[[#This Row],[ISI/CTN]]</f>
        <v>12</v>
      </c>
      <c r="AO604" s="38">
        <f>Table43[[#This Row],[Harga Jual Pcs GT
(-PPN)]]-(Table43[[#This Row],[Harga Jual Pcs GT
(-PPN)]]*6.5%)</f>
        <v>26460.5</v>
      </c>
      <c r="AP604" s="38">
        <f>Table43[[#This Row],[Harga Beli Pcs
(-PPN)]]*Table43[[#This Row],[ISI/CTN]]</f>
        <v>317526</v>
      </c>
      <c r="AQ604" s="38">
        <f>Table43[[#This Row],[Harga Beli Pcs
(-PPN)]]*1.11</f>
        <v>29371.155000000002</v>
      </c>
      <c r="AR604" s="38">
        <f>Table43[[#This Row],[Harga Beli Krt
(- PPN)]]*1.11</f>
        <v>352453.86000000004</v>
      </c>
      <c r="AS604" s="38">
        <v>28300</v>
      </c>
      <c r="AT604" s="38">
        <f>Table43[[#This Row],[Harga Jual Pcs GT
(-PPN)]]*Table43[[#This Row],[ISI/CTN]]</f>
        <v>339600</v>
      </c>
      <c r="AU604" s="38">
        <f>Table43[[#This Row],[Harga Jual Pcs GT
(-PPN)]]*1.11</f>
        <v>31413.000000000004</v>
      </c>
      <c r="AV604" s="38">
        <f>Table43[[#This Row],[Harga Jual Krt GT
(- PPN)]]*1.11</f>
        <v>376956.00000000006</v>
      </c>
      <c r="AW604" s="38">
        <f>IFERROR(VLOOKUP(Table43[[#This Row],[Kode Pcpl]],'[1]FEB 2026'!$A$3:$X$312,24,0),0)</f>
        <v>0</v>
      </c>
      <c r="AX604" s="38">
        <f>Table43[[#This Row],[Harga Jual Pcs MT
(-PPN)]]*Table43[[#This Row],[ISI/CTN]]</f>
        <v>0</v>
      </c>
      <c r="AY604" s="38">
        <f>Table43[[#This Row],[Harga Jual Pcs MT
(-PPN)]]*1.11</f>
        <v>0</v>
      </c>
      <c r="AZ604" s="38">
        <f>Table43[[#This Row],[Harga Jual Pcs MT
(+PPN)]]*Table43[[#This Row],[ISI/CTN]]</f>
        <v>0</v>
      </c>
      <c r="BA604" s="46">
        <f>(Table43[[#This Row],[Harga Jual Pcs GT
(-PPN)]]-Table43[[#This Row],[Harga Beli Pcs
(-PPN)]])/Table43[[#This Row],[Harga Jual Pcs GT
(-PPN)]]</f>
        <v>6.5000000000000002E-2</v>
      </c>
      <c r="BB604" s="53">
        <f>Table43[[#This Row],[Harga Jual Pcs MT
(-PPN)]]-Table43[[#This Row],[Harga Beli Pcs
(-PPN)]]</f>
        <v>-26460.5</v>
      </c>
      <c r="BC604" s="54" t="e">
        <f>Table43[[#This Row],[Column1]]/Table43[[#This Row],[Harga Jual Pcs MT
(-PPN)]]</f>
        <v>#DIV/0!</v>
      </c>
      <c r="BD604" s="52"/>
      <c r="BE604" s="7"/>
      <c r="BF604" s="7" t="str">
        <f ca="1">IF(TODAY()-Table43[[#This Row],[Efektif
Pembuatan]]&gt;60,"Lama","Baru")</f>
        <v>Lama</v>
      </c>
      <c r="BG604" s="7" t="str">
        <f ca="1">IF(TODAY()-Table43[[#This Row],[Efektif Naik Harga]]&lt;30,"Naik","Sama")</f>
        <v>Sama</v>
      </c>
      <c r="BH604" s="7"/>
      <c r="BI604" s="7" t="str">
        <f>IF(Table43[[#This Row],[Kode BARANG Win2]]&lt;&gt;"","IDR","")</f>
        <v>IDR</v>
      </c>
      <c r="BJ604" s="7" t="str">
        <f>CONCATENATE(Table43[[#This Row],[kode  1 Digit
(Nomor)]],Table43[[#This Row],[kode  4 Digit                (Nomor)]])</f>
        <v>0160</v>
      </c>
      <c r="BK604" s="7" t="str">
        <f>Table43[[#This Row],[Nama            Gramasi atau Jumlah Pack per CTN]]</f>
        <v>160ML</v>
      </c>
      <c r="BL604" s="7"/>
      <c r="BM604" s="7"/>
      <c r="BN604" s="4" t="str">
        <f>IF(Table43[[#This Row],[SATUAN Fix Win]]&lt;&gt;"","KRT")</f>
        <v>KRT</v>
      </c>
      <c r="BO604" s="4" t="str">
        <f>IF(Table43[[#This Row],[SATUAN Fix Win]]&lt;&gt;"","GD01")</f>
        <v>GD01</v>
      </c>
      <c r="BP604" s="4">
        <f>IF(Table43[[#This Row],[SATUAN Fix Win]]&lt;&gt;"",11611)</f>
        <v>11611</v>
      </c>
      <c r="BQ604" s="4">
        <f>IF(Table43[[#This Row],[SATUAN Fix Win]]&lt;&gt;"",11612)</f>
        <v>11612</v>
      </c>
      <c r="BS604" s="4">
        <f>IF(Table43[[#This Row],[SATUAN Fix Win]]&lt;&gt;"",1)</f>
        <v>1</v>
      </c>
      <c r="BU604" s="4">
        <f>Table43[[#This Row],[ISI/CTN]]</f>
        <v>12</v>
      </c>
    </row>
    <row r="605" spans="1:73">
      <c r="A605" s="4" t="str">
        <f>CONCATENATE(Table43[[#This Row],[Kode BARANG Win2]],Table43[[#This Row],[No. Urut
Item Sama]])</f>
        <v>G1270111016010</v>
      </c>
      <c r="B605" s="7"/>
      <c r="C605" s="31">
        <v>30650020650000</v>
      </c>
      <c r="D605" s="51">
        <v>40059943</v>
      </c>
      <c r="E605" s="27" t="s">
        <v>2171</v>
      </c>
      <c r="F605" s="51">
        <v>30611080225000</v>
      </c>
      <c r="G605" s="51">
        <v>0</v>
      </c>
      <c r="H605" s="27" t="s">
        <v>1525</v>
      </c>
      <c r="I605" s="27">
        <v>12</v>
      </c>
      <c r="J605" s="51" t="s">
        <v>1838</v>
      </c>
      <c r="K605" s="27" t="str">
        <f>Table43[[#This Row],[NamaJenisKemasan]]</f>
        <v>KLG</v>
      </c>
      <c r="L605" s="4" t="str">
        <f>TRIM(CONCATENATE(Table43[[#This Row],[Nama            KLP]]," ",Table43[[#This Row],[Nama            Sub KLP]]))</f>
        <v>STELLA MATIC</v>
      </c>
      <c r="M605" s="4" t="str">
        <f>CONCATENATE(Table43[[#This Row],[kode  2 Digit                (hrf+No)]],Table43[[#This Row],[kode  2 Digit                (Nomor)]],Table43[[#This Row],[kode  1 Digit                (Nomor)]])</f>
        <v>G1270</v>
      </c>
      <c r="N605" s="4" t="str">
        <f>IF(AI605="",CONCATENATE(S605,U605,W605,Y605,AA605,AC605,AE605,AG605,Table43[[#This Row],[Tanda Kode Revisi]]),CONCATENATE(S605,U605,W605,Y605,AA605,AC605,AE605,AI605))</f>
        <v>G1270111016010</v>
      </c>
      <c r="O605" s="11">
        <f t="shared" ref="O605:O663" si="18">LEN(N605)</f>
        <v>14</v>
      </c>
      <c r="P605" s="14" t="str">
        <f>IF(AH605&lt;&gt;"",TRIM(UPPER(CONCATENATE(R605," ",T605," ",V605," ",X605," ",Z605," ",AB605," ","X"," ",Table43[[#This Row],[ISI/CTN]]," ",AH605," ",AD605," ",AF605," ",AJ605))),TRIM(UPPER(CONCATENATE(R605," ",T605," ",V605," ",X605," ",Z605," ",AB605," ","X"," ",Table43[[#This Row],[ISI/CTN]]," ",AD605," ",AF605," ",AJ605))))</f>
        <v>STELLA MATIC REFILL ROYAL KENANGA 160ML X 12 KLG</v>
      </c>
      <c r="Q605" s="11">
        <f t="shared" ref="Q605:Q663" si="19">LEN(P605)</f>
        <v>48</v>
      </c>
      <c r="S605" s="7" t="s">
        <v>34</v>
      </c>
      <c r="T605" s="4" t="s">
        <v>2359</v>
      </c>
      <c r="U605" s="47" t="s">
        <v>2586</v>
      </c>
      <c r="V605" s="48"/>
      <c r="W605" s="7">
        <v>0</v>
      </c>
      <c r="X605" s="48" t="s">
        <v>2231</v>
      </c>
      <c r="Y605" s="47" t="s">
        <v>2539</v>
      </c>
      <c r="Z605" s="4" t="s">
        <v>2456</v>
      </c>
      <c r="AA605" s="49" t="s">
        <v>2557</v>
      </c>
      <c r="AB605" s="4" t="s">
        <v>2377</v>
      </c>
      <c r="AC605" s="49" t="s">
        <v>2601</v>
      </c>
      <c r="AD605" s="4" t="s">
        <v>2221</v>
      </c>
      <c r="AE605" s="7">
        <v>1</v>
      </c>
      <c r="AG605" s="7">
        <v>0</v>
      </c>
      <c r="AK605" s="70">
        <f>Table43[[#This Row],[Column4]]</f>
        <v>30611080225000</v>
      </c>
      <c r="AN605" s="7">
        <f>Table43[[#This Row],[ISI/CTN]]</f>
        <v>12</v>
      </c>
      <c r="AO605" s="38">
        <f>Table43[[#This Row],[Harga Jual Pcs GT
(-PPN)]]-(Table43[[#This Row],[Harga Jual Pcs GT
(-PPN)]]*6.5%)</f>
        <v>26460.5</v>
      </c>
      <c r="AP605" s="38">
        <f>Table43[[#This Row],[Harga Beli Pcs
(-PPN)]]*Table43[[#This Row],[ISI/CTN]]</f>
        <v>317526</v>
      </c>
      <c r="AQ605" s="38">
        <f>Table43[[#This Row],[Harga Beli Pcs
(-PPN)]]*1.11</f>
        <v>29371.155000000002</v>
      </c>
      <c r="AR605" s="38">
        <f>Table43[[#This Row],[Harga Beli Krt
(- PPN)]]*1.11</f>
        <v>352453.86000000004</v>
      </c>
      <c r="AS605" s="38">
        <v>28300</v>
      </c>
      <c r="AT605" s="38">
        <f>Table43[[#This Row],[Harga Jual Pcs GT
(-PPN)]]*Table43[[#This Row],[ISI/CTN]]</f>
        <v>339600</v>
      </c>
      <c r="AU605" s="38">
        <f>Table43[[#This Row],[Harga Jual Pcs GT
(-PPN)]]*1.11</f>
        <v>31413.000000000004</v>
      </c>
      <c r="AV605" s="38">
        <f>Table43[[#This Row],[Harga Jual Krt GT
(- PPN)]]*1.11</f>
        <v>376956.00000000006</v>
      </c>
      <c r="AW605" s="38">
        <f>IFERROR(VLOOKUP(Table43[[#This Row],[Kode Pcpl]],'[1]FEB 2026'!$A$3:$X$312,24,0),0)</f>
        <v>0</v>
      </c>
      <c r="AX605" s="38">
        <f>Table43[[#This Row],[Harga Jual Pcs MT
(-PPN)]]*Table43[[#This Row],[ISI/CTN]]</f>
        <v>0</v>
      </c>
      <c r="AY605" s="38">
        <f>Table43[[#This Row],[Harga Jual Pcs MT
(-PPN)]]*1.11</f>
        <v>0</v>
      </c>
      <c r="AZ605" s="38">
        <f>Table43[[#This Row],[Harga Jual Pcs MT
(+PPN)]]*Table43[[#This Row],[ISI/CTN]]</f>
        <v>0</v>
      </c>
      <c r="BA605" s="46">
        <f>(Table43[[#This Row],[Harga Jual Pcs GT
(-PPN)]]-Table43[[#This Row],[Harga Beli Pcs
(-PPN)]])/Table43[[#This Row],[Harga Jual Pcs GT
(-PPN)]]</f>
        <v>6.5000000000000002E-2</v>
      </c>
      <c r="BB605" s="53">
        <f>Table43[[#This Row],[Harga Jual Pcs MT
(-PPN)]]-Table43[[#This Row],[Harga Beli Pcs
(-PPN)]]</f>
        <v>-26460.5</v>
      </c>
      <c r="BC605" s="54" t="e">
        <f>Table43[[#This Row],[Column1]]/Table43[[#This Row],[Harga Jual Pcs MT
(-PPN)]]</f>
        <v>#DIV/0!</v>
      </c>
      <c r="BD605" s="52"/>
      <c r="BE605" s="7"/>
      <c r="BF605" s="7" t="str">
        <f ca="1">IF(TODAY()-Table43[[#This Row],[Efektif
Pembuatan]]&gt;60,"Lama","Baru")</f>
        <v>Lama</v>
      </c>
      <c r="BG605" s="7" t="str">
        <f ca="1">IF(TODAY()-Table43[[#This Row],[Efektif Naik Harga]]&lt;30,"Naik","Sama")</f>
        <v>Sama</v>
      </c>
      <c r="BH605" s="7"/>
      <c r="BI605" s="7" t="str">
        <f>IF(Table43[[#This Row],[Kode BARANG Win2]]&lt;&gt;"","IDR","")</f>
        <v>IDR</v>
      </c>
      <c r="BJ605" s="7" t="str">
        <f>CONCATENATE(Table43[[#This Row],[kode  1 Digit
(Nomor)]],Table43[[#This Row],[kode  4 Digit                (Nomor)]])</f>
        <v>0160</v>
      </c>
      <c r="BK605" s="7" t="str">
        <f>Table43[[#This Row],[Nama            Gramasi atau Jumlah Pack per CTN]]</f>
        <v>160ML</v>
      </c>
      <c r="BL605" s="7"/>
      <c r="BM605" s="7"/>
      <c r="BN605" s="4" t="str">
        <f>IF(Table43[[#This Row],[SATUAN Fix Win]]&lt;&gt;"","KRT")</f>
        <v>KRT</v>
      </c>
      <c r="BO605" s="4" t="str">
        <f>IF(Table43[[#This Row],[SATUAN Fix Win]]&lt;&gt;"","GD01")</f>
        <v>GD01</v>
      </c>
      <c r="BP605" s="4">
        <f>IF(Table43[[#This Row],[SATUAN Fix Win]]&lt;&gt;"",11611)</f>
        <v>11611</v>
      </c>
      <c r="BQ605" s="4">
        <f>IF(Table43[[#This Row],[SATUAN Fix Win]]&lt;&gt;"",11612)</f>
        <v>11612</v>
      </c>
      <c r="BS605" s="4">
        <f>IF(Table43[[#This Row],[SATUAN Fix Win]]&lt;&gt;"",1)</f>
        <v>1</v>
      </c>
      <c r="BU605" s="4">
        <f>Table43[[#This Row],[ISI/CTN]]</f>
        <v>12</v>
      </c>
    </row>
    <row r="606" spans="1:73">
      <c r="A606" s="4" t="str">
        <f>CONCATENATE(Table43[[#This Row],[Kode BARANG Win2]],Table43[[#This Row],[No. Urut
Item Sama]])</f>
        <v>G1270111016010</v>
      </c>
      <c r="B606" s="7"/>
      <c r="C606" s="31">
        <v>30670010100000</v>
      </c>
      <c r="D606" s="51">
        <v>40050034</v>
      </c>
      <c r="E606" s="27" t="s">
        <v>2171</v>
      </c>
      <c r="F606" s="51">
        <v>30611080225000</v>
      </c>
      <c r="G606" s="51">
        <v>0</v>
      </c>
      <c r="H606" s="27" t="s">
        <v>1524</v>
      </c>
      <c r="I606" s="27">
        <v>12</v>
      </c>
      <c r="J606" s="51" t="s">
        <v>1838</v>
      </c>
      <c r="K606" s="27" t="str">
        <f>Table43[[#This Row],[NamaJenisKemasan]]</f>
        <v>KLG</v>
      </c>
      <c r="L606" s="4" t="str">
        <f>TRIM(CONCATENATE(Table43[[#This Row],[Nama            KLP]]," ",Table43[[#This Row],[Nama            Sub KLP]]))</f>
        <v>STELLA MATIC</v>
      </c>
      <c r="M606" s="4" t="str">
        <f>CONCATENATE(Table43[[#This Row],[kode  2 Digit                (hrf+No)]],Table43[[#This Row],[kode  2 Digit                (Nomor)]],Table43[[#This Row],[kode  1 Digit                (Nomor)]])</f>
        <v>G1270</v>
      </c>
      <c r="N606" s="4" t="str">
        <f>IF(AI606="",CONCATENATE(S606,U606,W606,Y606,AA606,AC606,AE606,AG606,Table43[[#This Row],[Tanda Kode Revisi]]),CONCATENATE(S606,U606,W606,Y606,AA606,AC606,AE606,AI606))</f>
        <v>G1270111016010</v>
      </c>
      <c r="O606" s="11">
        <f t="shared" si="18"/>
        <v>14</v>
      </c>
      <c r="P606" s="14" t="str">
        <f>IF(AH606&lt;&gt;"",TRIM(UPPER(CONCATENATE(R606," ",T606," ",V606," ",X606," ",Z606," ",AB606," ","X"," ",Table43[[#This Row],[ISI/CTN]]," ",AH606," ",AD606," ",AF606," ",AJ606))),TRIM(UPPER(CONCATENATE(R606," ",T606," ",V606," ",X606," ",Z606," ",AB606," ","X"," ",Table43[[#This Row],[ISI/CTN]]," ",AD606," ",AF606," ",AJ606))))</f>
        <v>STELLA MATIC REFILL ROYAL KENANGA 160ML X 12 KLG</v>
      </c>
      <c r="Q606" s="11">
        <f t="shared" si="19"/>
        <v>48</v>
      </c>
      <c r="S606" s="7" t="s">
        <v>34</v>
      </c>
      <c r="T606" s="4" t="s">
        <v>2359</v>
      </c>
      <c r="U606" s="47" t="s">
        <v>2586</v>
      </c>
      <c r="V606" s="48"/>
      <c r="W606" s="7">
        <v>0</v>
      </c>
      <c r="X606" s="48" t="s">
        <v>2231</v>
      </c>
      <c r="Y606" s="47" t="s">
        <v>2539</v>
      </c>
      <c r="Z606" s="4" t="s">
        <v>2456</v>
      </c>
      <c r="AA606" s="49" t="s">
        <v>2557</v>
      </c>
      <c r="AB606" s="4" t="s">
        <v>2377</v>
      </c>
      <c r="AC606" s="49" t="s">
        <v>2601</v>
      </c>
      <c r="AD606" s="4" t="s">
        <v>2221</v>
      </c>
      <c r="AE606" s="7">
        <v>1</v>
      </c>
      <c r="AG606" s="7">
        <v>0</v>
      </c>
      <c r="AK606" s="70">
        <f>Table43[[#This Row],[Column4]]</f>
        <v>30611080225000</v>
      </c>
      <c r="AN606" s="7">
        <f>Table43[[#This Row],[ISI/CTN]]</f>
        <v>12</v>
      </c>
      <c r="AO606" s="38">
        <f>Table43[[#This Row],[Harga Jual Pcs GT
(-PPN)]]-(Table43[[#This Row],[Harga Jual Pcs GT
(-PPN)]]*6.5%)</f>
        <v>26460.5</v>
      </c>
      <c r="AP606" s="38">
        <f>Table43[[#This Row],[Harga Beli Pcs
(-PPN)]]*Table43[[#This Row],[ISI/CTN]]</f>
        <v>317526</v>
      </c>
      <c r="AQ606" s="38">
        <f>Table43[[#This Row],[Harga Beli Pcs
(-PPN)]]*1.11</f>
        <v>29371.155000000002</v>
      </c>
      <c r="AR606" s="38">
        <f>Table43[[#This Row],[Harga Beli Krt
(- PPN)]]*1.11</f>
        <v>352453.86000000004</v>
      </c>
      <c r="AS606" s="38">
        <v>28300</v>
      </c>
      <c r="AT606" s="38">
        <f>Table43[[#This Row],[Harga Jual Pcs GT
(-PPN)]]*Table43[[#This Row],[ISI/CTN]]</f>
        <v>339600</v>
      </c>
      <c r="AU606" s="38">
        <f>Table43[[#This Row],[Harga Jual Pcs GT
(-PPN)]]*1.11</f>
        <v>31413.000000000004</v>
      </c>
      <c r="AV606" s="38">
        <f>Table43[[#This Row],[Harga Jual Krt GT
(- PPN)]]*1.11</f>
        <v>376956.00000000006</v>
      </c>
      <c r="AW606" s="38">
        <f>IFERROR(VLOOKUP(Table43[[#This Row],[Kode Pcpl]],'[1]FEB 2026'!$A$3:$X$312,24,0),0)</f>
        <v>0</v>
      </c>
      <c r="AX606" s="38">
        <f>Table43[[#This Row],[Harga Jual Pcs MT
(-PPN)]]*Table43[[#This Row],[ISI/CTN]]</f>
        <v>0</v>
      </c>
      <c r="AY606" s="38">
        <f>Table43[[#This Row],[Harga Jual Pcs MT
(-PPN)]]*1.11</f>
        <v>0</v>
      </c>
      <c r="AZ606" s="38">
        <f>Table43[[#This Row],[Harga Jual Pcs MT
(+PPN)]]*Table43[[#This Row],[ISI/CTN]]</f>
        <v>0</v>
      </c>
      <c r="BA606" s="46">
        <f>(Table43[[#This Row],[Harga Jual Pcs GT
(-PPN)]]-Table43[[#This Row],[Harga Beli Pcs
(-PPN)]])/Table43[[#This Row],[Harga Jual Pcs GT
(-PPN)]]</f>
        <v>6.5000000000000002E-2</v>
      </c>
      <c r="BB606" s="53">
        <f>Table43[[#This Row],[Harga Jual Pcs MT
(-PPN)]]-Table43[[#This Row],[Harga Beli Pcs
(-PPN)]]</f>
        <v>-26460.5</v>
      </c>
      <c r="BC606" s="54" t="e">
        <f>Table43[[#This Row],[Column1]]/Table43[[#This Row],[Harga Jual Pcs MT
(-PPN)]]</f>
        <v>#DIV/0!</v>
      </c>
      <c r="BD606" s="52"/>
      <c r="BE606" s="7"/>
      <c r="BF606" s="7" t="str">
        <f ca="1">IF(TODAY()-Table43[[#This Row],[Efektif
Pembuatan]]&gt;60,"Lama","Baru")</f>
        <v>Lama</v>
      </c>
      <c r="BG606" s="7" t="str">
        <f ca="1">IF(TODAY()-Table43[[#This Row],[Efektif Naik Harga]]&lt;30,"Naik","Sama")</f>
        <v>Sama</v>
      </c>
      <c r="BH606" s="7"/>
      <c r="BI606" s="7" t="str">
        <f>IF(Table43[[#This Row],[Kode BARANG Win2]]&lt;&gt;"","IDR","")</f>
        <v>IDR</v>
      </c>
      <c r="BJ606" s="7" t="str">
        <f>CONCATENATE(Table43[[#This Row],[kode  1 Digit
(Nomor)]],Table43[[#This Row],[kode  4 Digit                (Nomor)]])</f>
        <v>0160</v>
      </c>
      <c r="BK606" s="7" t="str">
        <f>Table43[[#This Row],[Nama            Gramasi atau Jumlah Pack per CTN]]</f>
        <v>160ML</v>
      </c>
      <c r="BL606" s="7"/>
      <c r="BM606" s="7"/>
      <c r="BN606" s="4" t="str">
        <f>IF(Table43[[#This Row],[SATUAN Fix Win]]&lt;&gt;"","KRT")</f>
        <v>KRT</v>
      </c>
      <c r="BO606" s="4" t="str">
        <f>IF(Table43[[#This Row],[SATUAN Fix Win]]&lt;&gt;"","GD01")</f>
        <v>GD01</v>
      </c>
      <c r="BP606" s="4">
        <f>IF(Table43[[#This Row],[SATUAN Fix Win]]&lt;&gt;"",11611)</f>
        <v>11611</v>
      </c>
      <c r="BQ606" s="4">
        <f>IF(Table43[[#This Row],[SATUAN Fix Win]]&lt;&gt;"",11612)</f>
        <v>11612</v>
      </c>
      <c r="BS606" s="4">
        <f>IF(Table43[[#This Row],[SATUAN Fix Win]]&lt;&gt;"",1)</f>
        <v>1</v>
      </c>
      <c r="BU606" s="4">
        <f>Table43[[#This Row],[ISI/CTN]]</f>
        <v>12</v>
      </c>
    </row>
    <row r="607" spans="1:73">
      <c r="A607" s="4" t="str">
        <f>CONCATENATE(Table43[[#This Row],[Kode BARANG Win2]],Table43[[#This Row],[No. Urut
Item Sama]])</f>
        <v>G1270112016010</v>
      </c>
      <c r="B607" s="7"/>
      <c r="C607" s="31">
        <v>30684040060010</v>
      </c>
      <c r="D607" s="51">
        <v>40059939</v>
      </c>
      <c r="E607" s="27" t="s">
        <v>2170</v>
      </c>
      <c r="F607" s="51">
        <v>30611070225000</v>
      </c>
      <c r="G607" s="51">
        <v>0</v>
      </c>
      <c r="H607" s="27" t="s">
        <v>1523</v>
      </c>
      <c r="I607" s="27">
        <v>12</v>
      </c>
      <c r="J607" s="51" t="s">
        <v>1837</v>
      </c>
      <c r="K607" s="27" t="str">
        <f>Table43[[#This Row],[NamaJenisKemasan]]</f>
        <v>KLG</v>
      </c>
      <c r="L607" s="4" t="str">
        <f>TRIM(CONCATENATE(Table43[[#This Row],[Nama            KLP]]," ",Table43[[#This Row],[Nama            Sub KLP]]))</f>
        <v>STELLA MATIC</v>
      </c>
      <c r="M607" s="4" t="str">
        <f>CONCATENATE(Table43[[#This Row],[kode  2 Digit                (hrf+No)]],Table43[[#This Row],[kode  2 Digit                (Nomor)]],Table43[[#This Row],[kode  1 Digit                (Nomor)]])</f>
        <v>G1270</v>
      </c>
      <c r="N607" s="4" t="str">
        <f>IF(AI607="",CONCATENATE(S607,U607,W607,Y607,AA607,AC607,AE607,AG607,Table43[[#This Row],[Tanda Kode Revisi]]),CONCATENATE(S607,U607,W607,Y607,AA607,AC607,AE607,AI607))</f>
        <v>G1270112016010</v>
      </c>
      <c r="O607" s="11">
        <f t="shared" si="18"/>
        <v>14</v>
      </c>
      <c r="P607" s="14" t="str">
        <f>IF(AH607&lt;&gt;"",TRIM(UPPER(CONCATENATE(R607," ",T607," ",V607," ",X607," ",Z607," ",AB607," ","X"," ",Table43[[#This Row],[ISI/CTN]]," ",AH607," ",AD607," ",AF607," ",AJ607))),TRIM(UPPER(CONCATENATE(R607," ",T607," ",V607," ",X607," ",Z607," ",AB607," ","X"," ",Table43[[#This Row],[ISI/CTN]]," ",AD607," ",AF607," ",AJ607))))</f>
        <v>STELLA MATIC REFILL WARM VERBENA 160ML X 12 KLG</v>
      </c>
      <c r="Q607" s="11">
        <f t="shared" si="19"/>
        <v>47</v>
      </c>
      <c r="S607" s="7" t="s">
        <v>34</v>
      </c>
      <c r="T607" s="4" t="s">
        <v>2359</v>
      </c>
      <c r="U607" s="47" t="s">
        <v>2586</v>
      </c>
      <c r="V607" s="48"/>
      <c r="W607" s="7">
        <v>0</v>
      </c>
      <c r="X607" s="48" t="s">
        <v>2231</v>
      </c>
      <c r="Y607" s="47" t="s">
        <v>2539</v>
      </c>
      <c r="Z607" s="4" t="s">
        <v>2427</v>
      </c>
      <c r="AA607" s="49" t="s">
        <v>2558</v>
      </c>
      <c r="AB607" s="4" t="s">
        <v>2377</v>
      </c>
      <c r="AC607" s="49" t="s">
        <v>2601</v>
      </c>
      <c r="AD607" s="4" t="s">
        <v>2221</v>
      </c>
      <c r="AE607" s="7">
        <v>1</v>
      </c>
      <c r="AG607" s="7">
        <v>0</v>
      </c>
      <c r="AK607" s="70">
        <f>Table43[[#This Row],[Column4]]</f>
        <v>30611070225000</v>
      </c>
      <c r="AN607" s="7">
        <f>Table43[[#This Row],[ISI/CTN]]</f>
        <v>12</v>
      </c>
      <c r="AO607" s="61">
        <f>Table43[[#This Row],[Harga Jual Pcs GT
(-PPN)]]-(Table43[[#This Row],[Harga Jual Pcs GT
(-PPN)]]*6.5%)</f>
        <v>26460.5</v>
      </c>
      <c r="AP607" s="61">
        <f>Table43[[#This Row],[Harga Beli Pcs
(-PPN)]]*Table43[[#This Row],[ISI/CTN]]</f>
        <v>317526</v>
      </c>
      <c r="AQ607" s="61">
        <f>Table43[[#This Row],[Harga Beli Pcs
(-PPN)]]*1.11</f>
        <v>29371.155000000002</v>
      </c>
      <c r="AR607" s="61">
        <f>Table43[[#This Row],[Harga Beli Krt
(- PPN)]]*1.11</f>
        <v>352453.86000000004</v>
      </c>
      <c r="AS607" s="61">
        <v>28300</v>
      </c>
      <c r="AT607" s="61">
        <f>Table43[[#This Row],[Harga Jual Pcs GT
(-PPN)]]*Table43[[#This Row],[ISI/CTN]]</f>
        <v>339600</v>
      </c>
      <c r="AU607" s="61">
        <f>Table43[[#This Row],[Harga Jual Pcs GT
(-PPN)]]*1.11</f>
        <v>31413.000000000004</v>
      </c>
      <c r="AV607" s="61">
        <f>Table43[[#This Row],[Harga Jual Krt GT
(- PPN)]]*1.11</f>
        <v>376956.00000000006</v>
      </c>
      <c r="AW607" s="61">
        <f>IFERROR(VLOOKUP(Table43[[#This Row],[Kode Pcpl]],'[1]FEB 2026'!$A$3:$X$312,24,0),0)</f>
        <v>0</v>
      </c>
      <c r="AX607" s="61">
        <f>Table43[[#This Row],[Harga Jual Pcs MT
(-PPN)]]*Table43[[#This Row],[ISI/CTN]]</f>
        <v>0</v>
      </c>
      <c r="AY607" s="61">
        <f>Table43[[#This Row],[Harga Jual Pcs MT
(-PPN)]]*1.11</f>
        <v>0</v>
      </c>
      <c r="AZ607" s="61">
        <f>Table43[[#This Row],[Harga Jual Pcs MT
(+PPN)]]*Table43[[#This Row],[ISI/CTN]]</f>
        <v>0</v>
      </c>
      <c r="BA607" s="62">
        <f>(Table43[[#This Row],[Harga Jual Pcs GT
(-PPN)]]-Table43[[#This Row],[Harga Beli Pcs
(-PPN)]])/Table43[[#This Row],[Harga Jual Pcs GT
(-PPN)]]</f>
        <v>6.5000000000000002E-2</v>
      </c>
      <c r="BB607" s="63">
        <f>Table43[[#This Row],[Harga Jual Pcs MT
(-PPN)]]-Table43[[#This Row],[Harga Beli Pcs
(-PPN)]]</f>
        <v>-26460.5</v>
      </c>
      <c r="BC607" s="64" t="e">
        <f>Table43[[#This Row],[Column1]]/Table43[[#This Row],[Harga Jual Pcs MT
(-PPN)]]</f>
        <v>#DIV/0!</v>
      </c>
      <c r="BD607" s="52"/>
      <c r="BE607" s="7"/>
      <c r="BF607" s="7" t="str">
        <f ca="1">IF(TODAY()-Table43[[#This Row],[Efektif
Pembuatan]]&gt;60,"Lama","Baru")</f>
        <v>Lama</v>
      </c>
      <c r="BG607" s="7" t="str">
        <f ca="1">IF(TODAY()-Table43[[#This Row],[Efektif Naik Harga]]&lt;30,"Naik","Sama")</f>
        <v>Sama</v>
      </c>
      <c r="BH607" s="7"/>
      <c r="BI607" s="7" t="str">
        <f>IF(Table43[[#This Row],[Kode BARANG Win2]]&lt;&gt;"","IDR","")</f>
        <v>IDR</v>
      </c>
      <c r="BJ607" s="7" t="str">
        <f>CONCATENATE(Table43[[#This Row],[kode  1 Digit
(Nomor)]],Table43[[#This Row],[kode  4 Digit                (Nomor)]])</f>
        <v>0160</v>
      </c>
      <c r="BK607" s="7" t="str">
        <f>Table43[[#This Row],[Nama            Gramasi atau Jumlah Pack per CTN]]</f>
        <v>160ML</v>
      </c>
      <c r="BL607" s="7"/>
      <c r="BM607" s="7"/>
      <c r="BN607" s="4" t="str">
        <f>IF(Table43[[#This Row],[SATUAN Fix Win]]&lt;&gt;"","KRT")</f>
        <v>KRT</v>
      </c>
      <c r="BO607" s="4" t="str">
        <f>IF(Table43[[#This Row],[SATUAN Fix Win]]&lt;&gt;"","GD01")</f>
        <v>GD01</v>
      </c>
      <c r="BP607" s="4">
        <f>IF(Table43[[#This Row],[SATUAN Fix Win]]&lt;&gt;"",11611)</f>
        <v>11611</v>
      </c>
      <c r="BQ607" s="4">
        <f>IF(Table43[[#This Row],[SATUAN Fix Win]]&lt;&gt;"",11612)</f>
        <v>11612</v>
      </c>
      <c r="BS607" s="4">
        <f>IF(Table43[[#This Row],[SATUAN Fix Win]]&lt;&gt;"",1)</f>
        <v>1</v>
      </c>
      <c r="BU607" s="4">
        <f>Table43[[#This Row],[ISI/CTN]]</f>
        <v>12</v>
      </c>
    </row>
    <row r="608" spans="1:73">
      <c r="A608" s="4" t="str">
        <f>CONCATENATE(Table43[[#This Row],[Kode BARANG Win2]],Table43[[#This Row],[No. Urut
Item Sama]])</f>
        <v>G1270112016010</v>
      </c>
      <c r="B608" s="7"/>
      <c r="C608" s="31"/>
      <c r="D608" s="51">
        <v>40033729</v>
      </c>
      <c r="E608" s="27"/>
      <c r="F608" s="51"/>
      <c r="G608" s="51"/>
      <c r="H608" s="27"/>
      <c r="I608" s="27">
        <v>12</v>
      </c>
      <c r="J608" s="51" t="s">
        <v>1837</v>
      </c>
      <c r="K608" s="27" t="str">
        <f>Table43[[#This Row],[NamaJenisKemasan]]</f>
        <v>KLG</v>
      </c>
      <c r="L608" s="4" t="str">
        <f>TRIM(CONCATENATE(Table43[[#This Row],[Nama            KLP]]," ",Table43[[#This Row],[Nama            Sub KLP]]))</f>
        <v>STELLA MATIC</v>
      </c>
      <c r="M608" s="4" t="str">
        <f>CONCATENATE(Table43[[#This Row],[kode  2 Digit                (hrf+No)]],Table43[[#This Row],[kode  2 Digit                (Nomor)]],Table43[[#This Row],[kode  1 Digit                (Nomor)]])</f>
        <v>G1270</v>
      </c>
      <c r="N608" s="4" t="str">
        <f>IF(AI608="",CONCATENATE(S608,U608,W608,Y608,AA608,AC608,AE608,AG608,Table43[[#This Row],[Tanda Kode Revisi]]),CONCATENATE(S608,U608,W608,Y608,AA608,AC608,AE608,AI608))</f>
        <v>G1270112016010</v>
      </c>
      <c r="O608" s="11">
        <f>LEN(N608)</f>
        <v>14</v>
      </c>
      <c r="P608" s="14" t="str">
        <f>IF(AH608&lt;&gt;"",TRIM(UPPER(CONCATENATE(R608," ",T608," ",V608," ",X608," ",Z608," ",AB608," ","X"," ",Table43[[#This Row],[ISI/CTN]]," ",AH608," ",AD608," ",AF608," ",AJ608))),TRIM(UPPER(CONCATENATE(R608," ",T608," ",V608," ",X608," ",Z608," ",AB608," ","X"," ",Table43[[#This Row],[ISI/CTN]]," ",AD608," ",AF608," ",AJ608))))</f>
        <v>STELLA MATIC REFILL WARM VERBENA 160ML X 12 KLG</v>
      </c>
      <c r="Q608" s="11">
        <f>LEN(P608)</f>
        <v>47</v>
      </c>
      <c r="S608" s="7" t="s">
        <v>34</v>
      </c>
      <c r="T608" s="4" t="s">
        <v>2359</v>
      </c>
      <c r="U608" s="47" t="s">
        <v>2586</v>
      </c>
      <c r="V608" s="48"/>
      <c r="W608" s="7">
        <v>0</v>
      </c>
      <c r="X608" s="48" t="s">
        <v>2231</v>
      </c>
      <c r="Y608" s="47" t="s">
        <v>2539</v>
      </c>
      <c r="Z608" s="4" t="s">
        <v>2427</v>
      </c>
      <c r="AA608" s="49" t="s">
        <v>2558</v>
      </c>
      <c r="AB608" s="4" t="s">
        <v>2377</v>
      </c>
      <c r="AC608" s="49" t="s">
        <v>2601</v>
      </c>
      <c r="AD608" s="4" t="s">
        <v>2221</v>
      </c>
      <c r="AE608" s="7">
        <v>1</v>
      </c>
      <c r="AG608" s="7">
        <v>0</v>
      </c>
      <c r="AK608" s="70">
        <f>Table43[[#This Row],[Column4]]</f>
        <v>0</v>
      </c>
      <c r="AN608" s="7">
        <f>Table43[[#This Row],[ISI/CTN]]</f>
        <v>12</v>
      </c>
      <c r="AO608" s="61">
        <f>Table43[[#This Row],[Harga Jual Pcs GT
(-PPN)]]-(Table43[[#This Row],[Harga Jual Pcs GT
(-PPN)]]*6.5%)</f>
        <v>0</v>
      </c>
      <c r="AP608" s="61">
        <f>Table43[[#This Row],[Harga Beli Pcs
(-PPN)]]*Table43[[#This Row],[ISI/CTN]]</f>
        <v>0</v>
      </c>
      <c r="AQ608" s="61">
        <f>Table43[[#This Row],[Harga Beli Pcs
(-PPN)]]*1.11</f>
        <v>0</v>
      </c>
      <c r="AR608" s="61">
        <f>Table43[[#This Row],[Harga Beli Krt
(- PPN)]]*1.11</f>
        <v>0</v>
      </c>
      <c r="AS608" s="61"/>
      <c r="AT608" s="61">
        <f>Table43[[#This Row],[Harga Jual Pcs GT
(-PPN)]]*Table43[[#This Row],[ISI/CTN]]</f>
        <v>0</v>
      </c>
      <c r="AU608" s="61">
        <f>Table43[[#This Row],[Harga Jual Pcs GT
(-PPN)]]*1.11</f>
        <v>0</v>
      </c>
      <c r="AV608" s="61">
        <f>Table43[[#This Row],[Harga Jual Krt GT
(- PPN)]]*1.11</f>
        <v>0</v>
      </c>
      <c r="AW608" s="61">
        <f>IFERROR(VLOOKUP(Table43[[#This Row],[Kode Pcpl]],'[1]FEB 2026'!$A$3:$X$312,24,0),0)</f>
        <v>0</v>
      </c>
      <c r="AX608" s="61">
        <f>Table43[[#This Row],[Harga Jual Pcs MT
(-PPN)]]*Table43[[#This Row],[ISI/CTN]]</f>
        <v>0</v>
      </c>
      <c r="AY608" s="61">
        <f>Table43[[#This Row],[Harga Jual Pcs MT
(-PPN)]]*1.11</f>
        <v>0</v>
      </c>
      <c r="AZ608" s="61">
        <f>Table43[[#This Row],[Harga Jual Pcs MT
(+PPN)]]*Table43[[#This Row],[ISI/CTN]]</f>
        <v>0</v>
      </c>
      <c r="BA608" s="62" t="e">
        <f>(Table43[[#This Row],[Harga Jual Pcs GT
(-PPN)]]-Table43[[#This Row],[Harga Beli Pcs
(-PPN)]])/Table43[[#This Row],[Harga Jual Pcs GT
(-PPN)]]</f>
        <v>#DIV/0!</v>
      </c>
      <c r="BB608" s="63">
        <f>Table43[[#This Row],[Harga Jual Pcs MT
(-PPN)]]-Table43[[#This Row],[Harga Beli Pcs
(-PPN)]]</f>
        <v>0</v>
      </c>
      <c r="BC608" s="64" t="e">
        <f>Table43[[#This Row],[Column1]]/Table43[[#This Row],[Harga Jual Pcs MT
(-PPN)]]</f>
        <v>#DIV/0!</v>
      </c>
      <c r="BD608" s="52"/>
      <c r="BE608" s="7"/>
      <c r="BF608" s="7" t="str">
        <f ca="1">IF(TODAY()-Table43[[#This Row],[Efektif
Pembuatan]]&gt;60,"Lama","Baru")</f>
        <v>Lama</v>
      </c>
      <c r="BG608" s="7" t="str">
        <f ca="1">IF(TODAY()-Table43[[#This Row],[Efektif Naik Harga]]&lt;30,"Naik","Sama")</f>
        <v>Sama</v>
      </c>
      <c r="BH608" s="7"/>
      <c r="BI608" s="7" t="str">
        <f>IF(Table43[[#This Row],[Kode BARANG Win2]]&lt;&gt;"","IDR","")</f>
        <v>IDR</v>
      </c>
      <c r="BJ608" s="7" t="str">
        <f>CONCATENATE(Table43[[#This Row],[kode  1 Digit
(Nomor)]],Table43[[#This Row],[kode  4 Digit                (Nomor)]])</f>
        <v>0160</v>
      </c>
      <c r="BK608" s="7" t="str">
        <f>Table43[[#This Row],[Nama            Gramasi atau Jumlah Pack per CTN]]</f>
        <v>160ML</v>
      </c>
      <c r="BL608" s="7"/>
      <c r="BM608" s="7"/>
      <c r="BN608" s="4" t="str">
        <f>IF(Table43[[#This Row],[SATUAN Fix Win]]&lt;&gt;"","KRT")</f>
        <v>KRT</v>
      </c>
      <c r="BO608" s="4" t="str">
        <f>IF(Table43[[#This Row],[SATUAN Fix Win]]&lt;&gt;"","GD01")</f>
        <v>GD01</v>
      </c>
      <c r="BP608" s="4">
        <f>IF(Table43[[#This Row],[SATUAN Fix Win]]&lt;&gt;"",11611)</f>
        <v>11611</v>
      </c>
      <c r="BQ608" s="4">
        <f>IF(Table43[[#This Row],[SATUAN Fix Win]]&lt;&gt;"",11612)</f>
        <v>11612</v>
      </c>
      <c r="BS608" s="4">
        <f>IF(Table43[[#This Row],[SATUAN Fix Win]]&lt;&gt;"",1)</f>
        <v>1</v>
      </c>
      <c r="BU608" s="4">
        <f>Table43[[#This Row],[ISI/CTN]]</f>
        <v>12</v>
      </c>
    </row>
    <row r="609" spans="1:75">
      <c r="A609" s="4" t="str">
        <f>CONCATENATE(Table43[[#This Row],[Kode BARANG Win2]],Table43[[#This Row],[No. Urut
Item Sama]])</f>
        <v>G1270112016010</v>
      </c>
      <c r="B609" s="7"/>
      <c r="C609" s="31">
        <v>30685010009010</v>
      </c>
      <c r="D609" s="51">
        <v>40050033</v>
      </c>
      <c r="E609" s="27" t="s">
        <v>2170</v>
      </c>
      <c r="F609" s="51">
        <v>30611070225000</v>
      </c>
      <c r="G609" s="51">
        <v>0</v>
      </c>
      <c r="H609" s="27" t="s">
        <v>1522</v>
      </c>
      <c r="I609" s="27">
        <v>12</v>
      </c>
      <c r="J609" s="51" t="s">
        <v>1837</v>
      </c>
      <c r="K609" s="27" t="str">
        <f>Table43[[#This Row],[NamaJenisKemasan]]</f>
        <v>KLG</v>
      </c>
      <c r="L609" s="4" t="str">
        <f>TRIM(CONCATENATE(Table43[[#This Row],[Nama            KLP]]," ",Table43[[#This Row],[Nama            Sub KLP]]))</f>
        <v>STELLA MATIC</v>
      </c>
      <c r="M609" s="4" t="str">
        <f>CONCATENATE(Table43[[#This Row],[kode  2 Digit                (hrf+No)]],Table43[[#This Row],[kode  2 Digit                (Nomor)]],Table43[[#This Row],[kode  1 Digit                (Nomor)]])</f>
        <v>G1270</v>
      </c>
      <c r="N609" s="4" t="str">
        <f>IF(AI609="",CONCATENATE(S609,U609,W609,Y609,AA609,AC609,AE609,AG609,Table43[[#This Row],[Tanda Kode Revisi]]),CONCATENATE(S609,U609,W609,Y609,AA609,AC609,AE609,AI609))</f>
        <v>G1270112016010</v>
      </c>
      <c r="O609" s="11">
        <f t="shared" si="18"/>
        <v>14</v>
      </c>
      <c r="P609" s="14" t="str">
        <f>IF(AH609&lt;&gt;"",TRIM(UPPER(CONCATENATE(R609," ",T609," ",V609," ",X609," ",Z609," ",AB609," ","X"," ",Table43[[#This Row],[ISI/CTN]]," ",AH609," ",AD609," ",AF609," ",AJ609))),TRIM(UPPER(CONCATENATE(R609," ",T609," ",V609," ",X609," ",Z609," ",AB609," ","X"," ",Table43[[#This Row],[ISI/CTN]]," ",AD609," ",AF609," ",AJ609))))</f>
        <v>STELLA MATIC REFILL WARM VERBENA 160ML X 12 KLG</v>
      </c>
      <c r="Q609" s="11">
        <f t="shared" si="19"/>
        <v>47</v>
      </c>
      <c r="S609" s="7" t="s">
        <v>34</v>
      </c>
      <c r="T609" s="4" t="s">
        <v>2359</v>
      </c>
      <c r="U609" s="47" t="s">
        <v>2586</v>
      </c>
      <c r="V609" s="48"/>
      <c r="W609" s="7">
        <v>0</v>
      </c>
      <c r="X609" s="48" t="s">
        <v>2231</v>
      </c>
      <c r="Y609" s="47" t="s">
        <v>2539</v>
      </c>
      <c r="Z609" s="4" t="s">
        <v>2427</v>
      </c>
      <c r="AA609" s="49" t="s">
        <v>2558</v>
      </c>
      <c r="AB609" s="4" t="s">
        <v>2377</v>
      </c>
      <c r="AC609" s="49" t="s">
        <v>2601</v>
      </c>
      <c r="AD609" s="4" t="s">
        <v>2221</v>
      </c>
      <c r="AE609" s="7">
        <v>1</v>
      </c>
      <c r="AG609" s="7">
        <v>0</v>
      </c>
      <c r="AK609" s="70">
        <f>Table43[[#This Row],[Column4]]</f>
        <v>30611070225000</v>
      </c>
      <c r="AN609" s="7">
        <f>Table43[[#This Row],[ISI/CTN]]</f>
        <v>12</v>
      </c>
      <c r="AO609" s="38">
        <f>Table43[[#This Row],[Harga Jual Pcs GT
(-PPN)]]-(Table43[[#This Row],[Harga Jual Pcs GT
(-PPN)]]*6.5%)</f>
        <v>26460.5</v>
      </c>
      <c r="AP609" s="38">
        <f>Table43[[#This Row],[Harga Beli Pcs
(-PPN)]]*Table43[[#This Row],[ISI/CTN]]</f>
        <v>317526</v>
      </c>
      <c r="AQ609" s="38">
        <f>Table43[[#This Row],[Harga Beli Pcs
(-PPN)]]*1.11</f>
        <v>29371.155000000002</v>
      </c>
      <c r="AR609" s="38">
        <f>Table43[[#This Row],[Harga Beli Krt
(- PPN)]]*1.11</f>
        <v>352453.86000000004</v>
      </c>
      <c r="AS609" s="38">
        <v>28300</v>
      </c>
      <c r="AT609" s="38">
        <f>Table43[[#This Row],[Harga Jual Pcs GT
(-PPN)]]*Table43[[#This Row],[ISI/CTN]]</f>
        <v>339600</v>
      </c>
      <c r="AU609" s="38">
        <f>Table43[[#This Row],[Harga Jual Pcs GT
(-PPN)]]*1.11</f>
        <v>31413.000000000004</v>
      </c>
      <c r="AV609" s="38">
        <f>Table43[[#This Row],[Harga Jual Krt GT
(- PPN)]]*1.11</f>
        <v>376956.00000000006</v>
      </c>
      <c r="AW609" s="38">
        <f>IFERROR(VLOOKUP(Table43[[#This Row],[Kode Pcpl]],'[1]FEB 2026'!$A$3:$X$312,24,0),0)</f>
        <v>0</v>
      </c>
      <c r="AX609" s="38">
        <f>Table43[[#This Row],[Harga Jual Pcs MT
(-PPN)]]*Table43[[#This Row],[ISI/CTN]]</f>
        <v>0</v>
      </c>
      <c r="AY609" s="38">
        <f>Table43[[#This Row],[Harga Jual Pcs MT
(-PPN)]]*1.11</f>
        <v>0</v>
      </c>
      <c r="AZ609" s="38">
        <f>Table43[[#This Row],[Harga Jual Pcs MT
(+PPN)]]*Table43[[#This Row],[ISI/CTN]]</f>
        <v>0</v>
      </c>
      <c r="BA609" s="46">
        <f>(Table43[[#This Row],[Harga Jual Pcs GT
(-PPN)]]-Table43[[#This Row],[Harga Beli Pcs
(-PPN)]])/Table43[[#This Row],[Harga Jual Pcs GT
(-PPN)]]</f>
        <v>6.5000000000000002E-2</v>
      </c>
      <c r="BB609" s="53">
        <f>Table43[[#This Row],[Harga Jual Pcs MT
(-PPN)]]-Table43[[#This Row],[Harga Beli Pcs
(-PPN)]]</f>
        <v>-26460.5</v>
      </c>
      <c r="BC609" s="54" t="e">
        <f>Table43[[#This Row],[Column1]]/Table43[[#This Row],[Harga Jual Pcs MT
(-PPN)]]</f>
        <v>#DIV/0!</v>
      </c>
      <c r="BD609" s="52"/>
      <c r="BE609" s="7"/>
      <c r="BF609" s="7" t="str">
        <f ca="1">IF(TODAY()-Table43[[#This Row],[Efektif
Pembuatan]]&gt;60,"Lama","Baru")</f>
        <v>Lama</v>
      </c>
      <c r="BG609" s="7" t="str">
        <f ca="1">IF(TODAY()-Table43[[#This Row],[Efektif Naik Harga]]&lt;30,"Naik","Sama")</f>
        <v>Sama</v>
      </c>
      <c r="BH609" s="7"/>
      <c r="BI609" s="7" t="str">
        <f>IF(Table43[[#This Row],[Kode BARANG Win2]]&lt;&gt;"","IDR","")</f>
        <v>IDR</v>
      </c>
      <c r="BJ609" s="7" t="str">
        <f>CONCATENATE(Table43[[#This Row],[kode  1 Digit
(Nomor)]],Table43[[#This Row],[kode  4 Digit                (Nomor)]])</f>
        <v>0160</v>
      </c>
      <c r="BK609" s="7" t="str">
        <f>Table43[[#This Row],[Nama            Gramasi atau Jumlah Pack per CTN]]</f>
        <v>160ML</v>
      </c>
      <c r="BL609" s="7"/>
      <c r="BM609" s="7"/>
      <c r="BN609" s="4" t="str">
        <f>IF(Table43[[#This Row],[SATUAN Fix Win]]&lt;&gt;"","KRT")</f>
        <v>KRT</v>
      </c>
      <c r="BO609" s="4" t="str">
        <f>IF(Table43[[#This Row],[SATUAN Fix Win]]&lt;&gt;"","GD01")</f>
        <v>GD01</v>
      </c>
      <c r="BP609" s="4">
        <f>IF(Table43[[#This Row],[SATUAN Fix Win]]&lt;&gt;"",11611)</f>
        <v>11611</v>
      </c>
      <c r="BQ609" s="4">
        <f>IF(Table43[[#This Row],[SATUAN Fix Win]]&lt;&gt;"",11612)</f>
        <v>11612</v>
      </c>
      <c r="BS609" s="4">
        <f>IF(Table43[[#This Row],[SATUAN Fix Win]]&lt;&gt;"",1)</f>
        <v>1</v>
      </c>
      <c r="BU609" s="4">
        <f>Table43[[#This Row],[ISI/CTN]]</f>
        <v>12</v>
      </c>
    </row>
    <row r="610" spans="1:75">
      <c r="A610" s="4" t="str">
        <f>CONCATENATE(Table43[[#This Row],[Kode BARANG Win2]],Table43[[#This Row],[No. Urut
Item Sama]])</f>
        <v>G1270113016010</v>
      </c>
      <c r="B610" s="7"/>
      <c r="C610" s="31">
        <v>30682040025010</v>
      </c>
      <c r="D610" s="51">
        <v>40059940</v>
      </c>
      <c r="E610" s="27" t="s">
        <v>2162</v>
      </c>
      <c r="F610" s="51">
        <v>30603090225010</v>
      </c>
      <c r="G610" s="51">
        <v>0</v>
      </c>
      <c r="H610" s="27" t="s">
        <v>1508</v>
      </c>
      <c r="I610" s="27">
        <v>12</v>
      </c>
      <c r="J610" s="51" t="s">
        <v>1829</v>
      </c>
      <c r="K610" s="27" t="str">
        <f>Table43[[#This Row],[NamaJenisKemasan]]</f>
        <v>KLG</v>
      </c>
      <c r="L610" s="4" t="str">
        <f>TRIM(CONCATENATE(Table43[[#This Row],[Nama            KLP]]," ",Table43[[#This Row],[Nama            Sub KLP]]))</f>
        <v>STELLA MATIC</v>
      </c>
      <c r="M610" s="4" t="str">
        <f>CONCATENATE(Table43[[#This Row],[kode  2 Digit                (hrf+No)]],Table43[[#This Row],[kode  2 Digit                (Nomor)]],Table43[[#This Row],[kode  1 Digit                (Nomor)]])</f>
        <v>G1270</v>
      </c>
      <c r="N610" s="4" t="str">
        <f>IF(AI610="",CONCATENATE(S610,U610,W610,Y610,AA610,AC610,AE610,AG610,Table43[[#This Row],[Tanda Kode Revisi]]),CONCATENATE(S610,U610,W610,Y610,AA610,AC610,AE610,AI610))</f>
        <v>G1270113016010</v>
      </c>
      <c r="O610" s="11">
        <f t="shared" si="18"/>
        <v>14</v>
      </c>
      <c r="P610" s="14" t="str">
        <f>IF(AH610&lt;&gt;"",TRIM(UPPER(CONCATENATE(R610," ",T610," ",V610," ",X610," ",Z610," ",AB610," ","X"," ",Table43[[#This Row],[ISI/CTN]]," ",AH610," ",AD610," ",AF610," ",AJ610))),TRIM(UPPER(CONCATENATE(R610," ",T610," ",V610," ",X610," ",Z610," ",AB610," ","X"," ",Table43[[#This Row],[ISI/CTN]]," ",AD610," ",AF610," ",AJ610))))</f>
        <v>STELLA MATIC REFILL WILD FLOWER 160ML X 12 KLG</v>
      </c>
      <c r="Q610" s="11">
        <f t="shared" si="19"/>
        <v>46</v>
      </c>
      <c r="S610" s="7" t="s">
        <v>34</v>
      </c>
      <c r="T610" s="4" t="s">
        <v>2359</v>
      </c>
      <c r="U610" s="47" t="s">
        <v>2586</v>
      </c>
      <c r="V610" s="48"/>
      <c r="W610" s="7">
        <v>0</v>
      </c>
      <c r="X610" s="48" t="s">
        <v>2231</v>
      </c>
      <c r="Y610" s="47" t="s">
        <v>2539</v>
      </c>
      <c r="Z610" s="4" t="s">
        <v>2446</v>
      </c>
      <c r="AA610" s="49" t="s">
        <v>2559</v>
      </c>
      <c r="AB610" s="4" t="s">
        <v>2377</v>
      </c>
      <c r="AC610" s="49" t="s">
        <v>2601</v>
      </c>
      <c r="AD610" s="4" t="s">
        <v>2221</v>
      </c>
      <c r="AE610" s="7">
        <v>1</v>
      </c>
      <c r="AG610" s="7">
        <v>0</v>
      </c>
      <c r="AK610" s="70">
        <f>Table43[[#This Row],[Column4]]</f>
        <v>30603090225010</v>
      </c>
      <c r="AN610" s="7">
        <f>Table43[[#This Row],[ISI/CTN]]</f>
        <v>12</v>
      </c>
      <c r="AO610" s="61">
        <f>Table43[[#This Row],[Harga Jual Pcs GT
(-PPN)]]-(Table43[[#This Row],[Harga Jual Pcs GT
(-PPN)]]*6.5%)</f>
        <v>26460.5</v>
      </c>
      <c r="AP610" s="61">
        <f>Table43[[#This Row],[Harga Beli Pcs
(-PPN)]]*Table43[[#This Row],[ISI/CTN]]</f>
        <v>317526</v>
      </c>
      <c r="AQ610" s="61">
        <f>Table43[[#This Row],[Harga Beli Pcs
(-PPN)]]*1.11</f>
        <v>29371.155000000002</v>
      </c>
      <c r="AR610" s="61">
        <f>Table43[[#This Row],[Harga Beli Krt
(- PPN)]]*1.11</f>
        <v>352453.86000000004</v>
      </c>
      <c r="AS610" s="61">
        <v>28300</v>
      </c>
      <c r="AT610" s="61">
        <f>Table43[[#This Row],[Harga Jual Pcs GT
(-PPN)]]*Table43[[#This Row],[ISI/CTN]]</f>
        <v>339600</v>
      </c>
      <c r="AU610" s="61">
        <f>Table43[[#This Row],[Harga Jual Pcs GT
(-PPN)]]*1.11</f>
        <v>31413.000000000004</v>
      </c>
      <c r="AV610" s="61">
        <f>Table43[[#This Row],[Harga Jual Krt GT
(- PPN)]]*1.11</f>
        <v>376956.00000000006</v>
      </c>
      <c r="AW610" s="61">
        <f>IFERROR(VLOOKUP(Table43[[#This Row],[Kode Pcpl]],'[1]FEB 2026'!$A$3:$X$312,24,0),0)</f>
        <v>0</v>
      </c>
      <c r="AX610" s="61">
        <f>Table43[[#This Row],[Harga Jual Pcs MT
(-PPN)]]*Table43[[#This Row],[ISI/CTN]]</f>
        <v>0</v>
      </c>
      <c r="AY610" s="61">
        <f>Table43[[#This Row],[Harga Jual Pcs MT
(-PPN)]]*1.11</f>
        <v>0</v>
      </c>
      <c r="AZ610" s="61">
        <f>Table43[[#This Row],[Harga Jual Pcs MT
(+PPN)]]*Table43[[#This Row],[ISI/CTN]]</f>
        <v>0</v>
      </c>
      <c r="BA610" s="62">
        <f>(Table43[[#This Row],[Harga Jual Pcs GT
(-PPN)]]-Table43[[#This Row],[Harga Beli Pcs
(-PPN)]])/Table43[[#This Row],[Harga Jual Pcs GT
(-PPN)]]</f>
        <v>6.5000000000000002E-2</v>
      </c>
      <c r="BB610" s="63">
        <f>Table43[[#This Row],[Harga Jual Pcs MT
(-PPN)]]-Table43[[#This Row],[Harga Beli Pcs
(-PPN)]]</f>
        <v>-26460.5</v>
      </c>
      <c r="BC610" s="64" t="e">
        <f>Table43[[#This Row],[Column1]]/Table43[[#This Row],[Harga Jual Pcs MT
(-PPN)]]</f>
        <v>#DIV/0!</v>
      </c>
      <c r="BD610" s="52"/>
      <c r="BE610" s="7"/>
      <c r="BF610" s="7" t="str">
        <f ca="1">IF(TODAY()-Table43[[#This Row],[Efektif
Pembuatan]]&gt;60,"Lama","Baru")</f>
        <v>Lama</v>
      </c>
      <c r="BG610" s="7" t="str">
        <f ca="1">IF(TODAY()-Table43[[#This Row],[Efektif Naik Harga]]&lt;30,"Naik","Sama")</f>
        <v>Sama</v>
      </c>
      <c r="BH610" s="7"/>
      <c r="BI610" s="7" t="str">
        <f>IF(Table43[[#This Row],[Kode BARANG Win2]]&lt;&gt;"","IDR","")</f>
        <v>IDR</v>
      </c>
      <c r="BJ610" s="7" t="str">
        <f>CONCATENATE(Table43[[#This Row],[kode  1 Digit
(Nomor)]],Table43[[#This Row],[kode  4 Digit                (Nomor)]])</f>
        <v>0160</v>
      </c>
      <c r="BK610" s="7" t="str">
        <f>Table43[[#This Row],[Nama            Gramasi atau Jumlah Pack per CTN]]</f>
        <v>160ML</v>
      </c>
      <c r="BL610" s="7"/>
      <c r="BM610" s="7"/>
      <c r="BN610" s="4" t="str">
        <f>IF(Table43[[#This Row],[SATUAN Fix Win]]&lt;&gt;"","KRT")</f>
        <v>KRT</v>
      </c>
      <c r="BO610" s="4" t="str">
        <f>IF(Table43[[#This Row],[SATUAN Fix Win]]&lt;&gt;"","GD01")</f>
        <v>GD01</v>
      </c>
      <c r="BP610" s="4">
        <f>IF(Table43[[#This Row],[SATUAN Fix Win]]&lt;&gt;"",11611)</f>
        <v>11611</v>
      </c>
      <c r="BQ610" s="4">
        <f>IF(Table43[[#This Row],[SATUAN Fix Win]]&lt;&gt;"",11612)</f>
        <v>11612</v>
      </c>
      <c r="BS610" s="4">
        <f>IF(Table43[[#This Row],[SATUAN Fix Win]]&lt;&gt;"",1)</f>
        <v>1</v>
      </c>
      <c r="BU610" s="4">
        <f>Table43[[#This Row],[ISI/CTN]]</f>
        <v>12</v>
      </c>
    </row>
    <row r="611" spans="1:75">
      <c r="A611" s="4" t="str">
        <f>CONCATENATE(Table43[[#This Row],[Kode BARANG Win2]],Table43[[#This Row],[No. Urut
Item Sama]])</f>
        <v>G1270113016010</v>
      </c>
      <c r="B611" s="7"/>
      <c r="C611" s="31"/>
      <c r="D611" s="51">
        <v>40016954</v>
      </c>
      <c r="E611" s="27"/>
      <c r="F611" s="51"/>
      <c r="G611" s="51"/>
      <c r="H611" s="27"/>
      <c r="I611" s="27">
        <v>12</v>
      </c>
      <c r="J611" s="51" t="s">
        <v>1829</v>
      </c>
      <c r="K611" s="27" t="str">
        <f>Table43[[#This Row],[NamaJenisKemasan]]</f>
        <v>KLG</v>
      </c>
      <c r="L611" s="4" t="str">
        <f>TRIM(CONCATENATE(Table43[[#This Row],[Nama            KLP]]," ",Table43[[#This Row],[Nama            Sub KLP]]))</f>
        <v>STELLA MATIC</v>
      </c>
      <c r="M611" s="4" t="str">
        <f>CONCATENATE(Table43[[#This Row],[kode  2 Digit                (hrf+No)]],Table43[[#This Row],[kode  2 Digit                (Nomor)]],Table43[[#This Row],[kode  1 Digit                (Nomor)]])</f>
        <v>G1270</v>
      </c>
      <c r="N611" s="4" t="str">
        <f>IF(AI611="",CONCATENATE(S611,U611,W611,Y611,AA611,AC611,AE611,AG611,Table43[[#This Row],[Tanda Kode Revisi]]),CONCATENATE(S611,U611,W611,Y611,AA611,AC611,AE611,AI611))</f>
        <v>G1270113016010</v>
      </c>
      <c r="O611" s="11">
        <f>LEN(N611)</f>
        <v>14</v>
      </c>
      <c r="P611" s="14" t="str">
        <f>IF(AH611&lt;&gt;"",TRIM(UPPER(CONCATENATE(R611," ",T611," ",V611," ",X611," ",Z611," ",AB611," ","X"," ",Table43[[#This Row],[ISI/CTN]]," ",AH611," ",AD611," ",AF611," ",AJ611))),TRIM(UPPER(CONCATENATE(R611," ",T611," ",V611," ",X611," ",Z611," ",AB611," ","X"," ",Table43[[#This Row],[ISI/CTN]]," ",AD611," ",AF611," ",AJ611))))</f>
        <v>STELLA MATIC REFILL WILD FLOWER 160ML X 12 KLG</v>
      </c>
      <c r="Q611" s="11">
        <f>LEN(P611)</f>
        <v>46</v>
      </c>
      <c r="S611" s="7" t="s">
        <v>34</v>
      </c>
      <c r="T611" s="4" t="s">
        <v>2359</v>
      </c>
      <c r="U611" s="47" t="s">
        <v>2586</v>
      </c>
      <c r="V611" s="48"/>
      <c r="W611" s="7">
        <v>0</v>
      </c>
      <c r="X611" s="48" t="s">
        <v>2231</v>
      </c>
      <c r="Y611" s="47" t="s">
        <v>2539</v>
      </c>
      <c r="Z611" s="4" t="s">
        <v>2446</v>
      </c>
      <c r="AA611" s="49" t="s">
        <v>2559</v>
      </c>
      <c r="AB611" s="4" t="s">
        <v>2377</v>
      </c>
      <c r="AC611" s="49" t="s">
        <v>2601</v>
      </c>
      <c r="AD611" s="4" t="s">
        <v>2221</v>
      </c>
      <c r="AE611" s="7">
        <v>1</v>
      </c>
      <c r="AG611" s="7">
        <v>0</v>
      </c>
      <c r="AK611" s="70">
        <f>Table43[[#This Row],[Column4]]</f>
        <v>0</v>
      </c>
      <c r="AN611" s="7">
        <f>Table43[[#This Row],[ISI/CTN]]</f>
        <v>12</v>
      </c>
      <c r="AO611" s="61">
        <f>Table43[[#This Row],[Harga Jual Pcs GT
(-PPN)]]-(Table43[[#This Row],[Harga Jual Pcs GT
(-PPN)]]*6.5%)</f>
        <v>0</v>
      </c>
      <c r="AP611" s="61">
        <f>Table43[[#This Row],[Harga Beli Pcs
(-PPN)]]*Table43[[#This Row],[ISI/CTN]]</f>
        <v>0</v>
      </c>
      <c r="AQ611" s="61">
        <f>Table43[[#This Row],[Harga Beli Pcs
(-PPN)]]*1.11</f>
        <v>0</v>
      </c>
      <c r="AR611" s="61">
        <f>Table43[[#This Row],[Harga Beli Krt
(- PPN)]]*1.11</f>
        <v>0</v>
      </c>
      <c r="AS611" s="61"/>
      <c r="AT611" s="61">
        <f>Table43[[#This Row],[Harga Jual Pcs GT
(-PPN)]]*Table43[[#This Row],[ISI/CTN]]</f>
        <v>0</v>
      </c>
      <c r="AU611" s="61">
        <f>Table43[[#This Row],[Harga Jual Pcs GT
(-PPN)]]*1.11</f>
        <v>0</v>
      </c>
      <c r="AV611" s="61">
        <f>Table43[[#This Row],[Harga Jual Krt GT
(- PPN)]]*1.11</f>
        <v>0</v>
      </c>
      <c r="AW611" s="61">
        <f>IFERROR(VLOOKUP(Table43[[#This Row],[Kode Pcpl]],'[1]FEB 2026'!$A$3:$X$312,24,0),0)</f>
        <v>0</v>
      </c>
      <c r="AX611" s="61">
        <f>Table43[[#This Row],[Harga Jual Pcs MT
(-PPN)]]*Table43[[#This Row],[ISI/CTN]]</f>
        <v>0</v>
      </c>
      <c r="AY611" s="61">
        <f>Table43[[#This Row],[Harga Jual Pcs MT
(-PPN)]]*1.11</f>
        <v>0</v>
      </c>
      <c r="AZ611" s="61">
        <f>Table43[[#This Row],[Harga Jual Pcs MT
(+PPN)]]*Table43[[#This Row],[ISI/CTN]]</f>
        <v>0</v>
      </c>
      <c r="BA611" s="62" t="e">
        <f>(Table43[[#This Row],[Harga Jual Pcs GT
(-PPN)]]-Table43[[#This Row],[Harga Beli Pcs
(-PPN)]])/Table43[[#This Row],[Harga Jual Pcs GT
(-PPN)]]</f>
        <v>#DIV/0!</v>
      </c>
      <c r="BB611" s="63">
        <f>Table43[[#This Row],[Harga Jual Pcs MT
(-PPN)]]-Table43[[#This Row],[Harga Beli Pcs
(-PPN)]]</f>
        <v>0</v>
      </c>
      <c r="BC611" s="64" t="e">
        <f>Table43[[#This Row],[Column1]]/Table43[[#This Row],[Harga Jual Pcs MT
(-PPN)]]</f>
        <v>#DIV/0!</v>
      </c>
      <c r="BD611" s="52"/>
      <c r="BE611" s="7"/>
      <c r="BF611" s="7" t="str">
        <f ca="1">IF(TODAY()-Table43[[#This Row],[Efektif
Pembuatan]]&gt;60,"Lama","Baru")</f>
        <v>Lama</v>
      </c>
      <c r="BG611" s="7" t="str">
        <f ca="1">IF(TODAY()-Table43[[#This Row],[Efektif Naik Harga]]&lt;30,"Naik","Sama")</f>
        <v>Sama</v>
      </c>
      <c r="BH611" s="7"/>
      <c r="BI611" s="7" t="str">
        <f>IF(Table43[[#This Row],[Kode BARANG Win2]]&lt;&gt;"","IDR","")</f>
        <v>IDR</v>
      </c>
      <c r="BJ611" s="7" t="str">
        <f>CONCATENATE(Table43[[#This Row],[kode  1 Digit
(Nomor)]],Table43[[#This Row],[kode  4 Digit                (Nomor)]])</f>
        <v>0160</v>
      </c>
      <c r="BK611" s="7" t="str">
        <f>Table43[[#This Row],[Nama            Gramasi atau Jumlah Pack per CTN]]</f>
        <v>160ML</v>
      </c>
      <c r="BL611" s="7"/>
      <c r="BM611" s="7"/>
      <c r="BN611" s="4" t="str">
        <f>IF(Table43[[#This Row],[SATUAN Fix Win]]&lt;&gt;"","KRT")</f>
        <v>KRT</v>
      </c>
      <c r="BO611" s="4" t="str">
        <f>IF(Table43[[#This Row],[SATUAN Fix Win]]&lt;&gt;"","GD01")</f>
        <v>GD01</v>
      </c>
      <c r="BP611" s="4">
        <f>IF(Table43[[#This Row],[SATUAN Fix Win]]&lt;&gt;"",11611)</f>
        <v>11611</v>
      </c>
      <c r="BQ611" s="4">
        <f>IF(Table43[[#This Row],[SATUAN Fix Win]]&lt;&gt;"",11612)</f>
        <v>11612</v>
      </c>
      <c r="BS611" s="4">
        <f>IF(Table43[[#This Row],[SATUAN Fix Win]]&lt;&gt;"",1)</f>
        <v>1</v>
      </c>
      <c r="BU611" s="4">
        <f>Table43[[#This Row],[ISI/CTN]]</f>
        <v>12</v>
      </c>
    </row>
    <row r="612" spans="1:75">
      <c r="A612" s="4" t="str">
        <f>CONCATENATE(Table43[[#This Row],[Kode BARANG Win2]],Table43[[#This Row],[No. Urut
Item Sama]])</f>
        <v>G1270113016010</v>
      </c>
      <c r="B612" s="7"/>
      <c r="C612" s="31">
        <v>30682050025010</v>
      </c>
      <c r="D612" s="51">
        <v>40050046</v>
      </c>
      <c r="E612" s="27" t="s">
        <v>2162</v>
      </c>
      <c r="F612" s="51">
        <v>30603090225010</v>
      </c>
      <c r="G612" s="51">
        <v>0</v>
      </c>
      <c r="H612" s="27" t="s">
        <v>1507</v>
      </c>
      <c r="I612" s="27">
        <v>12</v>
      </c>
      <c r="J612" s="51" t="s">
        <v>1829</v>
      </c>
      <c r="K612" s="27" t="str">
        <f>Table43[[#This Row],[NamaJenisKemasan]]</f>
        <v>KLG</v>
      </c>
      <c r="L612" s="4" t="str">
        <f>TRIM(CONCATENATE(Table43[[#This Row],[Nama            KLP]]," ",Table43[[#This Row],[Nama            Sub KLP]]))</f>
        <v>STELLA MATIC</v>
      </c>
      <c r="M612" s="4" t="str">
        <f>CONCATENATE(Table43[[#This Row],[kode  2 Digit                (hrf+No)]],Table43[[#This Row],[kode  2 Digit                (Nomor)]],Table43[[#This Row],[kode  1 Digit                (Nomor)]])</f>
        <v>G1270</v>
      </c>
      <c r="N612" s="4" t="str">
        <f>IF(AI612="",CONCATENATE(S612,U612,W612,Y612,AA612,AC612,AE612,AG612,Table43[[#This Row],[Tanda Kode Revisi]]),CONCATENATE(S612,U612,W612,Y612,AA612,AC612,AE612,AI612))</f>
        <v>G1270113016010</v>
      </c>
      <c r="O612" s="11">
        <f t="shared" si="18"/>
        <v>14</v>
      </c>
      <c r="P612" s="14" t="str">
        <f>IF(AH612&lt;&gt;"",TRIM(UPPER(CONCATENATE(R612," ",T612," ",V612," ",X612," ",Z612," ",AB612," ","X"," ",Table43[[#This Row],[ISI/CTN]]," ",AH612," ",AD612," ",AF612," ",AJ612))),TRIM(UPPER(CONCATENATE(R612," ",T612," ",V612," ",X612," ",Z612," ",AB612," ","X"," ",Table43[[#This Row],[ISI/CTN]]," ",AD612," ",AF612," ",AJ612))))</f>
        <v>STELLA MATIC REFILL WILD FLOWER 160ML X 12 KLG</v>
      </c>
      <c r="Q612" s="11">
        <f t="shared" si="19"/>
        <v>46</v>
      </c>
      <c r="S612" s="7" t="s">
        <v>34</v>
      </c>
      <c r="T612" s="4" t="s">
        <v>2359</v>
      </c>
      <c r="U612" s="47" t="s">
        <v>2586</v>
      </c>
      <c r="V612" s="48"/>
      <c r="W612" s="7">
        <v>0</v>
      </c>
      <c r="X612" s="48" t="s">
        <v>2231</v>
      </c>
      <c r="Y612" s="47" t="s">
        <v>2539</v>
      </c>
      <c r="Z612" s="4" t="s">
        <v>2446</v>
      </c>
      <c r="AA612" s="49" t="s">
        <v>2559</v>
      </c>
      <c r="AB612" s="4" t="s">
        <v>2377</v>
      </c>
      <c r="AC612" s="49" t="s">
        <v>2601</v>
      </c>
      <c r="AD612" s="4" t="s">
        <v>2221</v>
      </c>
      <c r="AE612" s="7">
        <v>1</v>
      </c>
      <c r="AG612" s="7">
        <v>0</v>
      </c>
      <c r="AK612" s="70">
        <f>Table43[[#This Row],[Column4]]</f>
        <v>30603090225010</v>
      </c>
      <c r="AN612" s="7">
        <f>Table43[[#This Row],[ISI/CTN]]</f>
        <v>12</v>
      </c>
      <c r="AO612" s="38">
        <f>Table43[[#This Row],[Harga Jual Pcs GT
(-PPN)]]-(Table43[[#This Row],[Harga Jual Pcs GT
(-PPN)]]*6.5%)</f>
        <v>26460.5</v>
      </c>
      <c r="AP612" s="38">
        <f>Table43[[#This Row],[Harga Beli Pcs
(-PPN)]]*Table43[[#This Row],[ISI/CTN]]</f>
        <v>317526</v>
      </c>
      <c r="AQ612" s="38">
        <f>Table43[[#This Row],[Harga Beli Pcs
(-PPN)]]*1.11</f>
        <v>29371.155000000002</v>
      </c>
      <c r="AR612" s="38">
        <f>Table43[[#This Row],[Harga Beli Krt
(- PPN)]]*1.11</f>
        <v>352453.86000000004</v>
      </c>
      <c r="AS612" s="38">
        <v>28300</v>
      </c>
      <c r="AT612" s="38">
        <f>Table43[[#This Row],[Harga Jual Pcs GT
(-PPN)]]*Table43[[#This Row],[ISI/CTN]]</f>
        <v>339600</v>
      </c>
      <c r="AU612" s="38">
        <f>Table43[[#This Row],[Harga Jual Pcs GT
(-PPN)]]*1.11</f>
        <v>31413.000000000004</v>
      </c>
      <c r="AV612" s="38">
        <f>Table43[[#This Row],[Harga Jual Krt GT
(- PPN)]]*1.11</f>
        <v>376956.00000000006</v>
      </c>
      <c r="AW612" s="38">
        <f>IFERROR(VLOOKUP(Table43[[#This Row],[Kode Pcpl]],'[1]FEB 2026'!$A$3:$X$312,24,0),0)</f>
        <v>0</v>
      </c>
      <c r="AX612" s="38">
        <f>Table43[[#This Row],[Harga Jual Pcs MT
(-PPN)]]*Table43[[#This Row],[ISI/CTN]]</f>
        <v>0</v>
      </c>
      <c r="AY612" s="38">
        <f>Table43[[#This Row],[Harga Jual Pcs MT
(-PPN)]]*1.11</f>
        <v>0</v>
      </c>
      <c r="AZ612" s="38">
        <f>Table43[[#This Row],[Harga Jual Pcs MT
(+PPN)]]*Table43[[#This Row],[ISI/CTN]]</f>
        <v>0</v>
      </c>
      <c r="BA612" s="46">
        <f>(Table43[[#This Row],[Harga Jual Pcs GT
(-PPN)]]-Table43[[#This Row],[Harga Beli Pcs
(-PPN)]])/Table43[[#This Row],[Harga Jual Pcs GT
(-PPN)]]</f>
        <v>6.5000000000000002E-2</v>
      </c>
      <c r="BB612" s="53">
        <f>Table43[[#This Row],[Harga Jual Pcs MT
(-PPN)]]-Table43[[#This Row],[Harga Beli Pcs
(-PPN)]]</f>
        <v>-26460.5</v>
      </c>
      <c r="BC612" s="54" t="e">
        <f>Table43[[#This Row],[Column1]]/Table43[[#This Row],[Harga Jual Pcs MT
(-PPN)]]</f>
        <v>#DIV/0!</v>
      </c>
      <c r="BD612" s="52"/>
      <c r="BE612" s="7"/>
      <c r="BF612" s="7" t="str">
        <f ca="1">IF(TODAY()-Table43[[#This Row],[Efektif
Pembuatan]]&gt;60,"Lama","Baru")</f>
        <v>Lama</v>
      </c>
      <c r="BG612" s="7" t="str">
        <f ca="1">IF(TODAY()-Table43[[#This Row],[Efektif Naik Harga]]&lt;30,"Naik","Sama")</f>
        <v>Sama</v>
      </c>
      <c r="BH612" s="7"/>
      <c r="BI612" s="7" t="str">
        <f>IF(Table43[[#This Row],[Kode BARANG Win2]]&lt;&gt;"","IDR","")</f>
        <v>IDR</v>
      </c>
      <c r="BJ612" s="7" t="str">
        <f>CONCATENATE(Table43[[#This Row],[kode  1 Digit
(Nomor)]],Table43[[#This Row],[kode  4 Digit                (Nomor)]])</f>
        <v>0160</v>
      </c>
      <c r="BK612" s="7" t="str">
        <f>Table43[[#This Row],[Nama            Gramasi atau Jumlah Pack per CTN]]</f>
        <v>160ML</v>
      </c>
      <c r="BL612" s="7"/>
      <c r="BM612" s="7"/>
      <c r="BN612" s="4" t="str">
        <f>IF(Table43[[#This Row],[SATUAN Fix Win]]&lt;&gt;"","KRT")</f>
        <v>KRT</v>
      </c>
      <c r="BO612" s="4" t="str">
        <f>IF(Table43[[#This Row],[SATUAN Fix Win]]&lt;&gt;"","GD01")</f>
        <v>GD01</v>
      </c>
      <c r="BP612" s="4">
        <f>IF(Table43[[#This Row],[SATUAN Fix Win]]&lt;&gt;"",11611)</f>
        <v>11611</v>
      </c>
      <c r="BQ612" s="4">
        <f>IF(Table43[[#This Row],[SATUAN Fix Win]]&lt;&gt;"",11612)</f>
        <v>11612</v>
      </c>
      <c r="BS612" s="4">
        <f>IF(Table43[[#This Row],[SATUAN Fix Win]]&lt;&gt;"",1)</f>
        <v>1</v>
      </c>
      <c r="BU612" s="4">
        <f>Table43[[#This Row],[ISI/CTN]]</f>
        <v>12</v>
      </c>
    </row>
    <row r="613" spans="1:75">
      <c r="A613" s="4" t="str">
        <f>CONCATENATE(Table43[[#This Row],[Kode BARANG Win2]],Table43[[#This Row],[No. Urut
Item Sama]])</f>
        <v>G1270113016010</v>
      </c>
      <c r="B613" s="7"/>
      <c r="C613" s="31">
        <v>30683040060010</v>
      </c>
      <c r="D613" s="51">
        <v>40043519</v>
      </c>
      <c r="E613" s="27" t="s">
        <v>2162</v>
      </c>
      <c r="F613" s="51">
        <v>30603090225010</v>
      </c>
      <c r="G613" s="51">
        <v>0</v>
      </c>
      <c r="H613" s="27" t="s">
        <v>1506</v>
      </c>
      <c r="I613" s="27">
        <v>12</v>
      </c>
      <c r="J613" s="51" t="s">
        <v>1829</v>
      </c>
      <c r="K613" s="27" t="str">
        <f>Table43[[#This Row],[NamaJenisKemasan]]</f>
        <v>KLG</v>
      </c>
      <c r="L613" s="4" t="str">
        <f>TRIM(CONCATENATE(Table43[[#This Row],[Nama            KLP]]," ",Table43[[#This Row],[Nama            Sub KLP]]))</f>
        <v>STELLA MATIC</v>
      </c>
      <c r="M613" s="4" t="str">
        <f>CONCATENATE(Table43[[#This Row],[kode  2 Digit                (hrf+No)]],Table43[[#This Row],[kode  2 Digit                (Nomor)]],Table43[[#This Row],[kode  1 Digit                (Nomor)]])</f>
        <v>G1270</v>
      </c>
      <c r="N613" s="4" t="str">
        <f>IF(AI613="",CONCATENATE(S613,U613,W613,Y613,AA613,AC613,AE613,AG613,Table43[[#This Row],[Tanda Kode Revisi]]),CONCATENATE(S613,U613,W613,Y613,AA613,AC613,AE613,AI613))</f>
        <v>G1270113016010</v>
      </c>
      <c r="O613" s="11">
        <f t="shared" si="18"/>
        <v>14</v>
      </c>
      <c r="P613" s="14" t="str">
        <f>IF(AH613&lt;&gt;"",TRIM(UPPER(CONCATENATE(R613," ",T613," ",V613," ",X613," ",Z613," ",AB613," ","X"," ",Table43[[#This Row],[ISI/CTN]]," ",AH613," ",AD613," ",AF613," ",AJ613))),TRIM(UPPER(CONCATENATE(R613," ",T613," ",V613," ",X613," ",Z613," ",AB613," ","X"," ",Table43[[#This Row],[ISI/CTN]]," ",AD613," ",AF613," ",AJ613))))</f>
        <v>STELLA MATIC REFILL WILD FLOWER 160ML X 12 KLG</v>
      </c>
      <c r="Q613" s="11">
        <f t="shared" si="19"/>
        <v>46</v>
      </c>
      <c r="S613" s="7" t="s">
        <v>34</v>
      </c>
      <c r="T613" s="4" t="s">
        <v>2359</v>
      </c>
      <c r="U613" s="47" t="s">
        <v>2586</v>
      </c>
      <c r="V613" s="48"/>
      <c r="W613" s="7">
        <v>0</v>
      </c>
      <c r="X613" s="48" t="s">
        <v>2231</v>
      </c>
      <c r="Y613" s="47" t="s">
        <v>2539</v>
      </c>
      <c r="Z613" s="4" t="s">
        <v>2446</v>
      </c>
      <c r="AA613" s="49" t="s">
        <v>2559</v>
      </c>
      <c r="AB613" s="4" t="s">
        <v>2377</v>
      </c>
      <c r="AC613" s="49" t="s">
        <v>2601</v>
      </c>
      <c r="AD613" s="4" t="s">
        <v>2221</v>
      </c>
      <c r="AE613" s="7">
        <v>1</v>
      </c>
      <c r="AG613" s="7">
        <v>0</v>
      </c>
      <c r="AK613" s="70">
        <f>Table43[[#This Row],[Column4]]</f>
        <v>30603090225010</v>
      </c>
      <c r="AN613" s="7">
        <f>Table43[[#This Row],[ISI/CTN]]</f>
        <v>12</v>
      </c>
      <c r="AO613" s="38">
        <f>Table43[[#This Row],[Harga Jual Pcs GT
(-PPN)]]-(Table43[[#This Row],[Harga Jual Pcs GT
(-PPN)]]*6.5%)</f>
        <v>26460.5</v>
      </c>
      <c r="AP613" s="38">
        <f>Table43[[#This Row],[Harga Beli Pcs
(-PPN)]]*Table43[[#This Row],[ISI/CTN]]</f>
        <v>317526</v>
      </c>
      <c r="AQ613" s="38">
        <f>Table43[[#This Row],[Harga Beli Pcs
(-PPN)]]*1.11</f>
        <v>29371.155000000002</v>
      </c>
      <c r="AR613" s="38">
        <f>Table43[[#This Row],[Harga Beli Krt
(- PPN)]]*1.11</f>
        <v>352453.86000000004</v>
      </c>
      <c r="AS613" s="38">
        <v>28300</v>
      </c>
      <c r="AT613" s="38">
        <f>Table43[[#This Row],[Harga Jual Pcs GT
(-PPN)]]*Table43[[#This Row],[ISI/CTN]]</f>
        <v>339600</v>
      </c>
      <c r="AU613" s="38">
        <f>Table43[[#This Row],[Harga Jual Pcs GT
(-PPN)]]*1.11</f>
        <v>31413.000000000004</v>
      </c>
      <c r="AV613" s="38">
        <f>Table43[[#This Row],[Harga Jual Krt GT
(- PPN)]]*1.11</f>
        <v>376956.00000000006</v>
      </c>
      <c r="AW613" s="38">
        <f>IFERROR(VLOOKUP(Table43[[#This Row],[Kode Pcpl]],'[1]FEB 2026'!$A$3:$X$312,24,0),0)</f>
        <v>0</v>
      </c>
      <c r="AX613" s="38">
        <f>Table43[[#This Row],[Harga Jual Pcs MT
(-PPN)]]*Table43[[#This Row],[ISI/CTN]]</f>
        <v>0</v>
      </c>
      <c r="AY613" s="38">
        <f>Table43[[#This Row],[Harga Jual Pcs MT
(-PPN)]]*1.11</f>
        <v>0</v>
      </c>
      <c r="AZ613" s="38">
        <f>Table43[[#This Row],[Harga Jual Pcs MT
(+PPN)]]*Table43[[#This Row],[ISI/CTN]]</f>
        <v>0</v>
      </c>
      <c r="BA613" s="46">
        <f>(Table43[[#This Row],[Harga Jual Pcs GT
(-PPN)]]-Table43[[#This Row],[Harga Beli Pcs
(-PPN)]])/Table43[[#This Row],[Harga Jual Pcs GT
(-PPN)]]</f>
        <v>6.5000000000000002E-2</v>
      </c>
      <c r="BB613" s="53">
        <f>Table43[[#This Row],[Harga Jual Pcs MT
(-PPN)]]-Table43[[#This Row],[Harga Beli Pcs
(-PPN)]]</f>
        <v>-26460.5</v>
      </c>
      <c r="BC613" s="54" t="e">
        <f>Table43[[#This Row],[Column1]]/Table43[[#This Row],[Harga Jual Pcs MT
(-PPN)]]</f>
        <v>#DIV/0!</v>
      </c>
      <c r="BD613" s="52"/>
      <c r="BE613" s="7"/>
      <c r="BF613" s="7" t="str">
        <f ca="1">IF(TODAY()-Table43[[#This Row],[Efektif
Pembuatan]]&gt;60,"Lama","Baru")</f>
        <v>Lama</v>
      </c>
      <c r="BG613" s="7" t="str">
        <f ca="1">IF(TODAY()-Table43[[#This Row],[Efektif Naik Harga]]&lt;30,"Naik","Sama")</f>
        <v>Sama</v>
      </c>
      <c r="BH613" s="7"/>
      <c r="BI613" s="7" t="str">
        <f>IF(Table43[[#This Row],[Kode BARANG Win2]]&lt;&gt;"","IDR","")</f>
        <v>IDR</v>
      </c>
      <c r="BJ613" s="7" t="str">
        <f>CONCATENATE(Table43[[#This Row],[kode  1 Digit
(Nomor)]],Table43[[#This Row],[kode  4 Digit                (Nomor)]])</f>
        <v>0160</v>
      </c>
      <c r="BK613" s="7" t="str">
        <f>Table43[[#This Row],[Nama            Gramasi atau Jumlah Pack per CTN]]</f>
        <v>160ML</v>
      </c>
      <c r="BL613" s="7"/>
      <c r="BM613" s="7"/>
      <c r="BN613" s="4" t="str">
        <f>IF(Table43[[#This Row],[SATUAN Fix Win]]&lt;&gt;"","KRT")</f>
        <v>KRT</v>
      </c>
      <c r="BO613" s="4" t="str">
        <f>IF(Table43[[#This Row],[SATUAN Fix Win]]&lt;&gt;"","GD01")</f>
        <v>GD01</v>
      </c>
      <c r="BP613" s="4">
        <f>IF(Table43[[#This Row],[SATUAN Fix Win]]&lt;&gt;"",11611)</f>
        <v>11611</v>
      </c>
      <c r="BQ613" s="4">
        <f>IF(Table43[[#This Row],[SATUAN Fix Win]]&lt;&gt;"",11612)</f>
        <v>11612</v>
      </c>
      <c r="BS613" s="4">
        <f>IF(Table43[[#This Row],[SATUAN Fix Win]]&lt;&gt;"",1)</f>
        <v>1</v>
      </c>
      <c r="BU613" s="4">
        <f>Table43[[#This Row],[ISI/CTN]]</f>
        <v>12</v>
      </c>
    </row>
    <row r="614" spans="1:75">
      <c r="A614" s="4" t="str">
        <f>CONCATENATE(Table43[[#This Row],[Kode BARANG Win2]],Table43[[#This Row],[No. Urut
Item Sama]])</f>
        <v>G1270201016010</v>
      </c>
      <c r="B614" s="7"/>
      <c r="C614" s="31">
        <v>30611010225010</v>
      </c>
      <c r="D614" s="51">
        <v>40059952</v>
      </c>
      <c r="E614" s="27" t="s">
        <v>2161</v>
      </c>
      <c r="F614" s="51">
        <v>30603070225011</v>
      </c>
      <c r="G614" s="51">
        <v>0</v>
      </c>
      <c r="H614" s="27" t="s">
        <v>1505</v>
      </c>
      <c r="I614" s="27">
        <v>6</v>
      </c>
      <c r="J614" s="51" t="s">
        <v>1828</v>
      </c>
      <c r="K614" s="27" t="str">
        <f>Table43[[#This Row],[NamaJenisKemasan]]</f>
        <v>KLG</v>
      </c>
      <c r="L614" s="4" t="str">
        <f>TRIM(CONCATENATE(Table43[[#This Row],[Nama            KLP]]," ",Table43[[#This Row],[Nama            Sub KLP]]))</f>
        <v>STELLA MATIC</v>
      </c>
      <c r="M614" s="4" t="str">
        <f>CONCATENATE(Table43[[#This Row],[kode  2 Digit                (hrf+No)]],Table43[[#This Row],[kode  2 Digit                (Nomor)]],Table43[[#This Row],[kode  1 Digit                (Nomor)]])</f>
        <v>G1270</v>
      </c>
      <c r="N614" s="4" t="str">
        <f>IF(AI614="",CONCATENATE(S614,U614,W614,Y614,AA614,AC614,AE614,AG614,Table43[[#This Row],[Tanda Kode Revisi]]),CONCATENATE(S614,U614,W614,Y614,AA614,AC614,AE614,AI614))</f>
        <v>G1270201016010</v>
      </c>
      <c r="O614" s="11">
        <f t="shared" si="18"/>
        <v>14</v>
      </c>
      <c r="P614" s="14" t="str">
        <f>IF(AH614&lt;&gt;"",TRIM(UPPER(CONCATENATE(R614," ",T614," ",V614," ",X614," ",Z614," ",AB614," ","X"," ",Table43[[#This Row],[ISI/CTN]]," ",AH614," ",AD614," ",AF614," ",AJ614))),TRIM(UPPER(CONCATENATE(R614," ",T614," ",V614," ",X614," ",Z614," ",AB614," ","X"," ",Table43[[#This Row],[ISI/CTN]]," ",AD614," ",AF614," ",AJ614))))</f>
        <v>STELLA MATIC REFILL MULTI PACK APPLE 160ML X 6 KLG</v>
      </c>
      <c r="Q614" s="11">
        <f t="shared" si="19"/>
        <v>50</v>
      </c>
      <c r="S614" s="7" t="s">
        <v>34</v>
      </c>
      <c r="T614" s="4" t="s">
        <v>2359</v>
      </c>
      <c r="U614" s="47" t="s">
        <v>2586</v>
      </c>
      <c r="V614" s="48"/>
      <c r="W614" s="7">
        <v>0</v>
      </c>
      <c r="X614" s="48" t="s">
        <v>2455</v>
      </c>
      <c r="Y614" s="47" t="s">
        <v>2572</v>
      </c>
      <c r="Z614" s="4" t="s">
        <v>2264</v>
      </c>
      <c r="AA614" s="49" t="s">
        <v>1115</v>
      </c>
      <c r="AB614" s="4" t="s">
        <v>2377</v>
      </c>
      <c r="AC614" s="49" t="s">
        <v>2601</v>
      </c>
      <c r="AD614" s="4" t="s">
        <v>2221</v>
      </c>
      <c r="AE614" s="7">
        <v>1</v>
      </c>
      <c r="AG614" s="7">
        <v>0</v>
      </c>
      <c r="AK614" s="70">
        <f>Table43[[#This Row],[Column4]]</f>
        <v>30603070225011</v>
      </c>
      <c r="AN614" s="7">
        <f>Table43[[#This Row],[ISI/CTN]]</f>
        <v>6</v>
      </c>
      <c r="AO614" s="61">
        <f>Table43[[#This Row],[Harga Jual Pcs GT
(-PPN)]]-(Table43[[#This Row],[Harga Jual Pcs GT
(-PPN)]]*6.5%)</f>
        <v>50022.5</v>
      </c>
      <c r="AP614" s="61">
        <f>Table43[[#This Row],[Harga Beli Pcs
(-PPN)]]*Table43[[#This Row],[ISI/CTN]]</f>
        <v>300135</v>
      </c>
      <c r="AQ614" s="61">
        <f>Table43[[#This Row],[Harga Beli Pcs
(-PPN)]]*1.11</f>
        <v>55524.975000000006</v>
      </c>
      <c r="AR614" s="61">
        <f>Table43[[#This Row],[Harga Beli Krt
(- PPN)]]*1.11</f>
        <v>333149.85000000003</v>
      </c>
      <c r="AS614" s="61">
        <v>53500</v>
      </c>
      <c r="AT614" s="61">
        <f>Table43[[#This Row],[Harga Jual Pcs GT
(-PPN)]]*Table43[[#This Row],[ISI/CTN]]</f>
        <v>321000</v>
      </c>
      <c r="AU614" s="61">
        <f>Table43[[#This Row],[Harga Jual Pcs GT
(-PPN)]]*1.11</f>
        <v>59385.000000000007</v>
      </c>
      <c r="AV614" s="61">
        <f>Table43[[#This Row],[Harga Jual Krt GT
(- PPN)]]*1.11</f>
        <v>356310.00000000006</v>
      </c>
      <c r="AW614" s="61">
        <f>IFERROR(VLOOKUP(Table43[[#This Row],[Kode Pcpl]],'[1]FEB 2026'!$A$3:$X$312,24,0),0)</f>
        <v>0</v>
      </c>
      <c r="AX614" s="61">
        <f>Table43[[#This Row],[Harga Jual Pcs MT
(-PPN)]]*Table43[[#This Row],[ISI/CTN]]</f>
        <v>0</v>
      </c>
      <c r="AY614" s="61">
        <f>Table43[[#This Row],[Harga Jual Pcs MT
(-PPN)]]*1.11</f>
        <v>0</v>
      </c>
      <c r="AZ614" s="61">
        <f>Table43[[#This Row],[Harga Jual Pcs MT
(+PPN)]]*Table43[[#This Row],[ISI/CTN]]</f>
        <v>0</v>
      </c>
      <c r="BA614" s="62">
        <f>(Table43[[#This Row],[Harga Jual Pcs GT
(-PPN)]]-Table43[[#This Row],[Harga Beli Pcs
(-PPN)]])/Table43[[#This Row],[Harga Jual Pcs GT
(-PPN)]]</f>
        <v>6.5000000000000002E-2</v>
      </c>
      <c r="BB614" s="63">
        <f>Table43[[#This Row],[Harga Jual Pcs MT
(-PPN)]]-Table43[[#This Row],[Harga Beli Pcs
(-PPN)]]</f>
        <v>-50022.5</v>
      </c>
      <c r="BC614" s="64" t="e">
        <f>Table43[[#This Row],[Column1]]/Table43[[#This Row],[Harga Jual Pcs MT
(-PPN)]]</f>
        <v>#DIV/0!</v>
      </c>
      <c r="BD614" s="52"/>
      <c r="BE614" s="7"/>
      <c r="BF614" s="7" t="str">
        <f ca="1">IF(TODAY()-Table43[[#This Row],[Efektif
Pembuatan]]&gt;60,"Lama","Baru")</f>
        <v>Lama</v>
      </c>
      <c r="BG614" s="7" t="str">
        <f ca="1">IF(TODAY()-Table43[[#This Row],[Efektif Naik Harga]]&lt;30,"Naik","Sama")</f>
        <v>Sama</v>
      </c>
      <c r="BH614" s="7"/>
      <c r="BI614" s="7" t="str">
        <f>IF(Table43[[#This Row],[Kode BARANG Win2]]&lt;&gt;"","IDR","")</f>
        <v>IDR</v>
      </c>
      <c r="BJ614" s="7" t="str">
        <f>CONCATENATE(Table43[[#This Row],[kode  1 Digit
(Nomor)]],Table43[[#This Row],[kode  4 Digit                (Nomor)]])</f>
        <v>0160</v>
      </c>
      <c r="BK614" s="7" t="str">
        <f>Table43[[#This Row],[Nama            Gramasi atau Jumlah Pack per CTN]]</f>
        <v>160ML</v>
      </c>
      <c r="BL614" s="7"/>
      <c r="BM614" s="7"/>
      <c r="BN614" s="4" t="str">
        <f>IF(Table43[[#This Row],[SATUAN Fix Win]]&lt;&gt;"","KRT")</f>
        <v>KRT</v>
      </c>
      <c r="BO614" s="4" t="str">
        <f>IF(Table43[[#This Row],[SATUAN Fix Win]]&lt;&gt;"","GD01")</f>
        <v>GD01</v>
      </c>
      <c r="BP614" s="4">
        <f>IF(Table43[[#This Row],[SATUAN Fix Win]]&lt;&gt;"",11611)</f>
        <v>11611</v>
      </c>
      <c r="BQ614" s="4">
        <f>IF(Table43[[#This Row],[SATUAN Fix Win]]&lt;&gt;"",11612)</f>
        <v>11612</v>
      </c>
      <c r="BS614" s="4">
        <f>IF(Table43[[#This Row],[SATUAN Fix Win]]&lt;&gt;"",1)</f>
        <v>1</v>
      </c>
      <c r="BU614" s="4">
        <f>Table43[[#This Row],[ISI/CTN]]</f>
        <v>6</v>
      </c>
    </row>
    <row r="615" spans="1:75">
      <c r="A615" s="4" t="str">
        <f>CONCATENATE(Table43[[#This Row],[Kode BARANG Win2]],Table43[[#This Row],[No. Urut
Item Sama]])</f>
        <v>G1270201016010</v>
      </c>
      <c r="B615" s="7"/>
      <c r="C615" s="31">
        <v>30611010225011</v>
      </c>
      <c r="D615" s="51">
        <v>40050047</v>
      </c>
      <c r="E615" s="27" t="s">
        <v>2161</v>
      </c>
      <c r="F615" s="51">
        <v>30603070225011</v>
      </c>
      <c r="G615" s="51">
        <v>0</v>
      </c>
      <c r="H615" s="27" t="s">
        <v>1504</v>
      </c>
      <c r="I615" s="27">
        <v>6</v>
      </c>
      <c r="J615" s="51" t="s">
        <v>1828</v>
      </c>
      <c r="K615" s="27" t="str">
        <f>Table43[[#This Row],[NamaJenisKemasan]]</f>
        <v>KLG</v>
      </c>
      <c r="L615" s="4" t="str">
        <f>TRIM(CONCATENATE(Table43[[#This Row],[Nama            KLP]]," ",Table43[[#This Row],[Nama            Sub KLP]]))</f>
        <v>STELLA MATIC</v>
      </c>
      <c r="M615" s="4" t="str">
        <f>CONCATENATE(Table43[[#This Row],[kode  2 Digit                (hrf+No)]],Table43[[#This Row],[kode  2 Digit                (Nomor)]],Table43[[#This Row],[kode  1 Digit                (Nomor)]])</f>
        <v>G1270</v>
      </c>
      <c r="N615" s="4" t="str">
        <f>IF(AI615="",CONCATENATE(S615,U615,W615,Y615,AA615,AC615,AE615,AG615,Table43[[#This Row],[Tanda Kode Revisi]]),CONCATENATE(S615,U615,W615,Y615,AA615,AC615,AE615,AI615))</f>
        <v>G1270201016010</v>
      </c>
      <c r="O615" s="11">
        <f t="shared" si="18"/>
        <v>14</v>
      </c>
      <c r="P615" s="14" t="str">
        <f>IF(AH615&lt;&gt;"",TRIM(UPPER(CONCATENATE(R615," ",T615," ",V615," ",X615," ",Z615," ",AB615," ","X"," ",Table43[[#This Row],[ISI/CTN]]," ",AH615," ",AD615," ",AF615," ",AJ615))),TRIM(UPPER(CONCATENATE(R615," ",T615," ",V615," ",X615," ",Z615," ",AB615," ","X"," ",Table43[[#This Row],[ISI/CTN]]," ",AD615," ",AF615," ",AJ615))))</f>
        <v>STELLA MATIC REFILL MULTI PACK APPLE 160ML X 6 KLG</v>
      </c>
      <c r="Q615" s="11">
        <f t="shared" si="19"/>
        <v>50</v>
      </c>
      <c r="S615" s="7" t="s">
        <v>34</v>
      </c>
      <c r="T615" s="4" t="s">
        <v>2359</v>
      </c>
      <c r="U615" s="47" t="s">
        <v>2586</v>
      </c>
      <c r="V615" s="48"/>
      <c r="W615" s="7">
        <v>0</v>
      </c>
      <c r="X615" s="48" t="s">
        <v>2455</v>
      </c>
      <c r="Y615" s="47" t="s">
        <v>2572</v>
      </c>
      <c r="Z615" s="4" t="s">
        <v>2264</v>
      </c>
      <c r="AA615" s="49" t="s">
        <v>1115</v>
      </c>
      <c r="AB615" s="4" t="s">
        <v>2377</v>
      </c>
      <c r="AC615" s="49" t="s">
        <v>2601</v>
      </c>
      <c r="AD615" s="4" t="s">
        <v>2221</v>
      </c>
      <c r="AE615" s="7">
        <v>1</v>
      </c>
      <c r="AG615" s="7">
        <v>0</v>
      </c>
      <c r="AK615" s="70">
        <f>Table43[[#This Row],[Column4]]</f>
        <v>30603070225011</v>
      </c>
      <c r="AN615" s="7">
        <f>Table43[[#This Row],[ISI/CTN]]</f>
        <v>6</v>
      </c>
      <c r="AO615" s="38">
        <f>Table43[[#This Row],[Harga Jual Pcs GT
(-PPN)]]-(Table43[[#This Row],[Harga Jual Pcs GT
(-PPN)]]*6.5%)</f>
        <v>50022.5</v>
      </c>
      <c r="AP615" s="38">
        <f>Table43[[#This Row],[Harga Beli Pcs
(-PPN)]]*Table43[[#This Row],[ISI/CTN]]</f>
        <v>300135</v>
      </c>
      <c r="AQ615" s="38">
        <f>Table43[[#This Row],[Harga Beli Pcs
(-PPN)]]*1.11</f>
        <v>55524.975000000006</v>
      </c>
      <c r="AR615" s="38">
        <f>Table43[[#This Row],[Harga Beli Krt
(- PPN)]]*1.11</f>
        <v>333149.85000000003</v>
      </c>
      <c r="AS615" s="38">
        <v>53500</v>
      </c>
      <c r="AT615" s="38">
        <f>Table43[[#This Row],[Harga Jual Pcs GT
(-PPN)]]*Table43[[#This Row],[ISI/CTN]]</f>
        <v>321000</v>
      </c>
      <c r="AU615" s="38">
        <f>Table43[[#This Row],[Harga Jual Pcs GT
(-PPN)]]*1.11</f>
        <v>59385.000000000007</v>
      </c>
      <c r="AV615" s="38">
        <f>Table43[[#This Row],[Harga Jual Krt GT
(- PPN)]]*1.11</f>
        <v>356310.00000000006</v>
      </c>
      <c r="AW615" s="38">
        <f>IFERROR(VLOOKUP(Table43[[#This Row],[Kode Pcpl]],'[1]FEB 2026'!$A$3:$X$312,24,0),0)</f>
        <v>0</v>
      </c>
      <c r="AX615" s="38">
        <f>Table43[[#This Row],[Harga Jual Pcs MT
(-PPN)]]*Table43[[#This Row],[ISI/CTN]]</f>
        <v>0</v>
      </c>
      <c r="AY615" s="38">
        <f>Table43[[#This Row],[Harga Jual Pcs MT
(-PPN)]]*1.11</f>
        <v>0</v>
      </c>
      <c r="AZ615" s="38">
        <f>Table43[[#This Row],[Harga Jual Pcs MT
(+PPN)]]*Table43[[#This Row],[ISI/CTN]]</f>
        <v>0</v>
      </c>
      <c r="BA615" s="46">
        <f>(Table43[[#This Row],[Harga Jual Pcs GT
(-PPN)]]-Table43[[#This Row],[Harga Beli Pcs
(-PPN)]])/Table43[[#This Row],[Harga Jual Pcs GT
(-PPN)]]</f>
        <v>6.5000000000000002E-2</v>
      </c>
      <c r="BB615" s="53">
        <f>Table43[[#This Row],[Harga Jual Pcs MT
(-PPN)]]-Table43[[#This Row],[Harga Beli Pcs
(-PPN)]]</f>
        <v>-50022.5</v>
      </c>
      <c r="BC615" s="54" t="e">
        <f>Table43[[#This Row],[Column1]]/Table43[[#This Row],[Harga Jual Pcs MT
(-PPN)]]</f>
        <v>#DIV/0!</v>
      </c>
      <c r="BD615" s="52"/>
      <c r="BE615" s="7"/>
      <c r="BF615" s="7" t="str">
        <f ca="1">IF(TODAY()-Table43[[#This Row],[Efektif
Pembuatan]]&gt;60,"Lama","Baru")</f>
        <v>Lama</v>
      </c>
      <c r="BG615" s="7" t="str">
        <f ca="1">IF(TODAY()-Table43[[#This Row],[Efektif Naik Harga]]&lt;30,"Naik","Sama")</f>
        <v>Sama</v>
      </c>
      <c r="BH615" s="7"/>
      <c r="BI615" s="7" t="str">
        <f>IF(Table43[[#This Row],[Kode BARANG Win2]]&lt;&gt;"","IDR","")</f>
        <v>IDR</v>
      </c>
      <c r="BJ615" s="7" t="str">
        <f>CONCATENATE(Table43[[#This Row],[kode  1 Digit
(Nomor)]],Table43[[#This Row],[kode  4 Digit                (Nomor)]])</f>
        <v>0160</v>
      </c>
      <c r="BK615" s="7" t="str">
        <f>Table43[[#This Row],[Nama            Gramasi atau Jumlah Pack per CTN]]</f>
        <v>160ML</v>
      </c>
      <c r="BL615" s="7"/>
      <c r="BM615" s="7"/>
      <c r="BN615" s="4" t="str">
        <f>IF(Table43[[#This Row],[SATUAN Fix Win]]&lt;&gt;"","KRT")</f>
        <v>KRT</v>
      </c>
      <c r="BO615" s="4" t="str">
        <f>IF(Table43[[#This Row],[SATUAN Fix Win]]&lt;&gt;"","GD01")</f>
        <v>GD01</v>
      </c>
      <c r="BP615" s="4">
        <f>IF(Table43[[#This Row],[SATUAN Fix Win]]&lt;&gt;"",11611)</f>
        <v>11611</v>
      </c>
      <c r="BQ615" s="4">
        <f>IF(Table43[[#This Row],[SATUAN Fix Win]]&lt;&gt;"",11612)</f>
        <v>11612</v>
      </c>
      <c r="BS615" s="4">
        <f>IF(Table43[[#This Row],[SATUAN Fix Win]]&lt;&gt;"",1)</f>
        <v>1</v>
      </c>
      <c r="BU615" s="4">
        <f>Table43[[#This Row],[ISI/CTN]]</f>
        <v>6</v>
      </c>
    </row>
    <row r="616" spans="1:75">
      <c r="A616" s="4" t="str">
        <f>CONCATENATE(Table43[[#This Row],[Kode BARANG Win2]],Table43[[#This Row],[No. Urut
Item Sama]])</f>
        <v>G1270202016010</v>
      </c>
      <c r="B616" s="7"/>
      <c r="C616" s="31">
        <v>30611070225000</v>
      </c>
      <c r="D616" s="51">
        <v>40050051</v>
      </c>
      <c r="E616" s="27" t="s">
        <v>2154</v>
      </c>
      <c r="F616" s="51">
        <v>30603020225011</v>
      </c>
      <c r="G616" s="51">
        <v>30603020225011</v>
      </c>
      <c r="H616" s="27" t="s">
        <v>1489</v>
      </c>
      <c r="I616" s="27">
        <v>6</v>
      </c>
      <c r="J616" s="51" t="s">
        <v>1821</v>
      </c>
      <c r="K616" s="27" t="str">
        <f>Table43[[#This Row],[NamaJenisKemasan]]</f>
        <v>KLG</v>
      </c>
      <c r="L616" s="4" t="str">
        <f>TRIM(CONCATENATE(Table43[[#This Row],[Nama            KLP]]," ",Table43[[#This Row],[Nama            Sub KLP]]))</f>
        <v>STELLA MATIC</v>
      </c>
      <c r="M616" s="4" t="str">
        <f>CONCATENATE(Table43[[#This Row],[kode  2 Digit                (hrf+No)]],Table43[[#This Row],[kode  2 Digit                (Nomor)]],Table43[[#This Row],[kode  1 Digit                (Nomor)]])</f>
        <v>G1270</v>
      </c>
      <c r="N616" s="4" t="str">
        <f>IF(AI616="",CONCATENATE(S616,U616,W616,Y616,AA616,AC616,AE616,AG616,Table43[[#This Row],[Tanda Kode Revisi]]),CONCATENATE(S616,U616,W616,Y616,AA616,AC616,AE616,AI616))</f>
        <v>G1270202016010</v>
      </c>
      <c r="O616" s="11">
        <f t="shared" si="18"/>
        <v>14</v>
      </c>
      <c r="P616" s="14" t="str">
        <f>IF(AH616&lt;&gt;"",TRIM(UPPER(CONCATENATE(R616," ",T616," ",V616," ",X616," ",Z616," ",AB616," ","X"," ",Table43[[#This Row],[ISI/CTN]]," ",AH616," ",AD616," ",AF616," ",AJ616))),TRIM(UPPER(CONCATENATE(R616," ",T616," ",V616," ",X616," ",Z616," ",AB616," ","X"," ",Table43[[#This Row],[ISI/CTN]]," ",AD616," ",AF616," ",AJ616))))</f>
        <v>STELLA MATIC REFILL MULTI PACK CAFFE LATTE 160ML X 6 KLG</v>
      </c>
      <c r="Q616" s="11">
        <f t="shared" si="19"/>
        <v>56</v>
      </c>
      <c r="S616" s="7" t="s">
        <v>34</v>
      </c>
      <c r="T616" s="4" t="s">
        <v>2359</v>
      </c>
      <c r="U616" s="47" t="s">
        <v>2586</v>
      </c>
      <c r="V616" s="48"/>
      <c r="W616" s="7">
        <v>0</v>
      </c>
      <c r="X616" s="48" t="s">
        <v>2455</v>
      </c>
      <c r="Y616" s="47" t="s">
        <v>2572</v>
      </c>
      <c r="Z616" s="4" t="s">
        <v>2419</v>
      </c>
      <c r="AA616" s="49" t="s">
        <v>2459</v>
      </c>
      <c r="AB616" s="4" t="s">
        <v>2377</v>
      </c>
      <c r="AC616" s="49" t="s">
        <v>2601</v>
      </c>
      <c r="AD616" s="4" t="s">
        <v>2221</v>
      </c>
      <c r="AE616" s="7">
        <v>1</v>
      </c>
      <c r="AG616" s="7">
        <v>0</v>
      </c>
      <c r="AK616" s="70">
        <f>Table43[[#This Row],[Column4]]</f>
        <v>30603020225011</v>
      </c>
      <c r="AN616" s="7">
        <f>Table43[[#This Row],[ISI/CTN]]</f>
        <v>6</v>
      </c>
      <c r="AO616" s="38">
        <f>Table43[[#This Row],[Harga Jual Pcs GT
(-PPN)]]-(Table43[[#This Row],[Harga Jual Pcs GT
(-PPN)]]*6.5%)</f>
        <v>50022.5</v>
      </c>
      <c r="AP616" s="38">
        <f>Table43[[#This Row],[Harga Beli Pcs
(-PPN)]]*Table43[[#This Row],[ISI/CTN]]</f>
        <v>300135</v>
      </c>
      <c r="AQ616" s="38">
        <f>Table43[[#This Row],[Harga Beli Pcs
(-PPN)]]*1.11</f>
        <v>55524.975000000006</v>
      </c>
      <c r="AR616" s="38">
        <f>Table43[[#This Row],[Harga Beli Krt
(- PPN)]]*1.11</f>
        <v>333149.85000000003</v>
      </c>
      <c r="AS616" s="38">
        <v>53500</v>
      </c>
      <c r="AT616" s="38">
        <f>Table43[[#This Row],[Harga Jual Pcs GT
(-PPN)]]*Table43[[#This Row],[ISI/CTN]]</f>
        <v>321000</v>
      </c>
      <c r="AU616" s="38">
        <f>Table43[[#This Row],[Harga Jual Pcs GT
(-PPN)]]*1.11</f>
        <v>59385.000000000007</v>
      </c>
      <c r="AV616" s="38">
        <f>Table43[[#This Row],[Harga Jual Krt GT
(- PPN)]]*1.11</f>
        <v>356310.00000000006</v>
      </c>
      <c r="AW616" s="38">
        <f>IFERROR(VLOOKUP(Table43[[#This Row],[Kode Pcpl]],'[1]FEB 2026'!$A$3:$X$312,24,0),0)</f>
        <v>0</v>
      </c>
      <c r="AX616" s="38">
        <f>Table43[[#This Row],[Harga Jual Pcs MT
(-PPN)]]*Table43[[#This Row],[ISI/CTN]]</f>
        <v>0</v>
      </c>
      <c r="AY616" s="38">
        <f>Table43[[#This Row],[Harga Jual Pcs MT
(-PPN)]]*1.11</f>
        <v>0</v>
      </c>
      <c r="AZ616" s="38">
        <f>Table43[[#This Row],[Harga Jual Pcs MT
(+PPN)]]*Table43[[#This Row],[ISI/CTN]]</f>
        <v>0</v>
      </c>
      <c r="BA616" s="46">
        <f>(Table43[[#This Row],[Harga Jual Pcs GT
(-PPN)]]-Table43[[#This Row],[Harga Beli Pcs
(-PPN)]])/Table43[[#This Row],[Harga Jual Pcs GT
(-PPN)]]</f>
        <v>6.5000000000000002E-2</v>
      </c>
      <c r="BB616" s="53">
        <f>Table43[[#This Row],[Harga Jual Pcs MT
(-PPN)]]-Table43[[#This Row],[Harga Beli Pcs
(-PPN)]]</f>
        <v>-50022.5</v>
      </c>
      <c r="BC616" s="54" t="e">
        <f>Table43[[#This Row],[Column1]]/Table43[[#This Row],[Harga Jual Pcs MT
(-PPN)]]</f>
        <v>#DIV/0!</v>
      </c>
      <c r="BD616" s="52"/>
      <c r="BE616" s="7"/>
      <c r="BF616" s="7" t="str">
        <f ca="1">IF(TODAY()-Table43[[#This Row],[Efektif
Pembuatan]]&gt;60,"Lama","Baru")</f>
        <v>Lama</v>
      </c>
      <c r="BG616" s="7" t="str">
        <f ca="1">IF(TODAY()-Table43[[#This Row],[Efektif Naik Harga]]&lt;30,"Naik","Sama")</f>
        <v>Sama</v>
      </c>
      <c r="BH616" s="7"/>
      <c r="BI616" s="7" t="str">
        <f>IF(Table43[[#This Row],[Kode BARANG Win2]]&lt;&gt;"","IDR","")</f>
        <v>IDR</v>
      </c>
      <c r="BJ616" s="7" t="str">
        <f>CONCATENATE(Table43[[#This Row],[kode  1 Digit
(Nomor)]],Table43[[#This Row],[kode  4 Digit                (Nomor)]])</f>
        <v>0160</v>
      </c>
      <c r="BK616" s="7" t="str">
        <f>Table43[[#This Row],[Nama            Gramasi atau Jumlah Pack per CTN]]</f>
        <v>160ML</v>
      </c>
      <c r="BL616" s="7"/>
      <c r="BM616" s="7"/>
      <c r="BN616" s="4" t="str">
        <f>IF(Table43[[#This Row],[SATUAN Fix Win]]&lt;&gt;"","KRT")</f>
        <v>KRT</v>
      </c>
      <c r="BO616" s="4" t="str">
        <f>IF(Table43[[#This Row],[SATUAN Fix Win]]&lt;&gt;"","GD01")</f>
        <v>GD01</v>
      </c>
      <c r="BP616" s="4">
        <f>IF(Table43[[#This Row],[SATUAN Fix Win]]&lt;&gt;"",11611)</f>
        <v>11611</v>
      </c>
      <c r="BQ616" s="4">
        <f>IF(Table43[[#This Row],[SATUAN Fix Win]]&lt;&gt;"",11612)</f>
        <v>11612</v>
      </c>
      <c r="BS616" s="4">
        <f>IF(Table43[[#This Row],[SATUAN Fix Win]]&lt;&gt;"",1)</f>
        <v>1</v>
      </c>
      <c r="BU616" s="4">
        <f>Table43[[#This Row],[ISI/CTN]]</f>
        <v>6</v>
      </c>
    </row>
    <row r="617" spans="1:75">
      <c r="A617" s="4" t="str">
        <f>CONCATENATE(Table43[[#This Row],[Kode BARANG Win2]],Table43[[#This Row],[No. Urut
Item Sama]])</f>
        <v>G1270202016010</v>
      </c>
      <c r="B617" s="7"/>
      <c r="C617" s="31"/>
      <c r="D617" s="51">
        <v>40026844</v>
      </c>
      <c r="E617" s="27"/>
      <c r="F617" s="51"/>
      <c r="G617" s="51"/>
      <c r="H617" s="27"/>
      <c r="I617" s="27">
        <v>6</v>
      </c>
      <c r="J617" s="51" t="s">
        <v>1821</v>
      </c>
      <c r="K617" s="27" t="str">
        <f>Table43[[#This Row],[NamaJenisKemasan]]</f>
        <v>KLG</v>
      </c>
      <c r="L617" s="4" t="str">
        <f>TRIM(CONCATENATE(Table43[[#This Row],[Nama            KLP]]," ",Table43[[#This Row],[Nama            Sub KLP]]))</f>
        <v>STELLA MATIC</v>
      </c>
      <c r="M617" s="4" t="str">
        <f>CONCATENATE(Table43[[#This Row],[kode  2 Digit                (hrf+No)]],Table43[[#This Row],[kode  2 Digit                (Nomor)]],Table43[[#This Row],[kode  1 Digit                (Nomor)]])</f>
        <v>G1270</v>
      </c>
      <c r="N617" s="4" t="str">
        <f>IF(AI617="",CONCATENATE(S617,U617,W617,Y617,AA617,AC617,AE617,AG617,Table43[[#This Row],[Tanda Kode Revisi]]),CONCATENATE(S617,U617,W617,Y617,AA617,AC617,AE617,AI617))</f>
        <v>G1270202016010</v>
      </c>
      <c r="O617" s="11">
        <f>LEN(N617)</f>
        <v>14</v>
      </c>
      <c r="P617" s="14" t="str">
        <f>IF(AH617&lt;&gt;"",TRIM(UPPER(CONCATENATE(R617," ",T617," ",V617," ",X617," ",Z617," ",AB617," ","X"," ",Table43[[#This Row],[ISI/CTN]]," ",AH617," ",AD617," ",AF617," ",AJ617))),TRIM(UPPER(CONCATENATE(R617," ",T617," ",V617," ",X617," ",Z617," ",AB617," ","X"," ",Table43[[#This Row],[ISI/CTN]]," ",AD617," ",AF617," ",AJ617))))</f>
        <v>STELLA MATIC REFILL MULTI PACK CAFFE LATTE 160ML X 6 KLG</v>
      </c>
      <c r="Q617" s="11">
        <f>LEN(P617)</f>
        <v>56</v>
      </c>
      <c r="S617" s="7" t="s">
        <v>34</v>
      </c>
      <c r="T617" s="4" t="s">
        <v>2359</v>
      </c>
      <c r="U617" s="47" t="s">
        <v>2586</v>
      </c>
      <c r="V617" s="48"/>
      <c r="W617" s="7">
        <v>0</v>
      </c>
      <c r="X617" s="48" t="s">
        <v>2455</v>
      </c>
      <c r="Y617" s="47" t="s">
        <v>2572</v>
      </c>
      <c r="Z617" s="4" t="s">
        <v>2419</v>
      </c>
      <c r="AA617" s="49" t="s">
        <v>2459</v>
      </c>
      <c r="AB617" s="4" t="s">
        <v>2377</v>
      </c>
      <c r="AC617" s="49" t="s">
        <v>2601</v>
      </c>
      <c r="AD617" s="4" t="s">
        <v>2221</v>
      </c>
      <c r="AE617" s="7">
        <v>1</v>
      </c>
      <c r="AG617" s="7">
        <v>0</v>
      </c>
      <c r="AK617" s="70">
        <f>Table43[[#This Row],[Column4]]</f>
        <v>0</v>
      </c>
      <c r="AN617" s="7">
        <f>Table43[[#This Row],[ISI/CTN]]</f>
        <v>6</v>
      </c>
      <c r="AO617" s="38">
        <f>Table43[[#This Row],[Harga Jual Pcs GT
(-PPN)]]-(Table43[[#This Row],[Harga Jual Pcs GT
(-PPN)]]*6.5%)</f>
        <v>0</v>
      </c>
      <c r="AP617" s="38">
        <f>Table43[[#This Row],[Harga Beli Pcs
(-PPN)]]*Table43[[#This Row],[ISI/CTN]]</f>
        <v>0</v>
      </c>
      <c r="AQ617" s="38">
        <f>Table43[[#This Row],[Harga Beli Pcs
(-PPN)]]*1.11</f>
        <v>0</v>
      </c>
      <c r="AR617" s="38">
        <f>Table43[[#This Row],[Harga Beli Krt
(- PPN)]]*1.11</f>
        <v>0</v>
      </c>
      <c r="AS617" s="38"/>
      <c r="AT617" s="38">
        <f>Table43[[#This Row],[Harga Jual Pcs GT
(-PPN)]]*Table43[[#This Row],[ISI/CTN]]</f>
        <v>0</v>
      </c>
      <c r="AU617" s="38">
        <f>Table43[[#This Row],[Harga Jual Pcs GT
(-PPN)]]*1.11</f>
        <v>0</v>
      </c>
      <c r="AV617" s="38">
        <f>Table43[[#This Row],[Harga Jual Krt GT
(- PPN)]]*1.11</f>
        <v>0</v>
      </c>
      <c r="AW617" s="38">
        <f>IFERROR(VLOOKUP(Table43[[#This Row],[Kode Pcpl]],'[1]FEB 2026'!$A$3:$X$312,24,0),0)</f>
        <v>0</v>
      </c>
      <c r="AX617" s="38">
        <f>Table43[[#This Row],[Harga Jual Pcs MT
(-PPN)]]*Table43[[#This Row],[ISI/CTN]]</f>
        <v>0</v>
      </c>
      <c r="AY617" s="38">
        <f>Table43[[#This Row],[Harga Jual Pcs MT
(-PPN)]]*1.11</f>
        <v>0</v>
      </c>
      <c r="AZ617" s="38">
        <f>Table43[[#This Row],[Harga Jual Pcs MT
(+PPN)]]*Table43[[#This Row],[ISI/CTN]]</f>
        <v>0</v>
      </c>
      <c r="BA617" s="46" t="e">
        <f>(Table43[[#This Row],[Harga Jual Pcs GT
(-PPN)]]-Table43[[#This Row],[Harga Beli Pcs
(-PPN)]])/Table43[[#This Row],[Harga Jual Pcs GT
(-PPN)]]</f>
        <v>#DIV/0!</v>
      </c>
      <c r="BB617" s="53">
        <f>Table43[[#This Row],[Harga Jual Pcs MT
(-PPN)]]-Table43[[#This Row],[Harga Beli Pcs
(-PPN)]]</f>
        <v>0</v>
      </c>
      <c r="BC617" s="54" t="e">
        <f>Table43[[#This Row],[Column1]]/Table43[[#This Row],[Harga Jual Pcs MT
(-PPN)]]</f>
        <v>#DIV/0!</v>
      </c>
      <c r="BD617" s="52"/>
      <c r="BE617" s="7"/>
      <c r="BF617" s="7" t="str">
        <f ca="1">IF(TODAY()-Table43[[#This Row],[Efektif
Pembuatan]]&gt;60,"Lama","Baru")</f>
        <v>Lama</v>
      </c>
      <c r="BG617" s="7" t="str">
        <f ca="1">IF(TODAY()-Table43[[#This Row],[Efektif Naik Harga]]&lt;30,"Naik","Sama")</f>
        <v>Sama</v>
      </c>
      <c r="BH617" s="7"/>
      <c r="BI617" s="7" t="str">
        <f>IF(Table43[[#This Row],[Kode BARANG Win2]]&lt;&gt;"","IDR","")</f>
        <v>IDR</v>
      </c>
      <c r="BJ617" s="7" t="str">
        <f>CONCATENATE(Table43[[#This Row],[kode  1 Digit
(Nomor)]],Table43[[#This Row],[kode  4 Digit                (Nomor)]])</f>
        <v>0160</v>
      </c>
      <c r="BK617" s="7" t="str">
        <f>Table43[[#This Row],[Nama            Gramasi atau Jumlah Pack per CTN]]</f>
        <v>160ML</v>
      </c>
      <c r="BL617" s="7"/>
      <c r="BM617" s="7"/>
      <c r="BN617" s="4" t="str">
        <f>IF(Table43[[#This Row],[SATUAN Fix Win]]&lt;&gt;"","KRT")</f>
        <v>KRT</v>
      </c>
      <c r="BO617" s="4" t="str">
        <f>IF(Table43[[#This Row],[SATUAN Fix Win]]&lt;&gt;"","GD01")</f>
        <v>GD01</v>
      </c>
      <c r="BP617" s="4">
        <f>IF(Table43[[#This Row],[SATUAN Fix Win]]&lt;&gt;"",11611)</f>
        <v>11611</v>
      </c>
      <c r="BQ617" s="4">
        <f>IF(Table43[[#This Row],[SATUAN Fix Win]]&lt;&gt;"",11612)</f>
        <v>11612</v>
      </c>
      <c r="BS617" s="4">
        <f>IF(Table43[[#This Row],[SATUAN Fix Win]]&lt;&gt;"",1)</f>
        <v>1</v>
      </c>
      <c r="BU617" s="4">
        <f>Table43[[#This Row],[ISI/CTN]]</f>
        <v>6</v>
      </c>
    </row>
    <row r="618" spans="1:75">
      <c r="A618" s="4" t="str">
        <f>CONCATENATE(Table43[[#This Row],[Kode BARANG Win2]],Table43[[#This Row],[No. Urut
Item Sama]])</f>
        <v>G1270202016010</v>
      </c>
      <c r="B618" s="7"/>
      <c r="C618" s="31">
        <v>30611040225011</v>
      </c>
      <c r="D618" s="51">
        <v>40059950</v>
      </c>
      <c r="E618" s="27" t="s">
        <v>2154</v>
      </c>
      <c r="F618" s="51">
        <v>30603020225011</v>
      </c>
      <c r="G618" s="51">
        <v>0</v>
      </c>
      <c r="H618" s="27" t="s">
        <v>1490</v>
      </c>
      <c r="I618" s="27">
        <v>6</v>
      </c>
      <c r="J618" s="51" t="s">
        <v>1821</v>
      </c>
      <c r="K618" s="27" t="str">
        <f>Table43[[#This Row],[NamaJenisKemasan]]</f>
        <v>KLG</v>
      </c>
      <c r="L618" s="4" t="str">
        <f>TRIM(CONCATENATE(Table43[[#This Row],[Nama            KLP]]," ",Table43[[#This Row],[Nama            Sub KLP]]))</f>
        <v>STELLA MATIC</v>
      </c>
      <c r="M618" s="4" t="str">
        <f>CONCATENATE(Table43[[#This Row],[kode  2 Digit                (hrf+No)]],Table43[[#This Row],[kode  2 Digit                (Nomor)]],Table43[[#This Row],[kode  1 Digit                (Nomor)]])</f>
        <v>G1270</v>
      </c>
      <c r="N618" s="4" t="str">
        <f>IF(AI618="",CONCATENATE(S618,U618,W618,Y618,AA618,AC618,AE618,AG618,Table43[[#This Row],[Tanda Kode Revisi]]),CONCATENATE(S618,U618,W618,Y618,AA618,AC618,AE618,AI618))</f>
        <v>G1270202016010</v>
      </c>
      <c r="O618" s="11">
        <f t="shared" si="18"/>
        <v>14</v>
      </c>
      <c r="P618" s="14" t="str">
        <f>IF(AH618&lt;&gt;"",TRIM(UPPER(CONCATENATE(R618," ",T618," ",V618," ",X618," ",Z618," ",AB618," ","X"," ",Table43[[#This Row],[ISI/CTN]]," ",AH618," ",AD618," ",AF618," ",AJ618))),TRIM(UPPER(CONCATENATE(R618," ",T618," ",V618," ",X618," ",Z618," ",AB618," ","X"," ",Table43[[#This Row],[ISI/CTN]]," ",AD618," ",AF618," ",AJ618))))</f>
        <v>STELLA MATIC REFILL MULTI PACK CAFFE LATTE 160ML X 6 KLG</v>
      </c>
      <c r="Q618" s="11">
        <f t="shared" si="19"/>
        <v>56</v>
      </c>
      <c r="S618" s="7" t="s">
        <v>34</v>
      </c>
      <c r="T618" s="4" t="s">
        <v>2359</v>
      </c>
      <c r="U618" s="47" t="s">
        <v>2586</v>
      </c>
      <c r="V618" s="48"/>
      <c r="W618" s="7">
        <v>0</v>
      </c>
      <c r="X618" s="48" t="s">
        <v>2455</v>
      </c>
      <c r="Y618" s="47" t="s">
        <v>2572</v>
      </c>
      <c r="Z618" s="4" t="s">
        <v>2419</v>
      </c>
      <c r="AA618" s="49" t="s">
        <v>2459</v>
      </c>
      <c r="AB618" s="4" t="s">
        <v>2377</v>
      </c>
      <c r="AC618" s="49" t="s">
        <v>2601</v>
      </c>
      <c r="AD618" s="4" t="s">
        <v>2221</v>
      </c>
      <c r="AE618" s="7">
        <v>1</v>
      </c>
      <c r="AG618" s="7">
        <v>0</v>
      </c>
      <c r="AK618" s="70">
        <f>Table43[[#This Row],[Column4]]</f>
        <v>30603020225011</v>
      </c>
      <c r="AN618" s="7">
        <f>Table43[[#This Row],[ISI/CTN]]</f>
        <v>6</v>
      </c>
      <c r="AO618" s="61">
        <f>Table43[[#This Row],[Harga Jual Pcs GT
(-PPN)]]-(Table43[[#This Row],[Harga Jual Pcs GT
(-PPN)]]*6.5%)</f>
        <v>50022.5</v>
      </c>
      <c r="AP618" s="61">
        <f>Table43[[#This Row],[Harga Beli Pcs
(-PPN)]]*Table43[[#This Row],[ISI/CTN]]</f>
        <v>300135</v>
      </c>
      <c r="AQ618" s="61">
        <f>Table43[[#This Row],[Harga Beli Pcs
(-PPN)]]*1.11</f>
        <v>55524.975000000006</v>
      </c>
      <c r="AR618" s="61">
        <f>Table43[[#This Row],[Harga Beli Krt
(- PPN)]]*1.11</f>
        <v>333149.85000000003</v>
      </c>
      <c r="AS618" s="61">
        <v>53500</v>
      </c>
      <c r="AT618" s="61">
        <f>Table43[[#This Row],[Harga Jual Pcs GT
(-PPN)]]*Table43[[#This Row],[ISI/CTN]]</f>
        <v>321000</v>
      </c>
      <c r="AU618" s="61">
        <f>Table43[[#This Row],[Harga Jual Pcs GT
(-PPN)]]*1.11</f>
        <v>59385.000000000007</v>
      </c>
      <c r="AV618" s="61">
        <f>Table43[[#This Row],[Harga Jual Krt GT
(- PPN)]]*1.11</f>
        <v>356310.00000000006</v>
      </c>
      <c r="AW618" s="61">
        <f>IFERROR(VLOOKUP(Table43[[#This Row],[Kode Pcpl]],'[1]FEB 2026'!$A$3:$X$312,24,0),0)</f>
        <v>0</v>
      </c>
      <c r="AX618" s="61">
        <f>Table43[[#This Row],[Harga Jual Pcs MT
(-PPN)]]*Table43[[#This Row],[ISI/CTN]]</f>
        <v>0</v>
      </c>
      <c r="AY618" s="61">
        <f>Table43[[#This Row],[Harga Jual Pcs MT
(-PPN)]]*1.11</f>
        <v>0</v>
      </c>
      <c r="AZ618" s="61">
        <f>Table43[[#This Row],[Harga Jual Pcs MT
(+PPN)]]*Table43[[#This Row],[ISI/CTN]]</f>
        <v>0</v>
      </c>
      <c r="BA618" s="62">
        <f>(Table43[[#This Row],[Harga Jual Pcs GT
(-PPN)]]-Table43[[#This Row],[Harga Beli Pcs
(-PPN)]])/Table43[[#This Row],[Harga Jual Pcs GT
(-PPN)]]</f>
        <v>6.5000000000000002E-2</v>
      </c>
      <c r="BB618" s="63">
        <f>Table43[[#This Row],[Harga Jual Pcs MT
(-PPN)]]-Table43[[#This Row],[Harga Beli Pcs
(-PPN)]]</f>
        <v>-50022.5</v>
      </c>
      <c r="BC618" s="64" t="e">
        <f>Table43[[#This Row],[Column1]]/Table43[[#This Row],[Harga Jual Pcs MT
(-PPN)]]</f>
        <v>#DIV/0!</v>
      </c>
      <c r="BD618" s="52"/>
      <c r="BE618" s="7"/>
      <c r="BF618" s="7" t="str">
        <f ca="1">IF(TODAY()-Table43[[#This Row],[Efektif
Pembuatan]]&gt;60,"Lama","Baru")</f>
        <v>Lama</v>
      </c>
      <c r="BG618" s="7" t="str">
        <f ca="1">IF(TODAY()-Table43[[#This Row],[Efektif Naik Harga]]&lt;30,"Naik","Sama")</f>
        <v>Sama</v>
      </c>
      <c r="BH618" s="7"/>
      <c r="BI618" s="7" t="str">
        <f>IF(Table43[[#This Row],[Kode BARANG Win2]]&lt;&gt;"","IDR","")</f>
        <v>IDR</v>
      </c>
      <c r="BJ618" s="7" t="str">
        <f>CONCATENATE(Table43[[#This Row],[kode  1 Digit
(Nomor)]],Table43[[#This Row],[kode  4 Digit                (Nomor)]])</f>
        <v>0160</v>
      </c>
      <c r="BK618" s="7" t="str">
        <f>Table43[[#This Row],[Nama            Gramasi atau Jumlah Pack per CTN]]</f>
        <v>160ML</v>
      </c>
      <c r="BL618" s="7"/>
      <c r="BM618" s="7"/>
      <c r="BN618" s="4" t="str">
        <f>IF(Table43[[#This Row],[SATUAN Fix Win]]&lt;&gt;"","KRT")</f>
        <v>KRT</v>
      </c>
      <c r="BO618" s="4" t="str">
        <f>IF(Table43[[#This Row],[SATUAN Fix Win]]&lt;&gt;"","GD01")</f>
        <v>GD01</v>
      </c>
      <c r="BP618" s="4">
        <f>IF(Table43[[#This Row],[SATUAN Fix Win]]&lt;&gt;"",11611)</f>
        <v>11611</v>
      </c>
      <c r="BQ618" s="4">
        <f>IF(Table43[[#This Row],[SATUAN Fix Win]]&lt;&gt;"",11612)</f>
        <v>11612</v>
      </c>
      <c r="BS618" s="4">
        <f>IF(Table43[[#This Row],[SATUAN Fix Win]]&lt;&gt;"",1)</f>
        <v>1</v>
      </c>
      <c r="BU618" s="4">
        <f>Table43[[#This Row],[ISI/CTN]]</f>
        <v>6</v>
      </c>
    </row>
    <row r="619" spans="1:75">
      <c r="A619" s="4" t="str">
        <f>CONCATENATE(Table43[[#This Row],[Kode BARANG Win2]],Table43[[#This Row],[No. Urut
Item Sama]])</f>
        <v>G1270203016010</v>
      </c>
      <c r="B619" s="7"/>
      <c r="C619" s="31">
        <v>30611080225000</v>
      </c>
      <c r="D619" s="51">
        <v>40059948</v>
      </c>
      <c r="E619" s="27" t="s">
        <v>2156</v>
      </c>
      <c r="F619" s="51">
        <v>30603040225011</v>
      </c>
      <c r="G619" s="51">
        <v>0</v>
      </c>
      <c r="H619" s="27" t="s">
        <v>1494</v>
      </c>
      <c r="I619" s="27">
        <v>6</v>
      </c>
      <c r="J619" s="51" t="s">
        <v>1823</v>
      </c>
      <c r="K619" s="27" t="str">
        <f>Table43[[#This Row],[NamaJenisKemasan]]</f>
        <v>KLG</v>
      </c>
      <c r="L619" s="4" t="str">
        <f>TRIM(CONCATENATE(Table43[[#This Row],[Nama            KLP]]," ",Table43[[#This Row],[Nama            Sub KLP]]))</f>
        <v>STELLA MATIC</v>
      </c>
      <c r="M619" s="4" t="str">
        <f>CONCATENATE(Table43[[#This Row],[kode  2 Digit                (hrf+No)]],Table43[[#This Row],[kode  2 Digit                (Nomor)]],Table43[[#This Row],[kode  1 Digit                (Nomor)]])</f>
        <v>G1270</v>
      </c>
      <c r="N619" s="4" t="str">
        <f>IF(AI619="",CONCATENATE(S619,U619,W619,Y619,AA619,AC619,AE619,AG619,Table43[[#This Row],[Tanda Kode Revisi]]),CONCATENATE(S619,U619,W619,Y619,AA619,AC619,AE619,AI619))</f>
        <v>G1270203016010</v>
      </c>
      <c r="O619" s="11">
        <f t="shared" si="18"/>
        <v>14</v>
      </c>
      <c r="P619" s="14" t="str">
        <f>IF(AH619&lt;&gt;"",TRIM(UPPER(CONCATENATE(R619," ",T619," ",V619," ",X619," ",Z619," ",AB619," ","X"," ",Table43[[#This Row],[ISI/CTN]]," ",AH619," ",AD619," ",AF619," ",AJ619))),TRIM(UPPER(CONCATENATE(R619," ",T619," ",V619," ",X619," ",Z619," ",AB619," ","X"," ",Table43[[#This Row],[ISI/CTN]]," ",AD619," ",AF619," ",AJ619))))</f>
        <v>STELLA MATIC REFILL MULTI PACK GREEN FANTASY 160ML X 6 KLG</v>
      </c>
      <c r="Q619" s="11">
        <f t="shared" si="19"/>
        <v>58</v>
      </c>
      <c r="S619" s="7" t="s">
        <v>34</v>
      </c>
      <c r="T619" s="4" t="s">
        <v>2359</v>
      </c>
      <c r="U619" s="47" t="s">
        <v>2586</v>
      </c>
      <c r="V619" s="48"/>
      <c r="W619" s="7">
        <v>0</v>
      </c>
      <c r="X619" s="48" t="s">
        <v>2455</v>
      </c>
      <c r="Y619" s="47" t="s">
        <v>2572</v>
      </c>
      <c r="Z619" s="4" t="s">
        <v>2444</v>
      </c>
      <c r="AA619" s="49" t="s">
        <v>2538</v>
      </c>
      <c r="AB619" s="4" t="s">
        <v>2377</v>
      </c>
      <c r="AC619" s="49" t="s">
        <v>2601</v>
      </c>
      <c r="AD619" s="4" t="s">
        <v>2221</v>
      </c>
      <c r="AE619" s="7">
        <v>1</v>
      </c>
      <c r="AG619" s="7">
        <v>0</v>
      </c>
      <c r="AK619" s="70">
        <f>Table43[[#This Row],[Column4]]</f>
        <v>30603040225011</v>
      </c>
      <c r="AN619" s="7">
        <f>Table43[[#This Row],[ISI/CTN]]</f>
        <v>6</v>
      </c>
      <c r="AO619" s="61">
        <f>Table43[[#This Row],[Harga Jual Pcs GT
(-PPN)]]-(Table43[[#This Row],[Harga Jual Pcs GT
(-PPN)]]*6.5%)</f>
        <v>50022.5</v>
      </c>
      <c r="AP619" s="61">
        <f>Table43[[#This Row],[Harga Beli Pcs
(-PPN)]]*Table43[[#This Row],[ISI/CTN]]</f>
        <v>300135</v>
      </c>
      <c r="AQ619" s="61">
        <f>Table43[[#This Row],[Harga Beli Pcs
(-PPN)]]*1.11</f>
        <v>55524.975000000006</v>
      </c>
      <c r="AR619" s="61">
        <f>Table43[[#This Row],[Harga Beli Krt
(- PPN)]]*1.11</f>
        <v>333149.85000000003</v>
      </c>
      <c r="AS619" s="61">
        <v>53500</v>
      </c>
      <c r="AT619" s="61">
        <f>Table43[[#This Row],[Harga Jual Pcs GT
(-PPN)]]*Table43[[#This Row],[ISI/CTN]]</f>
        <v>321000</v>
      </c>
      <c r="AU619" s="61">
        <f>Table43[[#This Row],[Harga Jual Pcs GT
(-PPN)]]*1.11</f>
        <v>59385.000000000007</v>
      </c>
      <c r="AV619" s="61">
        <f>Table43[[#This Row],[Harga Jual Krt GT
(- PPN)]]*1.11</f>
        <v>356310.00000000006</v>
      </c>
      <c r="AW619" s="61">
        <f>IFERROR(VLOOKUP(Table43[[#This Row],[Kode Pcpl]],'[1]FEB 2026'!$A$3:$X$312,24,0),0)</f>
        <v>0</v>
      </c>
      <c r="AX619" s="61">
        <f>Table43[[#This Row],[Harga Jual Pcs MT
(-PPN)]]*Table43[[#This Row],[ISI/CTN]]</f>
        <v>0</v>
      </c>
      <c r="AY619" s="61">
        <f>Table43[[#This Row],[Harga Jual Pcs MT
(-PPN)]]*1.11</f>
        <v>0</v>
      </c>
      <c r="AZ619" s="61">
        <f>Table43[[#This Row],[Harga Jual Pcs MT
(+PPN)]]*Table43[[#This Row],[ISI/CTN]]</f>
        <v>0</v>
      </c>
      <c r="BA619" s="62">
        <f>(Table43[[#This Row],[Harga Jual Pcs GT
(-PPN)]]-Table43[[#This Row],[Harga Beli Pcs
(-PPN)]])/Table43[[#This Row],[Harga Jual Pcs GT
(-PPN)]]</f>
        <v>6.5000000000000002E-2</v>
      </c>
      <c r="BB619" s="63">
        <f>Table43[[#This Row],[Harga Jual Pcs MT
(-PPN)]]-Table43[[#This Row],[Harga Beli Pcs
(-PPN)]]</f>
        <v>-50022.5</v>
      </c>
      <c r="BC619" s="64" t="e">
        <f>Table43[[#This Row],[Column1]]/Table43[[#This Row],[Harga Jual Pcs MT
(-PPN)]]</f>
        <v>#DIV/0!</v>
      </c>
      <c r="BD619" s="52"/>
      <c r="BE619" s="7"/>
      <c r="BF619" s="7" t="str">
        <f ca="1">IF(TODAY()-Table43[[#This Row],[Efektif
Pembuatan]]&gt;60,"Lama","Baru")</f>
        <v>Lama</v>
      </c>
      <c r="BG619" s="7" t="str">
        <f ca="1">IF(TODAY()-Table43[[#This Row],[Efektif Naik Harga]]&lt;30,"Naik","Sama")</f>
        <v>Sama</v>
      </c>
      <c r="BH619" s="7"/>
      <c r="BI619" s="7" t="str">
        <f>IF(Table43[[#This Row],[Kode BARANG Win2]]&lt;&gt;"","IDR","")</f>
        <v>IDR</v>
      </c>
      <c r="BJ619" s="7" t="str">
        <f>CONCATENATE(Table43[[#This Row],[kode  1 Digit
(Nomor)]],Table43[[#This Row],[kode  4 Digit                (Nomor)]])</f>
        <v>0160</v>
      </c>
      <c r="BK619" s="7" t="str">
        <f>Table43[[#This Row],[Nama            Gramasi atau Jumlah Pack per CTN]]</f>
        <v>160ML</v>
      </c>
      <c r="BL619" s="7"/>
      <c r="BM619" s="7"/>
      <c r="BN619" s="4" t="str">
        <f>IF(Table43[[#This Row],[SATUAN Fix Win]]&lt;&gt;"","KRT")</f>
        <v>KRT</v>
      </c>
      <c r="BO619" s="4" t="str">
        <f>IF(Table43[[#This Row],[SATUAN Fix Win]]&lt;&gt;"","GD01")</f>
        <v>GD01</v>
      </c>
      <c r="BP619" s="4">
        <f>IF(Table43[[#This Row],[SATUAN Fix Win]]&lt;&gt;"",11611)</f>
        <v>11611</v>
      </c>
      <c r="BQ619" s="4">
        <f>IF(Table43[[#This Row],[SATUAN Fix Win]]&lt;&gt;"",11612)</f>
        <v>11612</v>
      </c>
      <c r="BS619" s="4">
        <f>IF(Table43[[#This Row],[SATUAN Fix Win]]&lt;&gt;"",1)</f>
        <v>1</v>
      </c>
      <c r="BU619" s="4">
        <f>Table43[[#This Row],[ISI/CTN]]</f>
        <v>6</v>
      </c>
    </row>
    <row r="620" spans="1:75">
      <c r="A620" s="4" t="str">
        <f>CONCATENATE(Table43[[#This Row],[Kode BARANG Win2]],Table43[[#This Row],[No. Urut
Item Sama]])</f>
        <v>G1270203016010</v>
      </c>
      <c r="B620" s="7"/>
      <c r="C620" s="31">
        <v>30621010000000</v>
      </c>
      <c r="D620" s="51">
        <v>40050049</v>
      </c>
      <c r="E620" s="27" t="s">
        <v>2156</v>
      </c>
      <c r="F620" s="51">
        <v>30603040225011</v>
      </c>
      <c r="G620" s="51">
        <v>0</v>
      </c>
      <c r="H620" s="27" t="s">
        <v>1493</v>
      </c>
      <c r="I620" s="27">
        <v>6</v>
      </c>
      <c r="J620" s="51" t="s">
        <v>1823</v>
      </c>
      <c r="K620" s="27" t="str">
        <f>Table43[[#This Row],[NamaJenisKemasan]]</f>
        <v>KLG</v>
      </c>
      <c r="L620" s="4" t="str">
        <f>TRIM(CONCATENATE(Table43[[#This Row],[Nama            KLP]]," ",Table43[[#This Row],[Nama            Sub KLP]]))</f>
        <v>STELLA MATIC</v>
      </c>
      <c r="M620" s="4" t="str">
        <f>CONCATENATE(Table43[[#This Row],[kode  2 Digit                (hrf+No)]],Table43[[#This Row],[kode  2 Digit                (Nomor)]],Table43[[#This Row],[kode  1 Digit                (Nomor)]])</f>
        <v>G1270</v>
      </c>
      <c r="N620" s="4" t="str">
        <f>IF(AI620="",CONCATENATE(S620,U620,W620,Y620,AA620,AC620,AE620,AG620,Table43[[#This Row],[Tanda Kode Revisi]]),CONCATENATE(S620,U620,W620,Y620,AA620,AC620,AE620,AI620))</f>
        <v>G1270203016010</v>
      </c>
      <c r="O620" s="11">
        <f t="shared" si="18"/>
        <v>14</v>
      </c>
      <c r="P620" s="14" t="str">
        <f>IF(AH620&lt;&gt;"",TRIM(UPPER(CONCATENATE(R620," ",T620," ",V620," ",X620," ",Z620," ",AB620," ","X"," ",Table43[[#This Row],[ISI/CTN]]," ",AH620," ",AD620," ",AF620," ",AJ620))),TRIM(UPPER(CONCATENATE(R620," ",T620," ",V620," ",X620," ",Z620," ",AB620," ","X"," ",Table43[[#This Row],[ISI/CTN]]," ",AD620," ",AF620," ",AJ620))))</f>
        <v>STELLA MATIC REFILL MULTI PACK GREEN FANTASY 160ML X 6 KLG</v>
      </c>
      <c r="Q620" s="11">
        <f t="shared" si="19"/>
        <v>58</v>
      </c>
      <c r="S620" s="7" t="s">
        <v>34</v>
      </c>
      <c r="T620" s="4" t="s">
        <v>2359</v>
      </c>
      <c r="U620" s="47" t="s">
        <v>2586</v>
      </c>
      <c r="V620" s="48"/>
      <c r="W620" s="7">
        <v>0</v>
      </c>
      <c r="X620" s="48" t="s">
        <v>2455</v>
      </c>
      <c r="Y620" s="47" t="s">
        <v>2572</v>
      </c>
      <c r="Z620" s="4" t="s">
        <v>2444</v>
      </c>
      <c r="AA620" s="49" t="s">
        <v>2538</v>
      </c>
      <c r="AB620" s="4" t="s">
        <v>2377</v>
      </c>
      <c r="AC620" s="49" t="s">
        <v>2601</v>
      </c>
      <c r="AD620" s="4" t="s">
        <v>2221</v>
      </c>
      <c r="AE620" s="7">
        <v>1</v>
      </c>
      <c r="AG620" s="7">
        <v>0</v>
      </c>
      <c r="AK620" s="70">
        <f>Table43[[#This Row],[Column4]]</f>
        <v>30603040225011</v>
      </c>
      <c r="AN620" s="7">
        <f>Table43[[#This Row],[ISI/CTN]]</f>
        <v>6</v>
      </c>
      <c r="AO620" s="38">
        <f>Table43[[#This Row],[Harga Jual Pcs GT
(-PPN)]]-(Table43[[#This Row],[Harga Jual Pcs GT
(-PPN)]]*6.5%)</f>
        <v>50022.5</v>
      </c>
      <c r="AP620" s="38">
        <f>Table43[[#This Row],[Harga Beli Pcs
(-PPN)]]*Table43[[#This Row],[ISI/CTN]]</f>
        <v>300135</v>
      </c>
      <c r="AQ620" s="38">
        <f>Table43[[#This Row],[Harga Beli Pcs
(-PPN)]]*1.11</f>
        <v>55524.975000000006</v>
      </c>
      <c r="AR620" s="38">
        <f>Table43[[#This Row],[Harga Beli Krt
(- PPN)]]*1.11</f>
        <v>333149.85000000003</v>
      </c>
      <c r="AS620" s="38">
        <v>53500</v>
      </c>
      <c r="AT620" s="38">
        <f>Table43[[#This Row],[Harga Jual Pcs GT
(-PPN)]]*Table43[[#This Row],[ISI/CTN]]</f>
        <v>321000</v>
      </c>
      <c r="AU620" s="38">
        <f>Table43[[#This Row],[Harga Jual Pcs GT
(-PPN)]]*1.11</f>
        <v>59385.000000000007</v>
      </c>
      <c r="AV620" s="38">
        <f>Table43[[#This Row],[Harga Jual Krt GT
(- PPN)]]*1.11</f>
        <v>356310.00000000006</v>
      </c>
      <c r="AW620" s="38">
        <f>IFERROR(VLOOKUP(Table43[[#This Row],[Kode Pcpl]],'[1]FEB 2026'!$A$3:$X$312,24,0),0)</f>
        <v>0</v>
      </c>
      <c r="AX620" s="38">
        <f>Table43[[#This Row],[Harga Jual Pcs MT
(-PPN)]]*Table43[[#This Row],[ISI/CTN]]</f>
        <v>0</v>
      </c>
      <c r="AY620" s="38">
        <f>Table43[[#This Row],[Harga Jual Pcs MT
(-PPN)]]*1.11</f>
        <v>0</v>
      </c>
      <c r="AZ620" s="38">
        <f>Table43[[#This Row],[Harga Jual Pcs MT
(+PPN)]]*Table43[[#This Row],[ISI/CTN]]</f>
        <v>0</v>
      </c>
      <c r="BA620" s="46">
        <f>(Table43[[#This Row],[Harga Jual Pcs GT
(-PPN)]]-Table43[[#This Row],[Harga Beli Pcs
(-PPN)]])/Table43[[#This Row],[Harga Jual Pcs GT
(-PPN)]]</f>
        <v>6.5000000000000002E-2</v>
      </c>
      <c r="BB620" s="53">
        <f>Table43[[#This Row],[Harga Jual Pcs MT
(-PPN)]]-Table43[[#This Row],[Harga Beli Pcs
(-PPN)]]</f>
        <v>-50022.5</v>
      </c>
      <c r="BC620" s="54" t="e">
        <f>Table43[[#This Row],[Column1]]/Table43[[#This Row],[Harga Jual Pcs MT
(-PPN)]]</f>
        <v>#DIV/0!</v>
      </c>
      <c r="BD620" s="52"/>
      <c r="BE620" s="7"/>
      <c r="BF620" s="7" t="str">
        <f ca="1">IF(TODAY()-Table43[[#This Row],[Efektif
Pembuatan]]&gt;60,"Lama","Baru")</f>
        <v>Lama</v>
      </c>
      <c r="BG620" s="7" t="str">
        <f ca="1">IF(TODAY()-Table43[[#This Row],[Efektif Naik Harga]]&lt;30,"Naik","Sama")</f>
        <v>Sama</v>
      </c>
      <c r="BH620" s="7"/>
      <c r="BI620" s="7" t="str">
        <f>IF(Table43[[#This Row],[Kode BARANG Win2]]&lt;&gt;"","IDR","")</f>
        <v>IDR</v>
      </c>
      <c r="BJ620" s="7" t="str">
        <f>CONCATENATE(Table43[[#This Row],[kode  1 Digit
(Nomor)]],Table43[[#This Row],[kode  4 Digit                (Nomor)]])</f>
        <v>0160</v>
      </c>
      <c r="BK620" s="7" t="str">
        <f>Table43[[#This Row],[Nama            Gramasi atau Jumlah Pack per CTN]]</f>
        <v>160ML</v>
      </c>
      <c r="BL620" s="7"/>
      <c r="BM620" s="7"/>
      <c r="BN620" s="4" t="str">
        <f>IF(Table43[[#This Row],[SATUAN Fix Win]]&lt;&gt;"","KRT")</f>
        <v>KRT</v>
      </c>
      <c r="BO620" s="4" t="str">
        <f>IF(Table43[[#This Row],[SATUAN Fix Win]]&lt;&gt;"","GD01")</f>
        <v>GD01</v>
      </c>
      <c r="BP620" s="4">
        <f>IF(Table43[[#This Row],[SATUAN Fix Win]]&lt;&gt;"",11611)</f>
        <v>11611</v>
      </c>
      <c r="BQ620" s="4">
        <f>IF(Table43[[#This Row],[SATUAN Fix Win]]&lt;&gt;"",11612)</f>
        <v>11612</v>
      </c>
      <c r="BS620" s="4">
        <f>IF(Table43[[#This Row],[SATUAN Fix Win]]&lt;&gt;"",1)</f>
        <v>1</v>
      </c>
      <c r="BU620" s="4">
        <f>Table43[[#This Row],[ISI/CTN]]</f>
        <v>6</v>
      </c>
    </row>
    <row r="621" spans="1:75">
      <c r="A621" s="4" t="str">
        <f>CONCATENATE(Table43[[#This Row],[Kode BARANG Win2]],Table43[[#This Row],[No. Urut
Item Sama]])</f>
        <v>G1270204016010</v>
      </c>
      <c r="B621" s="7"/>
      <c r="C621" s="31">
        <v>30622010040000</v>
      </c>
      <c r="D621" s="51">
        <v>40059946</v>
      </c>
      <c r="E621" s="27" t="s">
        <v>2167</v>
      </c>
      <c r="F621" s="51">
        <v>30611010225011</v>
      </c>
      <c r="G621" s="51">
        <v>0</v>
      </c>
      <c r="H621" s="27" t="s">
        <v>1517</v>
      </c>
      <c r="I621" s="27">
        <v>6</v>
      </c>
      <c r="J621" s="51" t="s">
        <v>1834</v>
      </c>
      <c r="K621" s="27" t="str">
        <f>Table43[[#This Row],[NamaJenisKemasan]]</f>
        <v>KLG</v>
      </c>
      <c r="L621" s="4" t="str">
        <f>TRIM(CONCATENATE(Table43[[#This Row],[Nama            KLP]]," ",Table43[[#This Row],[Nama            Sub KLP]]))</f>
        <v>STELLA MATIC</v>
      </c>
      <c r="M621" s="4" t="str">
        <f>CONCATENATE(Table43[[#This Row],[kode  2 Digit                (hrf+No)]],Table43[[#This Row],[kode  2 Digit                (Nomor)]],Table43[[#This Row],[kode  1 Digit                (Nomor)]])</f>
        <v>G1270</v>
      </c>
      <c r="N621" s="4" t="str">
        <f>IF(AI621="",CONCATENATE(S621,U621,W621,Y621,AA621,AC621,AE621,AG621,Table43[[#This Row],[Tanda Kode Revisi]]),CONCATENATE(S621,U621,W621,Y621,AA621,AC621,AE621,AI621))</f>
        <v>G1270204016010</v>
      </c>
      <c r="O621" s="11">
        <f t="shared" si="18"/>
        <v>14</v>
      </c>
      <c r="P621" s="14" t="str">
        <f>IF(AH621&lt;&gt;"",TRIM(UPPER(CONCATENATE(R621," ",T621," ",V621," ",X621," ",Z621," ",AB621," ","X"," ",Table43[[#This Row],[ISI/CTN]]," ",AH621," ",AD621," ",AF621," ",AJ621))),TRIM(UPPER(CONCATENATE(R621," ",T621," ",V621," ",X621," ",Z621," ",AB621," ","X"," ",Table43[[#This Row],[ISI/CTN]]," ",AD621," ",AF621," ",AJ621))))</f>
        <v>STELLA MATIC REFILL MULTI PACK JAPANESE SAKURA 160ML X 6 KLG</v>
      </c>
      <c r="Q621" s="11">
        <f t="shared" si="19"/>
        <v>60</v>
      </c>
      <c r="S621" s="7" t="s">
        <v>34</v>
      </c>
      <c r="T621" s="4" t="s">
        <v>2359</v>
      </c>
      <c r="U621" s="47" t="s">
        <v>2586</v>
      </c>
      <c r="V621" s="48"/>
      <c r="W621" s="7">
        <v>0</v>
      </c>
      <c r="X621" s="48" t="s">
        <v>2455</v>
      </c>
      <c r="Y621" s="47" t="s">
        <v>2572</v>
      </c>
      <c r="Z621" s="4" t="s">
        <v>2248</v>
      </c>
      <c r="AA621" s="49" t="s">
        <v>2540</v>
      </c>
      <c r="AB621" s="4" t="s">
        <v>2377</v>
      </c>
      <c r="AC621" s="49" t="s">
        <v>2601</v>
      </c>
      <c r="AD621" s="4" t="s">
        <v>2221</v>
      </c>
      <c r="AE621" s="7">
        <v>1</v>
      </c>
      <c r="AG621" s="7">
        <v>0</v>
      </c>
      <c r="AK621" s="70">
        <f>Table43[[#This Row],[Column4]]</f>
        <v>30611010225011</v>
      </c>
      <c r="AN621" s="7">
        <f>Table43[[#This Row],[ISI/CTN]]</f>
        <v>6</v>
      </c>
      <c r="AO621" s="61">
        <f>Table43[[#This Row],[Harga Jual Pcs GT
(-PPN)]]-(Table43[[#This Row],[Harga Jual Pcs GT
(-PPN)]]*6.5%)</f>
        <v>50022.5</v>
      </c>
      <c r="AP621" s="61">
        <f>Table43[[#This Row],[Harga Beli Pcs
(-PPN)]]*Table43[[#This Row],[ISI/CTN]]</f>
        <v>300135</v>
      </c>
      <c r="AQ621" s="61">
        <f>Table43[[#This Row],[Harga Beli Pcs
(-PPN)]]*1.11</f>
        <v>55524.975000000006</v>
      </c>
      <c r="AR621" s="61">
        <f>Table43[[#This Row],[Harga Beli Krt
(- PPN)]]*1.11</f>
        <v>333149.85000000003</v>
      </c>
      <c r="AS621" s="61">
        <v>53500</v>
      </c>
      <c r="AT621" s="61">
        <f>Table43[[#This Row],[Harga Jual Pcs GT
(-PPN)]]*Table43[[#This Row],[ISI/CTN]]</f>
        <v>321000</v>
      </c>
      <c r="AU621" s="61">
        <f>Table43[[#This Row],[Harga Jual Pcs GT
(-PPN)]]*1.11</f>
        <v>59385.000000000007</v>
      </c>
      <c r="AV621" s="61">
        <f>Table43[[#This Row],[Harga Jual Krt GT
(- PPN)]]*1.11</f>
        <v>356310.00000000006</v>
      </c>
      <c r="AW621" s="61">
        <f>IFERROR(VLOOKUP(Table43[[#This Row],[Kode Pcpl]],'[1]FEB 2026'!$A$3:$X$312,24,0),0)</f>
        <v>0</v>
      </c>
      <c r="AX621" s="61">
        <f>Table43[[#This Row],[Harga Jual Pcs MT
(-PPN)]]*Table43[[#This Row],[ISI/CTN]]</f>
        <v>0</v>
      </c>
      <c r="AY621" s="61">
        <f>Table43[[#This Row],[Harga Jual Pcs MT
(-PPN)]]*1.11</f>
        <v>0</v>
      </c>
      <c r="AZ621" s="61">
        <f>Table43[[#This Row],[Harga Jual Pcs MT
(+PPN)]]*Table43[[#This Row],[ISI/CTN]]</f>
        <v>0</v>
      </c>
      <c r="BA621" s="62">
        <f>(Table43[[#This Row],[Harga Jual Pcs GT
(-PPN)]]-Table43[[#This Row],[Harga Beli Pcs
(-PPN)]])/Table43[[#This Row],[Harga Jual Pcs GT
(-PPN)]]</f>
        <v>6.5000000000000002E-2</v>
      </c>
      <c r="BB621" s="63">
        <f>Table43[[#This Row],[Harga Jual Pcs MT
(-PPN)]]-Table43[[#This Row],[Harga Beli Pcs
(-PPN)]]</f>
        <v>-50022.5</v>
      </c>
      <c r="BC621" s="64" t="e">
        <f>Table43[[#This Row],[Column1]]/Table43[[#This Row],[Harga Jual Pcs MT
(-PPN)]]</f>
        <v>#DIV/0!</v>
      </c>
      <c r="BD621" s="52"/>
      <c r="BE621" s="7"/>
      <c r="BF621" s="7" t="str">
        <f ca="1">IF(TODAY()-Table43[[#This Row],[Efektif
Pembuatan]]&gt;60,"Lama","Baru")</f>
        <v>Lama</v>
      </c>
      <c r="BG621" s="7" t="str">
        <f ca="1">IF(TODAY()-Table43[[#This Row],[Efektif Naik Harga]]&lt;30,"Naik","Sama")</f>
        <v>Sama</v>
      </c>
      <c r="BH621" s="7"/>
      <c r="BI621" s="7" t="str">
        <f>IF(Table43[[#This Row],[Kode BARANG Win2]]&lt;&gt;"","IDR","")</f>
        <v>IDR</v>
      </c>
      <c r="BJ621" s="7" t="str">
        <f>CONCATENATE(Table43[[#This Row],[kode  1 Digit
(Nomor)]],Table43[[#This Row],[kode  4 Digit                (Nomor)]])</f>
        <v>0160</v>
      </c>
      <c r="BK621" s="7" t="str">
        <f>Table43[[#This Row],[Nama            Gramasi atau Jumlah Pack per CTN]]</f>
        <v>160ML</v>
      </c>
      <c r="BL621" s="7"/>
      <c r="BM621" s="7"/>
      <c r="BN621" s="4" t="str">
        <f>IF(Table43[[#This Row],[SATUAN Fix Win]]&lt;&gt;"","KRT")</f>
        <v>KRT</v>
      </c>
      <c r="BO621" s="4" t="str">
        <f>IF(Table43[[#This Row],[SATUAN Fix Win]]&lt;&gt;"","GD01")</f>
        <v>GD01</v>
      </c>
      <c r="BP621" s="4">
        <f>IF(Table43[[#This Row],[SATUAN Fix Win]]&lt;&gt;"",11611)</f>
        <v>11611</v>
      </c>
      <c r="BQ621" s="4">
        <f>IF(Table43[[#This Row],[SATUAN Fix Win]]&lt;&gt;"",11612)</f>
        <v>11612</v>
      </c>
      <c r="BS621" s="4">
        <f>IF(Table43[[#This Row],[SATUAN Fix Win]]&lt;&gt;"",1)</f>
        <v>1</v>
      </c>
      <c r="BU621" s="4">
        <f>Table43[[#This Row],[ISI/CTN]]</f>
        <v>6</v>
      </c>
    </row>
    <row r="622" spans="1:75">
      <c r="A622" s="4" t="str">
        <f>CONCATENATE(Table43[[#This Row],[Kode BARANG Win2]],Table43[[#This Row],[No. Urut
Item Sama]])</f>
        <v>G1270204016010</v>
      </c>
      <c r="B622" s="7"/>
      <c r="C622" s="31">
        <v>30631010010000</v>
      </c>
      <c r="D622" s="51">
        <v>40050048</v>
      </c>
      <c r="E622" s="27" t="s">
        <v>2167</v>
      </c>
      <c r="F622" s="51">
        <v>30611010225011</v>
      </c>
      <c r="G622" s="51">
        <v>0</v>
      </c>
      <c r="H622" s="27" t="s">
        <v>1516</v>
      </c>
      <c r="I622" s="27">
        <v>6</v>
      </c>
      <c r="J622" s="51" t="s">
        <v>1834</v>
      </c>
      <c r="K622" s="27" t="str">
        <f>Table43[[#This Row],[NamaJenisKemasan]]</f>
        <v>KLG</v>
      </c>
      <c r="L622" s="4" t="str">
        <f>TRIM(CONCATENATE(Table43[[#This Row],[Nama            KLP]]," ",Table43[[#This Row],[Nama            Sub KLP]]))</f>
        <v>STELLA MATIC</v>
      </c>
      <c r="M622" s="4" t="str">
        <f>CONCATENATE(Table43[[#This Row],[kode  2 Digit                (hrf+No)]],Table43[[#This Row],[kode  2 Digit                (Nomor)]],Table43[[#This Row],[kode  1 Digit                (Nomor)]])</f>
        <v>G1270</v>
      </c>
      <c r="N622" s="4" t="str">
        <f>IF(AI622="",CONCATENATE(S622,U622,W622,Y622,AA622,AC622,AE622,AG622,Table43[[#This Row],[Tanda Kode Revisi]]),CONCATENATE(S622,U622,W622,Y622,AA622,AC622,AE622,AI622))</f>
        <v>G1270204016010</v>
      </c>
      <c r="O622" s="11">
        <f t="shared" si="18"/>
        <v>14</v>
      </c>
      <c r="P622" s="14" t="str">
        <f>IF(AH622&lt;&gt;"",TRIM(UPPER(CONCATENATE(R622," ",T622," ",V622," ",X622," ",Z622," ",AB622," ","X"," ",Table43[[#This Row],[ISI/CTN]]," ",AH622," ",AD622," ",AF622," ",AJ622))),TRIM(UPPER(CONCATENATE(R622," ",T622," ",V622," ",X622," ",Z622," ",AB622," ","X"," ",Table43[[#This Row],[ISI/CTN]]," ",AD622," ",AF622," ",AJ622))))</f>
        <v>STELLA MATIC REFILL MULTI PACK JAPANESE SAKURA 160ML X 6 KLG</v>
      </c>
      <c r="Q622" s="11">
        <f t="shared" si="19"/>
        <v>60</v>
      </c>
      <c r="S622" s="7" t="s">
        <v>34</v>
      </c>
      <c r="T622" s="4" t="s">
        <v>2359</v>
      </c>
      <c r="U622" s="47" t="s">
        <v>2586</v>
      </c>
      <c r="V622" s="48"/>
      <c r="W622" s="7">
        <v>0</v>
      </c>
      <c r="X622" s="48" t="s">
        <v>2455</v>
      </c>
      <c r="Y622" s="47" t="s">
        <v>2572</v>
      </c>
      <c r="Z622" s="4" t="s">
        <v>2248</v>
      </c>
      <c r="AA622" s="49" t="s">
        <v>2540</v>
      </c>
      <c r="AB622" s="4" t="s">
        <v>2377</v>
      </c>
      <c r="AC622" s="49" t="s">
        <v>2601</v>
      </c>
      <c r="AD622" s="4" t="s">
        <v>2221</v>
      </c>
      <c r="AE622" s="7">
        <v>1</v>
      </c>
      <c r="AG622" s="7">
        <v>0</v>
      </c>
      <c r="AK622" s="70">
        <f>Table43[[#This Row],[Column4]]</f>
        <v>30611010225011</v>
      </c>
      <c r="AN622" s="7">
        <f>Table43[[#This Row],[ISI/CTN]]</f>
        <v>6</v>
      </c>
      <c r="AO622" s="38">
        <f>Table43[[#This Row],[Harga Jual Pcs GT
(-PPN)]]-(Table43[[#This Row],[Harga Jual Pcs GT
(-PPN)]]*6.5%)</f>
        <v>50022.5</v>
      </c>
      <c r="AP622" s="38">
        <f>Table43[[#This Row],[Harga Beli Pcs
(-PPN)]]*Table43[[#This Row],[ISI/CTN]]</f>
        <v>300135</v>
      </c>
      <c r="AQ622" s="38">
        <f>Table43[[#This Row],[Harga Beli Pcs
(-PPN)]]*1.11</f>
        <v>55524.975000000006</v>
      </c>
      <c r="AR622" s="38">
        <f>Table43[[#This Row],[Harga Beli Krt
(- PPN)]]*1.11</f>
        <v>333149.85000000003</v>
      </c>
      <c r="AS622" s="38">
        <v>53500</v>
      </c>
      <c r="AT622" s="38">
        <f>Table43[[#This Row],[Harga Jual Pcs GT
(-PPN)]]*Table43[[#This Row],[ISI/CTN]]</f>
        <v>321000</v>
      </c>
      <c r="AU622" s="38">
        <f>Table43[[#This Row],[Harga Jual Pcs GT
(-PPN)]]*1.11</f>
        <v>59385.000000000007</v>
      </c>
      <c r="AV622" s="38">
        <f>Table43[[#This Row],[Harga Jual Krt GT
(- PPN)]]*1.11</f>
        <v>356310.00000000006</v>
      </c>
      <c r="AW622" s="38">
        <f>IFERROR(VLOOKUP(Table43[[#This Row],[Kode Pcpl]],'[1]FEB 2026'!$A$3:$X$312,24,0),0)</f>
        <v>0</v>
      </c>
      <c r="AX622" s="38">
        <f>Table43[[#This Row],[Harga Jual Pcs MT
(-PPN)]]*Table43[[#This Row],[ISI/CTN]]</f>
        <v>0</v>
      </c>
      <c r="AY622" s="38">
        <f>Table43[[#This Row],[Harga Jual Pcs MT
(-PPN)]]*1.11</f>
        <v>0</v>
      </c>
      <c r="AZ622" s="38">
        <f>Table43[[#This Row],[Harga Jual Pcs MT
(+PPN)]]*Table43[[#This Row],[ISI/CTN]]</f>
        <v>0</v>
      </c>
      <c r="BA622" s="46">
        <f>(Table43[[#This Row],[Harga Jual Pcs GT
(-PPN)]]-Table43[[#This Row],[Harga Beli Pcs
(-PPN)]])/Table43[[#This Row],[Harga Jual Pcs GT
(-PPN)]]</f>
        <v>6.5000000000000002E-2</v>
      </c>
      <c r="BB622" s="53">
        <f>Table43[[#This Row],[Harga Jual Pcs MT
(-PPN)]]-Table43[[#This Row],[Harga Beli Pcs
(-PPN)]]</f>
        <v>-50022.5</v>
      </c>
      <c r="BC622" s="54" t="e">
        <f>Table43[[#This Row],[Column1]]/Table43[[#This Row],[Harga Jual Pcs MT
(-PPN)]]</f>
        <v>#DIV/0!</v>
      </c>
      <c r="BD622" s="52"/>
      <c r="BE622" s="7"/>
      <c r="BF622" s="7" t="str">
        <f ca="1">IF(TODAY()-Table43[[#This Row],[Efektif
Pembuatan]]&gt;60,"Lama","Baru")</f>
        <v>Lama</v>
      </c>
      <c r="BG622" s="7" t="str">
        <f ca="1">IF(TODAY()-Table43[[#This Row],[Efektif Naik Harga]]&lt;30,"Naik","Sama")</f>
        <v>Sama</v>
      </c>
      <c r="BH622" s="7"/>
      <c r="BI622" s="7" t="str">
        <f>IF(Table43[[#This Row],[Kode BARANG Win2]]&lt;&gt;"","IDR","")</f>
        <v>IDR</v>
      </c>
      <c r="BJ622" s="7" t="str">
        <f>CONCATENATE(Table43[[#This Row],[kode  1 Digit
(Nomor)]],Table43[[#This Row],[kode  4 Digit                (Nomor)]])</f>
        <v>0160</v>
      </c>
      <c r="BK622" s="7" t="str">
        <f>Table43[[#This Row],[Nama            Gramasi atau Jumlah Pack per CTN]]</f>
        <v>160ML</v>
      </c>
      <c r="BL622" s="7"/>
      <c r="BM622" s="7"/>
      <c r="BN622" s="4" t="str">
        <f>IF(Table43[[#This Row],[SATUAN Fix Win]]&lt;&gt;"","KRT")</f>
        <v>KRT</v>
      </c>
      <c r="BO622" s="4" t="str">
        <f>IF(Table43[[#This Row],[SATUAN Fix Win]]&lt;&gt;"","GD01")</f>
        <v>GD01</v>
      </c>
      <c r="BP622" s="4">
        <f>IF(Table43[[#This Row],[SATUAN Fix Win]]&lt;&gt;"",11611)</f>
        <v>11611</v>
      </c>
      <c r="BQ622" s="4">
        <f>IF(Table43[[#This Row],[SATUAN Fix Win]]&lt;&gt;"",11612)</f>
        <v>11612</v>
      </c>
      <c r="BS622" s="4">
        <f>IF(Table43[[#This Row],[SATUAN Fix Win]]&lt;&gt;"",1)</f>
        <v>1</v>
      </c>
      <c r="BU622" s="4">
        <f>Table43[[#This Row],[ISI/CTN]]</f>
        <v>6</v>
      </c>
    </row>
    <row r="623" spans="1:75">
      <c r="A623" s="4" t="str">
        <f>CONCATENATE(Table43[[#This Row],[Kode BARANG Win2]],Table43[[#This Row],[No. Urut
Item Sama]])</f>
        <v>G1270205016010</v>
      </c>
      <c r="B623" s="7"/>
      <c r="C623" s="31">
        <v>30631040010000</v>
      </c>
      <c r="D623" s="51">
        <v>40059942</v>
      </c>
      <c r="E623" s="27" t="s">
        <v>2169</v>
      </c>
      <c r="F623" s="51">
        <v>30611040225011</v>
      </c>
      <c r="G623" s="51">
        <v>0</v>
      </c>
      <c r="H623" s="27" t="s">
        <v>1521</v>
      </c>
      <c r="I623" s="27">
        <v>6</v>
      </c>
      <c r="J623" s="51" t="s">
        <v>1836</v>
      </c>
      <c r="K623" s="27" t="str">
        <f>Table43[[#This Row],[NamaJenisKemasan]]</f>
        <v>KLG</v>
      </c>
      <c r="L623" s="4" t="str">
        <f>TRIM(CONCATENATE(Table43[[#This Row],[Nama            KLP]]," ",Table43[[#This Row],[Nama            Sub KLP]]))</f>
        <v>STELLA MATIC</v>
      </c>
      <c r="M623" s="4" t="str">
        <f>CONCATENATE(Table43[[#This Row],[kode  2 Digit                (hrf+No)]],Table43[[#This Row],[kode  2 Digit                (Nomor)]],Table43[[#This Row],[kode  1 Digit                (Nomor)]])</f>
        <v>G1270</v>
      </c>
      <c r="N623" s="4" t="str">
        <f>IF(AI623="",CONCATENATE(S623,U623,W623,Y623,AA623,AC623,AE623,AG623,Table43[[#This Row],[Tanda Kode Revisi]]),CONCATENATE(S623,U623,W623,Y623,AA623,AC623,AE623,AI623))</f>
        <v>G1270205016010</v>
      </c>
      <c r="O623" s="11">
        <f t="shared" si="18"/>
        <v>14</v>
      </c>
      <c r="P623" s="14" t="str">
        <f>IF(AH623&lt;&gt;"",TRIM(UPPER(CONCATENATE(R623," ",T623," ",V623," ",X623," ",Z623," ",AB623," ","X"," ",Table43[[#This Row],[ISI/CTN]]," ",AH623," ",AD623," ",AF623," ",AJ623))),TRIM(UPPER(CONCATENATE(R623," ",T623," ",V623," ",X623," ",Z623," ",AB623," ","X"," ",Table43[[#This Row],[ISI/CTN]]," ",AD623," ",AF623," ",AJ623))))</f>
        <v>STELLA MATIC REFILL MULTI PACK LAVENDER 160ML X 6 KLG</v>
      </c>
      <c r="Q623" s="11">
        <f t="shared" si="19"/>
        <v>53</v>
      </c>
      <c r="S623" s="7" t="s">
        <v>34</v>
      </c>
      <c r="T623" s="4" t="s">
        <v>2359</v>
      </c>
      <c r="U623" s="47" t="s">
        <v>2586</v>
      </c>
      <c r="V623" s="48"/>
      <c r="W623" s="7">
        <v>0</v>
      </c>
      <c r="X623" s="48" t="s">
        <v>2455</v>
      </c>
      <c r="Y623" s="47" t="s">
        <v>2572</v>
      </c>
      <c r="Z623" s="4" t="s">
        <v>2426</v>
      </c>
      <c r="AA623" s="49" t="s">
        <v>2541</v>
      </c>
      <c r="AB623" s="4" t="s">
        <v>2377</v>
      </c>
      <c r="AC623" s="49" t="s">
        <v>2601</v>
      </c>
      <c r="AD623" s="4" t="s">
        <v>2221</v>
      </c>
      <c r="AE623" s="7">
        <v>1</v>
      </c>
      <c r="AG623" s="7">
        <v>0</v>
      </c>
      <c r="AK623" s="70">
        <f>Table43[[#This Row],[Column4]]</f>
        <v>30611040225011</v>
      </c>
      <c r="AN623" s="7">
        <f>Table43[[#This Row],[ISI/CTN]]</f>
        <v>6</v>
      </c>
      <c r="AO623" s="61">
        <f>Table43[[#This Row],[Harga Jual Pcs GT
(-PPN)]]-(Table43[[#This Row],[Harga Jual Pcs GT
(-PPN)]]*6.5%)</f>
        <v>50022.5</v>
      </c>
      <c r="AP623" s="61">
        <f>Table43[[#This Row],[Harga Beli Pcs
(-PPN)]]*Table43[[#This Row],[ISI/CTN]]</f>
        <v>300135</v>
      </c>
      <c r="AQ623" s="61">
        <f>Table43[[#This Row],[Harga Beli Pcs
(-PPN)]]*1.11</f>
        <v>55524.975000000006</v>
      </c>
      <c r="AR623" s="61">
        <f>Table43[[#This Row],[Harga Beli Krt
(- PPN)]]*1.11</f>
        <v>333149.85000000003</v>
      </c>
      <c r="AS623" s="61">
        <v>53500</v>
      </c>
      <c r="AT623" s="61">
        <f>Table43[[#This Row],[Harga Jual Pcs GT
(-PPN)]]*Table43[[#This Row],[ISI/CTN]]</f>
        <v>321000</v>
      </c>
      <c r="AU623" s="61">
        <f>Table43[[#This Row],[Harga Jual Pcs GT
(-PPN)]]*1.11</f>
        <v>59385.000000000007</v>
      </c>
      <c r="AV623" s="61">
        <f>Table43[[#This Row],[Harga Jual Krt GT
(- PPN)]]*1.11</f>
        <v>356310.00000000006</v>
      </c>
      <c r="AW623" s="61">
        <f>IFERROR(VLOOKUP(Table43[[#This Row],[Kode Pcpl]],'[1]FEB 2026'!$A$3:$X$312,24,0),0)</f>
        <v>0</v>
      </c>
      <c r="AX623" s="61">
        <f>Table43[[#This Row],[Harga Jual Pcs MT
(-PPN)]]*Table43[[#This Row],[ISI/CTN]]</f>
        <v>0</v>
      </c>
      <c r="AY623" s="61">
        <f>Table43[[#This Row],[Harga Jual Pcs MT
(-PPN)]]*1.11</f>
        <v>0</v>
      </c>
      <c r="AZ623" s="61">
        <f>Table43[[#This Row],[Harga Jual Pcs MT
(+PPN)]]*Table43[[#This Row],[ISI/CTN]]</f>
        <v>0</v>
      </c>
      <c r="BA623" s="62">
        <f>(Table43[[#This Row],[Harga Jual Pcs GT
(-PPN)]]-Table43[[#This Row],[Harga Beli Pcs
(-PPN)]])/Table43[[#This Row],[Harga Jual Pcs GT
(-PPN)]]</f>
        <v>6.5000000000000002E-2</v>
      </c>
      <c r="BB623" s="63">
        <f>Table43[[#This Row],[Harga Jual Pcs MT
(-PPN)]]-Table43[[#This Row],[Harga Beli Pcs
(-PPN)]]</f>
        <v>-50022.5</v>
      </c>
      <c r="BC623" s="64" t="e">
        <f>Table43[[#This Row],[Column1]]/Table43[[#This Row],[Harga Jual Pcs MT
(-PPN)]]</f>
        <v>#DIV/0!</v>
      </c>
      <c r="BD623" s="52"/>
      <c r="BE623" s="7"/>
      <c r="BF623" s="7" t="str">
        <f ca="1">IF(TODAY()-Table43[[#This Row],[Efektif
Pembuatan]]&gt;60,"Lama","Baru")</f>
        <v>Lama</v>
      </c>
      <c r="BG623" s="7" t="str">
        <f ca="1">IF(TODAY()-Table43[[#This Row],[Efektif Naik Harga]]&lt;30,"Naik","Sama")</f>
        <v>Sama</v>
      </c>
      <c r="BH623" s="7"/>
      <c r="BI623" s="7" t="str">
        <f>IF(Table43[[#This Row],[Kode BARANG Win2]]&lt;&gt;"","IDR","")</f>
        <v>IDR</v>
      </c>
      <c r="BJ623" s="7" t="str">
        <f>CONCATENATE(Table43[[#This Row],[kode  1 Digit
(Nomor)]],Table43[[#This Row],[kode  4 Digit                (Nomor)]])</f>
        <v>0160</v>
      </c>
      <c r="BK623" s="7" t="str">
        <f>Table43[[#This Row],[Nama            Gramasi atau Jumlah Pack per CTN]]</f>
        <v>160ML</v>
      </c>
      <c r="BL623" s="7"/>
      <c r="BM623" s="7"/>
      <c r="BN623" s="4" t="str">
        <f>IF(Table43[[#This Row],[SATUAN Fix Win]]&lt;&gt;"","KRT")</f>
        <v>KRT</v>
      </c>
      <c r="BO623" s="4" t="str">
        <f>IF(Table43[[#This Row],[SATUAN Fix Win]]&lt;&gt;"","GD01")</f>
        <v>GD01</v>
      </c>
      <c r="BP623" s="4">
        <f>IF(Table43[[#This Row],[SATUAN Fix Win]]&lt;&gt;"",11611)</f>
        <v>11611</v>
      </c>
      <c r="BQ623" s="4">
        <f>IF(Table43[[#This Row],[SATUAN Fix Win]]&lt;&gt;"",11612)</f>
        <v>11612</v>
      </c>
      <c r="BS623" s="4">
        <f>IF(Table43[[#This Row],[SATUAN Fix Win]]&lt;&gt;"",1)</f>
        <v>1</v>
      </c>
      <c r="BU623" s="4">
        <f>Table43[[#This Row],[ISI/CTN]]</f>
        <v>6</v>
      </c>
    </row>
    <row r="624" spans="1:75" s="87" customFormat="1">
      <c r="A624" s="4" t="str">
        <f>CONCATENATE(Table43[[#This Row],[Kode BARANG Win2]],Table43[[#This Row],[No. Urut
Item Sama]])</f>
        <v>G1270205016010</v>
      </c>
      <c r="B624" s="7"/>
      <c r="C624" s="31"/>
      <c r="D624" s="51">
        <v>40060566</v>
      </c>
      <c r="E624" s="27"/>
      <c r="F624" s="51"/>
      <c r="G624" s="51"/>
      <c r="H624" s="27"/>
      <c r="I624" s="27">
        <v>6</v>
      </c>
      <c r="J624" s="51" t="s">
        <v>1836</v>
      </c>
      <c r="K624" s="27" t="str">
        <f>Table43[[#This Row],[NamaJenisKemasan]]</f>
        <v>KLG</v>
      </c>
      <c r="L624" s="4" t="str">
        <f>TRIM(CONCATENATE(Table43[[#This Row],[Nama            KLP]]," ",Table43[[#This Row],[Nama            Sub KLP]]))</f>
        <v>STELLA MATIC</v>
      </c>
      <c r="M624" s="4" t="str">
        <f>CONCATENATE(Table43[[#This Row],[kode  2 Digit                (hrf+No)]],Table43[[#This Row],[kode  2 Digit                (Nomor)]],Table43[[#This Row],[kode  1 Digit                (Nomor)]])</f>
        <v>G1270</v>
      </c>
      <c r="N624" s="4" t="str">
        <f>IF(AI624="",CONCATENATE(S624,U624,W624,Y624,AA624,AC624,AE624,AG624,Table43[[#This Row],[Tanda Kode Revisi]]),CONCATENATE(S624,U624,W624,Y624,AA624,AC624,AE624,AI624))</f>
        <v>G1270205016010</v>
      </c>
      <c r="O624" s="11">
        <f t="shared" si="18"/>
        <v>14</v>
      </c>
      <c r="P624" s="14" t="str">
        <f>IF(AH624&lt;&gt;"",TRIM(UPPER(CONCATENATE(R624," ",T624," ",V624," ",X624," ",Z624," ",AB624," ","X"," ",Table43[[#This Row],[ISI/CTN]]," ",AH624," ",AD624," ",AF624," ",AJ624))),TRIM(UPPER(CONCATENATE(R624," ",T624," ",V624," ",X624," ",Z624," ",AB624," ","X"," ",Table43[[#This Row],[ISI/CTN]]," ",AD624," ",AF624," ",AJ624))))</f>
        <v>STELLA MATIC REFILL MULTI PACK LAVENDER 160ML X 6 KLG</v>
      </c>
      <c r="Q624" s="11">
        <f t="shared" si="19"/>
        <v>53</v>
      </c>
      <c r="R624" s="4"/>
      <c r="S624" s="7" t="s">
        <v>34</v>
      </c>
      <c r="T624" s="4" t="s">
        <v>2359</v>
      </c>
      <c r="U624" s="47" t="s">
        <v>2586</v>
      </c>
      <c r="V624" s="48"/>
      <c r="W624" s="7">
        <v>0</v>
      </c>
      <c r="X624" s="48" t="s">
        <v>2455</v>
      </c>
      <c r="Y624" s="47" t="s">
        <v>2572</v>
      </c>
      <c r="Z624" s="4" t="s">
        <v>2426</v>
      </c>
      <c r="AA624" s="49" t="s">
        <v>2541</v>
      </c>
      <c r="AB624" s="4" t="s">
        <v>2377</v>
      </c>
      <c r="AC624" s="49" t="s">
        <v>2601</v>
      </c>
      <c r="AD624" s="4" t="s">
        <v>2221</v>
      </c>
      <c r="AE624" s="7">
        <v>1</v>
      </c>
      <c r="AF624" s="4"/>
      <c r="AG624" s="7">
        <v>0</v>
      </c>
      <c r="AH624" s="7"/>
      <c r="AI624" s="7"/>
      <c r="AJ624" s="7"/>
      <c r="AK624" s="70">
        <f>Table43[[#This Row],[Column4]]</f>
        <v>0</v>
      </c>
      <c r="AL624" s="7"/>
      <c r="AM624" s="7"/>
      <c r="AN624" s="7">
        <f>Table43[[#This Row],[ISI/CTN]]</f>
        <v>6</v>
      </c>
      <c r="AO624" s="61">
        <f>Table43[[#This Row],[Harga Jual Pcs GT
(-PPN)]]-(Table43[[#This Row],[Harga Jual Pcs GT
(-PPN)]]*6.5%)</f>
        <v>50022.5</v>
      </c>
      <c r="AP624" s="61">
        <f>Table43[[#This Row],[Harga Beli Pcs
(-PPN)]]*Table43[[#This Row],[ISI/CTN]]</f>
        <v>300135</v>
      </c>
      <c r="AQ624" s="61">
        <f>Table43[[#This Row],[Harga Beli Pcs
(-PPN)]]*1.11</f>
        <v>55524.975000000006</v>
      </c>
      <c r="AR624" s="61">
        <f>Table43[[#This Row],[Harga Beli Krt
(- PPN)]]*1.11</f>
        <v>333149.85000000003</v>
      </c>
      <c r="AS624" s="61">
        <v>53500</v>
      </c>
      <c r="AT624" s="61">
        <f>Table43[[#This Row],[Harga Jual Pcs GT
(-PPN)]]*Table43[[#This Row],[ISI/CTN]]</f>
        <v>321000</v>
      </c>
      <c r="AU624" s="61">
        <f>Table43[[#This Row],[Harga Jual Pcs GT
(-PPN)]]*1.11</f>
        <v>59385.000000000007</v>
      </c>
      <c r="AV624" s="61">
        <f>Table43[[#This Row],[Harga Jual Krt GT
(- PPN)]]*1.11</f>
        <v>356310.00000000006</v>
      </c>
      <c r="AW624" s="61">
        <f>IFERROR(VLOOKUP(Table43[[#This Row],[Kode Pcpl]],'[1]FEB 2026'!$A$3:$X$312,24,0),0)</f>
        <v>0</v>
      </c>
      <c r="AX624" s="61">
        <f>Table43[[#This Row],[Harga Jual Pcs MT
(-PPN)]]*Table43[[#This Row],[ISI/CTN]]</f>
        <v>0</v>
      </c>
      <c r="AY624" s="61">
        <f>Table43[[#This Row],[Harga Jual Pcs MT
(-PPN)]]*1.11</f>
        <v>0</v>
      </c>
      <c r="AZ624" s="61">
        <f>Table43[[#This Row],[Harga Jual Pcs MT
(+PPN)]]*Table43[[#This Row],[ISI/CTN]]</f>
        <v>0</v>
      </c>
      <c r="BA624" s="62">
        <f>(Table43[[#This Row],[Harga Jual Pcs GT
(-PPN)]]-Table43[[#This Row],[Harga Beli Pcs
(-PPN)]])/Table43[[#This Row],[Harga Jual Pcs GT
(-PPN)]]</f>
        <v>6.5000000000000002E-2</v>
      </c>
      <c r="BB624" s="63">
        <f>Table43[[#This Row],[Harga Jual Pcs MT
(-PPN)]]-Table43[[#This Row],[Harga Beli Pcs
(-PPN)]]</f>
        <v>-50022.5</v>
      </c>
      <c r="BC624" s="64" t="e">
        <f>Table43[[#This Row],[Column1]]/Table43[[#This Row],[Harga Jual Pcs MT
(-PPN)]]</f>
        <v>#DIV/0!</v>
      </c>
      <c r="BD624" s="52"/>
      <c r="BE624" s="7"/>
      <c r="BF624" s="7" t="str">
        <f ca="1">IF(TODAY()-Table43[[#This Row],[Efektif
Pembuatan]]&gt;60,"Lama","Baru")</f>
        <v>Lama</v>
      </c>
      <c r="BG624" s="7" t="str">
        <f ca="1">IF(TODAY()-Table43[[#This Row],[Efektif Naik Harga]]&lt;30,"Naik","Sama")</f>
        <v>Sama</v>
      </c>
      <c r="BH624" s="7"/>
      <c r="BI624" s="7" t="str">
        <f>IF(Table43[[#This Row],[Kode BARANG Win2]]&lt;&gt;"","IDR","")</f>
        <v>IDR</v>
      </c>
      <c r="BJ624" s="7" t="str">
        <f>CONCATENATE(Table43[[#This Row],[kode  1 Digit
(Nomor)]],Table43[[#This Row],[kode  4 Digit                (Nomor)]])</f>
        <v>0160</v>
      </c>
      <c r="BK624" s="7" t="str">
        <f>Table43[[#This Row],[Nama            Gramasi atau Jumlah Pack per CTN]]</f>
        <v>160ML</v>
      </c>
      <c r="BL624" s="7"/>
      <c r="BM624" s="7"/>
      <c r="BN624" s="4" t="str">
        <f>IF(Table43[[#This Row],[SATUAN Fix Win]]&lt;&gt;"","KRT")</f>
        <v>KRT</v>
      </c>
      <c r="BO624" s="4" t="str">
        <f>IF(Table43[[#This Row],[SATUAN Fix Win]]&lt;&gt;"","GD01")</f>
        <v>GD01</v>
      </c>
      <c r="BP624" s="4">
        <f>IF(Table43[[#This Row],[SATUAN Fix Win]]&lt;&gt;"",11611)</f>
        <v>11611</v>
      </c>
      <c r="BQ624" s="4">
        <f>IF(Table43[[#This Row],[SATUAN Fix Win]]&lt;&gt;"",11612)</f>
        <v>11612</v>
      </c>
      <c r="BR624" s="4"/>
      <c r="BS624" s="4">
        <f>IF(Table43[[#This Row],[SATUAN Fix Win]]&lt;&gt;"",1)</f>
        <v>1</v>
      </c>
      <c r="BT624" s="4"/>
      <c r="BU624" s="4">
        <f>Table43[[#This Row],[ISI/CTN]]</f>
        <v>6</v>
      </c>
      <c r="BV624" s="71"/>
      <c r="BW624" s="71"/>
    </row>
    <row r="625" spans="1:75">
      <c r="A625" s="4" t="str">
        <f>CONCATENATE(Table43[[#This Row],[Kode BARANG Win2]],Table43[[#This Row],[No. Urut
Item Sama]])</f>
        <v>G1270205016010</v>
      </c>
      <c r="B625" s="7"/>
      <c r="C625" s="31">
        <v>30682040025010</v>
      </c>
      <c r="D625" s="51">
        <v>40050052</v>
      </c>
      <c r="E625" s="27" t="s">
        <v>2169</v>
      </c>
      <c r="F625" s="51">
        <v>30611040225011</v>
      </c>
      <c r="G625" s="51">
        <v>0</v>
      </c>
      <c r="H625" s="27" t="s">
        <v>1520</v>
      </c>
      <c r="I625" s="27">
        <v>6</v>
      </c>
      <c r="J625" s="51" t="s">
        <v>1836</v>
      </c>
      <c r="K625" s="27" t="str">
        <f>Table43[[#This Row],[NamaJenisKemasan]]</f>
        <v>KLG</v>
      </c>
      <c r="L625" s="4" t="str">
        <f>TRIM(CONCATENATE(Table43[[#This Row],[Nama            KLP]]," ",Table43[[#This Row],[Nama            Sub KLP]]))</f>
        <v>STELLA MATIC</v>
      </c>
      <c r="M625" s="4" t="str">
        <f>CONCATENATE(Table43[[#This Row],[kode  2 Digit                (hrf+No)]],Table43[[#This Row],[kode  2 Digit                (Nomor)]],Table43[[#This Row],[kode  1 Digit                (Nomor)]])</f>
        <v>G1270</v>
      </c>
      <c r="N625" s="4" t="str">
        <f>IF(AI625="",CONCATENATE(S625,U625,W625,Y625,AA625,AC625,AE625,AG625,Table43[[#This Row],[Tanda Kode Revisi]]),CONCATENATE(S625,U625,W625,Y625,AA625,AC625,AE625,AI625))</f>
        <v>G1270205016010</v>
      </c>
      <c r="O625" s="11">
        <f t="shared" si="18"/>
        <v>14</v>
      </c>
      <c r="P625" s="14" t="str">
        <f>IF(AH625&lt;&gt;"",TRIM(UPPER(CONCATENATE(R625," ",T625," ",V625," ",X625," ",Z625," ",AB625," ","X"," ",Table43[[#This Row],[ISI/CTN]]," ",AH625," ",AD625," ",AF625," ",AJ625))),TRIM(UPPER(CONCATENATE(R625," ",T625," ",V625," ",X625," ",Z625," ",AB625," ","X"," ",Table43[[#This Row],[ISI/CTN]]," ",AD625," ",AF625," ",AJ625))))</f>
        <v>STELLA MATIC REFILL MULTI PACK LAVENDER 160ML X 6 KLG</v>
      </c>
      <c r="Q625" s="11">
        <f t="shared" si="19"/>
        <v>53</v>
      </c>
      <c r="S625" s="7" t="s">
        <v>34</v>
      </c>
      <c r="T625" s="4" t="s">
        <v>2359</v>
      </c>
      <c r="U625" s="47" t="s">
        <v>2586</v>
      </c>
      <c r="V625" s="48"/>
      <c r="W625" s="7">
        <v>0</v>
      </c>
      <c r="X625" s="48" t="s">
        <v>2455</v>
      </c>
      <c r="Y625" s="47" t="s">
        <v>2572</v>
      </c>
      <c r="Z625" s="4" t="s">
        <v>2426</v>
      </c>
      <c r="AA625" s="49" t="s">
        <v>2541</v>
      </c>
      <c r="AB625" s="4" t="s">
        <v>2377</v>
      </c>
      <c r="AC625" s="49" t="s">
        <v>2601</v>
      </c>
      <c r="AD625" s="4" t="s">
        <v>2221</v>
      </c>
      <c r="AE625" s="7">
        <v>1</v>
      </c>
      <c r="AG625" s="7">
        <v>0</v>
      </c>
      <c r="AK625" s="70">
        <f>Table43[[#This Row],[Column4]]</f>
        <v>30611040225011</v>
      </c>
      <c r="AN625" s="7">
        <f>Table43[[#This Row],[ISI/CTN]]</f>
        <v>6</v>
      </c>
      <c r="AO625" s="38">
        <f>Table43[[#This Row],[Harga Jual Pcs GT
(-PPN)]]-(Table43[[#This Row],[Harga Jual Pcs GT
(-PPN)]]*6.5%)</f>
        <v>50022.5</v>
      </c>
      <c r="AP625" s="38">
        <f>Table43[[#This Row],[Harga Beli Pcs
(-PPN)]]*Table43[[#This Row],[ISI/CTN]]</f>
        <v>300135</v>
      </c>
      <c r="AQ625" s="38">
        <f>Table43[[#This Row],[Harga Beli Pcs
(-PPN)]]*1.11</f>
        <v>55524.975000000006</v>
      </c>
      <c r="AR625" s="38">
        <f>Table43[[#This Row],[Harga Beli Krt
(- PPN)]]*1.11</f>
        <v>333149.85000000003</v>
      </c>
      <c r="AS625" s="38">
        <v>53500</v>
      </c>
      <c r="AT625" s="38">
        <f>Table43[[#This Row],[Harga Jual Pcs GT
(-PPN)]]*Table43[[#This Row],[ISI/CTN]]</f>
        <v>321000</v>
      </c>
      <c r="AU625" s="38">
        <f>Table43[[#This Row],[Harga Jual Pcs GT
(-PPN)]]*1.11</f>
        <v>59385.000000000007</v>
      </c>
      <c r="AV625" s="38">
        <f>Table43[[#This Row],[Harga Jual Krt GT
(- PPN)]]*1.11</f>
        <v>356310.00000000006</v>
      </c>
      <c r="AW625" s="38">
        <f>IFERROR(VLOOKUP(Table43[[#This Row],[Kode Pcpl]],'[1]FEB 2026'!$A$3:$X$312,24,0),0)</f>
        <v>0</v>
      </c>
      <c r="AX625" s="38">
        <f>Table43[[#This Row],[Harga Jual Pcs MT
(-PPN)]]*Table43[[#This Row],[ISI/CTN]]</f>
        <v>0</v>
      </c>
      <c r="AY625" s="38">
        <f>Table43[[#This Row],[Harga Jual Pcs MT
(-PPN)]]*1.11</f>
        <v>0</v>
      </c>
      <c r="AZ625" s="38">
        <f>Table43[[#This Row],[Harga Jual Pcs MT
(+PPN)]]*Table43[[#This Row],[ISI/CTN]]</f>
        <v>0</v>
      </c>
      <c r="BA625" s="46">
        <f>(Table43[[#This Row],[Harga Jual Pcs GT
(-PPN)]]-Table43[[#This Row],[Harga Beli Pcs
(-PPN)]])/Table43[[#This Row],[Harga Jual Pcs GT
(-PPN)]]</f>
        <v>6.5000000000000002E-2</v>
      </c>
      <c r="BB625" s="53">
        <f>Table43[[#This Row],[Harga Jual Pcs MT
(-PPN)]]-Table43[[#This Row],[Harga Beli Pcs
(-PPN)]]</f>
        <v>-50022.5</v>
      </c>
      <c r="BC625" s="54" t="e">
        <f>Table43[[#This Row],[Column1]]/Table43[[#This Row],[Harga Jual Pcs MT
(-PPN)]]</f>
        <v>#DIV/0!</v>
      </c>
      <c r="BD625" s="52"/>
      <c r="BE625" s="7"/>
      <c r="BF625" s="7" t="str">
        <f ca="1">IF(TODAY()-Table43[[#This Row],[Efektif
Pembuatan]]&gt;60,"Lama","Baru")</f>
        <v>Lama</v>
      </c>
      <c r="BG625" s="7" t="str">
        <f ca="1">IF(TODAY()-Table43[[#This Row],[Efektif Naik Harga]]&lt;30,"Naik","Sama")</f>
        <v>Sama</v>
      </c>
      <c r="BH625" s="7"/>
      <c r="BI625" s="7" t="str">
        <f>IF(Table43[[#This Row],[Kode BARANG Win2]]&lt;&gt;"","IDR","")</f>
        <v>IDR</v>
      </c>
      <c r="BJ625" s="7" t="str">
        <f>CONCATENATE(Table43[[#This Row],[kode  1 Digit
(Nomor)]],Table43[[#This Row],[kode  4 Digit                (Nomor)]])</f>
        <v>0160</v>
      </c>
      <c r="BK625" s="7" t="str">
        <f>Table43[[#This Row],[Nama            Gramasi atau Jumlah Pack per CTN]]</f>
        <v>160ML</v>
      </c>
      <c r="BL625" s="7"/>
      <c r="BM625" s="7"/>
      <c r="BN625" s="4" t="str">
        <f>IF(Table43[[#This Row],[SATUAN Fix Win]]&lt;&gt;"","KRT")</f>
        <v>KRT</v>
      </c>
      <c r="BO625" s="4" t="str">
        <f>IF(Table43[[#This Row],[SATUAN Fix Win]]&lt;&gt;"","GD01")</f>
        <v>GD01</v>
      </c>
      <c r="BP625" s="4">
        <f>IF(Table43[[#This Row],[SATUAN Fix Win]]&lt;&gt;"",11611)</f>
        <v>11611</v>
      </c>
      <c r="BQ625" s="4">
        <f>IF(Table43[[#This Row],[SATUAN Fix Win]]&lt;&gt;"",11612)</f>
        <v>11612</v>
      </c>
      <c r="BS625" s="4">
        <f>IF(Table43[[#This Row],[SATUAN Fix Win]]&lt;&gt;"",1)</f>
        <v>1</v>
      </c>
      <c r="BU625" s="4">
        <f>Table43[[#This Row],[ISI/CTN]]</f>
        <v>6</v>
      </c>
    </row>
    <row r="626" spans="1:75">
      <c r="A626" s="4" t="str">
        <f>CONCATENATE(Table43[[#This Row],[Kode BARANG Win2]],Table43[[#This Row],[No. Urut
Item Sama]])</f>
        <v>G1270206016010</v>
      </c>
      <c r="B626" s="7"/>
      <c r="C626" s="31">
        <v>30631030010000</v>
      </c>
      <c r="D626" s="51">
        <v>40058075</v>
      </c>
      <c r="E626" s="27" t="s">
        <v>2158</v>
      </c>
      <c r="F626" s="51">
        <v>30603050225011</v>
      </c>
      <c r="G626" s="51">
        <v>0</v>
      </c>
      <c r="H626" s="27" t="s">
        <v>1499</v>
      </c>
      <c r="I626" s="27">
        <v>6</v>
      </c>
      <c r="J626" s="51" t="s">
        <v>1825</v>
      </c>
      <c r="K626" s="27" t="str">
        <f>Table43[[#This Row],[NamaJenisKemasan]]</f>
        <v>KLG</v>
      </c>
      <c r="L626" s="4" t="str">
        <f>TRIM(CONCATENATE(Table43[[#This Row],[Nama            KLP]]," ",Table43[[#This Row],[Nama            Sub KLP]]))</f>
        <v>STELLA MATIC</v>
      </c>
      <c r="M626" s="4" t="str">
        <f>CONCATENATE(Table43[[#This Row],[kode  2 Digit                (hrf+No)]],Table43[[#This Row],[kode  2 Digit                (Nomor)]],Table43[[#This Row],[kode  1 Digit                (Nomor)]])</f>
        <v>G1270</v>
      </c>
      <c r="N626" s="4" t="str">
        <f>IF(AI626="",CONCATENATE(S626,U626,W626,Y626,AA626,AC626,AE626,AG626,Table43[[#This Row],[Tanda Kode Revisi]]),CONCATENATE(S626,U626,W626,Y626,AA626,AC626,AE626,AI626))</f>
        <v>G1270206016010</v>
      </c>
      <c r="O626" s="11">
        <f t="shared" si="18"/>
        <v>14</v>
      </c>
      <c r="P626" s="14" t="str">
        <f>IF(AH626&lt;&gt;"",TRIM(UPPER(CONCATENATE(R626," ",T626," ",V626," ",X626," ",Z626," ",AB626," ","X"," ",Table43[[#This Row],[ISI/CTN]]," ",AH626," ",AD626," ",AF626," ",AJ626))),TRIM(UPPER(CONCATENATE(R626," ",T626," ",V626," ",X626," ",Z626," ",AB626," ","X"," ",Table43[[#This Row],[ISI/CTN]]," ",AD626," ",AF626," ",AJ626))))</f>
        <v>STELLA MATIC REFILL MULTI PACK ORANGE 160ML X 6 KLG</v>
      </c>
      <c r="Q626" s="11">
        <f t="shared" si="19"/>
        <v>51</v>
      </c>
      <c r="S626" s="7" t="s">
        <v>34</v>
      </c>
      <c r="T626" s="4" t="s">
        <v>2359</v>
      </c>
      <c r="U626" s="47" t="s">
        <v>2586</v>
      </c>
      <c r="V626" s="48"/>
      <c r="W626" s="7">
        <v>0</v>
      </c>
      <c r="X626" s="48" t="s">
        <v>2455</v>
      </c>
      <c r="Y626" s="47" t="s">
        <v>2572</v>
      </c>
      <c r="Z626" s="4" t="s">
        <v>2251</v>
      </c>
      <c r="AA626" s="49" t="s">
        <v>2542</v>
      </c>
      <c r="AB626" s="4" t="s">
        <v>2377</v>
      </c>
      <c r="AC626" s="49" t="s">
        <v>2601</v>
      </c>
      <c r="AD626" s="4" t="s">
        <v>2221</v>
      </c>
      <c r="AE626" s="7">
        <v>1</v>
      </c>
      <c r="AG626" s="7">
        <v>0</v>
      </c>
      <c r="AK626" s="70">
        <f>Table43[[#This Row],[Column4]]</f>
        <v>30603050225011</v>
      </c>
      <c r="AN626" s="7">
        <f>Table43[[#This Row],[ISI/CTN]]</f>
        <v>6</v>
      </c>
      <c r="AO626" s="61">
        <f>Table43[[#This Row],[Harga Jual Pcs GT
(-PPN)]]-(Table43[[#This Row],[Harga Jual Pcs GT
(-PPN)]]*6.5%)</f>
        <v>50022.5</v>
      </c>
      <c r="AP626" s="61">
        <f>Table43[[#This Row],[Harga Beli Pcs
(-PPN)]]*Table43[[#This Row],[ISI/CTN]]</f>
        <v>300135</v>
      </c>
      <c r="AQ626" s="61">
        <f>Table43[[#This Row],[Harga Beli Pcs
(-PPN)]]*1.11</f>
        <v>55524.975000000006</v>
      </c>
      <c r="AR626" s="61">
        <f>Table43[[#This Row],[Harga Beli Krt
(- PPN)]]*1.11</f>
        <v>333149.85000000003</v>
      </c>
      <c r="AS626" s="61">
        <v>53500</v>
      </c>
      <c r="AT626" s="61">
        <f>Table43[[#This Row],[Harga Jual Pcs GT
(-PPN)]]*Table43[[#This Row],[ISI/CTN]]</f>
        <v>321000</v>
      </c>
      <c r="AU626" s="61">
        <f>Table43[[#This Row],[Harga Jual Pcs GT
(-PPN)]]*1.11</f>
        <v>59385.000000000007</v>
      </c>
      <c r="AV626" s="61">
        <f>Table43[[#This Row],[Harga Jual Krt GT
(- PPN)]]*1.11</f>
        <v>356310.00000000006</v>
      </c>
      <c r="AW626" s="61">
        <f>IFERROR(VLOOKUP(Table43[[#This Row],[Kode Pcpl]],'[1]FEB 2026'!$A$3:$X$312,24,0),0)</f>
        <v>0</v>
      </c>
      <c r="AX626" s="61">
        <f>Table43[[#This Row],[Harga Jual Pcs MT
(-PPN)]]*Table43[[#This Row],[ISI/CTN]]</f>
        <v>0</v>
      </c>
      <c r="AY626" s="61">
        <f>Table43[[#This Row],[Harga Jual Pcs MT
(-PPN)]]*1.11</f>
        <v>0</v>
      </c>
      <c r="AZ626" s="61">
        <f>Table43[[#This Row],[Harga Jual Pcs MT
(+PPN)]]*Table43[[#This Row],[ISI/CTN]]</f>
        <v>0</v>
      </c>
      <c r="BA626" s="62">
        <f>(Table43[[#This Row],[Harga Jual Pcs GT
(-PPN)]]-Table43[[#This Row],[Harga Beli Pcs
(-PPN)]])/Table43[[#This Row],[Harga Jual Pcs GT
(-PPN)]]</f>
        <v>6.5000000000000002E-2</v>
      </c>
      <c r="BB626" s="63">
        <f>Table43[[#This Row],[Harga Jual Pcs MT
(-PPN)]]-Table43[[#This Row],[Harga Beli Pcs
(-PPN)]]</f>
        <v>-50022.5</v>
      </c>
      <c r="BC626" s="64" t="e">
        <f>Table43[[#This Row],[Column1]]/Table43[[#This Row],[Harga Jual Pcs MT
(-PPN)]]</f>
        <v>#DIV/0!</v>
      </c>
      <c r="BD626" s="52"/>
      <c r="BE626" s="7"/>
      <c r="BF626" s="7" t="str">
        <f ca="1">IF(TODAY()-Table43[[#This Row],[Efektif
Pembuatan]]&gt;60,"Lama","Baru")</f>
        <v>Lama</v>
      </c>
      <c r="BG626" s="7" t="str">
        <f ca="1">IF(TODAY()-Table43[[#This Row],[Efektif Naik Harga]]&lt;30,"Naik","Sama")</f>
        <v>Sama</v>
      </c>
      <c r="BH626" s="7"/>
      <c r="BI626" s="7" t="str">
        <f>IF(Table43[[#This Row],[Kode BARANG Win2]]&lt;&gt;"","IDR","")</f>
        <v>IDR</v>
      </c>
      <c r="BJ626" s="7" t="str">
        <f>CONCATENATE(Table43[[#This Row],[kode  1 Digit
(Nomor)]],Table43[[#This Row],[kode  4 Digit                (Nomor)]])</f>
        <v>0160</v>
      </c>
      <c r="BK626" s="7" t="str">
        <f>Table43[[#This Row],[Nama            Gramasi atau Jumlah Pack per CTN]]</f>
        <v>160ML</v>
      </c>
      <c r="BL626" s="7"/>
      <c r="BM626" s="7"/>
      <c r="BN626" s="4" t="str">
        <f>IF(Table43[[#This Row],[SATUAN Fix Win]]&lt;&gt;"","KRT")</f>
        <v>KRT</v>
      </c>
      <c r="BO626" s="4" t="str">
        <f>IF(Table43[[#This Row],[SATUAN Fix Win]]&lt;&gt;"","GD01")</f>
        <v>GD01</v>
      </c>
      <c r="BP626" s="4">
        <f>IF(Table43[[#This Row],[SATUAN Fix Win]]&lt;&gt;"",11611)</f>
        <v>11611</v>
      </c>
      <c r="BQ626" s="4">
        <f>IF(Table43[[#This Row],[SATUAN Fix Win]]&lt;&gt;"",11612)</f>
        <v>11612</v>
      </c>
      <c r="BS626" s="4">
        <f>IF(Table43[[#This Row],[SATUAN Fix Win]]&lt;&gt;"",1)</f>
        <v>1</v>
      </c>
      <c r="BU626" s="4">
        <f>Table43[[#This Row],[ISI/CTN]]</f>
        <v>6</v>
      </c>
    </row>
    <row r="627" spans="1:75">
      <c r="A627" s="4" t="str">
        <f>CONCATENATE(Table43[[#This Row],[Kode BARANG Win2]],Table43[[#This Row],[No. Urut
Item Sama]])</f>
        <v>G1270206016010</v>
      </c>
      <c r="B627" s="7"/>
      <c r="C627" s="31">
        <v>30650010650000</v>
      </c>
      <c r="D627" s="51">
        <v>40050050</v>
      </c>
      <c r="E627" s="27" t="s">
        <v>2158</v>
      </c>
      <c r="F627" s="51">
        <v>30603050225011</v>
      </c>
      <c r="G627" s="51">
        <v>0</v>
      </c>
      <c r="H627" s="27" t="s">
        <v>1498</v>
      </c>
      <c r="I627" s="27">
        <v>6</v>
      </c>
      <c r="J627" s="51" t="s">
        <v>1825</v>
      </c>
      <c r="K627" s="27" t="str">
        <f>Table43[[#This Row],[NamaJenisKemasan]]</f>
        <v>KLG</v>
      </c>
      <c r="L627" s="4" t="str">
        <f>TRIM(CONCATENATE(Table43[[#This Row],[Nama            KLP]]," ",Table43[[#This Row],[Nama            Sub KLP]]))</f>
        <v>STELLA MATIC</v>
      </c>
      <c r="M627" s="4" t="str">
        <f>CONCATENATE(Table43[[#This Row],[kode  2 Digit                (hrf+No)]],Table43[[#This Row],[kode  2 Digit                (Nomor)]],Table43[[#This Row],[kode  1 Digit                (Nomor)]])</f>
        <v>G1270</v>
      </c>
      <c r="N627" s="4" t="str">
        <f>IF(AI627="",CONCATENATE(S627,U627,W627,Y627,AA627,AC627,AE627,AG627,Table43[[#This Row],[Tanda Kode Revisi]]),CONCATENATE(S627,U627,W627,Y627,AA627,AC627,AE627,AI627))</f>
        <v>G1270206016010</v>
      </c>
      <c r="O627" s="11">
        <f t="shared" si="18"/>
        <v>14</v>
      </c>
      <c r="P627" s="14" t="str">
        <f>IF(AH627&lt;&gt;"",TRIM(UPPER(CONCATENATE(R627," ",T627," ",V627," ",X627," ",Z627," ",AB627," ","X"," ",Table43[[#This Row],[ISI/CTN]]," ",AH627," ",AD627," ",AF627," ",AJ627))),TRIM(UPPER(CONCATENATE(R627," ",T627," ",V627," ",X627," ",Z627," ",AB627," ","X"," ",Table43[[#This Row],[ISI/CTN]]," ",AD627," ",AF627," ",AJ627))))</f>
        <v>STELLA MATIC REFILL MULTI PACK ORANGE 160ML X 6 KLG</v>
      </c>
      <c r="Q627" s="11">
        <f t="shared" si="19"/>
        <v>51</v>
      </c>
      <c r="S627" s="7" t="s">
        <v>34</v>
      </c>
      <c r="T627" s="4" t="s">
        <v>2359</v>
      </c>
      <c r="U627" s="47" t="s">
        <v>2586</v>
      </c>
      <c r="V627" s="48"/>
      <c r="W627" s="7">
        <v>0</v>
      </c>
      <c r="X627" s="48" t="s">
        <v>2455</v>
      </c>
      <c r="Y627" s="47" t="s">
        <v>2572</v>
      </c>
      <c r="Z627" s="4" t="s">
        <v>2251</v>
      </c>
      <c r="AA627" s="49" t="s">
        <v>2542</v>
      </c>
      <c r="AB627" s="4" t="s">
        <v>2377</v>
      </c>
      <c r="AC627" s="49" t="s">
        <v>2601</v>
      </c>
      <c r="AD627" s="4" t="s">
        <v>2221</v>
      </c>
      <c r="AE627" s="7">
        <v>1</v>
      </c>
      <c r="AG627" s="7">
        <v>0</v>
      </c>
      <c r="AK627" s="70">
        <f>Table43[[#This Row],[Column4]]</f>
        <v>30603050225011</v>
      </c>
      <c r="AN627" s="7">
        <f>Table43[[#This Row],[ISI/CTN]]</f>
        <v>6</v>
      </c>
      <c r="AO627" s="38">
        <f>Table43[[#This Row],[Harga Jual Pcs GT
(-PPN)]]-(Table43[[#This Row],[Harga Jual Pcs GT
(-PPN)]]*6.5%)</f>
        <v>50022.5</v>
      </c>
      <c r="AP627" s="38">
        <f>Table43[[#This Row],[Harga Beli Pcs
(-PPN)]]*Table43[[#This Row],[ISI/CTN]]</f>
        <v>300135</v>
      </c>
      <c r="AQ627" s="38">
        <f>Table43[[#This Row],[Harga Beli Pcs
(-PPN)]]*1.11</f>
        <v>55524.975000000006</v>
      </c>
      <c r="AR627" s="38">
        <f>Table43[[#This Row],[Harga Beli Krt
(- PPN)]]*1.11</f>
        <v>333149.85000000003</v>
      </c>
      <c r="AS627" s="38">
        <v>53500</v>
      </c>
      <c r="AT627" s="38">
        <f>Table43[[#This Row],[Harga Jual Pcs GT
(-PPN)]]*Table43[[#This Row],[ISI/CTN]]</f>
        <v>321000</v>
      </c>
      <c r="AU627" s="38">
        <f>Table43[[#This Row],[Harga Jual Pcs GT
(-PPN)]]*1.11</f>
        <v>59385.000000000007</v>
      </c>
      <c r="AV627" s="38">
        <f>Table43[[#This Row],[Harga Jual Krt GT
(- PPN)]]*1.11</f>
        <v>356310.00000000006</v>
      </c>
      <c r="AW627" s="38">
        <f>IFERROR(VLOOKUP(Table43[[#This Row],[Kode Pcpl]],'[1]FEB 2026'!$A$3:$X$312,24,0),0)</f>
        <v>0</v>
      </c>
      <c r="AX627" s="38">
        <f>Table43[[#This Row],[Harga Jual Pcs MT
(-PPN)]]*Table43[[#This Row],[ISI/CTN]]</f>
        <v>0</v>
      </c>
      <c r="AY627" s="38">
        <f>Table43[[#This Row],[Harga Jual Pcs MT
(-PPN)]]*1.11</f>
        <v>0</v>
      </c>
      <c r="AZ627" s="38">
        <f>Table43[[#This Row],[Harga Jual Pcs MT
(+PPN)]]*Table43[[#This Row],[ISI/CTN]]</f>
        <v>0</v>
      </c>
      <c r="BA627" s="46">
        <f>(Table43[[#This Row],[Harga Jual Pcs GT
(-PPN)]]-Table43[[#This Row],[Harga Beli Pcs
(-PPN)]])/Table43[[#This Row],[Harga Jual Pcs GT
(-PPN)]]</f>
        <v>6.5000000000000002E-2</v>
      </c>
      <c r="BB627" s="53">
        <f>Table43[[#This Row],[Harga Jual Pcs MT
(-PPN)]]-Table43[[#This Row],[Harga Beli Pcs
(-PPN)]]</f>
        <v>-50022.5</v>
      </c>
      <c r="BC627" s="54" t="e">
        <f>Table43[[#This Row],[Column1]]/Table43[[#This Row],[Harga Jual Pcs MT
(-PPN)]]</f>
        <v>#DIV/0!</v>
      </c>
      <c r="BD627" s="52"/>
      <c r="BE627" s="7"/>
      <c r="BF627" s="7" t="str">
        <f ca="1">IF(TODAY()-Table43[[#This Row],[Efektif
Pembuatan]]&gt;60,"Lama","Baru")</f>
        <v>Lama</v>
      </c>
      <c r="BG627" s="7" t="str">
        <f ca="1">IF(TODAY()-Table43[[#This Row],[Efektif Naik Harga]]&lt;30,"Naik","Sama")</f>
        <v>Sama</v>
      </c>
      <c r="BH627" s="7"/>
      <c r="BI627" s="7" t="str">
        <f>IF(Table43[[#This Row],[Kode BARANG Win2]]&lt;&gt;"","IDR","")</f>
        <v>IDR</v>
      </c>
      <c r="BJ627" s="7" t="str">
        <f>CONCATENATE(Table43[[#This Row],[kode  1 Digit
(Nomor)]],Table43[[#This Row],[kode  4 Digit                (Nomor)]])</f>
        <v>0160</v>
      </c>
      <c r="BK627" s="7" t="str">
        <f>Table43[[#This Row],[Nama            Gramasi atau Jumlah Pack per CTN]]</f>
        <v>160ML</v>
      </c>
      <c r="BL627" s="7"/>
      <c r="BM627" s="7"/>
      <c r="BN627" s="4" t="str">
        <f>IF(Table43[[#This Row],[SATUAN Fix Win]]&lt;&gt;"","KRT")</f>
        <v>KRT</v>
      </c>
      <c r="BO627" s="4" t="str">
        <f>IF(Table43[[#This Row],[SATUAN Fix Win]]&lt;&gt;"","GD01")</f>
        <v>GD01</v>
      </c>
      <c r="BP627" s="4">
        <f>IF(Table43[[#This Row],[SATUAN Fix Win]]&lt;&gt;"",11611)</f>
        <v>11611</v>
      </c>
      <c r="BQ627" s="4">
        <f>IF(Table43[[#This Row],[SATUAN Fix Win]]&lt;&gt;"",11612)</f>
        <v>11612</v>
      </c>
      <c r="BS627" s="4">
        <f>IF(Table43[[#This Row],[SATUAN Fix Win]]&lt;&gt;"",1)</f>
        <v>1</v>
      </c>
      <c r="BU627" s="4">
        <f>Table43[[#This Row],[ISI/CTN]]</f>
        <v>6</v>
      </c>
    </row>
    <row r="628" spans="1:75" s="127" customFormat="1">
      <c r="A628" s="111" t="str">
        <f>CONCATENATE(Table43[[#This Row],[Kode BARANG Win2]],Table43[[#This Row],[No. Urut
Item Sama]])</f>
        <v>G1270206016010</v>
      </c>
      <c r="B628" s="112"/>
      <c r="C628" s="113"/>
      <c r="D628" s="114">
        <v>40059955</v>
      </c>
      <c r="E628" s="115" t="s">
        <v>3440</v>
      </c>
      <c r="F628" s="114"/>
      <c r="G628" s="114"/>
      <c r="H628" s="115"/>
      <c r="I628" s="115"/>
      <c r="J628" s="114"/>
      <c r="K628" s="115" t="str">
        <f>Table43[[#This Row],[NamaJenisKemasan]]</f>
        <v>KLG</v>
      </c>
      <c r="L628" s="111" t="str">
        <f>TRIM(CONCATENATE(Table43[[#This Row],[Nama            KLP]]," ",Table43[[#This Row],[Nama            Sub KLP]]))</f>
        <v>STELLA MATIC</v>
      </c>
      <c r="M628" s="111" t="str">
        <f>CONCATENATE(Table43[[#This Row],[kode  2 Digit                (hrf+No)]],Table43[[#This Row],[kode  2 Digit                (Nomor)]],Table43[[#This Row],[kode  1 Digit                (Nomor)]])</f>
        <v>G1270</v>
      </c>
      <c r="N628" s="111" t="str">
        <f>IF(AI628="",CONCATENATE(S628,U628,W628,Y628,AA628,AC628,AE628,AG628,Table43[[#This Row],[Tanda Kode Revisi]]),CONCATENATE(S628,U628,W628,Y628,AA628,AC628,AE628,AI628))</f>
        <v>G1270206016010</v>
      </c>
      <c r="O628" s="116">
        <f>LEN(N628)</f>
        <v>14</v>
      </c>
      <c r="P628" s="117" t="str">
        <f>IF(AH628&lt;&gt;"",TRIM(UPPER(CONCATENATE(R628," ",T628," ",V628," ",X628," ",Z628," ",AB628," ","X"," ",Table43[[#This Row],[ISI/CTN]]," ",AH628," ",AD628," ",AF628," ",AJ628))),TRIM(UPPER(CONCATENATE(R628," ",T628," ",V628," ",X628," ",Z628," ",AB628," ","X"," ",Table43[[#This Row],[ISI/CTN]]," ",AD628," ",AF628," ",AJ628))))</f>
        <v>STELLA MATIC REFILL MULTI PACK ORANGE 160ML X KLG</v>
      </c>
      <c r="Q628" s="116">
        <f>LEN(P628)</f>
        <v>49</v>
      </c>
      <c r="R628" s="111"/>
      <c r="S628" s="112" t="s">
        <v>34</v>
      </c>
      <c r="T628" s="111" t="s">
        <v>2359</v>
      </c>
      <c r="U628" s="118" t="s">
        <v>2586</v>
      </c>
      <c r="V628" s="119"/>
      <c r="W628" s="112">
        <v>0</v>
      </c>
      <c r="X628" s="119" t="s">
        <v>2455</v>
      </c>
      <c r="Y628" s="118" t="s">
        <v>2572</v>
      </c>
      <c r="Z628" s="111" t="s">
        <v>2251</v>
      </c>
      <c r="AA628" s="120" t="s">
        <v>2542</v>
      </c>
      <c r="AB628" s="111" t="s">
        <v>2377</v>
      </c>
      <c r="AC628" s="120" t="s">
        <v>2601</v>
      </c>
      <c r="AD628" s="111" t="s">
        <v>2221</v>
      </c>
      <c r="AE628" s="112">
        <v>1</v>
      </c>
      <c r="AF628" s="111"/>
      <c r="AG628" s="112">
        <v>0</v>
      </c>
      <c r="AH628" s="112"/>
      <c r="AI628" s="112"/>
      <c r="AJ628" s="112"/>
      <c r="AK628" s="121">
        <f>Table43[[#This Row],[Column4]]</f>
        <v>0</v>
      </c>
      <c r="AL628" s="112"/>
      <c r="AM628" s="112"/>
      <c r="AN628" s="112">
        <f>Table43[[#This Row],[ISI/CTN]]</f>
        <v>0</v>
      </c>
      <c r="AO628" s="122">
        <f>Table43[[#This Row],[Harga Jual Pcs GT
(-PPN)]]-(Table43[[#This Row],[Harga Jual Pcs GT
(-PPN)]]*6.5%)</f>
        <v>0</v>
      </c>
      <c r="AP628" s="122">
        <f>Table43[[#This Row],[Harga Beli Pcs
(-PPN)]]*Table43[[#This Row],[ISI/CTN]]</f>
        <v>0</v>
      </c>
      <c r="AQ628" s="122">
        <f>Table43[[#This Row],[Harga Beli Pcs
(-PPN)]]*1.11</f>
        <v>0</v>
      </c>
      <c r="AR628" s="122">
        <f>Table43[[#This Row],[Harga Beli Krt
(- PPN)]]*1.11</f>
        <v>0</v>
      </c>
      <c r="AS628" s="122"/>
      <c r="AT628" s="122">
        <f>Table43[[#This Row],[Harga Jual Pcs GT
(-PPN)]]*Table43[[#This Row],[ISI/CTN]]</f>
        <v>0</v>
      </c>
      <c r="AU628" s="122">
        <f>Table43[[#This Row],[Harga Jual Pcs GT
(-PPN)]]*1.11</f>
        <v>0</v>
      </c>
      <c r="AV628" s="122">
        <f>Table43[[#This Row],[Harga Jual Krt GT
(- PPN)]]*1.11</f>
        <v>0</v>
      </c>
      <c r="AW628" s="122">
        <f>IFERROR(VLOOKUP(Table43[[#This Row],[Kode Pcpl]],'[1]FEB 2026'!$A$3:$X$312,24,0),0)</f>
        <v>0</v>
      </c>
      <c r="AX628" s="122">
        <f>Table43[[#This Row],[Harga Jual Pcs MT
(-PPN)]]*Table43[[#This Row],[ISI/CTN]]</f>
        <v>0</v>
      </c>
      <c r="AY628" s="122">
        <f>Table43[[#This Row],[Harga Jual Pcs MT
(-PPN)]]*1.11</f>
        <v>0</v>
      </c>
      <c r="AZ628" s="122">
        <f>Table43[[#This Row],[Harga Jual Pcs MT
(+PPN)]]*Table43[[#This Row],[ISI/CTN]]</f>
        <v>0</v>
      </c>
      <c r="BA628" s="123" t="e">
        <f>(Table43[[#This Row],[Harga Jual Pcs GT
(-PPN)]]-Table43[[#This Row],[Harga Beli Pcs
(-PPN)]])/Table43[[#This Row],[Harga Jual Pcs GT
(-PPN)]]</f>
        <v>#DIV/0!</v>
      </c>
      <c r="BB628" s="124">
        <f>Table43[[#This Row],[Harga Jual Pcs MT
(-PPN)]]-Table43[[#This Row],[Harga Beli Pcs
(-PPN)]]</f>
        <v>0</v>
      </c>
      <c r="BC628" s="125" t="e">
        <f>Table43[[#This Row],[Column1]]/Table43[[#This Row],[Harga Jual Pcs MT
(-PPN)]]</f>
        <v>#DIV/0!</v>
      </c>
      <c r="BD628" s="126"/>
      <c r="BE628" s="112"/>
      <c r="BF628" s="112" t="str">
        <f ca="1">IF(TODAY()-Table43[[#This Row],[Efektif
Pembuatan]]&gt;60,"Lama","Baru")</f>
        <v>Lama</v>
      </c>
      <c r="BG628" s="112" t="str">
        <f ca="1">IF(TODAY()-Table43[[#This Row],[Efektif Naik Harga]]&lt;30,"Naik","Sama")</f>
        <v>Sama</v>
      </c>
      <c r="BH628" s="112"/>
      <c r="BI628" s="112" t="str">
        <f>IF(Table43[[#This Row],[Kode BARANG Win2]]&lt;&gt;"","IDR","")</f>
        <v>IDR</v>
      </c>
      <c r="BJ628" s="112" t="str">
        <f>CONCATENATE(Table43[[#This Row],[kode  1 Digit
(Nomor)]],Table43[[#This Row],[kode  4 Digit                (Nomor)]])</f>
        <v>0160</v>
      </c>
      <c r="BK628" s="112" t="str">
        <f>Table43[[#This Row],[Nama            Gramasi atau Jumlah Pack per CTN]]</f>
        <v>160ML</v>
      </c>
      <c r="BL628" s="112"/>
      <c r="BM628" s="112"/>
      <c r="BN628" s="111" t="str">
        <f>IF(Table43[[#This Row],[SATUAN Fix Win]]&lt;&gt;"","KRT")</f>
        <v>KRT</v>
      </c>
      <c r="BO628" s="111" t="str">
        <f>IF(Table43[[#This Row],[SATUAN Fix Win]]&lt;&gt;"","GD01")</f>
        <v>GD01</v>
      </c>
      <c r="BP628" s="111">
        <f>IF(Table43[[#This Row],[SATUAN Fix Win]]&lt;&gt;"",11611)</f>
        <v>11611</v>
      </c>
      <c r="BQ628" s="111">
        <f>IF(Table43[[#This Row],[SATUAN Fix Win]]&lt;&gt;"",11612)</f>
        <v>11612</v>
      </c>
      <c r="BR628" s="111"/>
      <c r="BS628" s="111">
        <f>IF(Table43[[#This Row],[SATUAN Fix Win]]&lt;&gt;"",1)</f>
        <v>1</v>
      </c>
      <c r="BT628" s="111"/>
      <c r="BU628" s="111">
        <f>Table43[[#This Row],[ISI/CTN]]</f>
        <v>0</v>
      </c>
      <c r="BV628" s="111"/>
      <c r="BW628" s="111"/>
    </row>
    <row r="629" spans="1:75">
      <c r="A629" s="4" t="str">
        <f>CONCATENATE(Table43[[#This Row],[Kode BARANG Win2]],Table43[[#This Row],[No. Urut
Item Sama]])</f>
        <v>G1270300000010</v>
      </c>
      <c r="B629" s="7"/>
      <c r="C629" s="31">
        <v>30603070225010</v>
      </c>
      <c r="D629" s="51">
        <v>40024303</v>
      </c>
      <c r="E629" s="27" t="s">
        <v>2151</v>
      </c>
      <c r="F629" s="51">
        <v>30601000000000</v>
      </c>
      <c r="G629" s="51">
        <v>0</v>
      </c>
      <c r="H629" s="27" t="s">
        <v>1480</v>
      </c>
      <c r="I629" s="27">
        <v>12</v>
      </c>
      <c r="J629" s="51" t="s">
        <v>1819</v>
      </c>
      <c r="K629" s="27" t="str">
        <f>Table43[[#This Row],[NamaJenisKemasan]]</f>
        <v>BOX</v>
      </c>
      <c r="L629" s="4" t="str">
        <f>TRIM(CONCATENATE(Table43[[#This Row],[Nama            KLP]]," ",Table43[[#This Row],[Nama            Sub KLP]]))</f>
        <v>STELLA MATIC</v>
      </c>
      <c r="M629" s="4" t="str">
        <f>CONCATENATE(Table43[[#This Row],[kode  2 Digit                (hrf+No)]],Table43[[#This Row],[kode  2 Digit                (Nomor)]],Table43[[#This Row],[kode  1 Digit                (Nomor)]])</f>
        <v>G1270</v>
      </c>
      <c r="N629" s="4" t="str">
        <f>IF(AI629="",CONCATENATE(S629,U629,W629,Y629,AA629,AC629,AE629,AG629,Table43[[#This Row],[Tanda Kode Revisi]]),CONCATENATE(S629,U629,W629,Y629,AA629,AC629,AE629,AI629))</f>
        <v>G1270300000010</v>
      </c>
      <c r="O629" s="11">
        <f t="shared" si="18"/>
        <v>14</v>
      </c>
      <c r="P629" s="14" t="str">
        <f>IF(AH629&lt;&gt;"",TRIM(UPPER(CONCATENATE(R629," ",T629," ",V629," ",X629," ",Z629," ",AB629," ","X"," ",Table43[[#This Row],[ISI/CTN]]," ",AH629," ",AD629," ",AF629," ",AJ629))),TRIM(UPPER(CONCATENATE(R629," ",T629," ",V629," ",X629," ",Z629," ",AB629," ","X"," ",Table43[[#This Row],[ISI/CTN]]," ",AD629," ",AF629," ",AJ629))))</f>
        <v>STELLA MATIC SET X 12 BOX</v>
      </c>
      <c r="Q629" s="11">
        <f t="shared" si="19"/>
        <v>25</v>
      </c>
      <c r="S629" s="7" t="s">
        <v>34</v>
      </c>
      <c r="T629" s="4" t="s">
        <v>2359</v>
      </c>
      <c r="U629" s="47" t="s">
        <v>2586</v>
      </c>
      <c r="V629" s="48"/>
      <c r="W629" s="7">
        <v>0</v>
      </c>
      <c r="X629" s="48" t="s">
        <v>2222</v>
      </c>
      <c r="Y629" s="47" t="s">
        <v>2576</v>
      </c>
      <c r="AA629" s="49" t="s">
        <v>1117</v>
      </c>
      <c r="AC629" s="49" t="s">
        <v>2460</v>
      </c>
      <c r="AD629" s="4" t="s">
        <v>662</v>
      </c>
      <c r="AE629" s="7">
        <v>1</v>
      </c>
      <c r="AG629" s="7">
        <v>0</v>
      </c>
      <c r="AK629" s="70">
        <f>Table43[[#This Row],[Column4]]</f>
        <v>30601000000000</v>
      </c>
      <c r="AN629" s="7">
        <f>Table43[[#This Row],[ISI/CTN]]</f>
        <v>12</v>
      </c>
      <c r="AO629" s="61">
        <f>Table43[[#This Row],[Harga Jual Pcs GT
(-PPN)]]-(Table43[[#This Row],[Harga Jual Pcs GT
(-PPN)]]*6.5%)</f>
        <v>56399.199999999997</v>
      </c>
      <c r="AP629" s="61">
        <f>Table43[[#This Row],[Harga Beli Pcs
(-PPN)]]*Table43[[#This Row],[ISI/CTN]]</f>
        <v>676790.39999999991</v>
      </c>
      <c r="AQ629" s="61">
        <f>Table43[[#This Row],[Harga Beli Pcs
(-PPN)]]*1.11</f>
        <v>62603.112000000001</v>
      </c>
      <c r="AR629" s="61">
        <f>Table43[[#This Row],[Harga Beli Krt
(- PPN)]]*1.11</f>
        <v>751237.34399999992</v>
      </c>
      <c r="AS629" s="61">
        <v>60320</v>
      </c>
      <c r="AT629" s="61">
        <f>Table43[[#This Row],[Harga Jual Pcs GT
(-PPN)]]*Table43[[#This Row],[ISI/CTN]]</f>
        <v>723840</v>
      </c>
      <c r="AU629" s="61">
        <f>Table43[[#This Row],[Harga Jual Pcs GT
(-PPN)]]*1.11</f>
        <v>66955.200000000012</v>
      </c>
      <c r="AV629" s="61">
        <f>Table43[[#This Row],[Harga Jual Krt GT
(- PPN)]]*1.11</f>
        <v>803462.4</v>
      </c>
      <c r="AW629" s="61">
        <f>IFERROR(VLOOKUP(Table43[[#This Row],[Kode Pcpl]],'[1]FEB 2026'!$A$3:$X$312,24,0),0)</f>
        <v>0</v>
      </c>
      <c r="AX629" s="61">
        <f>Table43[[#This Row],[Harga Jual Pcs MT
(-PPN)]]*Table43[[#This Row],[ISI/CTN]]</f>
        <v>0</v>
      </c>
      <c r="AY629" s="61">
        <f>Table43[[#This Row],[Harga Jual Pcs MT
(-PPN)]]*1.11</f>
        <v>0</v>
      </c>
      <c r="AZ629" s="61">
        <f>Table43[[#This Row],[Harga Jual Pcs MT
(+PPN)]]*Table43[[#This Row],[ISI/CTN]]</f>
        <v>0</v>
      </c>
      <c r="BA629" s="62">
        <f>(Table43[[#This Row],[Harga Jual Pcs GT
(-PPN)]]-Table43[[#This Row],[Harga Beli Pcs
(-PPN)]])/Table43[[#This Row],[Harga Jual Pcs GT
(-PPN)]]</f>
        <v>6.5000000000000044E-2</v>
      </c>
      <c r="BB629" s="63">
        <f>Table43[[#This Row],[Harga Jual Pcs MT
(-PPN)]]-Table43[[#This Row],[Harga Beli Pcs
(-PPN)]]</f>
        <v>-56399.199999999997</v>
      </c>
      <c r="BC629" s="64" t="e">
        <f>Table43[[#This Row],[Column1]]/Table43[[#This Row],[Harga Jual Pcs MT
(-PPN)]]</f>
        <v>#DIV/0!</v>
      </c>
      <c r="BD629" s="52"/>
      <c r="BE629" s="7"/>
      <c r="BF629" s="7" t="str">
        <f ca="1">IF(TODAY()-Table43[[#This Row],[Efektif
Pembuatan]]&gt;60,"Lama","Baru")</f>
        <v>Lama</v>
      </c>
      <c r="BG629" s="7" t="str">
        <f ca="1">IF(TODAY()-Table43[[#This Row],[Efektif Naik Harga]]&lt;30,"Naik","Sama")</f>
        <v>Sama</v>
      </c>
      <c r="BH629" s="7"/>
      <c r="BI629" s="7" t="str">
        <f>IF(Table43[[#This Row],[Kode BARANG Win2]]&lt;&gt;"","IDR","")</f>
        <v>IDR</v>
      </c>
      <c r="BJ629" s="7" t="str">
        <f>CONCATENATE(Table43[[#This Row],[kode  1 Digit
(Nomor)]],Table43[[#This Row],[kode  4 Digit                (Nomor)]])</f>
        <v>0000</v>
      </c>
      <c r="BK629" s="7">
        <f>Table43[[#This Row],[Nama            Gramasi atau Jumlah Pack per CTN]]</f>
        <v>0</v>
      </c>
      <c r="BL629" s="7"/>
      <c r="BM629" s="7"/>
      <c r="BN629" s="4" t="str">
        <f>IF(Table43[[#This Row],[SATUAN Fix Win]]&lt;&gt;"","KRT")</f>
        <v>KRT</v>
      </c>
      <c r="BO629" s="4" t="str">
        <f>IF(Table43[[#This Row],[SATUAN Fix Win]]&lt;&gt;"","GD01")</f>
        <v>GD01</v>
      </c>
      <c r="BP629" s="4">
        <f>IF(Table43[[#This Row],[SATUAN Fix Win]]&lt;&gt;"",11611)</f>
        <v>11611</v>
      </c>
      <c r="BQ629" s="4">
        <f>IF(Table43[[#This Row],[SATUAN Fix Win]]&lt;&gt;"",11612)</f>
        <v>11612</v>
      </c>
      <c r="BS629" s="4">
        <f>IF(Table43[[#This Row],[SATUAN Fix Win]]&lt;&gt;"",1)</f>
        <v>1</v>
      </c>
      <c r="BU629" s="4">
        <f>Table43[[#This Row],[ISI/CTN]]</f>
        <v>12</v>
      </c>
    </row>
    <row r="630" spans="1:75">
      <c r="A630" s="4" t="str">
        <f>CONCATENATE(Table43[[#This Row],[Kode BARANG Win2]],Table43[[#This Row],[No. Urut
Item Sama]])</f>
        <v>G1270300000010</v>
      </c>
      <c r="B630" s="7"/>
      <c r="C630" s="31">
        <v>30603070225011</v>
      </c>
      <c r="D630" s="51">
        <v>40058910</v>
      </c>
      <c r="E630" s="27" t="s">
        <v>2151</v>
      </c>
      <c r="F630" s="51">
        <v>30601000000000</v>
      </c>
      <c r="G630" s="51">
        <v>0</v>
      </c>
      <c r="H630" s="27" t="s">
        <v>1483</v>
      </c>
      <c r="I630" s="27">
        <v>12</v>
      </c>
      <c r="J630" s="51" t="s">
        <v>1819</v>
      </c>
      <c r="K630" s="27" t="str">
        <f>Table43[[#This Row],[NamaJenisKemasan]]</f>
        <v>BOX</v>
      </c>
      <c r="L630" s="4" t="str">
        <f>TRIM(CONCATENATE(Table43[[#This Row],[Nama            KLP]]," ",Table43[[#This Row],[Nama            Sub KLP]]))</f>
        <v>STELLA MATIC</v>
      </c>
      <c r="M630" s="4" t="str">
        <f>CONCATENATE(Table43[[#This Row],[kode  2 Digit                (hrf+No)]],Table43[[#This Row],[kode  2 Digit                (Nomor)]],Table43[[#This Row],[kode  1 Digit                (Nomor)]])</f>
        <v>G1270</v>
      </c>
      <c r="N630" s="4" t="str">
        <f>IF(AI630="",CONCATENATE(S630,U630,W630,Y630,AA630,AC630,AE630,AG630,Table43[[#This Row],[Tanda Kode Revisi]]),CONCATENATE(S630,U630,W630,Y630,AA630,AC630,AE630,AI630))</f>
        <v>G1270300000010</v>
      </c>
      <c r="O630" s="11">
        <f t="shared" si="18"/>
        <v>14</v>
      </c>
      <c r="P630" s="14" t="str">
        <f>IF(AH630&lt;&gt;"",TRIM(UPPER(CONCATENATE(R630," ",T630," ",V630," ",X630," ",Z630," ",AB630," ","X"," ",Table43[[#This Row],[ISI/CTN]]," ",AH630," ",AD630," ",AF630," ",AJ630))),TRIM(UPPER(CONCATENATE(R630," ",T630," ",V630," ",X630," ",Z630," ",AB630," ","X"," ",Table43[[#This Row],[ISI/CTN]]," ",AD630," ",AF630," ",AJ630))))</f>
        <v>STELLA MATIC SET X 12 BOX</v>
      </c>
      <c r="Q630" s="11">
        <f t="shared" si="19"/>
        <v>25</v>
      </c>
      <c r="S630" s="7" t="s">
        <v>34</v>
      </c>
      <c r="T630" s="4" t="s">
        <v>2359</v>
      </c>
      <c r="U630" s="47" t="s">
        <v>2586</v>
      </c>
      <c r="V630" s="48"/>
      <c r="W630" s="7">
        <v>0</v>
      </c>
      <c r="X630" s="48" t="s">
        <v>2222</v>
      </c>
      <c r="Y630" s="47" t="s">
        <v>2576</v>
      </c>
      <c r="AA630" s="49" t="s">
        <v>1117</v>
      </c>
      <c r="AC630" s="49" t="s">
        <v>2460</v>
      </c>
      <c r="AD630" s="4" t="s">
        <v>662</v>
      </c>
      <c r="AE630" s="7">
        <v>1</v>
      </c>
      <c r="AG630" s="7">
        <v>0</v>
      </c>
      <c r="AK630" s="70">
        <f>Table43[[#This Row],[Column4]]</f>
        <v>30601000000000</v>
      </c>
      <c r="AN630" s="7">
        <f>Table43[[#This Row],[ISI/CTN]]</f>
        <v>12</v>
      </c>
      <c r="AO630" s="38">
        <f>Table43[[#This Row],[Harga Jual Pcs GT
(-PPN)]]-(Table43[[#This Row],[Harga Jual Pcs GT
(-PPN)]]*6.5%)</f>
        <v>56399.199999999997</v>
      </c>
      <c r="AP630" s="38">
        <f>Table43[[#This Row],[Harga Beli Pcs
(-PPN)]]*Table43[[#This Row],[ISI/CTN]]</f>
        <v>676790.39999999991</v>
      </c>
      <c r="AQ630" s="38">
        <f>Table43[[#This Row],[Harga Beli Pcs
(-PPN)]]*1.11</f>
        <v>62603.112000000001</v>
      </c>
      <c r="AR630" s="38">
        <f>Table43[[#This Row],[Harga Beli Krt
(- PPN)]]*1.11</f>
        <v>751237.34399999992</v>
      </c>
      <c r="AS630" s="38">
        <v>60320</v>
      </c>
      <c r="AT630" s="38">
        <f>Table43[[#This Row],[Harga Jual Pcs GT
(-PPN)]]*Table43[[#This Row],[ISI/CTN]]</f>
        <v>723840</v>
      </c>
      <c r="AU630" s="38">
        <f>Table43[[#This Row],[Harga Jual Pcs GT
(-PPN)]]*1.11</f>
        <v>66955.200000000012</v>
      </c>
      <c r="AV630" s="38">
        <f>Table43[[#This Row],[Harga Jual Krt GT
(- PPN)]]*1.11</f>
        <v>803462.4</v>
      </c>
      <c r="AW630" s="38">
        <f>IFERROR(VLOOKUP(Table43[[#This Row],[Kode Pcpl]],'[1]FEB 2026'!$A$3:$X$312,24,0),0)</f>
        <v>0</v>
      </c>
      <c r="AX630" s="38">
        <f>Table43[[#This Row],[Harga Jual Pcs MT
(-PPN)]]*Table43[[#This Row],[ISI/CTN]]</f>
        <v>0</v>
      </c>
      <c r="AY630" s="38">
        <f>Table43[[#This Row],[Harga Jual Pcs MT
(-PPN)]]*1.11</f>
        <v>0</v>
      </c>
      <c r="AZ630" s="38">
        <f>Table43[[#This Row],[Harga Jual Pcs MT
(+PPN)]]*Table43[[#This Row],[ISI/CTN]]</f>
        <v>0</v>
      </c>
      <c r="BA630" s="46">
        <f>(Table43[[#This Row],[Harga Jual Pcs GT
(-PPN)]]-Table43[[#This Row],[Harga Beli Pcs
(-PPN)]])/Table43[[#This Row],[Harga Jual Pcs GT
(-PPN)]]</f>
        <v>6.5000000000000044E-2</v>
      </c>
      <c r="BB630" s="53">
        <f>Table43[[#This Row],[Harga Jual Pcs MT
(-PPN)]]-Table43[[#This Row],[Harga Beli Pcs
(-PPN)]]</f>
        <v>-56399.199999999997</v>
      </c>
      <c r="BC630" s="54" t="e">
        <f>Table43[[#This Row],[Column1]]/Table43[[#This Row],[Harga Jual Pcs MT
(-PPN)]]</f>
        <v>#DIV/0!</v>
      </c>
      <c r="BD630" s="52"/>
      <c r="BE630" s="7"/>
      <c r="BF630" s="7" t="str">
        <f ca="1">IF(TODAY()-Table43[[#This Row],[Efektif
Pembuatan]]&gt;60,"Lama","Baru")</f>
        <v>Lama</v>
      </c>
      <c r="BG630" s="7" t="str">
        <f ca="1">IF(TODAY()-Table43[[#This Row],[Efektif Naik Harga]]&lt;30,"Naik","Sama")</f>
        <v>Sama</v>
      </c>
      <c r="BH630" s="7"/>
      <c r="BI630" s="7" t="str">
        <f>IF(Table43[[#This Row],[Kode BARANG Win2]]&lt;&gt;"","IDR","")</f>
        <v>IDR</v>
      </c>
      <c r="BJ630" s="7" t="str">
        <f>CONCATENATE(Table43[[#This Row],[kode  1 Digit
(Nomor)]],Table43[[#This Row],[kode  4 Digit                (Nomor)]])</f>
        <v>0000</v>
      </c>
      <c r="BK630" s="7">
        <f>Table43[[#This Row],[Nama            Gramasi atau Jumlah Pack per CTN]]</f>
        <v>0</v>
      </c>
      <c r="BL630" s="7"/>
      <c r="BM630" s="7"/>
      <c r="BN630" s="4" t="str">
        <f>IF(Table43[[#This Row],[SATUAN Fix Win]]&lt;&gt;"","KRT")</f>
        <v>KRT</v>
      </c>
      <c r="BO630" s="4" t="str">
        <f>IF(Table43[[#This Row],[SATUAN Fix Win]]&lt;&gt;"","GD01")</f>
        <v>GD01</v>
      </c>
      <c r="BP630" s="4">
        <f>IF(Table43[[#This Row],[SATUAN Fix Win]]&lt;&gt;"",11611)</f>
        <v>11611</v>
      </c>
      <c r="BQ630" s="4">
        <f>IF(Table43[[#This Row],[SATUAN Fix Win]]&lt;&gt;"",11612)</f>
        <v>11612</v>
      </c>
      <c r="BS630" s="4">
        <f>IF(Table43[[#This Row],[SATUAN Fix Win]]&lt;&gt;"",1)</f>
        <v>1</v>
      </c>
      <c r="BU630" s="4">
        <f>Table43[[#This Row],[ISI/CTN]]</f>
        <v>12</v>
      </c>
    </row>
    <row r="631" spans="1:75">
      <c r="A631" s="4" t="str">
        <f>CONCATENATE(Table43[[#This Row],[Kode BARANG Win2]],Table43[[#This Row],[No. Urut
Item Sama]])</f>
        <v>G1270300000010</v>
      </c>
      <c r="B631" s="7"/>
      <c r="C631" s="31">
        <v>30603090225010</v>
      </c>
      <c r="D631" s="51">
        <v>40057427</v>
      </c>
      <c r="E631" s="27" t="s">
        <v>2151</v>
      </c>
      <c r="F631" s="51">
        <v>30601000000000</v>
      </c>
      <c r="G631" s="51">
        <v>0</v>
      </c>
      <c r="H631" s="27" t="s">
        <v>1481</v>
      </c>
      <c r="I631" s="27">
        <v>12</v>
      </c>
      <c r="J631" s="51" t="s">
        <v>1819</v>
      </c>
      <c r="K631" s="27" t="str">
        <f>Table43[[#This Row],[NamaJenisKemasan]]</f>
        <v>BOX</v>
      </c>
      <c r="L631" s="4" t="str">
        <f>TRIM(CONCATENATE(Table43[[#This Row],[Nama            KLP]]," ",Table43[[#This Row],[Nama            Sub KLP]]))</f>
        <v>STELLA MATIC</v>
      </c>
      <c r="M631" s="4" t="str">
        <f>CONCATENATE(Table43[[#This Row],[kode  2 Digit                (hrf+No)]],Table43[[#This Row],[kode  2 Digit                (Nomor)]],Table43[[#This Row],[kode  1 Digit                (Nomor)]])</f>
        <v>G1270</v>
      </c>
      <c r="N631" s="4" t="str">
        <f>IF(AI631="",CONCATENATE(S631,U631,W631,Y631,AA631,AC631,AE631,AG631,Table43[[#This Row],[Tanda Kode Revisi]]),CONCATENATE(S631,U631,W631,Y631,AA631,AC631,AE631,AI631))</f>
        <v>G1270300000010</v>
      </c>
      <c r="O631" s="11">
        <f t="shared" si="18"/>
        <v>14</v>
      </c>
      <c r="P631" s="14" t="str">
        <f>IF(AH631&lt;&gt;"",TRIM(UPPER(CONCATENATE(R631," ",T631," ",V631," ",X631," ",Z631," ",AB631," ","X"," ",Table43[[#This Row],[ISI/CTN]]," ",AH631," ",AD631," ",AF631," ",AJ631))),TRIM(UPPER(CONCATENATE(R631," ",T631," ",V631," ",X631," ",Z631," ",AB631," ","X"," ",Table43[[#This Row],[ISI/CTN]]," ",AD631," ",AF631," ",AJ631))))</f>
        <v>STELLA MATIC SET X 12 BOX</v>
      </c>
      <c r="Q631" s="11">
        <f t="shared" si="19"/>
        <v>25</v>
      </c>
      <c r="S631" s="7" t="s">
        <v>34</v>
      </c>
      <c r="T631" s="4" t="s">
        <v>2359</v>
      </c>
      <c r="U631" s="47" t="s">
        <v>2586</v>
      </c>
      <c r="V631" s="48"/>
      <c r="W631" s="7">
        <v>0</v>
      </c>
      <c r="X631" s="48" t="s">
        <v>2222</v>
      </c>
      <c r="Y631" s="47" t="s">
        <v>2576</v>
      </c>
      <c r="AA631" s="49" t="s">
        <v>1117</v>
      </c>
      <c r="AC631" s="49" t="s">
        <v>2460</v>
      </c>
      <c r="AD631" s="4" t="s">
        <v>662</v>
      </c>
      <c r="AE631" s="7">
        <v>1</v>
      </c>
      <c r="AG631" s="7">
        <v>0</v>
      </c>
      <c r="AK631" s="70">
        <f>Table43[[#This Row],[Column4]]</f>
        <v>30601000000000</v>
      </c>
      <c r="AN631" s="7">
        <f>Table43[[#This Row],[ISI/CTN]]</f>
        <v>12</v>
      </c>
      <c r="AO631" s="38">
        <f>Table43[[#This Row],[Harga Jual Pcs GT
(-PPN)]]-(Table43[[#This Row],[Harga Jual Pcs GT
(-PPN)]]*6.5%)</f>
        <v>56399.199999999997</v>
      </c>
      <c r="AP631" s="38">
        <f>Table43[[#This Row],[Harga Beli Pcs
(-PPN)]]*Table43[[#This Row],[ISI/CTN]]</f>
        <v>676790.39999999991</v>
      </c>
      <c r="AQ631" s="38">
        <f>Table43[[#This Row],[Harga Beli Pcs
(-PPN)]]*1.11</f>
        <v>62603.112000000001</v>
      </c>
      <c r="AR631" s="38">
        <f>Table43[[#This Row],[Harga Beli Krt
(- PPN)]]*1.11</f>
        <v>751237.34399999992</v>
      </c>
      <c r="AS631" s="38">
        <v>60320</v>
      </c>
      <c r="AT631" s="38">
        <f>Table43[[#This Row],[Harga Jual Pcs GT
(-PPN)]]*Table43[[#This Row],[ISI/CTN]]</f>
        <v>723840</v>
      </c>
      <c r="AU631" s="38">
        <f>Table43[[#This Row],[Harga Jual Pcs GT
(-PPN)]]*1.11</f>
        <v>66955.200000000012</v>
      </c>
      <c r="AV631" s="38">
        <f>Table43[[#This Row],[Harga Jual Krt GT
(- PPN)]]*1.11</f>
        <v>803462.4</v>
      </c>
      <c r="AW631" s="38">
        <f>IFERROR(VLOOKUP(Table43[[#This Row],[Kode Pcpl]],'[1]FEB 2026'!$A$3:$X$312,24,0),0)</f>
        <v>0</v>
      </c>
      <c r="AX631" s="38">
        <f>Table43[[#This Row],[Harga Jual Pcs MT
(-PPN)]]*Table43[[#This Row],[ISI/CTN]]</f>
        <v>0</v>
      </c>
      <c r="AY631" s="38">
        <f>Table43[[#This Row],[Harga Jual Pcs MT
(-PPN)]]*1.11</f>
        <v>0</v>
      </c>
      <c r="AZ631" s="38">
        <f>Table43[[#This Row],[Harga Jual Pcs MT
(+PPN)]]*Table43[[#This Row],[ISI/CTN]]</f>
        <v>0</v>
      </c>
      <c r="BA631" s="46">
        <f>(Table43[[#This Row],[Harga Jual Pcs GT
(-PPN)]]-Table43[[#This Row],[Harga Beli Pcs
(-PPN)]])/Table43[[#This Row],[Harga Jual Pcs GT
(-PPN)]]</f>
        <v>6.5000000000000044E-2</v>
      </c>
      <c r="BB631" s="53">
        <f>Table43[[#This Row],[Harga Jual Pcs MT
(-PPN)]]-Table43[[#This Row],[Harga Beli Pcs
(-PPN)]]</f>
        <v>-56399.199999999997</v>
      </c>
      <c r="BC631" s="54" t="e">
        <f>Table43[[#This Row],[Column1]]/Table43[[#This Row],[Harga Jual Pcs MT
(-PPN)]]</f>
        <v>#DIV/0!</v>
      </c>
      <c r="BD631" s="52"/>
      <c r="BE631" s="7"/>
      <c r="BF631" s="7" t="str">
        <f ca="1">IF(TODAY()-Table43[[#This Row],[Efektif
Pembuatan]]&gt;60,"Lama","Baru")</f>
        <v>Lama</v>
      </c>
      <c r="BG631" s="7" t="str">
        <f ca="1">IF(TODAY()-Table43[[#This Row],[Efektif Naik Harga]]&lt;30,"Naik","Sama")</f>
        <v>Sama</v>
      </c>
      <c r="BH631" s="7"/>
      <c r="BI631" s="7" t="str">
        <f>IF(Table43[[#This Row],[Kode BARANG Win2]]&lt;&gt;"","IDR","")</f>
        <v>IDR</v>
      </c>
      <c r="BJ631" s="7" t="str">
        <f>CONCATENATE(Table43[[#This Row],[kode  1 Digit
(Nomor)]],Table43[[#This Row],[kode  4 Digit                (Nomor)]])</f>
        <v>0000</v>
      </c>
      <c r="BK631" s="7">
        <f>Table43[[#This Row],[Nama            Gramasi atau Jumlah Pack per CTN]]</f>
        <v>0</v>
      </c>
      <c r="BL631" s="7"/>
      <c r="BM631" s="7"/>
      <c r="BN631" s="4" t="str">
        <f>IF(Table43[[#This Row],[SATUAN Fix Win]]&lt;&gt;"","KRT")</f>
        <v>KRT</v>
      </c>
      <c r="BO631" s="4" t="str">
        <f>IF(Table43[[#This Row],[SATUAN Fix Win]]&lt;&gt;"","GD01")</f>
        <v>GD01</v>
      </c>
      <c r="BP631" s="4">
        <f>IF(Table43[[#This Row],[SATUAN Fix Win]]&lt;&gt;"",11611)</f>
        <v>11611</v>
      </c>
      <c r="BQ631" s="4">
        <f>IF(Table43[[#This Row],[SATUAN Fix Win]]&lt;&gt;"",11612)</f>
        <v>11612</v>
      </c>
      <c r="BS631" s="4">
        <f>IF(Table43[[#This Row],[SATUAN Fix Win]]&lt;&gt;"",1)</f>
        <v>1</v>
      </c>
      <c r="BU631" s="4">
        <f>Table43[[#This Row],[ISI/CTN]]</f>
        <v>12</v>
      </c>
    </row>
    <row r="632" spans="1:75">
      <c r="A632" s="4" t="str">
        <f>CONCATENATE(Table43[[#This Row],[Kode BARANG Win2]],Table43[[#This Row],[No. Urut
Item Sama]])</f>
        <v>G1270300000010</v>
      </c>
      <c r="B632" s="7"/>
      <c r="C632" s="31">
        <v>30603070225010</v>
      </c>
      <c r="D632" s="51">
        <v>40060575</v>
      </c>
      <c r="E632" s="27" t="s">
        <v>2152</v>
      </c>
      <c r="F632" s="51">
        <v>30601000000000</v>
      </c>
      <c r="G632" s="51">
        <v>0</v>
      </c>
      <c r="H632" s="27" t="s">
        <v>1484</v>
      </c>
      <c r="I632" s="27">
        <v>12</v>
      </c>
      <c r="J632" s="51" t="s">
        <v>1819</v>
      </c>
      <c r="K632" s="27" t="str">
        <f>Table43[[#This Row],[NamaJenisKemasan]]</f>
        <v>BOX</v>
      </c>
      <c r="L632" s="4" t="str">
        <f>TRIM(CONCATENATE(Table43[[#This Row],[Nama            KLP]]," ",Table43[[#This Row],[Nama            Sub KLP]]))</f>
        <v>STELLA MATIC</v>
      </c>
      <c r="M632" s="4" t="str">
        <f>CONCATENATE(Table43[[#This Row],[kode  2 Digit                (hrf+No)]],Table43[[#This Row],[kode  2 Digit                (Nomor)]],Table43[[#This Row],[kode  1 Digit                (Nomor)]])</f>
        <v>G1270</v>
      </c>
      <c r="N632" s="4" t="str">
        <f>IF(AI632="",CONCATENATE(S632,U632,W632,Y632,AA632,AC632,AE632,AG632,Table43[[#This Row],[Tanda Kode Revisi]]),CONCATENATE(S632,U632,W632,Y632,AA632,AC632,AE632,AI632))</f>
        <v>G1270300000010</v>
      </c>
      <c r="O632" s="11">
        <f t="shared" si="18"/>
        <v>14</v>
      </c>
      <c r="P632" s="14" t="str">
        <f>IF(AH632&lt;&gt;"",TRIM(UPPER(CONCATENATE(R632," ",T632," ",V632," ",X632," ",Z632," ",AB632," ","X"," ",Table43[[#This Row],[ISI/CTN]]," ",AH632," ",AD632," ",AF632," ",AJ632))),TRIM(UPPER(CONCATENATE(R632," ",T632," ",V632," ",X632," ",Z632," ",AB632," ","X"," ",Table43[[#This Row],[ISI/CTN]]," ",AD632," ",AF632," ",AJ632))))</f>
        <v>STELLA MATIC SET X 12 BOX</v>
      </c>
      <c r="Q632" s="11">
        <f t="shared" si="19"/>
        <v>25</v>
      </c>
      <c r="S632" s="7" t="s">
        <v>34</v>
      </c>
      <c r="T632" s="4" t="s">
        <v>2359</v>
      </c>
      <c r="U632" s="47" t="s">
        <v>2586</v>
      </c>
      <c r="V632" s="48"/>
      <c r="W632" s="7">
        <v>0</v>
      </c>
      <c r="X632" s="48" t="s">
        <v>2222</v>
      </c>
      <c r="Y632" s="47" t="s">
        <v>2576</v>
      </c>
      <c r="AA632" s="49" t="s">
        <v>1117</v>
      </c>
      <c r="AC632" s="49" t="s">
        <v>2460</v>
      </c>
      <c r="AD632" s="4" t="s">
        <v>662</v>
      </c>
      <c r="AE632" s="7">
        <v>1</v>
      </c>
      <c r="AG632" s="7">
        <v>0</v>
      </c>
      <c r="AK632" s="70">
        <f>Table43[[#This Row],[Column4]]</f>
        <v>30601000000000</v>
      </c>
      <c r="AN632" s="7">
        <f>Table43[[#This Row],[ISI/CTN]]</f>
        <v>12</v>
      </c>
      <c r="AO632" s="38">
        <f>Table43[[#This Row],[Harga Jual Pcs GT
(-PPN)]]-(Table43[[#This Row],[Harga Jual Pcs GT
(-PPN)]]*6.5%)</f>
        <v>56399.199999999997</v>
      </c>
      <c r="AP632" s="38">
        <f>Table43[[#This Row],[Harga Beli Pcs
(-PPN)]]*Table43[[#This Row],[ISI/CTN]]</f>
        <v>676790.39999999991</v>
      </c>
      <c r="AQ632" s="38">
        <f>Table43[[#This Row],[Harga Beli Pcs
(-PPN)]]*1.11</f>
        <v>62603.112000000001</v>
      </c>
      <c r="AR632" s="38">
        <f>Table43[[#This Row],[Harga Beli Krt
(- PPN)]]*1.11</f>
        <v>751237.34399999992</v>
      </c>
      <c r="AS632" s="38">
        <v>60320</v>
      </c>
      <c r="AT632" s="38">
        <f>Table43[[#This Row],[Harga Jual Pcs GT
(-PPN)]]*Table43[[#This Row],[ISI/CTN]]</f>
        <v>723840</v>
      </c>
      <c r="AU632" s="38">
        <f>Table43[[#This Row],[Harga Jual Pcs GT
(-PPN)]]*1.11</f>
        <v>66955.200000000012</v>
      </c>
      <c r="AV632" s="38">
        <f>Table43[[#This Row],[Harga Jual Krt GT
(- PPN)]]*1.11</f>
        <v>803462.4</v>
      </c>
      <c r="AW632" s="38">
        <f>IFERROR(VLOOKUP(Table43[[#This Row],[Kode Pcpl]],'[1]FEB 2026'!$A$3:$X$312,24,0),0)</f>
        <v>0</v>
      </c>
      <c r="AX632" s="38">
        <f>Table43[[#This Row],[Harga Jual Pcs MT
(-PPN)]]*Table43[[#This Row],[ISI/CTN]]</f>
        <v>0</v>
      </c>
      <c r="AY632" s="38">
        <f>Table43[[#This Row],[Harga Jual Pcs MT
(-PPN)]]*1.11</f>
        <v>0</v>
      </c>
      <c r="AZ632" s="38">
        <f>Table43[[#This Row],[Harga Jual Pcs MT
(+PPN)]]*Table43[[#This Row],[ISI/CTN]]</f>
        <v>0</v>
      </c>
      <c r="BA632" s="46">
        <f>(Table43[[#This Row],[Harga Jual Pcs GT
(-PPN)]]-Table43[[#This Row],[Harga Beli Pcs
(-PPN)]])/Table43[[#This Row],[Harga Jual Pcs GT
(-PPN)]]</f>
        <v>6.5000000000000044E-2</v>
      </c>
      <c r="BB632" s="53">
        <f>Table43[[#This Row],[Harga Jual Pcs MT
(-PPN)]]-Table43[[#This Row],[Harga Beli Pcs
(-PPN)]]</f>
        <v>-56399.199999999997</v>
      </c>
      <c r="BC632" s="54" t="e">
        <f>Table43[[#This Row],[Column1]]/Table43[[#This Row],[Harga Jual Pcs MT
(-PPN)]]</f>
        <v>#DIV/0!</v>
      </c>
      <c r="BD632" s="52"/>
      <c r="BE632" s="7"/>
      <c r="BF632" s="7" t="str">
        <f ca="1">IF(TODAY()-Table43[[#This Row],[Efektif
Pembuatan]]&gt;60,"Lama","Baru")</f>
        <v>Lama</v>
      </c>
      <c r="BG632" s="7" t="str">
        <f ca="1">IF(TODAY()-Table43[[#This Row],[Efektif Naik Harga]]&lt;30,"Naik","Sama")</f>
        <v>Sama</v>
      </c>
      <c r="BH632" s="7"/>
      <c r="BI632" s="7" t="str">
        <f>IF(Table43[[#This Row],[Kode BARANG Win2]]&lt;&gt;"","IDR","")</f>
        <v>IDR</v>
      </c>
      <c r="BJ632" s="7" t="str">
        <f>CONCATENATE(Table43[[#This Row],[kode  1 Digit
(Nomor)]],Table43[[#This Row],[kode  4 Digit                (Nomor)]])</f>
        <v>0000</v>
      </c>
      <c r="BK632" s="7">
        <f>Table43[[#This Row],[Nama            Gramasi atau Jumlah Pack per CTN]]</f>
        <v>0</v>
      </c>
      <c r="BL632" s="7"/>
      <c r="BM632" s="7"/>
      <c r="BN632" s="4" t="str">
        <f>IF(Table43[[#This Row],[SATUAN Fix Win]]&lt;&gt;"","KRT")</f>
        <v>KRT</v>
      </c>
      <c r="BO632" s="4" t="str">
        <f>IF(Table43[[#This Row],[SATUAN Fix Win]]&lt;&gt;"","GD01")</f>
        <v>GD01</v>
      </c>
      <c r="BP632" s="4">
        <f>IF(Table43[[#This Row],[SATUAN Fix Win]]&lt;&gt;"",11611)</f>
        <v>11611</v>
      </c>
      <c r="BQ632" s="4">
        <f>IF(Table43[[#This Row],[SATUAN Fix Win]]&lt;&gt;"",11612)</f>
        <v>11612</v>
      </c>
      <c r="BS632" s="4">
        <f>IF(Table43[[#This Row],[SATUAN Fix Win]]&lt;&gt;"",1)</f>
        <v>1</v>
      </c>
      <c r="BU632" s="4">
        <f>Table43[[#This Row],[ISI/CTN]]</f>
        <v>12</v>
      </c>
    </row>
    <row r="633" spans="1:75">
      <c r="A633" s="4" t="str">
        <f>CONCATENATE(Table43[[#This Row],[Kode BARANG Win2]],Table43[[#This Row],[No. Urut
Item Sama]])</f>
        <v>G1270300000010</v>
      </c>
      <c r="B633" s="7"/>
      <c r="C633" s="31">
        <v>30603070225011</v>
      </c>
      <c r="D633" s="51">
        <v>40057576</v>
      </c>
      <c r="E633" s="27" t="s">
        <v>2152</v>
      </c>
      <c r="F633" s="51">
        <v>30601000000000</v>
      </c>
      <c r="G633" s="51">
        <v>0</v>
      </c>
      <c r="H633" s="27" t="s">
        <v>1482</v>
      </c>
      <c r="I633" s="27">
        <v>12</v>
      </c>
      <c r="J633" s="51" t="s">
        <v>1819</v>
      </c>
      <c r="K633" s="27" t="str">
        <f>Table43[[#This Row],[NamaJenisKemasan]]</f>
        <v>BOX</v>
      </c>
      <c r="L633" s="4" t="str">
        <f>TRIM(CONCATENATE(Table43[[#This Row],[Nama            KLP]]," ",Table43[[#This Row],[Nama            Sub KLP]]))</f>
        <v>STELLA MATIC</v>
      </c>
      <c r="M633" s="4" t="str">
        <f>CONCATENATE(Table43[[#This Row],[kode  2 Digit                (hrf+No)]],Table43[[#This Row],[kode  2 Digit                (Nomor)]],Table43[[#This Row],[kode  1 Digit                (Nomor)]])</f>
        <v>G1270</v>
      </c>
      <c r="N633" s="4" t="str">
        <f>IF(AI633="",CONCATENATE(S633,U633,W633,Y633,AA633,AC633,AE633,AG633,Table43[[#This Row],[Tanda Kode Revisi]]),CONCATENATE(S633,U633,W633,Y633,AA633,AC633,AE633,AI633))</f>
        <v>G1270300000010</v>
      </c>
      <c r="O633" s="11">
        <f t="shared" si="18"/>
        <v>14</v>
      </c>
      <c r="P633" s="14" t="str">
        <f>IF(AH633&lt;&gt;"",TRIM(UPPER(CONCATENATE(R633," ",T633," ",V633," ",X633," ",Z633," ",AB633," ","X"," ",Table43[[#This Row],[ISI/CTN]]," ",AH633," ",AD633," ",AF633," ",AJ633))),TRIM(UPPER(CONCATENATE(R633," ",T633," ",V633," ",X633," ",Z633," ",AB633," ","X"," ",Table43[[#This Row],[ISI/CTN]]," ",AD633," ",AF633," ",AJ633))))</f>
        <v>STELLA MATIC SET X 12 BOX</v>
      </c>
      <c r="Q633" s="11">
        <f t="shared" si="19"/>
        <v>25</v>
      </c>
      <c r="S633" s="7" t="s">
        <v>34</v>
      </c>
      <c r="T633" s="4" t="s">
        <v>2359</v>
      </c>
      <c r="U633" s="47" t="s">
        <v>2586</v>
      </c>
      <c r="V633" s="48"/>
      <c r="W633" s="7">
        <v>0</v>
      </c>
      <c r="X633" s="48" t="s">
        <v>2222</v>
      </c>
      <c r="Y633" s="47" t="s">
        <v>2576</v>
      </c>
      <c r="AA633" s="49" t="s">
        <v>1117</v>
      </c>
      <c r="AC633" s="49" t="s">
        <v>2460</v>
      </c>
      <c r="AD633" s="4" t="s">
        <v>662</v>
      </c>
      <c r="AE633" s="7">
        <v>1</v>
      </c>
      <c r="AG633" s="7">
        <v>0</v>
      </c>
      <c r="AK633" s="70">
        <f>Table43[[#This Row],[Column4]]</f>
        <v>30601000000000</v>
      </c>
      <c r="AN633" s="7">
        <f>Table43[[#This Row],[ISI/CTN]]</f>
        <v>12</v>
      </c>
      <c r="AO633" s="38">
        <f>Table43[[#This Row],[Harga Jual Pcs GT
(-PPN)]]-(Table43[[#This Row],[Harga Jual Pcs GT
(-PPN)]]*6.5%)</f>
        <v>56399.199999999997</v>
      </c>
      <c r="AP633" s="38">
        <f>Table43[[#This Row],[Harga Beli Pcs
(-PPN)]]*Table43[[#This Row],[ISI/CTN]]</f>
        <v>676790.39999999991</v>
      </c>
      <c r="AQ633" s="38">
        <f>Table43[[#This Row],[Harga Beli Pcs
(-PPN)]]*1.11</f>
        <v>62603.112000000001</v>
      </c>
      <c r="AR633" s="38">
        <f>Table43[[#This Row],[Harga Beli Krt
(- PPN)]]*1.11</f>
        <v>751237.34399999992</v>
      </c>
      <c r="AS633" s="38">
        <v>60320</v>
      </c>
      <c r="AT633" s="38">
        <f>Table43[[#This Row],[Harga Jual Pcs GT
(-PPN)]]*Table43[[#This Row],[ISI/CTN]]</f>
        <v>723840</v>
      </c>
      <c r="AU633" s="38">
        <f>Table43[[#This Row],[Harga Jual Pcs GT
(-PPN)]]*1.11</f>
        <v>66955.200000000012</v>
      </c>
      <c r="AV633" s="38">
        <f>Table43[[#This Row],[Harga Jual Krt GT
(- PPN)]]*1.11</f>
        <v>803462.4</v>
      </c>
      <c r="AW633" s="38">
        <f>IFERROR(VLOOKUP(Table43[[#This Row],[Kode Pcpl]],'[1]FEB 2026'!$A$3:$X$312,24,0),0)</f>
        <v>0</v>
      </c>
      <c r="AX633" s="38">
        <f>Table43[[#This Row],[Harga Jual Pcs MT
(-PPN)]]*Table43[[#This Row],[ISI/CTN]]</f>
        <v>0</v>
      </c>
      <c r="AY633" s="38">
        <f>Table43[[#This Row],[Harga Jual Pcs MT
(-PPN)]]*1.11</f>
        <v>0</v>
      </c>
      <c r="AZ633" s="38">
        <f>Table43[[#This Row],[Harga Jual Pcs MT
(+PPN)]]*Table43[[#This Row],[ISI/CTN]]</f>
        <v>0</v>
      </c>
      <c r="BA633" s="46">
        <f>(Table43[[#This Row],[Harga Jual Pcs GT
(-PPN)]]-Table43[[#This Row],[Harga Beli Pcs
(-PPN)]])/Table43[[#This Row],[Harga Jual Pcs GT
(-PPN)]]</f>
        <v>6.5000000000000044E-2</v>
      </c>
      <c r="BB633" s="53">
        <f>Table43[[#This Row],[Harga Jual Pcs MT
(-PPN)]]-Table43[[#This Row],[Harga Beli Pcs
(-PPN)]]</f>
        <v>-56399.199999999997</v>
      </c>
      <c r="BC633" s="54" t="e">
        <f>Table43[[#This Row],[Column1]]/Table43[[#This Row],[Harga Jual Pcs MT
(-PPN)]]</f>
        <v>#DIV/0!</v>
      </c>
      <c r="BD633" s="52"/>
      <c r="BE633" s="7"/>
      <c r="BF633" s="7" t="str">
        <f ca="1">IF(TODAY()-Table43[[#This Row],[Efektif
Pembuatan]]&gt;60,"Lama","Baru")</f>
        <v>Lama</v>
      </c>
      <c r="BG633" s="7" t="str">
        <f ca="1">IF(TODAY()-Table43[[#This Row],[Efektif Naik Harga]]&lt;30,"Naik","Sama")</f>
        <v>Sama</v>
      </c>
      <c r="BH633" s="7"/>
      <c r="BI633" s="7" t="str">
        <f>IF(Table43[[#This Row],[Kode BARANG Win2]]&lt;&gt;"","IDR","")</f>
        <v>IDR</v>
      </c>
      <c r="BJ633" s="7" t="str">
        <f>CONCATENATE(Table43[[#This Row],[kode  1 Digit
(Nomor)]],Table43[[#This Row],[kode  4 Digit                (Nomor)]])</f>
        <v>0000</v>
      </c>
      <c r="BK633" s="7">
        <f>Table43[[#This Row],[Nama            Gramasi atau Jumlah Pack per CTN]]</f>
        <v>0</v>
      </c>
      <c r="BL633" s="7"/>
      <c r="BM633" s="7"/>
      <c r="BN633" s="4" t="str">
        <f>IF(Table43[[#This Row],[SATUAN Fix Win]]&lt;&gt;"","KRT")</f>
        <v>KRT</v>
      </c>
      <c r="BO633" s="4" t="str">
        <f>IF(Table43[[#This Row],[SATUAN Fix Win]]&lt;&gt;"","GD01")</f>
        <v>GD01</v>
      </c>
      <c r="BP633" s="4">
        <f>IF(Table43[[#This Row],[SATUAN Fix Win]]&lt;&gt;"",11611)</f>
        <v>11611</v>
      </c>
      <c r="BQ633" s="4">
        <f>IF(Table43[[#This Row],[SATUAN Fix Win]]&lt;&gt;"",11612)</f>
        <v>11612</v>
      </c>
      <c r="BS633" s="4">
        <f>IF(Table43[[#This Row],[SATUAN Fix Win]]&lt;&gt;"",1)</f>
        <v>1</v>
      </c>
      <c r="BU633" s="4">
        <f>Table43[[#This Row],[ISI/CTN]]</f>
        <v>12</v>
      </c>
    </row>
    <row r="634" spans="1:75">
      <c r="A634" s="4" t="str">
        <f>CONCATENATE(Table43[[#This Row],[Kode BARANG Win2]],Table43[[#This Row],[No. Urut
Item Sama]])</f>
        <v>G1270300000010</v>
      </c>
      <c r="B634" s="7"/>
      <c r="C634" s="31">
        <v>30685010025010</v>
      </c>
      <c r="D634" s="51">
        <v>40060607</v>
      </c>
      <c r="E634" s="27" t="s">
        <v>2152</v>
      </c>
      <c r="F634" s="51">
        <v>30601000000000</v>
      </c>
      <c r="G634" s="51">
        <v>0</v>
      </c>
      <c r="H634" s="27" t="s">
        <v>1485</v>
      </c>
      <c r="I634" s="27">
        <v>12</v>
      </c>
      <c r="J634" s="51" t="s">
        <v>1819</v>
      </c>
      <c r="K634" s="27" t="str">
        <f>Table43[[#This Row],[NamaJenisKemasan]]</f>
        <v>BOX</v>
      </c>
      <c r="L634" s="4" t="str">
        <f>TRIM(CONCATENATE(Table43[[#This Row],[Nama            KLP]]," ",Table43[[#This Row],[Nama            Sub KLP]]))</f>
        <v>STELLA MATIC</v>
      </c>
      <c r="M634" s="4" t="str">
        <f>CONCATENATE(Table43[[#This Row],[kode  2 Digit                (hrf+No)]],Table43[[#This Row],[kode  2 Digit                (Nomor)]],Table43[[#This Row],[kode  1 Digit                (Nomor)]])</f>
        <v>G1270</v>
      </c>
      <c r="N634" s="4" t="str">
        <f>IF(AI634="",CONCATENATE(S634,U634,W634,Y634,AA634,AC634,AE634,AG634,Table43[[#This Row],[Tanda Kode Revisi]]),CONCATENATE(S634,U634,W634,Y634,AA634,AC634,AE634,AI634))</f>
        <v>G1270300000010</v>
      </c>
      <c r="O634" s="11">
        <f t="shared" si="18"/>
        <v>14</v>
      </c>
      <c r="P634" s="14" t="str">
        <f>IF(AH634&lt;&gt;"",TRIM(UPPER(CONCATENATE(R634," ",T634," ",V634," ",X634," ",Z634," ",AB634," ","X"," ",Table43[[#This Row],[ISI/CTN]]," ",AH634," ",AD634," ",AF634," ",AJ634))),TRIM(UPPER(CONCATENATE(R634," ",T634," ",V634," ",X634," ",Z634," ",AB634," ","X"," ",Table43[[#This Row],[ISI/CTN]]," ",AD634," ",AF634," ",AJ634))))</f>
        <v>STELLA MATIC SET X 12 BOX</v>
      </c>
      <c r="Q634" s="11">
        <f t="shared" si="19"/>
        <v>25</v>
      </c>
      <c r="S634" s="7" t="s">
        <v>34</v>
      </c>
      <c r="T634" s="4" t="s">
        <v>2359</v>
      </c>
      <c r="U634" s="47" t="s">
        <v>2586</v>
      </c>
      <c r="V634" s="48"/>
      <c r="W634" s="7">
        <v>0</v>
      </c>
      <c r="X634" s="48" t="s">
        <v>2222</v>
      </c>
      <c r="Y634" s="47" t="s">
        <v>2576</v>
      </c>
      <c r="AA634" s="49" t="s">
        <v>1117</v>
      </c>
      <c r="AC634" s="49" t="s">
        <v>2460</v>
      </c>
      <c r="AD634" s="4" t="s">
        <v>662</v>
      </c>
      <c r="AE634" s="7">
        <v>1</v>
      </c>
      <c r="AG634" s="7">
        <v>0</v>
      </c>
      <c r="AK634" s="70">
        <f>Table43[[#This Row],[Column4]]</f>
        <v>30601000000000</v>
      </c>
      <c r="AN634" s="7">
        <f>Table43[[#This Row],[ISI/CTN]]</f>
        <v>12</v>
      </c>
      <c r="AO634" s="38">
        <f>Table43[[#This Row],[Harga Jual Pcs GT
(-PPN)]]-(Table43[[#This Row],[Harga Jual Pcs GT
(-PPN)]]*6.5%)</f>
        <v>56399.199999999997</v>
      </c>
      <c r="AP634" s="38">
        <f>Table43[[#This Row],[Harga Beli Pcs
(-PPN)]]*Table43[[#This Row],[ISI/CTN]]</f>
        <v>676790.39999999991</v>
      </c>
      <c r="AQ634" s="38">
        <f>Table43[[#This Row],[Harga Beli Pcs
(-PPN)]]*1.11</f>
        <v>62603.112000000001</v>
      </c>
      <c r="AR634" s="38">
        <f>Table43[[#This Row],[Harga Beli Krt
(- PPN)]]*1.11</f>
        <v>751237.34399999992</v>
      </c>
      <c r="AS634" s="38">
        <v>60320</v>
      </c>
      <c r="AT634" s="38">
        <f>Table43[[#This Row],[Harga Jual Pcs GT
(-PPN)]]*Table43[[#This Row],[ISI/CTN]]</f>
        <v>723840</v>
      </c>
      <c r="AU634" s="38">
        <f>Table43[[#This Row],[Harga Jual Pcs GT
(-PPN)]]*1.11</f>
        <v>66955.200000000012</v>
      </c>
      <c r="AV634" s="38">
        <f>Table43[[#This Row],[Harga Jual Krt GT
(- PPN)]]*1.11</f>
        <v>803462.4</v>
      </c>
      <c r="AW634" s="38">
        <f>IFERROR(VLOOKUP(Table43[[#This Row],[Kode Pcpl]],'[1]FEB 2026'!$A$3:$X$312,24,0),0)</f>
        <v>0</v>
      </c>
      <c r="AX634" s="38">
        <f>Table43[[#This Row],[Harga Jual Pcs MT
(-PPN)]]*Table43[[#This Row],[ISI/CTN]]</f>
        <v>0</v>
      </c>
      <c r="AY634" s="38">
        <f>Table43[[#This Row],[Harga Jual Pcs MT
(-PPN)]]*1.11</f>
        <v>0</v>
      </c>
      <c r="AZ634" s="38">
        <f>Table43[[#This Row],[Harga Jual Pcs MT
(+PPN)]]*Table43[[#This Row],[ISI/CTN]]</f>
        <v>0</v>
      </c>
      <c r="BA634" s="46">
        <f>(Table43[[#This Row],[Harga Jual Pcs GT
(-PPN)]]-Table43[[#This Row],[Harga Beli Pcs
(-PPN)]])/Table43[[#This Row],[Harga Jual Pcs GT
(-PPN)]]</f>
        <v>6.5000000000000044E-2</v>
      </c>
      <c r="BB634" s="53">
        <f>Table43[[#This Row],[Harga Jual Pcs MT
(-PPN)]]-Table43[[#This Row],[Harga Beli Pcs
(-PPN)]]</f>
        <v>-56399.199999999997</v>
      </c>
      <c r="BC634" s="54" t="e">
        <f>Table43[[#This Row],[Column1]]/Table43[[#This Row],[Harga Jual Pcs MT
(-PPN)]]</f>
        <v>#DIV/0!</v>
      </c>
      <c r="BD634" s="52"/>
      <c r="BE634" s="7"/>
      <c r="BF634" s="7" t="str">
        <f ca="1">IF(TODAY()-Table43[[#This Row],[Efektif
Pembuatan]]&gt;60,"Lama","Baru")</f>
        <v>Lama</v>
      </c>
      <c r="BG634" s="7" t="str">
        <f ca="1">IF(TODAY()-Table43[[#This Row],[Efektif Naik Harga]]&lt;30,"Naik","Sama")</f>
        <v>Sama</v>
      </c>
      <c r="BH634" s="7"/>
      <c r="BI634" s="7" t="str">
        <f>IF(Table43[[#This Row],[Kode BARANG Win2]]&lt;&gt;"","IDR","")</f>
        <v>IDR</v>
      </c>
      <c r="BJ634" s="7" t="str">
        <f>CONCATENATE(Table43[[#This Row],[kode  1 Digit
(Nomor)]],Table43[[#This Row],[kode  4 Digit                (Nomor)]])</f>
        <v>0000</v>
      </c>
      <c r="BK634" s="7">
        <f>Table43[[#This Row],[Nama            Gramasi atau Jumlah Pack per CTN]]</f>
        <v>0</v>
      </c>
      <c r="BL634" s="7"/>
      <c r="BM634" s="7"/>
      <c r="BN634" s="4" t="str">
        <f>IF(Table43[[#This Row],[SATUAN Fix Win]]&lt;&gt;"","KRT")</f>
        <v>KRT</v>
      </c>
      <c r="BO634" s="4" t="str">
        <f>IF(Table43[[#This Row],[SATUAN Fix Win]]&lt;&gt;"","GD01")</f>
        <v>GD01</v>
      </c>
      <c r="BP634" s="4">
        <f>IF(Table43[[#This Row],[SATUAN Fix Win]]&lt;&gt;"",11611)</f>
        <v>11611</v>
      </c>
      <c r="BQ634" s="4">
        <f>IF(Table43[[#This Row],[SATUAN Fix Win]]&lt;&gt;"",11612)</f>
        <v>11612</v>
      </c>
      <c r="BS634" s="4">
        <f>IF(Table43[[#This Row],[SATUAN Fix Win]]&lt;&gt;"",1)</f>
        <v>1</v>
      </c>
      <c r="BU634" s="4">
        <f>Table43[[#This Row],[ISI/CTN]]</f>
        <v>12</v>
      </c>
    </row>
    <row r="635" spans="1:75">
      <c r="A635" s="4" t="str">
        <f>CONCATENATE(Table43[[#This Row],[Kode BARANG Win2]],Table43[[#This Row],[No. Urut
Item Sama]])</f>
        <v>G1270300000010</v>
      </c>
      <c r="B635" s="7"/>
      <c r="C635" s="31">
        <v>30685050025010</v>
      </c>
      <c r="D635" s="51">
        <v>40060758</v>
      </c>
      <c r="E635" s="27" t="s">
        <v>2152</v>
      </c>
      <c r="F635" s="51">
        <v>30601000000000</v>
      </c>
      <c r="G635" s="51">
        <v>0</v>
      </c>
      <c r="H635" s="27" t="s">
        <v>1486</v>
      </c>
      <c r="I635" s="27">
        <v>12</v>
      </c>
      <c r="J635" s="51" t="s">
        <v>1819</v>
      </c>
      <c r="K635" s="27" t="str">
        <f>Table43[[#This Row],[NamaJenisKemasan]]</f>
        <v>BOX</v>
      </c>
      <c r="L635" s="4" t="str">
        <f>TRIM(CONCATENATE(Table43[[#This Row],[Nama            KLP]]," ",Table43[[#This Row],[Nama            Sub KLP]]))</f>
        <v>STELLA MATIC</v>
      </c>
      <c r="M635" s="4" t="str">
        <f>CONCATENATE(Table43[[#This Row],[kode  2 Digit                (hrf+No)]],Table43[[#This Row],[kode  2 Digit                (Nomor)]],Table43[[#This Row],[kode  1 Digit                (Nomor)]])</f>
        <v>G1270</v>
      </c>
      <c r="N635" s="4" t="str">
        <f>IF(AI635="",CONCATENATE(S635,U635,W635,Y635,AA635,AC635,AE635,AG635,Table43[[#This Row],[Tanda Kode Revisi]]),CONCATENATE(S635,U635,W635,Y635,AA635,AC635,AE635,AI635))</f>
        <v>G1270300000010</v>
      </c>
      <c r="O635" s="11">
        <f t="shared" si="18"/>
        <v>14</v>
      </c>
      <c r="P635" s="14" t="str">
        <f>IF(AH635&lt;&gt;"",TRIM(UPPER(CONCATENATE(R635," ",T635," ",V635," ",X635," ",Z635," ",AB635," ","X"," ",Table43[[#This Row],[ISI/CTN]]," ",AH635," ",AD635," ",AF635," ",AJ635))),TRIM(UPPER(CONCATENATE(R635," ",T635," ",V635," ",X635," ",Z635," ",AB635," ","X"," ",Table43[[#This Row],[ISI/CTN]]," ",AD635," ",AF635," ",AJ635))))</f>
        <v>STELLA MATIC SET X 12 BOX</v>
      </c>
      <c r="Q635" s="11">
        <f t="shared" si="19"/>
        <v>25</v>
      </c>
      <c r="S635" s="7" t="s">
        <v>34</v>
      </c>
      <c r="T635" s="4" t="s">
        <v>2359</v>
      </c>
      <c r="U635" s="47" t="s">
        <v>2586</v>
      </c>
      <c r="V635" s="48"/>
      <c r="W635" s="7">
        <v>0</v>
      </c>
      <c r="X635" s="48" t="s">
        <v>2222</v>
      </c>
      <c r="Y635" s="47" t="s">
        <v>2576</v>
      </c>
      <c r="AA635" s="49" t="s">
        <v>1117</v>
      </c>
      <c r="AC635" s="49" t="s">
        <v>2460</v>
      </c>
      <c r="AD635" s="4" t="s">
        <v>662</v>
      </c>
      <c r="AE635" s="7">
        <v>1</v>
      </c>
      <c r="AG635" s="7">
        <v>0</v>
      </c>
      <c r="AK635" s="70">
        <f>Table43[[#This Row],[Column4]]</f>
        <v>30601000000000</v>
      </c>
      <c r="AN635" s="7">
        <f>Table43[[#This Row],[ISI/CTN]]</f>
        <v>12</v>
      </c>
      <c r="AO635" s="38">
        <f>Table43[[#This Row],[Harga Jual Pcs GT
(-PPN)]]-(Table43[[#This Row],[Harga Jual Pcs GT
(-PPN)]]*6.5%)</f>
        <v>56399.199999999997</v>
      </c>
      <c r="AP635" s="38">
        <f>Table43[[#This Row],[Harga Beli Pcs
(-PPN)]]*Table43[[#This Row],[ISI/CTN]]</f>
        <v>676790.39999999991</v>
      </c>
      <c r="AQ635" s="38">
        <f>Table43[[#This Row],[Harga Beli Pcs
(-PPN)]]*1.11</f>
        <v>62603.112000000001</v>
      </c>
      <c r="AR635" s="38">
        <f>Table43[[#This Row],[Harga Beli Krt
(- PPN)]]*1.11</f>
        <v>751237.34399999992</v>
      </c>
      <c r="AS635" s="38">
        <v>60320</v>
      </c>
      <c r="AT635" s="38">
        <f>Table43[[#This Row],[Harga Jual Pcs GT
(-PPN)]]*Table43[[#This Row],[ISI/CTN]]</f>
        <v>723840</v>
      </c>
      <c r="AU635" s="38">
        <f>Table43[[#This Row],[Harga Jual Pcs GT
(-PPN)]]*1.11</f>
        <v>66955.200000000012</v>
      </c>
      <c r="AV635" s="38">
        <f>Table43[[#This Row],[Harga Jual Krt GT
(- PPN)]]*1.11</f>
        <v>803462.4</v>
      </c>
      <c r="AW635" s="38">
        <f>IFERROR(VLOOKUP(Table43[[#This Row],[Kode Pcpl]],'[1]FEB 2026'!$A$3:$X$312,24,0),0)</f>
        <v>0</v>
      </c>
      <c r="AX635" s="38">
        <f>Table43[[#This Row],[Harga Jual Pcs MT
(-PPN)]]*Table43[[#This Row],[ISI/CTN]]</f>
        <v>0</v>
      </c>
      <c r="AY635" s="38">
        <f>Table43[[#This Row],[Harga Jual Pcs MT
(-PPN)]]*1.11</f>
        <v>0</v>
      </c>
      <c r="AZ635" s="38">
        <f>Table43[[#This Row],[Harga Jual Pcs MT
(+PPN)]]*Table43[[#This Row],[ISI/CTN]]</f>
        <v>0</v>
      </c>
      <c r="BA635" s="46">
        <f>(Table43[[#This Row],[Harga Jual Pcs GT
(-PPN)]]-Table43[[#This Row],[Harga Beli Pcs
(-PPN)]])/Table43[[#This Row],[Harga Jual Pcs GT
(-PPN)]]</f>
        <v>6.5000000000000044E-2</v>
      </c>
      <c r="BB635" s="53">
        <f>Table43[[#This Row],[Harga Jual Pcs MT
(-PPN)]]-Table43[[#This Row],[Harga Beli Pcs
(-PPN)]]</f>
        <v>-56399.199999999997</v>
      </c>
      <c r="BC635" s="54" t="e">
        <f>Table43[[#This Row],[Column1]]/Table43[[#This Row],[Harga Jual Pcs MT
(-PPN)]]</f>
        <v>#DIV/0!</v>
      </c>
      <c r="BD635" s="52"/>
      <c r="BE635" s="7"/>
      <c r="BF635" s="7" t="str">
        <f ca="1">IF(TODAY()-Table43[[#This Row],[Efektif
Pembuatan]]&gt;60,"Lama","Baru")</f>
        <v>Lama</v>
      </c>
      <c r="BG635" s="7" t="str">
        <f ca="1">IF(TODAY()-Table43[[#This Row],[Efektif Naik Harga]]&lt;30,"Naik","Sama")</f>
        <v>Sama</v>
      </c>
      <c r="BH635" s="7"/>
      <c r="BI635" s="7" t="str">
        <f>IF(Table43[[#This Row],[Kode BARANG Win2]]&lt;&gt;"","IDR","")</f>
        <v>IDR</v>
      </c>
      <c r="BJ635" s="7" t="str">
        <f>CONCATENATE(Table43[[#This Row],[kode  1 Digit
(Nomor)]],Table43[[#This Row],[kode  4 Digit                (Nomor)]])</f>
        <v>0000</v>
      </c>
      <c r="BK635" s="7">
        <f>Table43[[#This Row],[Nama            Gramasi atau Jumlah Pack per CTN]]</f>
        <v>0</v>
      </c>
      <c r="BL635" s="7"/>
      <c r="BM635" s="7"/>
      <c r="BN635" s="4" t="str">
        <f>IF(Table43[[#This Row],[SATUAN Fix Win]]&lt;&gt;"","KRT")</f>
        <v>KRT</v>
      </c>
      <c r="BO635" s="4" t="str">
        <f>IF(Table43[[#This Row],[SATUAN Fix Win]]&lt;&gt;"","GD01")</f>
        <v>GD01</v>
      </c>
      <c r="BP635" s="4">
        <f>IF(Table43[[#This Row],[SATUAN Fix Win]]&lt;&gt;"",11611)</f>
        <v>11611</v>
      </c>
      <c r="BQ635" s="4">
        <f>IF(Table43[[#This Row],[SATUAN Fix Win]]&lt;&gt;"",11612)</f>
        <v>11612</v>
      </c>
      <c r="BS635" s="4">
        <f>IF(Table43[[#This Row],[SATUAN Fix Win]]&lt;&gt;"",1)</f>
        <v>1</v>
      </c>
      <c r="BU635" s="4">
        <f>Table43[[#This Row],[ISI/CTN]]</f>
        <v>12</v>
      </c>
    </row>
    <row r="636" spans="1:75">
      <c r="A636" s="4" t="str">
        <f>CONCATENATE(Table43[[#This Row],[Kode BARANG Win2]],Table43[[#This Row],[No. Urut
Item Sama]])</f>
        <v>G1270300000010</v>
      </c>
      <c r="B636" s="7"/>
      <c r="C636" s="31"/>
      <c r="D636" s="51">
        <v>40013729</v>
      </c>
      <c r="E636" s="27"/>
      <c r="F636" s="51"/>
      <c r="G636" s="51"/>
      <c r="H636" s="27"/>
      <c r="I636" s="27">
        <v>12</v>
      </c>
      <c r="J636" s="51" t="s">
        <v>1819</v>
      </c>
      <c r="K636" s="27" t="str">
        <f>Table43[[#This Row],[NamaJenisKemasan]]</f>
        <v>BOX</v>
      </c>
      <c r="L636" s="4" t="str">
        <f>TRIM(CONCATENATE(Table43[[#This Row],[Nama            KLP]]," ",Table43[[#This Row],[Nama            Sub KLP]]))</f>
        <v>STELLA MATIC</v>
      </c>
      <c r="M636" s="4" t="str">
        <f>CONCATENATE(Table43[[#This Row],[kode  2 Digit                (hrf+No)]],Table43[[#This Row],[kode  2 Digit                (Nomor)]],Table43[[#This Row],[kode  1 Digit                (Nomor)]])</f>
        <v>G1270</v>
      </c>
      <c r="N636" s="4" t="str">
        <f>IF(AI636="",CONCATENATE(S636,U636,W636,Y636,AA636,AC636,AE636,AG636,Table43[[#This Row],[Tanda Kode Revisi]]),CONCATENATE(S636,U636,W636,Y636,AA636,AC636,AE636,AI636))</f>
        <v>G1270300000010</v>
      </c>
      <c r="O636" s="11">
        <f>LEN(N636)</f>
        <v>14</v>
      </c>
      <c r="P636" s="14" t="str">
        <f>IF(AH636&lt;&gt;"",TRIM(UPPER(CONCATENATE(R636," ",T636," ",V636," ",X636," ",Z636," ",AB636," ","X"," ",Table43[[#This Row],[ISI/CTN]]," ",AH636," ",AD636," ",AF636," ",AJ636))),TRIM(UPPER(CONCATENATE(R636," ",T636," ",V636," ",X636," ",Z636," ",AB636," ","X"," ",Table43[[#This Row],[ISI/CTN]]," ",AD636," ",AF636," ",AJ636))))</f>
        <v>STELLA MATIC SET X 12 BOX</v>
      </c>
      <c r="Q636" s="11">
        <f>LEN(P636)</f>
        <v>25</v>
      </c>
      <c r="S636" s="7" t="s">
        <v>34</v>
      </c>
      <c r="T636" s="4" t="s">
        <v>2359</v>
      </c>
      <c r="U636" s="47" t="s">
        <v>2586</v>
      </c>
      <c r="V636" s="48"/>
      <c r="W636" s="7">
        <v>0</v>
      </c>
      <c r="X636" s="48" t="s">
        <v>2222</v>
      </c>
      <c r="Y636" s="47" t="s">
        <v>2576</v>
      </c>
      <c r="AA636" s="49" t="s">
        <v>1117</v>
      </c>
      <c r="AC636" s="49" t="s">
        <v>2460</v>
      </c>
      <c r="AD636" s="4" t="s">
        <v>662</v>
      </c>
      <c r="AE636" s="7">
        <v>1</v>
      </c>
      <c r="AG636" s="7">
        <v>0</v>
      </c>
      <c r="AK636" s="70">
        <f>Table43[[#This Row],[Column4]]</f>
        <v>0</v>
      </c>
      <c r="AN636" s="7">
        <f>Table43[[#This Row],[ISI/CTN]]</f>
        <v>12</v>
      </c>
      <c r="AO636" s="38">
        <f>Table43[[#This Row],[Harga Jual Pcs GT
(-PPN)]]-(Table43[[#This Row],[Harga Jual Pcs GT
(-PPN)]]*6.5%)</f>
        <v>0</v>
      </c>
      <c r="AP636" s="38">
        <f>Table43[[#This Row],[Harga Beli Pcs
(-PPN)]]*Table43[[#This Row],[ISI/CTN]]</f>
        <v>0</v>
      </c>
      <c r="AQ636" s="38">
        <f>Table43[[#This Row],[Harga Beli Pcs
(-PPN)]]*1.11</f>
        <v>0</v>
      </c>
      <c r="AR636" s="38">
        <f>Table43[[#This Row],[Harga Beli Krt
(- PPN)]]*1.11</f>
        <v>0</v>
      </c>
      <c r="AS636" s="38"/>
      <c r="AT636" s="38">
        <f>Table43[[#This Row],[Harga Jual Pcs GT
(-PPN)]]*Table43[[#This Row],[ISI/CTN]]</f>
        <v>0</v>
      </c>
      <c r="AU636" s="38">
        <f>Table43[[#This Row],[Harga Jual Pcs GT
(-PPN)]]*1.11</f>
        <v>0</v>
      </c>
      <c r="AV636" s="38">
        <f>Table43[[#This Row],[Harga Jual Krt GT
(- PPN)]]*1.11</f>
        <v>0</v>
      </c>
      <c r="AW636" s="38">
        <f>IFERROR(VLOOKUP(Table43[[#This Row],[Kode Pcpl]],'[1]FEB 2026'!$A$3:$X$312,24,0),0)</f>
        <v>0</v>
      </c>
      <c r="AX636" s="38">
        <f>Table43[[#This Row],[Harga Jual Pcs MT
(-PPN)]]*Table43[[#This Row],[ISI/CTN]]</f>
        <v>0</v>
      </c>
      <c r="AY636" s="38">
        <f>Table43[[#This Row],[Harga Jual Pcs MT
(-PPN)]]*1.11</f>
        <v>0</v>
      </c>
      <c r="AZ636" s="38">
        <f>Table43[[#This Row],[Harga Jual Pcs MT
(+PPN)]]*Table43[[#This Row],[ISI/CTN]]</f>
        <v>0</v>
      </c>
      <c r="BA636" s="46" t="e">
        <f>(Table43[[#This Row],[Harga Jual Pcs GT
(-PPN)]]-Table43[[#This Row],[Harga Beli Pcs
(-PPN)]])/Table43[[#This Row],[Harga Jual Pcs GT
(-PPN)]]</f>
        <v>#DIV/0!</v>
      </c>
      <c r="BB636" s="53">
        <f>Table43[[#This Row],[Harga Jual Pcs MT
(-PPN)]]-Table43[[#This Row],[Harga Beli Pcs
(-PPN)]]</f>
        <v>0</v>
      </c>
      <c r="BC636" s="54" t="e">
        <f>Table43[[#This Row],[Column1]]/Table43[[#This Row],[Harga Jual Pcs MT
(-PPN)]]</f>
        <v>#DIV/0!</v>
      </c>
      <c r="BD636" s="52"/>
      <c r="BE636" s="7"/>
      <c r="BF636" s="7" t="str">
        <f ca="1">IF(TODAY()-Table43[[#This Row],[Efektif
Pembuatan]]&gt;60,"Lama","Baru")</f>
        <v>Lama</v>
      </c>
      <c r="BG636" s="7" t="str">
        <f ca="1">IF(TODAY()-Table43[[#This Row],[Efektif Naik Harga]]&lt;30,"Naik","Sama")</f>
        <v>Sama</v>
      </c>
      <c r="BH636" s="7"/>
      <c r="BI636" s="7" t="str">
        <f>IF(Table43[[#This Row],[Kode BARANG Win2]]&lt;&gt;"","IDR","")</f>
        <v>IDR</v>
      </c>
      <c r="BJ636" s="7" t="str">
        <f>CONCATENATE(Table43[[#This Row],[kode  1 Digit
(Nomor)]],Table43[[#This Row],[kode  4 Digit                (Nomor)]])</f>
        <v>0000</v>
      </c>
      <c r="BK636" s="7">
        <f>Table43[[#This Row],[Nama            Gramasi atau Jumlah Pack per CTN]]</f>
        <v>0</v>
      </c>
      <c r="BL636" s="7"/>
      <c r="BM636" s="7"/>
      <c r="BN636" s="4" t="str">
        <f>IF(Table43[[#This Row],[SATUAN Fix Win]]&lt;&gt;"","KRT")</f>
        <v>KRT</v>
      </c>
      <c r="BO636" s="4" t="str">
        <f>IF(Table43[[#This Row],[SATUAN Fix Win]]&lt;&gt;"","GD01")</f>
        <v>GD01</v>
      </c>
      <c r="BP636" s="4">
        <f>IF(Table43[[#This Row],[SATUAN Fix Win]]&lt;&gt;"",11611)</f>
        <v>11611</v>
      </c>
      <c r="BQ636" s="4">
        <f>IF(Table43[[#This Row],[SATUAN Fix Win]]&lt;&gt;"",11612)</f>
        <v>11612</v>
      </c>
      <c r="BS636" s="4">
        <f>IF(Table43[[#This Row],[SATUAN Fix Win]]&lt;&gt;"",1)</f>
        <v>1</v>
      </c>
      <c r="BU636" s="4">
        <f>Table43[[#This Row],[ISI/CTN]]</f>
        <v>12</v>
      </c>
    </row>
    <row r="637" spans="1:75">
      <c r="A637" s="4" t="str">
        <f>CONCATENATE(Table43[[#This Row],[Kode BARANG Win2]],Table43[[#This Row],[No. Urut
Item Sama]])</f>
        <v>G1271101004010</v>
      </c>
      <c r="B637" s="7"/>
      <c r="C637" s="31">
        <v>30603110225010</v>
      </c>
      <c r="D637" s="51">
        <v>40028520</v>
      </c>
      <c r="E637" s="27" t="s">
        <v>2174</v>
      </c>
      <c r="F637" s="51">
        <v>30622010040000</v>
      </c>
      <c r="G637" s="51">
        <v>0</v>
      </c>
      <c r="H637" s="27" t="s">
        <v>1528</v>
      </c>
      <c r="I637" s="27">
        <v>24</v>
      </c>
      <c r="J637" s="51" t="s">
        <v>1840</v>
      </c>
      <c r="K637" s="27" t="str">
        <f>Table43[[#This Row],[NamaJenisKemasan]]</f>
        <v>KLG</v>
      </c>
      <c r="L637" s="4" t="str">
        <f>TRIM(CONCATENATE(Table43[[#This Row],[Nama            KLP]]," ",Table43[[#This Row],[Nama            Sub KLP]]))</f>
        <v>STELLA MATIC MINI</v>
      </c>
      <c r="M637" s="4" t="str">
        <f>CONCATENATE(Table43[[#This Row],[kode  2 Digit                (hrf+No)]],Table43[[#This Row],[kode  2 Digit                (Nomor)]],Table43[[#This Row],[kode  1 Digit                (Nomor)]])</f>
        <v>G1271</v>
      </c>
      <c r="N637" s="4" t="str">
        <f>IF(AI637="",CONCATENATE(S637,U637,W637,Y637,AA637,AC637,AE637,AG637,Table43[[#This Row],[Tanda Kode Revisi]]),CONCATENATE(S637,U637,W637,Y637,AA637,AC637,AE637,AI637))</f>
        <v>G1271101004010</v>
      </c>
      <c r="O637" s="11">
        <f t="shared" si="18"/>
        <v>14</v>
      </c>
      <c r="P637" s="14" t="str">
        <f>IF(AH637&lt;&gt;"",TRIM(UPPER(CONCATENATE(R637," ",T637," ",V637," ",X637," ",Z637," ",AB637," ","X"," ",Table43[[#This Row],[ISI/CTN]]," ",AH637," ",AD637," ",AF637," ",AJ637))),TRIM(UPPER(CONCATENATE(R637," ",T637," ",V637," ",X637," ",Z637," ",AB637," ","X"," ",Table43[[#This Row],[ISI/CTN]]," ",AD637," ",AF637," ",AJ637))))</f>
        <v>STELLA MATIC MINI REFILL CAFFE LATTE 40ML X 24 KLG</v>
      </c>
      <c r="Q637" s="11">
        <f t="shared" si="19"/>
        <v>50</v>
      </c>
      <c r="S637" s="7" t="s">
        <v>34</v>
      </c>
      <c r="T637" s="4" t="s">
        <v>2359</v>
      </c>
      <c r="U637" s="47" t="s">
        <v>2586</v>
      </c>
      <c r="V637" s="48" t="s">
        <v>2585</v>
      </c>
      <c r="W637" s="7">
        <v>1</v>
      </c>
      <c r="X637" s="48" t="s">
        <v>2231</v>
      </c>
      <c r="Y637" s="47" t="s">
        <v>2539</v>
      </c>
      <c r="Z637" s="4" t="s">
        <v>2419</v>
      </c>
      <c r="AA637" s="49" t="s">
        <v>1115</v>
      </c>
      <c r="AB637" s="4" t="s">
        <v>2376</v>
      </c>
      <c r="AC637" s="49" t="s">
        <v>2625</v>
      </c>
      <c r="AD637" s="4" t="s">
        <v>2221</v>
      </c>
      <c r="AE637" s="7">
        <v>1</v>
      </c>
      <c r="AG637" s="7">
        <v>0</v>
      </c>
      <c r="AK637" s="70">
        <f>Table43[[#This Row],[Column4]]</f>
        <v>30622010040000</v>
      </c>
      <c r="AN637" s="7">
        <f>Table43[[#This Row],[ISI/CTN]]</f>
        <v>24</v>
      </c>
      <c r="AO637" s="38">
        <f>Table43[[#This Row],[Harga Jual Pcs GT
(-PPN)]]-(Table43[[#This Row],[Harga Jual Pcs GT
(-PPN)]]*6.5%)</f>
        <v>20850.5</v>
      </c>
      <c r="AP637" s="38">
        <f>Table43[[#This Row],[Harga Beli Pcs
(-PPN)]]*Table43[[#This Row],[ISI/CTN]]</f>
        <v>500412</v>
      </c>
      <c r="AQ637" s="38">
        <f>Table43[[#This Row],[Harga Beli Pcs
(-PPN)]]*1.11</f>
        <v>23144.055</v>
      </c>
      <c r="AR637" s="38">
        <f>Table43[[#This Row],[Harga Beli Krt
(- PPN)]]*1.11</f>
        <v>555457.32000000007</v>
      </c>
      <c r="AS637" s="38">
        <v>22300</v>
      </c>
      <c r="AT637" s="38">
        <f>Table43[[#This Row],[Harga Jual Pcs GT
(-PPN)]]*Table43[[#This Row],[ISI/CTN]]</f>
        <v>535200</v>
      </c>
      <c r="AU637" s="38">
        <f>Table43[[#This Row],[Harga Jual Pcs GT
(-PPN)]]*1.11</f>
        <v>24753.000000000004</v>
      </c>
      <c r="AV637" s="38">
        <f>Table43[[#This Row],[Harga Jual Krt GT
(- PPN)]]*1.11</f>
        <v>594072</v>
      </c>
      <c r="AW637" s="38">
        <f>IFERROR(VLOOKUP(Table43[[#This Row],[Kode Pcpl]],'[1]FEB 2026'!$A$3:$X$312,24,0),0)</f>
        <v>0</v>
      </c>
      <c r="AX637" s="38">
        <f>Table43[[#This Row],[Harga Jual Pcs MT
(-PPN)]]*Table43[[#This Row],[ISI/CTN]]</f>
        <v>0</v>
      </c>
      <c r="AY637" s="38">
        <f>Table43[[#This Row],[Harga Jual Pcs MT
(-PPN)]]*1.11</f>
        <v>0</v>
      </c>
      <c r="AZ637" s="38">
        <f>Table43[[#This Row],[Harga Jual Pcs MT
(+PPN)]]*Table43[[#This Row],[ISI/CTN]]</f>
        <v>0</v>
      </c>
      <c r="BA637" s="46">
        <f>(Table43[[#This Row],[Harga Jual Pcs GT
(-PPN)]]-Table43[[#This Row],[Harga Beli Pcs
(-PPN)]])/Table43[[#This Row],[Harga Jual Pcs GT
(-PPN)]]</f>
        <v>6.5000000000000002E-2</v>
      </c>
      <c r="BB637" s="53">
        <f>Table43[[#This Row],[Harga Jual Pcs MT
(-PPN)]]-Table43[[#This Row],[Harga Beli Pcs
(-PPN)]]</f>
        <v>-20850.5</v>
      </c>
      <c r="BC637" s="54" t="e">
        <f>Table43[[#This Row],[Column1]]/Table43[[#This Row],[Harga Jual Pcs MT
(-PPN)]]</f>
        <v>#DIV/0!</v>
      </c>
      <c r="BD637" s="52"/>
      <c r="BE637" s="7"/>
      <c r="BF637" s="7" t="str">
        <f ca="1">IF(TODAY()-Table43[[#This Row],[Efektif
Pembuatan]]&gt;60,"Lama","Baru")</f>
        <v>Lama</v>
      </c>
      <c r="BG637" s="7" t="str">
        <f ca="1">IF(TODAY()-Table43[[#This Row],[Efektif Naik Harga]]&lt;30,"Naik","Sama")</f>
        <v>Sama</v>
      </c>
      <c r="BH637" s="7"/>
      <c r="BI637" s="7" t="str">
        <f>IF(Table43[[#This Row],[Kode BARANG Win2]]&lt;&gt;"","IDR","")</f>
        <v>IDR</v>
      </c>
      <c r="BJ637" s="7" t="str">
        <f>CONCATENATE(Table43[[#This Row],[kode  1 Digit
(Nomor)]],Table43[[#This Row],[kode  4 Digit                (Nomor)]])</f>
        <v>0040</v>
      </c>
      <c r="BK637" s="7" t="str">
        <f>Table43[[#This Row],[Nama            Gramasi atau Jumlah Pack per CTN]]</f>
        <v>40ML</v>
      </c>
      <c r="BL637" s="7"/>
      <c r="BM637" s="7"/>
      <c r="BN637" s="4" t="str">
        <f>IF(Table43[[#This Row],[SATUAN Fix Win]]&lt;&gt;"","KRT")</f>
        <v>KRT</v>
      </c>
      <c r="BO637" s="4" t="str">
        <f>IF(Table43[[#This Row],[SATUAN Fix Win]]&lt;&gt;"","GD01")</f>
        <v>GD01</v>
      </c>
      <c r="BP637" s="4">
        <f>IF(Table43[[#This Row],[SATUAN Fix Win]]&lt;&gt;"",11611)</f>
        <v>11611</v>
      </c>
      <c r="BQ637" s="4">
        <f>IF(Table43[[#This Row],[SATUAN Fix Win]]&lt;&gt;"",11612)</f>
        <v>11612</v>
      </c>
      <c r="BS637" s="4">
        <f>IF(Table43[[#This Row],[SATUAN Fix Win]]&lt;&gt;"",1)</f>
        <v>1</v>
      </c>
      <c r="BU637" s="4">
        <f>Table43[[#This Row],[ISI/CTN]]</f>
        <v>24</v>
      </c>
    </row>
    <row r="638" spans="1:75">
      <c r="A638" s="4" t="str">
        <f>CONCATENATE(Table43[[#This Row],[Kode BARANG Win2]],Table43[[#This Row],[No. Urut
Item Sama]])</f>
        <v>G1271102004010</v>
      </c>
      <c r="B638" s="7"/>
      <c r="C638" s="31">
        <v>30603120160010</v>
      </c>
      <c r="D638" s="51">
        <v>40028519</v>
      </c>
      <c r="E638" s="27" t="s">
        <v>2176</v>
      </c>
      <c r="F638" s="51">
        <v>30622030040000</v>
      </c>
      <c r="G638" s="51">
        <v>0</v>
      </c>
      <c r="H638" s="27" t="s">
        <v>1530</v>
      </c>
      <c r="I638" s="27">
        <v>24</v>
      </c>
      <c r="J638" s="51" t="s">
        <v>1842</v>
      </c>
      <c r="K638" s="27" t="str">
        <f>Table43[[#This Row],[NamaJenisKemasan]]</f>
        <v>KLG</v>
      </c>
      <c r="L638" s="4" t="str">
        <f>TRIM(CONCATENATE(Table43[[#This Row],[Nama            KLP]]," ",Table43[[#This Row],[Nama            Sub KLP]]))</f>
        <v>STELLA MATIC MINI</v>
      </c>
      <c r="M638" s="4" t="str">
        <f>CONCATENATE(Table43[[#This Row],[kode  2 Digit                (hrf+No)]],Table43[[#This Row],[kode  2 Digit                (Nomor)]],Table43[[#This Row],[kode  1 Digit                (Nomor)]])</f>
        <v>G1271</v>
      </c>
      <c r="N638" s="4" t="str">
        <f>IF(AI638="",CONCATENATE(S638,U638,W638,Y638,AA638,AC638,AE638,AG638,Table43[[#This Row],[Tanda Kode Revisi]]),CONCATENATE(S638,U638,W638,Y638,AA638,AC638,AE638,AI638))</f>
        <v>G1271102004010</v>
      </c>
      <c r="O638" s="11">
        <f t="shared" si="18"/>
        <v>14</v>
      </c>
      <c r="P638" s="14" t="str">
        <f>IF(AH638&lt;&gt;"",TRIM(UPPER(CONCATENATE(R638," ",T638," ",V638," ",X638," ",Z638," ",AB638," ","X"," ",Table43[[#This Row],[ISI/CTN]]," ",AH638," ",AD638," ",AF638," ",AJ638))),TRIM(UPPER(CONCATENATE(R638," ",T638," ",V638," ",X638," ",Z638," ",AB638," ","X"," ",Table43[[#This Row],[ISI/CTN]]," ",AD638," ",AF638," ",AJ638))))</f>
        <v>STELLA MATIC MINI REFILL DREAM ISLAND 40ML X 24 KLG</v>
      </c>
      <c r="Q638" s="11">
        <f t="shared" si="19"/>
        <v>51</v>
      </c>
      <c r="S638" s="7" t="s">
        <v>34</v>
      </c>
      <c r="T638" s="4" t="s">
        <v>2359</v>
      </c>
      <c r="U638" s="47" t="s">
        <v>2586</v>
      </c>
      <c r="V638" s="48" t="s">
        <v>2585</v>
      </c>
      <c r="W638" s="7">
        <v>1</v>
      </c>
      <c r="X638" s="48" t="s">
        <v>2231</v>
      </c>
      <c r="Y638" s="47" t="s">
        <v>2539</v>
      </c>
      <c r="Z638" s="4" t="s">
        <v>2443</v>
      </c>
      <c r="AA638" s="49" t="s">
        <v>2459</v>
      </c>
      <c r="AB638" s="4" t="s">
        <v>2376</v>
      </c>
      <c r="AC638" s="49" t="s">
        <v>2625</v>
      </c>
      <c r="AD638" s="4" t="s">
        <v>2221</v>
      </c>
      <c r="AE638" s="7">
        <v>1</v>
      </c>
      <c r="AG638" s="7">
        <v>0</v>
      </c>
      <c r="AK638" s="70">
        <f>Table43[[#This Row],[Column4]]</f>
        <v>30622030040000</v>
      </c>
      <c r="AN638" s="7">
        <f>Table43[[#This Row],[ISI/CTN]]</f>
        <v>24</v>
      </c>
      <c r="AO638" s="61">
        <f>Table43[[#This Row],[Harga Jual Pcs GT
(-PPN)]]-(Table43[[#This Row],[Harga Jual Pcs GT
(-PPN)]]*6.5%)</f>
        <v>20850.5</v>
      </c>
      <c r="AP638" s="61">
        <f>Table43[[#This Row],[Harga Beli Pcs
(-PPN)]]*Table43[[#This Row],[ISI/CTN]]</f>
        <v>500412</v>
      </c>
      <c r="AQ638" s="61">
        <f>Table43[[#This Row],[Harga Beli Pcs
(-PPN)]]*1.11</f>
        <v>23144.055</v>
      </c>
      <c r="AR638" s="61">
        <f>Table43[[#This Row],[Harga Beli Krt
(- PPN)]]*1.11</f>
        <v>555457.32000000007</v>
      </c>
      <c r="AS638" s="61">
        <v>22300</v>
      </c>
      <c r="AT638" s="61">
        <f>Table43[[#This Row],[Harga Jual Pcs GT
(-PPN)]]*Table43[[#This Row],[ISI/CTN]]</f>
        <v>535200</v>
      </c>
      <c r="AU638" s="61">
        <f>Table43[[#This Row],[Harga Jual Pcs GT
(-PPN)]]*1.11</f>
        <v>24753.000000000004</v>
      </c>
      <c r="AV638" s="61">
        <f>Table43[[#This Row],[Harga Jual Krt GT
(- PPN)]]*1.11</f>
        <v>594072</v>
      </c>
      <c r="AW638" s="61">
        <f>IFERROR(VLOOKUP(Table43[[#This Row],[Kode Pcpl]],'[1]FEB 2026'!$A$3:$X$312,24,0),0)</f>
        <v>0</v>
      </c>
      <c r="AX638" s="61">
        <f>Table43[[#This Row],[Harga Jual Pcs MT
(-PPN)]]*Table43[[#This Row],[ISI/CTN]]</f>
        <v>0</v>
      </c>
      <c r="AY638" s="61">
        <f>Table43[[#This Row],[Harga Jual Pcs MT
(-PPN)]]*1.11</f>
        <v>0</v>
      </c>
      <c r="AZ638" s="61">
        <f>Table43[[#This Row],[Harga Jual Pcs MT
(+PPN)]]*Table43[[#This Row],[ISI/CTN]]</f>
        <v>0</v>
      </c>
      <c r="BA638" s="62">
        <f>(Table43[[#This Row],[Harga Jual Pcs GT
(-PPN)]]-Table43[[#This Row],[Harga Beli Pcs
(-PPN)]])/Table43[[#This Row],[Harga Jual Pcs GT
(-PPN)]]</f>
        <v>6.5000000000000002E-2</v>
      </c>
      <c r="BB638" s="63">
        <f>Table43[[#This Row],[Harga Jual Pcs MT
(-PPN)]]-Table43[[#This Row],[Harga Beli Pcs
(-PPN)]]</f>
        <v>-20850.5</v>
      </c>
      <c r="BC638" s="64" t="e">
        <f>Table43[[#This Row],[Column1]]/Table43[[#This Row],[Harga Jual Pcs MT
(-PPN)]]</f>
        <v>#DIV/0!</v>
      </c>
      <c r="BD638" s="52"/>
      <c r="BE638" s="7"/>
      <c r="BF638" s="7" t="str">
        <f ca="1">IF(TODAY()-Table43[[#This Row],[Efektif
Pembuatan]]&gt;60,"Lama","Baru")</f>
        <v>Lama</v>
      </c>
      <c r="BG638" s="7" t="str">
        <f ca="1">IF(TODAY()-Table43[[#This Row],[Efektif Naik Harga]]&lt;30,"Naik","Sama")</f>
        <v>Sama</v>
      </c>
      <c r="BH638" s="7"/>
      <c r="BI638" s="7" t="str">
        <f>IF(Table43[[#This Row],[Kode BARANG Win2]]&lt;&gt;"","IDR","")</f>
        <v>IDR</v>
      </c>
      <c r="BJ638" s="7" t="str">
        <f>CONCATENATE(Table43[[#This Row],[kode  1 Digit
(Nomor)]],Table43[[#This Row],[kode  4 Digit                (Nomor)]])</f>
        <v>0040</v>
      </c>
      <c r="BK638" s="7" t="str">
        <f>Table43[[#This Row],[Nama            Gramasi atau Jumlah Pack per CTN]]</f>
        <v>40ML</v>
      </c>
      <c r="BL638" s="7"/>
      <c r="BM638" s="7"/>
      <c r="BN638" s="4" t="str">
        <f>IF(Table43[[#This Row],[SATUAN Fix Win]]&lt;&gt;"","KRT")</f>
        <v>KRT</v>
      </c>
      <c r="BO638" s="4" t="str">
        <f>IF(Table43[[#This Row],[SATUAN Fix Win]]&lt;&gt;"","GD01")</f>
        <v>GD01</v>
      </c>
      <c r="BP638" s="4">
        <f>IF(Table43[[#This Row],[SATUAN Fix Win]]&lt;&gt;"",11611)</f>
        <v>11611</v>
      </c>
      <c r="BQ638" s="4">
        <f>IF(Table43[[#This Row],[SATUAN Fix Win]]&lt;&gt;"",11612)</f>
        <v>11612</v>
      </c>
      <c r="BS638" s="4">
        <f>IF(Table43[[#This Row],[SATUAN Fix Win]]&lt;&gt;"",1)</f>
        <v>1</v>
      </c>
      <c r="BU638" s="4">
        <f>Table43[[#This Row],[ISI/CTN]]</f>
        <v>24</v>
      </c>
    </row>
    <row r="639" spans="1:75">
      <c r="A639" s="4" t="str">
        <f>CONCATENATE(Table43[[#This Row],[Kode BARANG Win2]],Table43[[#This Row],[No. Urut
Item Sama]])</f>
        <v>G1271103004010</v>
      </c>
      <c r="B639" s="7"/>
      <c r="C639" s="31">
        <v>30603120160010</v>
      </c>
      <c r="D639" s="51">
        <v>40007717</v>
      </c>
      <c r="E639" s="27" t="s">
        <v>2175</v>
      </c>
      <c r="F639" s="51">
        <v>30622020040010</v>
      </c>
      <c r="G639" s="51">
        <v>0</v>
      </c>
      <c r="H639" s="27" t="s">
        <v>1529</v>
      </c>
      <c r="I639" s="27">
        <v>24</v>
      </c>
      <c r="J639" s="51" t="s">
        <v>1841</v>
      </c>
      <c r="K639" s="27" t="str">
        <f>Table43[[#This Row],[NamaJenisKemasan]]</f>
        <v>KLG</v>
      </c>
      <c r="L639" s="4" t="str">
        <f>TRIM(CONCATENATE(Table43[[#This Row],[Nama            KLP]]," ",Table43[[#This Row],[Nama            Sub KLP]]))</f>
        <v>STELLA MATIC MINI</v>
      </c>
      <c r="M639" s="4" t="str">
        <f>CONCATENATE(Table43[[#This Row],[kode  2 Digit                (hrf+No)]],Table43[[#This Row],[kode  2 Digit                (Nomor)]],Table43[[#This Row],[kode  1 Digit                (Nomor)]])</f>
        <v>G1271</v>
      </c>
      <c r="N639" s="4" t="str">
        <f>IF(AI639="",CONCATENATE(S639,U639,W639,Y639,AA639,AC639,AE639,AG639,Table43[[#This Row],[Tanda Kode Revisi]]),CONCATENATE(S639,U639,W639,Y639,AA639,AC639,AE639,AI639))</f>
        <v>G1271103004010</v>
      </c>
      <c r="O639" s="11">
        <f t="shared" si="18"/>
        <v>14</v>
      </c>
      <c r="P639" s="14" t="str">
        <f>IF(AH639&lt;&gt;"",TRIM(UPPER(CONCATENATE(R639," ",T639," ",V639," ",X639," ",Z639," ",AB639," ","X"," ",Table43[[#This Row],[ISI/CTN]]," ",AH639," ",AD639," ",AF639," ",AJ639))),TRIM(UPPER(CONCATENATE(R639," ",T639," ",V639," ",X639," ",Z639," ",AB639," ","X"," ",Table43[[#This Row],[ISI/CTN]]," ",AD639," ",AF639," ",AJ639))))</f>
        <v>STELLA MATIC MINI REFILL GREEN FANTASY 40ML X 24 KLG</v>
      </c>
      <c r="Q639" s="11">
        <f t="shared" si="19"/>
        <v>52</v>
      </c>
      <c r="S639" s="7" t="s">
        <v>34</v>
      </c>
      <c r="T639" s="4" t="s">
        <v>2359</v>
      </c>
      <c r="U639" s="47" t="s">
        <v>2586</v>
      </c>
      <c r="V639" s="48" t="s">
        <v>2585</v>
      </c>
      <c r="W639" s="7">
        <v>1</v>
      </c>
      <c r="X639" s="48" t="s">
        <v>2231</v>
      </c>
      <c r="Y639" s="47" t="s">
        <v>2539</v>
      </c>
      <c r="Z639" s="4" t="s">
        <v>2444</v>
      </c>
      <c r="AA639" s="49" t="s">
        <v>2538</v>
      </c>
      <c r="AB639" s="4" t="s">
        <v>2376</v>
      </c>
      <c r="AC639" s="49" t="s">
        <v>2625</v>
      </c>
      <c r="AD639" s="4" t="s">
        <v>2221</v>
      </c>
      <c r="AE639" s="7">
        <v>1</v>
      </c>
      <c r="AG639" s="7">
        <v>0</v>
      </c>
      <c r="AK639" s="70">
        <f>Table43[[#This Row],[Column4]]</f>
        <v>30622020040010</v>
      </c>
      <c r="AN639" s="7">
        <f>Table43[[#This Row],[ISI/CTN]]</f>
        <v>24</v>
      </c>
      <c r="AO639" s="38">
        <f>Table43[[#This Row],[Harga Jual Pcs GT
(-PPN)]]-(Table43[[#This Row],[Harga Jual Pcs GT
(-PPN)]]*6.5%)</f>
        <v>20850.5</v>
      </c>
      <c r="AP639" s="38">
        <f>Table43[[#This Row],[Harga Beli Pcs
(-PPN)]]*Table43[[#This Row],[ISI/CTN]]</f>
        <v>500412</v>
      </c>
      <c r="AQ639" s="38">
        <f>Table43[[#This Row],[Harga Beli Pcs
(-PPN)]]*1.11</f>
        <v>23144.055</v>
      </c>
      <c r="AR639" s="38">
        <f>Table43[[#This Row],[Harga Beli Krt
(- PPN)]]*1.11</f>
        <v>555457.32000000007</v>
      </c>
      <c r="AS639" s="38">
        <v>22300</v>
      </c>
      <c r="AT639" s="38">
        <f>Table43[[#This Row],[Harga Jual Pcs GT
(-PPN)]]*Table43[[#This Row],[ISI/CTN]]</f>
        <v>535200</v>
      </c>
      <c r="AU639" s="38">
        <f>Table43[[#This Row],[Harga Jual Pcs GT
(-PPN)]]*1.11</f>
        <v>24753.000000000004</v>
      </c>
      <c r="AV639" s="38">
        <f>Table43[[#This Row],[Harga Jual Krt GT
(- PPN)]]*1.11</f>
        <v>594072</v>
      </c>
      <c r="AW639" s="38">
        <f>IFERROR(VLOOKUP(Table43[[#This Row],[Kode Pcpl]],'[1]FEB 2026'!$A$3:$X$312,24,0),0)</f>
        <v>0</v>
      </c>
      <c r="AX639" s="38">
        <f>Table43[[#This Row],[Harga Jual Pcs MT
(-PPN)]]*Table43[[#This Row],[ISI/CTN]]</f>
        <v>0</v>
      </c>
      <c r="AY639" s="38">
        <f>Table43[[#This Row],[Harga Jual Pcs MT
(-PPN)]]*1.11</f>
        <v>0</v>
      </c>
      <c r="AZ639" s="38">
        <f>Table43[[#This Row],[Harga Jual Pcs MT
(+PPN)]]*Table43[[#This Row],[ISI/CTN]]</f>
        <v>0</v>
      </c>
      <c r="BA639" s="46">
        <f>(Table43[[#This Row],[Harga Jual Pcs GT
(-PPN)]]-Table43[[#This Row],[Harga Beli Pcs
(-PPN)]])/Table43[[#This Row],[Harga Jual Pcs GT
(-PPN)]]</f>
        <v>6.5000000000000002E-2</v>
      </c>
      <c r="BB639" s="53">
        <f>Table43[[#This Row],[Harga Jual Pcs MT
(-PPN)]]-Table43[[#This Row],[Harga Beli Pcs
(-PPN)]]</f>
        <v>-20850.5</v>
      </c>
      <c r="BC639" s="54" t="e">
        <f>Table43[[#This Row],[Column1]]/Table43[[#This Row],[Harga Jual Pcs MT
(-PPN)]]</f>
        <v>#DIV/0!</v>
      </c>
      <c r="BD639" s="52"/>
      <c r="BE639" s="7"/>
      <c r="BF639" s="7" t="str">
        <f ca="1">IF(TODAY()-Table43[[#This Row],[Efektif
Pembuatan]]&gt;60,"Lama","Baru")</f>
        <v>Lama</v>
      </c>
      <c r="BG639" s="7" t="str">
        <f ca="1">IF(TODAY()-Table43[[#This Row],[Efektif Naik Harga]]&lt;30,"Naik","Sama")</f>
        <v>Sama</v>
      </c>
      <c r="BH639" s="7"/>
      <c r="BI639" s="7" t="str">
        <f>IF(Table43[[#This Row],[Kode BARANG Win2]]&lt;&gt;"","IDR","")</f>
        <v>IDR</v>
      </c>
      <c r="BJ639" s="7" t="str">
        <f>CONCATENATE(Table43[[#This Row],[kode  1 Digit
(Nomor)]],Table43[[#This Row],[kode  4 Digit                (Nomor)]])</f>
        <v>0040</v>
      </c>
      <c r="BK639" s="7" t="str">
        <f>Table43[[#This Row],[Nama            Gramasi atau Jumlah Pack per CTN]]</f>
        <v>40ML</v>
      </c>
      <c r="BL639" s="7"/>
      <c r="BM639" s="7"/>
      <c r="BN639" s="4" t="str">
        <f>IF(Table43[[#This Row],[SATUAN Fix Win]]&lt;&gt;"","KRT")</f>
        <v>KRT</v>
      </c>
      <c r="BO639" s="4" t="str">
        <f>IF(Table43[[#This Row],[SATUAN Fix Win]]&lt;&gt;"","GD01")</f>
        <v>GD01</v>
      </c>
      <c r="BP639" s="4">
        <f>IF(Table43[[#This Row],[SATUAN Fix Win]]&lt;&gt;"",11611)</f>
        <v>11611</v>
      </c>
      <c r="BQ639" s="4">
        <f>IF(Table43[[#This Row],[SATUAN Fix Win]]&lt;&gt;"",11612)</f>
        <v>11612</v>
      </c>
      <c r="BS639" s="4">
        <f>IF(Table43[[#This Row],[SATUAN Fix Win]]&lt;&gt;"",1)</f>
        <v>1</v>
      </c>
      <c r="BU639" s="4">
        <f>Table43[[#This Row],[ISI/CTN]]</f>
        <v>24</v>
      </c>
    </row>
    <row r="640" spans="1:75">
      <c r="A640" s="4" t="str">
        <f>CONCATENATE(Table43[[#This Row],[Kode BARANG Win2]],Table43[[#This Row],[No. Urut
Item Sama]])</f>
        <v>G1271104004010</v>
      </c>
      <c r="B640" s="7"/>
      <c r="C640" s="31">
        <v>30622060040010</v>
      </c>
      <c r="D640" s="51">
        <v>40007723</v>
      </c>
      <c r="E640" s="66" t="s">
        <v>2507</v>
      </c>
      <c r="F640" s="68">
        <v>30622060040010</v>
      </c>
      <c r="G640" s="68">
        <v>0</v>
      </c>
      <c r="H640" s="27">
        <v>0</v>
      </c>
      <c r="I640" s="27">
        <v>24</v>
      </c>
      <c r="J640" s="51">
        <v>0</v>
      </c>
      <c r="K640" s="27" t="str">
        <f>Table43[[#This Row],[NamaJenisKemasan]]</f>
        <v>KLG</v>
      </c>
      <c r="L640" s="4" t="str">
        <f>TRIM(CONCATENATE(Table43[[#This Row],[Nama            KLP]]," ",Table43[[#This Row],[Nama            Sub KLP]]))</f>
        <v>STELLA MATIC MINI</v>
      </c>
      <c r="M640" s="4" t="str">
        <f>CONCATENATE(Table43[[#This Row],[kode  2 Digit                (hrf+No)]],Table43[[#This Row],[kode  2 Digit                (Nomor)]],Table43[[#This Row],[kode  1 Digit                (Nomor)]])</f>
        <v>G1271</v>
      </c>
      <c r="N640" s="4" t="str">
        <f>IF(AI640="",CONCATENATE(S640,U640,W640,Y640,AA640,AC640,AE640,AG640,Table43[[#This Row],[Tanda Kode Revisi]]),CONCATENATE(S640,U640,W640,Y640,AA640,AC640,AE640,AI640))</f>
        <v>G1271104004010</v>
      </c>
      <c r="O640" s="11">
        <f t="shared" si="18"/>
        <v>14</v>
      </c>
      <c r="P640" s="14" t="str">
        <f>IF(AH640&lt;&gt;"",TRIM(UPPER(CONCATENATE(R640," ",T640," ",V640," ",X640," ",Z640," ",AB640," ","X"," ",Table43[[#This Row],[ISI/CTN]]," ",AH640," ",AD640," ",AF640," ",AJ640))),TRIM(UPPER(CONCATENATE(R640," ",T640," ",V640," ",X640," ",Z640," ",AB640," ","X"," ",Table43[[#This Row],[ISI/CTN]]," ",AD640," ",AF640," ",AJ640))))</f>
        <v>STELLA MATIC MINI REFILL TROPICAL BREEZE 40ML X 24 KLG</v>
      </c>
      <c r="Q640" s="11">
        <f t="shared" si="19"/>
        <v>54</v>
      </c>
      <c r="S640" s="7" t="s">
        <v>34</v>
      </c>
      <c r="T640" s="4" t="s">
        <v>2359</v>
      </c>
      <c r="U640" s="47" t="s">
        <v>2586</v>
      </c>
      <c r="V640" s="48" t="s">
        <v>2585</v>
      </c>
      <c r="W640" s="7">
        <v>1</v>
      </c>
      <c r="X640" s="48" t="s">
        <v>2231</v>
      </c>
      <c r="Y640" s="47" t="s">
        <v>2539</v>
      </c>
      <c r="Z640" s="4" t="s">
        <v>2535</v>
      </c>
      <c r="AA640" s="49" t="s">
        <v>2540</v>
      </c>
      <c r="AB640" s="4" t="s">
        <v>2376</v>
      </c>
      <c r="AC640" s="49" t="s">
        <v>2625</v>
      </c>
      <c r="AD640" s="4" t="s">
        <v>2221</v>
      </c>
      <c r="AE640" s="7">
        <v>1</v>
      </c>
      <c r="AG640" s="7">
        <v>0</v>
      </c>
      <c r="AK640" s="70">
        <f>Table43[[#This Row],[Column4]]</f>
        <v>30622060040010</v>
      </c>
      <c r="AN640" s="7">
        <f>Table43[[#This Row],[ISI/CTN]]</f>
        <v>24</v>
      </c>
      <c r="AO640" s="38">
        <f>Table43[[#This Row],[Harga Jual Pcs GT
(-PPN)]]-(Table43[[#This Row],[Harga Jual Pcs GT
(-PPN)]]*6.5%)</f>
        <v>20850.5</v>
      </c>
      <c r="AP640" s="38">
        <f>Table43[[#This Row],[Harga Beli Pcs
(-PPN)]]*Table43[[#This Row],[ISI/CTN]]</f>
        <v>500412</v>
      </c>
      <c r="AQ640" s="38">
        <f>Table43[[#This Row],[Harga Beli Pcs
(-PPN)]]*1.11</f>
        <v>23144.055</v>
      </c>
      <c r="AR640" s="38">
        <f>Table43[[#This Row],[Harga Beli Krt
(- PPN)]]*1.11</f>
        <v>555457.32000000007</v>
      </c>
      <c r="AS640" s="38">
        <v>22300</v>
      </c>
      <c r="AT640" s="38">
        <f>Table43[[#This Row],[Harga Jual Pcs GT
(-PPN)]]*Table43[[#This Row],[ISI/CTN]]</f>
        <v>535200</v>
      </c>
      <c r="AU640" s="38">
        <f>Table43[[#This Row],[Harga Jual Pcs GT
(-PPN)]]*1.11</f>
        <v>24753.000000000004</v>
      </c>
      <c r="AV640" s="38">
        <f>Table43[[#This Row],[Harga Jual Krt GT
(- PPN)]]*1.11</f>
        <v>594072</v>
      </c>
      <c r="AW640" s="38">
        <f>IFERROR(VLOOKUP(Table43[[#This Row],[Kode Pcpl]],'[1]FEB 2026'!$A$3:$X$312,24,0),0)</f>
        <v>0</v>
      </c>
      <c r="AX640" s="38">
        <f>Table43[[#This Row],[Harga Jual Pcs MT
(-PPN)]]*Table43[[#This Row],[ISI/CTN]]</f>
        <v>0</v>
      </c>
      <c r="AY640" s="38">
        <f>Table43[[#This Row],[Harga Jual Pcs MT
(-PPN)]]*1.11</f>
        <v>0</v>
      </c>
      <c r="AZ640" s="38">
        <f>Table43[[#This Row],[Harga Jual Pcs MT
(+PPN)]]*Table43[[#This Row],[ISI/CTN]]</f>
        <v>0</v>
      </c>
      <c r="BA640" s="46">
        <f>(Table43[[#This Row],[Harga Jual Pcs GT
(-PPN)]]-Table43[[#This Row],[Harga Beli Pcs
(-PPN)]])/Table43[[#This Row],[Harga Jual Pcs GT
(-PPN)]]</f>
        <v>6.5000000000000002E-2</v>
      </c>
      <c r="BB640" s="53">
        <f>Table43[[#This Row],[Harga Jual Pcs MT
(-PPN)]]-Table43[[#This Row],[Harga Beli Pcs
(-PPN)]]</f>
        <v>-20850.5</v>
      </c>
      <c r="BC640" s="54" t="e">
        <f>Table43[[#This Row],[Column1]]/Table43[[#This Row],[Harga Jual Pcs MT
(-PPN)]]</f>
        <v>#DIV/0!</v>
      </c>
      <c r="BD640" s="52"/>
      <c r="BE640" s="7"/>
      <c r="BF640" s="7" t="str">
        <f ca="1">IF(TODAY()-Table43[[#This Row],[Efektif
Pembuatan]]&gt;60,"Lama","Baru")</f>
        <v>Lama</v>
      </c>
      <c r="BG640" s="7" t="str">
        <f ca="1">IF(TODAY()-Table43[[#This Row],[Efektif Naik Harga]]&lt;30,"Naik","Sama")</f>
        <v>Sama</v>
      </c>
      <c r="BH640" s="7"/>
      <c r="BI640" s="7" t="str">
        <f>IF(Table43[[#This Row],[Kode BARANG Win2]]&lt;&gt;"","IDR","")</f>
        <v>IDR</v>
      </c>
      <c r="BJ640" s="7" t="str">
        <f>CONCATENATE(Table43[[#This Row],[kode  1 Digit
(Nomor)]],Table43[[#This Row],[kode  4 Digit                (Nomor)]])</f>
        <v>0040</v>
      </c>
      <c r="BK640" s="7" t="str">
        <f>Table43[[#This Row],[Nama            Gramasi atau Jumlah Pack per CTN]]</f>
        <v>40ML</v>
      </c>
      <c r="BL640" s="7"/>
      <c r="BM640" s="7"/>
      <c r="BN640" s="4" t="str">
        <f>IF(Table43[[#This Row],[SATUAN Fix Win]]&lt;&gt;"","KRT")</f>
        <v>KRT</v>
      </c>
      <c r="BO640" s="4" t="str">
        <f>IF(Table43[[#This Row],[SATUAN Fix Win]]&lt;&gt;"","GD01")</f>
        <v>GD01</v>
      </c>
      <c r="BP640" s="4">
        <f>IF(Table43[[#This Row],[SATUAN Fix Win]]&lt;&gt;"",11611)</f>
        <v>11611</v>
      </c>
      <c r="BQ640" s="4">
        <f>IF(Table43[[#This Row],[SATUAN Fix Win]]&lt;&gt;"",11612)</f>
        <v>11612</v>
      </c>
      <c r="BS640" s="4">
        <f>IF(Table43[[#This Row],[SATUAN Fix Win]]&lt;&gt;"",1)</f>
        <v>1</v>
      </c>
      <c r="BU640" s="4">
        <f>Table43[[#This Row],[ISI/CTN]]</f>
        <v>24</v>
      </c>
    </row>
    <row r="641" spans="1:73">
      <c r="A641" s="4" t="str">
        <f>CONCATENATE(Table43[[#This Row],[Kode BARANG Win2]],Table43[[#This Row],[No. Urut
Item Sama]])</f>
        <v>G1271201000010</v>
      </c>
      <c r="B641" s="7"/>
      <c r="C641" s="31">
        <v>30603090225010</v>
      </c>
      <c r="D641" s="51">
        <v>40029249</v>
      </c>
      <c r="E641" s="27" t="s">
        <v>2172</v>
      </c>
      <c r="F641" s="51">
        <v>30621010000000</v>
      </c>
      <c r="G641" s="51">
        <v>0</v>
      </c>
      <c r="H641" s="27" t="s">
        <v>1526</v>
      </c>
      <c r="I641" s="27">
        <v>24</v>
      </c>
      <c r="J641" s="51" t="s">
        <v>1839</v>
      </c>
      <c r="K641" s="27" t="str">
        <f>Table43[[#This Row],[NamaJenisKemasan]]</f>
        <v>KLG</v>
      </c>
      <c r="L641" s="4" t="str">
        <f>TRIM(CONCATENATE(Table43[[#This Row],[Nama            KLP]]," ",Table43[[#This Row],[Nama            Sub KLP]]))</f>
        <v>STELLA MATIC MINI</v>
      </c>
      <c r="M641" s="4" t="str">
        <f>CONCATENATE(Table43[[#This Row],[kode  2 Digit                (hrf+No)]],Table43[[#This Row],[kode  2 Digit                (Nomor)]],Table43[[#This Row],[kode  1 Digit                (Nomor)]])</f>
        <v>G1271</v>
      </c>
      <c r="N641" s="4" t="str">
        <f>IF(AI641="",CONCATENATE(S641,U641,W641,Y641,AA641,AC641,AE641,AG641,Table43[[#This Row],[Tanda Kode Revisi]]),CONCATENATE(S641,U641,W641,Y641,AA641,AC641,AE641,AI641))</f>
        <v>G1271201000010</v>
      </c>
      <c r="O641" s="11">
        <f t="shared" si="18"/>
        <v>14</v>
      </c>
      <c r="P641" s="14" t="str">
        <f>IF(AH641&lt;&gt;"",TRIM(UPPER(CONCATENATE(R641," ",T641," ",V641," ",X641," ",Z641," ",AB641," ","X"," ",Table43[[#This Row],[ISI/CTN]]," ",AH641," ",AD641," ",AF641," ",AJ641))),TRIM(UPPER(CONCATENATE(R641," ",T641," ",V641," ",X641," ",Z641," ",AB641," ","X"," ",Table43[[#This Row],[ISI/CTN]]," ",AD641," ",AF641," ",AJ641))))</f>
        <v>STELLA MATIC MINI SET CAFFE LATTE X 24 KLG</v>
      </c>
      <c r="Q641" s="11">
        <f t="shared" si="19"/>
        <v>42</v>
      </c>
      <c r="S641" s="7" t="s">
        <v>34</v>
      </c>
      <c r="T641" s="4" t="s">
        <v>2359</v>
      </c>
      <c r="U641" s="47" t="s">
        <v>2586</v>
      </c>
      <c r="V641" s="48" t="s">
        <v>2585</v>
      </c>
      <c r="W641" s="7">
        <v>1</v>
      </c>
      <c r="X641" s="48" t="s">
        <v>2222</v>
      </c>
      <c r="Y641" s="47" t="s">
        <v>2572</v>
      </c>
      <c r="Z641" s="4" t="s">
        <v>2419</v>
      </c>
      <c r="AA641" s="49" t="s">
        <v>1115</v>
      </c>
      <c r="AC641" s="49" t="s">
        <v>2460</v>
      </c>
      <c r="AD641" s="4" t="s">
        <v>2221</v>
      </c>
      <c r="AE641" s="7">
        <v>1</v>
      </c>
      <c r="AG641" s="7">
        <v>0</v>
      </c>
      <c r="AK641" s="70">
        <f>Table43[[#This Row],[Column4]]</f>
        <v>30621010000000</v>
      </c>
      <c r="AN641" s="7">
        <f>Table43[[#This Row],[ISI/CTN]]</f>
        <v>24</v>
      </c>
      <c r="AO641" s="38">
        <f>Table43[[#This Row],[Harga Jual Pcs GT
(-PPN)]]-(Table43[[#This Row],[Harga Jual Pcs GT
(-PPN)]]*6.5%)</f>
        <v>44915.53</v>
      </c>
      <c r="AP641" s="38">
        <f>Table43[[#This Row],[Harga Beli Pcs
(-PPN)]]*Table43[[#This Row],[ISI/CTN]]</f>
        <v>1077972.72</v>
      </c>
      <c r="AQ641" s="38">
        <f>Table43[[#This Row],[Harga Beli Pcs
(-PPN)]]*1.11</f>
        <v>49856.238300000005</v>
      </c>
      <c r="AR641" s="38">
        <f>Table43[[#This Row],[Harga Beli Krt
(- PPN)]]*1.11</f>
        <v>1196549.7192000002</v>
      </c>
      <c r="AS641" s="38">
        <v>48038</v>
      </c>
      <c r="AT641" s="38">
        <f>Table43[[#This Row],[Harga Jual Pcs GT
(-PPN)]]*Table43[[#This Row],[ISI/CTN]]</f>
        <v>1152912</v>
      </c>
      <c r="AU641" s="38">
        <f>Table43[[#This Row],[Harga Jual Pcs GT
(-PPN)]]*1.11</f>
        <v>53322.180000000008</v>
      </c>
      <c r="AV641" s="38">
        <f>Table43[[#This Row],[Harga Jual Krt GT
(- PPN)]]*1.11</f>
        <v>1279732.32</v>
      </c>
      <c r="AW641" s="38">
        <f>IFERROR(VLOOKUP(Table43[[#This Row],[Kode Pcpl]],'[1]FEB 2026'!$A$3:$X$312,24,0),0)</f>
        <v>0</v>
      </c>
      <c r="AX641" s="38">
        <f>Table43[[#This Row],[Harga Jual Pcs MT
(-PPN)]]*Table43[[#This Row],[ISI/CTN]]</f>
        <v>0</v>
      </c>
      <c r="AY641" s="38">
        <f>Table43[[#This Row],[Harga Jual Pcs MT
(-PPN)]]*1.11</f>
        <v>0</v>
      </c>
      <c r="AZ641" s="38">
        <f>Table43[[#This Row],[Harga Jual Pcs MT
(+PPN)]]*Table43[[#This Row],[ISI/CTN]]</f>
        <v>0</v>
      </c>
      <c r="BA641" s="46">
        <f>(Table43[[#This Row],[Harga Jual Pcs GT
(-PPN)]]-Table43[[#This Row],[Harga Beli Pcs
(-PPN)]])/Table43[[#This Row],[Harga Jual Pcs GT
(-PPN)]]</f>
        <v>6.500000000000003E-2</v>
      </c>
      <c r="BB641" s="53">
        <f>Table43[[#This Row],[Harga Jual Pcs MT
(-PPN)]]-Table43[[#This Row],[Harga Beli Pcs
(-PPN)]]</f>
        <v>-44915.53</v>
      </c>
      <c r="BC641" s="54" t="e">
        <f>Table43[[#This Row],[Column1]]/Table43[[#This Row],[Harga Jual Pcs MT
(-PPN)]]</f>
        <v>#DIV/0!</v>
      </c>
      <c r="BD641" s="52"/>
      <c r="BE641" s="7"/>
      <c r="BF641" s="7" t="str">
        <f ca="1">IF(TODAY()-Table43[[#This Row],[Efektif
Pembuatan]]&gt;60,"Lama","Baru")</f>
        <v>Lama</v>
      </c>
      <c r="BG641" s="7" t="str">
        <f ca="1">IF(TODAY()-Table43[[#This Row],[Efektif Naik Harga]]&lt;30,"Naik","Sama")</f>
        <v>Sama</v>
      </c>
      <c r="BH641" s="7"/>
      <c r="BI641" s="7" t="str">
        <f>IF(Table43[[#This Row],[Kode BARANG Win2]]&lt;&gt;"","IDR","")</f>
        <v>IDR</v>
      </c>
      <c r="BJ641" s="7" t="str">
        <f>CONCATENATE(Table43[[#This Row],[kode  1 Digit
(Nomor)]],Table43[[#This Row],[kode  4 Digit                (Nomor)]])</f>
        <v>0000</v>
      </c>
      <c r="BK641" s="7">
        <f>Table43[[#This Row],[Nama            Gramasi atau Jumlah Pack per CTN]]</f>
        <v>0</v>
      </c>
      <c r="BL641" s="7"/>
      <c r="BM641" s="7"/>
      <c r="BN641" s="4" t="str">
        <f>IF(Table43[[#This Row],[SATUAN Fix Win]]&lt;&gt;"","KRT")</f>
        <v>KRT</v>
      </c>
      <c r="BO641" s="4" t="str">
        <f>IF(Table43[[#This Row],[SATUAN Fix Win]]&lt;&gt;"","GD01")</f>
        <v>GD01</v>
      </c>
      <c r="BP641" s="4">
        <f>IF(Table43[[#This Row],[SATUAN Fix Win]]&lt;&gt;"",11611)</f>
        <v>11611</v>
      </c>
      <c r="BQ641" s="4">
        <f>IF(Table43[[#This Row],[SATUAN Fix Win]]&lt;&gt;"",11612)</f>
        <v>11612</v>
      </c>
      <c r="BS641" s="4">
        <f>IF(Table43[[#This Row],[SATUAN Fix Win]]&lt;&gt;"",1)</f>
        <v>1</v>
      </c>
      <c r="BU641" s="4">
        <f>Table43[[#This Row],[ISI/CTN]]</f>
        <v>24</v>
      </c>
    </row>
    <row r="642" spans="1:73">
      <c r="A642" s="4" t="str">
        <f>CONCATENATE(Table43[[#This Row],[Kode BARANG Win2]],Table43[[#This Row],[No. Urut
Item Sama]])</f>
        <v>G1271202000010</v>
      </c>
      <c r="B642" s="7"/>
      <c r="C642" s="31">
        <v>30603090225010</v>
      </c>
      <c r="D642" s="51">
        <v>40028611</v>
      </c>
      <c r="E642" s="27" t="s">
        <v>2173</v>
      </c>
      <c r="F642" s="51">
        <v>30621020000000</v>
      </c>
      <c r="G642" s="51">
        <v>0</v>
      </c>
      <c r="H642" s="27" t="s">
        <v>1527</v>
      </c>
      <c r="I642" s="27">
        <v>24</v>
      </c>
      <c r="J642" s="51" t="s">
        <v>1839</v>
      </c>
      <c r="K642" s="27" t="str">
        <f>Table43[[#This Row],[NamaJenisKemasan]]</f>
        <v>KLG</v>
      </c>
      <c r="L642" s="4" t="str">
        <f>TRIM(CONCATENATE(Table43[[#This Row],[Nama            KLP]]," ",Table43[[#This Row],[Nama            Sub KLP]]))</f>
        <v>STELLA MATIC MINI</v>
      </c>
      <c r="M642" s="4" t="str">
        <f>CONCATENATE(Table43[[#This Row],[kode  2 Digit                (hrf+No)]],Table43[[#This Row],[kode  2 Digit                (Nomor)]],Table43[[#This Row],[kode  1 Digit                (Nomor)]])</f>
        <v>G1271</v>
      </c>
      <c r="N642" s="4" t="str">
        <f>IF(AI642="",CONCATENATE(S642,U642,W642,Y642,AA642,AC642,AE642,AG642,Table43[[#This Row],[Tanda Kode Revisi]]),CONCATENATE(S642,U642,W642,Y642,AA642,AC642,AE642,AI642))</f>
        <v>G1271202000010</v>
      </c>
      <c r="O642" s="11">
        <f t="shared" si="18"/>
        <v>14</v>
      </c>
      <c r="P642" s="14" t="str">
        <f>IF(AH642&lt;&gt;"",TRIM(UPPER(CONCATENATE(R642," ",T642," ",V642," ",X642," ",Z642," ",AB642," ","X"," ",Table43[[#This Row],[ISI/CTN]]," ",AH642," ",AD642," ",AF642," ",AJ642))),TRIM(UPPER(CONCATENATE(R642," ",T642," ",V642," ",X642," ",Z642," ",AB642," ","X"," ",Table43[[#This Row],[ISI/CTN]]," ",AD642," ",AF642," ",AJ642))))</f>
        <v>STELLA MATIC MINI SET GREEN FANTASY X 24 KLG</v>
      </c>
      <c r="Q642" s="11">
        <f t="shared" si="19"/>
        <v>44</v>
      </c>
      <c r="S642" s="7" t="s">
        <v>34</v>
      </c>
      <c r="T642" s="4" t="s">
        <v>2359</v>
      </c>
      <c r="U642" s="47" t="s">
        <v>2586</v>
      </c>
      <c r="V642" s="48" t="s">
        <v>2585</v>
      </c>
      <c r="W642" s="7">
        <v>1</v>
      </c>
      <c r="X642" s="48" t="s">
        <v>2222</v>
      </c>
      <c r="Y642" s="47" t="s">
        <v>2572</v>
      </c>
      <c r="Z642" s="4" t="s">
        <v>2444</v>
      </c>
      <c r="AA642" s="49" t="s">
        <v>2459</v>
      </c>
      <c r="AC642" s="49" t="s">
        <v>2460</v>
      </c>
      <c r="AD642" s="4" t="s">
        <v>2221</v>
      </c>
      <c r="AE642" s="7">
        <v>1</v>
      </c>
      <c r="AG642" s="7">
        <v>0</v>
      </c>
      <c r="AK642" s="70">
        <f>Table43[[#This Row],[Column4]]</f>
        <v>30621020000000</v>
      </c>
      <c r="AN642" s="7">
        <f>Table43[[#This Row],[ISI/CTN]]</f>
        <v>24</v>
      </c>
      <c r="AO642" s="38">
        <f>Table43[[#This Row],[Harga Jual Pcs GT
(-PPN)]]-(Table43[[#This Row],[Harga Jual Pcs GT
(-PPN)]]*6.5%)</f>
        <v>44915.53</v>
      </c>
      <c r="AP642" s="38">
        <f>Table43[[#This Row],[Harga Beli Pcs
(-PPN)]]*Table43[[#This Row],[ISI/CTN]]</f>
        <v>1077972.72</v>
      </c>
      <c r="AQ642" s="38">
        <f>Table43[[#This Row],[Harga Beli Pcs
(-PPN)]]*1.11</f>
        <v>49856.238300000005</v>
      </c>
      <c r="AR642" s="38">
        <f>Table43[[#This Row],[Harga Beli Krt
(- PPN)]]*1.11</f>
        <v>1196549.7192000002</v>
      </c>
      <c r="AS642" s="38">
        <v>48038</v>
      </c>
      <c r="AT642" s="38">
        <f>Table43[[#This Row],[Harga Jual Pcs GT
(-PPN)]]*Table43[[#This Row],[ISI/CTN]]</f>
        <v>1152912</v>
      </c>
      <c r="AU642" s="38">
        <f>Table43[[#This Row],[Harga Jual Pcs GT
(-PPN)]]*1.11</f>
        <v>53322.180000000008</v>
      </c>
      <c r="AV642" s="38">
        <f>Table43[[#This Row],[Harga Jual Krt GT
(- PPN)]]*1.11</f>
        <v>1279732.32</v>
      </c>
      <c r="AW642" s="38">
        <f>IFERROR(VLOOKUP(Table43[[#This Row],[Kode Pcpl]],'[1]FEB 2026'!$A$3:$X$312,24,0),0)</f>
        <v>0</v>
      </c>
      <c r="AX642" s="38">
        <f>Table43[[#This Row],[Harga Jual Pcs MT
(-PPN)]]*Table43[[#This Row],[ISI/CTN]]</f>
        <v>0</v>
      </c>
      <c r="AY642" s="38">
        <f>Table43[[#This Row],[Harga Jual Pcs MT
(-PPN)]]*1.11</f>
        <v>0</v>
      </c>
      <c r="AZ642" s="38">
        <f>Table43[[#This Row],[Harga Jual Pcs MT
(+PPN)]]*Table43[[#This Row],[ISI/CTN]]</f>
        <v>0</v>
      </c>
      <c r="BA642" s="46">
        <f>(Table43[[#This Row],[Harga Jual Pcs GT
(-PPN)]]-Table43[[#This Row],[Harga Beli Pcs
(-PPN)]])/Table43[[#This Row],[Harga Jual Pcs GT
(-PPN)]]</f>
        <v>6.500000000000003E-2</v>
      </c>
      <c r="BB642" s="53">
        <f>Table43[[#This Row],[Harga Jual Pcs MT
(-PPN)]]-Table43[[#This Row],[Harga Beli Pcs
(-PPN)]]</f>
        <v>-44915.53</v>
      </c>
      <c r="BC642" s="54" t="e">
        <f>Table43[[#This Row],[Column1]]/Table43[[#This Row],[Harga Jual Pcs MT
(-PPN)]]</f>
        <v>#DIV/0!</v>
      </c>
      <c r="BD642" s="52"/>
      <c r="BE642" s="7"/>
      <c r="BF642" s="7" t="str">
        <f ca="1">IF(TODAY()-Table43[[#This Row],[Efektif
Pembuatan]]&gt;60,"Lama","Baru")</f>
        <v>Lama</v>
      </c>
      <c r="BG642" s="7" t="str">
        <f ca="1">IF(TODAY()-Table43[[#This Row],[Efektif Naik Harga]]&lt;30,"Naik","Sama")</f>
        <v>Sama</v>
      </c>
      <c r="BH642" s="7"/>
      <c r="BI642" s="7" t="str">
        <f>IF(Table43[[#This Row],[Kode BARANG Win2]]&lt;&gt;"","IDR","")</f>
        <v>IDR</v>
      </c>
      <c r="BJ642" s="7" t="str">
        <f>CONCATENATE(Table43[[#This Row],[kode  1 Digit
(Nomor)]],Table43[[#This Row],[kode  4 Digit                (Nomor)]])</f>
        <v>0000</v>
      </c>
      <c r="BK642" s="7">
        <f>Table43[[#This Row],[Nama            Gramasi atau Jumlah Pack per CTN]]</f>
        <v>0</v>
      </c>
      <c r="BL642" s="7"/>
      <c r="BM642" s="7"/>
      <c r="BN642" s="4" t="str">
        <f>IF(Table43[[#This Row],[SATUAN Fix Win]]&lt;&gt;"","KRT")</f>
        <v>KRT</v>
      </c>
      <c r="BO642" s="4" t="str">
        <f>IF(Table43[[#This Row],[SATUAN Fix Win]]&lt;&gt;"","GD01")</f>
        <v>GD01</v>
      </c>
      <c r="BP642" s="4">
        <f>IF(Table43[[#This Row],[SATUAN Fix Win]]&lt;&gt;"",11611)</f>
        <v>11611</v>
      </c>
      <c r="BQ642" s="4">
        <f>IF(Table43[[#This Row],[SATUAN Fix Win]]&lt;&gt;"",11612)</f>
        <v>11612</v>
      </c>
      <c r="BS642" s="4">
        <f>IF(Table43[[#This Row],[SATUAN Fix Win]]&lt;&gt;"",1)</f>
        <v>1</v>
      </c>
      <c r="BU642" s="4">
        <f>Table43[[#This Row],[ISI/CTN]]</f>
        <v>24</v>
      </c>
    </row>
    <row r="643" spans="1:73">
      <c r="A643" s="4" t="str">
        <f>CONCATENATE(Table43[[#This Row],[Kode BARANG Win2]],Table43[[#This Row],[No. Urut
Item Sama]])</f>
        <v>G1272100000010</v>
      </c>
      <c r="B643" s="7"/>
      <c r="C643" s="31">
        <v>30691000000000</v>
      </c>
      <c r="D643" s="51">
        <v>40029829</v>
      </c>
      <c r="E643" s="27" t="s">
        <v>2153</v>
      </c>
      <c r="F643" s="51">
        <v>30602010000010</v>
      </c>
      <c r="G643" s="51">
        <v>0</v>
      </c>
      <c r="H643" s="27" t="s">
        <v>1487</v>
      </c>
      <c r="I643" s="27">
        <v>12</v>
      </c>
      <c r="J643" s="51" t="s">
        <v>1820</v>
      </c>
      <c r="K643" s="27" t="str">
        <f>Table43[[#This Row],[NamaJenisKemasan]]</f>
        <v>PCS</v>
      </c>
      <c r="L643" s="4" t="str">
        <f>TRIM(CONCATENATE(Table43[[#This Row],[Nama            KLP]]," ",Table43[[#This Row],[Nama            Sub KLP]]))</f>
        <v>STELLA MATIC PARFUMIST SMART</v>
      </c>
      <c r="M643" s="4" t="str">
        <f>CONCATENATE(Table43[[#This Row],[kode  2 Digit                (hrf+No)]],Table43[[#This Row],[kode  2 Digit                (Nomor)]],Table43[[#This Row],[kode  1 Digit                (Nomor)]])</f>
        <v>G1272</v>
      </c>
      <c r="N643" s="4" t="str">
        <f>IF(AI643="",CONCATENATE(S643,U643,W643,Y643,AA643,AC643,AE643,AG643,Table43[[#This Row],[Tanda Kode Revisi]]),CONCATENATE(S643,U643,W643,Y643,AA643,AC643,AE643,AI643))</f>
        <v>G1272100000010</v>
      </c>
      <c r="O643" s="11">
        <f t="shared" si="18"/>
        <v>14</v>
      </c>
      <c r="P643" s="14" t="str">
        <f>IF(AH643&lt;&gt;"",TRIM(UPPER(CONCATENATE(R643," ",T643," ",V643," ",X643," ",Z643," ",AB643," ","X"," ",Table43[[#This Row],[ISI/CTN]]," ",AH643," ",AD643," ",AF643," ",AJ643))),TRIM(UPPER(CONCATENATE(R643," ",T643," ",V643," ",X643," ",Z643," ",AB643," ","X"," ",Table43[[#This Row],[ISI/CTN]]," ",AD643," ",AF643," ",AJ643))))</f>
        <v>STELLA MATIC PARFUMIST SMART SET X 12 PCS</v>
      </c>
      <c r="Q643" s="11">
        <f t="shared" si="19"/>
        <v>41</v>
      </c>
      <c r="S643" s="7" t="s">
        <v>34</v>
      </c>
      <c r="T643" s="4" t="s">
        <v>2359</v>
      </c>
      <c r="U643" s="47" t="s">
        <v>2586</v>
      </c>
      <c r="V643" s="48" t="s">
        <v>2582</v>
      </c>
      <c r="W643" s="7">
        <v>2</v>
      </c>
      <c r="X643" s="48" t="s">
        <v>2222</v>
      </c>
      <c r="Y643" s="47" t="s">
        <v>2539</v>
      </c>
      <c r="AA643" s="49" t="s">
        <v>1117</v>
      </c>
      <c r="AC643" s="49" t="s">
        <v>2460</v>
      </c>
      <c r="AD643" s="4" t="s">
        <v>185</v>
      </c>
      <c r="AE643" s="7">
        <v>1</v>
      </c>
      <c r="AG643" s="7">
        <v>0</v>
      </c>
      <c r="AK643" s="70">
        <f>Table43[[#This Row],[Column4]]</f>
        <v>30602010000010</v>
      </c>
      <c r="AN643" s="7">
        <f>Table43[[#This Row],[ISI/CTN]]</f>
        <v>12</v>
      </c>
      <c r="AO643" s="38">
        <f>Table43[[#This Row],[Harga Jual Pcs GT
(-PPN)]]-(Table43[[#This Row],[Harga Jual Pcs GT
(-PPN)]]*6.5%)</f>
        <v>76604.55</v>
      </c>
      <c r="AP643" s="38">
        <f>Table43[[#This Row],[Harga Beli Pcs
(-PPN)]]*Table43[[#This Row],[ISI/CTN]]</f>
        <v>919254.60000000009</v>
      </c>
      <c r="AQ643" s="38">
        <f>Table43[[#This Row],[Harga Beli Pcs
(-PPN)]]*1.11</f>
        <v>85031.050500000012</v>
      </c>
      <c r="AR643" s="38">
        <f>Table43[[#This Row],[Harga Beli Krt
(- PPN)]]*1.11</f>
        <v>1020372.6060000001</v>
      </c>
      <c r="AS643" s="38">
        <v>81930</v>
      </c>
      <c r="AT643" s="38">
        <f>Table43[[#This Row],[Harga Jual Pcs GT
(-PPN)]]*Table43[[#This Row],[ISI/CTN]]</f>
        <v>983160</v>
      </c>
      <c r="AU643" s="38">
        <f>Table43[[#This Row],[Harga Jual Pcs GT
(-PPN)]]*1.11</f>
        <v>90942.3</v>
      </c>
      <c r="AV643" s="38">
        <f>Table43[[#This Row],[Harga Jual Krt GT
(- PPN)]]*1.11</f>
        <v>1091307.6000000001</v>
      </c>
      <c r="AW643" s="38">
        <f>IFERROR(VLOOKUP(Table43[[#This Row],[Kode Pcpl]],'[1]FEB 2026'!$A$3:$X$312,24,0),0)</f>
        <v>0</v>
      </c>
      <c r="AX643" s="38">
        <f>Table43[[#This Row],[Harga Jual Pcs MT
(-PPN)]]*Table43[[#This Row],[ISI/CTN]]</f>
        <v>0</v>
      </c>
      <c r="AY643" s="38">
        <f>Table43[[#This Row],[Harga Jual Pcs MT
(-PPN)]]*1.11</f>
        <v>0</v>
      </c>
      <c r="AZ643" s="38">
        <f>Table43[[#This Row],[Harga Jual Pcs MT
(+PPN)]]*Table43[[#This Row],[ISI/CTN]]</f>
        <v>0</v>
      </c>
      <c r="BA643" s="46">
        <f>(Table43[[#This Row],[Harga Jual Pcs GT
(-PPN)]]-Table43[[#This Row],[Harga Beli Pcs
(-PPN)]])/Table43[[#This Row],[Harga Jual Pcs GT
(-PPN)]]</f>
        <v>6.4999999999999961E-2</v>
      </c>
      <c r="BB643" s="53">
        <f>Table43[[#This Row],[Harga Jual Pcs MT
(-PPN)]]-Table43[[#This Row],[Harga Beli Pcs
(-PPN)]]</f>
        <v>-76604.55</v>
      </c>
      <c r="BC643" s="54" t="e">
        <f>Table43[[#This Row],[Column1]]/Table43[[#This Row],[Harga Jual Pcs MT
(-PPN)]]</f>
        <v>#DIV/0!</v>
      </c>
      <c r="BD643" s="52"/>
      <c r="BE643" s="7"/>
      <c r="BF643" s="7" t="str">
        <f ca="1">IF(TODAY()-Table43[[#This Row],[Efektif
Pembuatan]]&gt;60,"Lama","Baru")</f>
        <v>Lama</v>
      </c>
      <c r="BG643" s="7" t="str">
        <f ca="1">IF(TODAY()-Table43[[#This Row],[Efektif Naik Harga]]&lt;30,"Naik","Sama")</f>
        <v>Sama</v>
      </c>
      <c r="BH643" s="7"/>
      <c r="BI643" s="7" t="str">
        <f>IF(Table43[[#This Row],[Kode BARANG Win2]]&lt;&gt;"","IDR","")</f>
        <v>IDR</v>
      </c>
      <c r="BJ643" s="7" t="str">
        <f>CONCATENATE(Table43[[#This Row],[kode  1 Digit
(Nomor)]],Table43[[#This Row],[kode  4 Digit                (Nomor)]])</f>
        <v>0000</v>
      </c>
      <c r="BK643" s="7">
        <f>Table43[[#This Row],[Nama            Gramasi atau Jumlah Pack per CTN]]</f>
        <v>0</v>
      </c>
      <c r="BL643" s="7"/>
      <c r="BM643" s="7"/>
      <c r="BN643" s="4" t="str">
        <f>IF(Table43[[#This Row],[SATUAN Fix Win]]&lt;&gt;"","KRT")</f>
        <v>KRT</v>
      </c>
      <c r="BO643" s="4" t="str">
        <f>IF(Table43[[#This Row],[SATUAN Fix Win]]&lt;&gt;"","GD01")</f>
        <v>GD01</v>
      </c>
      <c r="BP643" s="4">
        <f>IF(Table43[[#This Row],[SATUAN Fix Win]]&lt;&gt;"",11611)</f>
        <v>11611</v>
      </c>
      <c r="BQ643" s="4">
        <f>IF(Table43[[#This Row],[SATUAN Fix Win]]&lt;&gt;"",11612)</f>
        <v>11612</v>
      </c>
      <c r="BS643" s="4">
        <f>IF(Table43[[#This Row],[SATUAN Fix Win]]&lt;&gt;"",1)</f>
        <v>1</v>
      </c>
      <c r="BU643" s="4">
        <f>Table43[[#This Row],[ISI/CTN]]</f>
        <v>12</v>
      </c>
    </row>
    <row r="644" spans="1:73">
      <c r="A644" s="4" t="str">
        <f>CONCATENATE(Table43[[#This Row],[Kode BARANG Win2]],Table43[[#This Row],[No. Urut
Item Sama]])</f>
        <v>G1272100000010</v>
      </c>
      <c r="B644" s="7"/>
      <c r="C644" s="31">
        <v>31320030004000</v>
      </c>
      <c r="D644" s="51">
        <v>40060133</v>
      </c>
      <c r="E644" s="27" t="s">
        <v>2153</v>
      </c>
      <c r="F644" s="51">
        <v>30602010000010</v>
      </c>
      <c r="G644" s="51">
        <v>0</v>
      </c>
      <c r="H644" s="27" t="s">
        <v>1488</v>
      </c>
      <c r="I644" s="27">
        <v>12</v>
      </c>
      <c r="J644" s="51" t="s">
        <v>1820</v>
      </c>
      <c r="K644" s="27" t="str">
        <f>Table43[[#This Row],[NamaJenisKemasan]]</f>
        <v>PCS</v>
      </c>
      <c r="L644" s="4" t="str">
        <f>TRIM(CONCATENATE(Table43[[#This Row],[Nama            KLP]]," ",Table43[[#This Row],[Nama            Sub KLP]]))</f>
        <v>STELLA MATIC PARFUMIST SMART</v>
      </c>
      <c r="M644" s="4" t="str">
        <f>CONCATENATE(Table43[[#This Row],[kode  2 Digit                (hrf+No)]],Table43[[#This Row],[kode  2 Digit                (Nomor)]],Table43[[#This Row],[kode  1 Digit                (Nomor)]])</f>
        <v>G1272</v>
      </c>
      <c r="N644" s="4" t="str">
        <f>IF(AI644="",CONCATENATE(S644,U644,W644,Y644,AA644,AC644,AE644,AG644,Table43[[#This Row],[Tanda Kode Revisi]]),CONCATENATE(S644,U644,W644,Y644,AA644,AC644,AE644,AI644))</f>
        <v>G1272100000010</v>
      </c>
      <c r="O644" s="11">
        <f t="shared" si="18"/>
        <v>14</v>
      </c>
      <c r="P644" s="14" t="str">
        <f>IF(AH644&lt;&gt;"",TRIM(UPPER(CONCATENATE(R644," ",T644," ",V644," ",X644," ",Z644," ",AB644," ","X"," ",Table43[[#This Row],[ISI/CTN]]," ",AH644," ",AD644," ",AF644," ",AJ644))),TRIM(UPPER(CONCATENATE(R644," ",T644," ",V644," ",X644," ",Z644," ",AB644," ","X"," ",Table43[[#This Row],[ISI/CTN]]," ",AD644," ",AF644," ",AJ644))))</f>
        <v>STELLA MATIC PARFUMIST SMART SET X 12 PCS</v>
      </c>
      <c r="Q644" s="11">
        <f t="shared" si="19"/>
        <v>41</v>
      </c>
      <c r="S644" s="7" t="s">
        <v>34</v>
      </c>
      <c r="T644" s="4" t="s">
        <v>2359</v>
      </c>
      <c r="U644" s="47" t="s">
        <v>2586</v>
      </c>
      <c r="V644" s="48" t="s">
        <v>2582</v>
      </c>
      <c r="W644" s="7">
        <v>2</v>
      </c>
      <c r="X644" s="48" t="s">
        <v>2222</v>
      </c>
      <c r="Y644" s="47" t="s">
        <v>2539</v>
      </c>
      <c r="AA644" s="49" t="s">
        <v>1117</v>
      </c>
      <c r="AC644" s="49" t="s">
        <v>2460</v>
      </c>
      <c r="AD644" s="4" t="s">
        <v>185</v>
      </c>
      <c r="AE644" s="7">
        <v>1</v>
      </c>
      <c r="AG644" s="7">
        <v>0</v>
      </c>
      <c r="AK644" s="70">
        <f>Table43[[#This Row],[Column4]]</f>
        <v>30602010000010</v>
      </c>
      <c r="AN644" s="7">
        <f>Table43[[#This Row],[ISI/CTN]]</f>
        <v>12</v>
      </c>
      <c r="AO644" s="61">
        <f>Table43[[#This Row],[Harga Jual Pcs GT
(-PPN)]]-(Table43[[#This Row],[Harga Jual Pcs GT
(-PPN)]]*6.5%)</f>
        <v>76604.55</v>
      </c>
      <c r="AP644" s="61">
        <f>Table43[[#This Row],[Harga Beli Pcs
(-PPN)]]*Table43[[#This Row],[ISI/CTN]]</f>
        <v>919254.60000000009</v>
      </c>
      <c r="AQ644" s="61">
        <f>Table43[[#This Row],[Harga Beli Pcs
(-PPN)]]*1.11</f>
        <v>85031.050500000012</v>
      </c>
      <c r="AR644" s="61">
        <f>Table43[[#This Row],[Harga Beli Krt
(- PPN)]]*1.11</f>
        <v>1020372.6060000001</v>
      </c>
      <c r="AS644" s="61">
        <v>81930</v>
      </c>
      <c r="AT644" s="61">
        <f>Table43[[#This Row],[Harga Jual Pcs GT
(-PPN)]]*Table43[[#This Row],[ISI/CTN]]</f>
        <v>983160</v>
      </c>
      <c r="AU644" s="61">
        <f>Table43[[#This Row],[Harga Jual Pcs GT
(-PPN)]]*1.11</f>
        <v>90942.3</v>
      </c>
      <c r="AV644" s="61">
        <f>Table43[[#This Row],[Harga Jual Krt GT
(- PPN)]]*1.11</f>
        <v>1091307.6000000001</v>
      </c>
      <c r="AW644" s="61">
        <f>IFERROR(VLOOKUP(Table43[[#This Row],[Kode Pcpl]],'[1]FEB 2026'!$A$3:$X$312,24,0),0)</f>
        <v>0</v>
      </c>
      <c r="AX644" s="61">
        <f>Table43[[#This Row],[Harga Jual Pcs MT
(-PPN)]]*Table43[[#This Row],[ISI/CTN]]</f>
        <v>0</v>
      </c>
      <c r="AY644" s="61">
        <f>Table43[[#This Row],[Harga Jual Pcs MT
(-PPN)]]*1.11</f>
        <v>0</v>
      </c>
      <c r="AZ644" s="61">
        <f>Table43[[#This Row],[Harga Jual Pcs MT
(+PPN)]]*Table43[[#This Row],[ISI/CTN]]</f>
        <v>0</v>
      </c>
      <c r="BA644" s="62">
        <f>(Table43[[#This Row],[Harga Jual Pcs GT
(-PPN)]]-Table43[[#This Row],[Harga Beli Pcs
(-PPN)]])/Table43[[#This Row],[Harga Jual Pcs GT
(-PPN)]]</f>
        <v>6.4999999999999961E-2</v>
      </c>
      <c r="BB644" s="63">
        <f>Table43[[#This Row],[Harga Jual Pcs MT
(-PPN)]]-Table43[[#This Row],[Harga Beli Pcs
(-PPN)]]</f>
        <v>-76604.55</v>
      </c>
      <c r="BC644" s="64" t="e">
        <f>Table43[[#This Row],[Column1]]/Table43[[#This Row],[Harga Jual Pcs MT
(-PPN)]]</f>
        <v>#DIV/0!</v>
      </c>
      <c r="BD644" s="52"/>
      <c r="BE644" s="7"/>
      <c r="BF644" s="7" t="str">
        <f ca="1">IF(TODAY()-Table43[[#This Row],[Efektif
Pembuatan]]&gt;60,"Lama","Baru")</f>
        <v>Lama</v>
      </c>
      <c r="BG644" s="7" t="str">
        <f ca="1">IF(TODAY()-Table43[[#This Row],[Efektif Naik Harga]]&lt;30,"Naik","Sama")</f>
        <v>Sama</v>
      </c>
      <c r="BH644" s="7"/>
      <c r="BI644" s="7" t="str">
        <f>IF(Table43[[#This Row],[Kode BARANG Win2]]&lt;&gt;"","IDR","")</f>
        <v>IDR</v>
      </c>
      <c r="BJ644" s="7" t="str">
        <f>CONCATENATE(Table43[[#This Row],[kode  1 Digit
(Nomor)]],Table43[[#This Row],[kode  4 Digit                (Nomor)]])</f>
        <v>0000</v>
      </c>
      <c r="BK644" s="7">
        <f>Table43[[#This Row],[Nama            Gramasi atau Jumlah Pack per CTN]]</f>
        <v>0</v>
      </c>
      <c r="BL644" s="7"/>
      <c r="BM644" s="7"/>
      <c r="BN644" s="4" t="str">
        <f>IF(Table43[[#This Row],[SATUAN Fix Win]]&lt;&gt;"","KRT")</f>
        <v>KRT</v>
      </c>
      <c r="BO644" s="4" t="str">
        <f>IF(Table43[[#This Row],[SATUAN Fix Win]]&lt;&gt;"","GD01")</f>
        <v>GD01</v>
      </c>
      <c r="BP644" s="4">
        <f>IF(Table43[[#This Row],[SATUAN Fix Win]]&lt;&gt;"",11611)</f>
        <v>11611</v>
      </c>
      <c r="BQ644" s="4">
        <f>IF(Table43[[#This Row],[SATUAN Fix Win]]&lt;&gt;"",11612)</f>
        <v>11612</v>
      </c>
      <c r="BS644" s="4">
        <f>IF(Table43[[#This Row],[SATUAN Fix Win]]&lt;&gt;"",1)</f>
        <v>1</v>
      </c>
      <c r="BU644" s="4">
        <f>Table43[[#This Row],[ISI/CTN]]</f>
        <v>12</v>
      </c>
    </row>
    <row r="645" spans="1:73">
      <c r="A645" s="4" t="str">
        <f>CONCATENATE(Table43[[#This Row],[Kode BARANG Win2]],Table43[[#This Row],[No. Urut
Item Sama]])</f>
        <v>G1280101000010</v>
      </c>
      <c r="B645" s="7"/>
      <c r="C645" s="31">
        <v>30611010225000</v>
      </c>
      <c r="D645" s="51">
        <v>40034917</v>
      </c>
      <c r="E645" s="27" t="s">
        <v>2191</v>
      </c>
      <c r="F645" s="51">
        <v>30684040060010</v>
      </c>
      <c r="G645" s="51">
        <v>0</v>
      </c>
      <c r="H645" s="27" t="s">
        <v>1548</v>
      </c>
      <c r="I645" s="27">
        <v>12</v>
      </c>
      <c r="J645" s="51" t="s">
        <v>1858</v>
      </c>
      <c r="K645" s="27" t="str">
        <f>Table43[[#This Row],[NamaJenisKemasan]]</f>
        <v>PCS</v>
      </c>
      <c r="L645" s="4" t="str">
        <f>TRIM(CONCATENATE(Table43[[#This Row],[Nama            KLP]]," ",Table43[[#This Row],[Nama            Sub KLP]]))</f>
        <v>STELLA MIST DIFFUSER</v>
      </c>
      <c r="M645" s="4" t="str">
        <f>CONCATENATE(Table43[[#This Row],[kode  2 Digit                (hrf+No)]],Table43[[#This Row],[kode  2 Digit                (Nomor)]],Table43[[#This Row],[kode  1 Digit                (Nomor)]])</f>
        <v>G1280</v>
      </c>
      <c r="N645" s="4" t="str">
        <f>IF(AI645="",CONCATENATE(S645,U645,W645,Y645,AA645,AC645,AE645,AG645,Table43[[#This Row],[Tanda Kode Revisi]]),CONCATENATE(S645,U645,W645,Y645,AA645,AC645,AE645,AI645))</f>
        <v>G1280101000010</v>
      </c>
      <c r="O645" s="11">
        <f t="shared" si="18"/>
        <v>14</v>
      </c>
      <c r="P645" s="14" t="str">
        <f>IF(AH645&lt;&gt;"",TRIM(UPPER(CONCATENATE(R645," ",T645," ",V645," ",X645," ",Z645," ",AB645," ","X"," ",Table43[[#This Row],[ISI/CTN]]," ",AH645," ",AD645," ",AF645," ",AJ645))),TRIM(UPPER(CONCATENATE(R645," ",T645," ",V645," ",X645," ",Z645," ",AB645," ","X"," ",Table43[[#This Row],[ISI/CTN]]," ",AD645," ",AF645," ",AJ645))))</f>
        <v>STELLA MIST DIFFUSER REFILL LEMON X 12 PCS</v>
      </c>
      <c r="Q645" s="11">
        <f t="shared" si="19"/>
        <v>42</v>
      </c>
      <c r="S645" s="7" t="s">
        <v>34</v>
      </c>
      <c r="T645" s="4" t="s">
        <v>2583</v>
      </c>
      <c r="U645" s="47" t="s">
        <v>2587</v>
      </c>
      <c r="V645" s="48"/>
      <c r="W645" s="7">
        <v>0</v>
      </c>
      <c r="X645" s="48" t="s">
        <v>2231</v>
      </c>
      <c r="Y645" s="47" t="s">
        <v>2539</v>
      </c>
      <c r="Z645" s="4" t="s">
        <v>2321</v>
      </c>
      <c r="AA645" s="49" t="s">
        <v>1115</v>
      </c>
      <c r="AC645" s="49" t="s">
        <v>2460</v>
      </c>
      <c r="AD645" s="4" t="s">
        <v>185</v>
      </c>
      <c r="AE645" s="7">
        <v>1</v>
      </c>
      <c r="AG645" s="7">
        <v>0</v>
      </c>
      <c r="AK645" s="70">
        <f>Table43[[#This Row],[Column4]]</f>
        <v>30684040060010</v>
      </c>
      <c r="AN645" s="7">
        <f>Table43[[#This Row],[ISI/CTN]]</f>
        <v>12</v>
      </c>
      <c r="AO645" s="38">
        <f>Table43[[#This Row],[Harga Jual Pcs GT
(-PPN)]]-(Table43[[#This Row],[Harga Jual Pcs GT
(-PPN)]]*6.5%)</f>
        <v>35436.5</v>
      </c>
      <c r="AP645" s="38">
        <f>Table43[[#This Row],[Harga Beli Pcs
(-PPN)]]*Table43[[#This Row],[ISI/CTN]]</f>
        <v>425238</v>
      </c>
      <c r="AQ645" s="38">
        <f>Table43[[#This Row],[Harga Beli Pcs
(-PPN)]]*1.11</f>
        <v>39334.515000000007</v>
      </c>
      <c r="AR645" s="38">
        <f>Table43[[#This Row],[Harga Beli Krt
(- PPN)]]*1.11</f>
        <v>472014.18000000005</v>
      </c>
      <c r="AS645" s="38">
        <v>37900</v>
      </c>
      <c r="AT645" s="38">
        <f>Table43[[#This Row],[Harga Jual Pcs GT
(-PPN)]]*Table43[[#This Row],[ISI/CTN]]</f>
        <v>454800</v>
      </c>
      <c r="AU645" s="38">
        <f>Table43[[#This Row],[Harga Jual Pcs GT
(-PPN)]]*1.11</f>
        <v>42069.000000000007</v>
      </c>
      <c r="AV645" s="38">
        <f>Table43[[#This Row],[Harga Jual Krt GT
(- PPN)]]*1.11</f>
        <v>504828.00000000006</v>
      </c>
      <c r="AW645" s="38">
        <f>IFERROR(VLOOKUP(Table43[[#This Row],[Kode Pcpl]],'[1]FEB 2026'!$A$3:$X$312,24,0),0)</f>
        <v>0</v>
      </c>
      <c r="AX645" s="38">
        <f>Table43[[#This Row],[Harga Jual Pcs MT
(-PPN)]]*Table43[[#This Row],[ISI/CTN]]</f>
        <v>0</v>
      </c>
      <c r="AY645" s="38">
        <f>Table43[[#This Row],[Harga Jual Pcs MT
(-PPN)]]*1.11</f>
        <v>0</v>
      </c>
      <c r="AZ645" s="38">
        <f>Table43[[#This Row],[Harga Jual Pcs MT
(+PPN)]]*Table43[[#This Row],[ISI/CTN]]</f>
        <v>0</v>
      </c>
      <c r="BA645" s="46">
        <f>(Table43[[#This Row],[Harga Jual Pcs GT
(-PPN)]]-Table43[[#This Row],[Harga Beli Pcs
(-PPN)]])/Table43[[#This Row],[Harga Jual Pcs GT
(-PPN)]]</f>
        <v>6.5000000000000002E-2</v>
      </c>
      <c r="BB645" s="53">
        <f>Table43[[#This Row],[Harga Jual Pcs MT
(-PPN)]]-Table43[[#This Row],[Harga Beli Pcs
(-PPN)]]</f>
        <v>-35436.5</v>
      </c>
      <c r="BC645" s="54" t="e">
        <f>Table43[[#This Row],[Column1]]/Table43[[#This Row],[Harga Jual Pcs MT
(-PPN)]]</f>
        <v>#DIV/0!</v>
      </c>
      <c r="BD645" s="52"/>
      <c r="BE645" s="7"/>
      <c r="BF645" s="7" t="str">
        <f ca="1">IF(TODAY()-Table43[[#This Row],[Efektif
Pembuatan]]&gt;60,"Lama","Baru")</f>
        <v>Lama</v>
      </c>
      <c r="BG645" s="7" t="str">
        <f ca="1">IF(TODAY()-Table43[[#This Row],[Efektif Naik Harga]]&lt;30,"Naik","Sama")</f>
        <v>Sama</v>
      </c>
      <c r="BH645" s="7"/>
      <c r="BI645" s="7" t="str">
        <f>IF(Table43[[#This Row],[Kode BARANG Win2]]&lt;&gt;"","IDR","")</f>
        <v>IDR</v>
      </c>
      <c r="BJ645" s="7" t="str">
        <f>CONCATENATE(Table43[[#This Row],[kode  1 Digit
(Nomor)]],Table43[[#This Row],[kode  4 Digit                (Nomor)]])</f>
        <v>0000</v>
      </c>
      <c r="BK645" s="7">
        <f>Table43[[#This Row],[Nama            Gramasi atau Jumlah Pack per CTN]]</f>
        <v>0</v>
      </c>
      <c r="BL645" s="7"/>
      <c r="BM645" s="7"/>
      <c r="BN645" s="4" t="str">
        <f>IF(Table43[[#This Row],[SATUAN Fix Win]]&lt;&gt;"","KRT")</f>
        <v>KRT</v>
      </c>
      <c r="BO645" s="4" t="str">
        <f>IF(Table43[[#This Row],[SATUAN Fix Win]]&lt;&gt;"","GD01")</f>
        <v>GD01</v>
      </c>
      <c r="BP645" s="4">
        <f>IF(Table43[[#This Row],[SATUAN Fix Win]]&lt;&gt;"",11611)</f>
        <v>11611</v>
      </c>
      <c r="BQ645" s="4">
        <f>IF(Table43[[#This Row],[SATUAN Fix Win]]&lt;&gt;"",11612)</f>
        <v>11612</v>
      </c>
      <c r="BS645" s="4">
        <f>IF(Table43[[#This Row],[SATUAN Fix Win]]&lt;&gt;"",1)</f>
        <v>1</v>
      </c>
      <c r="BU645" s="4">
        <f>Table43[[#This Row],[ISI/CTN]]</f>
        <v>12</v>
      </c>
    </row>
    <row r="646" spans="1:73">
      <c r="A646" s="4" t="str">
        <f>CONCATENATE(Table43[[#This Row],[Kode BARANG Win2]],Table43[[#This Row],[No. Urut
Item Sama]])</f>
        <v>G1280201000010</v>
      </c>
      <c r="B646" s="7"/>
      <c r="C646" s="31">
        <v>30611010225000</v>
      </c>
      <c r="D646" s="51">
        <v>40034894</v>
      </c>
      <c r="E646" s="27" t="s">
        <v>2190</v>
      </c>
      <c r="F646" s="51">
        <v>30683040060010</v>
      </c>
      <c r="G646" s="51">
        <v>0</v>
      </c>
      <c r="H646" s="27" t="s">
        <v>1547</v>
      </c>
      <c r="I646" s="27">
        <v>6</v>
      </c>
      <c r="J646" s="51" t="s">
        <v>1857</v>
      </c>
      <c r="K646" s="27" t="str">
        <f>Table43[[#This Row],[NamaJenisKemasan]]</f>
        <v>PCS</v>
      </c>
      <c r="L646" s="4" t="str">
        <f>TRIM(CONCATENATE(Table43[[#This Row],[Nama            KLP]]," ",Table43[[#This Row],[Nama            Sub KLP]]))</f>
        <v>STELLA MIST DIFFUSER</v>
      </c>
      <c r="M646" s="4" t="str">
        <f>CONCATENATE(Table43[[#This Row],[kode  2 Digit                (hrf+No)]],Table43[[#This Row],[kode  2 Digit                (Nomor)]],Table43[[#This Row],[kode  1 Digit                (Nomor)]])</f>
        <v>G1280</v>
      </c>
      <c r="N646" s="4" t="str">
        <f>IF(AI646="",CONCATENATE(S646,U646,W646,Y646,AA646,AC646,AE646,AG646,Table43[[#This Row],[Tanda Kode Revisi]]),CONCATENATE(S646,U646,W646,Y646,AA646,AC646,AE646,AI646))</f>
        <v>G1280201000010</v>
      </c>
      <c r="O646" s="11">
        <f t="shared" si="18"/>
        <v>14</v>
      </c>
      <c r="P646" s="14" t="str">
        <f>IF(AH646&lt;&gt;"",TRIM(UPPER(CONCATENATE(R646," ",T646," ",V646," ",X646," ",Z646," ",AB646," ","X"," ",Table43[[#This Row],[ISI/CTN]]," ",AH646," ",AD646," ",AF646," ",AJ646))),TRIM(UPPER(CONCATENATE(R646," ",T646," ",V646," ",X646," ",Z646," ",AB646," ","X"," ",Table43[[#This Row],[ISI/CTN]]," ",AD646," ",AF646," ",AJ646))))</f>
        <v>STELLA MIST DIFFUSER SET LEMON X 6 PCS</v>
      </c>
      <c r="Q646" s="11">
        <f t="shared" si="19"/>
        <v>38</v>
      </c>
      <c r="S646" s="7" t="s">
        <v>34</v>
      </c>
      <c r="T646" s="4" t="s">
        <v>2583</v>
      </c>
      <c r="U646" s="47" t="s">
        <v>2587</v>
      </c>
      <c r="V646" s="48"/>
      <c r="W646" s="7">
        <v>0</v>
      </c>
      <c r="X646" s="48" t="s">
        <v>2222</v>
      </c>
      <c r="Y646" s="47" t="s">
        <v>2572</v>
      </c>
      <c r="Z646" s="4" t="s">
        <v>2321</v>
      </c>
      <c r="AA646" s="49" t="s">
        <v>1115</v>
      </c>
      <c r="AC646" s="49" t="s">
        <v>2460</v>
      </c>
      <c r="AD646" s="4" t="s">
        <v>185</v>
      </c>
      <c r="AE646" s="7">
        <v>1</v>
      </c>
      <c r="AG646" s="7">
        <v>0</v>
      </c>
      <c r="AK646" s="70">
        <f>Table43[[#This Row],[Column4]]</f>
        <v>30683040060010</v>
      </c>
      <c r="AN646" s="7">
        <f>Table43[[#This Row],[ISI/CTN]]</f>
        <v>6</v>
      </c>
      <c r="AO646" s="38">
        <f>Table43[[#This Row],[Harga Jual Pcs GT
(-PPN)]]-(Table43[[#This Row],[Harga Jual Pcs GT
(-PPN)]]*6.5%)</f>
        <v>140717.5</v>
      </c>
      <c r="AP646" s="38">
        <f>Table43[[#This Row],[Harga Beli Pcs
(-PPN)]]*Table43[[#This Row],[ISI/CTN]]</f>
        <v>844305</v>
      </c>
      <c r="AQ646" s="38">
        <f>Table43[[#This Row],[Harga Beli Pcs
(-PPN)]]*1.11</f>
        <v>156196.42500000002</v>
      </c>
      <c r="AR646" s="38">
        <f>Table43[[#This Row],[Harga Beli Krt
(- PPN)]]*1.11</f>
        <v>937178.55</v>
      </c>
      <c r="AS646" s="38">
        <v>150500</v>
      </c>
      <c r="AT646" s="38">
        <f>Table43[[#This Row],[Harga Jual Pcs GT
(-PPN)]]*Table43[[#This Row],[ISI/CTN]]</f>
        <v>903000</v>
      </c>
      <c r="AU646" s="38">
        <f>Table43[[#This Row],[Harga Jual Pcs GT
(-PPN)]]*1.11</f>
        <v>167055.00000000003</v>
      </c>
      <c r="AV646" s="38">
        <f>Table43[[#This Row],[Harga Jual Krt GT
(- PPN)]]*1.11</f>
        <v>1002330.0000000001</v>
      </c>
      <c r="AW646" s="38">
        <f>IFERROR(VLOOKUP(Table43[[#This Row],[Kode Pcpl]],'[1]FEB 2026'!$A$3:$X$312,24,0),0)</f>
        <v>0</v>
      </c>
      <c r="AX646" s="38">
        <f>Table43[[#This Row],[Harga Jual Pcs MT
(-PPN)]]*Table43[[#This Row],[ISI/CTN]]</f>
        <v>0</v>
      </c>
      <c r="AY646" s="38">
        <f>Table43[[#This Row],[Harga Jual Pcs MT
(-PPN)]]*1.11</f>
        <v>0</v>
      </c>
      <c r="AZ646" s="38">
        <f>Table43[[#This Row],[Harga Jual Pcs MT
(+PPN)]]*Table43[[#This Row],[ISI/CTN]]</f>
        <v>0</v>
      </c>
      <c r="BA646" s="46">
        <f>(Table43[[#This Row],[Harga Jual Pcs GT
(-PPN)]]-Table43[[#This Row],[Harga Beli Pcs
(-PPN)]])/Table43[[#This Row],[Harga Jual Pcs GT
(-PPN)]]</f>
        <v>6.5000000000000002E-2</v>
      </c>
      <c r="BB646" s="53">
        <f>Table43[[#This Row],[Harga Jual Pcs MT
(-PPN)]]-Table43[[#This Row],[Harga Beli Pcs
(-PPN)]]</f>
        <v>-140717.5</v>
      </c>
      <c r="BC646" s="54" t="e">
        <f>Table43[[#This Row],[Column1]]/Table43[[#This Row],[Harga Jual Pcs MT
(-PPN)]]</f>
        <v>#DIV/0!</v>
      </c>
      <c r="BD646" s="52"/>
      <c r="BE646" s="7"/>
      <c r="BF646" s="7" t="str">
        <f ca="1">IF(TODAY()-Table43[[#This Row],[Efektif
Pembuatan]]&gt;60,"Lama","Baru")</f>
        <v>Lama</v>
      </c>
      <c r="BG646" s="7" t="str">
        <f ca="1">IF(TODAY()-Table43[[#This Row],[Efektif Naik Harga]]&lt;30,"Naik","Sama")</f>
        <v>Sama</v>
      </c>
      <c r="BH646" s="7"/>
      <c r="BI646" s="7" t="str">
        <f>IF(Table43[[#This Row],[Kode BARANG Win2]]&lt;&gt;"","IDR","")</f>
        <v>IDR</v>
      </c>
      <c r="BJ646" s="7" t="str">
        <f>CONCATENATE(Table43[[#This Row],[kode  1 Digit
(Nomor)]],Table43[[#This Row],[kode  4 Digit                (Nomor)]])</f>
        <v>0000</v>
      </c>
      <c r="BK646" s="7">
        <f>Table43[[#This Row],[Nama            Gramasi atau Jumlah Pack per CTN]]</f>
        <v>0</v>
      </c>
      <c r="BL646" s="7"/>
      <c r="BM646" s="7"/>
      <c r="BN646" s="4" t="str">
        <f>IF(Table43[[#This Row],[SATUAN Fix Win]]&lt;&gt;"","KRT")</f>
        <v>KRT</v>
      </c>
      <c r="BO646" s="4" t="str">
        <f>IF(Table43[[#This Row],[SATUAN Fix Win]]&lt;&gt;"","GD01")</f>
        <v>GD01</v>
      </c>
      <c r="BP646" s="4">
        <f>IF(Table43[[#This Row],[SATUAN Fix Win]]&lt;&gt;"",11611)</f>
        <v>11611</v>
      </c>
      <c r="BQ646" s="4">
        <f>IF(Table43[[#This Row],[SATUAN Fix Win]]&lt;&gt;"",11612)</f>
        <v>11612</v>
      </c>
      <c r="BS646" s="4">
        <f>IF(Table43[[#This Row],[SATUAN Fix Win]]&lt;&gt;"",1)</f>
        <v>1</v>
      </c>
      <c r="BU646" s="4">
        <f>Table43[[#This Row],[ISI/CTN]]</f>
        <v>6</v>
      </c>
    </row>
    <row r="647" spans="1:73">
      <c r="A647" s="4" t="str">
        <f>CONCATENATE(Table43[[#This Row],[Kode BARANG Win2]],Table43[[#This Row],[No. Urut
Item Sama]])</f>
        <v>G1290001000020</v>
      </c>
      <c r="B647" s="7"/>
      <c r="C647" s="31">
        <v>30692000000000</v>
      </c>
      <c r="D647" s="51">
        <v>40043484</v>
      </c>
      <c r="E647" s="27" t="s">
        <v>2179</v>
      </c>
      <c r="F647" s="51">
        <v>30631030010000</v>
      </c>
      <c r="G647" s="51">
        <v>0</v>
      </c>
      <c r="H647" s="27" t="s">
        <v>1533</v>
      </c>
      <c r="I647" s="27">
        <v>72</v>
      </c>
      <c r="J647" s="51" t="s">
        <v>1845</v>
      </c>
      <c r="K647" s="27" t="str">
        <f>Table43[[#This Row],[NamaJenisKemasan]]</f>
        <v>PCS</v>
      </c>
      <c r="L647" s="4" t="str">
        <f>TRIM(CONCATENATE(Table43[[#This Row],[Nama            KLP]]," ",Table43[[#This Row],[Nama            Sub KLP]]))</f>
        <v>STELLA POCKET BATHROOM</v>
      </c>
      <c r="M647" s="4" t="str">
        <f>CONCATENATE(Table43[[#This Row],[kode  2 Digit                (hrf+No)]],Table43[[#This Row],[kode  2 Digit                (Nomor)]],Table43[[#This Row],[kode  1 Digit                (Nomor)]])</f>
        <v>G1290</v>
      </c>
      <c r="N647" s="4" t="str">
        <f>IF(AI647="",CONCATENATE(S647,U647,W647,Y647,AA647,AC647,AE647,AG647,Table43[[#This Row],[Tanda Kode Revisi]]),CONCATENATE(S647,U647,W647,Y647,AA647,AC647,AE647,AI647))</f>
        <v>G1290001000020</v>
      </c>
      <c r="O647" s="11">
        <f t="shared" si="18"/>
        <v>14</v>
      </c>
      <c r="P647" s="14" t="str">
        <f>IF(AH647&lt;&gt;"",TRIM(UPPER(CONCATENATE(R647," ",T647," ",V647," ",X647," ",Z647," ",AB647," ","X"," ",Table43[[#This Row],[ISI/CTN]]," ",AH647," ",AD647," ",AF647," ",AJ647))),TRIM(UPPER(CONCATENATE(R647," ",T647," ",V647," ",X647," ",Z647," ",AB647," ","X"," ",Table43[[#This Row],[ISI/CTN]]," ",AD647," ",AF647," ",AJ647))))</f>
        <v>STELLA POCKET BATHROOM BLUE X 72 PCS</v>
      </c>
      <c r="Q647" s="11">
        <f t="shared" si="19"/>
        <v>36</v>
      </c>
      <c r="S647" s="7" t="s">
        <v>34</v>
      </c>
      <c r="T647" s="4" t="s">
        <v>2590</v>
      </c>
      <c r="U647" s="47" t="s">
        <v>2588</v>
      </c>
      <c r="V647" s="48"/>
      <c r="W647" s="7">
        <v>0</v>
      </c>
      <c r="X647" s="48"/>
      <c r="Y647" s="47" t="s">
        <v>1116</v>
      </c>
      <c r="Z647" s="4" t="s">
        <v>2343</v>
      </c>
      <c r="AA647" s="49" t="s">
        <v>1115</v>
      </c>
      <c r="AC647" s="49" t="s">
        <v>2460</v>
      </c>
      <c r="AD647" s="4" t="s">
        <v>185</v>
      </c>
      <c r="AE647" s="7">
        <v>2</v>
      </c>
      <c r="AG647" s="7">
        <v>0</v>
      </c>
      <c r="AK647" s="70">
        <f>Table43[[#This Row],[Column4]]</f>
        <v>30631030010000</v>
      </c>
      <c r="AN647" s="7">
        <f>Table43[[#This Row],[ISI/CTN]]</f>
        <v>72</v>
      </c>
      <c r="AO647" s="61">
        <f>Table43[[#This Row],[Harga Jual Pcs GT
(-PPN)]]-(Table43[[#This Row],[Harga Jual Pcs GT
(-PPN)]]*6.5%)</f>
        <v>6498.25</v>
      </c>
      <c r="AP647" s="61">
        <f>Table43[[#This Row],[Harga Beli Pcs
(-PPN)]]*Table43[[#This Row],[ISI/CTN]]</f>
        <v>467874</v>
      </c>
      <c r="AQ647" s="61">
        <f>Table43[[#This Row],[Harga Beli Pcs
(-PPN)]]*1.11</f>
        <v>7213.0575000000008</v>
      </c>
      <c r="AR647" s="61">
        <f>Table43[[#This Row],[Harga Beli Krt
(- PPN)]]*1.11</f>
        <v>519340.14000000007</v>
      </c>
      <c r="AS647" s="61">
        <v>6950</v>
      </c>
      <c r="AT647" s="61">
        <f>Table43[[#This Row],[Harga Jual Pcs GT
(-PPN)]]*Table43[[#This Row],[ISI/CTN]]</f>
        <v>500400</v>
      </c>
      <c r="AU647" s="61">
        <f>Table43[[#This Row],[Harga Jual Pcs GT
(-PPN)]]*1.11</f>
        <v>7714.5000000000009</v>
      </c>
      <c r="AV647" s="61">
        <f>Table43[[#This Row],[Harga Jual Krt GT
(- PPN)]]*1.11</f>
        <v>555444</v>
      </c>
      <c r="AW647" s="61">
        <f>IFERROR(VLOOKUP(Table43[[#This Row],[Kode Pcpl]],'[1]FEB 2026'!$A$3:$X$312,24,0),0)</f>
        <v>0</v>
      </c>
      <c r="AX647" s="61">
        <f>Table43[[#This Row],[Harga Jual Pcs MT
(-PPN)]]*Table43[[#This Row],[ISI/CTN]]</f>
        <v>0</v>
      </c>
      <c r="AY647" s="61">
        <f>Table43[[#This Row],[Harga Jual Pcs MT
(-PPN)]]*1.11</f>
        <v>0</v>
      </c>
      <c r="AZ647" s="61">
        <f>Table43[[#This Row],[Harga Jual Pcs MT
(+PPN)]]*Table43[[#This Row],[ISI/CTN]]</f>
        <v>0</v>
      </c>
      <c r="BA647" s="62">
        <f>(Table43[[#This Row],[Harga Jual Pcs GT
(-PPN)]]-Table43[[#This Row],[Harga Beli Pcs
(-PPN)]])/Table43[[#This Row],[Harga Jual Pcs GT
(-PPN)]]</f>
        <v>6.5000000000000002E-2</v>
      </c>
      <c r="BB647" s="63">
        <f>Table43[[#This Row],[Harga Jual Pcs MT
(-PPN)]]-Table43[[#This Row],[Harga Beli Pcs
(-PPN)]]</f>
        <v>-6498.25</v>
      </c>
      <c r="BC647" s="64" t="e">
        <f>Table43[[#This Row],[Column1]]/Table43[[#This Row],[Harga Jual Pcs MT
(-PPN)]]</f>
        <v>#DIV/0!</v>
      </c>
      <c r="BD647" s="52"/>
      <c r="BE647" s="7"/>
      <c r="BF647" s="7" t="str">
        <f ca="1">IF(TODAY()-Table43[[#This Row],[Efektif
Pembuatan]]&gt;60,"Lama","Baru")</f>
        <v>Lama</v>
      </c>
      <c r="BG647" s="7" t="str">
        <f ca="1">IF(TODAY()-Table43[[#This Row],[Efektif Naik Harga]]&lt;30,"Naik","Sama")</f>
        <v>Sama</v>
      </c>
      <c r="BH647" s="7"/>
      <c r="BI647" s="7" t="str">
        <f>IF(Table43[[#This Row],[Kode BARANG Win2]]&lt;&gt;"","IDR","")</f>
        <v>IDR</v>
      </c>
      <c r="BJ647" s="7" t="str">
        <f>CONCATENATE(Table43[[#This Row],[kode  1 Digit
(Nomor)]],Table43[[#This Row],[kode  4 Digit                (Nomor)]])</f>
        <v>0000</v>
      </c>
      <c r="BK647" s="7">
        <f>Table43[[#This Row],[Nama            Gramasi atau Jumlah Pack per CTN]]</f>
        <v>0</v>
      </c>
      <c r="BL647" s="7"/>
      <c r="BM647" s="7"/>
      <c r="BN647" s="4" t="str">
        <f>IF(Table43[[#This Row],[SATUAN Fix Win]]&lt;&gt;"","KRT")</f>
        <v>KRT</v>
      </c>
      <c r="BO647" s="4" t="str">
        <f>IF(Table43[[#This Row],[SATUAN Fix Win]]&lt;&gt;"","GD01")</f>
        <v>GD01</v>
      </c>
      <c r="BP647" s="4">
        <f>IF(Table43[[#This Row],[SATUAN Fix Win]]&lt;&gt;"",11611)</f>
        <v>11611</v>
      </c>
      <c r="BQ647" s="4">
        <f>IF(Table43[[#This Row],[SATUAN Fix Win]]&lt;&gt;"",11612)</f>
        <v>11612</v>
      </c>
      <c r="BS647" s="4">
        <f>IF(Table43[[#This Row],[SATUAN Fix Win]]&lt;&gt;"",1)</f>
        <v>1</v>
      </c>
      <c r="BU647" s="4">
        <f>Table43[[#This Row],[ISI/CTN]]</f>
        <v>72</v>
      </c>
    </row>
    <row r="648" spans="1:73">
      <c r="A648" s="4" t="str">
        <f>CONCATENATE(Table43[[#This Row],[Kode BARANG Win2]],Table43[[#This Row],[No. Urut
Item Sama]])</f>
        <v>G1290001000020</v>
      </c>
      <c r="B648" s="7"/>
      <c r="C648" s="31"/>
      <c r="D648" s="51">
        <v>40033711</v>
      </c>
      <c r="E648" s="27"/>
      <c r="F648" s="51"/>
      <c r="G648" s="51"/>
      <c r="H648" s="27"/>
      <c r="I648" s="27">
        <v>72</v>
      </c>
      <c r="J648" s="51"/>
      <c r="K648" s="27" t="str">
        <f>Table43[[#This Row],[NamaJenisKemasan]]</f>
        <v>PCS</v>
      </c>
      <c r="L648" s="4" t="str">
        <f>TRIM(CONCATENATE(Table43[[#This Row],[Nama            KLP]]," ",Table43[[#This Row],[Nama            Sub KLP]]))</f>
        <v>STELLA POCKET BATHROOM</v>
      </c>
      <c r="M648" s="4" t="str">
        <f>CONCATENATE(Table43[[#This Row],[kode  2 Digit                (hrf+No)]],Table43[[#This Row],[kode  2 Digit                (Nomor)]],Table43[[#This Row],[kode  1 Digit                (Nomor)]])</f>
        <v>G1290</v>
      </c>
      <c r="N648" s="4" t="str">
        <f>IF(AI648="",CONCATENATE(S648,U648,W648,Y648,AA648,AC648,AE648,AG648,Table43[[#This Row],[Tanda Kode Revisi]]),CONCATENATE(S648,U648,W648,Y648,AA648,AC648,AE648,AI648))</f>
        <v>G1290001000020</v>
      </c>
      <c r="O648" s="11">
        <f t="shared" si="18"/>
        <v>14</v>
      </c>
      <c r="P648" s="14" t="str">
        <f>IF(AH648&lt;&gt;"",TRIM(UPPER(CONCATENATE(R648," ",T648," ",V648," ",X648," ",Z648," ",AB648," ","X"," ",Table43[[#This Row],[ISI/CTN]]," ",AH648," ",AD648," ",AF648," ",AJ648))),TRIM(UPPER(CONCATENATE(R648," ",T648," ",V648," ",X648," ",Z648," ",AB648," ","X"," ",Table43[[#This Row],[ISI/CTN]]," ",AD648," ",AF648," ",AJ648))))</f>
        <v>STELLA POCKET BATHROOM BLUE X 72 PCS</v>
      </c>
      <c r="Q648" s="11">
        <f t="shared" si="19"/>
        <v>36</v>
      </c>
      <c r="S648" s="7" t="s">
        <v>34</v>
      </c>
      <c r="T648" s="4" t="s">
        <v>2590</v>
      </c>
      <c r="U648" s="47" t="s">
        <v>2588</v>
      </c>
      <c r="V648" s="48"/>
      <c r="W648" s="7">
        <v>0</v>
      </c>
      <c r="X648" s="48"/>
      <c r="Y648" s="47" t="s">
        <v>1116</v>
      </c>
      <c r="Z648" s="4" t="s">
        <v>2343</v>
      </c>
      <c r="AA648" s="49" t="s">
        <v>1115</v>
      </c>
      <c r="AC648" s="49" t="s">
        <v>2460</v>
      </c>
      <c r="AD648" s="4" t="s">
        <v>185</v>
      </c>
      <c r="AE648" s="7">
        <v>2</v>
      </c>
      <c r="AG648" s="7">
        <v>0</v>
      </c>
      <c r="AK648" s="70">
        <f>Table43[[#This Row],[Column4]]</f>
        <v>0</v>
      </c>
      <c r="AN648" s="7">
        <f>Table43[[#This Row],[ISI/CTN]]</f>
        <v>72</v>
      </c>
      <c r="AO648" s="61">
        <f>Table43[[#This Row],[Harga Jual Pcs GT
(-PPN)]]-(Table43[[#This Row],[Harga Jual Pcs GT
(-PPN)]]*6.5%)</f>
        <v>0</v>
      </c>
      <c r="AP648" s="61">
        <f>Table43[[#This Row],[Harga Beli Pcs
(-PPN)]]*Table43[[#This Row],[ISI/CTN]]</f>
        <v>0</v>
      </c>
      <c r="AQ648" s="61">
        <f>Table43[[#This Row],[Harga Beli Pcs
(-PPN)]]*1.11</f>
        <v>0</v>
      </c>
      <c r="AR648" s="61">
        <f>Table43[[#This Row],[Harga Beli Krt
(- PPN)]]*1.11</f>
        <v>0</v>
      </c>
      <c r="AS648" s="61"/>
      <c r="AT648" s="61">
        <f>Table43[[#This Row],[Harga Jual Pcs GT
(-PPN)]]*Table43[[#This Row],[ISI/CTN]]</f>
        <v>0</v>
      </c>
      <c r="AU648" s="61">
        <f>Table43[[#This Row],[Harga Jual Pcs GT
(-PPN)]]*1.11</f>
        <v>0</v>
      </c>
      <c r="AV648" s="61">
        <f>Table43[[#This Row],[Harga Jual Krt GT
(- PPN)]]*1.11</f>
        <v>0</v>
      </c>
      <c r="AW648" s="61">
        <f>IFERROR(VLOOKUP(Table43[[#This Row],[Kode Pcpl]],'[1]FEB 2026'!$A$3:$X$312,24,0),0)</f>
        <v>0</v>
      </c>
      <c r="AX648" s="61">
        <f>Table43[[#This Row],[Harga Jual Pcs MT
(-PPN)]]*Table43[[#This Row],[ISI/CTN]]</f>
        <v>0</v>
      </c>
      <c r="AY648" s="61">
        <f>Table43[[#This Row],[Harga Jual Pcs MT
(-PPN)]]*1.11</f>
        <v>0</v>
      </c>
      <c r="AZ648" s="61">
        <f>Table43[[#This Row],[Harga Jual Pcs MT
(+PPN)]]*Table43[[#This Row],[ISI/CTN]]</f>
        <v>0</v>
      </c>
      <c r="BA648" s="62" t="e">
        <f>(Table43[[#This Row],[Harga Jual Pcs GT
(-PPN)]]-Table43[[#This Row],[Harga Beli Pcs
(-PPN)]])/Table43[[#This Row],[Harga Jual Pcs GT
(-PPN)]]</f>
        <v>#DIV/0!</v>
      </c>
      <c r="BB648" s="63">
        <f>Table43[[#This Row],[Harga Jual Pcs MT
(-PPN)]]-Table43[[#This Row],[Harga Beli Pcs
(-PPN)]]</f>
        <v>0</v>
      </c>
      <c r="BC648" s="64" t="e">
        <f>Table43[[#This Row],[Column1]]/Table43[[#This Row],[Harga Jual Pcs MT
(-PPN)]]</f>
        <v>#DIV/0!</v>
      </c>
      <c r="BD648" s="52"/>
      <c r="BE648" s="7"/>
      <c r="BF648" s="7" t="str">
        <f ca="1">IF(TODAY()-Table43[[#This Row],[Efektif
Pembuatan]]&gt;60,"Lama","Baru")</f>
        <v>Lama</v>
      </c>
      <c r="BG648" s="7" t="str">
        <f ca="1">IF(TODAY()-Table43[[#This Row],[Efektif Naik Harga]]&lt;30,"Naik","Sama")</f>
        <v>Sama</v>
      </c>
      <c r="BH648" s="7"/>
      <c r="BI648" s="7" t="str">
        <f>IF(Table43[[#This Row],[Kode BARANG Win2]]&lt;&gt;"","IDR","")</f>
        <v>IDR</v>
      </c>
      <c r="BJ648" s="7" t="str">
        <f>CONCATENATE(Table43[[#This Row],[kode  1 Digit
(Nomor)]],Table43[[#This Row],[kode  4 Digit                (Nomor)]])</f>
        <v>0000</v>
      </c>
      <c r="BK648" s="7">
        <f>Table43[[#This Row],[Nama            Gramasi atau Jumlah Pack per CTN]]</f>
        <v>0</v>
      </c>
      <c r="BL648" s="7"/>
      <c r="BM648" s="7"/>
      <c r="BN648" s="4" t="str">
        <f>IF(Table43[[#This Row],[SATUAN Fix Win]]&lt;&gt;"","KRT")</f>
        <v>KRT</v>
      </c>
      <c r="BO648" s="4" t="str">
        <f>IF(Table43[[#This Row],[SATUAN Fix Win]]&lt;&gt;"","GD01")</f>
        <v>GD01</v>
      </c>
      <c r="BP648" s="4">
        <f>IF(Table43[[#This Row],[SATUAN Fix Win]]&lt;&gt;"",11611)</f>
        <v>11611</v>
      </c>
      <c r="BQ648" s="4">
        <f>IF(Table43[[#This Row],[SATUAN Fix Win]]&lt;&gt;"",11612)</f>
        <v>11612</v>
      </c>
      <c r="BS648" s="4">
        <f>IF(Table43[[#This Row],[SATUAN Fix Win]]&lt;&gt;"",1)</f>
        <v>1</v>
      </c>
      <c r="BU648" s="4">
        <f>Table43[[#This Row],[ISI/CTN]]</f>
        <v>72</v>
      </c>
    </row>
    <row r="649" spans="1:73">
      <c r="A649" s="4" t="str">
        <f>CONCATENATE(Table43[[#This Row],[Kode BARANG Win2]],Table43[[#This Row],[No. Urut
Item Sama]])</f>
        <v>G1290002000020</v>
      </c>
      <c r="B649" s="7"/>
      <c r="C649" s="31">
        <v>30692000040000</v>
      </c>
      <c r="D649" s="51">
        <v>40050840</v>
      </c>
      <c r="E649" s="27" t="s">
        <v>2182</v>
      </c>
      <c r="F649" s="51">
        <v>30631070010000</v>
      </c>
      <c r="G649" s="51">
        <v>0</v>
      </c>
      <c r="H649" s="27" t="s">
        <v>1536</v>
      </c>
      <c r="I649" s="27">
        <v>72</v>
      </c>
      <c r="J649" s="51" t="s">
        <v>1848</v>
      </c>
      <c r="K649" s="27" t="str">
        <f>Table43[[#This Row],[NamaJenisKemasan]]</f>
        <v>PCS</v>
      </c>
      <c r="L649" s="4" t="str">
        <f>TRIM(CONCATENATE(Table43[[#This Row],[Nama            KLP]]," ",Table43[[#This Row],[Nama            Sub KLP]]))</f>
        <v>STELLA POCKET BATHROOM</v>
      </c>
      <c r="M649" s="4" t="str">
        <f>CONCATENATE(Table43[[#This Row],[kode  2 Digit                (hrf+No)]],Table43[[#This Row],[kode  2 Digit                (Nomor)]],Table43[[#This Row],[kode  1 Digit                (Nomor)]])</f>
        <v>G1290</v>
      </c>
      <c r="N649" s="4" t="str">
        <f>IF(AI649="",CONCATENATE(S649,U649,W649,Y649,AA649,AC649,AE649,AG649,Table43[[#This Row],[Tanda Kode Revisi]]),CONCATENATE(S649,U649,W649,Y649,AA649,AC649,AE649,AI649))</f>
        <v>G1290002000020</v>
      </c>
      <c r="O649" s="11">
        <f t="shared" si="18"/>
        <v>14</v>
      </c>
      <c r="P649" s="14" t="str">
        <f>IF(AH649&lt;&gt;"",TRIM(UPPER(CONCATENATE(R649," ",T649," ",V649," ",X649," ",Z649," ",AB649," ","X"," ",Table43[[#This Row],[ISI/CTN]]," ",AH649," ",AD649," ",AF649," ",AJ649))),TRIM(UPPER(CONCATENATE(R649," ",T649," ",V649," ",X649," ",Z649," ",AB649," ","X"," ",Table43[[#This Row],[ISI/CTN]]," ",AD649," ",AF649," ",AJ649))))</f>
        <v>STELLA POCKET BATHROOM EXOTIC FRUIT X 72 PCS</v>
      </c>
      <c r="Q649" s="11">
        <f t="shared" si="19"/>
        <v>44</v>
      </c>
      <c r="S649" s="7" t="s">
        <v>34</v>
      </c>
      <c r="T649" s="4" t="s">
        <v>2590</v>
      </c>
      <c r="U649" s="47" t="s">
        <v>2588</v>
      </c>
      <c r="V649" s="48"/>
      <c r="W649" s="7">
        <v>0</v>
      </c>
      <c r="X649" s="48"/>
      <c r="Y649" s="47" t="s">
        <v>1116</v>
      </c>
      <c r="Z649" s="4" t="s">
        <v>2448</v>
      </c>
      <c r="AA649" s="49" t="s">
        <v>2459</v>
      </c>
      <c r="AC649" s="49" t="s">
        <v>2460</v>
      </c>
      <c r="AD649" s="4" t="s">
        <v>185</v>
      </c>
      <c r="AE649" s="7">
        <v>2</v>
      </c>
      <c r="AG649" s="7">
        <v>0</v>
      </c>
      <c r="AK649" s="70">
        <f>Table43[[#This Row],[Column4]]</f>
        <v>30631070010000</v>
      </c>
      <c r="AN649" s="7">
        <f>Table43[[#This Row],[ISI/CTN]]</f>
        <v>72</v>
      </c>
      <c r="AO649" s="38">
        <f>Table43[[#This Row],[Harga Jual Pcs GT
(-PPN)]]-(Table43[[#This Row],[Harga Jual Pcs GT
(-PPN)]]*6.5%)</f>
        <v>6498.25</v>
      </c>
      <c r="AP649" s="38">
        <f>Table43[[#This Row],[Harga Beli Pcs
(-PPN)]]*Table43[[#This Row],[ISI/CTN]]</f>
        <v>467874</v>
      </c>
      <c r="AQ649" s="38">
        <f>Table43[[#This Row],[Harga Beli Pcs
(-PPN)]]*1.11</f>
        <v>7213.0575000000008</v>
      </c>
      <c r="AR649" s="38">
        <f>Table43[[#This Row],[Harga Beli Krt
(- PPN)]]*1.11</f>
        <v>519340.14000000007</v>
      </c>
      <c r="AS649" s="38">
        <v>6950</v>
      </c>
      <c r="AT649" s="38">
        <f>Table43[[#This Row],[Harga Jual Pcs GT
(-PPN)]]*Table43[[#This Row],[ISI/CTN]]</f>
        <v>500400</v>
      </c>
      <c r="AU649" s="38">
        <f>Table43[[#This Row],[Harga Jual Pcs GT
(-PPN)]]*1.11</f>
        <v>7714.5000000000009</v>
      </c>
      <c r="AV649" s="38">
        <f>Table43[[#This Row],[Harga Jual Krt GT
(- PPN)]]*1.11</f>
        <v>555444</v>
      </c>
      <c r="AW649" s="38">
        <f>IFERROR(VLOOKUP(Table43[[#This Row],[Kode Pcpl]],'[1]FEB 2026'!$A$3:$X$312,24,0),0)</f>
        <v>0</v>
      </c>
      <c r="AX649" s="38">
        <f>Table43[[#This Row],[Harga Jual Pcs MT
(-PPN)]]*Table43[[#This Row],[ISI/CTN]]</f>
        <v>0</v>
      </c>
      <c r="AY649" s="38">
        <f>Table43[[#This Row],[Harga Jual Pcs MT
(-PPN)]]*1.11</f>
        <v>0</v>
      </c>
      <c r="AZ649" s="38">
        <f>Table43[[#This Row],[Harga Jual Pcs MT
(+PPN)]]*Table43[[#This Row],[ISI/CTN]]</f>
        <v>0</v>
      </c>
      <c r="BA649" s="46">
        <f>(Table43[[#This Row],[Harga Jual Pcs GT
(-PPN)]]-Table43[[#This Row],[Harga Beli Pcs
(-PPN)]])/Table43[[#This Row],[Harga Jual Pcs GT
(-PPN)]]</f>
        <v>6.5000000000000002E-2</v>
      </c>
      <c r="BB649" s="53">
        <f>Table43[[#This Row],[Harga Jual Pcs MT
(-PPN)]]-Table43[[#This Row],[Harga Beli Pcs
(-PPN)]]</f>
        <v>-6498.25</v>
      </c>
      <c r="BC649" s="54" t="e">
        <f>Table43[[#This Row],[Column1]]/Table43[[#This Row],[Harga Jual Pcs MT
(-PPN)]]</f>
        <v>#DIV/0!</v>
      </c>
      <c r="BD649" s="52"/>
      <c r="BE649" s="7"/>
      <c r="BF649" s="7" t="str">
        <f ca="1">IF(TODAY()-Table43[[#This Row],[Efektif
Pembuatan]]&gt;60,"Lama","Baru")</f>
        <v>Lama</v>
      </c>
      <c r="BG649" s="7" t="str">
        <f ca="1">IF(TODAY()-Table43[[#This Row],[Efektif Naik Harga]]&lt;30,"Naik","Sama")</f>
        <v>Sama</v>
      </c>
      <c r="BH649" s="7"/>
      <c r="BI649" s="7" t="str">
        <f>IF(Table43[[#This Row],[Kode BARANG Win2]]&lt;&gt;"","IDR","")</f>
        <v>IDR</v>
      </c>
      <c r="BJ649" s="7" t="str">
        <f>CONCATENATE(Table43[[#This Row],[kode  1 Digit
(Nomor)]],Table43[[#This Row],[kode  4 Digit                (Nomor)]])</f>
        <v>0000</v>
      </c>
      <c r="BK649" s="7">
        <f>Table43[[#This Row],[Nama            Gramasi atau Jumlah Pack per CTN]]</f>
        <v>0</v>
      </c>
      <c r="BL649" s="7"/>
      <c r="BM649" s="7"/>
      <c r="BN649" s="4" t="str">
        <f>IF(Table43[[#This Row],[SATUAN Fix Win]]&lt;&gt;"","KRT")</f>
        <v>KRT</v>
      </c>
      <c r="BO649" s="4" t="str">
        <f>IF(Table43[[#This Row],[SATUAN Fix Win]]&lt;&gt;"","GD01")</f>
        <v>GD01</v>
      </c>
      <c r="BP649" s="4">
        <f>IF(Table43[[#This Row],[SATUAN Fix Win]]&lt;&gt;"",11611)</f>
        <v>11611</v>
      </c>
      <c r="BQ649" s="4">
        <f>IF(Table43[[#This Row],[SATUAN Fix Win]]&lt;&gt;"",11612)</f>
        <v>11612</v>
      </c>
      <c r="BS649" s="4">
        <f>IF(Table43[[#This Row],[SATUAN Fix Win]]&lt;&gt;"",1)</f>
        <v>1</v>
      </c>
      <c r="BU649" s="4">
        <f>Table43[[#This Row],[ISI/CTN]]</f>
        <v>72</v>
      </c>
    </row>
    <row r="650" spans="1:73">
      <c r="A650" s="4" t="str">
        <f>CONCATENATE(Table43[[#This Row],[Kode BARANG Win2]],Table43[[#This Row],[No. Urut
Item Sama]])</f>
        <v>G1290003000020</v>
      </c>
      <c r="B650" s="7"/>
      <c r="C650" s="31">
        <v>30693000000000</v>
      </c>
      <c r="D650" s="51">
        <v>40043505</v>
      </c>
      <c r="E650" s="27" t="s">
        <v>2180</v>
      </c>
      <c r="F650" s="51">
        <v>30631040010000</v>
      </c>
      <c r="G650" s="51">
        <v>0</v>
      </c>
      <c r="H650" s="27" t="s">
        <v>1534</v>
      </c>
      <c r="I650" s="27">
        <v>72</v>
      </c>
      <c r="J650" s="51" t="s">
        <v>1846</v>
      </c>
      <c r="K650" s="27" t="str">
        <f>Table43[[#This Row],[NamaJenisKemasan]]</f>
        <v>PCS</v>
      </c>
      <c r="L650" s="4" t="str">
        <f>TRIM(CONCATENATE(Table43[[#This Row],[Nama            KLP]]," ",Table43[[#This Row],[Nama            Sub KLP]]))</f>
        <v>STELLA POCKET BATHROOM</v>
      </c>
      <c r="M650" s="4" t="str">
        <f>CONCATENATE(Table43[[#This Row],[kode  2 Digit                (hrf+No)]],Table43[[#This Row],[kode  2 Digit                (Nomor)]],Table43[[#This Row],[kode  1 Digit                (Nomor)]])</f>
        <v>G1290</v>
      </c>
      <c r="N650" s="4" t="str">
        <f>IF(AI650="",CONCATENATE(S650,U650,W650,Y650,AA650,AC650,AE650,AG650,Table43[[#This Row],[Tanda Kode Revisi]]),CONCATENATE(S650,U650,W650,Y650,AA650,AC650,AE650,AI650))</f>
        <v>G1290003000020</v>
      </c>
      <c r="O650" s="11">
        <f t="shared" si="18"/>
        <v>14</v>
      </c>
      <c r="P650" s="14" t="str">
        <f>IF(AH650&lt;&gt;"",TRIM(UPPER(CONCATENATE(R650," ",T650," ",V650," ",X650," ",Z650," ",AB650," ","X"," ",Table43[[#This Row],[ISI/CTN]]," ",AH650," ",AD650," ",AF650," ",AJ650))),TRIM(UPPER(CONCATENATE(R650," ",T650," ",V650," ",X650," ",Z650," ",AB650," ","X"," ",Table43[[#This Row],[ISI/CTN]]," ",AD650," ",AF650," ",AJ650))))</f>
        <v>STELLA POCKET BATHROOM GREEN X 72 PCS</v>
      </c>
      <c r="Q650" s="11">
        <f t="shared" si="19"/>
        <v>37</v>
      </c>
      <c r="S650" s="7" t="s">
        <v>34</v>
      </c>
      <c r="T650" s="4" t="s">
        <v>2590</v>
      </c>
      <c r="U650" s="47" t="s">
        <v>2588</v>
      </c>
      <c r="V650" s="48"/>
      <c r="W650" s="7">
        <v>0</v>
      </c>
      <c r="X650" s="48"/>
      <c r="Y650" s="47" t="s">
        <v>1116</v>
      </c>
      <c r="Z650" s="4" t="s">
        <v>2447</v>
      </c>
      <c r="AA650" s="49" t="s">
        <v>2538</v>
      </c>
      <c r="AC650" s="49" t="s">
        <v>2460</v>
      </c>
      <c r="AD650" s="4" t="s">
        <v>185</v>
      </c>
      <c r="AE650" s="7">
        <v>2</v>
      </c>
      <c r="AG650" s="7">
        <v>0</v>
      </c>
      <c r="AK650" s="70">
        <f>Table43[[#This Row],[Column4]]</f>
        <v>30631040010000</v>
      </c>
      <c r="AN650" s="7">
        <f>Table43[[#This Row],[ISI/CTN]]</f>
        <v>72</v>
      </c>
      <c r="AO650" s="61">
        <f>Table43[[#This Row],[Harga Jual Pcs GT
(-PPN)]]-(Table43[[#This Row],[Harga Jual Pcs GT
(-PPN)]]*6.5%)</f>
        <v>6498.25</v>
      </c>
      <c r="AP650" s="61">
        <f>Table43[[#This Row],[Harga Beli Pcs
(-PPN)]]*Table43[[#This Row],[ISI/CTN]]</f>
        <v>467874</v>
      </c>
      <c r="AQ650" s="61">
        <f>Table43[[#This Row],[Harga Beli Pcs
(-PPN)]]*1.11</f>
        <v>7213.0575000000008</v>
      </c>
      <c r="AR650" s="61">
        <f>Table43[[#This Row],[Harga Beli Krt
(- PPN)]]*1.11</f>
        <v>519340.14000000007</v>
      </c>
      <c r="AS650" s="61">
        <v>6950</v>
      </c>
      <c r="AT650" s="61">
        <f>Table43[[#This Row],[Harga Jual Pcs GT
(-PPN)]]*Table43[[#This Row],[ISI/CTN]]</f>
        <v>500400</v>
      </c>
      <c r="AU650" s="61">
        <f>Table43[[#This Row],[Harga Jual Pcs GT
(-PPN)]]*1.11</f>
        <v>7714.5000000000009</v>
      </c>
      <c r="AV650" s="61">
        <f>Table43[[#This Row],[Harga Jual Krt GT
(- PPN)]]*1.11</f>
        <v>555444</v>
      </c>
      <c r="AW650" s="61">
        <f>IFERROR(VLOOKUP(Table43[[#This Row],[Kode Pcpl]],'[1]FEB 2026'!$A$3:$X$312,24,0),0)</f>
        <v>0</v>
      </c>
      <c r="AX650" s="61">
        <f>Table43[[#This Row],[Harga Jual Pcs MT
(-PPN)]]*Table43[[#This Row],[ISI/CTN]]</f>
        <v>0</v>
      </c>
      <c r="AY650" s="61">
        <f>Table43[[#This Row],[Harga Jual Pcs MT
(-PPN)]]*1.11</f>
        <v>0</v>
      </c>
      <c r="AZ650" s="61">
        <f>Table43[[#This Row],[Harga Jual Pcs MT
(+PPN)]]*Table43[[#This Row],[ISI/CTN]]</f>
        <v>0</v>
      </c>
      <c r="BA650" s="62">
        <f>(Table43[[#This Row],[Harga Jual Pcs GT
(-PPN)]]-Table43[[#This Row],[Harga Beli Pcs
(-PPN)]])/Table43[[#This Row],[Harga Jual Pcs GT
(-PPN)]]</f>
        <v>6.5000000000000002E-2</v>
      </c>
      <c r="BB650" s="63">
        <f>Table43[[#This Row],[Harga Jual Pcs MT
(-PPN)]]-Table43[[#This Row],[Harga Beli Pcs
(-PPN)]]</f>
        <v>-6498.25</v>
      </c>
      <c r="BC650" s="64" t="e">
        <f>Table43[[#This Row],[Column1]]/Table43[[#This Row],[Harga Jual Pcs MT
(-PPN)]]</f>
        <v>#DIV/0!</v>
      </c>
      <c r="BD650" s="52"/>
      <c r="BE650" s="7"/>
      <c r="BF650" s="7" t="str">
        <f ca="1">IF(TODAY()-Table43[[#This Row],[Efektif
Pembuatan]]&gt;60,"Lama","Baru")</f>
        <v>Lama</v>
      </c>
      <c r="BG650" s="7" t="str">
        <f ca="1">IF(TODAY()-Table43[[#This Row],[Efektif Naik Harga]]&lt;30,"Naik","Sama")</f>
        <v>Sama</v>
      </c>
      <c r="BH650" s="7"/>
      <c r="BI650" s="7" t="str">
        <f>IF(Table43[[#This Row],[Kode BARANG Win2]]&lt;&gt;"","IDR","")</f>
        <v>IDR</v>
      </c>
      <c r="BJ650" s="7" t="str">
        <f>CONCATENATE(Table43[[#This Row],[kode  1 Digit
(Nomor)]],Table43[[#This Row],[kode  4 Digit                (Nomor)]])</f>
        <v>0000</v>
      </c>
      <c r="BK650" s="7">
        <f>Table43[[#This Row],[Nama            Gramasi atau Jumlah Pack per CTN]]</f>
        <v>0</v>
      </c>
      <c r="BL650" s="7"/>
      <c r="BM650" s="7"/>
      <c r="BN650" s="4" t="str">
        <f>IF(Table43[[#This Row],[SATUAN Fix Win]]&lt;&gt;"","KRT")</f>
        <v>KRT</v>
      </c>
      <c r="BO650" s="4" t="str">
        <f>IF(Table43[[#This Row],[SATUAN Fix Win]]&lt;&gt;"","GD01")</f>
        <v>GD01</v>
      </c>
      <c r="BP650" s="4">
        <f>IF(Table43[[#This Row],[SATUAN Fix Win]]&lt;&gt;"",11611)</f>
        <v>11611</v>
      </c>
      <c r="BQ650" s="4">
        <f>IF(Table43[[#This Row],[SATUAN Fix Win]]&lt;&gt;"",11612)</f>
        <v>11612</v>
      </c>
      <c r="BS650" s="4">
        <f>IF(Table43[[#This Row],[SATUAN Fix Win]]&lt;&gt;"",1)</f>
        <v>1</v>
      </c>
      <c r="BU650" s="4">
        <f>Table43[[#This Row],[ISI/CTN]]</f>
        <v>72</v>
      </c>
    </row>
    <row r="651" spans="1:73">
      <c r="A651" s="4" t="str">
        <f>CONCATENATE(Table43[[#This Row],[Kode BARANG Win2]],Table43[[#This Row],[No. Urut
Item Sama]])</f>
        <v>G1290003000020</v>
      </c>
      <c r="B651" s="7"/>
      <c r="C651" s="31"/>
      <c r="D651" s="51">
        <v>40033712</v>
      </c>
      <c r="E651" s="27"/>
      <c r="F651" s="51"/>
      <c r="G651" s="51"/>
      <c r="H651" s="27"/>
      <c r="I651" s="27">
        <v>72</v>
      </c>
      <c r="J651" s="51"/>
      <c r="K651" s="27" t="str">
        <f>Table43[[#This Row],[NamaJenisKemasan]]</f>
        <v>PCS</v>
      </c>
      <c r="L651" s="4" t="str">
        <f>TRIM(CONCATENATE(Table43[[#This Row],[Nama            KLP]]," ",Table43[[#This Row],[Nama            Sub KLP]]))</f>
        <v>STELLA POCKET BATHROOM</v>
      </c>
      <c r="M651" s="4" t="str">
        <f>CONCATENATE(Table43[[#This Row],[kode  2 Digit                (hrf+No)]],Table43[[#This Row],[kode  2 Digit                (Nomor)]],Table43[[#This Row],[kode  1 Digit                (Nomor)]])</f>
        <v>G1290</v>
      </c>
      <c r="N651" s="4" t="str">
        <f>IF(AI651="",CONCATENATE(S651,U651,W651,Y651,AA651,AC651,AE651,AG651,Table43[[#This Row],[Tanda Kode Revisi]]),CONCATENATE(S651,U651,W651,Y651,AA651,AC651,AE651,AI651))</f>
        <v>G1290003000020</v>
      </c>
      <c r="O651" s="11">
        <f t="shared" si="18"/>
        <v>14</v>
      </c>
      <c r="P651" s="14" t="str">
        <f>IF(AH651&lt;&gt;"",TRIM(UPPER(CONCATENATE(R651," ",T651," ",V651," ",X651," ",Z651," ",AB651," ","X"," ",Table43[[#This Row],[ISI/CTN]]," ",AH651," ",AD651," ",AF651," ",AJ651))),TRIM(UPPER(CONCATENATE(R651," ",T651," ",V651," ",X651," ",Z651," ",AB651," ","X"," ",Table43[[#This Row],[ISI/CTN]]," ",AD651," ",AF651," ",AJ651))))</f>
        <v>STELLA POCKET BATHROOM GREEN X 72 PCS</v>
      </c>
      <c r="Q651" s="11">
        <f t="shared" si="19"/>
        <v>37</v>
      </c>
      <c r="S651" s="7" t="s">
        <v>34</v>
      </c>
      <c r="T651" s="4" t="s">
        <v>2590</v>
      </c>
      <c r="U651" s="47" t="s">
        <v>2588</v>
      </c>
      <c r="V651" s="48"/>
      <c r="W651" s="7">
        <v>0</v>
      </c>
      <c r="X651" s="48"/>
      <c r="Y651" s="47" t="s">
        <v>1116</v>
      </c>
      <c r="Z651" s="4" t="s">
        <v>2447</v>
      </c>
      <c r="AA651" s="49" t="s">
        <v>2538</v>
      </c>
      <c r="AC651" s="49" t="s">
        <v>2460</v>
      </c>
      <c r="AD651" s="4" t="s">
        <v>185</v>
      </c>
      <c r="AE651" s="7">
        <v>2</v>
      </c>
      <c r="AG651" s="7">
        <v>0</v>
      </c>
      <c r="AK651" s="70">
        <f>Table43[[#This Row],[Column4]]</f>
        <v>0</v>
      </c>
      <c r="AN651" s="7">
        <f>Table43[[#This Row],[ISI/CTN]]</f>
        <v>72</v>
      </c>
      <c r="AO651" s="61">
        <f>Table43[[#This Row],[Harga Jual Pcs GT
(-PPN)]]-(Table43[[#This Row],[Harga Jual Pcs GT
(-PPN)]]*6.5%)</f>
        <v>0</v>
      </c>
      <c r="AP651" s="61">
        <f>Table43[[#This Row],[Harga Beli Pcs
(-PPN)]]*Table43[[#This Row],[ISI/CTN]]</f>
        <v>0</v>
      </c>
      <c r="AQ651" s="61">
        <f>Table43[[#This Row],[Harga Beli Pcs
(-PPN)]]*1.11</f>
        <v>0</v>
      </c>
      <c r="AR651" s="61">
        <f>Table43[[#This Row],[Harga Beli Krt
(- PPN)]]*1.11</f>
        <v>0</v>
      </c>
      <c r="AS651" s="61"/>
      <c r="AT651" s="61">
        <f>Table43[[#This Row],[Harga Jual Pcs GT
(-PPN)]]*Table43[[#This Row],[ISI/CTN]]</f>
        <v>0</v>
      </c>
      <c r="AU651" s="61">
        <f>Table43[[#This Row],[Harga Jual Pcs GT
(-PPN)]]*1.11</f>
        <v>0</v>
      </c>
      <c r="AV651" s="61">
        <f>Table43[[#This Row],[Harga Jual Krt GT
(- PPN)]]*1.11</f>
        <v>0</v>
      </c>
      <c r="AW651" s="61">
        <f>IFERROR(VLOOKUP(Table43[[#This Row],[Kode Pcpl]],'[1]FEB 2026'!$A$3:$X$312,24,0),0)</f>
        <v>0</v>
      </c>
      <c r="AX651" s="61">
        <f>Table43[[#This Row],[Harga Jual Pcs MT
(-PPN)]]*Table43[[#This Row],[ISI/CTN]]</f>
        <v>0</v>
      </c>
      <c r="AY651" s="61">
        <f>Table43[[#This Row],[Harga Jual Pcs MT
(-PPN)]]*1.11</f>
        <v>0</v>
      </c>
      <c r="AZ651" s="61">
        <f>Table43[[#This Row],[Harga Jual Pcs MT
(+PPN)]]*Table43[[#This Row],[ISI/CTN]]</f>
        <v>0</v>
      </c>
      <c r="BA651" s="62" t="e">
        <f>(Table43[[#This Row],[Harga Jual Pcs GT
(-PPN)]]-Table43[[#This Row],[Harga Beli Pcs
(-PPN)]])/Table43[[#This Row],[Harga Jual Pcs GT
(-PPN)]]</f>
        <v>#DIV/0!</v>
      </c>
      <c r="BB651" s="63">
        <f>Table43[[#This Row],[Harga Jual Pcs MT
(-PPN)]]-Table43[[#This Row],[Harga Beli Pcs
(-PPN)]]</f>
        <v>0</v>
      </c>
      <c r="BC651" s="64" t="e">
        <f>Table43[[#This Row],[Column1]]/Table43[[#This Row],[Harga Jual Pcs MT
(-PPN)]]</f>
        <v>#DIV/0!</v>
      </c>
      <c r="BD651" s="52"/>
      <c r="BE651" s="7"/>
      <c r="BF651" s="7" t="str">
        <f ca="1">IF(TODAY()-Table43[[#This Row],[Efektif
Pembuatan]]&gt;60,"Lama","Baru")</f>
        <v>Lama</v>
      </c>
      <c r="BG651" s="7" t="str">
        <f ca="1">IF(TODAY()-Table43[[#This Row],[Efektif Naik Harga]]&lt;30,"Naik","Sama")</f>
        <v>Sama</v>
      </c>
      <c r="BH651" s="7"/>
      <c r="BI651" s="7" t="str">
        <f>IF(Table43[[#This Row],[Kode BARANG Win2]]&lt;&gt;"","IDR","")</f>
        <v>IDR</v>
      </c>
      <c r="BJ651" s="7" t="str">
        <f>CONCATENATE(Table43[[#This Row],[kode  1 Digit
(Nomor)]],Table43[[#This Row],[kode  4 Digit                (Nomor)]])</f>
        <v>0000</v>
      </c>
      <c r="BK651" s="7">
        <f>Table43[[#This Row],[Nama            Gramasi atau Jumlah Pack per CTN]]</f>
        <v>0</v>
      </c>
      <c r="BL651" s="7"/>
      <c r="BM651" s="7"/>
      <c r="BN651" s="4" t="str">
        <f>IF(Table43[[#This Row],[SATUAN Fix Win]]&lt;&gt;"","KRT")</f>
        <v>KRT</v>
      </c>
      <c r="BO651" s="4" t="str">
        <f>IF(Table43[[#This Row],[SATUAN Fix Win]]&lt;&gt;"","GD01")</f>
        <v>GD01</v>
      </c>
      <c r="BP651" s="4">
        <f>IF(Table43[[#This Row],[SATUAN Fix Win]]&lt;&gt;"",11611)</f>
        <v>11611</v>
      </c>
      <c r="BQ651" s="4">
        <f>IF(Table43[[#This Row],[SATUAN Fix Win]]&lt;&gt;"",11612)</f>
        <v>11612</v>
      </c>
      <c r="BS651" s="4">
        <f>IF(Table43[[#This Row],[SATUAN Fix Win]]&lt;&gt;"",1)</f>
        <v>1</v>
      </c>
      <c r="BU651" s="4">
        <f>Table43[[#This Row],[ISI/CTN]]</f>
        <v>72</v>
      </c>
    </row>
    <row r="652" spans="1:73">
      <c r="A652" s="4" t="str">
        <f>CONCATENATE(Table43[[#This Row],[Kode BARANG Win2]],Table43[[#This Row],[No. Urut
Item Sama]])</f>
        <v>G1290004000020</v>
      </c>
      <c r="B652" s="7"/>
      <c r="C652" s="31">
        <v>30695050009010</v>
      </c>
      <c r="D652" s="51">
        <v>40050841</v>
      </c>
      <c r="E652" s="27" t="s">
        <v>2183</v>
      </c>
      <c r="F652" s="51">
        <v>30631080010000</v>
      </c>
      <c r="G652" s="51">
        <v>0</v>
      </c>
      <c r="H652" s="27" t="s">
        <v>1537</v>
      </c>
      <c r="I652" s="27">
        <v>72</v>
      </c>
      <c r="J652" s="51" t="s">
        <v>1849</v>
      </c>
      <c r="K652" s="27" t="str">
        <f>Table43[[#This Row],[NamaJenisKemasan]]</f>
        <v>PCS</v>
      </c>
      <c r="L652" s="4" t="str">
        <f>TRIM(CONCATENATE(Table43[[#This Row],[Nama            KLP]]," ",Table43[[#This Row],[Nama            Sub KLP]]))</f>
        <v>STELLA POCKET BATHROOM</v>
      </c>
      <c r="M652" s="4" t="str">
        <f>CONCATENATE(Table43[[#This Row],[kode  2 Digit                (hrf+No)]],Table43[[#This Row],[kode  2 Digit                (Nomor)]],Table43[[#This Row],[kode  1 Digit                (Nomor)]])</f>
        <v>G1290</v>
      </c>
      <c r="N652" s="4" t="str">
        <f>IF(AI652="",CONCATENATE(S652,U652,W652,Y652,AA652,AC652,AE652,AG652,Table43[[#This Row],[Tanda Kode Revisi]]),CONCATENATE(S652,U652,W652,Y652,AA652,AC652,AE652,AI652))</f>
        <v>G1290004000020</v>
      </c>
      <c r="O652" s="11">
        <f t="shared" si="18"/>
        <v>14</v>
      </c>
      <c r="P652" s="14" t="str">
        <f>IF(AH652&lt;&gt;"",TRIM(UPPER(CONCATENATE(R652," ",T652," ",V652," ",X652," ",Z652," ",AB652," ","X"," ",Table43[[#This Row],[ISI/CTN]]," ",AH652," ",AD652," ",AF652," ",AJ652))),TRIM(UPPER(CONCATENATE(R652," ",T652," ",V652," ",X652," ",Z652," ",AB652," ","X"," ",Table43[[#This Row],[ISI/CTN]]," ",AD652," ",AF652," ",AJ652))))</f>
        <v>STELLA POCKET BATHROOM LUXURIOS FLOWER X 72 PCS</v>
      </c>
      <c r="Q652" s="11">
        <f t="shared" si="19"/>
        <v>47</v>
      </c>
      <c r="S652" s="7" t="s">
        <v>34</v>
      </c>
      <c r="T652" s="4" t="s">
        <v>2590</v>
      </c>
      <c r="U652" s="47" t="s">
        <v>2588</v>
      </c>
      <c r="V652" s="48"/>
      <c r="W652" s="7">
        <v>0</v>
      </c>
      <c r="X652" s="48"/>
      <c r="Y652" s="47" t="s">
        <v>1116</v>
      </c>
      <c r="Z652" s="4" t="s">
        <v>2449</v>
      </c>
      <c r="AA652" s="49" t="s">
        <v>2540</v>
      </c>
      <c r="AC652" s="49" t="s">
        <v>2460</v>
      </c>
      <c r="AD652" s="4" t="s">
        <v>185</v>
      </c>
      <c r="AE652" s="7">
        <v>2</v>
      </c>
      <c r="AG652" s="7">
        <v>0</v>
      </c>
      <c r="AK652" s="70">
        <f>Table43[[#This Row],[Column4]]</f>
        <v>30631080010000</v>
      </c>
      <c r="AN652" s="7">
        <f>Table43[[#This Row],[ISI/CTN]]</f>
        <v>72</v>
      </c>
      <c r="AO652" s="61">
        <f>Table43[[#This Row],[Harga Jual Pcs GT
(-PPN)]]-(Table43[[#This Row],[Harga Jual Pcs GT
(-PPN)]]*6.5%)</f>
        <v>6498.25</v>
      </c>
      <c r="AP652" s="61">
        <f>Table43[[#This Row],[Harga Beli Pcs
(-PPN)]]*Table43[[#This Row],[ISI/CTN]]</f>
        <v>467874</v>
      </c>
      <c r="AQ652" s="61">
        <f>Table43[[#This Row],[Harga Beli Pcs
(-PPN)]]*1.11</f>
        <v>7213.0575000000008</v>
      </c>
      <c r="AR652" s="61">
        <f>Table43[[#This Row],[Harga Beli Krt
(- PPN)]]*1.11</f>
        <v>519340.14000000007</v>
      </c>
      <c r="AS652" s="61">
        <v>6950</v>
      </c>
      <c r="AT652" s="61">
        <f>Table43[[#This Row],[Harga Jual Pcs GT
(-PPN)]]*Table43[[#This Row],[ISI/CTN]]</f>
        <v>500400</v>
      </c>
      <c r="AU652" s="61">
        <f>Table43[[#This Row],[Harga Jual Pcs GT
(-PPN)]]*1.11</f>
        <v>7714.5000000000009</v>
      </c>
      <c r="AV652" s="61">
        <f>Table43[[#This Row],[Harga Jual Krt GT
(- PPN)]]*1.11</f>
        <v>555444</v>
      </c>
      <c r="AW652" s="61">
        <f>IFERROR(VLOOKUP(Table43[[#This Row],[Kode Pcpl]],'[1]FEB 2026'!$A$3:$X$312,24,0),0)</f>
        <v>0</v>
      </c>
      <c r="AX652" s="61">
        <f>Table43[[#This Row],[Harga Jual Pcs MT
(-PPN)]]*Table43[[#This Row],[ISI/CTN]]</f>
        <v>0</v>
      </c>
      <c r="AY652" s="61">
        <f>Table43[[#This Row],[Harga Jual Pcs MT
(-PPN)]]*1.11</f>
        <v>0</v>
      </c>
      <c r="AZ652" s="61">
        <f>Table43[[#This Row],[Harga Jual Pcs MT
(+PPN)]]*Table43[[#This Row],[ISI/CTN]]</f>
        <v>0</v>
      </c>
      <c r="BA652" s="62">
        <f>(Table43[[#This Row],[Harga Jual Pcs GT
(-PPN)]]-Table43[[#This Row],[Harga Beli Pcs
(-PPN)]])/Table43[[#This Row],[Harga Jual Pcs GT
(-PPN)]]</f>
        <v>6.5000000000000002E-2</v>
      </c>
      <c r="BB652" s="63">
        <f>Table43[[#This Row],[Harga Jual Pcs MT
(-PPN)]]-Table43[[#This Row],[Harga Beli Pcs
(-PPN)]]</f>
        <v>-6498.25</v>
      </c>
      <c r="BC652" s="64" t="e">
        <f>Table43[[#This Row],[Column1]]/Table43[[#This Row],[Harga Jual Pcs MT
(-PPN)]]</f>
        <v>#DIV/0!</v>
      </c>
      <c r="BD652" s="52"/>
      <c r="BE652" s="7"/>
      <c r="BF652" s="7" t="str">
        <f ca="1">IF(TODAY()-Table43[[#This Row],[Efektif
Pembuatan]]&gt;60,"Lama","Baru")</f>
        <v>Lama</v>
      </c>
      <c r="BG652" s="7" t="str">
        <f ca="1">IF(TODAY()-Table43[[#This Row],[Efektif Naik Harga]]&lt;30,"Naik","Sama")</f>
        <v>Sama</v>
      </c>
      <c r="BH652" s="7"/>
      <c r="BI652" s="7" t="str">
        <f>IF(Table43[[#This Row],[Kode BARANG Win2]]&lt;&gt;"","IDR","")</f>
        <v>IDR</v>
      </c>
      <c r="BJ652" s="7" t="str">
        <f>CONCATENATE(Table43[[#This Row],[kode  1 Digit
(Nomor)]],Table43[[#This Row],[kode  4 Digit                (Nomor)]])</f>
        <v>0000</v>
      </c>
      <c r="BK652" s="7">
        <f>Table43[[#This Row],[Nama            Gramasi atau Jumlah Pack per CTN]]</f>
        <v>0</v>
      </c>
      <c r="BL652" s="7"/>
      <c r="BM652" s="7"/>
      <c r="BN652" s="4" t="str">
        <f>IF(Table43[[#This Row],[SATUAN Fix Win]]&lt;&gt;"","KRT")</f>
        <v>KRT</v>
      </c>
      <c r="BO652" s="4" t="str">
        <f>IF(Table43[[#This Row],[SATUAN Fix Win]]&lt;&gt;"","GD01")</f>
        <v>GD01</v>
      </c>
      <c r="BP652" s="4">
        <f>IF(Table43[[#This Row],[SATUAN Fix Win]]&lt;&gt;"",11611)</f>
        <v>11611</v>
      </c>
      <c r="BQ652" s="4">
        <f>IF(Table43[[#This Row],[SATUAN Fix Win]]&lt;&gt;"",11612)</f>
        <v>11612</v>
      </c>
      <c r="BS652" s="4">
        <f>IF(Table43[[#This Row],[SATUAN Fix Win]]&lt;&gt;"",1)</f>
        <v>1</v>
      </c>
      <c r="BU652" s="4">
        <f>Table43[[#This Row],[ISI/CTN]]</f>
        <v>72</v>
      </c>
    </row>
    <row r="653" spans="1:73">
      <c r="A653" s="4" t="str">
        <f>CONCATENATE(Table43[[#This Row],[Kode BARANG Win2]],Table43[[#This Row],[No. Urut
Item Sama]])</f>
        <v>G1290005000020</v>
      </c>
      <c r="B653" s="7"/>
      <c r="C653" s="31">
        <v>30700010220000</v>
      </c>
      <c r="D653" s="51">
        <v>40043483</v>
      </c>
      <c r="E653" s="27" t="s">
        <v>2177</v>
      </c>
      <c r="F653" s="51">
        <v>30631010010000</v>
      </c>
      <c r="G653" s="51">
        <v>0</v>
      </c>
      <c r="H653" s="27" t="s">
        <v>1531</v>
      </c>
      <c r="I653" s="27">
        <v>72</v>
      </c>
      <c r="J653" s="51" t="s">
        <v>1843</v>
      </c>
      <c r="K653" s="27" t="str">
        <f>Table43[[#This Row],[NamaJenisKemasan]]</f>
        <v>PCS</v>
      </c>
      <c r="L653" s="4" t="str">
        <f>TRIM(CONCATENATE(Table43[[#This Row],[Nama            KLP]]," ",Table43[[#This Row],[Nama            Sub KLP]]))</f>
        <v>STELLA POCKET BATHROOM</v>
      </c>
      <c r="M653" s="4" t="str">
        <f>CONCATENATE(Table43[[#This Row],[kode  2 Digit                (hrf+No)]],Table43[[#This Row],[kode  2 Digit                (Nomor)]],Table43[[#This Row],[kode  1 Digit                (Nomor)]])</f>
        <v>G1290</v>
      </c>
      <c r="N653" s="4" t="str">
        <f>IF(AI653="",CONCATENATE(S653,U653,W653,Y653,AA653,AC653,AE653,AG653,Table43[[#This Row],[Tanda Kode Revisi]]),CONCATENATE(S653,U653,W653,Y653,AA653,AC653,AE653,AI653))</f>
        <v>G1290005000020</v>
      </c>
      <c r="O653" s="11">
        <f t="shared" si="18"/>
        <v>14</v>
      </c>
      <c r="P653" s="14" t="str">
        <f>IF(AH653&lt;&gt;"",TRIM(UPPER(CONCATENATE(R653," ",T653," ",V653," ",X653," ",Z653," ",AB653," ","X"," ",Table43[[#This Row],[ISI/CTN]]," ",AH653," ",AD653," ",AF653," ",AJ653))),TRIM(UPPER(CONCATENATE(R653," ",T653," ",V653," ",X653," ",Z653," ",AB653," ","X"," ",Table43[[#This Row],[ISI/CTN]]," ",AD653," ",AF653," ",AJ653))))</f>
        <v>STELLA POCKET BATHROOM ORANGE X 72 PCS</v>
      </c>
      <c r="Q653" s="11">
        <f t="shared" si="19"/>
        <v>38</v>
      </c>
      <c r="S653" s="7" t="s">
        <v>34</v>
      </c>
      <c r="T653" s="4" t="s">
        <v>2590</v>
      </c>
      <c r="U653" s="47" t="s">
        <v>2588</v>
      </c>
      <c r="V653" s="48"/>
      <c r="W653" s="7">
        <v>0</v>
      </c>
      <c r="X653" s="48"/>
      <c r="Y653" s="47" t="s">
        <v>1116</v>
      </c>
      <c r="Z653" s="4" t="s">
        <v>2251</v>
      </c>
      <c r="AA653" s="49" t="s">
        <v>2541</v>
      </c>
      <c r="AC653" s="49" t="s">
        <v>2460</v>
      </c>
      <c r="AD653" s="4" t="s">
        <v>185</v>
      </c>
      <c r="AE653" s="7">
        <v>2</v>
      </c>
      <c r="AG653" s="7">
        <v>0</v>
      </c>
      <c r="AK653" s="70">
        <f>Table43[[#This Row],[Column4]]</f>
        <v>30631010010000</v>
      </c>
      <c r="AN653" s="7">
        <f>Table43[[#This Row],[ISI/CTN]]</f>
        <v>72</v>
      </c>
      <c r="AO653" s="61">
        <f>Table43[[#This Row],[Harga Jual Pcs GT
(-PPN)]]-(Table43[[#This Row],[Harga Jual Pcs GT
(-PPN)]]*6.5%)</f>
        <v>6498.25</v>
      </c>
      <c r="AP653" s="61">
        <f>Table43[[#This Row],[Harga Beli Pcs
(-PPN)]]*Table43[[#This Row],[ISI/CTN]]</f>
        <v>467874</v>
      </c>
      <c r="AQ653" s="61">
        <f>Table43[[#This Row],[Harga Beli Pcs
(-PPN)]]*1.11</f>
        <v>7213.0575000000008</v>
      </c>
      <c r="AR653" s="61">
        <f>Table43[[#This Row],[Harga Beli Krt
(- PPN)]]*1.11</f>
        <v>519340.14000000007</v>
      </c>
      <c r="AS653" s="61">
        <v>6950</v>
      </c>
      <c r="AT653" s="61">
        <f>Table43[[#This Row],[Harga Jual Pcs GT
(-PPN)]]*Table43[[#This Row],[ISI/CTN]]</f>
        <v>500400</v>
      </c>
      <c r="AU653" s="61">
        <f>Table43[[#This Row],[Harga Jual Pcs GT
(-PPN)]]*1.11</f>
        <v>7714.5000000000009</v>
      </c>
      <c r="AV653" s="61">
        <f>Table43[[#This Row],[Harga Jual Krt GT
(- PPN)]]*1.11</f>
        <v>555444</v>
      </c>
      <c r="AW653" s="61">
        <f>IFERROR(VLOOKUP(Table43[[#This Row],[Kode Pcpl]],'[1]FEB 2026'!$A$3:$X$312,24,0),0)</f>
        <v>0</v>
      </c>
      <c r="AX653" s="61">
        <f>Table43[[#This Row],[Harga Jual Pcs MT
(-PPN)]]*Table43[[#This Row],[ISI/CTN]]</f>
        <v>0</v>
      </c>
      <c r="AY653" s="61">
        <f>Table43[[#This Row],[Harga Jual Pcs MT
(-PPN)]]*1.11</f>
        <v>0</v>
      </c>
      <c r="AZ653" s="61">
        <f>Table43[[#This Row],[Harga Jual Pcs MT
(+PPN)]]*Table43[[#This Row],[ISI/CTN]]</f>
        <v>0</v>
      </c>
      <c r="BA653" s="62">
        <f>(Table43[[#This Row],[Harga Jual Pcs GT
(-PPN)]]-Table43[[#This Row],[Harga Beli Pcs
(-PPN)]])/Table43[[#This Row],[Harga Jual Pcs GT
(-PPN)]]</f>
        <v>6.5000000000000002E-2</v>
      </c>
      <c r="BB653" s="63">
        <f>Table43[[#This Row],[Harga Jual Pcs MT
(-PPN)]]-Table43[[#This Row],[Harga Beli Pcs
(-PPN)]]</f>
        <v>-6498.25</v>
      </c>
      <c r="BC653" s="64" t="e">
        <f>Table43[[#This Row],[Column1]]/Table43[[#This Row],[Harga Jual Pcs MT
(-PPN)]]</f>
        <v>#DIV/0!</v>
      </c>
      <c r="BD653" s="52"/>
      <c r="BE653" s="7"/>
      <c r="BF653" s="7" t="str">
        <f ca="1">IF(TODAY()-Table43[[#This Row],[Efektif
Pembuatan]]&gt;60,"Lama","Baru")</f>
        <v>Lama</v>
      </c>
      <c r="BG653" s="7" t="str">
        <f ca="1">IF(TODAY()-Table43[[#This Row],[Efektif Naik Harga]]&lt;30,"Naik","Sama")</f>
        <v>Sama</v>
      </c>
      <c r="BH653" s="7"/>
      <c r="BI653" s="7" t="str">
        <f>IF(Table43[[#This Row],[Kode BARANG Win2]]&lt;&gt;"","IDR","")</f>
        <v>IDR</v>
      </c>
      <c r="BJ653" s="7" t="str">
        <f>CONCATENATE(Table43[[#This Row],[kode  1 Digit
(Nomor)]],Table43[[#This Row],[kode  4 Digit                (Nomor)]])</f>
        <v>0000</v>
      </c>
      <c r="BK653" s="7">
        <f>Table43[[#This Row],[Nama            Gramasi atau Jumlah Pack per CTN]]</f>
        <v>0</v>
      </c>
      <c r="BL653" s="7"/>
      <c r="BM653" s="7"/>
      <c r="BN653" s="4" t="str">
        <f>IF(Table43[[#This Row],[SATUAN Fix Win]]&lt;&gt;"","KRT")</f>
        <v>KRT</v>
      </c>
      <c r="BO653" s="4" t="str">
        <f>IF(Table43[[#This Row],[SATUAN Fix Win]]&lt;&gt;"","GD01")</f>
        <v>GD01</v>
      </c>
      <c r="BP653" s="4">
        <f>IF(Table43[[#This Row],[SATUAN Fix Win]]&lt;&gt;"",11611)</f>
        <v>11611</v>
      </c>
      <c r="BQ653" s="4">
        <f>IF(Table43[[#This Row],[SATUAN Fix Win]]&lt;&gt;"",11612)</f>
        <v>11612</v>
      </c>
      <c r="BS653" s="4">
        <f>IF(Table43[[#This Row],[SATUAN Fix Win]]&lt;&gt;"",1)</f>
        <v>1</v>
      </c>
      <c r="BU653" s="4">
        <f>Table43[[#This Row],[ISI/CTN]]</f>
        <v>72</v>
      </c>
    </row>
    <row r="654" spans="1:73">
      <c r="A654" s="4" t="str">
        <f>CONCATENATE(Table43[[#This Row],[Kode BARANG Win2]],Table43[[#This Row],[No. Urut
Item Sama]])</f>
        <v>G1290005000020</v>
      </c>
      <c r="B654" s="7"/>
      <c r="C654" s="31"/>
      <c r="D654" s="51">
        <v>40033710</v>
      </c>
      <c r="E654" s="27"/>
      <c r="F654" s="51"/>
      <c r="G654" s="51"/>
      <c r="H654" s="27"/>
      <c r="I654" s="27">
        <v>72</v>
      </c>
      <c r="J654" s="51" t="s">
        <v>1843</v>
      </c>
      <c r="K654" s="27" t="str">
        <f>Table43[[#This Row],[NamaJenisKemasan]]</f>
        <v>PCS</v>
      </c>
      <c r="L654" s="4" t="str">
        <f>TRIM(CONCATENATE(Table43[[#This Row],[Nama            KLP]]," ",Table43[[#This Row],[Nama            Sub KLP]]))</f>
        <v>STELLA POCKET BATHROOM</v>
      </c>
      <c r="M654" s="4" t="str">
        <f>CONCATENATE(Table43[[#This Row],[kode  2 Digit                (hrf+No)]],Table43[[#This Row],[kode  2 Digit                (Nomor)]],Table43[[#This Row],[kode  1 Digit                (Nomor)]])</f>
        <v>G1290</v>
      </c>
      <c r="N654" s="4" t="str">
        <f>IF(AI654="",CONCATENATE(S654,U654,W654,Y654,AA654,AC654,AE654,AG654,Table43[[#This Row],[Tanda Kode Revisi]]),CONCATENATE(S654,U654,W654,Y654,AA654,AC654,AE654,AI654))</f>
        <v>G1290005000020</v>
      </c>
      <c r="O654" s="11">
        <f t="shared" si="18"/>
        <v>14</v>
      </c>
      <c r="P654" s="14" t="str">
        <f>IF(AH654&lt;&gt;"",TRIM(UPPER(CONCATENATE(R654," ",T654," ",V654," ",X654," ",Z654," ",AB654," ","X"," ",Table43[[#This Row],[ISI/CTN]]," ",AH654," ",AD654," ",AF654," ",AJ654))),TRIM(UPPER(CONCATENATE(R654," ",T654," ",V654," ",X654," ",Z654," ",AB654," ","X"," ",Table43[[#This Row],[ISI/CTN]]," ",AD654," ",AF654," ",AJ654))))</f>
        <v>STELLA POCKET BATHROOM ORANGE X 72 PCS</v>
      </c>
      <c r="Q654" s="11">
        <f t="shared" si="19"/>
        <v>38</v>
      </c>
      <c r="S654" s="7" t="s">
        <v>34</v>
      </c>
      <c r="T654" s="4" t="s">
        <v>2590</v>
      </c>
      <c r="U654" s="47" t="s">
        <v>2588</v>
      </c>
      <c r="V654" s="48"/>
      <c r="W654" s="7">
        <v>0</v>
      </c>
      <c r="X654" s="48"/>
      <c r="Y654" s="47" t="s">
        <v>1116</v>
      </c>
      <c r="Z654" s="4" t="s">
        <v>2251</v>
      </c>
      <c r="AA654" s="49" t="s">
        <v>2541</v>
      </c>
      <c r="AC654" s="49" t="s">
        <v>2460</v>
      </c>
      <c r="AD654" s="4" t="s">
        <v>185</v>
      </c>
      <c r="AE654" s="7">
        <v>2</v>
      </c>
      <c r="AG654" s="7">
        <v>0</v>
      </c>
      <c r="AK654" s="70">
        <f>Table43[[#This Row],[Column4]]</f>
        <v>0</v>
      </c>
      <c r="AN654" s="7">
        <f>Table43[[#This Row],[ISI/CTN]]</f>
        <v>72</v>
      </c>
      <c r="AO654" s="61">
        <f>Table43[[#This Row],[Harga Jual Pcs GT
(-PPN)]]-(Table43[[#This Row],[Harga Jual Pcs GT
(-PPN)]]*6.5%)</f>
        <v>0</v>
      </c>
      <c r="AP654" s="61">
        <f>Table43[[#This Row],[Harga Beli Pcs
(-PPN)]]*Table43[[#This Row],[ISI/CTN]]</f>
        <v>0</v>
      </c>
      <c r="AQ654" s="61">
        <f>Table43[[#This Row],[Harga Beli Pcs
(-PPN)]]*1.11</f>
        <v>0</v>
      </c>
      <c r="AR654" s="61">
        <f>Table43[[#This Row],[Harga Beli Krt
(- PPN)]]*1.11</f>
        <v>0</v>
      </c>
      <c r="AS654" s="61"/>
      <c r="AT654" s="61">
        <f>Table43[[#This Row],[Harga Jual Pcs GT
(-PPN)]]*Table43[[#This Row],[ISI/CTN]]</f>
        <v>0</v>
      </c>
      <c r="AU654" s="61">
        <f>Table43[[#This Row],[Harga Jual Pcs GT
(-PPN)]]*1.11</f>
        <v>0</v>
      </c>
      <c r="AV654" s="61">
        <f>Table43[[#This Row],[Harga Jual Krt GT
(- PPN)]]*1.11</f>
        <v>0</v>
      </c>
      <c r="AW654" s="61">
        <f>IFERROR(VLOOKUP(Table43[[#This Row],[Kode Pcpl]],'[1]FEB 2026'!$A$3:$X$312,24,0),0)</f>
        <v>0</v>
      </c>
      <c r="AX654" s="61">
        <f>Table43[[#This Row],[Harga Jual Pcs MT
(-PPN)]]*Table43[[#This Row],[ISI/CTN]]</f>
        <v>0</v>
      </c>
      <c r="AY654" s="61">
        <f>Table43[[#This Row],[Harga Jual Pcs MT
(-PPN)]]*1.11</f>
        <v>0</v>
      </c>
      <c r="AZ654" s="61">
        <f>Table43[[#This Row],[Harga Jual Pcs MT
(+PPN)]]*Table43[[#This Row],[ISI/CTN]]</f>
        <v>0</v>
      </c>
      <c r="BA654" s="62" t="e">
        <f>(Table43[[#This Row],[Harga Jual Pcs GT
(-PPN)]]-Table43[[#This Row],[Harga Beli Pcs
(-PPN)]])/Table43[[#This Row],[Harga Jual Pcs GT
(-PPN)]]</f>
        <v>#DIV/0!</v>
      </c>
      <c r="BB654" s="63">
        <f>Table43[[#This Row],[Harga Jual Pcs MT
(-PPN)]]-Table43[[#This Row],[Harga Beli Pcs
(-PPN)]]</f>
        <v>0</v>
      </c>
      <c r="BC654" s="64" t="e">
        <f>Table43[[#This Row],[Column1]]/Table43[[#This Row],[Harga Jual Pcs MT
(-PPN)]]</f>
        <v>#DIV/0!</v>
      </c>
      <c r="BD654" s="52"/>
      <c r="BE654" s="7"/>
      <c r="BF654" s="7" t="str">
        <f ca="1">IF(TODAY()-Table43[[#This Row],[Efektif
Pembuatan]]&gt;60,"Lama","Baru")</f>
        <v>Lama</v>
      </c>
      <c r="BG654" s="7" t="str">
        <f ca="1">IF(TODAY()-Table43[[#This Row],[Efektif Naik Harga]]&lt;30,"Naik","Sama")</f>
        <v>Sama</v>
      </c>
      <c r="BH654" s="7"/>
      <c r="BI654" s="7" t="str">
        <f>IF(Table43[[#This Row],[Kode BARANG Win2]]&lt;&gt;"","IDR","")</f>
        <v>IDR</v>
      </c>
      <c r="BJ654" s="7" t="str">
        <f>CONCATENATE(Table43[[#This Row],[kode  1 Digit
(Nomor)]],Table43[[#This Row],[kode  4 Digit                (Nomor)]])</f>
        <v>0000</v>
      </c>
      <c r="BK654" s="7">
        <f>Table43[[#This Row],[Nama            Gramasi atau Jumlah Pack per CTN]]</f>
        <v>0</v>
      </c>
      <c r="BL654" s="7"/>
      <c r="BM654" s="7"/>
      <c r="BN654" s="4" t="str">
        <f>IF(Table43[[#This Row],[SATUAN Fix Win]]&lt;&gt;"","KRT")</f>
        <v>KRT</v>
      </c>
      <c r="BO654" s="4" t="str">
        <f>IF(Table43[[#This Row],[SATUAN Fix Win]]&lt;&gt;"","GD01")</f>
        <v>GD01</v>
      </c>
      <c r="BP654" s="4">
        <f>IF(Table43[[#This Row],[SATUAN Fix Win]]&lt;&gt;"",11611)</f>
        <v>11611</v>
      </c>
      <c r="BQ654" s="4">
        <f>IF(Table43[[#This Row],[SATUAN Fix Win]]&lt;&gt;"",11612)</f>
        <v>11612</v>
      </c>
      <c r="BS654" s="4">
        <f>IF(Table43[[#This Row],[SATUAN Fix Win]]&lt;&gt;"",1)</f>
        <v>1</v>
      </c>
      <c r="BU654" s="4">
        <f>Table43[[#This Row],[ISI/CTN]]</f>
        <v>72</v>
      </c>
    </row>
    <row r="655" spans="1:73">
      <c r="A655" s="4" t="str">
        <f>CONCATENATE(Table43[[#This Row],[Kode BARANG Win2]],Table43[[#This Row],[No. Urut
Item Sama]])</f>
        <v>G1290006000020</v>
      </c>
      <c r="B655" s="7"/>
      <c r="C655" s="31">
        <v>30721010000010</v>
      </c>
      <c r="D655" s="51">
        <v>40043482</v>
      </c>
      <c r="E655" s="27" t="s">
        <v>2178</v>
      </c>
      <c r="F655" s="51">
        <v>30631020010000</v>
      </c>
      <c r="G655" s="51">
        <v>0</v>
      </c>
      <c r="H655" s="27" t="s">
        <v>1532</v>
      </c>
      <c r="I655" s="27">
        <v>72</v>
      </c>
      <c r="J655" s="51" t="s">
        <v>1844</v>
      </c>
      <c r="K655" s="27" t="str">
        <f>Table43[[#This Row],[NamaJenisKemasan]]</f>
        <v>PCS</v>
      </c>
      <c r="L655" s="4" t="str">
        <f>TRIM(CONCATENATE(Table43[[#This Row],[Nama            KLP]]," ",Table43[[#This Row],[Nama            Sub KLP]]))</f>
        <v>STELLA POCKET BATHROOM</v>
      </c>
      <c r="M655" s="4" t="str">
        <f>CONCATENATE(Table43[[#This Row],[kode  2 Digit                (hrf+No)]],Table43[[#This Row],[kode  2 Digit                (Nomor)]],Table43[[#This Row],[kode  1 Digit                (Nomor)]])</f>
        <v>G1290</v>
      </c>
      <c r="N655" s="4" t="str">
        <f>IF(AI655="",CONCATENATE(S655,U655,W655,Y655,AA655,AC655,AE655,AG655,Table43[[#This Row],[Tanda Kode Revisi]]),CONCATENATE(S655,U655,W655,Y655,AA655,AC655,AE655,AI655))</f>
        <v>G1290006000020</v>
      </c>
      <c r="O655" s="11">
        <f t="shared" si="18"/>
        <v>14</v>
      </c>
      <c r="P655" s="14" t="str">
        <f>IF(AH655&lt;&gt;"",TRIM(UPPER(CONCATENATE(R655," ",T655," ",V655," ",X655," ",Z655," ",AB655," ","X"," ",Table43[[#This Row],[ISI/CTN]]," ",AH655," ",AD655," ",AF655," ",AJ655))),TRIM(UPPER(CONCATENATE(R655," ",T655," ",V655," ",X655," ",Z655," ",AB655," ","X"," ",Table43[[#This Row],[ISI/CTN]]," ",AD655," ",AF655," ",AJ655))))</f>
        <v>STELLA POCKET BATHROOM PURPLE X 72 PCS</v>
      </c>
      <c r="Q655" s="11">
        <f t="shared" si="19"/>
        <v>38</v>
      </c>
      <c r="S655" s="7" t="s">
        <v>34</v>
      </c>
      <c r="T655" s="4" t="s">
        <v>2590</v>
      </c>
      <c r="U655" s="47" t="s">
        <v>2588</v>
      </c>
      <c r="V655" s="48"/>
      <c r="W655" s="7">
        <v>0</v>
      </c>
      <c r="X655" s="48"/>
      <c r="Y655" s="47" t="s">
        <v>1116</v>
      </c>
      <c r="Z655" s="4" t="s">
        <v>2339</v>
      </c>
      <c r="AA655" s="49" t="s">
        <v>2542</v>
      </c>
      <c r="AC655" s="49" t="s">
        <v>2460</v>
      </c>
      <c r="AD655" s="4" t="s">
        <v>185</v>
      </c>
      <c r="AE655" s="7">
        <v>2</v>
      </c>
      <c r="AG655" s="7">
        <v>0</v>
      </c>
      <c r="AK655" s="70">
        <f>Table43[[#This Row],[Column4]]</f>
        <v>30631020010000</v>
      </c>
      <c r="AN655" s="7">
        <f>Table43[[#This Row],[ISI/CTN]]</f>
        <v>72</v>
      </c>
      <c r="AO655" s="61">
        <f>Table43[[#This Row],[Harga Jual Pcs GT
(-PPN)]]-(Table43[[#This Row],[Harga Jual Pcs GT
(-PPN)]]*6.5%)</f>
        <v>6498.25</v>
      </c>
      <c r="AP655" s="61">
        <f>Table43[[#This Row],[Harga Beli Pcs
(-PPN)]]*Table43[[#This Row],[ISI/CTN]]</f>
        <v>467874</v>
      </c>
      <c r="AQ655" s="61">
        <f>Table43[[#This Row],[Harga Beli Pcs
(-PPN)]]*1.11</f>
        <v>7213.0575000000008</v>
      </c>
      <c r="AR655" s="61">
        <f>Table43[[#This Row],[Harga Beli Krt
(- PPN)]]*1.11</f>
        <v>519340.14000000007</v>
      </c>
      <c r="AS655" s="61">
        <v>6950</v>
      </c>
      <c r="AT655" s="61">
        <f>Table43[[#This Row],[Harga Jual Pcs GT
(-PPN)]]*Table43[[#This Row],[ISI/CTN]]</f>
        <v>500400</v>
      </c>
      <c r="AU655" s="61">
        <f>Table43[[#This Row],[Harga Jual Pcs GT
(-PPN)]]*1.11</f>
        <v>7714.5000000000009</v>
      </c>
      <c r="AV655" s="61">
        <f>Table43[[#This Row],[Harga Jual Krt GT
(- PPN)]]*1.11</f>
        <v>555444</v>
      </c>
      <c r="AW655" s="61">
        <f>IFERROR(VLOOKUP(Table43[[#This Row],[Kode Pcpl]],'[1]FEB 2026'!$A$3:$X$312,24,0),0)</f>
        <v>0</v>
      </c>
      <c r="AX655" s="61">
        <f>Table43[[#This Row],[Harga Jual Pcs MT
(-PPN)]]*Table43[[#This Row],[ISI/CTN]]</f>
        <v>0</v>
      </c>
      <c r="AY655" s="61">
        <f>Table43[[#This Row],[Harga Jual Pcs MT
(-PPN)]]*1.11</f>
        <v>0</v>
      </c>
      <c r="AZ655" s="61">
        <f>Table43[[#This Row],[Harga Jual Pcs MT
(+PPN)]]*Table43[[#This Row],[ISI/CTN]]</f>
        <v>0</v>
      </c>
      <c r="BA655" s="62">
        <f>(Table43[[#This Row],[Harga Jual Pcs GT
(-PPN)]]-Table43[[#This Row],[Harga Beli Pcs
(-PPN)]])/Table43[[#This Row],[Harga Jual Pcs GT
(-PPN)]]</f>
        <v>6.5000000000000002E-2</v>
      </c>
      <c r="BB655" s="63">
        <f>Table43[[#This Row],[Harga Jual Pcs MT
(-PPN)]]-Table43[[#This Row],[Harga Beli Pcs
(-PPN)]]</f>
        <v>-6498.25</v>
      </c>
      <c r="BC655" s="64" t="e">
        <f>Table43[[#This Row],[Column1]]/Table43[[#This Row],[Harga Jual Pcs MT
(-PPN)]]</f>
        <v>#DIV/0!</v>
      </c>
      <c r="BD655" s="52"/>
      <c r="BE655" s="7"/>
      <c r="BF655" s="7" t="str">
        <f ca="1">IF(TODAY()-Table43[[#This Row],[Efektif
Pembuatan]]&gt;60,"Lama","Baru")</f>
        <v>Lama</v>
      </c>
      <c r="BG655" s="7" t="str">
        <f ca="1">IF(TODAY()-Table43[[#This Row],[Efektif Naik Harga]]&lt;30,"Naik","Sama")</f>
        <v>Sama</v>
      </c>
      <c r="BH655" s="7"/>
      <c r="BI655" s="7" t="str">
        <f>IF(Table43[[#This Row],[Kode BARANG Win2]]&lt;&gt;"","IDR","")</f>
        <v>IDR</v>
      </c>
      <c r="BJ655" s="7" t="str">
        <f>CONCATENATE(Table43[[#This Row],[kode  1 Digit
(Nomor)]],Table43[[#This Row],[kode  4 Digit                (Nomor)]])</f>
        <v>0000</v>
      </c>
      <c r="BK655" s="7">
        <f>Table43[[#This Row],[Nama            Gramasi atau Jumlah Pack per CTN]]</f>
        <v>0</v>
      </c>
      <c r="BL655" s="7"/>
      <c r="BM655" s="7"/>
      <c r="BN655" s="4" t="str">
        <f>IF(Table43[[#This Row],[SATUAN Fix Win]]&lt;&gt;"","KRT")</f>
        <v>KRT</v>
      </c>
      <c r="BO655" s="4" t="str">
        <f>IF(Table43[[#This Row],[SATUAN Fix Win]]&lt;&gt;"","GD01")</f>
        <v>GD01</v>
      </c>
      <c r="BP655" s="4">
        <f>IF(Table43[[#This Row],[SATUAN Fix Win]]&lt;&gt;"",11611)</f>
        <v>11611</v>
      </c>
      <c r="BQ655" s="4">
        <f>IF(Table43[[#This Row],[SATUAN Fix Win]]&lt;&gt;"",11612)</f>
        <v>11612</v>
      </c>
      <c r="BS655" s="4">
        <f>IF(Table43[[#This Row],[SATUAN Fix Win]]&lt;&gt;"",1)</f>
        <v>1</v>
      </c>
      <c r="BU655" s="4">
        <f>Table43[[#This Row],[ISI/CTN]]</f>
        <v>72</v>
      </c>
    </row>
    <row r="656" spans="1:73">
      <c r="A656" s="4" t="str">
        <f>CONCATENATE(Table43[[#This Row],[Kode BARANG Win2]],Table43[[#This Row],[No. Urut
Item Sama]])</f>
        <v>G1290006000020</v>
      </c>
      <c r="B656" s="7"/>
      <c r="C656" s="31">
        <v>30721010000010</v>
      </c>
      <c r="D656" s="51">
        <v>40033709</v>
      </c>
      <c r="E656" s="27"/>
      <c r="F656" s="51">
        <v>30631020010000</v>
      </c>
      <c r="G656" s="51"/>
      <c r="H656" s="27"/>
      <c r="I656" s="27">
        <v>72</v>
      </c>
      <c r="J656" s="51" t="s">
        <v>1844</v>
      </c>
      <c r="K656" s="27" t="str">
        <f>Table43[[#This Row],[NamaJenisKemasan]]</f>
        <v>PCS</v>
      </c>
      <c r="L656" s="4" t="str">
        <f>TRIM(CONCATENATE(Table43[[#This Row],[Nama            KLP]]," ",Table43[[#This Row],[Nama            Sub KLP]]))</f>
        <v>STELLA POCKET BATHROOM</v>
      </c>
      <c r="M656" s="4" t="str">
        <f>CONCATENATE(Table43[[#This Row],[kode  2 Digit                (hrf+No)]],Table43[[#This Row],[kode  2 Digit                (Nomor)]],Table43[[#This Row],[kode  1 Digit                (Nomor)]])</f>
        <v>G1290</v>
      </c>
      <c r="N656" s="4" t="str">
        <f>IF(AI656="",CONCATENATE(S656,U656,W656,Y656,AA656,AC656,AE656,AG656,Table43[[#This Row],[Tanda Kode Revisi]]),CONCATENATE(S656,U656,W656,Y656,AA656,AC656,AE656,AI656))</f>
        <v>G1290006000020</v>
      </c>
      <c r="O656" s="11">
        <f t="shared" si="18"/>
        <v>14</v>
      </c>
      <c r="P656" s="14" t="str">
        <f>IF(AH656&lt;&gt;"",TRIM(UPPER(CONCATENATE(R656," ",T656," ",V656," ",X656," ",Z656," ",AB656," ","X"," ",Table43[[#This Row],[ISI/CTN]]," ",AH656," ",AD656," ",AF656," ",AJ656))),TRIM(UPPER(CONCATENATE(R656," ",T656," ",V656," ",X656," ",Z656," ",AB656," ","X"," ",Table43[[#This Row],[ISI/CTN]]," ",AD656," ",AF656," ",AJ656))))</f>
        <v>STELLA POCKET BATHROOM PURPLE X 72 PCS</v>
      </c>
      <c r="Q656" s="11">
        <f t="shared" si="19"/>
        <v>38</v>
      </c>
      <c r="S656" s="7" t="s">
        <v>34</v>
      </c>
      <c r="T656" s="4" t="s">
        <v>2590</v>
      </c>
      <c r="U656" s="47" t="s">
        <v>2588</v>
      </c>
      <c r="V656" s="48"/>
      <c r="W656" s="7">
        <v>0</v>
      </c>
      <c r="X656" s="48"/>
      <c r="Y656" s="47" t="s">
        <v>1116</v>
      </c>
      <c r="Z656" s="4" t="s">
        <v>2339</v>
      </c>
      <c r="AA656" s="49" t="s">
        <v>2542</v>
      </c>
      <c r="AC656" s="49" t="s">
        <v>2460</v>
      </c>
      <c r="AD656" s="4" t="s">
        <v>185</v>
      </c>
      <c r="AE656" s="7">
        <v>2</v>
      </c>
      <c r="AG656" s="7">
        <v>0</v>
      </c>
      <c r="AK656" s="70">
        <f>Table43[[#This Row],[Column4]]</f>
        <v>30631020010000</v>
      </c>
      <c r="AN656" s="7">
        <f>Table43[[#This Row],[ISI/CTN]]</f>
        <v>72</v>
      </c>
      <c r="AO656" s="61">
        <f>Table43[[#This Row],[Harga Jual Pcs GT
(-PPN)]]-(Table43[[#This Row],[Harga Jual Pcs GT
(-PPN)]]*6.5%)</f>
        <v>6498.25</v>
      </c>
      <c r="AP656" s="61">
        <f>Table43[[#This Row],[Harga Beli Pcs
(-PPN)]]*Table43[[#This Row],[ISI/CTN]]</f>
        <v>467874</v>
      </c>
      <c r="AQ656" s="61">
        <f>Table43[[#This Row],[Harga Beli Pcs
(-PPN)]]*1.11</f>
        <v>7213.0575000000008</v>
      </c>
      <c r="AR656" s="61">
        <f>Table43[[#This Row],[Harga Beli Krt
(- PPN)]]*1.11</f>
        <v>519340.14000000007</v>
      </c>
      <c r="AS656" s="61">
        <v>6950</v>
      </c>
      <c r="AT656" s="61">
        <f>Table43[[#This Row],[Harga Jual Pcs GT
(-PPN)]]*Table43[[#This Row],[ISI/CTN]]</f>
        <v>500400</v>
      </c>
      <c r="AU656" s="61">
        <f>Table43[[#This Row],[Harga Jual Pcs GT
(-PPN)]]*1.11</f>
        <v>7714.5000000000009</v>
      </c>
      <c r="AV656" s="61">
        <f>Table43[[#This Row],[Harga Jual Krt GT
(- PPN)]]*1.11</f>
        <v>555444</v>
      </c>
      <c r="AW656" s="61">
        <f>IFERROR(VLOOKUP(Table43[[#This Row],[Kode Pcpl]],'[1]FEB 2026'!$A$3:$X$312,24,0),0)</f>
        <v>0</v>
      </c>
      <c r="AX656" s="61">
        <f>Table43[[#This Row],[Harga Jual Pcs MT
(-PPN)]]*Table43[[#This Row],[ISI/CTN]]</f>
        <v>0</v>
      </c>
      <c r="AY656" s="61">
        <f>Table43[[#This Row],[Harga Jual Pcs MT
(-PPN)]]*1.11</f>
        <v>0</v>
      </c>
      <c r="AZ656" s="61">
        <f>Table43[[#This Row],[Harga Jual Pcs MT
(+PPN)]]*Table43[[#This Row],[ISI/CTN]]</f>
        <v>0</v>
      </c>
      <c r="BA656" s="62">
        <f>(Table43[[#This Row],[Harga Jual Pcs GT
(-PPN)]]-Table43[[#This Row],[Harga Beli Pcs
(-PPN)]])/Table43[[#This Row],[Harga Jual Pcs GT
(-PPN)]]</f>
        <v>6.5000000000000002E-2</v>
      </c>
      <c r="BB656" s="63">
        <f>Table43[[#This Row],[Harga Jual Pcs MT
(-PPN)]]-Table43[[#This Row],[Harga Beli Pcs
(-PPN)]]</f>
        <v>-6498.25</v>
      </c>
      <c r="BC656" s="64" t="e">
        <f>Table43[[#This Row],[Column1]]/Table43[[#This Row],[Harga Jual Pcs MT
(-PPN)]]</f>
        <v>#DIV/0!</v>
      </c>
      <c r="BD656" s="52"/>
      <c r="BE656" s="7"/>
      <c r="BF656" s="7" t="str">
        <f ca="1">IF(TODAY()-Table43[[#This Row],[Efektif
Pembuatan]]&gt;60,"Lama","Baru")</f>
        <v>Lama</v>
      </c>
      <c r="BG656" s="7" t="str">
        <f ca="1">IF(TODAY()-Table43[[#This Row],[Efektif Naik Harga]]&lt;30,"Naik","Sama")</f>
        <v>Sama</v>
      </c>
      <c r="BH656" s="7"/>
      <c r="BI656" s="7" t="str">
        <f>IF(Table43[[#This Row],[Kode BARANG Win2]]&lt;&gt;"","IDR","")</f>
        <v>IDR</v>
      </c>
      <c r="BJ656" s="7" t="str">
        <f>CONCATENATE(Table43[[#This Row],[kode  1 Digit
(Nomor)]],Table43[[#This Row],[kode  4 Digit                (Nomor)]])</f>
        <v>0000</v>
      </c>
      <c r="BK656" s="7">
        <f>Table43[[#This Row],[Nama            Gramasi atau Jumlah Pack per CTN]]</f>
        <v>0</v>
      </c>
      <c r="BL656" s="7"/>
      <c r="BM656" s="7"/>
      <c r="BN656" s="4" t="str">
        <f>IF(Table43[[#This Row],[SATUAN Fix Win]]&lt;&gt;"","KRT")</f>
        <v>KRT</v>
      </c>
      <c r="BO656" s="4" t="str">
        <f>IF(Table43[[#This Row],[SATUAN Fix Win]]&lt;&gt;"","GD01")</f>
        <v>GD01</v>
      </c>
      <c r="BP656" s="4">
        <f>IF(Table43[[#This Row],[SATUAN Fix Win]]&lt;&gt;"",11611)</f>
        <v>11611</v>
      </c>
      <c r="BQ656" s="4">
        <f>IF(Table43[[#This Row],[SATUAN Fix Win]]&lt;&gt;"",11612)</f>
        <v>11612</v>
      </c>
      <c r="BS656" s="4">
        <f>IF(Table43[[#This Row],[SATUAN Fix Win]]&lt;&gt;"",1)</f>
        <v>1</v>
      </c>
      <c r="BU656" s="4">
        <f>Table43[[#This Row],[ISI/CTN]]</f>
        <v>72</v>
      </c>
    </row>
    <row r="657" spans="1:73">
      <c r="A657" s="4" t="str">
        <f>CONCATENATE(Table43[[#This Row],[Kode BARANG Win2]],Table43[[#This Row],[No. Urut
Item Sama]])</f>
        <v>G1290006000020</v>
      </c>
      <c r="B657" s="7"/>
      <c r="C657" s="31"/>
      <c r="D657" s="51">
        <v>40018468</v>
      </c>
      <c r="E657" s="27"/>
      <c r="F657" s="51"/>
      <c r="G657" s="51"/>
      <c r="H657" s="27"/>
      <c r="I657" s="27">
        <v>72</v>
      </c>
      <c r="J657" s="51" t="s">
        <v>1844</v>
      </c>
      <c r="K657" s="27" t="str">
        <f>Table43[[#This Row],[NamaJenisKemasan]]</f>
        <v>PCS</v>
      </c>
      <c r="L657" s="4" t="str">
        <f>TRIM(CONCATENATE(Table43[[#This Row],[Nama            KLP]]," ",Table43[[#This Row],[Nama            Sub KLP]]))</f>
        <v>STELLA POCKET BATHROOM</v>
      </c>
      <c r="M657" s="4" t="str">
        <f>CONCATENATE(Table43[[#This Row],[kode  2 Digit                (hrf+No)]],Table43[[#This Row],[kode  2 Digit                (Nomor)]],Table43[[#This Row],[kode  1 Digit                (Nomor)]])</f>
        <v>G1290</v>
      </c>
      <c r="N657" s="4" t="str">
        <f>IF(AI657="",CONCATENATE(S657,U657,W657,Y657,AA657,AC657,AE657,AG657,Table43[[#This Row],[Tanda Kode Revisi]]),CONCATENATE(S657,U657,W657,Y657,AA657,AC657,AE657,AI657))</f>
        <v>G1290006000020</v>
      </c>
      <c r="O657" s="11">
        <f t="shared" si="18"/>
        <v>14</v>
      </c>
      <c r="P657" s="14" t="str">
        <f>IF(AH657&lt;&gt;"",TRIM(UPPER(CONCATENATE(R657," ",T657," ",V657," ",X657," ",Z657," ",AB657," ","X"," ",Table43[[#This Row],[ISI/CTN]]," ",AH657," ",AD657," ",AF657," ",AJ657))),TRIM(UPPER(CONCATENATE(R657," ",T657," ",V657," ",X657," ",Z657," ",AB657," ","X"," ",Table43[[#This Row],[ISI/CTN]]," ",AD657," ",AF657," ",AJ657))))</f>
        <v>STELLA POCKET BATHROOM PURPLE X 72 PCS</v>
      </c>
      <c r="Q657" s="11">
        <f t="shared" si="19"/>
        <v>38</v>
      </c>
      <c r="S657" s="7" t="s">
        <v>34</v>
      </c>
      <c r="T657" s="4" t="s">
        <v>2590</v>
      </c>
      <c r="U657" s="47" t="s">
        <v>2588</v>
      </c>
      <c r="V657" s="48"/>
      <c r="W657" s="7">
        <v>0</v>
      </c>
      <c r="X657" s="48"/>
      <c r="Y657" s="47" t="s">
        <v>1116</v>
      </c>
      <c r="Z657" s="4" t="s">
        <v>2339</v>
      </c>
      <c r="AA657" s="49" t="s">
        <v>2542</v>
      </c>
      <c r="AC657" s="49" t="s">
        <v>2460</v>
      </c>
      <c r="AD657" s="4" t="s">
        <v>185</v>
      </c>
      <c r="AE657" s="7">
        <v>2</v>
      </c>
      <c r="AG657" s="7">
        <v>0</v>
      </c>
      <c r="AK657" s="70">
        <f>Table43[[#This Row],[Column4]]</f>
        <v>0</v>
      </c>
      <c r="AN657" s="7">
        <f>Table43[[#This Row],[ISI/CTN]]</f>
        <v>72</v>
      </c>
      <c r="AO657" s="61">
        <f>Table43[[#This Row],[Harga Jual Pcs GT
(-PPN)]]-(Table43[[#This Row],[Harga Jual Pcs GT
(-PPN)]]*6.5%)</f>
        <v>0</v>
      </c>
      <c r="AP657" s="61">
        <f>Table43[[#This Row],[Harga Beli Pcs
(-PPN)]]*Table43[[#This Row],[ISI/CTN]]</f>
        <v>0</v>
      </c>
      <c r="AQ657" s="61">
        <f>Table43[[#This Row],[Harga Beli Pcs
(-PPN)]]*1.11</f>
        <v>0</v>
      </c>
      <c r="AR657" s="61">
        <f>Table43[[#This Row],[Harga Beli Krt
(- PPN)]]*1.11</f>
        <v>0</v>
      </c>
      <c r="AS657" s="61"/>
      <c r="AT657" s="61">
        <f>Table43[[#This Row],[Harga Jual Pcs GT
(-PPN)]]*Table43[[#This Row],[ISI/CTN]]</f>
        <v>0</v>
      </c>
      <c r="AU657" s="61">
        <f>Table43[[#This Row],[Harga Jual Pcs GT
(-PPN)]]*1.11</f>
        <v>0</v>
      </c>
      <c r="AV657" s="61">
        <f>Table43[[#This Row],[Harga Jual Krt GT
(- PPN)]]*1.11</f>
        <v>0</v>
      </c>
      <c r="AW657" s="61">
        <f>IFERROR(VLOOKUP(Table43[[#This Row],[Kode Pcpl]],'[1]FEB 2026'!$A$3:$X$312,24,0),0)</f>
        <v>0</v>
      </c>
      <c r="AX657" s="61">
        <f>Table43[[#This Row],[Harga Jual Pcs MT
(-PPN)]]*Table43[[#This Row],[ISI/CTN]]</f>
        <v>0</v>
      </c>
      <c r="AY657" s="61">
        <f>Table43[[#This Row],[Harga Jual Pcs MT
(-PPN)]]*1.11</f>
        <v>0</v>
      </c>
      <c r="AZ657" s="61">
        <f>Table43[[#This Row],[Harga Jual Pcs MT
(+PPN)]]*Table43[[#This Row],[ISI/CTN]]</f>
        <v>0</v>
      </c>
      <c r="BA657" s="62" t="e">
        <f>(Table43[[#This Row],[Harga Jual Pcs GT
(-PPN)]]-Table43[[#This Row],[Harga Beli Pcs
(-PPN)]])/Table43[[#This Row],[Harga Jual Pcs GT
(-PPN)]]</f>
        <v>#DIV/0!</v>
      </c>
      <c r="BB657" s="63">
        <f>Table43[[#This Row],[Harga Jual Pcs MT
(-PPN)]]-Table43[[#This Row],[Harga Beli Pcs
(-PPN)]]</f>
        <v>0</v>
      </c>
      <c r="BC657" s="64" t="e">
        <f>Table43[[#This Row],[Column1]]/Table43[[#This Row],[Harga Jual Pcs MT
(-PPN)]]</f>
        <v>#DIV/0!</v>
      </c>
      <c r="BD657" s="52"/>
      <c r="BE657" s="7"/>
      <c r="BF657" s="7" t="str">
        <f ca="1">IF(TODAY()-Table43[[#This Row],[Efektif
Pembuatan]]&gt;60,"Lama","Baru")</f>
        <v>Lama</v>
      </c>
      <c r="BG657" s="7" t="str">
        <f ca="1">IF(TODAY()-Table43[[#This Row],[Efektif Naik Harga]]&lt;30,"Naik","Sama")</f>
        <v>Sama</v>
      </c>
      <c r="BH657" s="7"/>
      <c r="BI657" s="7" t="str">
        <f>IF(Table43[[#This Row],[Kode BARANG Win2]]&lt;&gt;"","IDR","")</f>
        <v>IDR</v>
      </c>
      <c r="BJ657" s="7" t="str">
        <f>CONCATENATE(Table43[[#This Row],[kode  1 Digit
(Nomor)]],Table43[[#This Row],[kode  4 Digit                (Nomor)]])</f>
        <v>0000</v>
      </c>
      <c r="BK657" s="7">
        <f>Table43[[#This Row],[Nama            Gramasi atau Jumlah Pack per CTN]]</f>
        <v>0</v>
      </c>
      <c r="BL657" s="7"/>
      <c r="BM657" s="7"/>
      <c r="BN657" s="4" t="str">
        <f>IF(Table43[[#This Row],[SATUAN Fix Win]]&lt;&gt;"","KRT")</f>
        <v>KRT</v>
      </c>
      <c r="BO657" s="4" t="str">
        <f>IF(Table43[[#This Row],[SATUAN Fix Win]]&lt;&gt;"","GD01")</f>
        <v>GD01</v>
      </c>
      <c r="BP657" s="4">
        <f>IF(Table43[[#This Row],[SATUAN Fix Win]]&lt;&gt;"",11611)</f>
        <v>11611</v>
      </c>
      <c r="BQ657" s="4">
        <f>IF(Table43[[#This Row],[SATUAN Fix Win]]&lt;&gt;"",11612)</f>
        <v>11612</v>
      </c>
      <c r="BS657" s="4">
        <f>IF(Table43[[#This Row],[SATUAN Fix Win]]&lt;&gt;"",1)</f>
        <v>1</v>
      </c>
      <c r="BU657" s="4">
        <f>Table43[[#This Row],[ISI/CTN]]</f>
        <v>72</v>
      </c>
    </row>
    <row r="658" spans="1:73">
      <c r="A658" s="4" t="str">
        <f>CONCATENATE(Table43[[#This Row],[Kode BARANG Win2]],Table43[[#This Row],[No. Urut
Item Sama]])</f>
        <v>G1290007000020</v>
      </c>
      <c r="B658" s="7"/>
      <c r="C658" s="31">
        <v>30510020042000</v>
      </c>
      <c r="D658" s="51">
        <v>40033286</v>
      </c>
      <c r="E658" s="66" t="s">
        <v>2501</v>
      </c>
      <c r="F658" s="68">
        <v>30510020042000</v>
      </c>
      <c r="G658" s="68">
        <v>0</v>
      </c>
      <c r="H658" s="27">
        <v>0</v>
      </c>
      <c r="I658" s="27">
        <v>72</v>
      </c>
      <c r="J658" s="51">
        <v>0</v>
      </c>
      <c r="K658" s="27" t="str">
        <f>Table43[[#This Row],[NamaJenisKemasan]]</f>
        <v>PCS</v>
      </c>
      <c r="L658" s="4" t="str">
        <f>TRIM(CONCATENATE(Table43[[#This Row],[Nama            KLP]]," ",Table43[[#This Row],[Nama            Sub KLP]]))</f>
        <v>STELLA POCKET BATHROOM</v>
      </c>
      <c r="M658" s="4" t="str">
        <f>CONCATENATE(Table43[[#This Row],[kode  2 Digit                (hrf+No)]],Table43[[#This Row],[kode  2 Digit                (Nomor)]],Table43[[#This Row],[kode  1 Digit                (Nomor)]])</f>
        <v>G1290</v>
      </c>
      <c r="N658" s="4" t="str">
        <f>IF(AI658="",CONCATENATE(S658,U658,W658,Y658,AA658,AC658,AE658,AG658,Table43[[#This Row],[Tanda Kode Revisi]]),CONCATENATE(S658,U658,W658,Y658,AA658,AC658,AE658,AI658))</f>
        <v>G1290007000020</v>
      </c>
      <c r="O658" s="11">
        <f t="shared" si="18"/>
        <v>14</v>
      </c>
      <c r="P658" s="14" t="str">
        <f>IF(AH658&lt;&gt;"",TRIM(UPPER(CONCATENATE(R658," ",T658," ",V658," ",X658," ",Z658," ",AB658," ","X"," ",Table43[[#This Row],[ISI/CTN]]," ",AH658," ",AD658," ",AF658," ",AJ658))),TRIM(UPPER(CONCATENATE(R658," ",T658," ",V658," ",X658," ",Z658," ",AB658," ","X"," ",Table43[[#This Row],[ISI/CTN]]," ",AD658," ",AF658," ",AJ658))))</f>
        <v>STELLA POCKET BATHROOM FRESH GREEN X 72 PCS</v>
      </c>
      <c r="Q658" s="11">
        <f t="shared" si="19"/>
        <v>43</v>
      </c>
      <c r="S658" s="7" t="s">
        <v>34</v>
      </c>
      <c r="T658" s="4" t="s">
        <v>2590</v>
      </c>
      <c r="U658" s="47" t="s">
        <v>2588</v>
      </c>
      <c r="V658" s="48"/>
      <c r="W658" s="7">
        <v>0</v>
      </c>
      <c r="X658" s="48"/>
      <c r="Y658" s="47" t="s">
        <v>1116</v>
      </c>
      <c r="Z658" s="4" t="s">
        <v>2331</v>
      </c>
      <c r="AA658" s="49" t="s">
        <v>2544</v>
      </c>
      <c r="AC658" s="49" t="s">
        <v>2460</v>
      </c>
      <c r="AD658" s="4" t="s">
        <v>185</v>
      </c>
      <c r="AE658" s="7">
        <v>2</v>
      </c>
      <c r="AG658" s="7">
        <v>0</v>
      </c>
      <c r="AK658" s="70">
        <f>Table43[[#This Row],[Column4]]</f>
        <v>30510020042000</v>
      </c>
      <c r="AN658" s="7">
        <f>Table43[[#This Row],[ISI/CTN]]</f>
        <v>72</v>
      </c>
      <c r="AO658" s="38">
        <f>Table43[[#This Row],[Harga Jual Pcs GT
(-PPN)]]-(Table43[[#This Row],[Harga Jual Pcs GT
(-PPN)]]*6.5%)</f>
        <v>6919</v>
      </c>
      <c r="AP658" s="38">
        <f>Table43[[#This Row],[Harga Beli Pcs
(-PPN)]]*Table43[[#This Row],[ISI/CTN]]</f>
        <v>498168</v>
      </c>
      <c r="AQ658" s="38">
        <f>Table43[[#This Row],[Harga Beli Pcs
(-PPN)]]*1.11</f>
        <v>7680.0900000000011</v>
      </c>
      <c r="AR658" s="38">
        <f>Table43[[#This Row],[Harga Beli Krt
(- PPN)]]*1.11</f>
        <v>552966.4800000001</v>
      </c>
      <c r="AS658" s="38">
        <v>7400</v>
      </c>
      <c r="AT658" s="38">
        <f>Table43[[#This Row],[Harga Jual Pcs GT
(-PPN)]]*Table43[[#This Row],[ISI/CTN]]</f>
        <v>532800</v>
      </c>
      <c r="AU658" s="38">
        <f>Table43[[#This Row],[Harga Jual Pcs GT
(-PPN)]]*1.11</f>
        <v>8214</v>
      </c>
      <c r="AV658" s="38">
        <f>Table43[[#This Row],[Harga Jual Krt GT
(- PPN)]]*1.11</f>
        <v>591408</v>
      </c>
      <c r="AW658" s="38">
        <f>IFERROR(VLOOKUP(Table43[[#This Row],[Kode Pcpl]],'[1]FEB 2026'!$A$3:$X$312,24,0),0)</f>
        <v>0</v>
      </c>
      <c r="AX658" s="38">
        <f>Table43[[#This Row],[Harga Jual Pcs MT
(-PPN)]]*Table43[[#This Row],[ISI/CTN]]</f>
        <v>0</v>
      </c>
      <c r="AY658" s="38">
        <f>Table43[[#This Row],[Harga Jual Pcs MT
(-PPN)]]*1.11</f>
        <v>0</v>
      </c>
      <c r="AZ658" s="38">
        <f>Table43[[#This Row],[Harga Jual Pcs MT
(+PPN)]]*Table43[[#This Row],[ISI/CTN]]</f>
        <v>0</v>
      </c>
      <c r="BA658" s="46">
        <f>(Table43[[#This Row],[Harga Jual Pcs GT
(-PPN)]]-Table43[[#This Row],[Harga Beli Pcs
(-PPN)]])/Table43[[#This Row],[Harga Jual Pcs GT
(-PPN)]]</f>
        <v>6.5000000000000002E-2</v>
      </c>
      <c r="BB658" s="53">
        <f>Table43[[#This Row],[Harga Jual Pcs MT
(-PPN)]]-Table43[[#This Row],[Harga Beli Pcs
(-PPN)]]</f>
        <v>-6919</v>
      </c>
      <c r="BC658" s="54" t="e">
        <f>Table43[[#This Row],[Column1]]/Table43[[#This Row],[Harga Jual Pcs MT
(-PPN)]]</f>
        <v>#DIV/0!</v>
      </c>
      <c r="BD658" s="52"/>
      <c r="BE658" s="7"/>
      <c r="BF658" s="7" t="str">
        <f ca="1">IF(TODAY()-Table43[[#This Row],[Efektif
Pembuatan]]&gt;60,"Lama","Baru")</f>
        <v>Lama</v>
      </c>
      <c r="BG658" s="7" t="str">
        <f ca="1">IF(TODAY()-Table43[[#This Row],[Efektif Naik Harga]]&lt;30,"Naik","Sama")</f>
        <v>Sama</v>
      </c>
      <c r="BH658" s="7"/>
      <c r="BI658" s="7" t="str">
        <f>IF(Table43[[#This Row],[Kode BARANG Win2]]&lt;&gt;"","IDR","")</f>
        <v>IDR</v>
      </c>
      <c r="BJ658" s="7" t="str">
        <f>CONCATENATE(Table43[[#This Row],[kode  1 Digit
(Nomor)]],Table43[[#This Row],[kode  4 Digit                (Nomor)]])</f>
        <v>0000</v>
      </c>
      <c r="BK658" s="7">
        <f>Table43[[#This Row],[Nama            Gramasi atau Jumlah Pack per CTN]]</f>
        <v>0</v>
      </c>
      <c r="BL658" s="7"/>
      <c r="BM658" s="7"/>
      <c r="BN658" s="4" t="str">
        <f>IF(Table43[[#This Row],[SATUAN Fix Win]]&lt;&gt;"","KRT")</f>
        <v>KRT</v>
      </c>
      <c r="BO658" s="4" t="str">
        <f>IF(Table43[[#This Row],[SATUAN Fix Win]]&lt;&gt;"","GD01")</f>
        <v>GD01</v>
      </c>
      <c r="BP658" s="4">
        <f>IF(Table43[[#This Row],[SATUAN Fix Win]]&lt;&gt;"",11611)</f>
        <v>11611</v>
      </c>
      <c r="BQ658" s="4">
        <f>IF(Table43[[#This Row],[SATUAN Fix Win]]&lt;&gt;"",11612)</f>
        <v>11612</v>
      </c>
      <c r="BS658" s="4">
        <f>IF(Table43[[#This Row],[SATUAN Fix Win]]&lt;&gt;"",1)</f>
        <v>1</v>
      </c>
      <c r="BU658" s="4">
        <f>Table43[[#This Row],[ISI/CTN]]</f>
        <v>72</v>
      </c>
    </row>
    <row r="659" spans="1:73">
      <c r="A659" s="4" t="str">
        <f>CONCATENATE(Table43[[#This Row],[Kode BARANG Win2]],Table43[[#This Row],[No. Urut
Item Sama]])</f>
        <v>G1290100000010</v>
      </c>
      <c r="B659" s="7"/>
      <c r="C659" s="31">
        <v>30721020000010</v>
      </c>
      <c r="D659" s="51">
        <v>40056279</v>
      </c>
      <c r="E659" s="27" t="s">
        <v>2181</v>
      </c>
      <c r="F659" s="51">
        <v>30631060010000</v>
      </c>
      <c r="G659" s="51">
        <v>0</v>
      </c>
      <c r="H659" s="27" t="s">
        <v>1535</v>
      </c>
      <c r="I659" s="27">
        <v>18</v>
      </c>
      <c r="J659" s="51" t="s">
        <v>1847</v>
      </c>
      <c r="K659" s="27" t="str">
        <f>Table43[[#This Row],[NamaJenisKemasan]]</f>
        <v>BOX</v>
      </c>
      <c r="L659" s="4" t="str">
        <f>TRIM(CONCATENATE(Table43[[#This Row],[Nama            KLP]]," ",Table43[[#This Row],[Nama            Sub KLP]]))</f>
        <v>STELLA POCKET BATHROOM</v>
      </c>
      <c r="M659" s="4" t="str">
        <f>CONCATENATE(Table43[[#This Row],[kode  2 Digit                (hrf+No)]],Table43[[#This Row],[kode  2 Digit                (Nomor)]],Table43[[#This Row],[kode  1 Digit                (Nomor)]])</f>
        <v>G1290</v>
      </c>
      <c r="N659" s="4" t="str">
        <f>IF(AI659="",CONCATENATE(S659,U659,W659,Y659,AA659,AC659,AE659,AG659,Table43[[#This Row],[Tanda Kode Revisi]]),CONCATENATE(S659,U659,W659,Y659,AA659,AC659,AE659,AI659))</f>
        <v>G1290100000010</v>
      </c>
      <c r="O659" s="11">
        <f t="shared" si="18"/>
        <v>14</v>
      </c>
      <c r="P659" s="14" t="str">
        <f>IF(AH659&lt;&gt;"",TRIM(UPPER(CONCATENATE(R659," ",T659," ",V659," ",X659," ",Z659," ",AB659," ","X"," ",Table43[[#This Row],[ISI/CTN]]," ",AH659," ",AD659," ",AF659," ",AJ659))),TRIM(UPPER(CONCATENATE(R659," ",T659," ",V659," ",X659," ",Z659," ",AB659," ","X"," ",Table43[[#This Row],[ISI/CTN]]," ",AD659," ",AF659," ",AJ659))))</f>
        <v>STELLA POCKET BATHROOM MULTI PACK X 18 BOX</v>
      </c>
      <c r="Q659" s="11">
        <f t="shared" si="19"/>
        <v>42</v>
      </c>
      <c r="S659" s="7" t="s">
        <v>34</v>
      </c>
      <c r="T659" s="4" t="s">
        <v>2590</v>
      </c>
      <c r="U659" s="47" t="s">
        <v>2588</v>
      </c>
      <c r="V659" s="48"/>
      <c r="W659" s="7">
        <v>0</v>
      </c>
      <c r="X659" s="48" t="s">
        <v>2399</v>
      </c>
      <c r="Y659" s="47" t="s">
        <v>2539</v>
      </c>
      <c r="AA659" s="49" t="s">
        <v>1117</v>
      </c>
      <c r="AC659" s="49" t="s">
        <v>2460</v>
      </c>
      <c r="AD659" s="4" t="s">
        <v>662</v>
      </c>
      <c r="AE659" s="7">
        <v>1</v>
      </c>
      <c r="AG659" s="7">
        <v>0</v>
      </c>
      <c r="AK659" s="70">
        <f>Table43[[#This Row],[Column4]]</f>
        <v>30631060010000</v>
      </c>
      <c r="AN659" s="7">
        <f>Table43[[#This Row],[ISI/CTN]]</f>
        <v>18</v>
      </c>
      <c r="AO659" s="38">
        <f>Table43[[#This Row],[Harga Jual Pcs GT
(-PPN)]]-(Table43[[#This Row],[Harga Jual Pcs GT
(-PPN)]]*6.5%)</f>
        <v>21598.5</v>
      </c>
      <c r="AP659" s="38">
        <f>Table43[[#This Row],[Harga Beli Pcs
(-PPN)]]*Table43[[#This Row],[ISI/CTN]]</f>
        <v>388773</v>
      </c>
      <c r="AQ659" s="38">
        <f>Table43[[#This Row],[Harga Beli Pcs
(-PPN)]]*1.11</f>
        <v>23974.335000000003</v>
      </c>
      <c r="AR659" s="38">
        <f>Table43[[#This Row],[Harga Beli Krt
(- PPN)]]*1.11</f>
        <v>431538.03</v>
      </c>
      <c r="AS659" s="38">
        <v>23100</v>
      </c>
      <c r="AT659" s="38">
        <f>Table43[[#This Row],[Harga Jual Pcs GT
(-PPN)]]*Table43[[#This Row],[ISI/CTN]]</f>
        <v>415800</v>
      </c>
      <c r="AU659" s="38">
        <f>Table43[[#This Row],[Harga Jual Pcs GT
(-PPN)]]*1.11</f>
        <v>25641.000000000004</v>
      </c>
      <c r="AV659" s="38">
        <f>Table43[[#This Row],[Harga Jual Krt GT
(- PPN)]]*1.11</f>
        <v>461538.00000000006</v>
      </c>
      <c r="AW659" s="38">
        <f>IFERROR(VLOOKUP(Table43[[#This Row],[Kode Pcpl]],'[1]FEB 2026'!$A$3:$X$312,24,0),0)</f>
        <v>0</v>
      </c>
      <c r="AX659" s="38">
        <f>Table43[[#This Row],[Harga Jual Pcs MT
(-PPN)]]*Table43[[#This Row],[ISI/CTN]]</f>
        <v>0</v>
      </c>
      <c r="AY659" s="38">
        <f>Table43[[#This Row],[Harga Jual Pcs MT
(-PPN)]]*1.11</f>
        <v>0</v>
      </c>
      <c r="AZ659" s="38">
        <f>Table43[[#This Row],[Harga Jual Pcs MT
(+PPN)]]*Table43[[#This Row],[ISI/CTN]]</f>
        <v>0</v>
      </c>
      <c r="BA659" s="46">
        <f>(Table43[[#This Row],[Harga Jual Pcs GT
(-PPN)]]-Table43[[#This Row],[Harga Beli Pcs
(-PPN)]])/Table43[[#This Row],[Harga Jual Pcs GT
(-PPN)]]</f>
        <v>6.5000000000000002E-2</v>
      </c>
      <c r="BB659" s="53">
        <f>Table43[[#This Row],[Harga Jual Pcs MT
(-PPN)]]-Table43[[#This Row],[Harga Beli Pcs
(-PPN)]]</f>
        <v>-21598.5</v>
      </c>
      <c r="BC659" s="54" t="e">
        <f>Table43[[#This Row],[Column1]]/Table43[[#This Row],[Harga Jual Pcs MT
(-PPN)]]</f>
        <v>#DIV/0!</v>
      </c>
      <c r="BD659" s="52"/>
      <c r="BE659" s="7"/>
      <c r="BF659" s="7" t="str">
        <f ca="1">IF(TODAY()-Table43[[#This Row],[Efektif
Pembuatan]]&gt;60,"Lama","Baru")</f>
        <v>Lama</v>
      </c>
      <c r="BG659" s="7" t="str">
        <f ca="1">IF(TODAY()-Table43[[#This Row],[Efektif Naik Harga]]&lt;30,"Naik","Sama")</f>
        <v>Sama</v>
      </c>
      <c r="BH659" s="7"/>
      <c r="BI659" s="7" t="str">
        <f>IF(Table43[[#This Row],[Kode BARANG Win2]]&lt;&gt;"","IDR","")</f>
        <v>IDR</v>
      </c>
      <c r="BJ659" s="7" t="str">
        <f>CONCATENATE(Table43[[#This Row],[kode  1 Digit
(Nomor)]],Table43[[#This Row],[kode  4 Digit                (Nomor)]])</f>
        <v>0000</v>
      </c>
      <c r="BK659" s="7">
        <f>Table43[[#This Row],[Nama            Gramasi atau Jumlah Pack per CTN]]</f>
        <v>0</v>
      </c>
      <c r="BL659" s="7"/>
      <c r="BM659" s="7"/>
      <c r="BN659" s="4" t="str">
        <f>IF(Table43[[#This Row],[SATUAN Fix Win]]&lt;&gt;"","KRT")</f>
        <v>KRT</v>
      </c>
      <c r="BO659" s="4" t="str">
        <f>IF(Table43[[#This Row],[SATUAN Fix Win]]&lt;&gt;"","GD01")</f>
        <v>GD01</v>
      </c>
      <c r="BP659" s="4">
        <f>IF(Table43[[#This Row],[SATUAN Fix Win]]&lt;&gt;"",11611)</f>
        <v>11611</v>
      </c>
      <c r="BQ659" s="4">
        <f>IF(Table43[[#This Row],[SATUAN Fix Win]]&lt;&gt;"",11612)</f>
        <v>11612</v>
      </c>
      <c r="BS659" s="4">
        <f>IF(Table43[[#This Row],[SATUAN Fix Win]]&lt;&gt;"",1)</f>
        <v>1</v>
      </c>
      <c r="BU659" s="4">
        <f>Table43[[#This Row],[ISI/CTN]]</f>
        <v>18</v>
      </c>
    </row>
    <row r="660" spans="1:73">
      <c r="A660" s="4" t="str">
        <f>CONCATENATE(Table43[[#This Row],[Kode BARANG Win2]],Table43[[#This Row],[No. Urut
Item Sama]])</f>
        <v>G1301000000010</v>
      </c>
      <c r="B660" s="7"/>
      <c r="C660" s="31">
        <v>31320030004000</v>
      </c>
      <c r="D660" s="51">
        <v>40008523</v>
      </c>
      <c r="E660" s="27" t="s">
        <v>2198</v>
      </c>
      <c r="F660" s="51">
        <v>30693000000000</v>
      </c>
      <c r="G660" s="51">
        <v>0</v>
      </c>
      <c r="H660" s="27" t="s">
        <v>1555</v>
      </c>
      <c r="I660" s="27">
        <v>576</v>
      </c>
      <c r="J660" s="51" t="s">
        <v>1864</v>
      </c>
      <c r="K660" s="27" t="str">
        <f>Table43[[#This Row],[NamaJenisKemasan]]</f>
        <v>PCS</v>
      </c>
      <c r="L660" s="4" t="str">
        <f>TRIM(CONCATENATE(Table43[[#This Row],[Nama            KLP]]," ",Table43[[#This Row],[Nama            Sub KLP]]))</f>
        <v>SUSEMI SABUT POLOS</v>
      </c>
      <c r="M660" s="4" t="str">
        <f>CONCATENATE(Table43[[#This Row],[kode  2 Digit                (hrf+No)]],Table43[[#This Row],[kode  2 Digit                (Nomor)]],Table43[[#This Row],[kode  1 Digit                (Nomor)]])</f>
        <v>G1301</v>
      </c>
      <c r="N660" s="4" t="str">
        <f>IF(AI660="",CONCATENATE(S660,U660,W660,Y660,AA660,AC660,AE660,AG660,Table43[[#This Row],[Tanda Kode Revisi]]),CONCATENATE(S660,U660,W660,Y660,AA660,AC660,AE660,AI660))</f>
        <v>G1301000000010</v>
      </c>
      <c r="O660" s="11">
        <f t="shared" si="18"/>
        <v>14</v>
      </c>
      <c r="P660" s="14" t="str">
        <f>IF(AH660&lt;&gt;"",TRIM(UPPER(CONCATENATE(R660," ",T660," ",V660," ",X660," ",Z660," ",AB660," ","X"," ",Table43[[#This Row],[ISI/CTN]]," ",AH660," ",AD660," ",AF660," ",AJ660))),TRIM(UPPER(CONCATENATE(R660," ",T660," ",V660," ",X660," ",Z660," ",AB660," ","X"," ",Table43[[#This Row],[ISI/CTN]]," ",AD660," ",AF660," ",AJ660))))</f>
        <v>SUSEMI SABUT POLOS X 576 PCS</v>
      </c>
      <c r="Q660" s="11">
        <f t="shared" si="19"/>
        <v>28</v>
      </c>
      <c r="S660" s="7" t="s">
        <v>34</v>
      </c>
      <c r="T660" s="4" t="s">
        <v>2458</v>
      </c>
      <c r="U660" s="47" t="s">
        <v>2589</v>
      </c>
      <c r="V660" s="48" t="s">
        <v>2457</v>
      </c>
      <c r="W660" s="7">
        <v>1</v>
      </c>
      <c r="X660" s="48"/>
      <c r="Y660" s="47" t="s">
        <v>1116</v>
      </c>
      <c r="AA660" s="49" t="s">
        <v>1117</v>
      </c>
      <c r="AC660" s="49" t="s">
        <v>2460</v>
      </c>
      <c r="AD660" s="4" t="s">
        <v>185</v>
      </c>
      <c r="AE660" s="7">
        <v>1</v>
      </c>
      <c r="AG660" s="7">
        <v>0</v>
      </c>
      <c r="AK660" s="70">
        <f>Table43[[#This Row],[Column4]]</f>
        <v>30693000000000</v>
      </c>
      <c r="AN660" s="7">
        <f>Table43[[#This Row],[ISI/CTN]]</f>
        <v>576</v>
      </c>
      <c r="AO660" s="38">
        <f>Table43[[#This Row],[Harga Jual Pcs GT
(-PPN)]]-(Table43[[#This Row],[Harga Jual Pcs GT
(-PPN)]]*6.5%)</f>
        <v>1122</v>
      </c>
      <c r="AP660" s="38">
        <f>Table43[[#This Row],[Harga Beli Pcs
(-PPN)]]*Table43[[#This Row],[ISI/CTN]]</f>
        <v>646272</v>
      </c>
      <c r="AQ660" s="38">
        <f>Table43[[#This Row],[Harga Beli Pcs
(-PPN)]]*1.11</f>
        <v>1245.42</v>
      </c>
      <c r="AR660" s="38">
        <f>Table43[[#This Row],[Harga Beli Krt
(- PPN)]]*1.11</f>
        <v>717361.92</v>
      </c>
      <c r="AS660" s="38">
        <v>1200</v>
      </c>
      <c r="AT660" s="38">
        <f>Table43[[#This Row],[Harga Jual Pcs GT
(-PPN)]]*Table43[[#This Row],[ISI/CTN]]</f>
        <v>691200</v>
      </c>
      <c r="AU660" s="38">
        <f>Table43[[#This Row],[Harga Jual Pcs GT
(-PPN)]]*1.11</f>
        <v>1332.0000000000002</v>
      </c>
      <c r="AV660" s="38">
        <f>Table43[[#This Row],[Harga Jual Krt GT
(- PPN)]]*1.11</f>
        <v>767232.00000000012</v>
      </c>
      <c r="AW660" s="38">
        <f>IFERROR(VLOOKUP(Table43[[#This Row],[Kode Pcpl]],'[1]FEB 2026'!$A$3:$X$312,24,0),0)</f>
        <v>0</v>
      </c>
      <c r="AX660" s="38">
        <f>Table43[[#This Row],[Harga Jual Pcs MT
(-PPN)]]*Table43[[#This Row],[ISI/CTN]]</f>
        <v>0</v>
      </c>
      <c r="AY660" s="38">
        <f>Table43[[#This Row],[Harga Jual Pcs MT
(-PPN)]]*1.11</f>
        <v>0</v>
      </c>
      <c r="AZ660" s="38">
        <f>Table43[[#This Row],[Harga Jual Pcs MT
(+PPN)]]*Table43[[#This Row],[ISI/CTN]]</f>
        <v>0</v>
      </c>
      <c r="BA660" s="46">
        <f>(Table43[[#This Row],[Harga Jual Pcs GT
(-PPN)]]-Table43[[#This Row],[Harga Beli Pcs
(-PPN)]])/Table43[[#This Row],[Harga Jual Pcs GT
(-PPN)]]</f>
        <v>6.5000000000000002E-2</v>
      </c>
      <c r="BB660" s="53">
        <f>Table43[[#This Row],[Harga Jual Pcs MT
(-PPN)]]-Table43[[#This Row],[Harga Beli Pcs
(-PPN)]]</f>
        <v>-1122</v>
      </c>
      <c r="BC660" s="54" t="e">
        <f>Table43[[#This Row],[Column1]]/Table43[[#This Row],[Harga Jual Pcs MT
(-PPN)]]</f>
        <v>#DIV/0!</v>
      </c>
      <c r="BD660" s="52"/>
      <c r="BE660" s="7"/>
      <c r="BF660" s="7" t="str">
        <f ca="1">IF(TODAY()-Table43[[#This Row],[Efektif
Pembuatan]]&gt;60,"Lama","Baru")</f>
        <v>Lama</v>
      </c>
      <c r="BG660" s="7" t="str">
        <f ca="1">IF(TODAY()-Table43[[#This Row],[Efektif Naik Harga]]&lt;30,"Naik","Sama")</f>
        <v>Sama</v>
      </c>
      <c r="BH660" s="7"/>
      <c r="BI660" s="7" t="str">
        <f>IF(Table43[[#This Row],[Kode BARANG Win2]]&lt;&gt;"","IDR","")</f>
        <v>IDR</v>
      </c>
      <c r="BJ660" s="7" t="str">
        <f>CONCATENATE(Table43[[#This Row],[kode  1 Digit
(Nomor)]],Table43[[#This Row],[kode  4 Digit                (Nomor)]])</f>
        <v>0000</v>
      </c>
      <c r="BK660" s="7">
        <f>Table43[[#This Row],[Nama            Gramasi atau Jumlah Pack per CTN]]</f>
        <v>0</v>
      </c>
      <c r="BL660" s="7"/>
      <c r="BM660" s="7"/>
      <c r="BN660" s="4" t="str">
        <f>IF(Table43[[#This Row],[SATUAN Fix Win]]&lt;&gt;"","KRT")</f>
        <v>KRT</v>
      </c>
      <c r="BO660" s="4" t="str">
        <f>IF(Table43[[#This Row],[SATUAN Fix Win]]&lt;&gt;"","GD01")</f>
        <v>GD01</v>
      </c>
      <c r="BP660" s="4">
        <f>IF(Table43[[#This Row],[SATUAN Fix Win]]&lt;&gt;"",11611)</f>
        <v>11611</v>
      </c>
      <c r="BQ660" s="4">
        <f>IF(Table43[[#This Row],[SATUAN Fix Win]]&lt;&gt;"",11612)</f>
        <v>11612</v>
      </c>
      <c r="BS660" s="4">
        <f>IF(Table43[[#This Row],[SATUAN Fix Win]]&lt;&gt;"",1)</f>
        <v>1</v>
      </c>
      <c r="BU660" s="4">
        <f>Table43[[#This Row],[ISI/CTN]]</f>
        <v>576</v>
      </c>
    </row>
    <row r="661" spans="1:73">
      <c r="A661" s="4" t="str">
        <f>CONCATENATE(Table43[[#This Row],[Kode BARANG Win2]],Table43[[#This Row],[No. Urut
Item Sama]])</f>
        <v>G1302000000010</v>
      </c>
      <c r="B661" s="7"/>
      <c r="C661" s="31">
        <v>301320200450101</v>
      </c>
      <c r="D661" s="51">
        <v>40008487</v>
      </c>
      <c r="E661" s="27" t="s">
        <v>2195</v>
      </c>
      <c r="F661" s="51">
        <v>30691000000000</v>
      </c>
      <c r="G661" s="51">
        <v>0</v>
      </c>
      <c r="H661" s="27" t="s">
        <v>1552</v>
      </c>
      <c r="I661" s="27">
        <v>288</v>
      </c>
      <c r="J661" s="51" t="s">
        <v>1861</v>
      </c>
      <c r="K661" s="27" t="str">
        <f>Table43[[#This Row],[NamaJenisKemasan]]</f>
        <v>PCS</v>
      </c>
      <c r="L661" s="4" t="str">
        <f>TRIM(CONCATENATE(Table43[[#This Row],[Nama            KLP]]," ",Table43[[#This Row],[Nama            Sub KLP]]))</f>
        <v>SUSEMI SABUT SPON</v>
      </c>
      <c r="M661" s="4" t="str">
        <f>CONCATENATE(Table43[[#This Row],[kode  2 Digit                (hrf+No)]],Table43[[#This Row],[kode  2 Digit                (Nomor)]],Table43[[#This Row],[kode  1 Digit                (Nomor)]])</f>
        <v>G1302</v>
      </c>
      <c r="N661" s="4" t="str">
        <f>IF(AI661="",CONCATENATE(S661,U661,W661,Y661,AA661,AC661,AE661,AG661,Table43[[#This Row],[Tanda Kode Revisi]]),CONCATENATE(S661,U661,W661,Y661,AA661,AC661,AE661,AI661))</f>
        <v>G1302000000010</v>
      </c>
      <c r="O661" s="11">
        <f t="shared" si="18"/>
        <v>14</v>
      </c>
      <c r="P661" s="14" t="str">
        <f>IF(AH661&lt;&gt;"",TRIM(UPPER(CONCATENATE(R661," ",T661," ",V661," ",X661," ",Z661," ",AB661," ","X"," ",Table43[[#This Row],[ISI/CTN]]," ",AH661," ",AD661," ",AF661," ",AJ661))),TRIM(UPPER(CONCATENATE(R661," ",T661," ",V661," ",X661," ",Z661," ",AB661," ","X"," ",Table43[[#This Row],[ISI/CTN]]," ",AD661," ",AF661," ",AJ661))))</f>
        <v>SUSEMI SABUT SPON X 288 PCS</v>
      </c>
      <c r="Q661" s="11">
        <f t="shared" si="19"/>
        <v>27</v>
      </c>
      <c r="S661" s="7" t="s">
        <v>34</v>
      </c>
      <c r="T661" s="4" t="s">
        <v>2458</v>
      </c>
      <c r="U661" s="47" t="s">
        <v>2589</v>
      </c>
      <c r="V661" s="48" t="s">
        <v>2404</v>
      </c>
      <c r="W661" s="7">
        <v>2</v>
      </c>
      <c r="X661" s="48"/>
      <c r="Y661" s="47" t="s">
        <v>1116</v>
      </c>
      <c r="AA661" s="49" t="s">
        <v>1117</v>
      </c>
      <c r="AC661" s="49" t="s">
        <v>2460</v>
      </c>
      <c r="AD661" s="4" t="s">
        <v>185</v>
      </c>
      <c r="AE661" s="7">
        <v>1</v>
      </c>
      <c r="AG661" s="7">
        <v>0</v>
      </c>
      <c r="AK661" s="70">
        <f>Table43[[#This Row],[Column4]]</f>
        <v>30691000000000</v>
      </c>
      <c r="AN661" s="7">
        <f>Table43[[#This Row],[ISI/CTN]]</f>
        <v>288</v>
      </c>
      <c r="AO661" s="38">
        <f>Table43[[#This Row],[Harga Jual Pcs GT
(-PPN)]]-(Table43[[#This Row],[Harga Jual Pcs GT
(-PPN)]]*6.5%)</f>
        <v>1122</v>
      </c>
      <c r="AP661" s="38">
        <f>Table43[[#This Row],[Harga Beli Pcs
(-PPN)]]*Table43[[#This Row],[ISI/CTN]]</f>
        <v>323136</v>
      </c>
      <c r="AQ661" s="38">
        <f>Table43[[#This Row],[Harga Beli Pcs
(-PPN)]]*1.11</f>
        <v>1245.42</v>
      </c>
      <c r="AR661" s="38">
        <f>Table43[[#This Row],[Harga Beli Krt
(- PPN)]]*1.11</f>
        <v>358680.96</v>
      </c>
      <c r="AS661" s="38">
        <v>1200</v>
      </c>
      <c r="AT661" s="38">
        <f>Table43[[#This Row],[Harga Jual Pcs GT
(-PPN)]]*Table43[[#This Row],[ISI/CTN]]</f>
        <v>345600</v>
      </c>
      <c r="AU661" s="38">
        <f>Table43[[#This Row],[Harga Jual Pcs GT
(-PPN)]]*1.11</f>
        <v>1332.0000000000002</v>
      </c>
      <c r="AV661" s="38">
        <f>Table43[[#This Row],[Harga Jual Krt GT
(- PPN)]]*1.11</f>
        <v>383616.00000000006</v>
      </c>
      <c r="AW661" s="38">
        <f>IFERROR(VLOOKUP(Table43[[#This Row],[Kode Pcpl]],'[1]FEB 2026'!$A$3:$X$312,24,0),0)</f>
        <v>0</v>
      </c>
      <c r="AX661" s="38">
        <f>Table43[[#This Row],[Harga Jual Pcs MT
(-PPN)]]*Table43[[#This Row],[ISI/CTN]]</f>
        <v>0</v>
      </c>
      <c r="AY661" s="38">
        <f>Table43[[#This Row],[Harga Jual Pcs MT
(-PPN)]]*1.11</f>
        <v>0</v>
      </c>
      <c r="AZ661" s="38">
        <f>Table43[[#This Row],[Harga Jual Pcs MT
(+PPN)]]*Table43[[#This Row],[ISI/CTN]]</f>
        <v>0</v>
      </c>
      <c r="BA661" s="46">
        <f>(Table43[[#This Row],[Harga Jual Pcs GT
(-PPN)]]-Table43[[#This Row],[Harga Beli Pcs
(-PPN)]])/Table43[[#This Row],[Harga Jual Pcs GT
(-PPN)]]</f>
        <v>6.5000000000000002E-2</v>
      </c>
      <c r="BB661" s="53">
        <f>Table43[[#This Row],[Harga Jual Pcs MT
(-PPN)]]-Table43[[#This Row],[Harga Beli Pcs
(-PPN)]]</f>
        <v>-1122</v>
      </c>
      <c r="BC661" s="54" t="e">
        <f>Table43[[#This Row],[Column1]]/Table43[[#This Row],[Harga Jual Pcs MT
(-PPN)]]</f>
        <v>#DIV/0!</v>
      </c>
      <c r="BD661" s="52"/>
      <c r="BE661" s="7"/>
      <c r="BF661" s="7" t="str">
        <f ca="1">IF(TODAY()-Table43[[#This Row],[Efektif
Pembuatan]]&gt;60,"Lama","Baru")</f>
        <v>Lama</v>
      </c>
      <c r="BG661" s="7" t="str">
        <f ca="1">IF(TODAY()-Table43[[#This Row],[Efektif Naik Harga]]&lt;30,"Naik","Sama")</f>
        <v>Sama</v>
      </c>
      <c r="BH661" s="7"/>
      <c r="BI661" s="7" t="str">
        <f>IF(Table43[[#This Row],[Kode BARANG Win2]]&lt;&gt;"","IDR","")</f>
        <v>IDR</v>
      </c>
      <c r="BJ661" s="7" t="str">
        <f>CONCATENATE(Table43[[#This Row],[kode  1 Digit
(Nomor)]],Table43[[#This Row],[kode  4 Digit                (Nomor)]])</f>
        <v>0000</v>
      </c>
      <c r="BK661" s="7">
        <f>Table43[[#This Row],[Nama            Gramasi atau Jumlah Pack per CTN]]</f>
        <v>0</v>
      </c>
      <c r="BL661" s="7"/>
      <c r="BM661" s="7"/>
      <c r="BN661" s="4" t="str">
        <f>IF(Table43[[#This Row],[SATUAN Fix Win]]&lt;&gt;"","KRT")</f>
        <v>KRT</v>
      </c>
      <c r="BO661" s="4" t="str">
        <f>IF(Table43[[#This Row],[SATUAN Fix Win]]&lt;&gt;"","GD01")</f>
        <v>GD01</v>
      </c>
      <c r="BP661" s="4">
        <f>IF(Table43[[#This Row],[SATUAN Fix Win]]&lt;&gt;"",11611)</f>
        <v>11611</v>
      </c>
      <c r="BQ661" s="4">
        <f>IF(Table43[[#This Row],[SATUAN Fix Win]]&lt;&gt;"",11612)</f>
        <v>11612</v>
      </c>
      <c r="BS661" s="4">
        <f>IF(Table43[[#This Row],[SATUAN Fix Win]]&lt;&gt;"",1)</f>
        <v>1</v>
      </c>
      <c r="BU661" s="4">
        <f>Table43[[#This Row],[ISI/CTN]]</f>
        <v>288</v>
      </c>
    </row>
    <row r="662" spans="1:73">
      <c r="A662" s="4" t="str">
        <f>CONCATENATE(Table43[[#This Row],[Kode BARANG Win2]],Table43[[#This Row],[No. Urut
Item Sama]])</f>
        <v>G1303000004010</v>
      </c>
      <c r="B662" s="7"/>
      <c r="C662" s="31">
        <v>301330500350101</v>
      </c>
      <c r="D662" s="51">
        <v>40018633</v>
      </c>
      <c r="E662" s="27" t="s">
        <v>2197</v>
      </c>
      <c r="F662" s="51">
        <v>30692000040000</v>
      </c>
      <c r="G662" s="51">
        <v>0</v>
      </c>
      <c r="H662" s="27" t="s">
        <v>1554</v>
      </c>
      <c r="I662" s="27">
        <v>72</v>
      </c>
      <c r="J662" s="51" t="s">
        <v>1863</v>
      </c>
      <c r="K662" s="27" t="str">
        <f>Table43[[#This Row],[NamaJenisKemasan]]</f>
        <v>PCS</v>
      </c>
      <c r="L662" s="4" t="str">
        <f>TRIM(CONCATENATE(Table43[[#This Row],[Nama            KLP]]," ",Table43[[#This Row],[Nama            Sub KLP]]))</f>
        <v>SUSEMI SABUT STAINLESS</v>
      </c>
      <c r="M662" s="4" t="str">
        <f>CONCATENATE(Table43[[#This Row],[kode  2 Digit                (hrf+No)]],Table43[[#This Row],[kode  2 Digit                (Nomor)]],Table43[[#This Row],[kode  1 Digit                (Nomor)]])</f>
        <v>G1303</v>
      </c>
      <c r="N662" s="4" t="str">
        <f>IF(AI662="",CONCATENATE(S662,U662,W662,Y662,AA662,AC662,AE662,AG662,Table43[[#This Row],[Tanda Kode Revisi]]),CONCATENATE(S662,U662,W662,Y662,AA662,AC662,AE662,AI662))</f>
        <v>G1303000004010</v>
      </c>
      <c r="O662" s="11">
        <f t="shared" si="18"/>
        <v>14</v>
      </c>
      <c r="P662" s="14" t="str">
        <f>IF(AH662&lt;&gt;"",TRIM(UPPER(CONCATENATE(R662," ",T662," ",V662," ",X662," ",Z662," ",AB662," ","X"," ",Table43[[#This Row],[ISI/CTN]]," ",AH662," ",AD662," ",AF662," ",AJ662))),TRIM(UPPER(CONCATENATE(R662," ",T662," ",V662," ",X662," ",Z662," ",AB662," ","X"," ",Table43[[#This Row],[ISI/CTN]]," ",AD662," ",AF662," ",AJ662))))</f>
        <v>SUSEMI SABUT STAINLESS 40GR X 72 PCS</v>
      </c>
      <c r="Q662" s="11">
        <f t="shared" si="19"/>
        <v>36</v>
      </c>
      <c r="S662" s="7" t="s">
        <v>34</v>
      </c>
      <c r="T662" s="4" t="s">
        <v>2458</v>
      </c>
      <c r="U662" s="47" t="s">
        <v>2589</v>
      </c>
      <c r="V662" s="48" t="s">
        <v>2398</v>
      </c>
      <c r="W662" s="7">
        <v>3</v>
      </c>
      <c r="X662" s="48"/>
      <c r="Y662" s="47" t="s">
        <v>1116</v>
      </c>
      <c r="AA662" s="49" t="s">
        <v>1117</v>
      </c>
      <c r="AB662" s="4" t="s">
        <v>2363</v>
      </c>
      <c r="AC662" s="49" t="s">
        <v>2625</v>
      </c>
      <c r="AD662" s="4" t="s">
        <v>185</v>
      </c>
      <c r="AE662" s="7">
        <v>1</v>
      </c>
      <c r="AG662" s="7">
        <v>0</v>
      </c>
      <c r="AK662" s="70">
        <f>Table43[[#This Row],[Column4]]</f>
        <v>30692000040000</v>
      </c>
      <c r="AN662" s="7">
        <f>Table43[[#This Row],[ISI/CTN]]</f>
        <v>72</v>
      </c>
      <c r="AO662" s="38">
        <f>Table43[[#This Row],[Harga Jual Pcs GT
(-PPN)]]-(Table43[[#This Row],[Harga Jual Pcs GT
(-PPN)]]*6.5%)</f>
        <v>4394.5</v>
      </c>
      <c r="AP662" s="38">
        <f>Table43[[#This Row],[Harga Beli Pcs
(-PPN)]]*Table43[[#This Row],[ISI/CTN]]</f>
        <v>316404</v>
      </c>
      <c r="AQ662" s="38">
        <f>Table43[[#This Row],[Harga Beli Pcs
(-PPN)]]*1.11</f>
        <v>4877.8950000000004</v>
      </c>
      <c r="AR662" s="38">
        <f>Table43[[#This Row],[Harga Beli Krt
(- PPN)]]*1.11</f>
        <v>351208.44</v>
      </c>
      <c r="AS662" s="38">
        <v>4700</v>
      </c>
      <c r="AT662" s="38">
        <f>Table43[[#This Row],[Harga Jual Pcs GT
(-PPN)]]*Table43[[#This Row],[ISI/CTN]]</f>
        <v>338400</v>
      </c>
      <c r="AU662" s="38">
        <f>Table43[[#This Row],[Harga Jual Pcs GT
(-PPN)]]*1.11</f>
        <v>5217.0000000000009</v>
      </c>
      <c r="AV662" s="38">
        <f>Table43[[#This Row],[Harga Jual Krt GT
(- PPN)]]*1.11</f>
        <v>375624.00000000006</v>
      </c>
      <c r="AW662" s="38">
        <f>IFERROR(VLOOKUP(Table43[[#This Row],[Kode Pcpl]],'[1]FEB 2026'!$A$3:$X$312,24,0),0)</f>
        <v>0</v>
      </c>
      <c r="AX662" s="38">
        <f>Table43[[#This Row],[Harga Jual Pcs MT
(-PPN)]]*Table43[[#This Row],[ISI/CTN]]</f>
        <v>0</v>
      </c>
      <c r="AY662" s="38">
        <f>Table43[[#This Row],[Harga Jual Pcs MT
(-PPN)]]*1.11</f>
        <v>0</v>
      </c>
      <c r="AZ662" s="38">
        <f>Table43[[#This Row],[Harga Jual Pcs MT
(+PPN)]]*Table43[[#This Row],[ISI/CTN]]</f>
        <v>0</v>
      </c>
      <c r="BA662" s="46">
        <f>(Table43[[#This Row],[Harga Jual Pcs GT
(-PPN)]]-Table43[[#This Row],[Harga Beli Pcs
(-PPN)]])/Table43[[#This Row],[Harga Jual Pcs GT
(-PPN)]]</f>
        <v>6.5000000000000002E-2</v>
      </c>
      <c r="BB662" s="53">
        <f>Table43[[#This Row],[Harga Jual Pcs MT
(-PPN)]]-Table43[[#This Row],[Harga Beli Pcs
(-PPN)]]</f>
        <v>-4394.5</v>
      </c>
      <c r="BC662" s="54" t="e">
        <f>Table43[[#This Row],[Column1]]/Table43[[#This Row],[Harga Jual Pcs MT
(-PPN)]]</f>
        <v>#DIV/0!</v>
      </c>
      <c r="BD662" s="52"/>
      <c r="BE662" s="7"/>
      <c r="BF662" s="7" t="str">
        <f ca="1">IF(TODAY()-Table43[[#This Row],[Efektif
Pembuatan]]&gt;60,"Lama","Baru")</f>
        <v>Lama</v>
      </c>
      <c r="BG662" s="7" t="str">
        <f ca="1">IF(TODAY()-Table43[[#This Row],[Efektif Naik Harga]]&lt;30,"Naik","Sama")</f>
        <v>Sama</v>
      </c>
      <c r="BH662" s="7"/>
      <c r="BI662" s="7" t="str">
        <f>IF(Table43[[#This Row],[Kode BARANG Win2]]&lt;&gt;"","IDR","")</f>
        <v>IDR</v>
      </c>
      <c r="BJ662" s="7" t="str">
        <f>CONCATENATE(Table43[[#This Row],[kode  1 Digit
(Nomor)]],Table43[[#This Row],[kode  4 Digit                (Nomor)]])</f>
        <v>0040</v>
      </c>
      <c r="BK662" s="7" t="str">
        <f>Table43[[#This Row],[Nama            Gramasi atau Jumlah Pack per CTN]]</f>
        <v>40GR</v>
      </c>
      <c r="BL662" s="7"/>
      <c r="BM662" s="7"/>
      <c r="BN662" s="4" t="str">
        <f>IF(Table43[[#This Row],[SATUAN Fix Win]]&lt;&gt;"","KRT")</f>
        <v>KRT</v>
      </c>
      <c r="BO662" s="4" t="str">
        <f>IF(Table43[[#This Row],[SATUAN Fix Win]]&lt;&gt;"","GD01")</f>
        <v>GD01</v>
      </c>
      <c r="BP662" s="4">
        <f>IF(Table43[[#This Row],[SATUAN Fix Win]]&lt;&gt;"",11611)</f>
        <v>11611</v>
      </c>
      <c r="BQ662" s="4">
        <f>IF(Table43[[#This Row],[SATUAN Fix Win]]&lt;&gt;"",11612)</f>
        <v>11612</v>
      </c>
      <c r="BS662" s="4">
        <f>IF(Table43[[#This Row],[SATUAN Fix Win]]&lt;&gt;"",1)</f>
        <v>1</v>
      </c>
      <c r="BU662" s="4">
        <f>Table43[[#This Row],[ISI/CTN]]</f>
        <v>72</v>
      </c>
    </row>
    <row r="663" spans="1:73">
      <c r="A663" s="4" t="str">
        <f>CONCATENATE(Table43[[#This Row],[Kode BARANG Win2]],Table43[[#This Row],[No. Urut
Item Sama]])</f>
        <v>G1303100000010</v>
      </c>
      <c r="B663" s="7"/>
      <c r="C663" s="31">
        <v>3007001010415000</v>
      </c>
      <c r="D663" s="59">
        <v>40008502</v>
      </c>
      <c r="E663" s="60" t="s">
        <v>2196</v>
      </c>
      <c r="F663" s="59">
        <v>30692000000000</v>
      </c>
      <c r="G663" s="59">
        <v>0</v>
      </c>
      <c r="H663" s="60" t="s">
        <v>1553</v>
      </c>
      <c r="I663" s="60">
        <v>432</v>
      </c>
      <c r="J663" s="59" t="s">
        <v>1862</v>
      </c>
      <c r="K663" s="60" t="str">
        <f>Table43[[#This Row],[NamaJenisKemasan]]</f>
        <v>PCS</v>
      </c>
      <c r="L663" s="4" t="str">
        <f>TRIM(CONCATENATE(Table43[[#This Row],[Nama            KLP]]," ",Table43[[#This Row],[Nama            Sub KLP]]))</f>
        <v>SUSEMI SABUT STAINLESS</v>
      </c>
      <c r="M663" s="4" t="str">
        <f>CONCATENATE(Table43[[#This Row],[kode  2 Digit                (hrf+No)]],Table43[[#This Row],[kode  2 Digit                (Nomor)]],Table43[[#This Row],[kode  1 Digit                (Nomor)]])</f>
        <v>G1303</v>
      </c>
      <c r="N663" s="4" t="str">
        <f>IF(AI663="",CONCATENATE(S663,U663,W663,Y663,AA663,AC663,AE663,AG663,Table43[[#This Row],[Tanda Kode Revisi]]),CONCATENATE(S663,U663,W663,Y663,AA663,AC663,AE663,AI663))</f>
        <v>G1303100000010</v>
      </c>
      <c r="O663" s="11">
        <f t="shared" si="18"/>
        <v>14</v>
      </c>
      <c r="P663" s="14" t="str">
        <f>IF(AH663&lt;&gt;"",TRIM(UPPER(CONCATENATE(R663," ",T663," ",V663," ",X663," ",Z663," ",AB663," ","X"," ",Table43[[#This Row],[ISI/CTN]]," ",AH663," ",AD663," ",AF663," ",AJ663))),TRIM(UPPER(CONCATENATE(R663," ",T663," ",V663," ",X663," ",Z663," ",AB663," ","X"," ",Table43[[#This Row],[ISI/CTN]]," ",AD663," ",AF663," ",AJ663))))</f>
        <v>SUSEMI SABUT STAINLESS PAPAN X 432 PCS</v>
      </c>
      <c r="Q663" s="11">
        <f t="shared" si="19"/>
        <v>38</v>
      </c>
      <c r="S663" s="7" t="s">
        <v>34</v>
      </c>
      <c r="T663" s="4" t="s">
        <v>2458</v>
      </c>
      <c r="U663" s="47" t="s">
        <v>2589</v>
      </c>
      <c r="V663" s="48" t="s">
        <v>2398</v>
      </c>
      <c r="W663" s="7">
        <v>3</v>
      </c>
      <c r="X663" s="48" t="s">
        <v>2650</v>
      </c>
      <c r="Y663" s="47" t="s">
        <v>2539</v>
      </c>
      <c r="AA663" s="49" t="s">
        <v>1117</v>
      </c>
      <c r="AC663" s="49" t="s">
        <v>2460</v>
      </c>
      <c r="AD663" s="4" t="s">
        <v>185</v>
      </c>
      <c r="AE663" s="7">
        <v>1</v>
      </c>
      <c r="AG663" s="7">
        <v>0</v>
      </c>
      <c r="AK663" s="70">
        <f>Table43[[#This Row],[Column4]]</f>
        <v>30692000000000</v>
      </c>
      <c r="AN663" s="7">
        <f>Table43[[#This Row],[ISI/CTN]]</f>
        <v>432</v>
      </c>
      <c r="AO663" s="38">
        <f>Table43[[#This Row],[Harga Jual Pcs GT
(-PPN)]]-(Table43[[#This Row],[Harga Jual Pcs GT
(-PPN)]]*6.5%)</f>
        <v>1234.2</v>
      </c>
      <c r="AP663" s="38">
        <f>Table43[[#This Row],[Harga Beli Pcs
(-PPN)]]*Table43[[#This Row],[ISI/CTN]]</f>
        <v>533174.4</v>
      </c>
      <c r="AQ663" s="38">
        <f>Table43[[#This Row],[Harga Beli Pcs
(-PPN)]]*1.11</f>
        <v>1369.9620000000002</v>
      </c>
      <c r="AR663" s="38">
        <f>Table43[[#This Row],[Harga Beli Krt
(- PPN)]]*1.11</f>
        <v>591823.58400000003</v>
      </c>
      <c r="AS663" s="38">
        <v>1320</v>
      </c>
      <c r="AT663" s="38">
        <f>Table43[[#This Row],[Harga Jual Pcs GT
(-PPN)]]*Table43[[#This Row],[ISI/CTN]]</f>
        <v>570240</v>
      </c>
      <c r="AU663" s="38">
        <f>Table43[[#This Row],[Harga Jual Pcs GT
(-PPN)]]*1.11</f>
        <v>1465.2</v>
      </c>
      <c r="AV663" s="38">
        <f>Table43[[#This Row],[Harga Jual Krt GT
(- PPN)]]*1.11</f>
        <v>632966.40000000002</v>
      </c>
      <c r="AW663" s="38">
        <f>IFERROR(VLOOKUP(Table43[[#This Row],[Kode Pcpl]],'[1]FEB 2026'!$A$3:$X$312,24,0),0)</f>
        <v>0</v>
      </c>
      <c r="AX663" s="38">
        <f>Table43[[#This Row],[Harga Jual Pcs MT
(-PPN)]]*Table43[[#This Row],[ISI/CTN]]</f>
        <v>0</v>
      </c>
      <c r="AY663" s="38">
        <f>Table43[[#This Row],[Harga Jual Pcs MT
(-PPN)]]*1.11</f>
        <v>0</v>
      </c>
      <c r="AZ663" s="38">
        <f>Table43[[#This Row],[Harga Jual Pcs MT
(+PPN)]]*Table43[[#This Row],[ISI/CTN]]</f>
        <v>0</v>
      </c>
      <c r="BA663" s="46">
        <f>(Table43[[#This Row],[Harga Jual Pcs GT
(-PPN)]]-Table43[[#This Row],[Harga Beli Pcs
(-PPN)]])/Table43[[#This Row],[Harga Jual Pcs GT
(-PPN)]]</f>
        <v>6.4999999999999961E-2</v>
      </c>
      <c r="BB663" s="53">
        <f>Table43[[#This Row],[Harga Jual Pcs MT
(-PPN)]]-Table43[[#This Row],[Harga Beli Pcs
(-PPN)]]</f>
        <v>-1234.2</v>
      </c>
      <c r="BC663" s="54" t="e">
        <f>Table43[[#This Row],[Column1]]/Table43[[#This Row],[Harga Jual Pcs MT
(-PPN)]]</f>
        <v>#DIV/0!</v>
      </c>
      <c r="BD663" s="52"/>
      <c r="BE663" s="7"/>
      <c r="BF663" s="7" t="str">
        <f ca="1">IF(TODAY()-Table43[[#This Row],[Efektif
Pembuatan]]&gt;60,"Lama","Baru")</f>
        <v>Lama</v>
      </c>
      <c r="BG663" s="7" t="str">
        <f ca="1">IF(TODAY()-Table43[[#This Row],[Efektif Naik Harga]]&lt;30,"Naik","Sama")</f>
        <v>Sama</v>
      </c>
      <c r="BH663" s="7"/>
      <c r="BI663" s="7" t="str">
        <f>IF(Table43[[#This Row],[Kode BARANG Win2]]&lt;&gt;"","IDR","")</f>
        <v>IDR</v>
      </c>
      <c r="BJ663" s="7" t="str">
        <f>CONCATENATE(Table43[[#This Row],[kode  1 Digit
(Nomor)]],Table43[[#This Row],[kode  4 Digit                (Nomor)]])</f>
        <v>0000</v>
      </c>
      <c r="BK663" s="7">
        <f>Table43[[#This Row],[Nama            Gramasi atau Jumlah Pack per CTN]]</f>
        <v>0</v>
      </c>
      <c r="BL663" s="7"/>
      <c r="BM663" s="7"/>
      <c r="BN663" s="4" t="str">
        <f>IF(Table43[[#This Row],[SATUAN Fix Win]]&lt;&gt;"","KRT")</f>
        <v>KRT</v>
      </c>
      <c r="BO663" s="4" t="str">
        <f>IF(Table43[[#This Row],[SATUAN Fix Win]]&lt;&gt;"","GD01")</f>
        <v>GD01</v>
      </c>
      <c r="BP663" s="4">
        <f>IF(Table43[[#This Row],[SATUAN Fix Win]]&lt;&gt;"",11611)</f>
        <v>11611</v>
      </c>
      <c r="BQ663" s="4">
        <f>IF(Table43[[#This Row],[SATUAN Fix Win]]&lt;&gt;"",11612)</f>
        <v>11612</v>
      </c>
      <c r="BS663" s="4">
        <f>IF(Table43[[#This Row],[SATUAN Fix Win]]&lt;&gt;"",1)</f>
        <v>1</v>
      </c>
      <c r="BU663" s="4">
        <f>Table43[[#This Row],[ISI/CTN]]</f>
        <v>432</v>
      </c>
    </row>
  </sheetData>
  <mergeCells count="10">
    <mergeCell ref="BI4:BS4"/>
    <mergeCell ref="D3:I4"/>
    <mergeCell ref="K3:P3"/>
    <mergeCell ref="AO3:AZ3"/>
    <mergeCell ref="BD3:BE4"/>
    <mergeCell ref="M4:Q4"/>
    <mergeCell ref="R4:S4"/>
    <mergeCell ref="AO4:AR4"/>
    <mergeCell ref="AS4:AV4"/>
    <mergeCell ref="AW4:AZ4"/>
  </mergeCells>
  <phoneticPr fontId="11" type="noConversion"/>
  <conditionalFormatting sqref="J1:J5">
    <cfRule type="duplicateValues" dxfId="7" priority="536"/>
  </conditionalFormatting>
  <conditionalFormatting sqref="J1:J19">
    <cfRule type="duplicateValues" dxfId="6" priority="607"/>
  </conditionalFormatting>
  <conditionalFormatting sqref="J1:J1048576">
    <cfRule type="duplicateValues" dxfId="5" priority="1"/>
  </conditionalFormatting>
  <conditionalFormatting sqref="N1:N3 M4 N5:N1048576">
    <cfRule type="duplicateValues" dxfId="4" priority="11"/>
  </conditionalFormatting>
  <conditionalFormatting sqref="O6:O663">
    <cfRule type="cellIs" dxfId="3" priority="12" operator="notEqual">
      <formula>14</formula>
    </cfRule>
  </conditionalFormatting>
  <conditionalFormatting sqref="Q2">
    <cfRule type="cellIs" dxfId="2" priority="7" operator="greaterThan">
      <formula>0</formula>
    </cfRule>
  </conditionalFormatting>
  <conditionalFormatting sqref="Q6:Q663">
    <cfRule type="cellIs" dxfId="1" priority="8" operator="greaterThan">
      <formula>50</formula>
    </cfRule>
  </conditionalFormatting>
  <dataValidations disablePrompts="1" count="1">
    <dataValidation type="list" allowBlank="1" showInputMessage="1" showErrorMessage="1" sqref="BH6:BH663" xr:uid="{95996BE7-5C82-46FD-AF74-44DF7B69CC2D}">
      <formula1>"Aktif, Discontinue"</formula1>
    </dataValidation>
  </dataValidations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9FB-0599-423E-98D5-A7707B80244B}">
  <sheetPr>
    <tabColor rgb="FF00B050"/>
  </sheetPr>
  <dimension ref="A1:AF161"/>
  <sheetViews>
    <sheetView topLeftCell="C13" workbookViewId="0">
      <selection activeCell="D6" sqref="D6"/>
    </sheetView>
  </sheetViews>
  <sheetFormatPr defaultRowHeight="15"/>
  <cols>
    <col min="1" max="1" width="21.5703125" bestFit="1" customWidth="1"/>
    <col min="2" max="2" width="6.140625" bestFit="1" customWidth="1"/>
    <col min="3" max="3" width="12" bestFit="1" customWidth="1"/>
    <col min="4" max="4" width="18.42578125" bestFit="1" customWidth="1"/>
    <col min="5" max="5" width="81.140625" bestFit="1" customWidth="1"/>
    <col min="6" max="6" width="9.85546875" bestFit="1" customWidth="1"/>
    <col min="7" max="7" width="18" bestFit="1" customWidth="1"/>
    <col min="8" max="8" width="25.7109375" bestFit="1" customWidth="1"/>
    <col min="9" max="9" width="21.7109375" bestFit="1" customWidth="1"/>
    <col min="10" max="10" width="21.42578125" bestFit="1" customWidth="1"/>
    <col min="11" max="11" width="57.140625" bestFit="1" customWidth="1"/>
    <col min="12" max="12" width="24.28515625" style="39" bestFit="1" customWidth="1"/>
    <col min="13" max="13" width="24.42578125" style="39" bestFit="1" customWidth="1"/>
    <col min="14" max="14" width="27.140625" style="39" bestFit="1" customWidth="1"/>
    <col min="15" max="15" width="27.28515625" style="39" bestFit="1" customWidth="1"/>
    <col min="16" max="16" width="27.5703125" style="39" bestFit="1" customWidth="1"/>
    <col min="17" max="17" width="27.85546875" style="39" bestFit="1" customWidth="1"/>
    <col min="18" max="18" width="20.7109375" bestFit="1" customWidth="1"/>
    <col min="19" max="19" width="19.140625" bestFit="1" customWidth="1"/>
    <col min="20" max="20" width="20.28515625" bestFit="1" customWidth="1"/>
    <col min="21" max="21" width="14.85546875" bestFit="1" customWidth="1"/>
    <col min="22" max="22" width="12.85546875" bestFit="1" customWidth="1"/>
    <col min="23" max="23" width="17.7109375" bestFit="1" customWidth="1"/>
    <col min="24" max="24" width="17.5703125" bestFit="1" customWidth="1"/>
    <col min="25" max="25" width="19.5703125" bestFit="1" customWidth="1"/>
    <col min="26" max="26" width="19.7109375" bestFit="1" customWidth="1"/>
    <col min="27" max="27" width="10.28515625" bestFit="1" customWidth="1"/>
    <col min="28" max="28" width="6" bestFit="1" customWidth="1"/>
    <col min="29" max="29" width="11.7109375" bestFit="1" customWidth="1"/>
    <col min="30" max="30" width="13.85546875" bestFit="1" customWidth="1"/>
    <col min="31" max="32" width="11.28515625" bestFit="1" customWidth="1"/>
  </cols>
  <sheetData>
    <row r="1" spans="1:32">
      <c r="A1" t="s">
        <v>143</v>
      </c>
      <c r="B1" t="s">
        <v>11</v>
      </c>
      <c r="C1" t="s">
        <v>0</v>
      </c>
      <c r="D1" t="s">
        <v>8</v>
      </c>
      <c r="E1" t="s">
        <v>7</v>
      </c>
      <c r="F1" t="s">
        <v>4</v>
      </c>
      <c r="G1" t="s">
        <v>12</v>
      </c>
      <c r="H1" t="s">
        <v>36</v>
      </c>
      <c r="I1" t="s">
        <v>171</v>
      </c>
      <c r="J1" t="s">
        <v>29</v>
      </c>
      <c r="K1" t="s">
        <v>21</v>
      </c>
      <c r="L1" s="39" t="s">
        <v>40</v>
      </c>
      <c r="M1" s="39" t="s">
        <v>39</v>
      </c>
      <c r="N1" s="39" t="s">
        <v>131</v>
      </c>
      <c r="O1" s="39" t="s">
        <v>132</v>
      </c>
      <c r="P1" s="39" t="s">
        <v>135</v>
      </c>
      <c r="Q1" s="39" t="s">
        <v>136</v>
      </c>
      <c r="R1" t="s">
        <v>117</v>
      </c>
      <c r="S1" t="s">
        <v>118</v>
      </c>
      <c r="T1" t="s">
        <v>121</v>
      </c>
      <c r="U1" t="s">
        <v>122</v>
      </c>
      <c r="V1" t="s">
        <v>119</v>
      </c>
      <c r="W1" t="s">
        <v>142</v>
      </c>
      <c r="X1" t="s">
        <v>174</v>
      </c>
      <c r="Y1" t="s">
        <v>123</v>
      </c>
      <c r="Z1" t="s">
        <v>172</v>
      </c>
      <c r="AA1" t="s">
        <v>124</v>
      </c>
      <c r="AB1" t="s">
        <v>125</v>
      </c>
      <c r="AC1" t="s">
        <v>127</v>
      </c>
      <c r="AD1" t="s">
        <v>128</v>
      </c>
      <c r="AE1" t="s">
        <v>129</v>
      </c>
      <c r="AF1" t="s">
        <v>120</v>
      </c>
    </row>
    <row r="2" spans="1:32">
      <c r="A2">
        <v>1</v>
      </c>
      <c r="B2">
        <v>1</v>
      </c>
      <c r="C2" t="s">
        <v>379</v>
      </c>
      <c r="D2" t="s">
        <v>621</v>
      </c>
      <c r="E2" t="s">
        <v>500</v>
      </c>
      <c r="F2">
        <v>6</v>
      </c>
      <c r="G2" t="s">
        <v>662</v>
      </c>
      <c r="H2" t="s">
        <v>787</v>
      </c>
      <c r="I2" t="s">
        <v>902</v>
      </c>
      <c r="J2" t="s">
        <v>670</v>
      </c>
      <c r="K2" t="s">
        <v>786</v>
      </c>
      <c r="L2" s="39">
        <v>30029.189189189186</v>
      </c>
      <c r="M2" s="39">
        <v>180175</v>
      </c>
      <c r="N2" s="39">
        <v>32432</v>
      </c>
      <c r="O2" s="39">
        <v>194595</v>
      </c>
      <c r="Q2" s="39">
        <v>0</v>
      </c>
      <c r="R2" s="35">
        <v>45848</v>
      </c>
      <c r="T2" t="s">
        <v>1077</v>
      </c>
      <c r="U2" t="s">
        <v>126</v>
      </c>
      <c r="V2" t="s">
        <v>139</v>
      </c>
      <c r="W2">
        <v>10070</v>
      </c>
      <c r="X2" t="s">
        <v>668</v>
      </c>
      <c r="Y2" t="s">
        <v>943</v>
      </c>
      <c r="Z2" t="s">
        <v>374</v>
      </c>
      <c r="AA2" t="s">
        <v>140</v>
      </c>
      <c r="AB2" t="s">
        <v>141</v>
      </c>
      <c r="AC2">
        <v>11611</v>
      </c>
      <c r="AD2">
        <v>11612</v>
      </c>
      <c r="AE2">
        <v>101</v>
      </c>
      <c r="AF2">
        <v>1</v>
      </c>
    </row>
    <row r="3" spans="1:32">
      <c r="A3">
        <v>1</v>
      </c>
      <c r="B3">
        <v>2</v>
      </c>
      <c r="C3" t="s">
        <v>402</v>
      </c>
      <c r="D3" t="s">
        <v>621</v>
      </c>
      <c r="E3" t="s">
        <v>523</v>
      </c>
      <c r="F3">
        <v>24</v>
      </c>
      <c r="G3" t="s">
        <v>636</v>
      </c>
      <c r="H3" t="s">
        <v>903</v>
      </c>
      <c r="I3" t="s">
        <v>904</v>
      </c>
      <c r="J3" t="s">
        <v>671</v>
      </c>
      <c r="K3" t="s">
        <v>788</v>
      </c>
      <c r="L3" s="39">
        <v>21937.990990990987</v>
      </c>
      <c r="M3" s="39">
        <v>526512</v>
      </c>
      <c r="N3" s="39">
        <v>23694</v>
      </c>
      <c r="O3" s="39">
        <v>568649</v>
      </c>
      <c r="Q3" s="39">
        <v>0</v>
      </c>
      <c r="R3" s="35">
        <v>45848</v>
      </c>
      <c r="T3" t="s">
        <v>1077</v>
      </c>
      <c r="U3" t="s">
        <v>126</v>
      </c>
      <c r="V3" t="s">
        <v>139</v>
      </c>
      <c r="W3">
        <v>20400</v>
      </c>
      <c r="X3" t="s">
        <v>635</v>
      </c>
      <c r="Y3" t="s">
        <v>943</v>
      </c>
      <c r="Z3" t="s">
        <v>374</v>
      </c>
      <c r="AA3" t="s">
        <v>140</v>
      </c>
      <c r="AB3" t="s">
        <v>141</v>
      </c>
      <c r="AC3">
        <v>11611</v>
      </c>
      <c r="AD3">
        <v>11612</v>
      </c>
      <c r="AE3">
        <v>101</v>
      </c>
      <c r="AF3">
        <v>1</v>
      </c>
    </row>
    <row r="4" spans="1:32">
      <c r="A4">
        <v>1</v>
      </c>
      <c r="B4">
        <v>3</v>
      </c>
      <c r="C4" t="s">
        <v>404</v>
      </c>
      <c r="D4" t="s">
        <v>621</v>
      </c>
      <c r="E4" t="s">
        <v>525</v>
      </c>
      <c r="F4">
        <v>24</v>
      </c>
      <c r="G4" t="s">
        <v>636</v>
      </c>
      <c r="H4" t="s">
        <v>903</v>
      </c>
      <c r="I4" t="s">
        <v>904</v>
      </c>
      <c r="J4" t="s">
        <v>672</v>
      </c>
      <c r="K4" t="s">
        <v>789</v>
      </c>
      <c r="L4" s="39">
        <v>21937.990990990987</v>
      </c>
      <c r="M4" s="39">
        <v>526512</v>
      </c>
      <c r="N4" s="39">
        <v>23694</v>
      </c>
      <c r="O4" s="39">
        <v>568649</v>
      </c>
      <c r="Q4" s="39">
        <v>0</v>
      </c>
      <c r="R4" s="35">
        <v>45848</v>
      </c>
      <c r="T4" t="s">
        <v>1077</v>
      </c>
      <c r="U4" t="s">
        <v>126</v>
      </c>
      <c r="V4" t="s">
        <v>139</v>
      </c>
      <c r="W4">
        <v>20400</v>
      </c>
      <c r="X4" t="s">
        <v>635</v>
      </c>
      <c r="Y4" t="s">
        <v>943</v>
      </c>
      <c r="Z4" t="s">
        <v>374</v>
      </c>
      <c r="AA4" t="s">
        <v>140</v>
      </c>
      <c r="AB4" t="s">
        <v>141</v>
      </c>
      <c r="AC4">
        <v>11611</v>
      </c>
      <c r="AD4">
        <v>11612</v>
      </c>
      <c r="AE4">
        <v>101</v>
      </c>
      <c r="AF4">
        <v>1</v>
      </c>
    </row>
    <row r="5" spans="1:32">
      <c r="A5">
        <v>1</v>
      </c>
      <c r="B5">
        <v>4</v>
      </c>
      <c r="C5" t="s">
        <v>403</v>
      </c>
      <c r="D5" t="s">
        <v>621</v>
      </c>
      <c r="E5" t="s">
        <v>524</v>
      </c>
      <c r="F5">
        <v>24</v>
      </c>
      <c r="G5" t="s">
        <v>657</v>
      </c>
      <c r="H5" t="s">
        <v>903</v>
      </c>
      <c r="I5" t="s">
        <v>904</v>
      </c>
      <c r="J5" t="s">
        <v>673</v>
      </c>
      <c r="K5" t="s">
        <v>790</v>
      </c>
      <c r="L5" s="39">
        <v>35034.054054054046</v>
      </c>
      <c r="M5" s="39">
        <v>840817</v>
      </c>
      <c r="N5" s="39">
        <v>37838</v>
      </c>
      <c r="O5" s="39">
        <v>908108</v>
      </c>
      <c r="Q5" s="39">
        <v>0</v>
      </c>
      <c r="R5" s="35">
        <v>45848</v>
      </c>
      <c r="T5" t="s">
        <v>1077</v>
      </c>
      <c r="U5" t="s">
        <v>126</v>
      </c>
      <c r="V5" t="s">
        <v>139</v>
      </c>
      <c r="W5">
        <v>20480</v>
      </c>
      <c r="X5" t="s">
        <v>637</v>
      </c>
      <c r="Y5" t="s">
        <v>943</v>
      </c>
      <c r="Z5" t="s">
        <v>374</v>
      </c>
      <c r="AA5" t="s">
        <v>140</v>
      </c>
      <c r="AB5" t="s">
        <v>141</v>
      </c>
      <c r="AC5">
        <v>11611</v>
      </c>
      <c r="AD5">
        <v>11612</v>
      </c>
      <c r="AE5">
        <v>101</v>
      </c>
      <c r="AF5">
        <v>1</v>
      </c>
    </row>
    <row r="6" spans="1:32">
      <c r="A6">
        <v>1</v>
      </c>
      <c r="B6">
        <v>5</v>
      </c>
      <c r="C6" t="s">
        <v>405</v>
      </c>
      <c r="D6" t="s">
        <v>621</v>
      </c>
      <c r="E6" t="s">
        <v>526</v>
      </c>
      <c r="F6">
        <v>24</v>
      </c>
      <c r="G6" t="s">
        <v>657</v>
      </c>
      <c r="H6" t="s">
        <v>903</v>
      </c>
      <c r="I6" t="s">
        <v>904</v>
      </c>
      <c r="J6" t="s">
        <v>674</v>
      </c>
      <c r="K6" t="s">
        <v>791</v>
      </c>
      <c r="L6" s="39">
        <v>35034.054054054046</v>
      </c>
      <c r="M6" s="39">
        <v>840817</v>
      </c>
      <c r="N6" s="39">
        <v>37838</v>
      </c>
      <c r="O6" s="39">
        <v>908108</v>
      </c>
      <c r="Q6" s="39">
        <v>0</v>
      </c>
      <c r="R6" s="35">
        <v>45848</v>
      </c>
      <c r="T6" t="s">
        <v>1077</v>
      </c>
      <c r="U6" t="s">
        <v>126</v>
      </c>
      <c r="V6" t="s">
        <v>139</v>
      </c>
      <c r="W6">
        <v>20480</v>
      </c>
      <c r="X6" t="s">
        <v>637</v>
      </c>
      <c r="Y6" t="s">
        <v>943</v>
      </c>
      <c r="Z6" t="s">
        <v>374</v>
      </c>
      <c r="AA6" t="s">
        <v>140</v>
      </c>
      <c r="AB6" t="s">
        <v>141</v>
      </c>
      <c r="AC6">
        <v>11611</v>
      </c>
      <c r="AD6">
        <v>11612</v>
      </c>
      <c r="AE6">
        <v>101</v>
      </c>
      <c r="AF6">
        <v>1</v>
      </c>
    </row>
    <row r="7" spans="1:32">
      <c r="A7">
        <v>1</v>
      </c>
      <c r="B7">
        <v>6</v>
      </c>
      <c r="C7" t="s">
        <v>381</v>
      </c>
      <c r="D7" t="s">
        <v>621</v>
      </c>
      <c r="E7" t="s">
        <v>502</v>
      </c>
      <c r="F7">
        <v>72</v>
      </c>
      <c r="G7" t="s">
        <v>185</v>
      </c>
      <c r="H7" t="s">
        <v>905</v>
      </c>
      <c r="I7" t="s">
        <v>906</v>
      </c>
      <c r="J7" t="s">
        <v>675</v>
      </c>
      <c r="K7" t="s">
        <v>792</v>
      </c>
      <c r="L7" s="39">
        <v>2585.8468468468468</v>
      </c>
      <c r="M7" s="39">
        <v>186181</v>
      </c>
      <c r="N7" s="39">
        <v>2793</v>
      </c>
      <c r="O7" s="39">
        <v>201081</v>
      </c>
      <c r="Q7" s="39">
        <v>0</v>
      </c>
      <c r="R7" s="35">
        <v>45848</v>
      </c>
      <c r="T7" t="s">
        <v>1077</v>
      </c>
      <c r="U7" t="s">
        <v>126</v>
      </c>
      <c r="V7" t="s">
        <v>139</v>
      </c>
      <c r="W7">
        <v>10070</v>
      </c>
      <c r="X7" t="s">
        <v>668</v>
      </c>
      <c r="Y7" t="s">
        <v>943</v>
      </c>
      <c r="Z7" t="s">
        <v>374</v>
      </c>
      <c r="AA7" t="s">
        <v>140</v>
      </c>
      <c r="AB7" t="s">
        <v>141</v>
      </c>
      <c r="AC7">
        <v>11611</v>
      </c>
      <c r="AD7">
        <v>11612</v>
      </c>
      <c r="AE7">
        <v>101</v>
      </c>
      <c r="AF7">
        <v>1</v>
      </c>
    </row>
    <row r="8" spans="1:32">
      <c r="A8">
        <v>1</v>
      </c>
      <c r="B8">
        <v>7</v>
      </c>
      <c r="C8" t="s">
        <v>380</v>
      </c>
      <c r="D8" t="s">
        <v>621</v>
      </c>
      <c r="E8" t="s">
        <v>501</v>
      </c>
      <c r="F8">
        <v>72</v>
      </c>
      <c r="G8" t="s">
        <v>185</v>
      </c>
      <c r="H8" t="s">
        <v>905</v>
      </c>
      <c r="I8" t="s">
        <v>906</v>
      </c>
      <c r="J8" t="s">
        <v>676</v>
      </c>
      <c r="K8" t="s">
        <v>793</v>
      </c>
      <c r="L8" s="39">
        <v>2585.8468468468468</v>
      </c>
      <c r="M8" s="39">
        <v>186181</v>
      </c>
      <c r="N8" s="39">
        <v>2793</v>
      </c>
      <c r="O8" s="39">
        <v>201081</v>
      </c>
      <c r="Q8" s="39">
        <v>0</v>
      </c>
      <c r="R8" s="35">
        <v>45848</v>
      </c>
      <c r="T8" t="s">
        <v>1077</v>
      </c>
      <c r="U8" t="s">
        <v>126</v>
      </c>
      <c r="V8" t="s">
        <v>139</v>
      </c>
      <c r="W8">
        <v>10070</v>
      </c>
      <c r="X8" t="s">
        <v>668</v>
      </c>
      <c r="Y8" t="s">
        <v>943</v>
      </c>
      <c r="Z8" t="s">
        <v>374</v>
      </c>
      <c r="AA8" t="s">
        <v>140</v>
      </c>
      <c r="AB8" t="s">
        <v>141</v>
      </c>
      <c r="AC8">
        <v>11611</v>
      </c>
      <c r="AD8">
        <v>11612</v>
      </c>
      <c r="AE8">
        <v>101</v>
      </c>
      <c r="AF8">
        <v>1</v>
      </c>
    </row>
    <row r="9" spans="1:32">
      <c r="A9">
        <v>1</v>
      </c>
      <c r="B9">
        <v>8</v>
      </c>
      <c r="C9" t="s">
        <v>498</v>
      </c>
      <c r="D9" t="s">
        <v>620</v>
      </c>
      <c r="E9" t="s">
        <v>499</v>
      </c>
      <c r="F9">
        <v>72</v>
      </c>
      <c r="G9" t="s">
        <v>185</v>
      </c>
      <c r="H9" t="s">
        <v>907</v>
      </c>
      <c r="I9" t="s">
        <v>908</v>
      </c>
      <c r="J9" t="s">
        <v>677</v>
      </c>
      <c r="K9" t="s">
        <v>794</v>
      </c>
      <c r="L9" s="39">
        <v>7507.2972972972966</v>
      </c>
      <c r="M9" s="39">
        <v>540525</v>
      </c>
      <c r="N9" s="39">
        <v>8108</v>
      </c>
      <c r="O9" s="39">
        <v>583784</v>
      </c>
      <c r="Q9" s="39">
        <v>0</v>
      </c>
      <c r="R9" s="35">
        <v>45848</v>
      </c>
      <c r="T9" t="s">
        <v>1077</v>
      </c>
      <c r="U9" t="s">
        <v>126</v>
      </c>
      <c r="V9" t="s">
        <v>139</v>
      </c>
      <c r="W9">
        <v>10100</v>
      </c>
      <c r="X9" t="s">
        <v>638</v>
      </c>
      <c r="Y9" t="s">
        <v>943</v>
      </c>
      <c r="Z9" t="s">
        <v>374</v>
      </c>
      <c r="AA9" t="s">
        <v>140</v>
      </c>
      <c r="AB9" t="s">
        <v>141</v>
      </c>
      <c r="AC9">
        <v>11611</v>
      </c>
      <c r="AD9">
        <v>11612</v>
      </c>
      <c r="AE9">
        <v>101</v>
      </c>
      <c r="AF9">
        <v>1</v>
      </c>
    </row>
    <row r="10" spans="1:32">
      <c r="A10">
        <v>1</v>
      </c>
      <c r="B10">
        <v>9</v>
      </c>
      <c r="C10" t="s">
        <v>410</v>
      </c>
      <c r="D10" t="s">
        <v>622</v>
      </c>
      <c r="E10" t="s">
        <v>531</v>
      </c>
      <c r="F10">
        <v>24</v>
      </c>
      <c r="G10" t="s">
        <v>657</v>
      </c>
      <c r="H10" t="s">
        <v>909</v>
      </c>
      <c r="I10" t="s">
        <v>910</v>
      </c>
      <c r="J10" t="s">
        <v>678</v>
      </c>
      <c r="K10" t="s">
        <v>795</v>
      </c>
      <c r="L10" s="39">
        <v>19685.801801801801</v>
      </c>
      <c r="M10" s="39">
        <v>472459</v>
      </c>
      <c r="N10" s="39">
        <v>21261</v>
      </c>
      <c r="O10" s="39">
        <v>510270</v>
      </c>
      <c r="Q10" s="39">
        <v>0</v>
      </c>
      <c r="R10" s="35">
        <v>45848</v>
      </c>
      <c r="T10" t="s">
        <v>1077</v>
      </c>
      <c r="U10" t="s">
        <v>126</v>
      </c>
      <c r="V10" t="s">
        <v>139</v>
      </c>
      <c r="W10">
        <v>20400</v>
      </c>
      <c r="X10" t="s">
        <v>635</v>
      </c>
      <c r="Y10" t="s">
        <v>943</v>
      </c>
      <c r="Z10" t="s">
        <v>374</v>
      </c>
      <c r="AA10" t="s">
        <v>140</v>
      </c>
      <c r="AB10" t="s">
        <v>141</v>
      </c>
      <c r="AC10">
        <v>11611</v>
      </c>
      <c r="AD10">
        <v>11612</v>
      </c>
      <c r="AE10">
        <v>101</v>
      </c>
      <c r="AF10">
        <v>1</v>
      </c>
    </row>
    <row r="11" spans="1:32">
      <c r="A11">
        <v>1</v>
      </c>
      <c r="C11" t="s">
        <v>410</v>
      </c>
      <c r="D11" t="s">
        <v>622</v>
      </c>
      <c r="E11" t="s">
        <v>531</v>
      </c>
      <c r="F11">
        <v>24</v>
      </c>
      <c r="G11" t="s">
        <v>636</v>
      </c>
      <c r="H11" t="s">
        <v>909</v>
      </c>
      <c r="I11" t="s">
        <v>910</v>
      </c>
      <c r="J11" t="s">
        <v>1094</v>
      </c>
      <c r="K11" t="s">
        <v>1103</v>
      </c>
      <c r="L11" s="39">
        <v>19685.801801801801</v>
      </c>
      <c r="M11" s="39">
        <v>472459</v>
      </c>
      <c r="N11" s="39">
        <v>21261</v>
      </c>
      <c r="O11" s="39">
        <v>510270</v>
      </c>
      <c r="Q11" s="39">
        <v>0</v>
      </c>
      <c r="R11" s="35">
        <v>45848</v>
      </c>
      <c r="T11" t="s">
        <v>1077</v>
      </c>
      <c r="U11" t="s">
        <v>126</v>
      </c>
      <c r="V11" t="s">
        <v>139</v>
      </c>
      <c r="W11">
        <v>20400</v>
      </c>
      <c r="X11" t="s">
        <v>635</v>
      </c>
      <c r="AA11" t="s">
        <v>140</v>
      </c>
      <c r="AB11" t="s">
        <v>141</v>
      </c>
      <c r="AC11">
        <v>11611</v>
      </c>
      <c r="AD11">
        <v>11612</v>
      </c>
      <c r="AF11">
        <v>1</v>
      </c>
    </row>
    <row r="12" spans="1:32">
      <c r="A12">
        <v>1</v>
      </c>
      <c r="B12">
        <v>10</v>
      </c>
      <c r="C12" t="s">
        <v>408</v>
      </c>
      <c r="D12" t="s">
        <v>622</v>
      </c>
      <c r="E12" t="s">
        <v>529</v>
      </c>
      <c r="F12">
        <v>24</v>
      </c>
      <c r="G12" t="s">
        <v>636</v>
      </c>
      <c r="H12" t="s">
        <v>909</v>
      </c>
      <c r="I12" t="s">
        <v>910</v>
      </c>
      <c r="J12" t="s">
        <v>679</v>
      </c>
      <c r="K12" t="s">
        <v>796</v>
      </c>
      <c r="L12" s="39">
        <v>19685.801801801801</v>
      </c>
      <c r="M12" s="39">
        <v>472459</v>
      </c>
      <c r="N12" s="39">
        <v>21261</v>
      </c>
      <c r="O12" s="39">
        <v>510270</v>
      </c>
      <c r="Q12" s="39">
        <v>0</v>
      </c>
      <c r="R12" s="35">
        <v>45848</v>
      </c>
      <c r="T12" t="s">
        <v>1077</v>
      </c>
      <c r="U12" t="s">
        <v>126</v>
      </c>
      <c r="V12" t="s">
        <v>139</v>
      </c>
      <c r="W12">
        <v>20400</v>
      </c>
      <c r="X12" t="s">
        <v>635</v>
      </c>
      <c r="Y12" t="s">
        <v>943</v>
      </c>
      <c r="Z12" t="s">
        <v>374</v>
      </c>
      <c r="AA12" t="s">
        <v>140</v>
      </c>
      <c r="AB12" t="s">
        <v>141</v>
      </c>
      <c r="AC12">
        <v>11611</v>
      </c>
      <c r="AD12">
        <v>11612</v>
      </c>
      <c r="AE12">
        <v>101</v>
      </c>
      <c r="AF12">
        <v>1</v>
      </c>
    </row>
    <row r="13" spans="1:32">
      <c r="A13">
        <v>1</v>
      </c>
      <c r="B13">
        <v>11</v>
      </c>
      <c r="C13" t="s">
        <v>406</v>
      </c>
      <c r="D13" t="s">
        <v>622</v>
      </c>
      <c r="E13" t="s">
        <v>527</v>
      </c>
      <c r="F13">
        <v>24</v>
      </c>
      <c r="G13" t="s">
        <v>636</v>
      </c>
      <c r="H13" t="s">
        <v>909</v>
      </c>
      <c r="I13" t="s">
        <v>910</v>
      </c>
      <c r="J13" t="s">
        <v>680</v>
      </c>
      <c r="K13" t="s">
        <v>797</v>
      </c>
      <c r="L13" s="39">
        <v>19685.801801801801</v>
      </c>
      <c r="M13" s="39">
        <v>472459</v>
      </c>
      <c r="N13" s="39">
        <v>21261</v>
      </c>
      <c r="O13" s="39">
        <v>510270</v>
      </c>
      <c r="Q13" s="39">
        <v>0</v>
      </c>
      <c r="R13" s="35">
        <v>45848</v>
      </c>
      <c r="T13" t="s">
        <v>1077</v>
      </c>
      <c r="U13" t="s">
        <v>126</v>
      </c>
      <c r="V13" t="s">
        <v>139</v>
      </c>
      <c r="W13">
        <v>20400</v>
      </c>
      <c r="X13" t="s">
        <v>635</v>
      </c>
      <c r="Y13" t="s">
        <v>943</v>
      </c>
      <c r="Z13" t="s">
        <v>374</v>
      </c>
      <c r="AA13" t="s">
        <v>140</v>
      </c>
      <c r="AB13" t="s">
        <v>141</v>
      </c>
      <c r="AC13">
        <v>11611</v>
      </c>
      <c r="AD13">
        <v>11612</v>
      </c>
      <c r="AE13">
        <v>101</v>
      </c>
      <c r="AF13">
        <v>1</v>
      </c>
    </row>
    <row r="14" spans="1:32">
      <c r="A14">
        <v>1</v>
      </c>
      <c r="B14">
        <v>12</v>
      </c>
      <c r="C14" t="s">
        <v>411</v>
      </c>
      <c r="D14" t="s">
        <v>622</v>
      </c>
      <c r="E14" t="s">
        <v>532</v>
      </c>
      <c r="F14">
        <v>24</v>
      </c>
      <c r="G14" t="s">
        <v>647</v>
      </c>
      <c r="H14" t="s">
        <v>909</v>
      </c>
      <c r="I14" t="s">
        <v>910</v>
      </c>
      <c r="J14" t="s">
        <v>681</v>
      </c>
      <c r="K14" t="s">
        <v>798</v>
      </c>
      <c r="L14" s="39">
        <v>28360.900900900899</v>
      </c>
      <c r="M14" s="39">
        <v>680662</v>
      </c>
      <c r="N14" s="39">
        <v>30631</v>
      </c>
      <c r="O14" s="39">
        <v>735135</v>
      </c>
      <c r="Q14" s="39">
        <v>0</v>
      </c>
      <c r="R14" s="35">
        <v>45848</v>
      </c>
      <c r="T14" t="s">
        <v>1077</v>
      </c>
      <c r="U14" t="s">
        <v>126</v>
      </c>
      <c r="V14" t="s">
        <v>139</v>
      </c>
      <c r="W14">
        <v>20480</v>
      </c>
      <c r="X14" t="s">
        <v>637</v>
      </c>
      <c r="Y14" t="s">
        <v>943</v>
      </c>
      <c r="Z14" t="s">
        <v>374</v>
      </c>
      <c r="AA14" t="s">
        <v>140</v>
      </c>
      <c r="AB14" t="s">
        <v>141</v>
      </c>
      <c r="AC14">
        <v>11611</v>
      </c>
      <c r="AD14">
        <v>11612</v>
      </c>
      <c r="AE14">
        <v>101</v>
      </c>
      <c r="AF14">
        <v>1</v>
      </c>
    </row>
    <row r="15" spans="1:32">
      <c r="A15">
        <v>1</v>
      </c>
      <c r="B15">
        <v>13</v>
      </c>
      <c r="C15" t="s">
        <v>409</v>
      </c>
      <c r="D15" t="s">
        <v>622</v>
      </c>
      <c r="E15" t="s">
        <v>530</v>
      </c>
      <c r="F15">
        <v>24</v>
      </c>
      <c r="G15" t="s">
        <v>647</v>
      </c>
      <c r="H15" t="s">
        <v>909</v>
      </c>
      <c r="I15" t="s">
        <v>910</v>
      </c>
      <c r="J15" t="s">
        <v>682</v>
      </c>
      <c r="K15" t="s">
        <v>799</v>
      </c>
      <c r="L15" s="39">
        <v>28360.900900900899</v>
      </c>
      <c r="M15" s="39">
        <v>680662</v>
      </c>
      <c r="N15" s="39">
        <v>30631</v>
      </c>
      <c r="O15" s="39">
        <v>735135</v>
      </c>
      <c r="Q15" s="39">
        <v>0</v>
      </c>
      <c r="R15" s="35">
        <v>45848</v>
      </c>
      <c r="T15" t="s">
        <v>1077</v>
      </c>
      <c r="U15" t="s">
        <v>126</v>
      </c>
      <c r="V15" t="s">
        <v>139</v>
      </c>
      <c r="W15">
        <v>20480</v>
      </c>
      <c r="X15" t="s">
        <v>637</v>
      </c>
      <c r="Y15" t="s">
        <v>943</v>
      </c>
      <c r="Z15" t="s">
        <v>374</v>
      </c>
      <c r="AA15" t="s">
        <v>140</v>
      </c>
      <c r="AB15" t="s">
        <v>141</v>
      </c>
      <c r="AC15">
        <v>11611</v>
      </c>
      <c r="AD15">
        <v>11612</v>
      </c>
      <c r="AE15">
        <v>101</v>
      </c>
      <c r="AF15">
        <v>1</v>
      </c>
    </row>
    <row r="16" spans="1:32">
      <c r="A16">
        <v>1</v>
      </c>
      <c r="B16">
        <v>14</v>
      </c>
      <c r="C16" t="s">
        <v>407</v>
      </c>
      <c r="D16" t="s">
        <v>622</v>
      </c>
      <c r="E16" t="s">
        <v>528</v>
      </c>
      <c r="F16">
        <v>24</v>
      </c>
      <c r="G16" t="s">
        <v>657</v>
      </c>
      <c r="H16" t="s">
        <v>909</v>
      </c>
      <c r="I16" t="s">
        <v>910</v>
      </c>
      <c r="J16" t="s">
        <v>683</v>
      </c>
      <c r="K16" t="s">
        <v>800</v>
      </c>
      <c r="L16" s="39">
        <v>28360.900900900899</v>
      </c>
      <c r="M16" s="39">
        <v>680662</v>
      </c>
      <c r="N16" s="39">
        <v>30631</v>
      </c>
      <c r="O16" s="39">
        <v>735135</v>
      </c>
      <c r="Q16" s="39">
        <v>0</v>
      </c>
      <c r="R16" s="35">
        <v>45848</v>
      </c>
      <c r="T16" t="s">
        <v>1077</v>
      </c>
      <c r="U16" t="s">
        <v>126</v>
      </c>
      <c r="V16" t="s">
        <v>139</v>
      </c>
      <c r="W16">
        <v>20480</v>
      </c>
      <c r="X16" t="s">
        <v>637</v>
      </c>
      <c r="Y16" t="s">
        <v>943</v>
      </c>
      <c r="Z16" t="s">
        <v>374</v>
      </c>
      <c r="AA16" t="s">
        <v>140</v>
      </c>
      <c r="AB16" t="s">
        <v>141</v>
      </c>
      <c r="AC16">
        <v>11611</v>
      </c>
      <c r="AD16">
        <v>11612</v>
      </c>
      <c r="AE16">
        <v>101</v>
      </c>
      <c r="AF16">
        <v>1</v>
      </c>
    </row>
    <row r="17" spans="1:32">
      <c r="A17">
        <v>1</v>
      </c>
      <c r="B17">
        <v>15</v>
      </c>
      <c r="C17" t="s">
        <v>387</v>
      </c>
      <c r="D17" t="s">
        <v>622</v>
      </c>
      <c r="E17" t="s">
        <v>508</v>
      </c>
      <c r="F17">
        <v>24</v>
      </c>
      <c r="G17" t="s">
        <v>663</v>
      </c>
      <c r="H17" t="s">
        <v>911</v>
      </c>
      <c r="I17" t="s">
        <v>912</v>
      </c>
      <c r="J17" t="s">
        <v>684</v>
      </c>
      <c r="K17" t="s">
        <v>801</v>
      </c>
      <c r="L17" s="39">
        <v>7090.2252252252247</v>
      </c>
      <c r="M17" s="39">
        <v>170165</v>
      </c>
      <c r="N17" s="39">
        <v>7658</v>
      </c>
      <c r="O17" s="39">
        <v>183784</v>
      </c>
      <c r="Q17" s="39">
        <v>0</v>
      </c>
      <c r="R17" s="35">
        <v>45848</v>
      </c>
      <c r="T17" t="s">
        <v>1077</v>
      </c>
      <c r="U17" t="s">
        <v>126</v>
      </c>
      <c r="V17" t="s">
        <v>139</v>
      </c>
      <c r="W17">
        <v>10075</v>
      </c>
      <c r="X17" t="s">
        <v>666</v>
      </c>
      <c r="Y17" t="s">
        <v>943</v>
      </c>
      <c r="Z17" t="s">
        <v>374</v>
      </c>
      <c r="AA17" t="s">
        <v>140</v>
      </c>
      <c r="AB17" t="s">
        <v>141</v>
      </c>
      <c r="AC17">
        <v>11611</v>
      </c>
      <c r="AD17">
        <v>11612</v>
      </c>
      <c r="AE17">
        <v>101</v>
      </c>
      <c r="AF17">
        <v>1</v>
      </c>
    </row>
    <row r="18" spans="1:32">
      <c r="A18">
        <v>1</v>
      </c>
      <c r="B18">
        <v>16</v>
      </c>
      <c r="C18" t="s">
        <v>383</v>
      </c>
      <c r="D18" t="s">
        <v>622</v>
      </c>
      <c r="E18" t="s">
        <v>504</v>
      </c>
      <c r="F18">
        <v>72</v>
      </c>
      <c r="G18" t="s">
        <v>185</v>
      </c>
      <c r="H18" t="s">
        <v>911</v>
      </c>
      <c r="I18" t="s">
        <v>912</v>
      </c>
      <c r="J18" t="s">
        <v>685</v>
      </c>
      <c r="K18" t="s">
        <v>802</v>
      </c>
      <c r="L18" s="39">
        <v>2460.7252252252251</v>
      </c>
      <c r="M18" s="39">
        <v>177172</v>
      </c>
      <c r="N18" s="39">
        <v>2658</v>
      </c>
      <c r="O18" s="39">
        <v>191351</v>
      </c>
      <c r="Q18" s="39">
        <v>0</v>
      </c>
      <c r="R18" s="35">
        <v>45848</v>
      </c>
      <c r="T18" t="s">
        <v>1077</v>
      </c>
      <c r="U18" t="s">
        <v>126</v>
      </c>
      <c r="V18" t="s">
        <v>139</v>
      </c>
      <c r="W18">
        <v>10075</v>
      </c>
      <c r="X18" t="s">
        <v>666</v>
      </c>
      <c r="Y18" t="s">
        <v>943</v>
      </c>
      <c r="Z18" t="s">
        <v>374</v>
      </c>
      <c r="AA18" t="s">
        <v>140</v>
      </c>
      <c r="AB18" t="s">
        <v>141</v>
      </c>
      <c r="AC18">
        <v>11611</v>
      </c>
      <c r="AD18">
        <v>11612</v>
      </c>
      <c r="AE18">
        <v>101</v>
      </c>
      <c r="AF18">
        <v>1</v>
      </c>
    </row>
    <row r="19" spans="1:32">
      <c r="A19">
        <v>1</v>
      </c>
      <c r="B19">
        <v>17</v>
      </c>
      <c r="C19" t="s">
        <v>386</v>
      </c>
      <c r="D19" t="s">
        <v>622</v>
      </c>
      <c r="E19" t="s">
        <v>507</v>
      </c>
      <c r="F19">
        <v>24</v>
      </c>
      <c r="G19" t="s">
        <v>663</v>
      </c>
      <c r="H19" t="s">
        <v>911</v>
      </c>
      <c r="I19" t="s">
        <v>912</v>
      </c>
      <c r="J19" t="s">
        <v>686</v>
      </c>
      <c r="K19" t="s">
        <v>803</v>
      </c>
      <c r="L19" s="39">
        <v>7090.2252252252247</v>
      </c>
      <c r="M19" s="39">
        <v>170165</v>
      </c>
      <c r="N19" s="39">
        <v>7658</v>
      </c>
      <c r="O19" s="39">
        <v>183784</v>
      </c>
      <c r="Q19" s="39">
        <v>0</v>
      </c>
      <c r="R19" s="35">
        <v>45848</v>
      </c>
      <c r="T19" t="s">
        <v>1077</v>
      </c>
      <c r="U19" t="s">
        <v>126</v>
      </c>
      <c r="V19" t="s">
        <v>139</v>
      </c>
      <c r="W19">
        <v>10075</v>
      </c>
      <c r="X19" t="s">
        <v>666</v>
      </c>
      <c r="Y19" t="s">
        <v>943</v>
      </c>
      <c r="Z19" t="s">
        <v>374</v>
      </c>
      <c r="AA19" t="s">
        <v>140</v>
      </c>
      <c r="AB19" t="s">
        <v>141</v>
      </c>
      <c r="AC19">
        <v>11611</v>
      </c>
      <c r="AD19">
        <v>11612</v>
      </c>
      <c r="AE19">
        <v>101</v>
      </c>
      <c r="AF19">
        <v>1</v>
      </c>
    </row>
    <row r="20" spans="1:32">
      <c r="A20">
        <v>1</v>
      </c>
      <c r="B20">
        <v>18</v>
      </c>
      <c r="C20" t="s">
        <v>384</v>
      </c>
      <c r="D20" t="s">
        <v>622</v>
      </c>
      <c r="E20" t="s">
        <v>505</v>
      </c>
      <c r="F20">
        <v>72</v>
      </c>
      <c r="G20" t="s">
        <v>185</v>
      </c>
      <c r="H20" t="s">
        <v>911</v>
      </c>
      <c r="I20" t="s">
        <v>912</v>
      </c>
      <c r="J20" t="s">
        <v>687</v>
      </c>
      <c r="K20" t="s">
        <v>804</v>
      </c>
      <c r="L20" s="39">
        <v>2460.7252252252251</v>
      </c>
      <c r="M20" s="39">
        <v>177172</v>
      </c>
      <c r="N20" s="39">
        <v>2658</v>
      </c>
      <c r="O20" s="39">
        <v>191351</v>
      </c>
      <c r="Q20" s="39">
        <v>0</v>
      </c>
      <c r="R20" s="35">
        <v>45848</v>
      </c>
      <c r="T20" t="s">
        <v>1077</v>
      </c>
      <c r="U20" t="s">
        <v>126</v>
      </c>
      <c r="V20" t="s">
        <v>139</v>
      </c>
      <c r="W20">
        <v>10075</v>
      </c>
      <c r="X20" t="s">
        <v>666</v>
      </c>
      <c r="Y20" t="s">
        <v>943</v>
      </c>
      <c r="Z20" t="s">
        <v>374</v>
      </c>
      <c r="AA20" t="s">
        <v>140</v>
      </c>
      <c r="AB20" t="s">
        <v>141</v>
      </c>
      <c r="AC20">
        <v>11611</v>
      </c>
      <c r="AD20">
        <v>11612</v>
      </c>
      <c r="AE20">
        <v>101</v>
      </c>
      <c r="AF20">
        <v>1</v>
      </c>
    </row>
    <row r="21" spans="1:32">
      <c r="A21">
        <v>1</v>
      </c>
      <c r="B21">
        <v>19</v>
      </c>
      <c r="C21" t="s">
        <v>385</v>
      </c>
      <c r="D21" t="s">
        <v>622</v>
      </c>
      <c r="E21" t="s">
        <v>506</v>
      </c>
      <c r="F21">
        <v>24</v>
      </c>
      <c r="G21" t="s">
        <v>663</v>
      </c>
      <c r="H21" t="s">
        <v>911</v>
      </c>
      <c r="I21" t="s">
        <v>912</v>
      </c>
      <c r="J21" t="s">
        <v>688</v>
      </c>
      <c r="K21" t="s">
        <v>805</v>
      </c>
      <c r="L21" s="39">
        <v>7090.2252252252247</v>
      </c>
      <c r="M21" s="39">
        <v>170165</v>
      </c>
      <c r="N21" s="39">
        <v>7658</v>
      </c>
      <c r="O21" s="39">
        <v>183784</v>
      </c>
      <c r="Q21" s="39">
        <v>0</v>
      </c>
      <c r="R21" s="35">
        <v>45848</v>
      </c>
      <c r="T21" t="s">
        <v>1077</v>
      </c>
      <c r="U21" t="s">
        <v>126</v>
      </c>
      <c r="V21" t="s">
        <v>139</v>
      </c>
      <c r="W21">
        <v>10075</v>
      </c>
      <c r="X21" t="s">
        <v>666</v>
      </c>
      <c r="Y21" t="s">
        <v>943</v>
      </c>
      <c r="Z21" t="s">
        <v>374</v>
      </c>
      <c r="AA21" t="s">
        <v>140</v>
      </c>
      <c r="AB21" t="s">
        <v>141</v>
      </c>
      <c r="AC21">
        <v>11611</v>
      </c>
      <c r="AD21">
        <v>11612</v>
      </c>
      <c r="AE21">
        <v>101</v>
      </c>
      <c r="AF21">
        <v>1</v>
      </c>
    </row>
    <row r="22" spans="1:32">
      <c r="A22">
        <v>1</v>
      </c>
      <c r="B22">
        <v>20</v>
      </c>
      <c r="C22" t="s">
        <v>382</v>
      </c>
      <c r="D22" t="s">
        <v>622</v>
      </c>
      <c r="E22" t="s">
        <v>503</v>
      </c>
      <c r="F22">
        <v>72</v>
      </c>
      <c r="G22" t="s">
        <v>185</v>
      </c>
      <c r="H22" t="s">
        <v>911</v>
      </c>
      <c r="I22" t="s">
        <v>912</v>
      </c>
      <c r="J22" t="s">
        <v>689</v>
      </c>
      <c r="K22" t="s">
        <v>806</v>
      </c>
      <c r="L22" s="39">
        <v>2460.7252252252251</v>
      </c>
      <c r="M22" s="39">
        <v>177172</v>
      </c>
      <c r="N22" s="39">
        <v>2658</v>
      </c>
      <c r="O22" s="39">
        <v>191351</v>
      </c>
      <c r="Q22" s="39">
        <v>0</v>
      </c>
      <c r="R22" s="35">
        <v>45848</v>
      </c>
      <c r="T22" t="s">
        <v>1077</v>
      </c>
      <c r="U22" t="s">
        <v>126</v>
      </c>
      <c r="V22" t="s">
        <v>139</v>
      </c>
      <c r="W22">
        <v>10075</v>
      </c>
      <c r="X22" t="s">
        <v>666</v>
      </c>
      <c r="Y22" t="s">
        <v>943</v>
      </c>
      <c r="Z22" t="s">
        <v>374</v>
      </c>
      <c r="AA22" t="s">
        <v>140</v>
      </c>
      <c r="AB22" t="s">
        <v>141</v>
      </c>
      <c r="AC22">
        <v>11611</v>
      </c>
      <c r="AD22">
        <v>11612</v>
      </c>
      <c r="AE22">
        <v>101</v>
      </c>
      <c r="AF22">
        <v>1</v>
      </c>
    </row>
    <row r="23" spans="1:32">
      <c r="A23">
        <v>1</v>
      </c>
      <c r="B23">
        <v>21</v>
      </c>
      <c r="C23" t="s">
        <v>481</v>
      </c>
      <c r="D23" t="s">
        <v>628</v>
      </c>
      <c r="E23" t="s">
        <v>602</v>
      </c>
      <c r="F23">
        <v>48</v>
      </c>
      <c r="G23" t="s">
        <v>647</v>
      </c>
      <c r="H23" t="s">
        <v>913</v>
      </c>
      <c r="I23" t="s">
        <v>914</v>
      </c>
      <c r="J23" t="s">
        <v>690</v>
      </c>
      <c r="K23" t="s">
        <v>807</v>
      </c>
      <c r="L23" s="39">
        <v>12887.527027027025</v>
      </c>
      <c r="M23" s="39">
        <v>618601</v>
      </c>
      <c r="N23" s="39">
        <v>13919</v>
      </c>
      <c r="O23" s="39">
        <v>668108</v>
      </c>
      <c r="Q23" s="39">
        <v>0</v>
      </c>
      <c r="R23" s="35">
        <v>45848</v>
      </c>
      <c r="T23" t="s">
        <v>1077</v>
      </c>
      <c r="U23" t="s">
        <v>126</v>
      </c>
      <c r="V23" t="s">
        <v>139</v>
      </c>
      <c r="W23">
        <v>20200</v>
      </c>
      <c r="X23" t="s">
        <v>640</v>
      </c>
      <c r="Y23" t="s">
        <v>943</v>
      </c>
      <c r="Z23" t="s">
        <v>374</v>
      </c>
      <c r="AA23" t="s">
        <v>140</v>
      </c>
      <c r="AB23" t="s">
        <v>141</v>
      </c>
      <c r="AC23">
        <v>11611</v>
      </c>
      <c r="AD23">
        <v>11612</v>
      </c>
      <c r="AE23">
        <v>101</v>
      </c>
      <c r="AF23">
        <v>1</v>
      </c>
    </row>
    <row r="24" spans="1:32">
      <c r="A24">
        <v>1</v>
      </c>
      <c r="B24">
        <v>22</v>
      </c>
      <c r="C24" t="s">
        <v>480</v>
      </c>
      <c r="D24" t="s">
        <v>628</v>
      </c>
      <c r="E24" t="s">
        <v>601</v>
      </c>
      <c r="F24">
        <v>48</v>
      </c>
      <c r="G24" t="s">
        <v>647</v>
      </c>
      <c r="H24" t="s">
        <v>913</v>
      </c>
      <c r="I24" t="s">
        <v>914</v>
      </c>
      <c r="J24" t="s">
        <v>691</v>
      </c>
      <c r="K24" t="s">
        <v>808</v>
      </c>
      <c r="L24" s="39">
        <v>12887.527027027025</v>
      </c>
      <c r="M24" s="39">
        <v>618601</v>
      </c>
      <c r="N24" s="39">
        <v>13919</v>
      </c>
      <c r="O24" s="39">
        <v>668108</v>
      </c>
      <c r="Q24" s="39">
        <v>0</v>
      </c>
      <c r="R24" s="35">
        <v>45848</v>
      </c>
      <c r="T24" t="s">
        <v>1077</v>
      </c>
      <c r="U24" t="s">
        <v>126</v>
      </c>
      <c r="V24" t="s">
        <v>139</v>
      </c>
      <c r="W24">
        <v>20200</v>
      </c>
      <c r="X24" t="s">
        <v>640</v>
      </c>
      <c r="Y24" t="s">
        <v>943</v>
      </c>
      <c r="Z24" t="s">
        <v>374</v>
      </c>
      <c r="AA24" t="s">
        <v>140</v>
      </c>
      <c r="AB24" t="s">
        <v>141</v>
      </c>
      <c r="AC24">
        <v>11611</v>
      </c>
      <c r="AD24">
        <v>11612</v>
      </c>
      <c r="AE24">
        <v>101</v>
      </c>
      <c r="AF24">
        <v>1</v>
      </c>
    </row>
    <row r="25" spans="1:32">
      <c r="A25">
        <v>1</v>
      </c>
      <c r="B25">
        <v>23</v>
      </c>
      <c r="C25" t="s">
        <v>969</v>
      </c>
      <c r="D25" t="s">
        <v>628</v>
      </c>
      <c r="E25" t="s">
        <v>600</v>
      </c>
      <c r="F25">
        <v>48</v>
      </c>
      <c r="G25" t="s">
        <v>664</v>
      </c>
      <c r="H25" t="s">
        <v>913</v>
      </c>
      <c r="I25" t="s">
        <v>914</v>
      </c>
      <c r="J25" t="s">
        <v>692</v>
      </c>
      <c r="K25" t="s">
        <v>809</v>
      </c>
      <c r="M25" s="39">
        <v>0</v>
      </c>
      <c r="O25" s="39">
        <v>0</v>
      </c>
      <c r="Q25" s="39">
        <v>0</v>
      </c>
      <c r="R25" s="35"/>
      <c r="T25" t="s">
        <v>1077</v>
      </c>
      <c r="U25" t="s">
        <v>126</v>
      </c>
      <c r="V25" t="s">
        <v>139</v>
      </c>
      <c r="W25">
        <v>20009</v>
      </c>
      <c r="X25" t="s">
        <v>639</v>
      </c>
      <c r="AA25" t="s">
        <v>140</v>
      </c>
      <c r="AB25" t="s">
        <v>141</v>
      </c>
      <c r="AC25">
        <v>11611</v>
      </c>
      <c r="AD25">
        <v>11612</v>
      </c>
      <c r="AF25">
        <v>1</v>
      </c>
    </row>
    <row r="26" spans="1:32">
      <c r="A26">
        <v>3</v>
      </c>
      <c r="C26" t="s">
        <v>479</v>
      </c>
      <c r="D26" t="s">
        <v>628</v>
      </c>
      <c r="E26" t="s">
        <v>600</v>
      </c>
      <c r="G26" t="s">
        <v>1090</v>
      </c>
      <c r="H26" t="s">
        <v>1092</v>
      </c>
      <c r="I26" t="s">
        <v>914</v>
      </c>
      <c r="J26" t="s">
        <v>1095</v>
      </c>
      <c r="K26" t="s">
        <v>1104</v>
      </c>
      <c r="R26" s="35"/>
      <c r="T26" t="s">
        <v>1077</v>
      </c>
      <c r="U26" t="s">
        <v>126</v>
      </c>
      <c r="V26" t="s">
        <v>139</v>
      </c>
      <c r="W26">
        <v>9</v>
      </c>
      <c r="X26" t="s">
        <v>639</v>
      </c>
      <c r="AA26" t="s">
        <v>140</v>
      </c>
      <c r="AB26" t="s">
        <v>141</v>
      </c>
      <c r="AC26">
        <v>11611</v>
      </c>
      <c r="AD26">
        <v>11612</v>
      </c>
      <c r="AF26">
        <v>1</v>
      </c>
    </row>
    <row r="27" spans="1:32">
      <c r="A27">
        <v>1</v>
      </c>
      <c r="B27">
        <v>25</v>
      </c>
      <c r="C27" t="s">
        <v>478</v>
      </c>
      <c r="D27" t="s">
        <v>628</v>
      </c>
      <c r="E27" t="s">
        <v>599</v>
      </c>
      <c r="F27">
        <v>48</v>
      </c>
      <c r="G27" t="s">
        <v>658</v>
      </c>
      <c r="H27" t="s">
        <v>913</v>
      </c>
      <c r="I27" t="s">
        <v>914</v>
      </c>
      <c r="J27" t="s">
        <v>693</v>
      </c>
      <c r="K27" t="s">
        <v>810</v>
      </c>
      <c r="L27" s="39">
        <v>12887.527027027025</v>
      </c>
      <c r="M27" s="39">
        <v>618601</v>
      </c>
      <c r="N27" s="39">
        <v>13919</v>
      </c>
      <c r="O27" s="39">
        <v>668108</v>
      </c>
      <c r="Q27" s="39">
        <v>0</v>
      </c>
      <c r="R27" s="35">
        <v>45848</v>
      </c>
      <c r="T27" t="s">
        <v>1077</v>
      </c>
      <c r="U27" t="s">
        <v>126</v>
      </c>
      <c r="V27" t="s">
        <v>139</v>
      </c>
      <c r="W27">
        <v>20200</v>
      </c>
      <c r="X27" t="s">
        <v>640</v>
      </c>
      <c r="Y27" t="s">
        <v>943</v>
      </c>
      <c r="Z27" t="s">
        <v>374</v>
      </c>
      <c r="AA27" t="s">
        <v>140</v>
      </c>
      <c r="AB27" t="s">
        <v>141</v>
      </c>
      <c r="AC27">
        <v>11611</v>
      </c>
      <c r="AD27">
        <v>11612</v>
      </c>
      <c r="AE27">
        <v>101</v>
      </c>
      <c r="AF27">
        <v>1</v>
      </c>
    </row>
    <row r="28" spans="1:32">
      <c r="A28">
        <v>1</v>
      </c>
      <c r="B28">
        <v>26</v>
      </c>
      <c r="C28" t="s">
        <v>477</v>
      </c>
      <c r="D28" t="s">
        <v>628</v>
      </c>
      <c r="E28" t="s">
        <v>598</v>
      </c>
      <c r="F28">
        <v>48</v>
      </c>
      <c r="G28" t="s">
        <v>664</v>
      </c>
      <c r="H28" t="s">
        <v>913</v>
      </c>
      <c r="I28" t="s">
        <v>914</v>
      </c>
      <c r="J28" t="s">
        <v>694</v>
      </c>
      <c r="K28" t="s">
        <v>811</v>
      </c>
      <c r="L28" s="39">
        <v>5839.0090090090089</v>
      </c>
      <c r="M28" s="39">
        <v>280272</v>
      </c>
      <c r="N28" s="39">
        <v>6306</v>
      </c>
      <c r="O28" s="39">
        <v>302703</v>
      </c>
      <c r="Q28" s="39">
        <v>0</v>
      </c>
      <c r="R28" s="35">
        <v>45848</v>
      </c>
      <c r="T28" t="s">
        <v>1077</v>
      </c>
      <c r="U28" t="s">
        <v>126</v>
      </c>
      <c r="V28" t="s">
        <v>139</v>
      </c>
      <c r="W28">
        <v>20009</v>
      </c>
      <c r="X28" t="s">
        <v>639</v>
      </c>
      <c r="Y28" t="s">
        <v>943</v>
      </c>
      <c r="Z28" t="s">
        <v>374</v>
      </c>
      <c r="AA28" t="s">
        <v>140</v>
      </c>
      <c r="AB28" t="s">
        <v>141</v>
      </c>
      <c r="AC28">
        <v>11611</v>
      </c>
      <c r="AD28">
        <v>11612</v>
      </c>
      <c r="AE28">
        <v>101</v>
      </c>
      <c r="AF28">
        <v>1</v>
      </c>
    </row>
    <row r="29" spans="1:32">
      <c r="A29">
        <v>2</v>
      </c>
      <c r="C29" t="s">
        <v>477</v>
      </c>
      <c r="D29" t="s">
        <v>628</v>
      </c>
      <c r="E29" t="s">
        <v>598</v>
      </c>
      <c r="G29" t="s">
        <v>1090</v>
      </c>
      <c r="H29" t="s">
        <v>1092</v>
      </c>
      <c r="I29" t="s">
        <v>914</v>
      </c>
      <c r="J29" t="s">
        <v>1096</v>
      </c>
      <c r="K29" t="s">
        <v>1105</v>
      </c>
      <c r="R29" s="35"/>
      <c r="T29" t="s">
        <v>1077</v>
      </c>
      <c r="U29" t="s">
        <v>126</v>
      </c>
      <c r="V29" t="s">
        <v>139</v>
      </c>
      <c r="W29">
        <v>9</v>
      </c>
      <c r="X29" t="s">
        <v>639</v>
      </c>
      <c r="AA29" t="s">
        <v>140</v>
      </c>
      <c r="AB29" t="s">
        <v>141</v>
      </c>
      <c r="AC29">
        <v>11611</v>
      </c>
      <c r="AD29">
        <v>11612</v>
      </c>
      <c r="AF29">
        <v>1</v>
      </c>
    </row>
    <row r="30" spans="1:32">
      <c r="A30">
        <v>1</v>
      </c>
      <c r="B30">
        <v>27</v>
      </c>
      <c r="C30" t="s">
        <v>464</v>
      </c>
      <c r="D30" t="s">
        <v>625</v>
      </c>
      <c r="E30" t="s">
        <v>585</v>
      </c>
      <c r="F30">
        <v>24</v>
      </c>
      <c r="G30" t="s">
        <v>659</v>
      </c>
      <c r="H30" t="s">
        <v>915</v>
      </c>
      <c r="I30" t="s">
        <v>916</v>
      </c>
      <c r="J30" t="s">
        <v>695</v>
      </c>
      <c r="K30" t="s">
        <v>812</v>
      </c>
      <c r="L30" s="39">
        <v>40038.918918918913</v>
      </c>
      <c r="M30" s="39">
        <v>960934</v>
      </c>
      <c r="N30" s="39">
        <v>43243</v>
      </c>
      <c r="O30" s="39">
        <v>1037838</v>
      </c>
      <c r="Q30" s="39">
        <v>0</v>
      </c>
      <c r="R30" s="35">
        <v>45848</v>
      </c>
      <c r="T30" t="s">
        <v>1077</v>
      </c>
      <c r="U30" t="s">
        <v>126</v>
      </c>
      <c r="V30" t="s">
        <v>139</v>
      </c>
      <c r="W30">
        <v>20360</v>
      </c>
      <c r="X30" t="s">
        <v>643</v>
      </c>
      <c r="Y30" t="s">
        <v>943</v>
      </c>
      <c r="Z30" t="s">
        <v>374</v>
      </c>
      <c r="AA30" t="s">
        <v>140</v>
      </c>
      <c r="AB30" t="s">
        <v>141</v>
      </c>
      <c r="AC30">
        <v>11611</v>
      </c>
      <c r="AD30">
        <v>11612</v>
      </c>
      <c r="AE30">
        <v>101</v>
      </c>
      <c r="AF30">
        <v>1</v>
      </c>
    </row>
    <row r="31" spans="1:32">
      <c r="A31">
        <v>1</v>
      </c>
      <c r="B31">
        <v>28</v>
      </c>
      <c r="C31" t="s">
        <v>412</v>
      </c>
      <c r="D31" t="s">
        <v>625</v>
      </c>
      <c r="E31" t="s">
        <v>533</v>
      </c>
      <c r="F31">
        <v>48</v>
      </c>
      <c r="G31" t="s">
        <v>659</v>
      </c>
      <c r="H31" t="s">
        <v>917</v>
      </c>
      <c r="I31" t="s">
        <v>918</v>
      </c>
      <c r="J31" t="s">
        <v>696</v>
      </c>
      <c r="K31" t="s">
        <v>813</v>
      </c>
      <c r="L31" s="39">
        <v>40038.918918918913</v>
      </c>
      <c r="M31" s="39">
        <v>1921868</v>
      </c>
      <c r="N31" s="39">
        <v>43243</v>
      </c>
      <c r="O31" s="39">
        <v>2075676</v>
      </c>
      <c r="Q31" s="39">
        <v>0</v>
      </c>
      <c r="R31" s="35">
        <v>45848</v>
      </c>
      <c r="T31" t="s">
        <v>1077</v>
      </c>
      <c r="U31" t="s">
        <v>126</v>
      </c>
      <c r="V31" t="s">
        <v>139</v>
      </c>
      <c r="W31">
        <v>20180</v>
      </c>
      <c r="X31" t="s">
        <v>641</v>
      </c>
      <c r="Y31" t="s">
        <v>943</v>
      </c>
      <c r="Z31" t="s">
        <v>374</v>
      </c>
      <c r="AA31" t="s">
        <v>140</v>
      </c>
      <c r="AB31" t="s">
        <v>141</v>
      </c>
      <c r="AC31">
        <v>11611</v>
      </c>
      <c r="AD31">
        <v>11612</v>
      </c>
      <c r="AE31">
        <v>101</v>
      </c>
      <c r="AF31">
        <v>1</v>
      </c>
    </row>
    <row r="32" spans="1:32">
      <c r="A32">
        <v>1</v>
      </c>
      <c r="B32">
        <v>29</v>
      </c>
      <c r="C32" t="s">
        <v>416</v>
      </c>
      <c r="D32" t="s">
        <v>625</v>
      </c>
      <c r="E32" t="s">
        <v>537</v>
      </c>
      <c r="F32">
        <v>48</v>
      </c>
      <c r="G32" t="s">
        <v>659</v>
      </c>
      <c r="H32" t="s">
        <v>917</v>
      </c>
      <c r="I32" t="s">
        <v>918</v>
      </c>
      <c r="J32" t="s">
        <v>697</v>
      </c>
      <c r="K32" t="s">
        <v>814</v>
      </c>
      <c r="L32" s="39">
        <v>20019.459459459456</v>
      </c>
      <c r="M32" s="39">
        <v>960934</v>
      </c>
      <c r="N32" s="39">
        <v>21622</v>
      </c>
      <c r="O32" s="39">
        <v>1037838</v>
      </c>
      <c r="Q32" s="39">
        <v>0</v>
      </c>
      <c r="R32" s="35">
        <v>45848</v>
      </c>
      <c r="T32" t="s">
        <v>1077</v>
      </c>
      <c r="U32" t="s">
        <v>126</v>
      </c>
      <c r="V32" t="s">
        <v>139</v>
      </c>
      <c r="W32">
        <v>20070</v>
      </c>
      <c r="X32" t="s">
        <v>642</v>
      </c>
      <c r="Y32" t="s">
        <v>943</v>
      </c>
      <c r="Z32" t="s">
        <v>374</v>
      </c>
      <c r="AA32" t="s">
        <v>140</v>
      </c>
      <c r="AB32" t="s">
        <v>141</v>
      </c>
      <c r="AC32">
        <v>11611</v>
      </c>
      <c r="AD32">
        <v>11612</v>
      </c>
      <c r="AE32">
        <v>101</v>
      </c>
      <c r="AF32">
        <v>1</v>
      </c>
    </row>
    <row r="33" spans="1:32">
      <c r="A33">
        <v>1</v>
      </c>
      <c r="B33">
        <v>30</v>
      </c>
      <c r="C33" t="s">
        <v>415</v>
      </c>
      <c r="D33" t="s">
        <v>625</v>
      </c>
      <c r="E33" t="s">
        <v>536</v>
      </c>
      <c r="F33">
        <v>48</v>
      </c>
      <c r="G33" t="s">
        <v>659</v>
      </c>
      <c r="H33" t="s">
        <v>917</v>
      </c>
      <c r="I33" t="s">
        <v>918</v>
      </c>
      <c r="J33" t="s">
        <v>698</v>
      </c>
      <c r="K33" t="s">
        <v>815</v>
      </c>
      <c r="L33" s="39">
        <v>40038.918918918913</v>
      </c>
      <c r="M33" s="39">
        <v>1921868</v>
      </c>
      <c r="N33" s="39">
        <v>43243</v>
      </c>
      <c r="O33" s="39">
        <v>2075676</v>
      </c>
      <c r="Q33" s="39">
        <v>0</v>
      </c>
      <c r="R33" s="35">
        <v>45848</v>
      </c>
      <c r="T33" t="s">
        <v>1077</v>
      </c>
      <c r="U33" t="s">
        <v>126</v>
      </c>
      <c r="V33" t="s">
        <v>139</v>
      </c>
      <c r="W33">
        <v>20180</v>
      </c>
      <c r="X33" t="s">
        <v>641</v>
      </c>
      <c r="Y33" t="s">
        <v>943</v>
      </c>
      <c r="Z33" t="s">
        <v>374</v>
      </c>
      <c r="AA33" t="s">
        <v>140</v>
      </c>
      <c r="AB33" t="s">
        <v>141</v>
      </c>
      <c r="AC33">
        <v>11611</v>
      </c>
      <c r="AD33">
        <v>11612</v>
      </c>
      <c r="AE33">
        <v>101</v>
      </c>
      <c r="AF33">
        <v>1</v>
      </c>
    </row>
    <row r="34" spans="1:32">
      <c r="A34">
        <v>1</v>
      </c>
      <c r="B34">
        <v>31</v>
      </c>
      <c r="C34" t="s">
        <v>419</v>
      </c>
      <c r="D34" t="s">
        <v>625</v>
      </c>
      <c r="E34" t="s">
        <v>540</v>
      </c>
      <c r="F34">
        <v>48</v>
      </c>
      <c r="G34" t="s">
        <v>659</v>
      </c>
      <c r="H34" t="s">
        <v>917</v>
      </c>
      <c r="I34" t="s">
        <v>918</v>
      </c>
      <c r="J34" t="s">
        <v>699</v>
      </c>
      <c r="K34" t="s">
        <v>816</v>
      </c>
      <c r="L34" s="39">
        <v>20019.459459459456</v>
      </c>
      <c r="M34" s="39">
        <v>960934</v>
      </c>
      <c r="N34" s="39">
        <v>21622</v>
      </c>
      <c r="O34" s="39">
        <v>1037838</v>
      </c>
      <c r="Q34" s="39">
        <v>0</v>
      </c>
      <c r="R34" s="35">
        <v>45848</v>
      </c>
      <c r="T34" t="s">
        <v>1077</v>
      </c>
      <c r="U34" t="s">
        <v>126</v>
      </c>
      <c r="V34" t="s">
        <v>139</v>
      </c>
      <c r="W34">
        <v>20070</v>
      </c>
      <c r="X34" t="s">
        <v>642</v>
      </c>
      <c r="Y34" t="s">
        <v>943</v>
      </c>
      <c r="Z34" t="s">
        <v>374</v>
      </c>
      <c r="AA34" t="s">
        <v>140</v>
      </c>
      <c r="AB34" t="s">
        <v>141</v>
      </c>
      <c r="AC34">
        <v>11611</v>
      </c>
      <c r="AD34">
        <v>11612</v>
      </c>
      <c r="AE34">
        <v>101</v>
      </c>
      <c r="AF34">
        <v>1</v>
      </c>
    </row>
    <row r="35" spans="1:32">
      <c r="A35">
        <v>1</v>
      </c>
      <c r="B35">
        <v>32</v>
      </c>
      <c r="C35" t="s">
        <v>413</v>
      </c>
      <c r="D35" t="s">
        <v>625</v>
      </c>
      <c r="E35" t="s">
        <v>534</v>
      </c>
      <c r="F35">
        <v>48</v>
      </c>
      <c r="G35" t="s">
        <v>659</v>
      </c>
      <c r="H35" t="s">
        <v>917</v>
      </c>
      <c r="I35" t="s">
        <v>918</v>
      </c>
      <c r="J35" t="s">
        <v>700</v>
      </c>
      <c r="K35" t="s">
        <v>817</v>
      </c>
      <c r="L35" s="39">
        <v>40038.918918918913</v>
      </c>
      <c r="M35" s="39">
        <v>1921868</v>
      </c>
      <c r="N35" s="39">
        <v>43243</v>
      </c>
      <c r="O35" s="39">
        <v>2075676</v>
      </c>
      <c r="Q35" s="39">
        <v>0</v>
      </c>
      <c r="R35" s="35">
        <v>45848</v>
      </c>
      <c r="T35" t="s">
        <v>1077</v>
      </c>
      <c r="U35" t="s">
        <v>126</v>
      </c>
      <c r="V35" t="s">
        <v>139</v>
      </c>
      <c r="W35">
        <v>20180</v>
      </c>
      <c r="X35" t="s">
        <v>641</v>
      </c>
      <c r="Y35" t="s">
        <v>943</v>
      </c>
      <c r="Z35" t="s">
        <v>374</v>
      </c>
      <c r="AA35" t="s">
        <v>140</v>
      </c>
      <c r="AB35" t="s">
        <v>141</v>
      </c>
      <c r="AC35">
        <v>11611</v>
      </c>
      <c r="AD35">
        <v>11612</v>
      </c>
      <c r="AE35">
        <v>101</v>
      </c>
      <c r="AF35">
        <v>1</v>
      </c>
    </row>
    <row r="36" spans="1:32">
      <c r="A36">
        <v>1</v>
      </c>
      <c r="B36">
        <v>33</v>
      </c>
      <c r="C36" t="s">
        <v>417</v>
      </c>
      <c r="D36" t="s">
        <v>625</v>
      </c>
      <c r="E36" t="s">
        <v>538</v>
      </c>
      <c r="F36">
        <v>48</v>
      </c>
      <c r="G36" t="s">
        <v>659</v>
      </c>
      <c r="H36" t="s">
        <v>917</v>
      </c>
      <c r="I36" t="s">
        <v>918</v>
      </c>
      <c r="J36" t="s">
        <v>701</v>
      </c>
      <c r="K36" t="s">
        <v>818</v>
      </c>
      <c r="L36" s="39">
        <v>20019.459459459456</v>
      </c>
      <c r="M36" s="39">
        <v>960934</v>
      </c>
      <c r="N36" s="39">
        <v>21622</v>
      </c>
      <c r="O36" s="39">
        <v>1037838</v>
      </c>
      <c r="Q36" s="39">
        <v>0</v>
      </c>
      <c r="R36" s="35">
        <v>45848</v>
      </c>
      <c r="T36" t="s">
        <v>1077</v>
      </c>
      <c r="U36" t="s">
        <v>126</v>
      </c>
      <c r="V36" t="s">
        <v>139</v>
      </c>
      <c r="W36">
        <v>20070</v>
      </c>
      <c r="X36" t="s">
        <v>642</v>
      </c>
      <c r="Y36" t="s">
        <v>943</v>
      </c>
      <c r="Z36" t="s">
        <v>374</v>
      </c>
      <c r="AA36" t="s">
        <v>140</v>
      </c>
      <c r="AB36" t="s">
        <v>141</v>
      </c>
      <c r="AC36">
        <v>11611</v>
      </c>
      <c r="AD36">
        <v>11612</v>
      </c>
      <c r="AE36">
        <v>101</v>
      </c>
      <c r="AF36">
        <v>1</v>
      </c>
    </row>
    <row r="37" spans="1:32">
      <c r="A37">
        <v>1</v>
      </c>
      <c r="B37">
        <v>34</v>
      </c>
      <c r="C37" t="s">
        <v>414</v>
      </c>
      <c r="D37" t="s">
        <v>625</v>
      </c>
      <c r="E37" t="s">
        <v>535</v>
      </c>
      <c r="F37">
        <v>48</v>
      </c>
      <c r="G37" t="s">
        <v>659</v>
      </c>
      <c r="H37" t="s">
        <v>917</v>
      </c>
      <c r="I37" t="s">
        <v>918</v>
      </c>
      <c r="J37" t="s">
        <v>702</v>
      </c>
      <c r="K37" t="s">
        <v>819</v>
      </c>
      <c r="L37" s="39">
        <v>40038.918918918913</v>
      </c>
      <c r="M37" s="39">
        <v>1921868</v>
      </c>
      <c r="N37" s="39">
        <v>43243</v>
      </c>
      <c r="O37" s="39">
        <v>2075676</v>
      </c>
      <c r="Q37" s="39">
        <v>0</v>
      </c>
      <c r="R37" s="35">
        <v>45848</v>
      </c>
      <c r="T37" t="s">
        <v>1077</v>
      </c>
      <c r="U37" t="s">
        <v>126</v>
      </c>
      <c r="V37" t="s">
        <v>139</v>
      </c>
      <c r="W37">
        <v>20180</v>
      </c>
      <c r="X37" t="s">
        <v>641</v>
      </c>
      <c r="Y37" t="s">
        <v>943</v>
      </c>
      <c r="Z37" t="s">
        <v>374</v>
      </c>
      <c r="AA37" t="s">
        <v>140</v>
      </c>
      <c r="AB37" t="s">
        <v>141</v>
      </c>
      <c r="AC37">
        <v>11611</v>
      </c>
      <c r="AD37">
        <v>11612</v>
      </c>
      <c r="AE37">
        <v>101</v>
      </c>
      <c r="AF37">
        <v>1</v>
      </c>
    </row>
    <row r="38" spans="1:32">
      <c r="A38">
        <v>1</v>
      </c>
      <c r="B38">
        <v>35</v>
      </c>
      <c r="C38" t="s">
        <v>418</v>
      </c>
      <c r="D38" t="s">
        <v>625</v>
      </c>
      <c r="E38" t="s">
        <v>539</v>
      </c>
      <c r="F38">
        <v>48</v>
      </c>
      <c r="G38" t="s">
        <v>659</v>
      </c>
      <c r="H38" t="s">
        <v>917</v>
      </c>
      <c r="I38" t="s">
        <v>918</v>
      </c>
      <c r="J38" t="s">
        <v>703</v>
      </c>
      <c r="K38" t="s">
        <v>820</v>
      </c>
      <c r="L38" s="39">
        <v>20019.459459459456</v>
      </c>
      <c r="M38" s="39">
        <v>960934</v>
      </c>
      <c r="N38" s="39">
        <v>21622</v>
      </c>
      <c r="O38" s="39">
        <v>1037838</v>
      </c>
      <c r="Q38" s="39">
        <v>0</v>
      </c>
      <c r="R38" s="35">
        <v>45848</v>
      </c>
      <c r="T38" t="s">
        <v>1077</v>
      </c>
      <c r="U38" t="s">
        <v>126</v>
      </c>
      <c r="V38" t="s">
        <v>139</v>
      </c>
      <c r="W38">
        <v>20070</v>
      </c>
      <c r="X38" t="s">
        <v>642</v>
      </c>
      <c r="Y38" t="s">
        <v>943</v>
      </c>
      <c r="Z38" t="s">
        <v>374</v>
      </c>
      <c r="AA38" t="s">
        <v>140</v>
      </c>
      <c r="AB38" t="s">
        <v>141</v>
      </c>
      <c r="AC38">
        <v>11611</v>
      </c>
      <c r="AD38">
        <v>11612</v>
      </c>
      <c r="AE38">
        <v>101</v>
      </c>
      <c r="AF38">
        <v>1</v>
      </c>
    </row>
    <row r="39" spans="1:32">
      <c r="A39">
        <v>1</v>
      </c>
      <c r="B39">
        <v>36</v>
      </c>
      <c r="C39">
        <v>112603000</v>
      </c>
      <c r="D39" t="s">
        <v>625</v>
      </c>
      <c r="E39" t="s">
        <v>975</v>
      </c>
      <c r="F39">
        <v>48</v>
      </c>
      <c r="G39" t="s">
        <v>647</v>
      </c>
      <c r="H39" t="s">
        <v>1078</v>
      </c>
      <c r="I39" t="s">
        <v>1079</v>
      </c>
      <c r="J39" t="s">
        <v>1009</v>
      </c>
      <c r="K39" t="s">
        <v>1061</v>
      </c>
      <c r="M39" s="39">
        <v>0</v>
      </c>
      <c r="O39" s="39">
        <v>0</v>
      </c>
      <c r="Q39" s="39">
        <v>0</v>
      </c>
      <c r="R39" s="35"/>
      <c r="T39" t="s">
        <v>1077</v>
      </c>
      <c r="U39" t="s">
        <v>126</v>
      </c>
      <c r="V39" t="s">
        <v>139</v>
      </c>
      <c r="W39">
        <v>20030</v>
      </c>
      <c r="X39" t="s">
        <v>654</v>
      </c>
      <c r="AA39" t="s">
        <v>140</v>
      </c>
      <c r="AB39" t="s">
        <v>141</v>
      </c>
      <c r="AC39">
        <v>11611</v>
      </c>
      <c r="AD39">
        <v>11612</v>
      </c>
      <c r="AF39">
        <v>1</v>
      </c>
    </row>
    <row r="40" spans="1:32">
      <c r="A40">
        <v>1</v>
      </c>
      <c r="B40">
        <v>37</v>
      </c>
      <c r="C40">
        <v>112601000</v>
      </c>
      <c r="D40" t="s">
        <v>625</v>
      </c>
      <c r="E40" t="s">
        <v>974</v>
      </c>
      <c r="F40">
        <v>48</v>
      </c>
      <c r="G40" t="s">
        <v>647</v>
      </c>
      <c r="H40" t="s">
        <v>1078</v>
      </c>
      <c r="I40" t="s">
        <v>1079</v>
      </c>
      <c r="J40" t="s">
        <v>1010</v>
      </c>
      <c r="K40" t="s">
        <v>1062</v>
      </c>
      <c r="M40" s="39">
        <v>0</v>
      </c>
      <c r="O40" s="39">
        <v>0</v>
      </c>
      <c r="Q40" s="39">
        <v>0</v>
      </c>
      <c r="R40" s="35"/>
      <c r="T40" t="s">
        <v>1077</v>
      </c>
      <c r="U40" t="s">
        <v>126</v>
      </c>
      <c r="V40" t="s">
        <v>139</v>
      </c>
      <c r="W40">
        <v>20030</v>
      </c>
      <c r="X40" t="s">
        <v>654</v>
      </c>
      <c r="AA40" t="s">
        <v>140</v>
      </c>
      <c r="AB40" t="s">
        <v>141</v>
      </c>
      <c r="AC40">
        <v>11611</v>
      </c>
      <c r="AD40">
        <v>11612</v>
      </c>
      <c r="AF40">
        <v>1</v>
      </c>
    </row>
    <row r="41" spans="1:32">
      <c r="A41">
        <v>1</v>
      </c>
      <c r="B41">
        <v>38</v>
      </c>
      <c r="C41">
        <v>112604000</v>
      </c>
      <c r="D41" t="s">
        <v>625</v>
      </c>
      <c r="E41" t="s">
        <v>973</v>
      </c>
      <c r="F41">
        <v>48</v>
      </c>
      <c r="G41" t="s">
        <v>647</v>
      </c>
      <c r="H41" t="s">
        <v>1078</v>
      </c>
      <c r="I41" t="s">
        <v>1079</v>
      </c>
      <c r="J41" t="s">
        <v>1011</v>
      </c>
      <c r="K41" t="s">
        <v>1063</v>
      </c>
      <c r="M41" s="39">
        <v>0</v>
      </c>
      <c r="O41" s="39">
        <v>0</v>
      </c>
      <c r="Q41" s="39">
        <v>0</v>
      </c>
      <c r="R41" s="35"/>
      <c r="T41" t="s">
        <v>1077</v>
      </c>
      <c r="U41" t="s">
        <v>126</v>
      </c>
      <c r="V41" t="s">
        <v>139</v>
      </c>
      <c r="W41">
        <v>20030</v>
      </c>
      <c r="X41" t="s">
        <v>654</v>
      </c>
      <c r="AA41" t="s">
        <v>140</v>
      </c>
      <c r="AB41" t="s">
        <v>141</v>
      </c>
      <c r="AC41">
        <v>11611</v>
      </c>
      <c r="AD41">
        <v>11612</v>
      </c>
      <c r="AF41">
        <v>1</v>
      </c>
    </row>
    <row r="42" spans="1:32">
      <c r="A42">
        <v>1</v>
      </c>
      <c r="B42">
        <v>39</v>
      </c>
      <c r="C42">
        <v>112602000</v>
      </c>
      <c r="D42" t="s">
        <v>625</v>
      </c>
      <c r="E42" t="s">
        <v>976</v>
      </c>
      <c r="F42">
        <v>48</v>
      </c>
      <c r="G42" t="s">
        <v>647</v>
      </c>
      <c r="H42" t="s">
        <v>1078</v>
      </c>
      <c r="I42" t="s">
        <v>1079</v>
      </c>
      <c r="J42" t="s">
        <v>1012</v>
      </c>
      <c r="K42" t="s">
        <v>1064</v>
      </c>
      <c r="M42" s="39">
        <v>0</v>
      </c>
      <c r="O42" s="39">
        <v>0</v>
      </c>
      <c r="Q42" s="39">
        <v>0</v>
      </c>
      <c r="R42" s="35"/>
      <c r="T42" t="s">
        <v>1077</v>
      </c>
      <c r="U42" t="s">
        <v>126</v>
      </c>
      <c r="V42" t="s">
        <v>139</v>
      </c>
      <c r="W42">
        <v>20030</v>
      </c>
      <c r="X42" t="s">
        <v>654</v>
      </c>
      <c r="AA42" t="s">
        <v>140</v>
      </c>
      <c r="AB42" t="s">
        <v>141</v>
      </c>
      <c r="AC42">
        <v>11611</v>
      </c>
      <c r="AD42">
        <v>11612</v>
      </c>
      <c r="AF42">
        <v>1</v>
      </c>
    </row>
    <row r="43" spans="1:32">
      <c r="A43">
        <v>1</v>
      </c>
      <c r="B43">
        <v>40</v>
      </c>
      <c r="C43" t="s">
        <v>426</v>
      </c>
      <c r="D43" t="s">
        <v>623</v>
      </c>
      <c r="E43" t="s">
        <v>547</v>
      </c>
      <c r="F43">
        <v>24</v>
      </c>
      <c r="G43" t="s">
        <v>636</v>
      </c>
      <c r="H43" t="s">
        <v>919</v>
      </c>
      <c r="I43" t="s">
        <v>920</v>
      </c>
      <c r="J43" t="s">
        <v>704</v>
      </c>
      <c r="K43" t="s">
        <v>821</v>
      </c>
      <c r="L43" s="39">
        <v>21687.747747747744</v>
      </c>
      <c r="M43" s="39">
        <v>520506</v>
      </c>
      <c r="N43" s="39">
        <v>23423</v>
      </c>
      <c r="O43" s="39">
        <v>562162</v>
      </c>
      <c r="Q43" s="39">
        <v>0</v>
      </c>
      <c r="R43" s="35">
        <v>45848</v>
      </c>
      <c r="T43" t="s">
        <v>1077</v>
      </c>
      <c r="U43" t="s">
        <v>126</v>
      </c>
      <c r="V43" t="s">
        <v>139</v>
      </c>
      <c r="W43">
        <v>20380</v>
      </c>
      <c r="X43" t="s">
        <v>645</v>
      </c>
      <c r="Y43" t="s">
        <v>943</v>
      </c>
      <c r="Z43" t="s">
        <v>374</v>
      </c>
      <c r="AA43" t="s">
        <v>140</v>
      </c>
      <c r="AB43" t="s">
        <v>141</v>
      </c>
      <c r="AC43">
        <v>11611</v>
      </c>
      <c r="AD43">
        <v>11612</v>
      </c>
      <c r="AE43">
        <v>101</v>
      </c>
      <c r="AF43">
        <v>1</v>
      </c>
    </row>
    <row r="44" spans="1:32">
      <c r="A44">
        <v>1</v>
      </c>
      <c r="B44">
        <v>41</v>
      </c>
      <c r="C44" t="s">
        <v>445</v>
      </c>
      <c r="D44" t="s">
        <v>623</v>
      </c>
      <c r="E44" t="s">
        <v>566</v>
      </c>
      <c r="F44">
        <v>24</v>
      </c>
      <c r="G44" t="s">
        <v>636</v>
      </c>
      <c r="H44" t="s">
        <v>919</v>
      </c>
      <c r="I44" t="s">
        <v>920</v>
      </c>
      <c r="J44" t="s">
        <v>705</v>
      </c>
      <c r="K44" t="s">
        <v>822</v>
      </c>
      <c r="L44" s="39">
        <v>21687.747747747744</v>
      </c>
      <c r="M44" s="39">
        <v>520506</v>
      </c>
      <c r="N44" s="39">
        <v>23423</v>
      </c>
      <c r="O44" s="39">
        <v>562162</v>
      </c>
      <c r="Q44" s="39">
        <v>0</v>
      </c>
      <c r="R44" s="35">
        <v>45848</v>
      </c>
      <c r="T44" t="s">
        <v>1077</v>
      </c>
      <c r="U44" t="s">
        <v>126</v>
      </c>
      <c r="V44" t="s">
        <v>139</v>
      </c>
      <c r="W44">
        <v>20380</v>
      </c>
      <c r="X44" t="s">
        <v>645</v>
      </c>
      <c r="Y44" t="s">
        <v>943</v>
      </c>
      <c r="Z44" t="s">
        <v>374</v>
      </c>
      <c r="AA44" t="s">
        <v>140</v>
      </c>
      <c r="AB44" t="s">
        <v>141</v>
      </c>
      <c r="AC44">
        <v>11611</v>
      </c>
      <c r="AD44">
        <v>11612</v>
      </c>
      <c r="AE44">
        <v>101</v>
      </c>
      <c r="AF44">
        <v>1</v>
      </c>
    </row>
    <row r="45" spans="1:32">
      <c r="A45">
        <v>1</v>
      </c>
      <c r="B45">
        <v>42</v>
      </c>
      <c r="C45" t="s">
        <v>432</v>
      </c>
      <c r="D45" t="s">
        <v>623</v>
      </c>
      <c r="E45" t="s">
        <v>553</v>
      </c>
      <c r="F45">
        <v>24</v>
      </c>
      <c r="G45" t="s">
        <v>636</v>
      </c>
      <c r="H45" t="s">
        <v>919</v>
      </c>
      <c r="I45" t="s">
        <v>920</v>
      </c>
      <c r="J45" t="s">
        <v>706</v>
      </c>
      <c r="K45" t="s">
        <v>823</v>
      </c>
      <c r="L45" s="39">
        <v>21687.747747747744</v>
      </c>
      <c r="M45" s="39">
        <v>520506</v>
      </c>
      <c r="N45" s="39">
        <v>23423</v>
      </c>
      <c r="O45" s="39">
        <v>562162</v>
      </c>
      <c r="Q45" s="39">
        <v>0</v>
      </c>
      <c r="R45" s="35">
        <v>45848</v>
      </c>
      <c r="T45" t="s">
        <v>1077</v>
      </c>
      <c r="U45" t="s">
        <v>126</v>
      </c>
      <c r="V45" t="s">
        <v>139</v>
      </c>
      <c r="W45">
        <v>20380</v>
      </c>
      <c r="X45" t="s">
        <v>645</v>
      </c>
      <c r="Y45" t="s">
        <v>943</v>
      </c>
      <c r="Z45" t="s">
        <v>374</v>
      </c>
      <c r="AA45" t="s">
        <v>140</v>
      </c>
      <c r="AB45" t="s">
        <v>141</v>
      </c>
      <c r="AC45">
        <v>11611</v>
      </c>
      <c r="AD45">
        <v>11612</v>
      </c>
      <c r="AE45">
        <v>101</v>
      </c>
      <c r="AF45">
        <v>1</v>
      </c>
    </row>
    <row r="46" spans="1:32">
      <c r="A46">
        <v>1</v>
      </c>
      <c r="B46">
        <v>43</v>
      </c>
      <c r="C46" t="s">
        <v>431</v>
      </c>
      <c r="D46" t="s">
        <v>623</v>
      </c>
      <c r="E46" t="s">
        <v>552</v>
      </c>
      <c r="F46">
        <v>12</v>
      </c>
      <c r="G46" t="s">
        <v>636</v>
      </c>
      <c r="H46" t="s">
        <v>919</v>
      </c>
      <c r="I46" t="s">
        <v>920</v>
      </c>
      <c r="J46" t="s">
        <v>707</v>
      </c>
      <c r="K46" t="s">
        <v>824</v>
      </c>
      <c r="L46" s="39">
        <v>39204.774774774771</v>
      </c>
      <c r="M46" s="39">
        <v>470457</v>
      </c>
      <c r="N46" s="39">
        <v>42342</v>
      </c>
      <c r="O46" s="39">
        <v>508108</v>
      </c>
      <c r="Q46" s="39">
        <v>0</v>
      </c>
      <c r="R46" s="35">
        <v>45848</v>
      </c>
      <c r="T46" t="s">
        <v>1077</v>
      </c>
      <c r="U46" t="s">
        <v>126</v>
      </c>
      <c r="V46" t="s">
        <v>139</v>
      </c>
      <c r="W46">
        <v>20725</v>
      </c>
      <c r="X46" t="s">
        <v>644</v>
      </c>
      <c r="Y46" t="s">
        <v>943</v>
      </c>
      <c r="Z46" t="s">
        <v>374</v>
      </c>
      <c r="AA46" t="s">
        <v>140</v>
      </c>
      <c r="AB46" t="s">
        <v>141</v>
      </c>
      <c r="AC46">
        <v>11611</v>
      </c>
      <c r="AD46">
        <v>11612</v>
      </c>
      <c r="AE46">
        <v>101</v>
      </c>
      <c r="AF46">
        <v>1</v>
      </c>
    </row>
    <row r="47" spans="1:32">
      <c r="A47">
        <v>1</v>
      </c>
      <c r="B47">
        <v>44</v>
      </c>
      <c r="C47" t="s">
        <v>430</v>
      </c>
      <c r="D47" t="s">
        <v>626</v>
      </c>
      <c r="E47" t="s">
        <v>551</v>
      </c>
      <c r="F47">
        <v>48</v>
      </c>
      <c r="G47" t="s">
        <v>661</v>
      </c>
      <c r="H47" t="s">
        <v>919</v>
      </c>
      <c r="I47" t="s">
        <v>920</v>
      </c>
      <c r="J47" t="s">
        <v>708</v>
      </c>
      <c r="K47" t="s">
        <v>825</v>
      </c>
      <c r="L47" s="39">
        <v>3336.5765765765759</v>
      </c>
      <c r="M47" s="39">
        <v>160156</v>
      </c>
      <c r="N47" s="39">
        <v>3604</v>
      </c>
      <c r="O47" s="39">
        <v>172973</v>
      </c>
      <c r="Q47" s="39">
        <v>0</v>
      </c>
      <c r="R47" s="35">
        <v>45848</v>
      </c>
      <c r="T47" t="s">
        <v>1077</v>
      </c>
      <c r="U47" t="s">
        <v>126</v>
      </c>
      <c r="V47" t="s">
        <v>139</v>
      </c>
      <c r="W47">
        <v>20085</v>
      </c>
      <c r="X47" t="s">
        <v>656</v>
      </c>
      <c r="Y47" t="s">
        <v>943</v>
      </c>
      <c r="Z47" t="s">
        <v>374</v>
      </c>
      <c r="AA47" t="s">
        <v>140</v>
      </c>
      <c r="AB47" t="s">
        <v>141</v>
      </c>
      <c r="AC47">
        <v>11611</v>
      </c>
      <c r="AD47">
        <v>11612</v>
      </c>
      <c r="AE47">
        <v>101</v>
      </c>
      <c r="AF47">
        <v>1</v>
      </c>
    </row>
    <row r="48" spans="1:32">
      <c r="A48">
        <v>1</v>
      </c>
      <c r="B48">
        <v>45</v>
      </c>
      <c r="C48" t="s">
        <v>422</v>
      </c>
      <c r="D48" t="s">
        <v>623</v>
      </c>
      <c r="E48" t="s">
        <v>543</v>
      </c>
      <c r="F48">
        <v>24</v>
      </c>
      <c r="G48" t="s">
        <v>636</v>
      </c>
      <c r="H48" t="s">
        <v>919</v>
      </c>
      <c r="I48" t="s">
        <v>920</v>
      </c>
      <c r="J48" t="s">
        <v>709</v>
      </c>
      <c r="K48" t="s">
        <v>826</v>
      </c>
      <c r="L48" s="39">
        <v>21687.747747747744</v>
      </c>
      <c r="M48" s="39">
        <v>520506</v>
      </c>
      <c r="N48" s="39">
        <v>23423</v>
      </c>
      <c r="O48" s="39">
        <v>562162</v>
      </c>
      <c r="Q48" s="39">
        <v>0</v>
      </c>
      <c r="R48" s="35">
        <v>45848</v>
      </c>
      <c r="T48" t="s">
        <v>1077</v>
      </c>
      <c r="U48" t="s">
        <v>126</v>
      </c>
      <c r="V48" t="s">
        <v>139</v>
      </c>
      <c r="W48">
        <v>20380</v>
      </c>
      <c r="X48" t="s">
        <v>645</v>
      </c>
      <c r="Y48" t="s">
        <v>943</v>
      </c>
      <c r="Z48" t="s">
        <v>374</v>
      </c>
      <c r="AA48" t="s">
        <v>140</v>
      </c>
      <c r="AB48" t="s">
        <v>141</v>
      </c>
      <c r="AC48">
        <v>11611</v>
      </c>
      <c r="AD48">
        <v>11612</v>
      </c>
      <c r="AE48">
        <v>101</v>
      </c>
      <c r="AF48">
        <v>1</v>
      </c>
    </row>
    <row r="49" spans="1:32">
      <c r="A49">
        <v>1</v>
      </c>
      <c r="B49">
        <v>46</v>
      </c>
      <c r="C49" t="s">
        <v>421</v>
      </c>
      <c r="D49" t="s">
        <v>623</v>
      </c>
      <c r="E49" t="s">
        <v>542</v>
      </c>
      <c r="F49">
        <v>12</v>
      </c>
      <c r="G49" t="s">
        <v>636</v>
      </c>
      <c r="H49" t="s">
        <v>919</v>
      </c>
      <c r="I49" t="s">
        <v>920</v>
      </c>
      <c r="J49" t="s">
        <v>710</v>
      </c>
      <c r="K49" t="s">
        <v>827</v>
      </c>
      <c r="L49" s="39">
        <v>39204.774774774771</v>
      </c>
      <c r="M49" s="39">
        <v>470457</v>
      </c>
      <c r="N49" s="39">
        <v>42342</v>
      </c>
      <c r="O49" s="39">
        <v>508108</v>
      </c>
      <c r="Q49" s="39">
        <v>0</v>
      </c>
      <c r="R49" s="35">
        <v>45848</v>
      </c>
      <c r="T49" t="s">
        <v>1077</v>
      </c>
      <c r="U49" t="s">
        <v>126</v>
      </c>
      <c r="V49" t="s">
        <v>139</v>
      </c>
      <c r="W49">
        <v>20725</v>
      </c>
      <c r="X49" t="s">
        <v>644</v>
      </c>
      <c r="Y49" t="s">
        <v>943</v>
      </c>
      <c r="Z49" t="s">
        <v>374</v>
      </c>
      <c r="AA49" t="s">
        <v>140</v>
      </c>
      <c r="AB49" t="s">
        <v>141</v>
      </c>
      <c r="AC49">
        <v>11611</v>
      </c>
      <c r="AD49">
        <v>11612</v>
      </c>
      <c r="AE49">
        <v>101</v>
      </c>
      <c r="AF49">
        <v>1</v>
      </c>
    </row>
    <row r="50" spans="1:32">
      <c r="A50">
        <v>1</v>
      </c>
      <c r="B50">
        <v>47</v>
      </c>
      <c r="C50" t="s">
        <v>962</v>
      </c>
      <c r="D50" t="s">
        <v>623</v>
      </c>
      <c r="E50" t="s">
        <v>956</v>
      </c>
      <c r="F50">
        <v>12</v>
      </c>
      <c r="G50" t="s">
        <v>636</v>
      </c>
      <c r="H50" t="s">
        <v>919</v>
      </c>
      <c r="I50" t="s">
        <v>920</v>
      </c>
      <c r="J50" t="s">
        <v>1013</v>
      </c>
      <c r="K50" t="s">
        <v>1043</v>
      </c>
      <c r="L50" s="39">
        <v>43375.495495495488</v>
      </c>
      <c r="M50" s="39">
        <v>520506</v>
      </c>
      <c r="N50" s="39">
        <v>46847</v>
      </c>
      <c r="O50" s="39">
        <v>562162</v>
      </c>
      <c r="Q50" s="39">
        <v>0</v>
      </c>
      <c r="R50" s="35">
        <v>45864</v>
      </c>
      <c r="T50" t="s">
        <v>1077</v>
      </c>
      <c r="U50" t="s">
        <v>126</v>
      </c>
      <c r="V50" t="s">
        <v>139</v>
      </c>
      <c r="W50">
        <v>20400</v>
      </c>
      <c r="X50" t="s">
        <v>635</v>
      </c>
      <c r="Y50" t="s">
        <v>943</v>
      </c>
      <c r="Z50" t="s">
        <v>374</v>
      </c>
      <c r="AA50" t="s">
        <v>140</v>
      </c>
      <c r="AB50" t="s">
        <v>141</v>
      </c>
      <c r="AC50">
        <v>11611</v>
      </c>
      <c r="AD50">
        <v>11612</v>
      </c>
      <c r="AE50">
        <v>101</v>
      </c>
      <c r="AF50">
        <v>1</v>
      </c>
    </row>
    <row r="51" spans="1:32">
      <c r="A51">
        <v>1</v>
      </c>
      <c r="B51">
        <v>49</v>
      </c>
      <c r="C51" t="s">
        <v>420</v>
      </c>
      <c r="D51" t="s">
        <v>626</v>
      </c>
      <c r="E51" t="s">
        <v>541</v>
      </c>
      <c r="F51">
        <v>48</v>
      </c>
      <c r="G51" t="s">
        <v>661</v>
      </c>
      <c r="H51" t="s">
        <v>919</v>
      </c>
      <c r="I51" t="s">
        <v>920</v>
      </c>
      <c r="J51" t="s">
        <v>711</v>
      </c>
      <c r="K51" t="s">
        <v>828</v>
      </c>
      <c r="L51" s="39">
        <v>3336.5765765765759</v>
      </c>
      <c r="M51" s="39">
        <v>160156</v>
      </c>
      <c r="N51" s="39">
        <v>3604</v>
      </c>
      <c r="O51" s="39">
        <v>172973</v>
      </c>
      <c r="Q51" s="39">
        <v>0</v>
      </c>
      <c r="R51" s="35">
        <v>45848</v>
      </c>
      <c r="T51" t="s">
        <v>1077</v>
      </c>
      <c r="U51" t="s">
        <v>126</v>
      </c>
      <c r="V51" t="s">
        <v>139</v>
      </c>
      <c r="W51">
        <v>20085</v>
      </c>
      <c r="X51" t="s">
        <v>656</v>
      </c>
      <c r="Y51" t="s">
        <v>943</v>
      </c>
      <c r="Z51" t="s">
        <v>374</v>
      </c>
      <c r="AA51" t="s">
        <v>140</v>
      </c>
      <c r="AB51" t="s">
        <v>141</v>
      </c>
      <c r="AC51">
        <v>11611</v>
      </c>
      <c r="AD51">
        <v>11612</v>
      </c>
      <c r="AE51">
        <v>101</v>
      </c>
      <c r="AF51">
        <v>1</v>
      </c>
    </row>
    <row r="52" spans="1:32">
      <c r="A52">
        <v>1</v>
      </c>
      <c r="B52">
        <v>50</v>
      </c>
      <c r="C52" t="s">
        <v>436</v>
      </c>
      <c r="D52" t="s">
        <v>623</v>
      </c>
      <c r="E52" t="s">
        <v>557</v>
      </c>
      <c r="F52">
        <v>24</v>
      </c>
      <c r="G52" t="s">
        <v>636</v>
      </c>
      <c r="H52" t="s">
        <v>919</v>
      </c>
      <c r="I52" t="s">
        <v>920</v>
      </c>
      <c r="J52" t="s">
        <v>712</v>
      </c>
      <c r="K52" t="s">
        <v>829</v>
      </c>
      <c r="L52" s="39">
        <v>21687.747747747744</v>
      </c>
      <c r="M52" s="39">
        <v>520506</v>
      </c>
      <c r="N52" s="39">
        <v>23423</v>
      </c>
      <c r="O52" s="39">
        <v>562162</v>
      </c>
      <c r="Q52" s="39">
        <v>0</v>
      </c>
      <c r="R52" s="35">
        <v>45848</v>
      </c>
      <c r="T52" t="s">
        <v>1077</v>
      </c>
      <c r="U52" t="s">
        <v>126</v>
      </c>
      <c r="V52" t="s">
        <v>139</v>
      </c>
      <c r="W52">
        <v>20380</v>
      </c>
      <c r="X52" t="s">
        <v>645</v>
      </c>
      <c r="Y52" t="s">
        <v>943</v>
      </c>
      <c r="Z52" t="s">
        <v>374</v>
      </c>
      <c r="AA52" t="s">
        <v>140</v>
      </c>
      <c r="AB52" t="s">
        <v>141</v>
      </c>
      <c r="AC52">
        <v>11611</v>
      </c>
      <c r="AD52">
        <v>11612</v>
      </c>
      <c r="AE52">
        <v>101</v>
      </c>
      <c r="AF52">
        <v>1</v>
      </c>
    </row>
    <row r="53" spans="1:32">
      <c r="A53">
        <v>1</v>
      </c>
      <c r="B53">
        <v>51</v>
      </c>
      <c r="C53" t="s">
        <v>441</v>
      </c>
      <c r="D53" t="s">
        <v>623</v>
      </c>
      <c r="E53" t="s">
        <v>562</v>
      </c>
      <c r="F53">
        <v>24</v>
      </c>
      <c r="G53" t="s">
        <v>636</v>
      </c>
      <c r="H53" t="s">
        <v>919</v>
      </c>
      <c r="I53" t="s">
        <v>920</v>
      </c>
      <c r="J53" t="s">
        <v>713</v>
      </c>
      <c r="K53" t="s">
        <v>830</v>
      </c>
      <c r="L53" s="39">
        <v>21687.747747747744</v>
      </c>
      <c r="M53" s="39">
        <v>520506</v>
      </c>
      <c r="N53" s="39">
        <v>23423</v>
      </c>
      <c r="O53" s="39">
        <v>562162</v>
      </c>
      <c r="Q53" s="39">
        <v>0</v>
      </c>
      <c r="R53" s="35">
        <v>45848</v>
      </c>
      <c r="T53" t="s">
        <v>1077</v>
      </c>
      <c r="U53" t="s">
        <v>126</v>
      </c>
      <c r="V53" t="s">
        <v>139</v>
      </c>
      <c r="W53">
        <v>20380</v>
      </c>
      <c r="X53" t="s">
        <v>645</v>
      </c>
      <c r="Y53" t="s">
        <v>943</v>
      </c>
      <c r="Z53" t="s">
        <v>374</v>
      </c>
      <c r="AA53" t="s">
        <v>140</v>
      </c>
      <c r="AB53" t="s">
        <v>141</v>
      </c>
      <c r="AC53">
        <v>11611</v>
      </c>
      <c r="AD53">
        <v>11612</v>
      </c>
      <c r="AE53">
        <v>101</v>
      </c>
      <c r="AF53">
        <v>1</v>
      </c>
    </row>
    <row r="54" spans="1:32">
      <c r="A54">
        <v>1</v>
      </c>
      <c r="B54">
        <v>52</v>
      </c>
      <c r="C54" t="s">
        <v>440</v>
      </c>
      <c r="D54" t="s">
        <v>623</v>
      </c>
      <c r="E54" t="s">
        <v>561</v>
      </c>
      <c r="F54">
        <v>12</v>
      </c>
      <c r="G54" t="s">
        <v>636</v>
      </c>
      <c r="H54" t="s">
        <v>919</v>
      </c>
      <c r="I54" t="s">
        <v>920</v>
      </c>
      <c r="J54" t="s">
        <v>714</v>
      </c>
      <c r="K54" t="s">
        <v>831</v>
      </c>
      <c r="L54" s="39">
        <v>39204.774774774771</v>
      </c>
      <c r="M54" s="39">
        <v>470457</v>
      </c>
      <c r="N54" s="39">
        <v>42342</v>
      </c>
      <c r="O54" s="39">
        <v>508108</v>
      </c>
      <c r="Q54" s="39">
        <v>0</v>
      </c>
      <c r="R54" s="35">
        <v>45848</v>
      </c>
      <c r="T54" t="s">
        <v>1077</v>
      </c>
      <c r="U54" t="s">
        <v>126</v>
      </c>
      <c r="V54" t="s">
        <v>139</v>
      </c>
      <c r="W54">
        <v>20725</v>
      </c>
      <c r="X54" t="s">
        <v>644</v>
      </c>
      <c r="Y54" t="s">
        <v>943</v>
      </c>
      <c r="Z54" t="s">
        <v>374</v>
      </c>
      <c r="AA54" t="s">
        <v>140</v>
      </c>
      <c r="AB54" t="s">
        <v>141</v>
      </c>
      <c r="AC54">
        <v>11611</v>
      </c>
      <c r="AD54">
        <v>11612</v>
      </c>
      <c r="AE54">
        <v>101</v>
      </c>
      <c r="AF54">
        <v>1</v>
      </c>
    </row>
    <row r="55" spans="1:32">
      <c r="A55">
        <v>1</v>
      </c>
      <c r="B55">
        <v>53</v>
      </c>
      <c r="C55" t="s">
        <v>977</v>
      </c>
      <c r="D55" t="s">
        <v>623</v>
      </c>
      <c r="E55" t="s">
        <v>983</v>
      </c>
      <c r="F55">
        <v>24</v>
      </c>
      <c r="G55" t="s">
        <v>636</v>
      </c>
      <c r="H55" t="s">
        <v>919</v>
      </c>
      <c r="I55" t="s">
        <v>920</v>
      </c>
      <c r="J55" t="s">
        <v>1014</v>
      </c>
      <c r="K55" t="s">
        <v>1065</v>
      </c>
      <c r="L55" s="39">
        <v>21687.747747747744</v>
      </c>
      <c r="M55" s="39">
        <v>520506</v>
      </c>
      <c r="N55" s="39">
        <v>23423</v>
      </c>
      <c r="O55" s="39">
        <v>562162</v>
      </c>
      <c r="Q55" s="39">
        <v>0</v>
      </c>
      <c r="R55" s="35">
        <v>45909</v>
      </c>
      <c r="T55" t="s">
        <v>1077</v>
      </c>
      <c r="U55" t="s">
        <v>126</v>
      </c>
      <c r="V55" t="s">
        <v>139</v>
      </c>
      <c r="W55">
        <v>20420</v>
      </c>
      <c r="X55" t="s">
        <v>989</v>
      </c>
      <c r="AA55" t="s">
        <v>140</v>
      </c>
      <c r="AB55" t="s">
        <v>141</v>
      </c>
      <c r="AC55">
        <v>11611</v>
      </c>
      <c r="AD55">
        <v>11612</v>
      </c>
      <c r="AF55">
        <v>1</v>
      </c>
    </row>
    <row r="56" spans="1:32">
      <c r="A56">
        <v>1</v>
      </c>
      <c r="B56">
        <v>54</v>
      </c>
      <c r="C56" t="s">
        <v>978</v>
      </c>
      <c r="D56" t="s">
        <v>623</v>
      </c>
      <c r="E56" t="s">
        <v>984</v>
      </c>
      <c r="F56">
        <v>24</v>
      </c>
      <c r="G56" t="s">
        <v>636</v>
      </c>
      <c r="H56" t="s">
        <v>919</v>
      </c>
      <c r="I56" t="s">
        <v>920</v>
      </c>
      <c r="J56" t="s">
        <v>1015</v>
      </c>
      <c r="K56" t="s">
        <v>1066</v>
      </c>
      <c r="L56" s="39">
        <v>21687.747747747744</v>
      </c>
      <c r="M56" s="39">
        <v>520506</v>
      </c>
      <c r="N56" s="39">
        <v>23423</v>
      </c>
      <c r="O56" s="39">
        <v>562162</v>
      </c>
      <c r="Q56" s="39">
        <v>0</v>
      </c>
      <c r="R56" s="35">
        <v>45909</v>
      </c>
      <c r="T56" t="s">
        <v>1077</v>
      </c>
      <c r="U56" t="s">
        <v>126</v>
      </c>
      <c r="V56" t="s">
        <v>139</v>
      </c>
      <c r="W56">
        <v>20420</v>
      </c>
      <c r="X56" t="s">
        <v>989</v>
      </c>
      <c r="AA56" t="s">
        <v>140</v>
      </c>
      <c r="AB56" t="s">
        <v>141</v>
      </c>
      <c r="AC56">
        <v>11611</v>
      </c>
      <c r="AD56">
        <v>11612</v>
      </c>
      <c r="AF56">
        <v>1</v>
      </c>
    </row>
    <row r="57" spans="1:32">
      <c r="A57">
        <v>1</v>
      </c>
      <c r="B57">
        <v>55</v>
      </c>
      <c r="C57" t="s">
        <v>979</v>
      </c>
      <c r="D57" t="s">
        <v>623</v>
      </c>
      <c r="E57" t="s">
        <v>985</v>
      </c>
      <c r="F57">
        <v>24</v>
      </c>
      <c r="G57" t="s">
        <v>636</v>
      </c>
      <c r="H57" t="s">
        <v>919</v>
      </c>
      <c r="I57" t="s">
        <v>920</v>
      </c>
      <c r="J57" t="s">
        <v>1016</v>
      </c>
      <c r="K57" t="s">
        <v>1067</v>
      </c>
      <c r="L57" s="39">
        <v>21687.747747747744</v>
      </c>
      <c r="M57" s="39">
        <v>520506</v>
      </c>
      <c r="N57" s="39">
        <v>23423</v>
      </c>
      <c r="O57" s="39">
        <v>562162</v>
      </c>
      <c r="Q57" s="39">
        <v>0</v>
      </c>
      <c r="R57" s="35">
        <v>45909</v>
      </c>
      <c r="T57" t="s">
        <v>1077</v>
      </c>
      <c r="U57" t="s">
        <v>126</v>
      </c>
      <c r="V57" t="s">
        <v>139</v>
      </c>
      <c r="W57">
        <v>20420</v>
      </c>
      <c r="X57" t="s">
        <v>989</v>
      </c>
      <c r="AA57" t="s">
        <v>140</v>
      </c>
      <c r="AB57" t="s">
        <v>141</v>
      </c>
      <c r="AC57">
        <v>11611</v>
      </c>
      <c r="AD57">
        <v>11612</v>
      </c>
      <c r="AF57">
        <v>1</v>
      </c>
    </row>
    <row r="58" spans="1:32">
      <c r="A58">
        <v>1</v>
      </c>
      <c r="B58">
        <v>56</v>
      </c>
      <c r="C58" t="s">
        <v>980</v>
      </c>
      <c r="D58" t="s">
        <v>623</v>
      </c>
      <c r="E58" t="s">
        <v>986</v>
      </c>
      <c r="F58">
        <v>24</v>
      </c>
      <c r="G58" t="s">
        <v>636</v>
      </c>
      <c r="H58" t="s">
        <v>919</v>
      </c>
      <c r="I58" t="s">
        <v>920</v>
      </c>
      <c r="J58" t="s">
        <v>1017</v>
      </c>
      <c r="K58" t="s">
        <v>1068</v>
      </c>
      <c r="L58" s="39">
        <v>21687.747747747744</v>
      </c>
      <c r="M58" s="39">
        <v>520506</v>
      </c>
      <c r="N58" s="39">
        <v>23423</v>
      </c>
      <c r="O58" s="39">
        <v>562162</v>
      </c>
      <c r="Q58" s="39">
        <v>0</v>
      </c>
      <c r="R58" s="35">
        <v>45909</v>
      </c>
      <c r="T58" t="s">
        <v>1077</v>
      </c>
      <c r="U58" t="s">
        <v>126</v>
      </c>
      <c r="V58" t="s">
        <v>139</v>
      </c>
      <c r="W58">
        <v>20420</v>
      </c>
      <c r="X58" t="s">
        <v>989</v>
      </c>
      <c r="AA58" t="s">
        <v>140</v>
      </c>
      <c r="AB58" t="s">
        <v>141</v>
      </c>
      <c r="AC58">
        <v>11611</v>
      </c>
      <c r="AD58">
        <v>11612</v>
      </c>
      <c r="AF58">
        <v>1</v>
      </c>
    </row>
    <row r="59" spans="1:32">
      <c r="A59">
        <v>1</v>
      </c>
      <c r="B59">
        <v>57</v>
      </c>
      <c r="C59" t="s">
        <v>981</v>
      </c>
      <c r="D59" t="s">
        <v>623</v>
      </c>
      <c r="E59" t="s">
        <v>987</v>
      </c>
      <c r="F59">
        <v>24</v>
      </c>
      <c r="G59" t="s">
        <v>636</v>
      </c>
      <c r="H59" t="s">
        <v>919</v>
      </c>
      <c r="I59" t="s">
        <v>920</v>
      </c>
      <c r="J59" t="s">
        <v>1018</v>
      </c>
      <c r="K59" t="s">
        <v>1069</v>
      </c>
      <c r="L59" s="39">
        <v>21687.747747747744</v>
      </c>
      <c r="M59" s="39">
        <v>520506</v>
      </c>
      <c r="N59" s="39">
        <v>23423</v>
      </c>
      <c r="O59" s="39">
        <v>562162</v>
      </c>
      <c r="Q59" s="39">
        <v>0</v>
      </c>
      <c r="R59" s="35">
        <v>45909</v>
      </c>
      <c r="T59" t="s">
        <v>1077</v>
      </c>
      <c r="U59" t="s">
        <v>126</v>
      </c>
      <c r="V59" t="s">
        <v>139</v>
      </c>
      <c r="W59">
        <v>20420</v>
      </c>
      <c r="X59" t="s">
        <v>989</v>
      </c>
      <c r="AA59" t="s">
        <v>140</v>
      </c>
      <c r="AB59" t="s">
        <v>141</v>
      </c>
      <c r="AC59">
        <v>11611</v>
      </c>
      <c r="AD59">
        <v>11612</v>
      </c>
      <c r="AF59">
        <v>1</v>
      </c>
    </row>
    <row r="60" spans="1:32">
      <c r="A60">
        <v>1</v>
      </c>
      <c r="B60">
        <v>58</v>
      </c>
      <c r="C60" t="s">
        <v>982</v>
      </c>
      <c r="D60" t="s">
        <v>623</v>
      </c>
      <c r="E60" t="s">
        <v>988</v>
      </c>
      <c r="F60">
        <v>24</v>
      </c>
      <c r="G60" t="s">
        <v>636</v>
      </c>
      <c r="H60" t="s">
        <v>919</v>
      </c>
      <c r="I60" t="s">
        <v>920</v>
      </c>
      <c r="J60" t="s">
        <v>1019</v>
      </c>
      <c r="K60" t="s">
        <v>1070</v>
      </c>
      <c r="L60" s="39">
        <v>21687.747747747744</v>
      </c>
      <c r="M60" s="39">
        <v>520506</v>
      </c>
      <c r="N60" s="39">
        <v>23423</v>
      </c>
      <c r="O60" s="39">
        <v>562162</v>
      </c>
      <c r="Q60" s="39">
        <v>0</v>
      </c>
      <c r="R60" s="35">
        <v>45909</v>
      </c>
      <c r="T60" t="s">
        <v>1077</v>
      </c>
      <c r="U60" t="s">
        <v>126</v>
      </c>
      <c r="V60" t="s">
        <v>139</v>
      </c>
      <c r="W60">
        <v>20420</v>
      </c>
      <c r="X60" t="s">
        <v>989</v>
      </c>
      <c r="AA60" t="s">
        <v>140</v>
      </c>
      <c r="AB60" t="s">
        <v>141</v>
      </c>
      <c r="AC60">
        <v>11611</v>
      </c>
      <c r="AD60">
        <v>11612</v>
      </c>
      <c r="AF60">
        <v>1</v>
      </c>
    </row>
    <row r="61" spans="1:32">
      <c r="A61">
        <v>1</v>
      </c>
      <c r="B61">
        <v>163</v>
      </c>
      <c r="C61" t="s">
        <v>1085</v>
      </c>
      <c r="D61" t="s">
        <v>623</v>
      </c>
      <c r="E61" t="s">
        <v>1086</v>
      </c>
      <c r="F61">
        <v>6</v>
      </c>
      <c r="G61" t="s">
        <v>636</v>
      </c>
      <c r="H61" t="s">
        <v>919</v>
      </c>
      <c r="I61" t="s">
        <v>920</v>
      </c>
      <c r="J61" t="s">
        <v>1097</v>
      </c>
      <c r="K61" t="s">
        <v>1106</v>
      </c>
      <c r="M61" s="39">
        <v>0</v>
      </c>
      <c r="O61" s="39">
        <v>0</v>
      </c>
      <c r="Q61" s="39">
        <v>0</v>
      </c>
      <c r="R61" s="35"/>
      <c r="T61" t="s">
        <v>1077</v>
      </c>
      <c r="U61" t="s">
        <v>126</v>
      </c>
      <c r="V61" t="s">
        <v>139</v>
      </c>
      <c r="W61">
        <v>21500</v>
      </c>
      <c r="X61" t="s">
        <v>1087</v>
      </c>
      <c r="AA61" t="s">
        <v>140</v>
      </c>
      <c r="AB61" t="s">
        <v>141</v>
      </c>
      <c r="AC61">
        <v>11611</v>
      </c>
      <c r="AD61">
        <v>11612</v>
      </c>
      <c r="AF61">
        <v>1</v>
      </c>
    </row>
    <row r="62" spans="1:32">
      <c r="A62">
        <v>1</v>
      </c>
      <c r="B62">
        <v>59</v>
      </c>
      <c r="C62" t="s">
        <v>963</v>
      </c>
      <c r="D62" t="s">
        <v>623</v>
      </c>
      <c r="E62" t="s">
        <v>957</v>
      </c>
      <c r="F62">
        <v>24</v>
      </c>
      <c r="G62" t="s">
        <v>636</v>
      </c>
      <c r="H62" t="s">
        <v>919</v>
      </c>
      <c r="I62" t="s">
        <v>920</v>
      </c>
      <c r="J62" t="s">
        <v>1020</v>
      </c>
      <c r="K62" t="s">
        <v>1044</v>
      </c>
      <c r="L62" s="39">
        <v>21687.747747747744</v>
      </c>
      <c r="M62" s="39">
        <v>520506</v>
      </c>
      <c r="N62" s="39">
        <v>23423</v>
      </c>
      <c r="O62" s="39">
        <v>562162</v>
      </c>
      <c r="Q62" s="39">
        <v>0</v>
      </c>
      <c r="R62" s="35">
        <v>45864</v>
      </c>
      <c r="T62" t="s">
        <v>1077</v>
      </c>
      <c r="U62" t="s">
        <v>126</v>
      </c>
      <c r="V62" t="s">
        <v>139</v>
      </c>
      <c r="W62">
        <v>20400</v>
      </c>
      <c r="X62" t="s">
        <v>635</v>
      </c>
      <c r="AA62" t="s">
        <v>140</v>
      </c>
      <c r="AB62" t="s">
        <v>141</v>
      </c>
      <c r="AC62">
        <v>11611</v>
      </c>
      <c r="AD62">
        <v>11612</v>
      </c>
      <c r="AF62">
        <v>1</v>
      </c>
    </row>
    <row r="63" spans="1:32">
      <c r="A63">
        <v>1</v>
      </c>
      <c r="B63">
        <v>60</v>
      </c>
      <c r="C63" t="s">
        <v>484</v>
      </c>
      <c r="D63" t="s">
        <v>623</v>
      </c>
      <c r="E63" t="s">
        <v>605</v>
      </c>
      <c r="F63">
        <v>48</v>
      </c>
      <c r="G63" t="s">
        <v>647</v>
      </c>
      <c r="H63" t="s">
        <v>921</v>
      </c>
      <c r="I63" t="s">
        <v>922</v>
      </c>
      <c r="J63" t="s">
        <v>715</v>
      </c>
      <c r="K63" t="s">
        <v>832</v>
      </c>
      <c r="L63" s="39">
        <v>9175.5855855855862</v>
      </c>
      <c r="M63" s="39">
        <v>440428</v>
      </c>
      <c r="N63" s="39">
        <v>9910</v>
      </c>
      <c r="O63" s="39">
        <v>475676</v>
      </c>
      <c r="Q63" s="39">
        <v>0</v>
      </c>
      <c r="R63" s="35">
        <v>45848</v>
      </c>
      <c r="T63" t="s">
        <v>1077</v>
      </c>
      <c r="U63" t="s">
        <v>126</v>
      </c>
      <c r="V63" t="s">
        <v>139</v>
      </c>
      <c r="W63">
        <v>20100</v>
      </c>
      <c r="X63" t="s">
        <v>650</v>
      </c>
      <c r="Y63" t="s">
        <v>943</v>
      </c>
      <c r="Z63" t="s">
        <v>374</v>
      </c>
      <c r="AA63" t="s">
        <v>140</v>
      </c>
      <c r="AB63" t="s">
        <v>141</v>
      </c>
      <c r="AC63">
        <v>11611</v>
      </c>
      <c r="AD63">
        <v>11612</v>
      </c>
      <c r="AE63">
        <v>101</v>
      </c>
      <c r="AF63">
        <v>1</v>
      </c>
    </row>
    <row r="64" spans="1:32">
      <c r="A64">
        <v>1</v>
      </c>
      <c r="B64">
        <v>61</v>
      </c>
      <c r="C64" t="s">
        <v>485</v>
      </c>
      <c r="D64" t="s">
        <v>623</v>
      </c>
      <c r="E64" t="s">
        <v>606</v>
      </c>
      <c r="F64">
        <v>48</v>
      </c>
      <c r="G64" t="s">
        <v>647</v>
      </c>
      <c r="H64" t="s">
        <v>921</v>
      </c>
      <c r="I64" t="s">
        <v>922</v>
      </c>
      <c r="J64" t="s">
        <v>716</v>
      </c>
      <c r="K64" t="s">
        <v>833</v>
      </c>
      <c r="L64" s="39">
        <v>16682.882882882881</v>
      </c>
      <c r="M64" s="39">
        <v>800778</v>
      </c>
      <c r="N64" s="39">
        <v>18018</v>
      </c>
      <c r="O64" s="39">
        <v>864865</v>
      </c>
      <c r="Q64" s="39">
        <v>0</v>
      </c>
      <c r="R64" s="35">
        <v>45848</v>
      </c>
      <c r="T64" t="s">
        <v>1077</v>
      </c>
      <c r="U64" t="s">
        <v>126</v>
      </c>
      <c r="V64" t="s">
        <v>139</v>
      </c>
      <c r="W64">
        <v>20210</v>
      </c>
      <c r="X64" t="s">
        <v>651</v>
      </c>
      <c r="Y64" t="s">
        <v>943</v>
      </c>
      <c r="Z64" t="s">
        <v>374</v>
      </c>
      <c r="AA64" t="s">
        <v>140</v>
      </c>
      <c r="AB64" t="s">
        <v>141</v>
      </c>
      <c r="AC64">
        <v>11611</v>
      </c>
      <c r="AD64">
        <v>11612</v>
      </c>
      <c r="AE64">
        <v>101</v>
      </c>
      <c r="AF64">
        <v>1</v>
      </c>
    </row>
    <row r="65" spans="1:32">
      <c r="A65">
        <v>1</v>
      </c>
      <c r="B65">
        <v>62</v>
      </c>
      <c r="C65" t="s">
        <v>486</v>
      </c>
      <c r="D65" t="s">
        <v>623</v>
      </c>
      <c r="E65" t="s">
        <v>607</v>
      </c>
      <c r="F65">
        <v>48</v>
      </c>
      <c r="G65" t="s">
        <v>647</v>
      </c>
      <c r="H65" t="s">
        <v>921</v>
      </c>
      <c r="I65" t="s">
        <v>922</v>
      </c>
      <c r="J65" t="s">
        <v>717</v>
      </c>
      <c r="K65" t="s">
        <v>834</v>
      </c>
      <c r="L65" s="39">
        <v>9175.5855855855862</v>
      </c>
      <c r="M65" s="39">
        <v>440428</v>
      </c>
      <c r="N65" s="39">
        <v>9910</v>
      </c>
      <c r="O65" s="39">
        <v>475676</v>
      </c>
      <c r="Q65" s="39">
        <v>0</v>
      </c>
      <c r="R65" s="35">
        <v>45848</v>
      </c>
      <c r="T65" t="s">
        <v>1077</v>
      </c>
      <c r="U65" t="s">
        <v>126</v>
      </c>
      <c r="V65" t="s">
        <v>139</v>
      </c>
      <c r="W65">
        <v>20100</v>
      </c>
      <c r="X65" t="s">
        <v>650</v>
      </c>
      <c r="Y65" t="s">
        <v>943</v>
      </c>
      <c r="Z65" t="s">
        <v>374</v>
      </c>
      <c r="AA65" t="s">
        <v>140</v>
      </c>
      <c r="AB65" t="s">
        <v>141</v>
      </c>
      <c r="AC65">
        <v>11611</v>
      </c>
      <c r="AD65">
        <v>11612</v>
      </c>
      <c r="AE65">
        <v>101</v>
      </c>
      <c r="AF65">
        <v>1</v>
      </c>
    </row>
    <row r="66" spans="1:32">
      <c r="A66">
        <v>1</v>
      </c>
      <c r="B66">
        <v>63</v>
      </c>
      <c r="C66" t="s">
        <v>487</v>
      </c>
      <c r="D66" t="s">
        <v>623</v>
      </c>
      <c r="E66" t="s">
        <v>608</v>
      </c>
      <c r="F66">
        <v>48</v>
      </c>
      <c r="G66" t="s">
        <v>647</v>
      </c>
      <c r="H66" t="s">
        <v>921</v>
      </c>
      <c r="I66" t="s">
        <v>922</v>
      </c>
      <c r="J66" t="s">
        <v>718</v>
      </c>
      <c r="K66" t="s">
        <v>835</v>
      </c>
      <c r="L66" s="39">
        <v>16682.882882882881</v>
      </c>
      <c r="M66" s="39">
        <v>800778</v>
      </c>
      <c r="N66" s="39">
        <v>18018</v>
      </c>
      <c r="O66" s="39">
        <v>864865</v>
      </c>
      <c r="Q66" s="39">
        <v>0</v>
      </c>
      <c r="R66" s="35">
        <v>45848</v>
      </c>
      <c r="T66" t="s">
        <v>1077</v>
      </c>
      <c r="U66" t="s">
        <v>126</v>
      </c>
      <c r="V66" t="s">
        <v>139</v>
      </c>
      <c r="W66">
        <v>20210</v>
      </c>
      <c r="X66" t="s">
        <v>651</v>
      </c>
      <c r="Y66" t="s">
        <v>943</v>
      </c>
      <c r="Z66" t="s">
        <v>374</v>
      </c>
      <c r="AA66" t="s">
        <v>140</v>
      </c>
      <c r="AB66" t="s">
        <v>141</v>
      </c>
      <c r="AC66">
        <v>11611</v>
      </c>
      <c r="AD66">
        <v>11612</v>
      </c>
      <c r="AE66">
        <v>101</v>
      </c>
      <c r="AF66">
        <v>1</v>
      </c>
    </row>
    <row r="67" spans="1:32">
      <c r="A67">
        <v>1</v>
      </c>
      <c r="B67">
        <v>64</v>
      </c>
      <c r="C67" t="s">
        <v>482</v>
      </c>
      <c r="D67" t="s">
        <v>623</v>
      </c>
      <c r="E67" t="s">
        <v>603</v>
      </c>
      <c r="F67">
        <v>48</v>
      </c>
      <c r="G67" t="s">
        <v>647</v>
      </c>
      <c r="H67" t="s">
        <v>921</v>
      </c>
      <c r="I67" t="s">
        <v>922</v>
      </c>
      <c r="J67" t="s">
        <v>719</v>
      </c>
      <c r="K67" t="s">
        <v>836</v>
      </c>
      <c r="L67" s="39">
        <v>9175.5855855855862</v>
      </c>
      <c r="M67" s="39">
        <v>440428</v>
      </c>
      <c r="N67" s="39">
        <v>9910</v>
      </c>
      <c r="O67" s="39">
        <v>475676</v>
      </c>
      <c r="Q67" s="39">
        <v>0</v>
      </c>
      <c r="R67" s="35">
        <v>45848</v>
      </c>
      <c r="T67" t="s">
        <v>1077</v>
      </c>
      <c r="U67" t="s">
        <v>126</v>
      </c>
      <c r="V67" t="s">
        <v>139</v>
      </c>
      <c r="W67">
        <v>20100</v>
      </c>
      <c r="X67" t="s">
        <v>650</v>
      </c>
      <c r="Y67" t="s">
        <v>943</v>
      </c>
      <c r="Z67" t="s">
        <v>374</v>
      </c>
      <c r="AA67" t="s">
        <v>140</v>
      </c>
      <c r="AB67" t="s">
        <v>141</v>
      </c>
      <c r="AC67">
        <v>11611</v>
      </c>
      <c r="AD67">
        <v>11612</v>
      </c>
      <c r="AE67">
        <v>101</v>
      </c>
      <c r="AF67">
        <v>1</v>
      </c>
    </row>
    <row r="68" spans="1:32">
      <c r="A68">
        <v>1</v>
      </c>
      <c r="B68">
        <v>65</v>
      </c>
      <c r="C68" t="s">
        <v>483</v>
      </c>
      <c r="D68" t="s">
        <v>623</v>
      </c>
      <c r="E68" t="s">
        <v>604</v>
      </c>
      <c r="F68">
        <v>48</v>
      </c>
      <c r="G68" t="s">
        <v>647</v>
      </c>
      <c r="H68" t="s">
        <v>921</v>
      </c>
      <c r="I68" t="s">
        <v>922</v>
      </c>
      <c r="J68" t="s">
        <v>720</v>
      </c>
      <c r="K68" t="s">
        <v>837</v>
      </c>
      <c r="L68" s="39">
        <v>16682.882882882881</v>
      </c>
      <c r="M68" s="39">
        <v>800778</v>
      </c>
      <c r="N68" s="39">
        <v>18018</v>
      </c>
      <c r="O68" s="39">
        <v>864865</v>
      </c>
      <c r="Q68" s="39">
        <v>0</v>
      </c>
      <c r="R68" s="35">
        <v>45848</v>
      </c>
      <c r="T68" t="s">
        <v>1077</v>
      </c>
      <c r="U68" t="s">
        <v>126</v>
      </c>
      <c r="V68" t="s">
        <v>139</v>
      </c>
      <c r="W68">
        <v>20210</v>
      </c>
      <c r="X68" t="s">
        <v>651</v>
      </c>
      <c r="Y68" t="s">
        <v>943</v>
      </c>
      <c r="Z68" t="s">
        <v>374</v>
      </c>
      <c r="AA68" t="s">
        <v>140</v>
      </c>
      <c r="AB68" t="s">
        <v>141</v>
      </c>
      <c r="AC68">
        <v>11611</v>
      </c>
      <c r="AD68">
        <v>11612</v>
      </c>
      <c r="AE68">
        <v>101</v>
      </c>
      <c r="AF68">
        <v>1</v>
      </c>
    </row>
    <row r="69" spans="1:32">
      <c r="A69">
        <v>1</v>
      </c>
      <c r="B69">
        <v>66</v>
      </c>
      <c r="C69" t="s">
        <v>488</v>
      </c>
      <c r="D69" t="s">
        <v>623</v>
      </c>
      <c r="E69" t="s">
        <v>609</v>
      </c>
      <c r="F69">
        <v>48</v>
      </c>
      <c r="G69" t="s">
        <v>647</v>
      </c>
      <c r="H69" t="s">
        <v>921</v>
      </c>
      <c r="I69" t="s">
        <v>922</v>
      </c>
      <c r="J69" t="s">
        <v>721</v>
      </c>
      <c r="K69" t="s">
        <v>838</v>
      </c>
      <c r="L69" s="39">
        <v>9175.5855855855862</v>
      </c>
      <c r="M69" s="39">
        <v>440428</v>
      </c>
      <c r="N69" s="39">
        <v>9910</v>
      </c>
      <c r="O69" s="39">
        <v>475676</v>
      </c>
      <c r="Q69" s="39">
        <v>0</v>
      </c>
      <c r="R69" s="35">
        <v>45848</v>
      </c>
      <c r="T69" t="s">
        <v>1077</v>
      </c>
      <c r="U69" t="s">
        <v>126</v>
      </c>
      <c r="V69" t="s">
        <v>139</v>
      </c>
      <c r="W69">
        <v>20100</v>
      </c>
      <c r="X69" t="s">
        <v>650</v>
      </c>
      <c r="Y69" t="s">
        <v>943</v>
      </c>
      <c r="Z69" t="s">
        <v>374</v>
      </c>
      <c r="AA69" t="s">
        <v>140</v>
      </c>
      <c r="AB69" t="s">
        <v>141</v>
      </c>
      <c r="AC69">
        <v>11611</v>
      </c>
      <c r="AD69">
        <v>11612</v>
      </c>
      <c r="AE69">
        <v>101</v>
      </c>
      <c r="AF69">
        <v>1</v>
      </c>
    </row>
    <row r="70" spans="1:32">
      <c r="A70">
        <v>1</v>
      </c>
      <c r="B70">
        <v>67</v>
      </c>
      <c r="C70" t="s">
        <v>489</v>
      </c>
      <c r="D70" t="s">
        <v>623</v>
      </c>
      <c r="E70" t="s">
        <v>610</v>
      </c>
      <c r="F70">
        <v>48</v>
      </c>
      <c r="G70" t="s">
        <v>647</v>
      </c>
      <c r="H70" t="s">
        <v>921</v>
      </c>
      <c r="I70" t="s">
        <v>922</v>
      </c>
      <c r="J70" t="s">
        <v>722</v>
      </c>
      <c r="K70" t="s">
        <v>839</v>
      </c>
      <c r="L70" s="39">
        <v>16682.882882882881</v>
      </c>
      <c r="M70" s="39">
        <v>800778</v>
      </c>
      <c r="N70" s="39">
        <v>18018</v>
      </c>
      <c r="O70" s="39">
        <v>864865</v>
      </c>
      <c r="Q70" s="39">
        <v>0</v>
      </c>
      <c r="R70" s="35">
        <v>45848</v>
      </c>
      <c r="T70" t="s">
        <v>1077</v>
      </c>
      <c r="U70" t="s">
        <v>126</v>
      </c>
      <c r="V70" t="s">
        <v>139</v>
      </c>
      <c r="W70">
        <v>20210</v>
      </c>
      <c r="X70" t="s">
        <v>651</v>
      </c>
      <c r="Y70" t="s">
        <v>943</v>
      </c>
      <c r="Z70" t="s">
        <v>374</v>
      </c>
      <c r="AA70" t="s">
        <v>140</v>
      </c>
      <c r="AB70" t="s">
        <v>141</v>
      </c>
      <c r="AC70">
        <v>11611</v>
      </c>
      <c r="AD70">
        <v>11612</v>
      </c>
      <c r="AE70">
        <v>101</v>
      </c>
      <c r="AF70">
        <v>1</v>
      </c>
    </row>
    <row r="71" spans="1:32">
      <c r="A71">
        <v>1</v>
      </c>
      <c r="B71">
        <v>68</v>
      </c>
      <c r="C71" t="s">
        <v>467</v>
      </c>
      <c r="D71" t="s">
        <v>623</v>
      </c>
      <c r="E71" t="s">
        <v>588</v>
      </c>
      <c r="F71">
        <v>96</v>
      </c>
      <c r="G71" t="s">
        <v>660</v>
      </c>
      <c r="H71" t="s">
        <v>923</v>
      </c>
      <c r="I71" t="s">
        <v>924</v>
      </c>
      <c r="J71" t="s">
        <v>723</v>
      </c>
      <c r="K71" t="s">
        <v>840</v>
      </c>
      <c r="L71" s="39">
        <v>7340.468468468468</v>
      </c>
      <c r="M71" s="39">
        <v>704685</v>
      </c>
      <c r="N71" s="39">
        <v>7928</v>
      </c>
      <c r="O71" s="39">
        <v>761081</v>
      </c>
      <c r="Q71" s="39">
        <v>0</v>
      </c>
      <c r="R71" s="35">
        <v>45848</v>
      </c>
      <c r="T71" t="s">
        <v>1077</v>
      </c>
      <c r="U71" t="s">
        <v>126</v>
      </c>
      <c r="V71" t="s">
        <v>139</v>
      </c>
      <c r="W71">
        <v>10110</v>
      </c>
      <c r="X71" t="s">
        <v>648</v>
      </c>
      <c r="Y71" t="s">
        <v>943</v>
      </c>
      <c r="Z71" t="s">
        <v>374</v>
      </c>
      <c r="AA71" t="s">
        <v>140</v>
      </c>
      <c r="AB71" t="s">
        <v>141</v>
      </c>
      <c r="AC71">
        <v>11611</v>
      </c>
      <c r="AD71">
        <v>11612</v>
      </c>
      <c r="AE71">
        <v>101</v>
      </c>
      <c r="AF71">
        <v>1</v>
      </c>
    </row>
    <row r="72" spans="1:32">
      <c r="A72">
        <v>1</v>
      </c>
      <c r="B72">
        <v>69</v>
      </c>
      <c r="C72" t="s">
        <v>468</v>
      </c>
      <c r="D72" t="s">
        <v>623</v>
      </c>
      <c r="E72" t="s">
        <v>589</v>
      </c>
      <c r="F72">
        <v>48</v>
      </c>
      <c r="G72" t="s">
        <v>660</v>
      </c>
      <c r="H72" t="s">
        <v>923</v>
      </c>
      <c r="I72" t="s">
        <v>924</v>
      </c>
      <c r="J72" t="s">
        <v>724</v>
      </c>
      <c r="K72" t="s">
        <v>841</v>
      </c>
      <c r="L72" s="39">
        <v>11094.117117117115</v>
      </c>
      <c r="M72" s="39">
        <v>532518</v>
      </c>
      <c r="N72" s="39">
        <v>11982</v>
      </c>
      <c r="O72" s="39">
        <v>575135</v>
      </c>
      <c r="Q72" s="39">
        <v>0</v>
      </c>
      <c r="R72" s="35">
        <v>45848</v>
      </c>
      <c r="T72" t="s">
        <v>1077</v>
      </c>
      <c r="U72" t="s">
        <v>126</v>
      </c>
      <c r="V72" t="s">
        <v>139</v>
      </c>
      <c r="W72">
        <v>10200</v>
      </c>
      <c r="X72" t="s">
        <v>649</v>
      </c>
      <c r="Y72" t="s">
        <v>943</v>
      </c>
      <c r="Z72" t="s">
        <v>374</v>
      </c>
      <c r="AA72" t="s">
        <v>140</v>
      </c>
      <c r="AB72" t="s">
        <v>141</v>
      </c>
      <c r="AC72">
        <v>11611</v>
      </c>
      <c r="AD72">
        <v>11612</v>
      </c>
      <c r="AE72">
        <v>101</v>
      </c>
      <c r="AF72">
        <v>1</v>
      </c>
    </row>
    <row r="73" spans="1:32">
      <c r="A73">
        <v>1</v>
      </c>
      <c r="B73">
        <v>70</v>
      </c>
      <c r="C73" t="s">
        <v>475</v>
      </c>
      <c r="D73" t="s">
        <v>623</v>
      </c>
      <c r="E73" t="s">
        <v>596</v>
      </c>
      <c r="F73">
        <v>96</v>
      </c>
      <c r="G73" t="s">
        <v>660</v>
      </c>
      <c r="H73" t="s">
        <v>923</v>
      </c>
      <c r="I73" t="s">
        <v>924</v>
      </c>
      <c r="J73" t="s">
        <v>725</v>
      </c>
      <c r="K73" t="s">
        <v>842</v>
      </c>
      <c r="L73" s="39">
        <v>7340.468468468468</v>
      </c>
      <c r="M73" s="39">
        <v>704685</v>
      </c>
      <c r="N73" s="39">
        <v>7928</v>
      </c>
      <c r="O73" s="39">
        <v>761081</v>
      </c>
      <c r="Q73" s="39">
        <v>0</v>
      </c>
      <c r="R73" s="35">
        <v>45848</v>
      </c>
      <c r="T73" t="s">
        <v>1077</v>
      </c>
      <c r="U73" t="s">
        <v>126</v>
      </c>
      <c r="V73" t="s">
        <v>139</v>
      </c>
      <c r="W73">
        <v>10110</v>
      </c>
      <c r="X73" t="s">
        <v>648</v>
      </c>
      <c r="Y73" t="s">
        <v>943</v>
      </c>
      <c r="Z73" t="s">
        <v>374</v>
      </c>
      <c r="AA73" t="s">
        <v>140</v>
      </c>
      <c r="AB73" t="s">
        <v>141</v>
      </c>
      <c r="AC73">
        <v>11611</v>
      </c>
      <c r="AD73">
        <v>11612</v>
      </c>
      <c r="AE73">
        <v>101</v>
      </c>
      <c r="AF73">
        <v>1</v>
      </c>
    </row>
    <row r="74" spans="1:32">
      <c r="A74">
        <v>1</v>
      </c>
      <c r="B74">
        <v>71</v>
      </c>
      <c r="C74" t="s">
        <v>476</v>
      </c>
      <c r="D74" t="s">
        <v>623</v>
      </c>
      <c r="E74" t="s">
        <v>597</v>
      </c>
      <c r="F74">
        <v>48</v>
      </c>
      <c r="G74" t="s">
        <v>660</v>
      </c>
      <c r="H74" t="s">
        <v>923</v>
      </c>
      <c r="I74" t="s">
        <v>924</v>
      </c>
      <c r="J74" t="s">
        <v>726</v>
      </c>
      <c r="K74" t="s">
        <v>843</v>
      </c>
      <c r="L74" s="39">
        <v>11094.117117117115</v>
      </c>
      <c r="M74" s="39">
        <v>532518</v>
      </c>
      <c r="N74" s="39">
        <v>11982</v>
      </c>
      <c r="O74" s="39">
        <v>575135</v>
      </c>
      <c r="Q74" s="39">
        <v>0</v>
      </c>
      <c r="R74" s="35">
        <v>45848</v>
      </c>
      <c r="T74" t="s">
        <v>1077</v>
      </c>
      <c r="U74" t="s">
        <v>126</v>
      </c>
      <c r="V74" t="s">
        <v>139</v>
      </c>
      <c r="W74">
        <v>10200</v>
      </c>
      <c r="X74" t="s">
        <v>649</v>
      </c>
      <c r="Y74" t="s">
        <v>943</v>
      </c>
      <c r="Z74" t="s">
        <v>374</v>
      </c>
      <c r="AA74" t="s">
        <v>140</v>
      </c>
      <c r="AB74" t="s">
        <v>141</v>
      </c>
      <c r="AC74">
        <v>11611</v>
      </c>
      <c r="AD74">
        <v>11612</v>
      </c>
      <c r="AE74">
        <v>101</v>
      </c>
      <c r="AF74">
        <v>1</v>
      </c>
    </row>
    <row r="75" spans="1:32">
      <c r="A75">
        <v>1</v>
      </c>
      <c r="B75">
        <v>72</v>
      </c>
      <c r="C75" t="s">
        <v>469</v>
      </c>
      <c r="D75" t="s">
        <v>623</v>
      </c>
      <c r="E75" t="s">
        <v>590</v>
      </c>
      <c r="F75">
        <v>96</v>
      </c>
      <c r="G75" t="s">
        <v>660</v>
      </c>
      <c r="H75" t="s">
        <v>923</v>
      </c>
      <c r="I75" t="s">
        <v>924</v>
      </c>
      <c r="J75" t="s">
        <v>727</v>
      </c>
      <c r="K75" t="s">
        <v>844</v>
      </c>
      <c r="L75" s="39">
        <v>7340.468468468468</v>
      </c>
      <c r="M75" s="39">
        <v>704685</v>
      </c>
      <c r="N75" s="39">
        <v>7928</v>
      </c>
      <c r="O75" s="39">
        <v>761081</v>
      </c>
      <c r="Q75" s="39">
        <v>0</v>
      </c>
      <c r="R75" s="35">
        <v>45848</v>
      </c>
      <c r="T75" t="s">
        <v>1077</v>
      </c>
      <c r="U75" t="s">
        <v>126</v>
      </c>
      <c r="V75" t="s">
        <v>139</v>
      </c>
      <c r="W75">
        <v>10110</v>
      </c>
      <c r="X75" t="s">
        <v>648</v>
      </c>
      <c r="Y75" t="s">
        <v>943</v>
      </c>
      <c r="Z75" t="s">
        <v>374</v>
      </c>
      <c r="AA75" t="s">
        <v>140</v>
      </c>
      <c r="AB75" t="s">
        <v>141</v>
      </c>
      <c r="AC75">
        <v>11611</v>
      </c>
      <c r="AD75">
        <v>11612</v>
      </c>
      <c r="AE75">
        <v>101</v>
      </c>
      <c r="AF75">
        <v>1</v>
      </c>
    </row>
    <row r="76" spans="1:32">
      <c r="A76">
        <v>1</v>
      </c>
      <c r="B76">
        <v>73</v>
      </c>
      <c r="C76" t="s">
        <v>470</v>
      </c>
      <c r="D76" t="s">
        <v>623</v>
      </c>
      <c r="E76" t="s">
        <v>591</v>
      </c>
      <c r="F76">
        <v>48</v>
      </c>
      <c r="G76" t="s">
        <v>660</v>
      </c>
      <c r="H76" t="s">
        <v>923</v>
      </c>
      <c r="I76" t="s">
        <v>924</v>
      </c>
      <c r="J76" t="s">
        <v>728</v>
      </c>
      <c r="K76" t="s">
        <v>845</v>
      </c>
      <c r="L76" s="39">
        <v>11094.117117117115</v>
      </c>
      <c r="M76" s="39">
        <v>532518</v>
      </c>
      <c r="N76" s="39">
        <v>11982</v>
      </c>
      <c r="O76" s="39">
        <v>575135</v>
      </c>
      <c r="Q76" s="39">
        <v>0</v>
      </c>
      <c r="R76" s="35">
        <v>45848</v>
      </c>
      <c r="T76" t="s">
        <v>1077</v>
      </c>
      <c r="U76" t="s">
        <v>126</v>
      </c>
      <c r="V76" t="s">
        <v>139</v>
      </c>
      <c r="W76">
        <v>10200</v>
      </c>
      <c r="X76" t="s">
        <v>649</v>
      </c>
      <c r="Y76" t="s">
        <v>943</v>
      </c>
      <c r="Z76" t="s">
        <v>374</v>
      </c>
      <c r="AA76" t="s">
        <v>140</v>
      </c>
      <c r="AB76" t="s">
        <v>141</v>
      </c>
      <c r="AC76">
        <v>11611</v>
      </c>
      <c r="AD76">
        <v>11612</v>
      </c>
      <c r="AE76">
        <v>101</v>
      </c>
      <c r="AF76">
        <v>1</v>
      </c>
    </row>
    <row r="77" spans="1:32">
      <c r="A77">
        <v>1</v>
      </c>
      <c r="B77">
        <v>74</v>
      </c>
      <c r="C77" t="s">
        <v>465</v>
      </c>
      <c r="D77" t="s">
        <v>623</v>
      </c>
      <c r="E77" t="s">
        <v>586</v>
      </c>
      <c r="F77">
        <v>96</v>
      </c>
      <c r="G77" t="s">
        <v>660</v>
      </c>
      <c r="H77" t="s">
        <v>923</v>
      </c>
      <c r="I77" t="s">
        <v>924</v>
      </c>
      <c r="J77" t="s">
        <v>729</v>
      </c>
      <c r="K77" t="s">
        <v>846</v>
      </c>
      <c r="L77" s="39">
        <v>7340.468468468468</v>
      </c>
      <c r="M77" s="39">
        <v>704685</v>
      </c>
      <c r="N77" s="39">
        <v>7928</v>
      </c>
      <c r="O77" s="39">
        <v>761081</v>
      </c>
      <c r="Q77" s="39">
        <v>0</v>
      </c>
      <c r="R77" s="35">
        <v>45848</v>
      </c>
      <c r="T77" t="s">
        <v>1077</v>
      </c>
      <c r="U77" t="s">
        <v>126</v>
      </c>
      <c r="V77" t="s">
        <v>139</v>
      </c>
      <c r="W77">
        <v>10110</v>
      </c>
      <c r="X77" t="s">
        <v>648</v>
      </c>
      <c r="Y77" t="s">
        <v>943</v>
      </c>
      <c r="Z77" t="s">
        <v>374</v>
      </c>
      <c r="AA77" t="s">
        <v>140</v>
      </c>
      <c r="AB77" t="s">
        <v>141</v>
      </c>
      <c r="AC77">
        <v>11611</v>
      </c>
      <c r="AD77">
        <v>11612</v>
      </c>
      <c r="AE77">
        <v>101</v>
      </c>
      <c r="AF77">
        <v>1</v>
      </c>
    </row>
    <row r="78" spans="1:32">
      <c r="A78">
        <v>1</v>
      </c>
      <c r="B78">
        <v>75</v>
      </c>
      <c r="C78" t="s">
        <v>466</v>
      </c>
      <c r="D78" t="s">
        <v>623</v>
      </c>
      <c r="E78" t="s">
        <v>587</v>
      </c>
      <c r="F78">
        <v>48</v>
      </c>
      <c r="G78" t="s">
        <v>660</v>
      </c>
      <c r="H78" t="s">
        <v>923</v>
      </c>
      <c r="I78" t="s">
        <v>924</v>
      </c>
      <c r="J78" t="s">
        <v>730</v>
      </c>
      <c r="K78" t="s">
        <v>847</v>
      </c>
      <c r="L78" s="39">
        <v>11094.117117117115</v>
      </c>
      <c r="M78" s="39">
        <v>532518</v>
      </c>
      <c r="N78" s="39">
        <v>11982</v>
      </c>
      <c r="O78" s="39">
        <v>575135</v>
      </c>
      <c r="Q78" s="39">
        <v>0</v>
      </c>
      <c r="R78" s="35">
        <v>45848</v>
      </c>
      <c r="T78" t="s">
        <v>1077</v>
      </c>
      <c r="U78" t="s">
        <v>126</v>
      </c>
      <c r="V78" t="s">
        <v>139</v>
      </c>
      <c r="W78">
        <v>10200</v>
      </c>
      <c r="X78" t="s">
        <v>649</v>
      </c>
      <c r="Y78" t="s">
        <v>943</v>
      </c>
      <c r="Z78" t="s">
        <v>374</v>
      </c>
      <c r="AA78" t="s">
        <v>140</v>
      </c>
      <c r="AB78" t="s">
        <v>141</v>
      </c>
      <c r="AC78">
        <v>11611</v>
      </c>
      <c r="AD78">
        <v>11612</v>
      </c>
      <c r="AE78">
        <v>101</v>
      </c>
      <c r="AF78">
        <v>1</v>
      </c>
    </row>
    <row r="79" spans="1:32">
      <c r="A79">
        <v>1</v>
      </c>
      <c r="B79">
        <v>76</v>
      </c>
      <c r="C79" t="s">
        <v>471</v>
      </c>
      <c r="D79" t="s">
        <v>623</v>
      </c>
      <c r="E79" t="s">
        <v>592</v>
      </c>
      <c r="F79">
        <v>96</v>
      </c>
      <c r="G79" t="s">
        <v>660</v>
      </c>
      <c r="H79" t="s">
        <v>923</v>
      </c>
      <c r="I79" t="s">
        <v>924</v>
      </c>
      <c r="J79" t="s">
        <v>731</v>
      </c>
      <c r="K79" t="s">
        <v>848</v>
      </c>
      <c r="L79" s="39">
        <v>7340.468468468468</v>
      </c>
      <c r="M79" s="39">
        <v>704685</v>
      </c>
      <c r="N79" s="39">
        <v>7928</v>
      </c>
      <c r="O79" s="39">
        <v>761081</v>
      </c>
      <c r="Q79" s="39">
        <v>0</v>
      </c>
      <c r="R79" s="35">
        <v>45848</v>
      </c>
      <c r="T79" t="s">
        <v>1077</v>
      </c>
      <c r="U79" t="s">
        <v>126</v>
      </c>
      <c r="V79" t="s">
        <v>139</v>
      </c>
      <c r="W79">
        <v>10110</v>
      </c>
      <c r="X79" t="s">
        <v>648</v>
      </c>
      <c r="Y79" t="s">
        <v>943</v>
      </c>
      <c r="Z79" t="s">
        <v>374</v>
      </c>
      <c r="AA79" t="s">
        <v>140</v>
      </c>
      <c r="AB79" t="s">
        <v>141</v>
      </c>
      <c r="AC79">
        <v>11611</v>
      </c>
      <c r="AD79">
        <v>11612</v>
      </c>
      <c r="AE79">
        <v>101</v>
      </c>
      <c r="AF79">
        <v>1</v>
      </c>
    </row>
    <row r="80" spans="1:32">
      <c r="A80">
        <v>1</v>
      </c>
      <c r="B80">
        <v>77</v>
      </c>
      <c r="C80" t="s">
        <v>472</v>
      </c>
      <c r="D80" t="s">
        <v>623</v>
      </c>
      <c r="E80" t="s">
        <v>593</v>
      </c>
      <c r="F80">
        <v>48</v>
      </c>
      <c r="G80" t="s">
        <v>660</v>
      </c>
      <c r="H80" t="s">
        <v>923</v>
      </c>
      <c r="I80" t="s">
        <v>924</v>
      </c>
      <c r="J80" t="s">
        <v>732</v>
      </c>
      <c r="K80" t="s">
        <v>849</v>
      </c>
      <c r="L80" s="39">
        <v>11094.117117117115</v>
      </c>
      <c r="M80" s="39">
        <v>532518</v>
      </c>
      <c r="N80" s="39">
        <v>11982</v>
      </c>
      <c r="O80" s="39">
        <v>575135</v>
      </c>
      <c r="Q80" s="39">
        <v>0</v>
      </c>
      <c r="R80" s="35">
        <v>45848</v>
      </c>
      <c r="T80" t="s">
        <v>1077</v>
      </c>
      <c r="U80" t="s">
        <v>126</v>
      </c>
      <c r="V80" t="s">
        <v>139</v>
      </c>
      <c r="W80">
        <v>10200</v>
      </c>
      <c r="X80" t="s">
        <v>649</v>
      </c>
      <c r="Y80" t="s">
        <v>943</v>
      </c>
      <c r="Z80" t="s">
        <v>374</v>
      </c>
      <c r="AA80" t="s">
        <v>140</v>
      </c>
      <c r="AB80" t="s">
        <v>141</v>
      </c>
      <c r="AC80">
        <v>11611</v>
      </c>
      <c r="AD80">
        <v>11612</v>
      </c>
      <c r="AE80">
        <v>101</v>
      </c>
      <c r="AF80">
        <v>1</v>
      </c>
    </row>
    <row r="81" spans="1:32">
      <c r="A81">
        <v>1</v>
      </c>
      <c r="B81">
        <v>78</v>
      </c>
      <c r="C81" t="s">
        <v>473</v>
      </c>
      <c r="D81" t="s">
        <v>623</v>
      </c>
      <c r="E81" t="s">
        <v>594</v>
      </c>
      <c r="F81">
        <v>96</v>
      </c>
      <c r="G81" t="s">
        <v>660</v>
      </c>
      <c r="H81" t="s">
        <v>923</v>
      </c>
      <c r="I81" t="s">
        <v>924</v>
      </c>
      <c r="J81" t="s">
        <v>733</v>
      </c>
      <c r="K81" t="s">
        <v>850</v>
      </c>
      <c r="L81" s="39">
        <v>7340.468468468468</v>
      </c>
      <c r="M81" s="39">
        <v>704685</v>
      </c>
      <c r="N81" s="39">
        <v>7928</v>
      </c>
      <c r="O81" s="39">
        <v>761081</v>
      </c>
      <c r="Q81" s="39">
        <v>0</v>
      </c>
      <c r="R81" s="35">
        <v>45848</v>
      </c>
      <c r="T81" t="s">
        <v>1077</v>
      </c>
      <c r="U81" t="s">
        <v>126</v>
      </c>
      <c r="V81" t="s">
        <v>139</v>
      </c>
      <c r="W81">
        <v>10110</v>
      </c>
      <c r="X81" t="s">
        <v>648</v>
      </c>
      <c r="Y81" t="s">
        <v>943</v>
      </c>
      <c r="Z81" t="s">
        <v>374</v>
      </c>
      <c r="AA81" t="s">
        <v>140</v>
      </c>
      <c r="AB81" t="s">
        <v>141</v>
      </c>
      <c r="AC81">
        <v>11611</v>
      </c>
      <c r="AD81">
        <v>11612</v>
      </c>
      <c r="AE81">
        <v>101</v>
      </c>
      <c r="AF81">
        <v>1</v>
      </c>
    </row>
    <row r="82" spans="1:32">
      <c r="A82">
        <v>1</v>
      </c>
      <c r="B82">
        <v>79</v>
      </c>
      <c r="C82" t="s">
        <v>474</v>
      </c>
      <c r="D82" t="s">
        <v>623</v>
      </c>
      <c r="E82" t="s">
        <v>595</v>
      </c>
      <c r="F82">
        <v>48</v>
      </c>
      <c r="G82" t="s">
        <v>660</v>
      </c>
      <c r="H82" t="s">
        <v>923</v>
      </c>
      <c r="I82" t="s">
        <v>924</v>
      </c>
      <c r="J82" t="s">
        <v>734</v>
      </c>
      <c r="K82" t="s">
        <v>851</v>
      </c>
      <c r="L82" s="39">
        <v>11094.117117117115</v>
      </c>
      <c r="M82" s="39">
        <v>532518</v>
      </c>
      <c r="N82" s="39">
        <v>11982</v>
      </c>
      <c r="O82" s="39">
        <v>575135</v>
      </c>
      <c r="Q82" s="39">
        <v>0</v>
      </c>
      <c r="R82" s="35">
        <v>45848</v>
      </c>
      <c r="T82" t="s">
        <v>1077</v>
      </c>
      <c r="U82" t="s">
        <v>126</v>
      </c>
      <c r="V82" t="s">
        <v>139</v>
      </c>
      <c r="W82">
        <v>10200</v>
      </c>
      <c r="X82" t="s">
        <v>649</v>
      </c>
      <c r="Y82" t="s">
        <v>943</v>
      </c>
      <c r="Z82" t="s">
        <v>374</v>
      </c>
      <c r="AA82" t="s">
        <v>140</v>
      </c>
      <c r="AB82" t="s">
        <v>141</v>
      </c>
      <c r="AC82">
        <v>11611</v>
      </c>
      <c r="AD82">
        <v>11612</v>
      </c>
      <c r="AE82">
        <v>101</v>
      </c>
      <c r="AF82">
        <v>1</v>
      </c>
    </row>
    <row r="83" spans="1:32">
      <c r="A83">
        <v>1</v>
      </c>
      <c r="B83">
        <v>80</v>
      </c>
      <c r="C83" t="s">
        <v>997</v>
      </c>
      <c r="D83" t="s">
        <v>623</v>
      </c>
      <c r="E83" t="s">
        <v>1000</v>
      </c>
      <c r="F83">
        <v>48</v>
      </c>
      <c r="G83" t="s">
        <v>660</v>
      </c>
      <c r="H83" t="s">
        <v>923</v>
      </c>
      <c r="I83" t="s">
        <v>924</v>
      </c>
      <c r="J83" t="s">
        <v>1021</v>
      </c>
      <c r="K83" t="s">
        <v>1045</v>
      </c>
      <c r="L83" s="39">
        <v>11094.117117117115</v>
      </c>
      <c r="M83" s="39">
        <v>532518</v>
      </c>
      <c r="N83" s="39">
        <v>11982</v>
      </c>
      <c r="O83" s="39">
        <v>575135</v>
      </c>
      <c r="Q83" s="39">
        <v>0</v>
      </c>
      <c r="R83" s="35">
        <v>45936</v>
      </c>
      <c r="T83" t="s">
        <v>1077</v>
      </c>
      <c r="U83" t="s">
        <v>126</v>
      </c>
      <c r="V83" t="s">
        <v>139</v>
      </c>
      <c r="W83">
        <v>20200</v>
      </c>
      <c r="X83" t="s">
        <v>649</v>
      </c>
      <c r="Y83" t="s">
        <v>943</v>
      </c>
      <c r="AA83" t="s">
        <v>140</v>
      </c>
      <c r="AB83" t="s">
        <v>141</v>
      </c>
      <c r="AC83">
        <v>11611</v>
      </c>
      <c r="AD83">
        <v>11612</v>
      </c>
      <c r="AE83">
        <v>101</v>
      </c>
      <c r="AF83">
        <v>1</v>
      </c>
    </row>
    <row r="84" spans="1:32">
      <c r="A84">
        <v>1</v>
      </c>
      <c r="B84">
        <v>81</v>
      </c>
      <c r="C84" t="s">
        <v>996</v>
      </c>
      <c r="D84" t="s">
        <v>623</v>
      </c>
      <c r="E84" t="s">
        <v>999</v>
      </c>
      <c r="F84">
        <v>48</v>
      </c>
      <c r="G84" t="s">
        <v>660</v>
      </c>
      <c r="H84" t="s">
        <v>923</v>
      </c>
      <c r="I84" t="s">
        <v>924</v>
      </c>
      <c r="J84" t="s">
        <v>1022</v>
      </c>
      <c r="K84" t="s">
        <v>1046</v>
      </c>
      <c r="L84" s="39">
        <v>11094.117117117115</v>
      </c>
      <c r="M84" s="39">
        <v>532518</v>
      </c>
      <c r="N84" s="39">
        <v>11982</v>
      </c>
      <c r="O84" s="39">
        <v>575135</v>
      </c>
      <c r="Q84" s="39">
        <v>0</v>
      </c>
      <c r="R84" s="35">
        <v>45936</v>
      </c>
      <c r="T84" t="s">
        <v>1077</v>
      </c>
      <c r="U84" t="s">
        <v>126</v>
      </c>
      <c r="V84" t="s">
        <v>139</v>
      </c>
      <c r="W84">
        <v>20200</v>
      </c>
      <c r="X84" t="s">
        <v>649</v>
      </c>
      <c r="Y84" t="s">
        <v>943</v>
      </c>
      <c r="AA84" t="s">
        <v>140</v>
      </c>
      <c r="AB84" t="s">
        <v>141</v>
      </c>
      <c r="AC84">
        <v>11611</v>
      </c>
      <c r="AD84">
        <v>11612</v>
      </c>
      <c r="AE84">
        <v>101</v>
      </c>
      <c r="AF84">
        <v>1</v>
      </c>
    </row>
    <row r="85" spans="1:32">
      <c r="A85">
        <v>1</v>
      </c>
      <c r="B85">
        <v>82</v>
      </c>
      <c r="C85" t="s">
        <v>998</v>
      </c>
      <c r="D85" t="s">
        <v>623</v>
      </c>
      <c r="E85" t="s">
        <v>999</v>
      </c>
      <c r="F85">
        <v>48</v>
      </c>
      <c r="G85" t="s">
        <v>660</v>
      </c>
      <c r="H85" t="s">
        <v>923</v>
      </c>
      <c r="I85" t="s">
        <v>924</v>
      </c>
      <c r="J85" t="s">
        <v>1023</v>
      </c>
      <c r="K85" t="s">
        <v>1047</v>
      </c>
      <c r="L85" s="39">
        <v>11094.117117117115</v>
      </c>
      <c r="M85" s="39">
        <v>532518</v>
      </c>
      <c r="N85" s="39">
        <v>11982</v>
      </c>
      <c r="O85" s="39">
        <v>575135</v>
      </c>
      <c r="Q85" s="39">
        <v>0</v>
      </c>
      <c r="R85" s="35">
        <v>45936</v>
      </c>
      <c r="T85" t="s">
        <v>1077</v>
      </c>
      <c r="U85" t="s">
        <v>126</v>
      </c>
      <c r="V85" t="s">
        <v>139</v>
      </c>
      <c r="W85">
        <v>20200</v>
      </c>
      <c r="X85" t="s">
        <v>649</v>
      </c>
      <c r="Y85" t="s">
        <v>943</v>
      </c>
      <c r="AA85" t="s">
        <v>140</v>
      </c>
      <c r="AB85" t="s">
        <v>141</v>
      </c>
      <c r="AC85">
        <v>11611</v>
      </c>
      <c r="AD85">
        <v>11612</v>
      </c>
      <c r="AE85">
        <v>101</v>
      </c>
      <c r="AF85">
        <v>1</v>
      </c>
    </row>
    <row r="86" spans="1:32">
      <c r="A86">
        <v>1</v>
      </c>
      <c r="B86">
        <v>83</v>
      </c>
      <c r="C86" t="s">
        <v>1006</v>
      </c>
      <c r="D86" t="s">
        <v>623</v>
      </c>
      <c r="E86" t="s">
        <v>1007</v>
      </c>
      <c r="F86">
        <v>48</v>
      </c>
      <c r="G86" t="s">
        <v>660</v>
      </c>
      <c r="H86" t="s">
        <v>923</v>
      </c>
      <c r="I86" t="s">
        <v>924</v>
      </c>
      <c r="J86" t="s">
        <v>1024</v>
      </c>
      <c r="K86" t="s">
        <v>1071</v>
      </c>
      <c r="L86" s="39">
        <v>11094.117117117117</v>
      </c>
      <c r="M86" s="39">
        <v>532518</v>
      </c>
      <c r="N86" s="39">
        <v>11982</v>
      </c>
      <c r="O86" s="39">
        <v>575135</v>
      </c>
      <c r="Q86" s="39">
        <v>0</v>
      </c>
      <c r="R86" s="35"/>
      <c r="T86" t="s">
        <v>1077</v>
      </c>
      <c r="U86" t="s">
        <v>126</v>
      </c>
      <c r="V86" t="s">
        <v>139</v>
      </c>
      <c r="W86">
        <v>10200</v>
      </c>
      <c r="X86" t="s">
        <v>649</v>
      </c>
      <c r="AA86" t="s">
        <v>140</v>
      </c>
      <c r="AB86" t="s">
        <v>141</v>
      </c>
      <c r="AC86">
        <v>11611</v>
      </c>
      <c r="AD86">
        <v>11612</v>
      </c>
      <c r="AF86">
        <v>1</v>
      </c>
    </row>
    <row r="87" spans="1:32">
      <c r="A87">
        <v>1</v>
      </c>
      <c r="B87">
        <v>84</v>
      </c>
      <c r="C87">
        <v>161702000</v>
      </c>
      <c r="D87" t="s">
        <v>623</v>
      </c>
      <c r="E87" t="s">
        <v>1001</v>
      </c>
      <c r="F87">
        <v>48</v>
      </c>
      <c r="G87" t="s">
        <v>659</v>
      </c>
      <c r="H87" t="s">
        <v>935</v>
      </c>
      <c r="I87" t="s">
        <v>936</v>
      </c>
      <c r="J87" t="s">
        <v>1025</v>
      </c>
      <c r="K87" t="s">
        <v>1048</v>
      </c>
      <c r="L87" s="39">
        <v>24398.716216216217</v>
      </c>
      <c r="M87" s="39">
        <v>1171138</v>
      </c>
      <c r="N87" s="39">
        <v>26351</v>
      </c>
      <c r="O87" s="39">
        <v>1264865</v>
      </c>
      <c r="Q87" s="39">
        <v>0</v>
      </c>
      <c r="R87" s="35">
        <v>45936</v>
      </c>
      <c r="T87" t="s">
        <v>1077</v>
      </c>
      <c r="U87" t="s">
        <v>126</v>
      </c>
      <c r="V87" t="s">
        <v>139</v>
      </c>
      <c r="W87">
        <v>20030</v>
      </c>
      <c r="X87" t="s">
        <v>654</v>
      </c>
      <c r="Y87" t="s">
        <v>943</v>
      </c>
      <c r="AA87" t="s">
        <v>140</v>
      </c>
      <c r="AB87" t="s">
        <v>141</v>
      </c>
      <c r="AC87">
        <v>11611</v>
      </c>
      <c r="AD87">
        <v>11612</v>
      </c>
      <c r="AE87">
        <v>101</v>
      </c>
      <c r="AF87">
        <v>1</v>
      </c>
    </row>
    <row r="88" spans="1:32">
      <c r="A88">
        <v>1</v>
      </c>
      <c r="B88">
        <v>164</v>
      </c>
      <c r="C88">
        <v>101701006</v>
      </c>
      <c r="D88" t="s">
        <v>623</v>
      </c>
      <c r="E88" t="s">
        <v>1088</v>
      </c>
      <c r="F88">
        <v>48</v>
      </c>
      <c r="G88" t="s">
        <v>647</v>
      </c>
      <c r="H88" t="s">
        <v>1112</v>
      </c>
      <c r="I88" t="s">
        <v>920</v>
      </c>
      <c r="J88" t="s">
        <v>1098</v>
      </c>
      <c r="K88" t="s">
        <v>1107</v>
      </c>
      <c r="M88" s="39">
        <v>0</v>
      </c>
      <c r="O88" s="39">
        <v>0</v>
      </c>
      <c r="Q88" s="39">
        <v>0</v>
      </c>
      <c r="R88" s="35"/>
      <c r="T88" t="s">
        <v>1077</v>
      </c>
      <c r="U88" t="s">
        <v>126</v>
      </c>
      <c r="V88" t="s">
        <v>139</v>
      </c>
      <c r="W88">
        <v>20050</v>
      </c>
      <c r="X88" t="s">
        <v>1089</v>
      </c>
      <c r="AA88" t="s">
        <v>140</v>
      </c>
      <c r="AB88" t="s">
        <v>141</v>
      </c>
      <c r="AC88">
        <v>11611</v>
      </c>
      <c r="AD88">
        <v>11612</v>
      </c>
      <c r="AF88">
        <v>1</v>
      </c>
    </row>
    <row r="89" spans="1:32">
      <c r="A89">
        <v>1</v>
      </c>
      <c r="B89">
        <v>85</v>
      </c>
      <c r="C89" t="s">
        <v>491</v>
      </c>
      <c r="D89" t="s">
        <v>623</v>
      </c>
      <c r="E89" t="s">
        <v>612</v>
      </c>
      <c r="F89">
        <v>48</v>
      </c>
      <c r="G89" t="s">
        <v>659</v>
      </c>
      <c r="H89" t="s">
        <v>925</v>
      </c>
      <c r="I89" t="s">
        <v>926</v>
      </c>
      <c r="J89" t="s">
        <v>735</v>
      </c>
      <c r="K89" t="s">
        <v>852</v>
      </c>
      <c r="L89" s="39">
        <v>8591.6846846846838</v>
      </c>
      <c r="M89" s="39">
        <v>412401</v>
      </c>
      <c r="N89" s="39">
        <v>9279</v>
      </c>
      <c r="O89" s="39">
        <v>445405</v>
      </c>
      <c r="Q89" s="39">
        <v>0</v>
      </c>
      <c r="R89" s="35">
        <v>45848</v>
      </c>
      <c r="T89" t="s">
        <v>1077</v>
      </c>
      <c r="U89" t="s">
        <v>126</v>
      </c>
      <c r="V89" t="s">
        <v>139</v>
      </c>
      <c r="W89">
        <v>20130</v>
      </c>
      <c r="X89" t="s">
        <v>652</v>
      </c>
      <c r="Y89" t="s">
        <v>943</v>
      </c>
      <c r="Z89" t="s">
        <v>374</v>
      </c>
      <c r="AA89" t="s">
        <v>140</v>
      </c>
      <c r="AB89" t="s">
        <v>141</v>
      </c>
      <c r="AC89">
        <v>11611</v>
      </c>
      <c r="AD89">
        <v>11612</v>
      </c>
      <c r="AE89">
        <v>101</v>
      </c>
      <c r="AF89">
        <v>1</v>
      </c>
    </row>
    <row r="90" spans="1:32">
      <c r="A90">
        <v>1</v>
      </c>
      <c r="B90">
        <v>86</v>
      </c>
      <c r="C90" t="s">
        <v>492</v>
      </c>
      <c r="D90" t="s">
        <v>623</v>
      </c>
      <c r="E90" t="s">
        <v>613</v>
      </c>
      <c r="F90">
        <v>48</v>
      </c>
      <c r="G90" t="s">
        <v>659</v>
      </c>
      <c r="H90" t="s">
        <v>925</v>
      </c>
      <c r="I90" t="s">
        <v>926</v>
      </c>
      <c r="J90" t="s">
        <v>736</v>
      </c>
      <c r="K90" t="s">
        <v>853</v>
      </c>
      <c r="L90" s="39">
        <v>8591.6846846846838</v>
      </c>
      <c r="M90" s="39">
        <v>412401</v>
      </c>
      <c r="N90" s="39">
        <v>9279</v>
      </c>
      <c r="O90" s="39">
        <v>445405</v>
      </c>
      <c r="Q90" s="39">
        <v>0</v>
      </c>
      <c r="R90" s="35">
        <v>45848</v>
      </c>
      <c r="T90" t="s">
        <v>1077</v>
      </c>
      <c r="U90" t="s">
        <v>126</v>
      </c>
      <c r="V90" t="s">
        <v>139</v>
      </c>
      <c r="W90">
        <v>20130</v>
      </c>
      <c r="X90" t="s">
        <v>652</v>
      </c>
      <c r="Y90" t="s">
        <v>943</v>
      </c>
      <c r="Z90" t="s">
        <v>374</v>
      </c>
      <c r="AA90" t="s">
        <v>140</v>
      </c>
      <c r="AB90" t="s">
        <v>141</v>
      </c>
      <c r="AC90">
        <v>11611</v>
      </c>
      <c r="AD90">
        <v>11612</v>
      </c>
      <c r="AE90">
        <v>101</v>
      </c>
      <c r="AF90">
        <v>1</v>
      </c>
    </row>
    <row r="91" spans="1:32">
      <c r="A91">
        <v>1</v>
      </c>
      <c r="B91">
        <v>87</v>
      </c>
      <c r="C91" t="s">
        <v>490</v>
      </c>
      <c r="D91" t="s">
        <v>623</v>
      </c>
      <c r="E91" t="s">
        <v>611</v>
      </c>
      <c r="F91">
        <v>48</v>
      </c>
      <c r="G91" t="s">
        <v>659</v>
      </c>
      <c r="H91" t="s">
        <v>925</v>
      </c>
      <c r="I91" t="s">
        <v>926</v>
      </c>
      <c r="J91" t="s">
        <v>737</v>
      </c>
      <c r="K91" t="s">
        <v>854</v>
      </c>
      <c r="L91" s="39">
        <v>8591.6846846846838</v>
      </c>
      <c r="M91" s="39">
        <v>412401</v>
      </c>
      <c r="N91" s="39">
        <v>9279</v>
      </c>
      <c r="O91" s="39">
        <v>445405</v>
      </c>
      <c r="Q91" s="39">
        <v>0</v>
      </c>
      <c r="R91" s="35">
        <v>45848</v>
      </c>
      <c r="T91" t="s">
        <v>1077</v>
      </c>
      <c r="U91" t="s">
        <v>126</v>
      </c>
      <c r="V91" t="s">
        <v>139</v>
      </c>
      <c r="W91">
        <v>20130</v>
      </c>
      <c r="X91" t="s">
        <v>652</v>
      </c>
      <c r="Y91" t="s">
        <v>943</v>
      </c>
      <c r="Z91" t="s">
        <v>374</v>
      </c>
      <c r="AA91" t="s">
        <v>140</v>
      </c>
      <c r="AB91" t="s">
        <v>141</v>
      </c>
      <c r="AC91">
        <v>11611</v>
      </c>
      <c r="AD91">
        <v>11612</v>
      </c>
      <c r="AE91">
        <v>101</v>
      </c>
      <c r="AF91">
        <v>1</v>
      </c>
    </row>
    <row r="92" spans="1:32">
      <c r="A92">
        <v>1</v>
      </c>
      <c r="B92">
        <v>88</v>
      </c>
      <c r="C92" t="s">
        <v>497</v>
      </c>
      <c r="D92" t="s">
        <v>623</v>
      </c>
      <c r="E92" t="s">
        <v>619</v>
      </c>
      <c r="F92">
        <v>48</v>
      </c>
      <c r="G92" t="s">
        <v>659</v>
      </c>
      <c r="H92" t="s">
        <v>927</v>
      </c>
      <c r="I92" t="s">
        <v>928</v>
      </c>
      <c r="J92" t="s">
        <v>738</v>
      </c>
      <c r="K92" t="s">
        <v>855</v>
      </c>
      <c r="L92" s="39">
        <v>17517.027027027023</v>
      </c>
      <c r="M92" s="39">
        <v>840817</v>
      </c>
      <c r="N92" s="39">
        <v>18919</v>
      </c>
      <c r="O92" s="39">
        <v>908108</v>
      </c>
      <c r="Q92" s="39">
        <v>0</v>
      </c>
      <c r="R92" s="35">
        <v>45848</v>
      </c>
      <c r="T92" t="s">
        <v>1077</v>
      </c>
      <c r="U92" t="s">
        <v>126</v>
      </c>
      <c r="V92" t="s">
        <v>139</v>
      </c>
      <c r="W92">
        <v>20080</v>
      </c>
      <c r="X92" t="s">
        <v>655</v>
      </c>
      <c r="Y92" t="s">
        <v>943</v>
      </c>
      <c r="Z92" t="s">
        <v>374</v>
      </c>
      <c r="AA92" t="s">
        <v>140</v>
      </c>
      <c r="AB92" t="s">
        <v>141</v>
      </c>
      <c r="AC92">
        <v>11611</v>
      </c>
      <c r="AD92">
        <v>11612</v>
      </c>
      <c r="AE92">
        <v>101</v>
      </c>
      <c r="AF92">
        <v>1</v>
      </c>
    </row>
    <row r="93" spans="1:32">
      <c r="A93">
        <v>1</v>
      </c>
      <c r="B93">
        <v>89</v>
      </c>
      <c r="C93">
        <v>191702002</v>
      </c>
      <c r="D93" t="s">
        <v>623</v>
      </c>
      <c r="E93" t="s">
        <v>972</v>
      </c>
      <c r="F93">
        <v>48</v>
      </c>
      <c r="G93" t="s">
        <v>659</v>
      </c>
      <c r="H93" t="s">
        <v>927</v>
      </c>
      <c r="I93" t="s">
        <v>928</v>
      </c>
      <c r="J93" t="s">
        <v>1026</v>
      </c>
      <c r="K93" t="s">
        <v>1072</v>
      </c>
      <c r="M93" s="39">
        <v>0</v>
      </c>
      <c r="O93" s="39">
        <v>0</v>
      </c>
      <c r="Q93" s="39">
        <v>0</v>
      </c>
      <c r="R93" s="35"/>
      <c r="T93" t="s">
        <v>1077</v>
      </c>
      <c r="U93" t="s">
        <v>126</v>
      </c>
      <c r="V93" t="s">
        <v>139</v>
      </c>
      <c r="W93">
        <v>20080</v>
      </c>
      <c r="X93" t="s">
        <v>655</v>
      </c>
      <c r="AA93" t="s">
        <v>140</v>
      </c>
      <c r="AB93" t="s">
        <v>141</v>
      </c>
      <c r="AC93">
        <v>11611</v>
      </c>
      <c r="AD93">
        <v>11612</v>
      </c>
      <c r="AF93">
        <v>1</v>
      </c>
    </row>
    <row r="94" spans="1:32">
      <c r="A94">
        <v>1</v>
      </c>
      <c r="B94">
        <v>90</v>
      </c>
      <c r="C94" t="s">
        <v>496</v>
      </c>
      <c r="D94" t="s">
        <v>623</v>
      </c>
      <c r="E94" t="s">
        <v>617</v>
      </c>
      <c r="F94">
        <v>48</v>
      </c>
      <c r="G94" t="s">
        <v>659</v>
      </c>
      <c r="H94" t="s">
        <v>927</v>
      </c>
      <c r="I94" t="s">
        <v>928</v>
      </c>
      <c r="J94" t="s">
        <v>739</v>
      </c>
      <c r="K94" t="s">
        <v>856</v>
      </c>
      <c r="L94" s="39">
        <v>17517.027027027023</v>
      </c>
      <c r="M94" s="39">
        <v>840817</v>
      </c>
      <c r="N94" s="39">
        <v>18919</v>
      </c>
      <c r="O94" s="39">
        <v>908108</v>
      </c>
      <c r="Q94" s="39">
        <v>0</v>
      </c>
      <c r="R94" s="35">
        <v>45848</v>
      </c>
      <c r="T94" t="s">
        <v>1077</v>
      </c>
      <c r="U94" t="s">
        <v>126</v>
      </c>
      <c r="V94" t="s">
        <v>139</v>
      </c>
      <c r="W94">
        <v>20080</v>
      </c>
      <c r="X94" t="s">
        <v>655</v>
      </c>
      <c r="Y94" t="s">
        <v>943</v>
      </c>
      <c r="Z94" t="s">
        <v>374</v>
      </c>
      <c r="AA94" t="s">
        <v>140</v>
      </c>
      <c r="AB94" t="s">
        <v>141</v>
      </c>
      <c r="AC94">
        <v>11611</v>
      </c>
      <c r="AD94">
        <v>11612</v>
      </c>
      <c r="AE94">
        <v>101</v>
      </c>
      <c r="AF94">
        <v>1</v>
      </c>
    </row>
    <row r="95" spans="1:32">
      <c r="A95">
        <v>1</v>
      </c>
      <c r="B95">
        <v>91</v>
      </c>
      <c r="C95">
        <v>191702000</v>
      </c>
      <c r="D95" t="s">
        <v>623</v>
      </c>
      <c r="E95" t="s">
        <v>618</v>
      </c>
      <c r="F95">
        <v>12</v>
      </c>
      <c r="G95" t="s">
        <v>659</v>
      </c>
      <c r="H95" t="s">
        <v>927</v>
      </c>
      <c r="I95" t="s">
        <v>928</v>
      </c>
      <c r="J95" t="s">
        <v>740</v>
      </c>
      <c r="K95" t="s">
        <v>857</v>
      </c>
      <c r="L95" s="39">
        <v>41707.207207207204</v>
      </c>
      <c r="M95" s="39">
        <v>500486</v>
      </c>
      <c r="N95" s="39">
        <v>45045</v>
      </c>
      <c r="O95" s="39">
        <v>540541</v>
      </c>
      <c r="Q95" s="39">
        <v>0</v>
      </c>
      <c r="R95" s="35">
        <v>45848</v>
      </c>
      <c r="T95" t="s">
        <v>1077</v>
      </c>
      <c r="U95" t="s">
        <v>126</v>
      </c>
      <c r="V95" t="s">
        <v>139</v>
      </c>
      <c r="W95">
        <v>20020</v>
      </c>
      <c r="X95" t="s">
        <v>653</v>
      </c>
      <c r="Y95" t="s">
        <v>943</v>
      </c>
      <c r="Z95" t="s">
        <v>374</v>
      </c>
      <c r="AA95" t="s">
        <v>140</v>
      </c>
      <c r="AB95" t="s">
        <v>141</v>
      </c>
      <c r="AC95">
        <v>11611</v>
      </c>
      <c r="AD95">
        <v>11612</v>
      </c>
      <c r="AE95">
        <v>101</v>
      </c>
      <c r="AF95">
        <v>1</v>
      </c>
    </row>
    <row r="96" spans="1:32">
      <c r="A96">
        <v>1</v>
      </c>
      <c r="B96">
        <v>162</v>
      </c>
      <c r="C96">
        <v>191702001</v>
      </c>
      <c r="D96" t="s">
        <v>623</v>
      </c>
      <c r="E96" t="s">
        <v>1081</v>
      </c>
      <c r="F96">
        <v>120</v>
      </c>
      <c r="G96" t="s">
        <v>185</v>
      </c>
      <c r="H96" t="s">
        <v>927</v>
      </c>
      <c r="I96" t="s">
        <v>928</v>
      </c>
      <c r="J96" t="s">
        <v>1099</v>
      </c>
      <c r="K96" t="s">
        <v>1108</v>
      </c>
      <c r="M96" s="39">
        <v>0</v>
      </c>
      <c r="O96" s="39">
        <v>0</v>
      </c>
      <c r="Q96" s="39">
        <v>0</v>
      </c>
      <c r="R96" s="35"/>
      <c r="T96" t="s">
        <v>1077</v>
      </c>
      <c r="U96" t="s">
        <v>126</v>
      </c>
      <c r="V96" t="s">
        <v>139</v>
      </c>
      <c r="W96">
        <v>20</v>
      </c>
      <c r="X96" t="s">
        <v>653</v>
      </c>
      <c r="AA96" t="s">
        <v>140</v>
      </c>
      <c r="AB96" t="s">
        <v>141</v>
      </c>
      <c r="AC96">
        <v>11611</v>
      </c>
      <c r="AD96">
        <v>11612</v>
      </c>
      <c r="AF96">
        <v>1</v>
      </c>
    </row>
    <row r="97" spans="1:32">
      <c r="A97">
        <v>1</v>
      </c>
      <c r="B97">
        <v>93</v>
      </c>
      <c r="C97" t="s">
        <v>389</v>
      </c>
      <c r="D97" t="s">
        <v>623</v>
      </c>
      <c r="E97" t="s">
        <v>510</v>
      </c>
      <c r="F97">
        <v>144</v>
      </c>
      <c r="G97" t="s">
        <v>185</v>
      </c>
      <c r="H97" t="s">
        <v>929</v>
      </c>
      <c r="I97" t="s">
        <v>930</v>
      </c>
      <c r="J97" t="s">
        <v>741</v>
      </c>
      <c r="K97" t="s">
        <v>858</v>
      </c>
      <c r="L97" s="39">
        <v>3586.8198198198197</v>
      </c>
      <c r="M97" s="39">
        <v>516502</v>
      </c>
      <c r="N97" s="39">
        <v>3874</v>
      </c>
      <c r="O97" s="39">
        <v>557838</v>
      </c>
      <c r="Q97" s="39">
        <v>0</v>
      </c>
      <c r="R97" s="35">
        <v>45848</v>
      </c>
      <c r="T97" t="s">
        <v>1077</v>
      </c>
      <c r="U97" t="s">
        <v>126</v>
      </c>
      <c r="V97" t="s">
        <v>139</v>
      </c>
      <c r="W97">
        <v>10080</v>
      </c>
      <c r="X97" t="s">
        <v>667</v>
      </c>
      <c r="Y97" t="s">
        <v>943</v>
      </c>
      <c r="Z97" t="s">
        <v>374</v>
      </c>
      <c r="AA97" t="s">
        <v>140</v>
      </c>
      <c r="AB97" t="s">
        <v>141</v>
      </c>
      <c r="AC97">
        <v>11611</v>
      </c>
      <c r="AD97">
        <v>11612</v>
      </c>
      <c r="AE97">
        <v>101</v>
      </c>
      <c r="AF97">
        <v>1</v>
      </c>
    </row>
    <row r="98" spans="1:32">
      <c r="A98">
        <v>1</v>
      </c>
      <c r="B98">
        <v>94</v>
      </c>
      <c r="C98" t="s">
        <v>393</v>
      </c>
      <c r="D98" t="s">
        <v>623</v>
      </c>
      <c r="E98" t="s">
        <v>514</v>
      </c>
      <c r="F98">
        <v>144</v>
      </c>
      <c r="G98" t="s">
        <v>185</v>
      </c>
      <c r="H98" t="s">
        <v>929</v>
      </c>
      <c r="I98" t="s">
        <v>930</v>
      </c>
      <c r="J98" t="s">
        <v>742</v>
      </c>
      <c r="K98" t="s">
        <v>859</v>
      </c>
      <c r="L98" s="39">
        <v>3586.8198198198197</v>
      </c>
      <c r="M98" s="39">
        <v>516502</v>
      </c>
      <c r="N98" s="39">
        <v>3874</v>
      </c>
      <c r="O98" s="39">
        <v>557838</v>
      </c>
      <c r="Q98" s="39">
        <v>0</v>
      </c>
      <c r="R98" s="35">
        <v>45848</v>
      </c>
      <c r="T98" t="s">
        <v>1077</v>
      </c>
      <c r="U98" t="s">
        <v>126</v>
      </c>
      <c r="V98" t="s">
        <v>139</v>
      </c>
      <c r="W98">
        <v>10080</v>
      </c>
      <c r="X98" t="s">
        <v>667</v>
      </c>
      <c r="Y98" t="s">
        <v>943</v>
      </c>
      <c r="Z98" t="s">
        <v>374</v>
      </c>
      <c r="AA98" t="s">
        <v>140</v>
      </c>
      <c r="AB98" t="s">
        <v>141</v>
      </c>
      <c r="AC98">
        <v>11611</v>
      </c>
      <c r="AD98">
        <v>11612</v>
      </c>
      <c r="AE98">
        <v>101</v>
      </c>
      <c r="AF98">
        <v>1</v>
      </c>
    </row>
    <row r="99" spans="1:32">
      <c r="A99">
        <v>1</v>
      </c>
      <c r="B99">
        <v>95</v>
      </c>
      <c r="C99" t="s">
        <v>390</v>
      </c>
      <c r="D99" t="s">
        <v>623</v>
      </c>
      <c r="E99" t="s">
        <v>511</v>
      </c>
      <c r="F99">
        <v>144</v>
      </c>
      <c r="G99" t="s">
        <v>185</v>
      </c>
      <c r="H99" t="s">
        <v>929</v>
      </c>
      <c r="I99" t="s">
        <v>930</v>
      </c>
      <c r="J99" t="s">
        <v>743</v>
      </c>
      <c r="K99" t="s">
        <v>860</v>
      </c>
      <c r="L99" s="39">
        <v>3586.8198198198197</v>
      </c>
      <c r="M99" s="39">
        <v>516502</v>
      </c>
      <c r="N99" s="39">
        <v>3874</v>
      </c>
      <c r="O99" s="39">
        <v>557838</v>
      </c>
      <c r="Q99" s="39">
        <v>0</v>
      </c>
      <c r="R99" s="35">
        <v>45848</v>
      </c>
      <c r="T99" t="s">
        <v>1077</v>
      </c>
      <c r="U99" t="s">
        <v>126</v>
      </c>
      <c r="V99" t="s">
        <v>139</v>
      </c>
      <c r="W99">
        <v>10080</v>
      </c>
      <c r="X99" t="s">
        <v>667</v>
      </c>
      <c r="Y99" t="s">
        <v>943</v>
      </c>
      <c r="Z99" t="s">
        <v>374</v>
      </c>
      <c r="AA99" t="s">
        <v>140</v>
      </c>
      <c r="AB99" t="s">
        <v>141</v>
      </c>
      <c r="AC99">
        <v>11611</v>
      </c>
      <c r="AD99">
        <v>11612</v>
      </c>
      <c r="AE99">
        <v>101</v>
      </c>
      <c r="AF99">
        <v>1</v>
      </c>
    </row>
    <row r="100" spans="1:32">
      <c r="A100">
        <v>1</v>
      </c>
      <c r="B100">
        <v>96</v>
      </c>
      <c r="C100" t="s">
        <v>388</v>
      </c>
      <c r="D100" t="s">
        <v>623</v>
      </c>
      <c r="E100" t="s">
        <v>509</v>
      </c>
      <c r="F100">
        <v>144</v>
      </c>
      <c r="G100" t="s">
        <v>185</v>
      </c>
      <c r="H100" t="s">
        <v>929</v>
      </c>
      <c r="I100" t="s">
        <v>930</v>
      </c>
      <c r="J100" t="s">
        <v>744</v>
      </c>
      <c r="K100" t="s">
        <v>861</v>
      </c>
      <c r="L100" s="39">
        <v>3586.8198198198197</v>
      </c>
      <c r="M100" s="39">
        <v>516502</v>
      </c>
      <c r="N100" s="39">
        <v>3874</v>
      </c>
      <c r="O100" s="39">
        <v>557838</v>
      </c>
      <c r="Q100" s="39">
        <v>0</v>
      </c>
      <c r="R100" s="35">
        <v>45848</v>
      </c>
      <c r="T100" t="s">
        <v>1077</v>
      </c>
      <c r="U100" t="s">
        <v>126</v>
      </c>
      <c r="V100" t="s">
        <v>139</v>
      </c>
      <c r="W100">
        <v>10080</v>
      </c>
      <c r="X100" t="s">
        <v>667</v>
      </c>
      <c r="Y100" t="s">
        <v>943</v>
      </c>
      <c r="Z100" t="s">
        <v>374</v>
      </c>
      <c r="AA100" t="s">
        <v>140</v>
      </c>
      <c r="AB100" t="s">
        <v>141</v>
      </c>
      <c r="AC100">
        <v>11611</v>
      </c>
      <c r="AD100">
        <v>11612</v>
      </c>
      <c r="AE100">
        <v>101</v>
      </c>
      <c r="AF100">
        <v>1</v>
      </c>
    </row>
    <row r="101" spans="1:32">
      <c r="A101">
        <v>1</v>
      </c>
      <c r="B101">
        <v>97</v>
      </c>
      <c r="C101" t="s">
        <v>391</v>
      </c>
      <c r="D101" t="s">
        <v>623</v>
      </c>
      <c r="E101" t="s">
        <v>512</v>
      </c>
      <c r="F101">
        <v>144</v>
      </c>
      <c r="G101" t="s">
        <v>185</v>
      </c>
      <c r="H101" t="s">
        <v>929</v>
      </c>
      <c r="I101" t="s">
        <v>930</v>
      </c>
      <c r="J101" t="s">
        <v>745</v>
      </c>
      <c r="K101" t="s">
        <v>862</v>
      </c>
      <c r="L101" s="39">
        <v>3586.8198198198197</v>
      </c>
      <c r="M101" s="39">
        <v>516502</v>
      </c>
      <c r="N101" s="39">
        <v>3874</v>
      </c>
      <c r="O101" s="39">
        <v>557838</v>
      </c>
      <c r="Q101" s="39">
        <v>0</v>
      </c>
      <c r="R101" s="35">
        <v>45848</v>
      </c>
      <c r="T101" t="s">
        <v>1077</v>
      </c>
      <c r="U101" t="s">
        <v>126</v>
      </c>
      <c r="V101" t="s">
        <v>139</v>
      </c>
      <c r="W101">
        <v>10080</v>
      </c>
      <c r="X101" t="s">
        <v>667</v>
      </c>
      <c r="Y101" t="s">
        <v>943</v>
      </c>
      <c r="Z101" t="s">
        <v>374</v>
      </c>
      <c r="AA101" t="s">
        <v>140</v>
      </c>
      <c r="AB101" t="s">
        <v>141</v>
      </c>
      <c r="AC101">
        <v>11611</v>
      </c>
      <c r="AD101">
        <v>11612</v>
      </c>
      <c r="AE101">
        <v>101</v>
      </c>
      <c r="AF101">
        <v>1</v>
      </c>
    </row>
    <row r="102" spans="1:32">
      <c r="A102">
        <v>1</v>
      </c>
      <c r="B102">
        <v>98</v>
      </c>
      <c r="C102" t="s">
        <v>392</v>
      </c>
      <c r="D102" t="s">
        <v>623</v>
      </c>
      <c r="E102" t="s">
        <v>513</v>
      </c>
      <c r="F102">
        <v>144</v>
      </c>
      <c r="G102" t="s">
        <v>185</v>
      </c>
      <c r="H102" t="s">
        <v>929</v>
      </c>
      <c r="I102" t="s">
        <v>930</v>
      </c>
      <c r="J102" t="s">
        <v>746</v>
      </c>
      <c r="K102" t="s">
        <v>863</v>
      </c>
      <c r="L102" s="39">
        <v>3586.8198198198197</v>
      </c>
      <c r="M102" s="39">
        <v>516502</v>
      </c>
      <c r="N102" s="39">
        <v>3874</v>
      </c>
      <c r="O102" s="39">
        <v>557838</v>
      </c>
      <c r="Q102" s="39">
        <v>0</v>
      </c>
      <c r="R102" s="35">
        <v>45848</v>
      </c>
      <c r="T102" t="s">
        <v>1077</v>
      </c>
      <c r="U102" t="s">
        <v>126</v>
      </c>
      <c r="V102" t="s">
        <v>139</v>
      </c>
      <c r="W102">
        <v>10080</v>
      </c>
      <c r="X102" t="s">
        <v>667</v>
      </c>
      <c r="Y102" t="s">
        <v>943</v>
      </c>
      <c r="Z102" t="s">
        <v>374</v>
      </c>
      <c r="AA102" t="s">
        <v>140</v>
      </c>
      <c r="AB102" t="s">
        <v>141</v>
      </c>
      <c r="AC102">
        <v>11611</v>
      </c>
      <c r="AD102">
        <v>11612</v>
      </c>
      <c r="AE102">
        <v>101</v>
      </c>
      <c r="AF102">
        <v>1</v>
      </c>
    </row>
    <row r="103" spans="1:32">
      <c r="A103">
        <v>1</v>
      </c>
      <c r="B103">
        <v>99</v>
      </c>
      <c r="C103" t="s">
        <v>1002</v>
      </c>
      <c r="D103" t="s">
        <v>623</v>
      </c>
      <c r="E103" t="s">
        <v>1003</v>
      </c>
      <c r="F103">
        <v>24</v>
      </c>
      <c r="G103" t="s">
        <v>663</v>
      </c>
      <c r="H103" t="s">
        <v>929</v>
      </c>
      <c r="I103" t="s">
        <v>930</v>
      </c>
      <c r="J103" t="s">
        <v>1100</v>
      </c>
      <c r="K103" t="s">
        <v>1109</v>
      </c>
      <c r="L103" s="39">
        <v>2627.5540540540537</v>
      </c>
      <c r="M103" s="39">
        <v>63061</v>
      </c>
      <c r="N103" s="39">
        <v>2838</v>
      </c>
      <c r="O103" s="39">
        <v>68108</v>
      </c>
      <c r="Q103" s="39">
        <v>0</v>
      </c>
      <c r="R103" s="35">
        <v>45960</v>
      </c>
      <c r="T103" t="s">
        <v>1077</v>
      </c>
      <c r="U103" t="s">
        <v>126</v>
      </c>
      <c r="V103" t="s">
        <v>139</v>
      </c>
      <c r="W103">
        <v>10060</v>
      </c>
      <c r="X103" t="s">
        <v>669</v>
      </c>
      <c r="Y103" t="s">
        <v>943</v>
      </c>
      <c r="Z103" t="s">
        <v>374</v>
      </c>
      <c r="AA103" t="s">
        <v>140</v>
      </c>
      <c r="AB103" t="s">
        <v>141</v>
      </c>
      <c r="AC103">
        <v>11611</v>
      </c>
      <c r="AD103">
        <v>11612</v>
      </c>
      <c r="AE103">
        <v>101</v>
      </c>
      <c r="AF103">
        <v>1</v>
      </c>
    </row>
    <row r="104" spans="1:32">
      <c r="A104">
        <v>1</v>
      </c>
      <c r="B104">
        <v>100</v>
      </c>
      <c r="C104" t="s">
        <v>1004</v>
      </c>
      <c r="D104" t="s">
        <v>623</v>
      </c>
      <c r="E104" t="s">
        <v>1005</v>
      </c>
      <c r="F104">
        <v>24</v>
      </c>
      <c r="G104" t="s">
        <v>663</v>
      </c>
      <c r="H104" t="s">
        <v>929</v>
      </c>
      <c r="I104" t="s">
        <v>930</v>
      </c>
      <c r="J104" t="s">
        <v>1101</v>
      </c>
      <c r="K104" t="s">
        <v>1110</v>
      </c>
      <c r="L104" s="39">
        <v>2627.5540540540537</v>
      </c>
      <c r="M104" s="39">
        <v>63061</v>
      </c>
      <c r="N104" s="39">
        <v>2838</v>
      </c>
      <c r="O104" s="39">
        <v>68108</v>
      </c>
      <c r="Q104" s="39">
        <v>0</v>
      </c>
      <c r="R104" s="35">
        <v>45960</v>
      </c>
      <c r="T104" t="s">
        <v>1077</v>
      </c>
      <c r="U104" t="s">
        <v>126</v>
      </c>
      <c r="V104" t="s">
        <v>139</v>
      </c>
      <c r="W104">
        <v>10060</v>
      </c>
      <c r="X104" t="s">
        <v>669</v>
      </c>
      <c r="Y104" t="s">
        <v>943</v>
      </c>
      <c r="Z104" t="s">
        <v>374</v>
      </c>
      <c r="AA104" t="s">
        <v>140</v>
      </c>
      <c r="AB104" t="s">
        <v>141</v>
      </c>
      <c r="AC104">
        <v>11611</v>
      </c>
      <c r="AD104">
        <v>11612</v>
      </c>
      <c r="AE104">
        <v>101</v>
      </c>
      <c r="AF104">
        <v>1</v>
      </c>
    </row>
    <row r="105" spans="1:32">
      <c r="A105">
        <v>1</v>
      </c>
      <c r="F105">
        <v>72</v>
      </c>
      <c r="G105" t="s">
        <v>185</v>
      </c>
      <c r="H105" t="s">
        <v>929</v>
      </c>
      <c r="I105" t="s">
        <v>930</v>
      </c>
      <c r="J105" t="s">
        <v>1027</v>
      </c>
      <c r="K105" t="s">
        <v>1073</v>
      </c>
      <c r="M105" s="39">
        <v>0</v>
      </c>
      <c r="O105" s="39">
        <v>0</v>
      </c>
      <c r="Q105" s="39">
        <v>0</v>
      </c>
      <c r="R105" s="35"/>
      <c r="T105" t="s">
        <v>1077</v>
      </c>
      <c r="U105" t="s">
        <v>126</v>
      </c>
      <c r="V105" t="s">
        <v>139</v>
      </c>
      <c r="W105">
        <v>60</v>
      </c>
      <c r="X105" t="s">
        <v>669</v>
      </c>
      <c r="AA105" t="s">
        <v>140</v>
      </c>
      <c r="AB105" t="s">
        <v>141</v>
      </c>
      <c r="AC105">
        <v>11611</v>
      </c>
      <c r="AD105">
        <v>11612</v>
      </c>
      <c r="AF105">
        <v>1</v>
      </c>
    </row>
    <row r="106" spans="1:32">
      <c r="A106">
        <v>1</v>
      </c>
      <c r="F106">
        <v>72</v>
      </c>
      <c r="G106" t="s">
        <v>185</v>
      </c>
      <c r="H106" t="s">
        <v>929</v>
      </c>
      <c r="I106" t="s">
        <v>930</v>
      </c>
      <c r="J106" t="s">
        <v>1028</v>
      </c>
      <c r="K106" t="s">
        <v>1074</v>
      </c>
      <c r="M106" s="39">
        <v>0</v>
      </c>
      <c r="O106" s="39">
        <v>0</v>
      </c>
      <c r="Q106" s="39">
        <v>0</v>
      </c>
      <c r="R106" s="35"/>
      <c r="T106" t="s">
        <v>1077</v>
      </c>
      <c r="U106" t="s">
        <v>126</v>
      </c>
      <c r="V106" t="s">
        <v>139</v>
      </c>
      <c r="W106">
        <v>60</v>
      </c>
      <c r="X106" t="s">
        <v>669</v>
      </c>
      <c r="AA106" t="s">
        <v>140</v>
      </c>
      <c r="AB106" t="s">
        <v>141</v>
      </c>
      <c r="AC106">
        <v>11611</v>
      </c>
      <c r="AD106">
        <v>11612</v>
      </c>
      <c r="AF106">
        <v>1</v>
      </c>
    </row>
    <row r="107" spans="1:32">
      <c r="A107">
        <v>1</v>
      </c>
      <c r="B107">
        <v>101</v>
      </c>
      <c r="C107" t="s">
        <v>446</v>
      </c>
      <c r="D107" t="s">
        <v>623</v>
      </c>
      <c r="E107" t="s">
        <v>567</v>
      </c>
      <c r="F107">
        <v>48</v>
      </c>
      <c r="G107" t="s">
        <v>636</v>
      </c>
      <c r="H107" t="s">
        <v>931</v>
      </c>
      <c r="I107" t="s">
        <v>932</v>
      </c>
      <c r="J107" t="s">
        <v>747</v>
      </c>
      <c r="K107" t="s">
        <v>864</v>
      </c>
      <c r="L107" s="39">
        <v>10927.28828828829</v>
      </c>
      <c r="M107" s="39">
        <v>524510</v>
      </c>
      <c r="N107" s="39">
        <v>11802</v>
      </c>
      <c r="O107" s="39">
        <v>566486</v>
      </c>
      <c r="Q107" s="39">
        <v>0</v>
      </c>
      <c r="R107" s="35">
        <v>45848</v>
      </c>
      <c r="T107" t="s">
        <v>1077</v>
      </c>
      <c r="U107" t="s">
        <v>126</v>
      </c>
      <c r="V107" t="s">
        <v>139</v>
      </c>
      <c r="W107">
        <v>20180</v>
      </c>
      <c r="X107" t="s">
        <v>641</v>
      </c>
      <c r="Y107" t="s">
        <v>943</v>
      </c>
      <c r="Z107" t="s">
        <v>374</v>
      </c>
      <c r="AA107" t="s">
        <v>140</v>
      </c>
      <c r="AB107" t="s">
        <v>141</v>
      </c>
      <c r="AC107">
        <v>11611</v>
      </c>
      <c r="AD107">
        <v>11612</v>
      </c>
      <c r="AE107">
        <v>101</v>
      </c>
      <c r="AF107">
        <v>1</v>
      </c>
    </row>
    <row r="108" spans="1:32">
      <c r="A108">
        <v>1</v>
      </c>
      <c r="B108">
        <v>102</v>
      </c>
      <c r="C108" t="s">
        <v>433</v>
      </c>
      <c r="D108" t="s">
        <v>623</v>
      </c>
      <c r="E108" t="s">
        <v>554</v>
      </c>
      <c r="F108">
        <v>48</v>
      </c>
      <c r="G108" t="s">
        <v>636</v>
      </c>
      <c r="H108" t="s">
        <v>931</v>
      </c>
      <c r="I108" t="s">
        <v>932</v>
      </c>
      <c r="J108" t="s">
        <v>748</v>
      </c>
      <c r="K108" t="s">
        <v>865</v>
      </c>
      <c r="L108" s="39">
        <v>10927.28828828829</v>
      </c>
      <c r="M108" s="39">
        <v>524510</v>
      </c>
      <c r="N108" s="39">
        <v>11802</v>
      </c>
      <c r="O108" s="39">
        <v>566486</v>
      </c>
      <c r="Q108" s="39">
        <v>0</v>
      </c>
      <c r="R108" s="35">
        <v>45848</v>
      </c>
      <c r="T108" t="s">
        <v>1077</v>
      </c>
      <c r="U108" t="s">
        <v>126</v>
      </c>
      <c r="V108" t="s">
        <v>139</v>
      </c>
      <c r="W108">
        <v>20180</v>
      </c>
      <c r="X108" t="s">
        <v>641</v>
      </c>
      <c r="Y108" t="s">
        <v>943</v>
      </c>
      <c r="Z108" t="s">
        <v>374</v>
      </c>
      <c r="AA108" t="s">
        <v>140</v>
      </c>
      <c r="AB108" t="s">
        <v>141</v>
      </c>
      <c r="AC108">
        <v>11611</v>
      </c>
      <c r="AD108">
        <v>11612</v>
      </c>
      <c r="AE108">
        <v>101</v>
      </c>
      <c r="AF108">
        <v>1</v>
      </c>
    </row>
    <row r="109" spans="1:32">
      <c r="A109">
        <v>1</v>
      </c>
      <c r="B109">
        <v>103</v>
      </c>
      <c r="C109" t="s">
        <v>437</v>
      </c>
      <c r="D109" t="s">
        <v>623</v>
      </c>
      <c r="E109" t="s">
        <v>558</v>
      </c>
      <c r="F109">
        <v>48</v>
      </c>
      <c r="G109" t="s">
        <v>636</v>
      </c>
      <c r="H109" t="s">
        <v>931</v>
      </c>
      <c r="I109" t="s">
        <v>932</v>
      </c>
      <c r="J109" t="s">
        <v>749</v>
      </c>
      <c r="K109" t="s">
        <v>866</v>
      </c>
      <c r="L109" s="39">
        <v>10927.28828828829</v>
      </c>
      <c r="M109" s="39">
        <v>524510</v>
      </c>
      <c r="N109" s="39">
        <v>11802</v>
      </c>
      <c r="O109" s="39">
        <v>566486</v>
      </c>
      <c r="Q109" s="39">
        <v>0</v>
      </c>
      <c r="R109" s="35">
        <v>45848</v>
      </c>
      <c r="T109" t="s">
        <v>1077</v>
      </c>
      <c r="U109" t="s">
        <v>126</v>
      </c>
      <c r="V109" t="s">
        <v>139</v>
      </c>
      <c r="W109">
        <v>20180</v>
      </c>
      <c r="X109" t="s">
        <v>641</v>
      </c>
      <c r="Y109" t="s">
        <v>943</v>
      </c>
      <c r="Z109" t="s">
        <v>374</v>
      </c>
      <c r="AA109" t="s">
        <v>140</v>
      </c>
      <c r="AB109" t="s">
        <v>141</v>
      </c>
      <c r="AC109">
        <v>11611</v>
      </c>
      <c r="AD109">
        <v>11612</v>
      </c>
      <c r="AE109">
        <v>101</v>
      </c>
      <c r="AF109">
        <v>1</v>
      </c>
    </row>
    <row r="110" spans="1:32">
      <c r="A110">
        <v>1</v>
      </c>
      <c r="B110">
        <v>104</v>
      </c>
      <c r="C110" t="s">
        <v>442</v>
      </c>
      <c r="D110" t="s">
        <v>623</v>
      </c>
      <c r="E110" t="s">
        <v>563</v>
      </c>
      <c r="F110">
        <v>48</v>
      </c>
      <c r="G110" t="s">
        <v>636</v>
      </c>
      <c r="H110" t="s">
        <v>931</v>
      </c>
      <c r="I110" t="s">
        <v>932</v>
      </c>
      <c r="J110" t="s">
        <v>750</v>
      </c>
      <c r="K110" t="s">
        <v>867</v>
      </c>
      <c r="L110" s="39">
        <v>10927.28828828829</v>
      </c>
      <c r="M110" s="39">
        <v>524510</v>
      </c>
      <c r="N110" s="39">
        <v>11802</v>
      </c>
      <c r="O110" s="39">
        <v>566486</v>
      </c>
      <c r="Q110" s="39">
        <v>0</v>
      </c>
      <c r="R110" s="35">
        <v>45848</v>
      </c>
      <c r="T110" t="s">
        <v>1077</v>
      </c>
      <c r="U110" t="s">
        <v>126</v>
      </c>
      <c r="V110" t="s">
        <v>139</v>
      </c>
      <c r="W110">
        <v>20180</v>
      </c>
      <c r="X110" t="s">
        <v>641</v>
      </c>
      <c r="Y110" t="s">
        <v>943</v>
      </c>
      <c r="Z110" t="s">
        <v>374</v>
      </c>
      <c r="AA110" t="s">
        <v>140</v>
      </c>
      <c r="AB110" t="s">
        <v>141</v>
      </c>
      <c r="AC110">
        <v>11611</v>
      </c>
      <c r="AD110">
        <v>11612</v>
      </c>
      <c r="AE110">
        <v>101</v>
      </c>
      <c r="AF110">
        <v>1</v>
      </c>
    </row>
    <row r="111" spans="1:32">
      <c r="A111">
        <v>1</v>
      </c>
      <c r="B111">
        <v>105</v>
      </c>
      <c r="C111" t="s">
        <v>427</v>
      </c>
      <c r="D111" t="s">
        <v>623</v>
      </c>
      <c r="E111" t="s">
        <v>548</v>
      </c>
      <c r="F111">
        <v>48</v>
      </c>
      <c r="G111" t="s">
        <v>636</v>
      </c>
      <c r="H111" t="s">
        <v>931</v>
      </c>
      <c r="I111" t="s">
        <v>932</v>
      </c>
      <c r="J111" t="s">
        <v>751</v>
      </c>
      <c r="K111" t="s">
        <v>868</v>
      </c>
      <c r="L111" s="39">
        <v>10927.28828828829</v>
      </c>
      <c r="M111" s="39">
        <v>524510</v>
      </c>
      <c r="N111" s="39">
        <v>11802</v>
      </c>
      <c r="O111" s="39">
        <v>566486</v>
      </c>
      <c r="Q111" s="39">
        <v>0</v>
      </c>
      <c r="R111" s="35">
        <v>45848</v>
      </c>
      <c r="T111" t="s">
        <v>1077</v>
      </c>
      <c r="U111" t="s">
        <v>126</v>
      </c>
      <c r="V111" t="s">
        <v>139</v>
      </c>
      <c r="W111">
        <v>20180</v>
      </c>
      <c r="X111" t="s">
        <v>641</v>
      </c>
      <c r="Y111" t="s">
        <v>943</v>
      </c>
      <c r="Z111" t="s">
        <v>374</v>
      </c>
      <c r="AA111" t="s">
        <v>140</v>
      </c>
      <c r="AB111" t="s">
        <v>141</v>
      </c>
      <c r="AC111">
        <v>11611</v>
      </c>
      <c r="AD111">
        <v>11612</v>
      </c>
      <c r="AE111">
        <v>101</v>
      </c>
      <c r="AF111">
        <v>1</v>
      </c>
    </row>
    <row r="112" spans="1:32">
      <c r="A112">
        <v>1</v>
      </c>
      <c r="B112">
        <v>106</v>
      </c>
      <c r="C112" t="s">
        <v>428</v>
      </c>
      <c r="D112" t="s">
        <v>623</v>
      </c>
      <c r="E112" t="s">
        <v>549</v>
      </c>
      <c r="F112">
        <v>48</v>
      </c>
      <c r="G112" t="s">
        <v>647</v>
      </c>
      <c r="H112" t="s">
        <v>931</v>
      </c>
      <c r="I112" t="s">
        <v>932</v>
      </c>
      <c r="J112" t="s">
        <v>1029</v>
      </c>
      <c r="K112" t="s">
        <v>1049</v>
      </c>
      <c r="L112" s="39">
        <v>16682.882882882881</v>
      </c>
      <c r="M112" s="39">
        <v>800778</v>
      </c>
      <c r="N112" s="39">
        <v>18018</v>
      </c>
      <c r="O112" s="39">
        <v>864865</v>
      </c>
      <c r="Q112" s="39">
        <v>0</v>
      </c>
      <c r="R112" s="35">
        <v>45848</v>
      </c>
      <c r="T112" t="s">
        <v>1077</v>
      </c>
      <c r="U112" t="s">
        <v>126</v>
      </c>
      <c r="V112" t="s">
        <v>139</v>
      </c>
      <c r="W112">
        <v>20225</v>
      </c>
      <c r="X112" t="s">
        <v>646</v>
      </c>
      <c r="Y112" t="s">
        <v>943</v>
      </c>
      <c r="Z112" t="s">
        <v>374</v>
      </c>
      <c r="AA112" t="s">
        <v>140</v>
      </c>
      <c r="AB112" t="s">
        <v>141</v>
      </c>
      <c r="AC112">
        <v>11611</v>
      </c>
      <c r="AD112">
        <v>11612</v>
      </c>
      <c r="AE112">
        <v>101</v>
      </c>
      <c r="AF112">
        <v>1</v>
      </c>
    </row>
    <row r="113" spans="1:32">
      <c r="A113">
        <v>1</v>
      </c>
      <c r="B113">
        <v>107</v>
      </c>
      <c r="C113" t="s">
        <v>429</v>
      </c>
      <c r="D113" t="s">
        <v>623</v>
      </c>
      <c r="E113" t="s">
        <v>550</v>
      </c>
      <c r="F113">
        <v>24</v>
      </c>
      <c r="G113" t="s">
        <v>657</v>
      </c>
      <c r="H113" t="s">
        <v>931</v>
      </c>
      <c r="I113" t="s">
        <v>932</v>
      </c>
      <c r="J113" t="s">
        <v>752</v>
      </c>
      <c r="K113" t="s">
        <v>869</v>
      </c>
      <c r="L113" s="39">
        <v>31697.477477477474</v>
      </c>
      <c r="M113" s="39">
        <v>760739</v>
      </c>
      <c r="N113" s="39">
        <v>34234</v>
      </c>
      <c r="O113" s="39">
        <v>821622</v>
      </c>
      <c r="Q113" s="39">
        <v>0</v>
      </c>
      <c r="R113" s="35">
        <v>45848</v>
      </c>
      <c r="T113" t="s">
        <v>1077</v>
      </c>
      <c r="U113" t="s">
        <v>126</v>
      </c>
      <c r="V113" t="s">
        <v>139</v>
      </c>
      <c r="W113">
        <v>20480</v>
      </c>
      <c r="X113" t="s">
        <v>637</v>
      </c>
      <c r="Y113" t="s">
        <v>943</v>
      </c>
      <c r="Z113" t="s">
        <v>374</v>
      </c>
      <c r="AA113" t="s">
        <v>140</v>
      </c>
      <c r="AB113" t="s">
        <v>141</v>
      </c>
      <c r="AC113">
        <v>11611</v>
      </c>
      <c r="AD113">
        <v>11612</v>
      </c>
      <c r="AE113">
        <v>101</v>
      </c>
      <c r="AF113">
        <v>1</v>
      </c>
    </row>
    <row r="114" spans="1:32">
      <c r="A114">
        <v>1</v>
      </c>
      <c r="B114">
        <v>108</v>
      </c>
      <c r="C114" t="s">
        <v>447</v>
      </c>
      <c r="D114" t="s">
        <v>623</v>
      </c>
      <c r="E114" t="s">
        <v>568</v>
      </c>
      <c r="F114">
        <v>48</v>
      </c>
      <c r="G114" t="s">
        <v>647</v>
      </c>
      <c r="H114" t="s">
        <v>931</v>
      </c>
      <c r="I114" t="s">
        <v>932</v>
      </c>
      <c r="J114" t="s">
        <v>1030</v>
      </c>
      <c r="K114" t="s">
        <v>1050</v>
      </c>
      <c r="L114" s="39">
        <v>16682.882882882881</v>
      </c>
      <c r="M114" s="39">
        <v>800778</v>
      </c>
      <c r="N114" s="39">
        <v>18018</v>
      </c>
      <c r="O114" s="39">
        <v>864865</v>
      </c>
      <c r="Q114" s="39">
        <v>0</v>
      </c>
      <c r="R114" s="35">
        <v>45848</v>
      </c>
      <c r="T114" t="s">
        <v>1077</v>
      </c>
      <c r="U114" t="s">
        <v>126</v>
      </c>
      <c r="V114" t="s">
        <v>139</v>
      </c>
      <c r="W114">
        <v>20225</v>
      </c>
      <c r="X114" t="s">
        <v>646</v>
      </c>
      <c r="Y114" t="s">
        <v>943</v>
      </c>
      <c r="Z114" t="s">
        <v>374</v>
      </c>
      <c r="AA114" t="s">
        <v>140</v>
      </c>
      <c r="AB114" t="s">
        <v>141</v>
      </c>
      <c r="AC114">
        <v>11611</v>
      </c>
      <c r="AD114">
        <v>11612</v>
      </c>
      <c r="AE114">
        <v>101</v>
      </c>
      <c r="AF114">
        <v>1</v>
      </c>
    </row>
    <row r="115" spans="1:32">
      <c r="A115">
        <v>1</v>
      </c>
      <c r="B115">
        <v>109</v>
      </c>
      <c r="C115" t="s">
        <v>448</v>
      </c>
      <c r="D115" t="s">
        <v>623</v>
      </c>
      <c r="E115" t="s">
        <v>569</v>
      </c>
      <c r="F115">
        <v>24</v>
      </c>
      <c r="G115" t="s">
        <v>657</v>
      </c>
      <c r="H115" t="s">
        <v>931</v>
      </c>
      <c r="I115" t="s">
        <v>932</v>
      </c>
      <c r="J115" t="s">
        <v>753</v>
      </c>
      <c r="K115" t="s">
        <v>870</v>
      </c>
      <c r="L115" s="39">
        <v>31697.477477477474</v>
      </c>
      <c r="M115" s="39">
        <v>760739</v>
      </c>
      <c r="N115" s="39">
        <v>34234</v>
      </c>
      <c r="O115" s="39">
        <v>821622</v>
      </c>
      <c r="Q115" s="39">
        <v>0</v>
      </c>
      <c r="R115" s="35">
        <v>45848</v>
      </c>
      <c r="T115" t="s">
        <v>1077</v>
      </c>
      <c r="U115" t="s">
        <v>126</v>
      </c>
      <c r="V115" t="s">
        <v>139</v>
      </c>
      <c r="W115">
        <v>20480</v>
      </c>
      <c r="X115" t="s">
        <v>637</v>
      </c>
      <c r="Y115" t="s">
        <v>943</v>
      </c>
      <c r="Z115" t="s">
        <v>374</v>
      </c>
      <c r="AA115" t="s">
        <v>140</v>
      </c>
      <c r="AB115" t="s">
        <v>141</v>
      </c>
      <c r="AC115">
        <v>11611</v>
      </c>
      <c r="AD115">
        <v>11612</v>
      </c>
      <c r="AE115">
        <v>101</v>
      </c>
      <c r="AF115">
        <v>1</v>
      </c>
    </row>
    <row r="116" spans="1:32">
      <c r="A116">
        <v>1</v>
      </c>
      <c r="B116">
        <v>110</v>
      </c>
      <c r="C116" t="s">
        <v>434</v>
      </c>
      <c r="D116" t="s">
        <v>623</v>
      </c>
      <c r="E116" t="s">
        <v>555</v>
      </c>
      <c r="F116">
        <v>48</v>
      </c>
      <c r="G116" t="s">
        <v>647</v>
      </c>
      <c r="H116" t="s">
        <v>931</v>
      </c>
      <c r="I116" t="s">
        <v>932</v>
      </c>
      <c r="J116" t="s">
        <v>754</v>
      </c>
      <c r="K116" t="s">
        <v>871</v>
      </c>
      <c r="L116" s="39">
        <v>16682.882882882881</v>
      </c>
      <c r="M116" s="39">
        <v>800778</v>
      </c>
      <c r="N116" s="39">
        <v>18018</v>
      </c>
      <c r="O116" s="39">
        <v>864865</v>
      </c>
      <c r="Q116" s="39">
        <v>0</v>
      </c>
      <c r="R116" s="35">
        <v>45848</v>
      </c>
      <c r="T116" t="s">
        <v>1077</v>
      </c>
      <c r="U116" t="s">
        <v>126</v>
      </c>
      <c r="V116" t="s">
        <v>139</v>
      </c>
      <c r="W116">
        <v>20225</v>
      </c>
      <c r="X116" t="s">
        <v>646</v>
      </c>
      <c r="Y116" t="s">
        <v>943</v>
      </c>
      <c r="Z116" t="s">
        <v>374</v>
      </c>
      <c r="AA116" t="s">
        <v>140</v>
      </c>
      <c r="AB116" t="s">
        <v>141</v>
      </c>
      <c r="AC116">
        <v>11611</v>
      </c>
      <c r="AD116">
        <v>11612</v>
      </c>
      <c r="AE116">
        <v>101</v>
      </c>
      <c r="AF116">
        <v>1</v>
      </c>
    </row>
    <row r="117" spans="1:32">
      <c r="A117">
        <v>1</v>
      </c>
      <c r="B117">
        <v>111</v>
      </c>
      <c r="C117" t="s">
        <v>435</v>
      </c>
      <c r="D117" t="s">
        <v>623</v>
      </c>
      <c r="E117" t="s">
        <v>556</v>
      </c>
      <c r="F117">
        <v>24</v>
      </c>
      <c r="G117" t="s">
        <v>647</v>
      </c>
      <c r="H117" t="s">
        <v>931</v>
      </c>
      <c r="I117" t="s">
        <v>932</v>
      </c>
      <c r="J117" t="s">
        <v>755</v>
      </c>
      <c r="K117" t="s">
        <v>872</v>
      </c>
      <c r="L117" s="39">
        <v>31697.477477477474</v>
      </c>
      <c r="M117" s="39">
        <v>760739</v>
      </c>
      <c r="N117" s="39">
        <v>34234</v>
      </c>
      <c r="O117" s="39">
        <v>821622</v>
      </c>
      <c r="Q117" s="39">
        <v>0</v>
      </c>
      <c r="R117" s="35">
        <v>45848</v>
      </c>
      <c r="T117" t="s">
        <v>1077</v>
      </c>
      <c r="U117" t="s">
        <v>126</v>
      </c>
      <c r="V117" t="s">
        <v>139</v>
      </c>
      <c r="W117">
        <v>20480</v>
      </c>
      <c r="X117" t="s">
        <v>637</v>
      </c>
      <c r="Y117" t="s">
        <v>943</v>
      </c>
      <c r="Z117" t="s">
        <v>374</v>
      </c>
      <c r="AA117" t="s">
        <v>140</v>
      </c>
      <c r="AB117" t="s">
        <v>141</v>
      </c>
      <c r="AC117">
        <v>11611</v>
      </c>
      <c r="AD117">
        <v>11612</v>
      </c>
      <c r="AE117">
        <v>101</v>
      </c>
      <c r="AF117">
        <v>1</v>
      </c>
    </row>
    <row r="118" spans="1:32">
      <c r="A118">
        <v>1</v>
      </c>
      <c r="B118">
        <v>112</v>
      </c>
      <c r="C118" t="s">
        <v>424</v>
      </c>
      <c r="D118" t="s">
        <v>623</v>
      </c>
      <c r="E118" t="s">
        <v>545</v>
      </c>
      <c r="F118">
        <v>48</v>
      </c>
      <c r="G118" t="s">
        <v>647</v>
      </c>
      <c r="H118" t="s">
        <v>931</v>
      </c>
      <c r="I118" t="s">
        <v>932</v>
      </c>
      <c r="J118" t="s">
        <v>756</v>
      </c>
      <c r="K118" t="s">
        <v>873</v>
      </c>
      <c r="L118" s="39">
        <v>16682.882882882881</v>
      </c>
      <c r="M118" s="39">
        <v>800778</v>
      </c>
      <c r="N118" s="39">
        <v>18018</v>
      </c>
      <c r="O118" s="39">
        <v>864865</v>
      </c>
      <c r="Q118" s="39">
        <v>0</v>
      </c>
      <c r="R118" s="35">
        <v>45848</v>
      </c>
      <c r="T118" t="s">
        <v>1077</v>
      </c>
      <c r="U118" t="s">
        <v>126</v>
      </c>
      <c r="V118" t="s">
        <v>139</v>
      </c>
      <c r="W118">
        <v>20225</v>
      </c>
      <c r="X118" t="s">
        <v>646</v>
      </c>
      <c r="Y118" t="s">
        <v>943</v>
      </c>
      <c r="Z118" t="s">
        <v>374</v>
      </c>
      <c r="AA118" t="s">
        <v>140</v>
      </c>
      <c r="AB118" t="s">
        <v>141</v>
      </c>
      <c r="AC118">
        <v>11611</v>
      </c>
      <c r="AD118">
        <v>11612</v>
      </c>
      <c r="AE118">
        <v>101</v>
      </c>
      <c r="AF118">
        <v>1</v>
      </c>
    </row>
    <row r="119" spans="1:32">
      <c r="A119">
        <v>1</v>
      </c>
      <c r="B119">
        <v>113</v>
      </c>
      <c r="C119" t="s">
        <v>425</v>
      </c>
      <c r="D119" t="s">
        <v>623</v>
      </c>
      <c r="E119" t="s">
        <v>546</v>
      </c>
      <c r="F119">
        <v>24</v>
      </c>
      <c r="G119" t="s">
        <v>658</v>
      </c>
      <c r="H119" t="s">
        <v>931</v>
      </c>
      <c r="I119" t="s">
        <v>932</v>
      </c>
      <c r="J119" t="s">
        <v>757</v>
      </c>
      <c r="K119" t="s">
        <v>874</v>
      </c>
      <c r="L119" s="39">
        <v>31697.477477477474</v>
      </c>
      <c r="M119" s="39">
        <v>760739</v>
      </c>
      <c r="N119" s="39">
        <v>34234</v>
      </c>
      <c r="O119" s="39">
        <v>821622</v>
      </c>
      <c r="Q119" s="39">
        <v>0</v>
      </c>
      <c r="R119" s="35">
        <v>45848</v>
      </c>
      <c r="T119" t="s">
        <v>1077</v>
      </c>
      <c r="U119" t="s">
        <v>126</v>
      </c>
      <c r="V119" t="s">
        <v>139</v>
      </c>
      <c r="W119">
        <v>20480</v>
      </c>
      <c r="X119" t="s">
        <v>637</v>
      </c>
      <c r="Y119" t="s">
        <v>943</v>
      </c>
      <c r="Z119" t="s">
        <v>374</v>
      </c>
      <c r="AA119" t="s">
        <v>140</v>
      </c>
      <c r="AB119" t="s">
        <v>141</v>
      </c>
      <c r="AC119">
        <v>11611</v>
      </c>
      <c r="AD119">
        <v>11612</v>
      </c>
      <c r="AE119">
        <v>101</v>
      </c>
      <c r="AF119">
        <v>1</v>
      </c>
    </row>
    <row r="120" spans="1:32">
      <c r="A120">
        <v>1</v>
      </c>
      <c r="B120">
        <v>114</v>
      </c>
      <c r="C120" t="s">
        <v>438</v>
      </c>
      <c r="D120" t="s">
        <v>623</v>
      </c>
      <c r="E120" t="s">
        <v>559</v>
      </c>
      <c r="F120">
        <v>48</v>
      </c>
      <c r="G120" t="s">
        <v>647</v>
      </c>
      <c r="H120" t="s">
        <v>931</v>
      </c>
      <c r="I120" t="s">
        <v>932</v>
      </c>
      <c r="J120" t="s">
        <v>1031</v>
      </c>
      <c r="K120" t="s">
        <v>1051</v>
      </c>
      <c r="L120" s="39">
        <v>16682.882882882881</v>
      </c>
      <c r="M120" s="39">
        <v>800778</v>
      </c>
      <c r="N120" s="39">
        <v>18018</v>
      </c>
      <c r="O120" s="39">
        <v>864865</v>
      </c>
      <c r="Q120" s="39">
        <v>0</v>
      </c>
      <c r="R120" s="35">
        <v>45848</v>
      </c>
      <c r="T120" t="s">
        <v>1077</v>
      </c>
      <c r="U120" t="s">
        <v>126</v>
      </c>
      <c r="V120" t="s">
        <v>139</v>
      </c>
      <c r="W120">
        <v>20225</v>
      </c>
      <c r="X120" t="s">
        <v>646</v>
      </c>
      <c r="Y120" t="s">
        <v>943</v>
      </c>
      <c r="Z120" t="s">
        <v>374</v>
      </c>
      <c r="AA120" t="s">
        <v>140</v>
      </c>
      <c r="AB120" t="s">
        <v>141</v>
      </c>
      <c r="AC120">
        <v>11611</v>
      </c>
      <c r="AD120">
        <v>11612</v>
      </c>
      <c r="AE120">
        <v>101</v>
      </c>
      <c r="AF120">
        <v>1</v>
      </c>
    </row>
    <row r="121" spans="1:32">
      <c r="A121">
        <v>1</v>
      </c>
      <c r="B121">
        <v>115</v>
      </c>
      <c r="C121" t="s">
        <v>439</v>
      </c>
      <c r="D121" t="s">
        <v>623</v>
      </c>
      <c r="E121" t="s">
        <v>560</v>
      </c>
      <c r="F121">
        <v>24</v>
      </c>
      <c r="G121" t="s">
        <v>657</v>
      </c>
      <c r="H121" t="s">
        <v>931</v>
      </c>
      <c r="I121" t="s">
        <v>932</v>
      </c>
      <c r="J121" t="s">
        <v>758</v>
      </c>
      <c r="K121" t="s">
        <v>875</v>
      </c>
      <c r="L121" s="39">
        <v>31697.477477477474</v>
      </c>
      <c r="M121" s="39">
        <v>760739</v>
      </c>
      <c r="N121" s="39">
        <v>34234</v>
      </c>
      <c r="O121" s="39">
        <v>821622</v>
      </c>
      <c r="Q121" s="39">
        <v>0</v>
      </c>
      <c r="R121" s="35">
        <v>45848</v>
      </c>
      <c r="T121" t="s">
        <v>1077</v>
      </c>
      <c r="U121" t="s">
        <v>126</v>
      </c>
      <c r="V121" t="s">
        <v>139</v>
      </c>
      <c r="W121">
        <v>20480</v>
      </c>
      <c r="X121" t="s">
        <v>637</v>
      </c>
      <c r="Y121" t="s">
        <v>943</v>
      </c>
      <c r="Z121" t="s">
        <v>374</v>
      </c>
      <c r="AA121" t="s">
        <v>140</v>
      </c>
      <c r="AB121" t="s">
        <v>141</v>
      </c>
      <c r="AC121">
        <v>11611</v>
      </c>
      <c r="AD121">
        <v>11612</v>
      </c>
      <c r="AE121">
        <v>101</v>
      </c>
      <c r="AF121">
        <v>1</v>
      </c>
    </row>
    <row r="122" spans="1:32">
      <c r="A122">
        <v>1</v>
      </c>
      <c r="B122">
        <v>116</v>
      </c>
      <c r="C122" t="s">
        <v>423</v>
      </c>
      <c r="D122" t="s">
        <v>623</v>
      </c>
      <c r="E122" t="s">
        <v>544</v>
      </c>
      <c r="F122">
        <v>48</v>
      </c>
      <c r="G122" t="s">
        <v>636</v>
      </c>
      <c r="H122" t="s">
        <v>931</v>
      </c>
      <c r="I122" t="s">
        <v>932</v>
      </c>
      <c r="J122" t="s">
        <v>759</v>
      </c>
      <c r="K122" t="s">
        <v>945</v>
      </c>
      <c r="L122" s="39">
        <v>10927.28828828829</v>
      </c>
      <c r="M122" s="39">
        <v>524510</v>
      </c>
      <c r="N122" s="39">
        <v>11802</v>
      </c>
      <c r="O122" s="39">
        <v>566486</v>
      </c>
      <c r="Q122" s="39">
        <v>0</v>
      </c>
      <c r="R122" s="35">
        <v>45848</v>
      </c>
      <c r="T122" t="s">
        <v>1077</v>
      </c>
      <c r="U122" t="s">
        <v>126</v>
      </c>
      <c r="V122" t="s">
        <v>139</v>
      </c>
      <c r="W122">
        <v>20180</v>
      </c>
      <c r="X122" t="s">
        <v>641</v>
      </c>
      <c r="Y122" t="s">
        <v>943</v>
      </c>
      <c r="Z122" t="s">
        <v>374</v>
      </c>
      <c r="AA122" t="s">
        <v>140</v>
      </c>
      <c r="AB122" t="s">
        <v>141</v>
      </c>
      <c r="AC122">
        <v>11611</v>
      </c>
      <c r="AD122">
        <v>11612</v>
      </c>
      <c r="AE122">
        <v>101</v>
      </c>
      <c r="AF122">
        <v>1</v>
      </c>
    </row>
    <row r="123" spans="1:32">
      <c r="A123">
        <v>1</v>
      </c>
      <c r="B123">
        <v>117</v>
      </c>
      <c r="C123" t="s">
        <v>443</v>
      </c>
      <c r="D123" t="s">
        <v>623</v>
      </c>
      <c r="E123" t="s">
        <v>564</v>
      </c>
      <c r="F123">
        <v>48</v>
      </c>
      <c r="G123" t="s">
        <v>647</v>
      </c>
      <c r="H123" t="s">
        <v>931</v>
      </c>
      <c r="I123" t="s">
        <v>932</v>
      </c>
      <c r="J123" t="s">
        <v>1032</v>
      </c>
      <c r="K123" t="s">
        <v>1052</v>
      </c>
      <c r="L123">
        <v>16682.882882882881</v>
      </c>
      <c r="M123">
        <v>800778</v>
      </c>
      <c r="N123">
        <v>18018</v>
      </c>
      <c r="O123">
        <v>864865</v>
      </c>
      <c r="P123"/>
      <c r="Q123">
        <v>0</v>
      </c>
      <c r="R123" s="35">
        <v>45848</v>
      </c>
      <c r="T123" t="s">
        <v>1077</v>
      </c>
      <c r="U123" t="s">
        <v>126</v>
      </c>
      <c r="V123" t="s">
        <v>139</v>
      </c>
      <c r="W123">
        <v>20225</v>
      </c>
      <c r="X123" t="s">
        <v>646</v>
      </c>
      <c r="Y123" t="s">
        <v>943</v>
      </c>
      <c r="Z123" t="s">
        <v>374</v>
      </c>
      <c r="AA123" t="s">
        <v>140</v>
      </c>
      <c r="AB123" t="s">
        <v>141</v>
      </c>
      <c r="AC123">
        <v>11611</v>
      </c>
      <c r="AD123">
        <v>11612</v>
      </c>
      <c r="AE123">
        <v>101</v>
      </c>
      <c r="AF123">
        <v>1</v>
      </c>
    </row>
    <row r="124" spans="1:32">
      <c r="A124">
        <v>1</v>
      </c>
      <c r="B124">
        <v>118</v>
      </c>
      <c r="C124" t="s">
        <v>444</v>
      </c>
      <c r="D124" t="s">
        <v>623</v>
      </c>
      <c r="E124" t="s">
        <v>565</v>
      </c>
      <c r="F124">
        <v>24</v>
      </c>
      <c r="G124" t="s">
        <v>657</v>
      </c>
      <c r="H124" t="s">
        <v>931</v>
      </c>
      <c r="I124" t="s">
        <v>932</v>
      </c>
      <c r="J124" t="s">
        <v>944</v>
      </c>
      <c r="K124" t="s">
        <v>946</v>
      </c>
      <c r="L124">
        <v>31697.477477477474</v>
      </c>
      <c r="M124">
        <v>760739</v>
      </c>
      <c r="N124">
        <v>34234</v>
      </c>
      <c r="O124">
        <v>821622</v>
      </c>
      <c r="P124"/>
      <c r="Q124">
        <v>0</v>
      </c>
      <c r="R124" s="35">
        <v>45848</v>
      </c>
      <c r="T124" t="s">
        <v>1077</v>
      </c>
      <c r="U124" t="s">
        <v>126</v>
      </c>
      <c r="V124" t="s">
        <v>139</v>
      </c>
      <c r="W124">
        <v>20480</v>
      </c>
      <c r="X124" t="s">
        <v>637</v>
      </c>
      <c r="Y124" t="s">
        <v>943</v>
      </c>
      <c r="Z124" t="s">
        <v>374</v>
      </c>
      <c r="AA124" t="s">
        <v>140</v>
      </c>
      <c r="AB124" t="s">
        <v>141</v>
      </c>
      <c r="AC124">
        <v>11611</v>
      </c>
      <c r="AD124">
        <v>11612</v>
      </c>
      <c r="AE124">
        <v>101</v>
      </c>
      <c r="AF124">
        <v>1</v>
      </c>
    </row>
    <row r="125" spans="1:32">
      <c r="A125">
        <v>1</v>
      </c>
      <c r="B125">
        <v>119</v>
      </c>
      <c r="C125" t="s">
        <v>493</v>
      </c>
      <c r="D125" t="s">
        <v>623</v>
      </c>
      <c r="E125" t="s">
        <v>614</v>
      </c>
      <c r="F125">
        <v>48</v>
      </c>
      <c r="G125" t="s">
        <v>659</v>
      </c>
      <c r="H125" t="s">
        <v>933</v>
      </c>
      <c r="I125" t="s">
        <v>934</v>
      </c>
      <c r="J125" t="s">
        <v>760</v>
      </c>
      <c r="K125" t="s">
        <v>876</v>
      </c>
      <c r="L125">
        <v>28360.900900900899</v>
      </c>
      <c r="M125">
        <v>1361323</v>
      </c>
      <c r="N125">
        <v>30631</v>
      </c>
      <c r="O125">
        <v>1470270</v>
      </c>
      <c r="P125"/>
      <c r="Q125">
        <v>0</v>
      </c>
      <c r="R125" s="35">
        <v>45848</v>
      </c>
      <c r="T125" t="s">
        <v>1077</v>
      </c>
      <c r="U125" t="s">
        <v>126</v>
      </c>
      <c r="V125" t="s">
        <v>139</v>
      </c>
      <c r="W125">
        <v>20020</v>
      </c>
      <c r="X125" t="s">
        <v>653</v>
      </c>
      <c r="Y125" t="s">
        <v>943</v>
      </c>
      <c r="Z125" t="s">
        <v>374</v>
      </c>
      <c r="AA125" t="s">
        <v>140</v>
      </c>
      <c r="AB125" t="s">
        <v>141</v>
      </c>
      <c r="AC125">
        <v>11611</v>
      </c>
      <c r="AD125">
        <v>11612</v>
      </c>
      <c r="AE125">
        <v>101</v>
      </c>
      <c r="AF125">
        <v>1</v>
      </c>
    </row>
    <row r="126" spans="1:32">
      <c r="A126">
        <v>1</v>
      </c>
      <c r="B126">
        <v>120</v>
      </c>
      <c r="C126" t="s">
        <v>494</v>
      </c>
      <c r="D126" t="s">
        <v>623</v>
      </c>
      <c r="E126" t="s">
        <v>615</v>
      </c>
      <c r="F126">
        <v>48</v>
      </c>
      <c r="G126" t="s">
        <v>660</v>
      </c>
      <c r="H126" t="s">
        <v>933</v>
      </c>
      <c r="I126" t="s">
        <v>934</v>
      </c>
      <c r="J126" t="s">
        <v>761</v>
      </c>
      <c r="K126" t="s">
        <v>877</v>
      </c>
      <c r="L126">
        <v>37536.486486486487</v>
      </c>
      <c r="M126">
        <v>1801751</v>
      </c>
      <c r="N126">
        <v>40541</v>
      </c>
      <c r="O126">
        <v>1945946</v>
      </c>
      <c r="P126"/>
      <c r="Q126">
        <v>0</v>
      </c>
      <c r="R126" s="35">
        <v>45848</v>
      </c>
      <c r="T126" t="s">
        <v>1077</v>
      </c>
      <c r="U126" t="s">
        <v>126</v>
      </c>
      <c r="V126" t="s">
        <v>139</v>
      </c>
      <c r="W126">
        <v>10030</v>
      </c>
      <c r="X126" t="s">
        <v>665</v>
      </c>
      <c r="Y126" t="s">
        <v>943</v>
      </c>
      <c r="Z126" t="s">
        <v>374</v>
      </c>
      <c r="AA126" t="s">
        <v>140</v>
      </c>
      <c r="AB126" t="s">
        <v>141</v>
      </c>
      <c r="AC126">
        <v>11611</v>
      </c>
      <c r="AD126">
        <v>11612</v>
      </c>
      <c r="AE126">
        <v>101</v>
      </c>
      <c r="AF126">
        <v>1</v>
      </c>
    </row>
    <row r="127" spans="1:32">
      <c r="A127">
        <v>1</v>
      </c>
      <c r="B127">
        <v>121</v>
      </c>
      <c r="C127" t="s">
        <v>495</v>
      </c>
      <c r="D127" t="s">
        <v>623</v>
      </c>
      <c r="E127" t="s">
        <v>616</v>
      </c>
      <c r="F127">
        <v>48</v>
      </c>
      <c r="G127" t="s">
        <v>659</v>
      </c>
      <c r="H127" t="s">
        <v>935</v>
      </c>
      <c r="I127" t="s">
        <v>936</v>
      </c>
      <c r="J127" t="s">
        <v>762</v>
      </c>
      <c r="K127" t="s">
        <v>878</v>
      </c>
      <c r="L127">
        <v>24398.716216216217</v>
      </c>
      <c r="M127">
        <v>1171138</v>
      </c>
      <c r="N127">
        <v>26351</v>
      </c>
      <c r="O127">
        <v>1264865</v>
      </c>
      <c r="P127"/>
      <c r="Q127">
        <v>0</v>
      </c>
      <c r="R127" s="35">
        <v>45848</v>
      </c>
      <c r="T127" t="s">
        <v>1077</v>
      </c>
      <c r="U127" t="s">
        <v>126</v>
      </c>
      <c r="V127" t="s">
        <v>139</v>
      </c>
      <c r="W127">
        <v>20030</v>
      </c>
      <c r="X127" t="s">
        <v>654</v>
      </c>
      <c r="Y127" t="s">
        <v>943</v>
      </c>
      <c r="Z127" t="s">
        <v>374</v>
      </c>
      <c r="AA127" t="s">
        <v>140</v>
      </c>
      <c r="AB127" t="s">
        <v>141</v>
      </c>
      <c r="AC127">
        <v>11611</v>
      </c>
      <c r="AD127">
        <v>11612</v>
      </c>
      <c r="AE127">
        <v>101</v>
      </c>
      <c r="AF127">
        <v>1</v>
      </c>
    </row>
    <row r="128" spans="1:32">
      <c r="A128">
        <v>1</v>
      </c>
      <c r="B128">
        <v>122</v>
      </c>
      <c r="C128" t="s">
        <v>458</v>
      </c>
      <c r="D128" t="s">
        <v>624</v>
      </c>
      <c r="E128" t="s">
        <v>579</v>
      </c>
      <c r="F128">
        <v>24</v>
      </c>
      <c r="G128" t="s">
        <v>636</v>
      </c>
      <c r="H128" t="s">
        <v>937</v>
      </c>
      <c r="I128" t="s">
        <v>938</v>
      </c>
      <c r="J128" t="s">
        <v>763</v>
      </c>
      <c r="K128" t="s">
        <v>879</v>
      </c>
      <c r="L128">
        <v>18351.171171171172</v>
      </c>
      <c r="M128">
        <v>440428</v>
      </c>
      <c r="N128">
        <v>19820</v>
      </c>
      <c r="O128">
        <v>475676</v>
      </c>
      <c r="P128"/>
      <c r="Q128">
        <v>0</v>
      </c>
      <c r="R128" s="35">
        <v>45848</v>
      </c>
      <c r="T128" t="s">
        <v>1077</v>
      </c>
      <c r="U128" t="s">
        <v>126</v>
      </c>
      <c r="V128" t="s">
        <v>139</v>
      </c>
      <c r="W128">
        <v>20400</v>
      </c>
      <c r="X128" t="s">
        <v>635</v>
      </c>
      <c r="Y128" t="s">
        <v>943</v>
      </c>
      <c r="Z128" t="s">
        <v>374</v>
      </c>
      <c r="AA128" t="s">
        <v>140</v>
      </c>
      <c r="AB128" t="s">
        <v>141</v>
      </c>
      <c r="AC128">
        <v>11611</v>
      </c>
      <c r="AD128">
        <v>11612</v>
      </c>
      <c r="AE128">
        <v>101</v>
      </c>
      <c r="AF128">
        <v>1</v>
      </c>
    </row>
    <row r="129" spans="1:32">
      <c r="A129">
        <v>1</v>
      </c>
      <c r="B129">
        <v>123</v>
      </c>
      <c r="C129" t="s">
        <v>462</v>
      </c>
      <c r="D129" t="s">
        <v>624</v>
      </c>
      <c r="E129" t="s">
        <v>583</v>
      </c>
      <c r="F129">
        <v>24</v>
      </c>
      <c r="G129" t="s">
        <v>636</v>
      </c>
      <c r="H129" t="s">
        <v>937</v>
      </c>
      <c r="I129" t="s">
        <v>938</v>
      </c>
      <c r="J129" t="s">
        <v>764</v>
      </c>
      <c r="K129" t="s">
        <v>880</v>
      </c>
      <c r="L129">
        <v>18351.171171171172</v>
      </c>
      <c r="M129">
        <v>440428</v>
      </c>
      <c r="N129">
        <v>19820</v>
      </c>
      <c r="O129">
        <v>475676</v>
      </c>
      <c r="P129"/>
      <c r="Q129">
        <v>0</v>
      </c>
      <c r="R129" s="35">
        <v>45848</v>
      </c>
      <c r="T129" t="s">
        <v>1077</v>
      </c>
      <c r="U129" t="s">
        <v>126</v>
      </c>
      <c r="V129" t="s">
        <v>139</v>
      </c>
      <c r="W129">
        <v>20400</v>
      </c>
      <c r="X129" t="s">
        <v>635</v>
      </c>
      <c r="Y129" t="s">
        <v>943</v>
      </c>
      <c r="Z129" t="s">
        <v>374</v>
      </c>
      <c r="AA129" t="s">
        <v>140</v>
      </c>
      <c r="AB129" t="s">
        <v>141</v>
      </c>
      <c r="AC129">
        <v>11611</v>
      </c>
      <c r="AD129">
        <v>11612</v>
      </c>
      <c r="AE129">
        <v>101</v>
      </c>
      <c r="AF129">
        <v>1</v>
      </c>
    </row>
    <row r="130" spans="1:32">
      <c r="A130">
        <v>1</v>
      </c>
      <c r="B130">
        <v>162</v>
      </c>
      <c r="C130" t="s">
        <v>1084</v>
      </c>
      <c r="D130" t="s">
        <v>624</v>
      </c>
      <c r="E130" t="s">
        <v>1083</v>
      </c>
      <c r="F130">
        <v>12</v>
      </c>
      <c r="G130" t="s">
        <v>636</v>
      </c>
      <c r="H130" t="s">
        <v>937</v>
      </c>
      <c r="I130" t="s">
        <v>938</v>
      </c>
      <c r="J130" t="s">
        <v>1102</v>
      </c>
      <c r="K130" t="s">
        <v>1111</v>
      </c>
      <c r="L130"/>
      <c r="M130">
        <v>0</v>
      </c>
      <c r="N130"/>
      <c r="O130">
        <v>0</v>
      </c>
      <c r="P130"/>
      <c r="Q130">
        <v>0</v>
      </c>
      <c r="R130" s="35"/>
      <c r="T130" t="s">
        <v>1077</v>
      </c>
      <c r="U130" t="s">
        <v>126</v>
      </c>
      <c r="V130" t="s">
        <v>139</v>
      </c>
      <c r="W130">
        <v>800</v>
      </c>
      <c r="X130" t="s">
        <v>1082</v>
      </c>
      <c r="AA130" t="s">
        <v>140</v>
      </c>
      <c r="AB130" t="s">
        <v>141</v>
      </c>
      <c r="AC130">
        <v>11611</v>
      </c>
      <c r="AD130">
        <v>11612</v>
      </c>
      <c r="AF130">
        <v>1</v>
      </c>
    </row>
    <row r="131" spans="1:32">
      <c r="A131">
        <v>1</v>
      </c>
      <c r="B131">
        <v>124</v>
      </c>
      <c r="C131" t="s">
        <v>451</v>
      </c>
      <c r="D131" t="s">
        <v>627</v>
      </c>
      <c r="E131" t="s">
        <v>572</v>
      </c>
      <c r="F131">
        <v>48</v>
      </c>
      <c r="G131" t="s">
        <v>636</v>
      </c>
      <c r="H131" t="s">
        <v>937</v>
      </c>
      <c r="I131" t="s">
        <v>938</v>
      </c>
      <c r="J131" t="s">
        <v>765</v>
      </c>
      <c r="K131" t="s">
        <v>881</v>
      </c>
      <c r="L131">
        <v>3336.5765765765759</v>
      </c>
      <c r="M131">
        <v>160156</v>
      </c>
      <c r="N131">
        <v>3604</v>
      </c>
      <c r="O131">
        <v>172973</v>
      </c>
      <c r="P131"/>
      <c r="Q131">
        <v>0</v>
      </c>
      <c r="R131" s="35">
        <v>45848</v>
      </c>
      <c r="T131" t="s">
        <v>1077</v>
      </c>
      <c r="U131" t="s">
        <v>126</v>
      </c>
      <c r="V131" t="s">
        <v>139</v>
      </c>
      <c r="W131">
        <v>20085</v>
      </c>
      <c r="X131" t="s">
        <v>656</v>
      </c>
      <c r="Y131" t="s">
        <v>943</v>
      </c>
      <c r="Z131" t="s">
        <v>374</v>
      </c>
      <c r="AA131" t="s">
        <v>140</v>
      </c>
      <c r="AB131" t="s">
        <v>141</v>
      </c>
      <c r="AC131">
        <v>11611</v>
      </c>
      <c r="AD131">
        <v>11612</v>
      </c>
      <c r="AE131">
        <v>101</v>
      </c>
      <c r="AF131">
        <v>1</v>
      </c>
    </row>
    <row r="132" spans="1:32">
      <c r="A132">
        <v>1</v>
      </c>
      <c r="B132">
        <v>125</v>
      </c>
      <c r="C132" t="s">
        <v>964</v>
      </c>
      <c r="D132" t="s">
        <v>624</v>
      </c>
      <c r="E132" t="s">
        <v>953</v>
      </c>
      <c r="F132">
        <v>24</v>
      </c>
      <c r="G132" t="s">
        <v>636</v>
      </c>
      <c r="H132" t="s">
        <v>937</v>
      </c>
      <c r="I132" t="s">
        <v>938</v>
      </c>
      <c r="J132" t="s">
        <v>1033</v>
      </c>
      <c r="K132" t="s">
        <v>1053</v>
      </c>
      <c r="L132">
        <v>18351.171171171172</v>
      </c>
      <c r="M132">
        <v>440428</v>
      </c>
      <c r="N132">
        <v>19820</v>
      </c>
      <c r="O132">
        <v>475676</v>
      </c>
      <c r="P132"/>
      <c r="Q132">
        <v>0</v>
      </c>
      <c r="R132" s="35">
        <v>45864</v>
      </c>
      <c r="T132" t="s">
        <v>1077</v>
      </c>
      <c r="U132" t="s">
        <v>126</v>
      </c>
      <c r="V132" t="s">
        <v>139</v>
      </c>
      <c r="W132">
        <v>20400</v>
      </c>
      <c r="X132" t="s">
        <v>635</v>
      </c>
      <c r="AA132" t="s">
        <v>140</v>
      </c>
      <c r="AB132" t="s">
        <v>141</v>
      </c>
      <c r="AC132">
        <v>11611</v>
      </c>
      <c r="AD132">
        <v>11612</v>
      </c>
      <c r="AF132">
        <v>1</v>
      </c>
    </row>
    <row r="133" spans="1:32">
      <c r="A133">
        <v>1</v>
      </c>
      <c r="B133">
        <v>126</v>
      </c>
      <c r="C133" t="s">
        <v>457</v>
      </c>
      <c r="D133" t="s">
        <v>627</v>
      </c>
      <c r="E133" t="s">
        <v>578</v>
      </c>
      <c r="F133">
        <v>48</v>
      </c>
      <c r="G133" t="s">
        <v>636</v>
      </c>
      <c r="H133" t="s">
        <v>937</v>
      </c>
      <c r="I133" t="s">
        <v>938</v>
      </c>
      <c r="J133" t="s">
        <v>766</v>
      </c>
      <c r="K133" t="s">
        <v>882</v>
      </c>
      <c r="L133">
        <v>3336.5765765765759</v>
      </c>
      <c r="M133">
        <v>160156</v>
      </c>
      <c r="N133">
        <v>3604</v>
      </c>
      <c r="O133">
        <v>172973</v>
      </c>
      <c r="P133"/>
      <c r="Q133">
        <v>0</v>
      </c>
      <c r="R133" s="35">
        <v>45848</v>
      </c>
      <c r="T133" t="s">
        <v>1077</v>
      </c>
      <c r="U133" t="s">
        <v>126</v>
      </c>
      <c r="V133" t="s">
        <v>139</v>
      </c>
      <c r="W133">
        <v>20085</v>
      </c>
      <c r="X133" t="s">
        <v>656</v>
      </c>
      <c r="Y133" t="s">
        <v>943</v>
      </c>
      <c r="Z133" t="s">
        <v>374</v>
      </c>
      <c r="AA133" t="s">
        <v>140</v>
      </c>
      <c r="AB133" t="s">
        <v>141</v>
      </c>
      <c r="AC133">
        <v>11611</v>
      </c>
      <c r="AD133">
        <v>11612</v>
      </c>
      <c r="AE133">
        <v>101</v>
      </c>
      <c r="AF133">
        <v>1</v>
      </c>
    </row>
    <row r="134" spans="1:32">
      <c r="A134">
        <v>1</v>
      </c>
      <c r="B134">
        <v>127</v>
      </c>
      <c r="C134" t="s">
        <v>965</v>
      </c>
      <c r="D134" t="s">
        <v>950</v>
      </c>
      <c r="E134" t="s">
        <v>954</v>
      </c>
      <c r="F134">
        <v>24</v>
      </c>
      <c r="G134" t="s">
        <v>636</v>
      </c>
      <c r="H134" t="s">
        <v>937</v>
      </c>
      <c r="I134" t="s">
        <v>938</v>
      </c>
      <c r="J134" t="s">
        <v>1034</v>
      </c>
      <c r="K134" t="s">
        <v>1054</v>
      </c>
      <c r="L134">
        <v>18351.171171171172</v>
      </c>
      <c r="M134">
        <v>440428</v>
      </c>
      <c r="N134">
        <v>19820</v>
      </c>
      <c r="O134">
        <v>475676</v>
      </c>
      <c r="P134"/>
      <c r="Q134">
        <v>0</v>
      </c>
      <c r="R134" s="35">
        <v>45864</v>
      </c>
      <c r="T134" t="s">
        <v>1077</v>
      </c>
      <c r="U134" t="s">
        <v>126</v>
      </c>
      <c r="V134" t="s">
        <v>139</v>
      </c>
      <c r="W134">
        <v>20400</v>
      </c>
      <c r="X134" t="s">
        <v>635</v>
      </c>
      <c r="AA134" t="s">
        <v>140</v>
      </c>
      <c r="AB134" t="s">
        <v>141</v>
      </c>
      <c r="AC134">
        <v>11611</v>
      </c>
      <c r="AD134">
        <v>11612</v>
      </c>
      <c r="AF134">
        <v>1</v>
      </c>
    </row>
    <row r="135" spans="1:32">
      <c r="A135">
        <v>1</v>
      </c>
      <c r="B135">
        <v>128</v>
      </c>
      <c r="C135" t="s">
        <v>452</v>
      </c>
      <c r="D135" t="s">
        <v>624</v>
      </c>
      <c r="E135" t="s">
        <v>573</v>
      </c>
      <c r="F135">
        <v>24</v>
      </c>
      <c r="G135" t="s">
        <v>636</v>
      </c>
      <c r="H135" t="s">
        <v>937</v>
      </c>
      <c r="I135" t="s">
        <v>938</v>
      </c>
      <c r="J135" t="s">
        <v>767</v>
      </c>
      <c r="K135" t="s">
        <v>883</v>
      </c>
      <c r="L135">
        <v>18351.171171171172</v>
      </c>
      <c r="M135">
        <v>440428</v>
      </c>
      <c r="N135">
        <v>19820</v>
      </c>
      <c r="O135">
        <v>475676</v>
      </c>
      <c r="P135"/>
      <c r="Q135">
        <v>0</v>
      </c>
      <c r="R135" s="35">
        <v>45848</v>
      </c>
      <c r="T135" t="s">
        <v>1077</v>
      </c>
      <c r="U135" t="s">
        <v>126</v>
      </c>
      <c r="V135" t="s">
        <v>139</v>
      </c>
      <c r="W135">
        <v>20400</v>
      </c>
      <c r="X135" t="s">
        <v>635</v>
      </c>
      <c r="Y135" t="s">
        <v>943</v>
      </c>
      <c r="Z135" t="s">
        <v>374</v>
      </c>
      <c r="AA135" t="s">
        <v>140</v>
      </c>
      <c r="AB135" t="s">
        <v>141</v>
      </c>
      <c r="AC135">
        <v>11611</v>
      </c>
      <c r="AD135">
        <v>11612</v>
      </c>
      <c r="AE135">
        <v>101</v>
      </c>
      <c r="AF135">
        <v>1</v>
      </c>
    </row>
    <row r="136" spans="1:32">
      <c r="A136">
        <v>1</v>
      </c>
      <c r="B136">
        <v>129</v>
      </c>
      <c r="C136" t="s">
        <v>454</v>
      </c>
      <c r="D136" t="s">
        <v>627</v>
      </c>
      <c r="E136" t="s">
        <v>575</v>
      </c>
      <c r="F136">
        <v>48</v>
      </c>
      <c r="G136" t="s">
        <v>636</v>
      </c>
      <c r="H136" t="s">
        <v>937</v>
      </c>
      <c r="I136" t="s">
        <v>938</v>
      </c>
      <c r="J136" t="s">
        <v>768</v>
      </c>
      <c r="K136" t="s">
        <v>884</v>
      </c>
      <c r="L136">
        <v>3336.5765765765759</v>
      </c>
      <c r="M136">
        <v>160156</v>
      </c>
      <c r="N136">
        <v>3604</v>
      </c>
      <c r="O136">
        <v>172973</v>
      </c>
      <c r="P136"/>
      <c r="Q136">
        <v>0</v>
      </c>
      <c r="R136" s="35">
        <v>45848</v>
      </c>
      <c r="T136" t="s">
        <v>1077</v>
      </c>
      <c r="U136" t="s">
        <v>126</v>
      </c>
      <c r="V136" t="s">
        <v>139</v>
      </c>
      <c r="W136">
        <v>20085</v>
      </c>
      <c r="X136" t="s">
        <v>656</v>
      </c>
      <c r="Y136" t="s">
        <v>943</v>
      </c>
      <c r="Z136" t="s">
        <v>374</v>
      </c>
      <c r="AA136" t="s">
        <v>140</v>
      </c>
      <c r="AB136" t="s">
        <v>141</v>
      </c>
      <c r="AC136">
        <v>11611</v>
      </c>
      <c r="AD136">
        <v>11612</v>
      </c>
      <c r="AE136">
        <v>101</v>
      </c>
      <c r="AF136">
        <v>1</v>
      </c>
    </row>
    <row r="137" spans="1:32">
      <c r="A137">
        <v>1</v>
      </c>
      <c r="B137">
        <v>130</v>
      </c>
      <c r="C137" t="s">
        <v>459</v>
      </c>
      <c r="D137" t="s">
        <v>624</v>
      </c>
      <c r="E137" t="s">
        <v>580</v>
      </c>
      <c r="F137">
        <v>24</v>
      </c>
      <c r="G137" t="s">
        <v>657</v>
      </c>
      <c r="H137" t="s">
        <v>937</v>
      </c>
      <c r="I137" t="s">
        <v>938</v>
      </c>
      <c r="J137" t="s">
        <v>769</v>
      </c>
      <c r="K137" t="s">
        <v>885</v>
      </c>
      <c r="L137">
        <v>31697.477477477474</v>
      </c>
      <c r="M137">
        <v>760739</v>
      </c>
      <c r="N137">
        <v>34234</v>
      </c>
      <c r="O137">
        <v>821622</v>
      </c>
      <c r="P137"/>
      <c r="Q137">
        <v>0</v>
      </c>
      <c r="R137" s="35">
        <v>45848</v>
      </c>
      <c r="T137" t="s">
        <v>1077</v>
      </c>
      <c r="U137" t="s">
        <v>126</v>
      </c>
      <c r="V137" t="s">
        <v>139</v>
      </c>
      <c r="W137">
        <v>20480</v>
      </c>
      <c r="X137" t="s">
        <v>637</v>
      </c>
      <c r="Y137" t="s">
        <v>943</v>
      </c>
      <c r="Z137" t="s">
        <v>374</v>
      </c>
      <c r="AA137" t="s">
        <v>140</v>
      </c>
      <c r="AB137" t="s">
        <v>141</v>
      </c>
      <c r="AC137">
        <v>11611</v>
      </c>
      <c r="AD137">
        <v>11612</v>
      </c>
      <c r="AE137">
        <v>101</v>
      </c>
      <c r="AF137">
        <v>1</v>
      </c>
    </row>
    <row r="138" spans="1:32">
      <c r="A138">
        <v>1</v>
      </c>
      <c r="B138">
        <v>131</v>
      </c>
      <c r="C138" t="s">
        <v>463</v>
      </c>
      <c r="D138" t="s">
        <v>624</v>
      </c>
      <c r="E138" t="s">
        <v>584</v>
      </c>
      <c r="F138">
        <v>24</v>
      </c>
      <c r="G138" t="s">
        <v>657</v>
      </c>
      <c r="H138" t="s">
        <v>937</v>
      </c>
      <c r="I138" t="s">
        <v>938</v>
      </c>
      <c r="J138" t="s">
        <v>770</v>
      </c>
      <c r="K138" t="s">
        <v>886</v>
      </c>
      <c r="L138">
        <v>31697.477477477474</v>
      </c>
      <c r="M138">
        <v>760739</v>
      </c>
      <c r="N138">
        <v>34234</v>
      </c>
      <c r="O138">
        <v>821622</v>
      </c>
      <c r="P138"/>
      <c r="Q138">
        <v>0</v>
      </c>
      <c r="R138" s="35">
        <v>45848</v>
      </c>
      <c r="T138" t="s">
        <v>1077</v>
      </c>
      <c r="U138" t="s">
        <v>126</v>
      </c>
      <c r="V138" t="s">
        <v>139</v>
      </c>
      <c r="W138">
        <v>20480</v>
      </c>
      <c r="X138" t="s">
        <v>637</v>
      </c>
      <c r="Y138" t="s">
        <v>943</v>
      </c>
      <c r="Z138" t="s">
        <v>374</v>
      </c>
      <c r="AA138" t="s">
        <v>140</v>
      </c>
      <c r="AB138" t="s">
        <v>141</v>
      </c>
      <c r="AC138">
        <v>11611</v>
      </c>
      <c r="AD138">
        <v>11612</v>
      </c>
      <c r="AE138">
        <v>101</v>
      </c>
      <c r="AF138">
        <v>1</v>
      </c>
    </row>
    <row r="139" spans="1:32">
      <c r="A139">
        <v>1</v>
      </c>
      <c r="B139">
        <v>132</v>
      </c>
      <c r="C139" t="s">
        <v>453</v>
      </c>
      <c r="D139" t="s">
        <v>624</v>
      </c>
      <c r="E139" t="s">
        <v>574</v>
      </c>
      <c r="F139">
        <v>24</v>
      </c>
      <c r="G139" t="s">
        <v>657</v>
      </c>
      <c r="H139" t="s">
        <v>937</v>
      </c>
      <c r="I139" t="s">
        <v>938</v>
      </c>
      <c r="J139" t="s">
        <v>771</v>
      </c>
      <c r="K139" t="s">
        <v>887</v>
      </c>
      <c r="L139">
        <v>31697.477477477474</v>
      </c>
      <c r="M139">
        <v>760739</v>
      </c>
      <c r="N139">
        <v>34234</v>
      </c>
      <c r="O139">
        <v>821622</v>
      </c>
      <c r="P139"/>
      <c r="Q139">
        <v>0</v>
      </c>
      <c r="R139" s="35">
        <v>45848</v>
      </c>
      <c r="T139" t="s">
        <v>1077</v>
      </c>
      <c r="U139" t="s">
        <v>126</v>
      </c>
      <c r="V139" t="s">
        <v>139</v>
      </c>
      <c r="W139">
        <v>20480</v>
      </c>
      <c r="X139" t="s">
        <v>637</v>
      </c>
      <c r="Y139" t="s">
        <v>943</v>
      </c>
      <c r="Z139" t="s">
        <v>374</v>
      </c>
      <c r="AA139" t="s">
        <v>140</v>
      </c>
      <c r="AB139" t="s">
        <v>141</v>
      </c>
      <c r="AC139">
        <v>11611</v>
      </c>
      <c r="AD139">
        <v>11612</v>
      </c>
      <c r="AE139">
        <v>101</v>
      </c>
      <c r="AF139">
        <v>1</v>
      </c>
    </row>
    <row r="140" spans="1:32">
      <c r="A140">
        <v>1</v>
      </c>
      <c r="B140">
        <v>133</v>
      </c>
      <c r="C140" t="s">
        <v>947</v>
      </c>
      <c r="D140" t="s">
        <v>624</v>
      </c>
      <c r="E140" t="s">
        <v>948</v>
      </c>
      <c r="F140">
        <v>48</v>
      </c>
      <c r="G140" t="s">
        <v>636</v>
      </c>
      <c r="H140" t="s">
        <v>937</v>
      </c>
      <c r="I140" t="s">
        <v>938</v>
      </c>
      <c r="J140" t="s">
        <v>1035</v>
      </c>
      <c r="K140" t="s">
        <v>1055</v>
      </c>
      <c r="L140">
        <v>3336.5765765765759</v>
      </c>
      <c r="M140">
        <v>160156</v>
      </c>
      <c r="N140">
        <v>3604</v>
      </c>
      <c r="O140">
        <v>172973</v>
      </c>
      <c r="P140"/>
      <c r="Q140">
        <v>0</v>
      </c>
      <c r="R140" s="35">
        <v>45850</v>
      </c>
      <c r="T140" t="s">
        <v>1077</v>
      </c>
      <c r="U140" t="s">
        <v>126</v>
      </c>
      <c r="V140" t="s">
        <v>139</v>
      </c>
      <c r="W140">
        <v>20085</v>
      </c>
      <c r="X140" t="s">
        <v>656</v>
      </c>
      <c r="Y140" t="s">
        <v>943</v>
      </c>
      <c r="Z140" t="s">
        <v>374</v>
      </c>
      <c r="AA140" t="s">
        <v>140</v>
      </c>
      <c r="AB140" t="s">
        <v>141</v>
      </c>
      <c r="AC140">
        <v>11611</v>
      </c>
      <c r="AD140">
        <v>11612</v>
      </c>
      <c r="AE140">
        <v>101</v>
      </c>
      <c r="AF140">
        <v>1</v>
      </c>
    </row>
    <row r="141" spans="1:32">
      <c r="A141">
        <v>1</v>
      </c>
      <c r="B141">
        <v>134</v>
      </c>
      <c r="C141" t="s">
        <v>967</v>
      </c>
      <c r="D141" t="s">
        <v>624</v>
      </c>
      <c r="E141" t="s">
        <v>952</v>
      </c>
      <c r="F141">
        <v>24</v>
      </c>
      <c r="G141" t="s">
        <v>636</v>
      </c>
      <c r="H141" t="s">
        <v>937</v>
      </c>
      <c r="I141" t="s">
        <v>938</v>
      </c>
      <c r="J141" t="s">
        <v>1036</v>
      </c>
      <c r="K141" t="s">
        <v>1056</v>
      </c>
      <c r="L141">
        <v>18351.171171171172</v>
      </c>
      <c r="M141">
        <v>440428</v>
      </c>
      <c r="N141">
        <v>19820</v>
      </c>
      <c r="O141">
        <v>475676</v>
      </c>
      <c r="P141"/>
      <c r="Q141">
        <v>0</v>
      </c>
      <c r="R141" s="35">
        <v>45864</v>
      </c>
      <c r="T141" t="s">
        <v>1077</v>
      </c>
      <c r="U141" t="s">
        <v>126</v>
      </c>
      <c r="V141" t="s">
        <v>139</v>
      </c>
      <c r="W141">
        <v>20400</v>
      </c>
      <c r="X141" t="s">
        <v>635</v>
      </c>
      <c r="AA141" t="s">
        <v>140</v>
      </c>
      <c r="AB141" t="s">
        <v>141</v>
      </c>
      <c r="AC141">
        <v>11611</v>
      </c>
      <c r="AD141">
        <v>11612</v>
      </c>
      <c r="AF141">
        <v>1</v>
      </c>
    </row>
    <row r="142" spans="1:32">
      <c r="A142">
        <v>1</v>
      </c>
      <c r="B142">
        <v>135</v>
      </c>
      <c r="C142" t="s">
        <v>966</v>
      </c>
      <c r="D142" t="s">
        <v>624</v>
      </c>
      <c r="E142" t="s">
        <v>955</v>
      </c>
      <c r="F142">
        <v>24</v>
      </c>
      <c r="G142" t="s">
        <v>636</v>
      </c>
      <c r="H142" t="s">
        <v>937</v>
      </c>
      <c r="I142" t="s">
        <v>938</v>
      </c>
      <c r="J142" t="s">
        <v>1037</v>
      </c>
      <c r="K142" t="s">
        <v>1057</v>
      </c>
      <c r="L142">
        <v>18351.171171171172</v>
      </c>
      <c r="M142">
        <v>440428</v>
      </c>
      <c r="N142">
        <v>19820</v>
      </c>
      <c r="O142">
        <v>475676</v>
      </c>
      <c r="P142"/>
      <c r="Q142">
        <v>0</v>
      </c>
      <c r="R142" s="35">
        <v>45864</v>
      </c>
      <c r="T142" t="s">
        <v>1077</v>
      </c>
      <c r="U142" t="s">
        <v>126</v>
      </c>
      <c r="V142" t="s">
        <v>139</v>
      </c>
      <c r="W142">
        <v>20400</v>
      </c>
      <c r="X142" t="s">
        <v>635</v>
      </c>
      <c r="AA142" t="s">
        <v>140</v>
      </c>
      <c r="AB142" t="s">
        <v>141</v>
      </c>
      <c r="AC142">
        <v>11611</v>
      </c>
      <c r="AD142">
        <v>11612</v>
      </c>
      <c r="AF142">
        <v>1</v>
      </c>
    </row>
    <row r="143" spans="1:32">
      <c r="A143">
        <v>1</v>
      </c>
      <c r="B143">
        <v>136</v>
      </c>
      <c r="C143" t="s">
        <v>450</v>
      </c>
      <c r="D143" t="s">
        <v>624</v>
      </c>
      <c r="E143" t="s">
        <v>571</v>
      </c>
      <c r="F143">
        <v>24</v>
      </c>
      <c r="G143" t="s">
        <v>636</v>
      </c>
      <c r="H143" t="s">
        <v>939</v>
      </c>
      <c r="I143" t="s">
        <v>940</v>
      </c>
      <c r="J143" t="s">
        <v>772</v>
      </c>
      <c r="K143" t="s">
        <v>888</v>
      </c>
      <c r="L143">
        <v>18351.171171171172</v>
      </c>
      <c r="M143">
        <v>440428</v>
      </c>
      <c r="N143">
        <v>19820</v>
      </c>
      <c r="O143">
        <v>475676</v>
      </c>
      <c r="P143"/>
      <c r="Q143">
        <v>0</v>
      </c>
      <c r="R143" s="35">
        <v>45848</v>
      </c>
      <c r="T143" t="s">
        <v>1077</v>
      </c>
      <c r="U143" t="s">
        <v>126</v>
      </c>
      <c r="V143" t="s">
        <v>139</v>
      </c>
      <c r="W143">
        <v>20400</v>
      </c>
      <c r="X143" t="s">
        <v>635</v>
      </c>
      <c r="Y143" t="s">
        <v>943</v>
      </c>
      <c r="Z143" t="s">
        <v>374</v>
      </c>
      <c r="AA143" t="s">
        <v>140</v>
      </c>
      <c r="AB143" t="s">
        <v>141</v>
      </c>
      <c r="AC143">
        <v>11611</v>
      </c>
      <c r="AD143">
        <v>11612</v>
      </c>
      <c r="AE143">
        <v>101</v>
      </c>
      <c r="AF143">
        <v>1</v>
      </c>
    </row>
    <row r="144" spans="1:32">
      <c r="A144">
        <v>1</v>
      </c>
      <c r="B144">
        <v>137</v>
      </c>
      <c r="C144" t="s">
        <v>455</v>
      </c>
      <c r="D144" t="s">
        <v>624</v>
      </c>
      <c r="E144" t="s">
        <v>576</v>
      </c>
      <c r="F144">
        <v>24</v>
      </c>
      <c r="G144" t="s">
        <v>636</v>
      </c>
      <c r="H144" t="s">
        <v>939</v>
      </c>
      <c r="I144" t="s">
        <v>940</v>
      </c>
      <c r="J144" t="s">
        <v>773</v>
      </c>
      <c r="K144" t="s">
        <v>889</v>
      </c>
      <c r="L144">
        <v>18351.171171171172</v>
      </c>
      <c r="M144">
        <v>440428</v>
      </c>
      <c r="N144">
        <v>19820</v>
      </c>
      <c r="O144">
        <v>475676</v>
      </c>
      <c r="P144"/>
      <c r="Q144">
        <v>0</v>
      </c>
      <c r="R144" s="35">
        <v>45848</v>
      </c>
      <c r="T144" t="s">
        <v>1077</v>
      </c>
      <c r="U144" t="s">
        <v>126</v>
      </c>
      <c r="V144" t="s">
        <v>139</v>
      </c>
      <c r="W144">
        <v>20400</v>
      </c>
      <c r="X144" t="s">
        <v>635</v>
      </c>
      <c r="Y144" t="s">
        <v>943</v>
      </c>
      <c r="Z144" t="s">
        <v>374</v>
      </c>
      <c r="AA144" t="s">
        <v>140</v>
      </c>
      <c r="AB144" t="s">
        <v>141</v>
      </c>
      <c r="AC144">
        <v>11611</v>
      </c>
      <c r="AD144">
        <v>11612</v>
      </c>
      <c r="AE144">
        <v>101</v>
      </c>
      <c r="AF144">
        <v>1</v>
      </c>
    </row>
    <row r="145" spans="1:32">
      <c r="A145">
        <v>1</v>
      </c>
      <c r="B145">
        <v>138</v>
      </c>
      <c r="C145" t="s">
        <v>460</v>
      </c>
      <c r="D145" t="s">
        <v>624</v>
      </c>
      <c r="E145" t="s">
        <v>581</v>
      </c>
      <c r="F145">
        <v>24</v>
      </c>
      <c r="G145" t="s">
        <v>636</v>
      </c>
      <c r="H145" t="s">
        <v>939</v>
      </c>
      <c r="I145" t="s">
        <v>940</v>
      </c>
      <c r="J145" t="s">
        <v>774</v>
      </c>
      <c r="K145" t="s">
        <v>890</v>
      </c>
      <c r="L145">
        <v>18351.171171171172</v>
      </c>
      <c r="M145">
        <v>440428</v>
      </c>
      <c r="N145">
        <v>19820</v>
      </c>
      <c r="O145">
        <v>475676</v>
      </c>
      <c r="P145"/>
      <c r="Q145">
        <v>0</v>
      </c>
      <c r="R145" s="35">
        <v>45848</v>
      </c>
      <c r="T145" t="s">
        <v>1077</v>
      </c>
      <c r="U145" t="s">
        <v>126</v>
      </c>
      <c r="V145" t="s">
        <v>139</v>
      </c>
      <c r="W145">
        <v>20400</v>
      </c>
      <c r="X145" t="s">
        <v>635</v>
      </c>
      <c r="Y145" t="s">
        <v>943</v>
      </c>
      <c r="Z145" t="s">
        <v>374</v>
      </c>
      <c r="AA145" t="s">
        <v>140</v>
      </c>
      <c r="AB145" t="s">
        <v>141</v>
      </c>
      <c r="AC145">
        <v>11611</v>
      </c>
      <c r="AD145">
        <v>11612</v>
      </c>
      <c r="AE145">
        <v>101</v>
      </c>
      <c r="AF145">
        <v>1</v>
      </c>
    </row>
    <row r="146" spans="1:32">
      <c r="A146">
        <v>1</v>
      </c>
      <c r="B146">
        <v>139</v>
      </c>
      <c r="C146" t="s">
        <v>449</v>
      </c>
      <c r="D146" t="s">
        <v>624</v>
      </c>
      <c r="E146" t="s">
        <v>570</v>
      </c>
      <c r="F146">
        <v>24</v>
      </c>
      <c r="G146" t="s">
        <v>657</v>
      </c>
      <c r="H146" t="s">
        <v>939</v>
      </c>
      <c r="I146" t="s">
        <v>940</v>
      </c>
      <c r="J146" t="s">
        <v>775</v>
      </c>
      <c r="K146" t="s">
        <v>891</v>
      </c>
      <c r="L146">
        <v>31697.477477477474</v>
      </c>
      <c r="M146">
        <v>760739</v>
      </c>
      <c r="N146">
        <v>34234</v>
      </c>
      <c r="O146">
        <v>821622</v>
      </c>
      <c r="P146"/>
      <c r="Q146">
        <v>0</v>
      </c>
      <c r="R146" s="35">
        <v>45848</v>
      </c>
      <c r="T146" t="s">
        <v>1077</v>
      </c>
      <c r="U146" t="s">
        <v>126</v>
      </c>
      <c r="V146" t="s">
        <v>139</v>
      </c>
      <c r="W146">
        <v>20480</v>
      </c>
      <c r="X146" t="s">
        <v>637</v>
      </c>
      <c r="Y146" t="s">
        <v>943</v>
      </c>
      <c r="Z146" t="s">
        <v>374</v>
      </c>
      <c r="AA146" t="s">
        <v>140</v>
      </c>
      <c r="AB146" t="s">
        <v>141</v>
      </c>
      <c r="AC146">
        <v>11611</v>
      </c>
      <c r="AD146">
        <v>11612</v>
      </c>
      <c r="AE146">
        <v>101</v>
      </c>
      <c r="AF146">
        <v>1</v>
      </c>
    </row>
    <row r="147" spans="1:32">
      <c r="A147">
        <v>1</v>
      </c>
      <c r="B147">
        <v>140</v>
      </c>
      <c r="C147" t="s">
        <v>456</v>
      </c>
      <c r="D147" t="s">
        <v>624</v>
      </c>
      <c r="E147" t="s">
        <v>577</v>
      </c>
      <c r="F147">
        <v>24</v>
      </c>
      <c r="G147" t="s">
        <v>657</v>
      </c>
      <c r="H147" t="s">
        <v>939</v>
      </c>
      <c r="I147" t="s">
        <v>940</v>
      </c>
      <c r="J147" t="s">
        <v>776</v>
      </c>
      <c r="K147" t="s">
        <v>892</v>
      </c>
      <c r="L147">
        <v>31697.477477477474</v>
      </c>
      <c r="M147">
        <v>760739</v>
      </c>
      <c r="N147">
        <v>34234</v>
      </c>
      <c r="O147">
        <v>821622</v>
      </c>
      <c r="P147"/>
      <c r="Q147">
        <v>0</v>
      </c>
      <c r="R147" s="35">
        <v>45848</v>
      </c>
      <c r="T147" t="s">
        <v>1077</v>
      </c>
      <c r="U147" t="s">
        <v>126</v>
      </c>
      <c r="V147" t="s">
        <v>139</v>
      </c>
      <c r="W147">
        <v>20480</v>
      </c>
      <c r="X147" t="s">
        <v>637</v>
      </c>
      <c r="Y147" t="s">
        <v>943</v>
      </c>
      <c r="Z147" t="s">
        <v>374</v>
      </c>
      <c r="AA147" t="s">
        <v>140</v>
      </c>
      <c r="AB147" t="s">
        <v>141</v>
      </c>
      <c r="AC147">
        <v>11611</v>
      </c>
      <c r="AD147">
        <v>11612</v>
      </c>
      <c r="AE147">
        <v>101</v>
      </c>
      <c r="AF147">
        <v>1</v>
      </c>
    </row>
    <row r="148" spans="1:32">
      <c r="A148">
        <v>1</v>
      </c>
      <c r="B148">
        <v>141</v>
      </c>
      <c r="C148" t="s">
        <v>461</v>
      </c>
      <c r="D148" t="s">
        <v>624</v>
      </c>
      <c r="E148" t="s">
        <v>582</v>
      </c>
      <c r="F148">
        <v>24</v>
      </c>
      <c r="G148" t="s">
        <v>657</v>
      </c>
      <c r="H148" t="s">
        <v>939</v>
      </c>
      <c r="I148" t="s">
        <v>940</v>
      </c>
      <c r="J148" t="s">
        <v>777</v>
      </c>
      <c r="K148" t="s">
        <v>893</v>
      </c>
      <c r="L148">
        <v>31697.477477477474</v>
      </c>
      <c r="M148">
        <v>760739</v>
      </c>
      <c r="N148">
        <v>34234</v>
      </c>
      <c r="O148">
        <v>821622</v>
      </c>
      <c r="P148"/>
      <c r="Q148">
        <v>0</v>
      </c>
      <c r="R148" s="35">
        <v>45848</v>
      </c>
      <c r="T148" t="s">
        <v>1077</v>
      </c>
      <c r="U148" t="s">
        <v>126</v>
      </c>
      <c r="V148" t="s">
        <v>139</v>
      </c>
      <c r="W148">
        <v>20480</v>
      </c>
      <c r="X148" t="s">
        <v>637</v>
      </c>
      <c r="Y148" t="s">
        <v>943</v>
      </c>
      <c r="Z148" t="s">
        <v>374</v>
      </c>
      <c r="AA148" t="s">
        <v>140</v>
      </c>
      <c r="AB148" t="s">
        <v>141</v>
      </c>
      <c r="AC148">
        <v>11611</v>
      </c>
      <c r="AD148">
        <v>11612</v>
      </c>
      <c r="AE148">
        <v>101</v>
      </c>
      <c r="AF148">
        <v>1</v>
      </c>
    </row>
    <row r="149" spans="1:32">
      <c r="A149">
        <v>1</v>
      </c>
      <c r="B149">
        <v>142</v>
      </c>
      <c r="C149" t="s">
        <v>968</v>
      </c>
      <c r="D149" t="s">
        <v>624</v>
      </c>
      <c r="E149" t="s">
        <v>515</v>
      </c>
      <c r="F149">
        <v>6</v>
      </c>
      <c r="G149" t="s">
        <v>662</v>
      </c>
      <c r="H149" t="s">
        <v>941</v>
      </c>
      <c r="I149" t="s">
        <v>942</v>
      </c>
      <c r="J149" t="s">
        <v>778</v>
      </c>
      <c r="K149" t="s">
        <v>894</v>
      </c>
      <c r="L149"/>
      <c r="M149">
        <v>0</v>
      </c>
      <c r="N149"/>
      <c r="O149">
        <v>0</v>
      </c>
      <c r="P149"/>
      <c r="Q149">
        <v>0</v>
      </c>
      <c r="R149" s="35"/>
      <c r="T149" t="s">
        <v>1077</v>
      </c>
      <c r="U149" t="s">
        <v>126</v>
      </c>
      <c r="V149" t="s">
        <v>139</v>
      </c>
      <c r="W149">
        <v>10080</v>
      </c>
      <c r="X149" t="s">
        <v>667</v>
      </c>
      <c r="AA149" t="s">
        <v>140</v>
      </c>
      <c r="AB149" t="s">
        <v>141</v>
      </c>
      <c r="AC149">
        <v>11611</v>
      </c>
      <c r="AD149">
        <v>11612</v>
      </c>
      <c r="AF149">
        <v>1</v>
      </c>
    </row>
    <row r="150" spans="1:32">
      <c r="A150">
        <v>1</v>
      </c>
      <c r="B150">
        <v>144</v>
      </c>
      <c r="C150" t="s">
        <v>399</v>
      </c>
      <c r="D150" t="s">
        <v>624</v>
      </c>
      <c r="E150" t="s">
        <v>520</v>
      </c>
      <c r="F150">
        <v>72</v>
      </c>
      <c r="G150" t="s">
        <v>185</v>
      </c>
      <c r="H150" t="s">
        <v>941</v>
      </c>
      <c r="I150" t="s">
        <v>942</v>
      </c>
      <c r="J150" t="s">
        <v>779</v>
      </c>
      <c r="K150" t="s">
        <v>895</v>
      </c>
      <c r="L150">
        <v>2836.0900900900901</v>
      </c>
      <c r="M150">
        <v>204198</v>
      </c>
      <c r="N150">
        <v>3063</v>
      </c>
      <c r="O150">
        <v>220541</v>
      </c>
      <c r="P150"/>
      <c r="Q150">
        <v>0</v>
      </c>
      <c r="R150" s="35">
        <v>45848</v>
      </c>
      <c r="T150" t="s">
        <v>1077</v>
      </c>
      <c r="U150" t="s">
        <v>126</v>
      </c>
      <c r="V150" t="s">
        <v>139</v>
      </c>
      <c r="W150">
        <v>10060</v>
      </c>
      <c r="X150" t="s">
        <v>669</v>
      </c>
      <c r="Y150" t="s">
        <v>943</v>
      </c>
      <c r="Z150" t="s">
        <v>374</v>
      </c>
      <c r="AA150" t="s">
        <v>140</v>
      </c>
      <c r="AB150" t="s">
        <v>141</v>
      </c>
      <c r="AC150">
        <v>11611</v>
      </c>
      <c r="AD150">
        <v>11612</v>
      </c>
      <c r="AE150">
        <v>101</v>
      </c>
      <c r="AF150">
        <v>1</v>
      </c>
    </row>
    <row r="151" spans="1:32">
      <c r="A151">
        <v>1</v>
      </c>
      <c r="B151">
        <v>145</v>
      </c>
      <c r="C151" t="s">
        <v>400</v>
      </c>
      <c r="D151" t="s">
        <v>624</v>
      </c>
      <c r="E151" t="s">
        <v>521</v>
      </c>
      <c r="F151">
        <v>24</v>
      </c>
      <c r="G151" t="s">
        <v>663</v>
      </c>
      <c r="H151" t="s">
        <v>941</v>
      </c>
      <c r="I151" t="s">
        <v>942</v>
      </c>
      <c r="J151" t="s">
        <v>780</v>
      </c>
      <c r="K151" t="s">
        <v>896</v>
      </c>
      <c r="L151">
        <v>7340.468468468468</v>
      </c>
      <c r="M151">
        <v>176171</v>
      </c>
      <c r="N151">
        <v>7928</v>
      </c>
      <c r="O151">
        <v>190270</v>
      </c>
      <c r="P151"/>
      <c r="Q151">
        <v>0</v>
      </c>
      <c r="R151" s="35">
        <v>45848</v>
      </c>
      <c r="T151" t="s">
        <v>1077</v>
      </c>
      <c r="U151" t="s">
        <v>126</v>
      </c>
      <c r="V151" t="s">
        <v>139</v>
      </c>
      <c r="W151">
        <v>10070</v>
      </c>
      <c r="X151" t="s">
        <v>668</v>
      </c>
      <c r="Y151" t="s">
        <v>943</v>
      </c>
      <c r="Z151" t="s">
        <v>374</v>
      </c>
      <c r="AA151" t="s">
        <v>140</v>
      </c>
      <c r="AB151" t="s">
        <v>141</v>
      </c>
      <c r="AC151">
        <v>11611</v>
      </c>
      <c r="AD151">
        <v>11612</v>
      </c>
      <c r="AE151">
        <v>101</v>
      </c>
      <c r="AF151">
        <v>1</v>
      </c>
    </row>
    <row r="152" spans="1:32">
      <c r="A152">
        <v>1</v>
      </c>
      <c r="B152">
        <v>146</v>
      </c>
      <c r="C152" t="s">
        <v>401</v>
      </c>
      <c r="D152" t="s">
        <v>624</v>
      </c>
      <c r="E152" t="s">
        <v>522</v>
      </c>
      <c r="F152">
        <v>24</v>
      </c>
      <c r="G152" t="s">
        <v>663</v>
      </c>
      <c r="H152" t="s">
        <v>941</v>
      </c>
      <c r="I152" t="s">
        <v>942</v>
      </c>
      <c r="J152" t="s">
        <v>781</v>
      </c>
      <c r="K152" t="s">
        <v>897</v>
      </c>
      <c r="L152">
        <v>7340.468468468468</v>
      </c>
      <c r="M152">
        <v>176171</v>
      </c>
      <c r="N152">
        <v>7928</v>
      </c>
      <c r="O152">
        <v>190270</v>
      </c>
      <c r="P152"/>
      <c r="Q152">
        <v>0</v>
      </c>
      <c r="R152" s="35">
        <v>45848</v>
      </c>
      <c r="T152" t="s">
        <v>1077</v>
      </c>
      <c r="U152" t="s">
        <v>126</v>
      </c>
      <c r="V152" t="s">
        <v>139</v>
      </c>
      <c r="W152">
        <v>10070</v>
      </c>
      <c r="X152" t="s">
        <v>668</v>
      </c>
      <c r="Y152" t="s">
        <v>943</v>
      </c>
      <c r="Z152" t="s">
        <v>374</v>
      </c>
      <c r="AA152" t="s">
        <v>140</v>
      </c>
      <c r="AB152" t="s">
        <v>141</v>
      </c>
      <c r="AC152">
        <v>11611</v>
      </c>
      <c r="AD152">
        <v>11612</v>
      </c>
      <c r="AE152">
        <v>101</v>
      </c>
      <c r="AF152">
        <v>1</v>
      </c>
    </row>
    <row r="153" spans="1:32">
      <c r="A153">
        <v>1</v>
      </c>
      <c r="B153">
        <v>148</v>
      </c>
      <c r="C153" t="s">
        <v>395</v>
      </c>
      <c r="D153" t="s">
        <v>624</v>
      </c>
      <c r="E153" t="s">
        <v>516</v>
      </c>
      <c r="F153">
        <v>24</v>
      </c>
      <c r="G153" t="s">
        <v>663</v>
      </c>
      <c r="H153" t="s">
        <v>941</v>
      </c>
      <c r="I153" t="s">
        <v>942</v>
      </c>
      <c r="J153" t="s">
        <v>782</v>
      </c>
      <c r="K153" t="s">
        <v>898</v>
      </c>
      <c r="L153">
        <v>7340.468468468468</v>
      </c>
      <c r="M153">
        <v>176171</v>
      </c>
      <c r="N153">
        <v>7928</v>
      </c>
      <c r="O153">
        <v>190270</v>
      </c>
      <c r="P153"/>
      <c r="Q153">
        <v>0</v>
      </c>
      <c r="R153" s="35">
        <v>45848</v>
      </c>
      <c r="T153" t="s">
        <v>1077</v>
      </c>
      <c r="U153" t="s">
        <v>126</v>
      </c>
      <c r="V153" t="s">
        <v>139</v>
      </c>
      <c r="W153">
        <v>10070</v>
      </c>
      <c r="X153" t="s">
        <v>668</v>
      </c>
      <c r="Y153" t="s">
        <v>943</v>
      </c>
      <c r="Z153" t="s">
        <v>374</v>
      </c>
      <c r="AA153" t="s">
        <v>140</v>
      </c>
      <c r="AB153" t="s">
        <v>141</v>
      </c>
      <c r="AC153">
        <v>11611</v>
      </c>
      <c r="AD153">
        <v>11612</v>
      </c>
      <c r="AE153">
        <v>101</v>
      </c>
      <c r="AF153">
        <v>1</v>
      </c>
    </row>
    <row r="154" spans="1:32">
      <c r="A154">
        <v>1</v>
      </c>
      <c r="B154">
        <v>150</v>
      </c>
      <c r="C154" t="s">
        <v>990</v>
      </c>
      <c r="D154" t="s">
        <v>624</v>
      </c>
      <c r="E154" t="s">
        <v>971</v>
      </c>
      <c r="F154">
        <v>72</v>
      </c>
      <c r="G154" t="s">
        <v>185</v>
      </c>
      <c r="H154" t="s">
        <v>941</v>
      </c>
      <c r="I154" t="s">
        <v>942</v>
      </c>
      <c r="J154" t="s">
        <v>1038</v>
      </c>
      <c r="K154" t="s">
        <v>1075</v>
      </c>
      <c r="L154"/>
      <c r="M154">
        <v>0</v>
      </c>
      <c r="N154"/>
      <c r="O154">
        <v>0</v>
      </c>
      <c r="P154"/>
      <c r="Q154">
        <v>0</v>
      </c>
      <c r="R154" s="35"/>
      <c r="T154" t="s">
        <v>1077</v>
      </c>
      <c r="U154" t="s">
        <v>126</v>
      </c>
      <c r="V154" t="s">
        <v>139</v>
      </c>
      <c r="W154">
        <v>10080</v>
      </c>
      <c r="X154" t="s">
        <v>667</v>
      </c>
      <c r="AA154" t="s">
        <v>140</v>
      </c>
      <c r="AB154" t="s">
        <v>141</v>
      </c>
      <c r="AC154">
        <v>11611</v>
      </c>
      <c r="AD154">
        <v>11612</v>
      </c>
      <c r="AF154">
        <v>1</v>
      </c>
    </row>
    <row r="155" spans="1:32">
      <c r="A155">
        <v>1</v>
      </c>
      <c r="B155">
        <v>151</v>
      </c>
      <c r="C155" t="s">
        <v>396</v>
      </c>
      <c r="D155" t="s">
        <v>624</v>
      </c>
      <c r="E155" t="s">
        <v>517</v>
      </c>
      <c r="F155">
        <v>24</v>
      </c>
      <c r="G155" t="s">
        <v>663</v>
      </c>
      <c r="H155" t="s">
        <v>941</v>
      </c>
      <c r="I155" t="s">
        <v>942</v>
      </c>
      <c r="J155" t="s">
        <v>783</v>
      </c>
      <c r="K155" t="s">
        <v>899</v>
      </c>
      <c r="L155">
        <v>7340.468468468468</v>
      </c>
      <c r="M155">
        <v>176171</v>
      </c>
      <c r="N155">
        <v>7928</v>
      </c>
      <c r="O155">
        <v>190270</v>
      </c>
      <c r="P155"/>
      <c r="Q155">
        <v>0</v>
      </c>
      <c r="R155" s="35">
        <v>45848</v>
      </c>
      <c r="T155" t="s">
        <v>1077</v>
      </c>
      <c r="U155" t="s">
        <v>126</v>
      </c>
      <c r="V155" t="s">
        <v>139</v>
      </c>
      <c r="W155">
        <v>10070</v>
      </c>
      <c r="X155" t="s">
        <v>668</v>
      </c>
      <c r="Y155" t="s">
        <v>943</v>
      </c>
      <c r="Z155" t="s">
        <v>374</v>
      </c>
      <c r="AA155" t="s">
        <v>140</v>
      </c>
      <c r="AB155" t="s">
        <v>141</v>
      </c>
      <c r="AC155">
        <v>11611</v>
      </c>
      <c r="AD155">
        <v>11612</v>
      </c>
      <c r="AE155">
        <v>101</v>
      </c>
      <c r="AF155">
        <v>1</v>
      </c>
    </row>
    <row r="156" spans="1:32">
      <c r="A156">
        <v>1</v>
      </c>
      <c r="B156">
        <v>153</v>
      </c>
      <c r="C156" t="s">
        <v>397</v>
      </c>
      <c r="D156" t="s">
        <v>624</v>
      </c>
      <c r="E156" t="s">
        <v>518</v>
      </c>
      <c r="F156">
        <v>24</v>
      </c>
      <c r="G156" t="s">
        <v>663</v>
      </c>
      <c r="H156" t="s">
        <v>941</v>
      </c>
      <c r="I156" t="s">
        <v>942</v>
      </c>
      <c r="J156" t="s">
        <v>784</v>
      </c>
      <c r="K156" t="s">
        <v>900</v>
      </c>
      <c r="L156">
        <v>7340.468468468468</v>
      </c>
      <c r="M156">
        <v>176171</v>
      </c>
      <c r="N156">
        <v>7928</v>
      </c>
      <c r="O156">
        <v>190270</v>
      </c>
      <c r="P156"/>
      <c r="Q156">
        <v>0</v>
      </c>
      <c r="R156" s="35">
        <v>45848</v>
      </c>
      <c r="T156" t="s">
        <v>1077</v>
      </c>
      <c r="U156" t="s">
        <v>126</v>
      </c>
      <c r="V156" t="s">
        <v>139</v>
      </c>
      <c r="W156">
        <v>10070</v>
      </c>
      <c r="X156" t="s">
        <v>668</v>
      </c>
      <c r="Y156" t="s">
        <v>943</v>
      </c>
      <c r="Z156" t="s">
        <v>374</v>
      </c>
      <c r="AA156" t="s">
        <v>140</v>
      </c>
      <c r="AB156" t="s">
        <v>141</v>
      </c>
      <c r="AC156">
        <v>11611</v>
      </c>
      <c r="AD156">
        <v>11612</v>
      </c>
      <c r="AE156">
        <v>101</v>
      </c>
      <c r="AF156">
        <v>1</v>
      </c>
    </row>
    <row r="157" spans="1:32">
      <c r="A157">
        <v>1</v>
      </c>
      <c r="B157">
        <v>155</v>
      </c>
      <c r="C157" t="s">
        <v>398</v>
      </c>
      <c r="D157" t="s">
        <v>624</v>
      </c>
      <c r="E157" t="s">
        <v>519</v>
      </c>
      <c r="F157">
        <v>24</v>
      </c>
      <c r="G157" t="s">
        <v>663</v>
      </c>
      <c r="H157" t="s">
        <v>941</v>
      </c>
      <c r="I157" t="s">
        <v>942</v>
      </c>
      <c r="J157" t="s">
        <v>785</v>
      </c>
      <c r="K157" t="s">
        <v>901</v>
      </c>
      <c r="L157">
        <v>7340.468468468468</v>
      </c>
      <c r="M157">
        <v>176171</v>
      </c>
      <c r="N157">
        <v>7928</v>
      </c>
      <c r="O157">
        <v>190270</v>
      </c>
      <c r="P157"/>
      <c r="Q157">
        <v>0</v>
      </c>
      <c r="R157" s="35">
        <v>45848</v>
      </c>
      <c r="T157" t="s">
        <v>1077</v>
      </c>
      <c r="U157" t="s">
        <v>126</v>
      </c>
      <c r="V157" t="s">
        <v>139</v>
      </c>
      <c r="W157">
        <v>10070</v>
      </c>
      <c r="X157" t="s">
        <v>668</v>
      </c>
      <c r="Y157" t="s">
        <v>943</v>
      </c>
      <c r="Z157" t="s">
        <v>374</v>
      </c>
      <c r="AA157" t="s">
        <v>140</v>
      </c>
      <c r="AB157" t="s">
        <v>141</v>
      </c>
      <c r="AC157">
        <v>11611</v>
      </c>
      <c r="AD157">
        <v>11612</v>
      </c>
      <c r="AE157">
        <v>101</v>
      </c>
      <c r="AF157">
        <v>1</v>
      </c>
    </row>
    <row r="158" spans="1:32">
      <c r="A158">
        <v>1</v>
      </c>
      <c r="B158">
        <v>157</v>
      </c>
      <c r="C158" t="s">
        <v>959</v>
      </c>
      <c r="D158" t="s">
        <v>624</v>
      </c>
      <c r="E158" t="s">
        <v>958</v>
      </c>
      <c r="F158">
        <v>18</v>
      </c>
      <c r="G158" t="s">
        <v>663</v>
      </c>
      <c r="H158" t="s">
        <v>941</v>
      </c>
      <c r="I158" t="s">
        <v>942</v>
      </c>
      <c r="J158" t="s">
        <v>1039</v>
      </c>
      <c r="K158" t="s">
        <v>1058</v>
      </c>
      <c r="L158">
        <v>9342.4144144144138</v>
      </c>
      <c r="M158">
        <v>168163</v>
      </c>
      <c r="N158">
        <v>10090</v>
      </c>
      <c r="O158">
        <v>181622</v>
      </c>
      <c r="P158"/>
      <c r="Q158">
        <v>0</v>
      </c>
      <c r="R158" s="35">
        <v>45864</v>
      </c>
      <c r="T158" t="s">
        <v>1077</v>
      </c>
      <c r="U158" t="s">
        <v>126</v>
      </c>
      <c r="V158" t="s">
        <v>139</v>
      </c>
      <c r="W158">
        <v>10070</v>
      </c>
      <c r="X158" t="s">
        <v>668</v>
      </c>
      <c r="AA158" t="s">
        <v>140</v>
      </c>
      <c r="AB158" t="s">
        <v>141</v>
      </c>
      <c r="AC158">
        <v>11611</v>
      </c>
      <c r="AD158">
        <v>11612</v>
      </c>
      <c r="AF158">
        <v>1</v>
      </c>
    </row>
    <row r="159" spans="1:32">
      <c r="A159">
        <v>3</v>
      </c>
      <c r="B159">
        <v>159</v>
      </c>
      <c r="C159" t="s">
        <v>961</v>
      </c>
      <c r="D159" t="s">
        <v>624</v>
      </c>
      <c r="E159" t="s">
        <v>949</v>
      </c>
      <c r="F159">
        <v>18</v>
      </c>
      <c r="G159" t="s">
        <v>663</v>
      </c>
      <c r="H159" t="s">
        <v>941</v>
      </c>
      <c r="I159" t="s">
        <v>942</v>
      </c>
      <c r="J159" t="s">
        <v>1040</v>
      </c>
      <c r="K159" t="s">
        <v>1059</v>
      </c>
      <c r="L159">
        <v>8675.0990990990995</v>
      </c>
      <c r="M159">
        <v>156152</v>
      </c>
      <c r="N159">
        <v>9369</v>
      </c>
      <c r="O159">
        <v>168649</v>
      </c>
      <c r="P159"/>
      <c r="Q159">
        <v>0</v>
      </c>
      <c r="R159" s="35">
        <v>45864</v>
      </c>
      <c r="T159" t="s">
        <v>1077</v>
      </c>
      <c r="U159" t="s">
        <v>126</v>
      </c>
      <c r="V159" t="s">
        <v>139</v>
      </c>
      <c r="W159">
        <v>10060</v>
      </c>
      <c r="X159" t="s">
        <v>669</v>
      </c>
      <c r="AA159" t="s">
        <v>140</v>
      </c>
      <c r="AB159" t="s">
        <v>141</v>
      </c>
      <c r="AC159">
        <v>11611</v>
      </c>
      <c r="AD159">
        <v>11612</v>
      </c>
      <c r="AF159">
        <v>1</v>
      </c>
    </row>
    <row r="160" spans="1:32">
      <c r="A160">
        <v>1</v>
      </c>
      <c r="B160">
        <v>160</v>
      </c>
      <c r="D160" t="s">
        <v>950</v>
      </c>
      <c r="E160" t="s">
        <v>951</v>
      </c>
      <c r="F160">
        <v>12</v>
      </c>
      <c r="G160" t="s">
        <v>662</v>
      </c>
      <c r="H160" t="s">
        <v>941</v>
      </c>
      <c r="I160" t="s">
        <v>942</v>
      </c>
      <c r="J160" t="s">
        <v>1041</v>
      </c>
      <c r="K160" t="s">
        <v>1076</v>
      </c>
      <c r="L160">
        <v>17016.54054054054</v>
      </c>
      <c r="M160">
        <v>204198</v>
      </c>
      <c r="N160">
        <v>18378</v>
      </c>
      <c r="O160">
        <v>220541</v>
      </c>
      <c r="P160"/>
      <c r="Q160">
        <v>0</v>
      </c>
      <c r="R160" s="35"/>
      <c r="T160" t="s">
        <v>1077</v>
      </c>
      <c r="U160" t="s">
        <v>126</v>
      </c>
      <c r="V160" t="s">
        <v>139</v>
      </c>
      <c r="W160">
        <v>10070</v>
      </c>
      <c r="X160" t="s">
        <v>668</v>
      </c>
      <c r="AA160" t="s">
        <v>140</v>
      </c>
      <c r="AB160" t="s">
        <v>141</v>
      </c>
      <c r="AC160">
        <v>11611</v>
      </c>
      <c r="AD160">
        <v>11612</v>
      </c>
      <c r="AF160">
        <v>1</v>
      </c>
    </row>
    <row r="161" spans="1:32">
      <c r="A161">
        <v>1</v>
      </c>
      <c r="B161">
        <v>161</v>
      </c>
      <c r="C161" t="s">
        <v>394</v>
      </c>
      <c r="D161" t="s">
        <v>950</v>
      </c>
      <c r="E161" t="s">
        <v>951</v>
      </c>
      <c r="F161">
        <v>6</v>
      </c>
      <c r="G161" t="s">
        <v>662</v>
      </c>
      <c r="H161" t="s">
        <v>941</v>
      </c>
      <c r="I161" t="s">
        <v>942</v>
      </c>
      <c r="J161" t="s">
        <v>1042</v>
      </c>
      <c r="K161" t="s">
        <v>1060</v>
      </c>
      <c r="L161">
        <v>34033.08108108108</v>
      </c>
      <c r="M161">
        <v>204198</v>
      </c>
      <c r="N161">
        <v>36757</v>
      </c>
      <c r="O161">
        <v>220541</v>
      </c>
      <c r="P161"/>
      <c r="Q161">
        <v>0</v>
      </c>
      <c r="R161" s="35">
        <v>45864</v>
      </c>
      <c r="T161" t="s">
        <v>1077</v>
      </c>
      <c r="U161" t="s">
        <v>126</v>
      </c>
      <c r="V161" t="s">
        <v>139</v>
      </c>
      <c r="W161">
        <v>10070</v>
      </c>
      <c r="X161" t="s">
        <v>668</v>
      </c>
      <c r="AA161" t="s">
        <v>140</v>
      </c>
      <c r="AB161" t="s">
        <v>141</v>
      </c>
      <c r="AC161">
        <v>11611</v>
      </c>
      <c r="AD161">
        <v>11612</v>
      </c>
      <c r="AF16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B5F0-3EDC-46A5-ACFA-BB4E3F818A0B}">
  <sheetPr codeName="Sheet11"/>
  <dimension ref="A1:F30"/>
  <sheetViews>
    <sheetView topLeftCell="B1" workbookViewId="0">
      <selection activeCell="F3" sqref="F3"/>
    </sheetView>
  </sheetViews>
  <sheetFormatPr defaultRowHeight="15"/>
  <cols>
    <col min="1" max="1" width="6.5703125" style="20" bestFit="1" customWidth="1"/>
    <col min="2" max="2" width="14.5703125" style="20" bestFit="1" customWidth="1"/>
    <col min="3" max="3" width="16.28515625" style="20" bestFit="1" customWidth="1"/>
    <col min="4" max="4" width="40.140625" style="20" bestFit="1" customWidth="1"/>
    <col min="5" max="5" width="11.28515625" style="20" customWidth="1"/>
    <col min="6" max="6" width="11.5703125" customWidth="1"/>
  </cols>
  <sheetData>
    <row r="1" spans="1:6" ht="32.25" customHeight="1">
      <c r="A1" s="5" t="s">
        <v>116</v>
      </c>
      <c r="B1" s="5" t="s">
        <v>45</v>
      </c>
      <c r="C1" s="5" t="s">
        <v>46</v>
      </c>
      <c r="D1" s="5" t="s">
        <v>47</v>
      </c>
      <c r="E1" s="5" t="s">
        <v>13</v>
      </c>
      <c r="F1" s="8" t="s">
        <v>14</v>
      </c>
    </row>
    <row r="2" spans="1:6">
      <c r="A2" s="20">
        <v>1</v>
      </c>
      <c r="B2" s="20" t="s">
        <v>48</v>
      </c>
      <c r="C2" s="20" t="s">
        <v>49</v>
      </c>
      <c r="D2" t="s">
        <v>50</v>
      </c>
      <c r="E2" s="20" t="s">
        <v>35</v>
      </c>
      <c r="F2" s="21" t="s">
        <v>34</v>
      </c>
    </row>
    <row r="3" spans="1:6">
      <c r="A3" s="20">
        <v>2</v>
      </c>
      <c r="B3" s="20" t="s">
        <v>48</v>
      </c>
      <c r="C3" s="20" t="s">
        <v>49</v>
      </c>
      <c r="D3" t="s">
        <v>51</v>
      </c>
      <c r="E3" s="20" t="s">
        <v>78</v>
      </c>
      <c r="F3" s="21" t="s">
        <v>77</v>
      </c>
    </row>
    <row r="4" spans="1:6">
      <c r="A4" s="20">
        <v>3</v>
      </c>
      <c r="B4" s="20" t="s">
        <v>48</v>
      </c>
      <c r="C4" s="20" t="s">
        <v>49</v>
      </c>
      <c r="D4" t="s">
        <v>52</v>
      </c>
      <c r="E4" s="20" t="s">
        <v>79</v>
      </c>
      <c r="F4" s="21" t="s">
        <v>80</v>
      </c>
    </row>
    <row r="5" spans="1:6">
      <c r="A5" s="20">
        <v>4</v>
      </c>
      <c r="B5" s="20" t="s">
        <v>48</v>
      </c>
      <c r="C5" s="20" t="s">
        <v>53</v>
      </c>
      <c r="D5" t="s">
        <v>54</v>
      </c>
      <c r="E5" s="20" t="s">
        <v>81</v>
      </c>
      <c r="F5" s="21" t="s">
        <v>106</v>
      </c>
    </row>
    <row r="6" spans="1:6">
      <c r="A6" s="20">
        <v>5</v>
      </c>
      <c r="B6" s="20" t="s">
        <v>48</v>
      </c>
      <c r="C6" s="20" t="s">
        <v>55</v>
      </c>
      <c r="D6" t="s">
        <v>56</v>
      </c>
      <c r="E6" s="20" t="s">
        <v>83</v>
      </c>
      <c r="F6" s="21" t="s">
        <v>84</v>
      </c>
    </row>
    <row r="7" spans="1:6">
      <c r="A7" s="20">
        <v>6</v>
      </c>
      <c r="B7" s="20" t="s">
        <v>48</v>
      </c>
      <c r="C7" s="20" t="s">
        <v>55</v>
      </c>
      <c r="D7" t="s">
        <v>57</v>
      </c>
      <c r="E7" s="20" t="s">
        <v>85</v>
      </c>
      <c r="F7" s="21" t="s">
        <v>86</v>
      </c>
    </row>
    <row r="8" spans="1:6">
      <c r="A8" s="20">
        <v>7</v>
      </c>
      <c r="B8" s="20" t="s">
        <v>48</v>
      </c>
      <c r="C8" s="20" t="s">
        <v>55</v>
      </c>
      <c r="D8" t="s">
        <v>58</v>
      </c>
      <c r="E8" s="20" t="s">
        <v>87</v>
      </c>
      <c r="F8" s="21" t="s">
        <v>88</v>
      </c>
    </row>
    <row r="9" spans="1:6">
      <c r="A9" s="20">
        <v>8</v>
      </c>
      <c r="B9" s="20" t="s">
        <v>48</v>
      </c>
      <c r="C9" s="20" t="s">
        <v>55</v>
      </c>
      <c r="D9" t="s">
        <v>59</v>
      </c>
      <c r="E9" s="20" t="s">
        <v>89</v>
      </c>
      <c r="F9" s="21" t="s">
        <v>90</v>
      </c>
    </row>
    <row r="10" spans="1:6">
      <c r="A10" s="20">
        <v>9</v>
      </c>
      <c r="B10" s="20" t="s">
        <v>48</v>
      </c>
      <c r="C10" s="20" t="s">
        <v>60</v>
      </c>
      <c r="D10" t="s">
        <v>61</v>
      </c>
      <c r="E10" s="20" t="s">
        <v>91</v>
      </c>
      <c r="F10" s="21" t="s">
        <v>92</v>
      </c>
    </row>
    <row r="11" spans="1:6">
      <c r="A11" s="20">
        <v>10</v>
      </c>
      <c r="B11" s="20" t="s">
        <v>48</v>
      </c>
      <c r="C11" s="20" t="s">
        <v>60</v>
      </c>
      <c r="D11" t="s">
        <v>62</v>
      </c>
      <c r="E11" s="20" t="s">
        <v>93</v>
      </c>
      <c r="F11" s="21" t="s">
        <v>94</v>
      </c>
    </row>
    <row r="12" spans="1:6">
      <c r="A12" s="20">
        <v>11</v>
      </c>
      <c r="B12" s="20" t="s">
        <v>63</v>
      </c>
      <c r="C12" s="20" t="s">
        <v>48</v>
      </c>
      <c r="D12" t="s">
        <v>64</v>
      </c>
      <c r="E12" s="20" t="s">
        <v>55</v>
      </c>
      <c r="F12" s="21" t="s">
        <v>95</v>
      </c>
    </row>
    <row r="13" spans="1:6">
      <c r="A13" s="20">
        <v>12</v>
      </c>
      <c r="B13" s="20" t="s">
        <v>63</v>
      </c>
      <c r="C13" s="20" t="s">
        <v>65</v>
      </c>
      <c r="D13" t="s">
        <v>66</v>
      </c>
      <c r="E13" s="20" t="s">
        <v>96</v>
      </c>
      <c r="F13" s="21" t="s">
        <v>97</v>
      </c>
    </row>
    <row r="14" spans="1:6">
      <c r="A14" s="20">
        <v>13</v>
      </c>
      <c r="B14" s="20" t="s">
        <v>63</v>
      </c>
      <c r="C14" s="20" t="s">
        <v>65</v>
      </c>
      <c r="D14" t="s">
        <v>67</v>
      </c>
      <c r="E14" s="20" t="s">
        <v>98</v>
      </c>
      <c r="F14" s="21" t="s">
        <v>99</v>
      </c>
    </row>
    <row r="15" spans="1:6">
      <c r="A15" s="20">
        <v>14</v>
      </c>
      <c r="B15" s="20" t="s">
        <v>63</v>
      </c>
      <c r="C15" s="20" t="s">
        <v>68</v>
      </c>
      <c r="D15" t="s">
        <v>69</v>
      </c>
      <c r="E15" s="20" t="s">
        <v>100</v>
      </c>
      <c r="F15" s="21" t="s">
        <v>101</v>
      </c>
    </row>
    <row r="16" spans="1:6">
      <c r="A16" s="20">
        <v>15</v>
      </c>
      <c r="B16" s="20" t="s">
        <v>63</v>
      </c>
      <c r="C16" s="20" t="s">
        <v>68</v>
      </c>
      <c r="D16" t="s">
        <v>70</v>
      </c>
      <c r="E16" s="20" t="s">
        <v>102</v>
      </c>
      <c r="F16" s="21" t="s">
        <v>103</v>
      </c>
    </row>
    <row r="17" spans="1:6">
      <c r="A17" s="20">
        <v>16</v>
      </c>
      <c r="B17" s="20" t="s">
        <v>63</v>
      </c>
      <c r="C17" s="20" t="s">
        <v>68</v>
      </c>
      <c r="D17" t="s">
        <v>71</v>
      </c>
      <c r="E17" s="20" t="s">
        <v>104</v>
      </c>
      <c r="F17" s="21" t="s">
        <v>105</v>
      </c>
    </row>
    <row r="18" spans="1:6">
      <c r="A18" s="20">
        <v>17</v>
      </c>
      <c r="B18" s="20" t="s">
        <v>63</v>
      </c>
      <c r="C18" s="20" t="s">
        <v>68</v>
      </c>
      <c r="D18" t="s">
        <v>72</v>
      </c>
      <c r="E18" s="20" t="s">
        <v>107</v>
      </c>
      <c r="F18" s="21" t="s">
        <v>112</v>
      </c>
    </row>
    <row r="19" spans="1:6">
      <c r="A19" s="20">
        <v>18</v>
      </c>
      <c r="B19" s="20" t="s">
        <v>63</v>
      </c>
      <c r="C19" s="20" t="s">
        <v>68</v>
      </c>
      <c r="D19" t="s">
        <v>73</v>
      </c>
      <c r="E19" s="20" t="s">
        <v>108</v>
      </c>
      <c r="F19" s="21" t="s">
        <v>109</v>
      </c>
    </row>
    <row r="20" spans="1:6">
      <c r="A20" s="20">
        <v>19</v>
      </c>
      <c r="B20" s="20" t="s">
        <v>63</v>
      </c>
      <c r="C20" s="20" t="s">
        <v>68</v>
      </c>
      <c r="D20" t="s">
        <v>74</v>
      </c>
      <c r="E20" s="20" t="s">
        <v>110</v>
      </c>
      <c r="F20" s="21" t="s">
        <v>111</v>
      </c>
    </row>
    <row r="21" spans="1:6">
      <c r="A21" s="20">
        <v>20</v>
      </c>
      <c r="B21" s="20" t="s">
        <v>63</v>
      </c>
      <c r="C21" s="20" t="s">
        <v>75</v>
      </c>
      <c r="D21" t="s">
        <v>76</v>
      </c>
      <c r="E21" s="20" t="s">
        <v>26</v>
      </c>
      <c r="F21" s="21" t="s">
        <v>82</v>
      </c>
    </row>
    <row r="22" spans="1:6">
      <c r="A22" s="20">
        <v>21</v>
      </c>
      <c r="B22" s="20" t="s">
        <v>63</v>
      </c>
      <c r="C22" s="20" t="s">
        <v>68</v>
      </c>
      <c r="D22" t="s">
        <v>113</v>
      </c>
      <c r="E22" s="20" t="s">
        <v>114</v>
      </c>
      <c r="F22" s="21" t="s">
        <v>115</v>
      </c>
    </row>
    <row r="23" spans="1:6">
      <c r="A23" s="20">
        <v>22</v>
      </c>
      <c r="B23" s="20" t="s">
        <v>63</v>
      </c>
      <c r="C23" s="20" t="s">
        <v>55</v>
      </c>
      <c r="D23" s="30" t="s">
        <v>162</v>
      </c>
      <c r="E23" s="20" t="s">
        <v>161</v>
      </c>
      <c r="F23" s="21" t="s">
        <v>163</v>
      </c>
    </row>
    <row r="24" spans="1:6">
      <c r="A24" s="20">
        <v>23</v>
      </c>
      <c r="B24" s="20" t="s">
        <v>63</v>
      </c>
      <c r="C24" s="20" t="s">
        <v>173</v>
      </c>
      <c r="D24" s="30" t="s">
        <v>167</v>
      </c>
      <c r="E24" s="20" t="s">
        <v>168</v>
      </c>
      <c r="F24" s="21" t="s">
        <v>169</v>
      </c>
    </row>
    <row r="25" spans="1:6">
      <c r="A25" s="20">
        <v>24</v>
      </c>
      <c r="B25" s="20" t="s">
        <v>63</v>
      </c>
      <c r="C25" s="20" t="s">
        <v>173</v>
      </c>
      <c r="D25" s="30" t="s">
        <v>369</v>
      </c>
      <c r="E25" s="20" t="s">
        <v>370</v>
      </c>
      <c r="F25" s="21" t="s">
        <v>368</v>
      </c>
    </row>
    <row r="26" spans="1:6">
      <c r="A26" s="20">
        <v>25</v>
      </c>
      <c r="B26" s="20" t="s">
        <v>63</v>
      </c>
      <c r="C26" s="20" t="s">
        <v>173</v>
      </c>
      <c r="D26" s="30" t="s">
        <v>375</v>
      </c>
      <c r="E26" s="20" t="s">
        <v>367</v>
      </c>
      <c r="F26" s="21" t="s">
        <v>366</v>
      </c>
    </row>
    <row r="27" spans="1:6">
      <c r="A27" s="20">
        <v>26</v>
      </c>
      <c r="B27" s="20" t="s">
        <v>63</v>
      </c>
      <c r="C27" s="20" t="s">
        <v>173</v>
      </c>
      <c r="D27" s="30" t="s">
        <v>371</v>
      </c>
      <c r="E27" s="20" t="s">
        <v>372</v>
      </c>
      <c r="F27" s="21" t="s">
        <v>373</v>
      </c>
    </row>
    <row r="28" spans="1:6">
      <c r="B28" s="20" t="s">
        <v>63</v>
      </c>
      <c r="C28" s="20" t="s">
        <v>173</v>
      </c>
      <c r="D28" s="30" t="s">
        <v>376</v>
      </c>
      <c r="E28" s="20" t="s">
        <v>377</v>
      </c>
      <c r="F28" s="21" t="s">
        <v>378</v>
      </c>
    </row>
    <row r="29" spans="1:6">
      <c r="B29" s="20" t="s">
        <v>63</v>
      </c>
      <c r="D29" s="30" t="s">
        <v>629</v>
      </c>
      <c r="E29" s="20" t="s">
        <v>630</v>
      </c>
      <c r="F29" s="21" t="s">
        <v>631</v>
      </c>
    </row>
    <row r="30" spans="1:6">
      <c r="B30" s="20" t="s">
        <v>49</v>
      </c>
      <c r="D30" s="30" t="s">
        <v>632</v>
      </c>
      <c r="E30" s="20" t="s">
        <v>633</v>
      </c>
      <c r="F30" s="21" t="s">
        <v>634</v>
      </c>
    </row>
  </sheetData>
  <conditionalFormatting sqref="E23:E1048576 F1:F3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2087-406B-4FD1-AD63-71565E103B15}">
  <sheetPr>
    <tabColor rgb="FF00B050"/>
  </sheetPr>
  <dimension ref="A1:B3"/>
  <sheetViews>
    <sheetView workbookViewId="0">
      <selection activeCell="A4" sqref="A4"/>
    </sheetView>
  </sheetViews>
  <sheetFormatPr defaultRowHeight="15"/>
  <sheetData>
    <row r="1" spans="1:2">
      <c r="A1" t="s">
        <v>178</v>
      </c>
      <c r="B1">
        <v>1</v>
      </c>
    </row>
    <row r="2" spans="1:2">
      <c r="A2" t="s">
        <v>177</v>
      </c>
      <c r="B2">
        <v>2</v>
      </c>
    </row>
    <row r="3" spans="1:2">
      <c r="A3" t="s">
        <v>186</v>
      </c>
      <c r="B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00a3ca-a341-42d9-b2fb-ab12249157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0700F3F38B44D94439CA43E171009" ma:contentTypeVersion="6" ma:contentTypeDescription="Create a new document." ma:contentTypeScope="" ma:versionID="4c1a5321ca5bc25b67cef7c5ca47af24">
  <xsd:schema xmlns:xsd="http://www.w3.org/2001/XMLSchema" xmlns:xs="http://www.w3.org/2001/XMLSchema" xmlns:p="http://schemas.microsoft.com/office/2006/metadata/properties" xmlns:ns3="4b00a3ca-a341-42d9-b2fb-ab1224915750" targetNamespace="http://schemas.microsoft.com/office/2006/metadata/properties" ma:root="true" ma:fieldsID="18868ce31007d0d43f572c0d95d9417b" ns3:_="">
    <xsd:import namespace="4b00a3ca-a341-42d9-b2fb-ab12249157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0a3ca-a341-42d9-b2fb-ab12249157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E2C0DA-074E-4A16-9F4B-1029207D331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b00a3ca-a341-42d9-b2fb-ab12249157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8219C6C-B254-4A31-8EE6-D4DCB992E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35FAAF-2EF5-45A2-9D67-A360A795C84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BB007B0-F2FB-424F-AA4F-29F45BE79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0a3ca-a341-42d9-b2fb-ab1224915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PRICE LIST Motasa</vt:lpstr>
      <vt:lpstr>FORM DASAR KLP</vt:lpstr>
      <vt:lpstr>Cara Buat</vt:lpstr>
      <vt:lpstr>Pvt Map 1</vt:lpstr>
      <vt:lpstr>Table Pvt 1</vt:lpstr>
      <vt:lpstr>Fix Mapping</vt:lpstr>
      <vt:lpstr>Query Map.BrgDoubleDms</vt:lpstr>
      <vt:lpstr>Form Fix</vt:lpstr>
      <vt:lpstr>Upload To Win</vt:lpstr>
      <vt:lpstr>LIST PCPL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FDR</dc:creator>
  <cp:lastModifiedBy>Administrator</cp:lastModifiedBy>
  <cp:lastPrinted>2025-11-12T01:30:44Z</cp:lastPrinted>
  <dcterms:created xsi:type="dcterms:W3CDTF">2024-07-13T06:32:43Z</dcterms:created>
  <dcterms:modified xsi:type="dcterms:W3CDTF">2026-07-28T06:12:50Z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0x0101003FF0700F3F38B44D94439CA43E171009</vt:lpwstr>
  </property>
</Properties>
</file>